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584D9EA-0A05-4A45-9FBA-8EA41FE41878}" xr6:coauthVersionLast="47" xr6:coauthVersionMax="47" xr10:uidLastSave="{00000000-0000-0000-0000-000000000000}"/>
  <bookViews>
    <workbookView xWindow="-120" yWindow="-120" windowWidth="29040" windowHeight="15840" tabRatio="842" activeTab="2" xr2:uid="{00000000-000D-0000-FFFF-FFFF00000000}"/>
  </bookViews>
  <sheets>
    <sheet name="Монитор" sheetId="1682" r:id="rId1"/>
    <sheet name="Расчет" sheetId="18" r:id="rId2"/>
    <sheet name="Бланк" sheetId="2159" r:id="rId3"/>
    <sheet name="09.11 R" sheetId="2194" r:id="rId4"/>
  </sheets>
  <functionGroups builtInGroupCount="19"/>
  <externalReferences>
    <externalReference r:id="rId5"/>
  </externalReferences>
  <definedNames>
    <definedName name="_20__Information" localSheetId="1">Расчет!$BS$1:$BT$1865</definedName>
    <definedName name="_41__Bodies_location__Heijunka__1" localSheetId="1">Расчет!$AA$1:$AB$427</definedName>
    <definedName name="_xlnm._FilterDatabase" localSheetId="3" hidden="1">'09.11 R'!$AY$52:$AY$63</definedName>
    <definedName name="_xlnm._FilterDatabase" localSheetId="2" hidden="1">Бланк!$AY$52:$AY$63</definedName>
    <definedName name="_xlnm._FilterDatabase" localSheetId="1" hidden="1">Расчет!$A$1:$J$2438</definedName>
    <definedName name="Color" localSheetId="3">'09.11 R'!$AQ$11:$AQ$14</definedName>
    <definedName name="Color" localSheetId="2">Бланк!$AQ$11:$AQ$14</definedName>
    <definedName name="Color">'[1]0102W'!$V$10:$V$15</definedName>
    <definedName name="Eng" localSheetId="3">'09.11 R'!$AQ$18:$AQ$19</definedName>
    <definedName name="Eng" localSheetId="2">Бланк!$AQ$18:$AQ$19</definedName>
    <definedName name="ghg">'[1]1002W'!$U$10:$U$15</definedName>
    <definedName name="Seat" localSheetId="3">'09.11 R'!$AP$17:$AP$18</definedName>
    <definedName name="Seat" localSheetId="2">Бланк!$AP$17:$AP$18</definedName>
    <definedName name="Данные_для_Heijunka" localSheetId="1">Расчет!$A$1:$J$331</definedName>
    <definedName name="_xlnm.Print_Area" localSheetId="3">'09.11 R'!$A$1:$Y$105,'09.11 R'!$Z$4:$AD$55,'09.11 R'!$Z$67:$AD$105,'09.11 R'!$AE$1:$AN$105,'09.11 R'!$AX$4:$BK$37</definedName>
    <definedName name="_xlnm.Print_Area" localSheetId="2">Бланк!$A$1:$X$105,Бланк!$Z$4:$AD$55,Бланк!$Z$67:$AD$105,Бланк!$AE$1:$AN$105,Бланк!$AX$4:$BK$37</definedName>
    <definedName name="Порядок_кузовов_BuildSeq__PC02__1" localSheetId="1">Расчет!$M$1:$O$1606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N259" i="2194" l="1"/>
  <c r="BN258" i="2194"/>
  <c r="BN257" i="2194"/>
  <c r="BN256" i="2194"/>
  <c r="BN255" i="2194"/>
  <c r="BN254" i="2194"/>
  <c r="BN253" i="2194"/>
  <c r="BN252" i="2194"/>
  <c r="BN251" i="2194"/>
  <c r="BN250" i="2194"/>
  <c r="BN249" i="2194"/>
  <c r="BN248" i="2194"/>
  <c r="BN247" i="2194"/>
  <c r="BN246" i="2194"/>
  <c r="BN245" i="2194"/>
  <c r="BN244" i="2194"/>
  <c r="BN243" i="2194"/>
  <c r="BN242" i="2194"/>
  <c r="BN241" i="2194"/>
  <c r="BN240" i="2194"/>
  <c r="BN239" i="2194"/>
  <c r="BN238" i="2194"/>
  <c r="BN237" i="2194"/>
  <c r="BN236" i="2194"/>
  <c r="BN235" i="2194"/>
  <c r="BN234" i="2194"/>
  <c r="BN233" i="2194"/>
  <c r="BN232" i="2194"/>
  <c r="BN231" i="2194"/>
  <c r="BN230" i="2194"/>
  <c r="BN229" i="2194"/>
  <c r="BN228" i="2194"/>
  <c r="BN227" i="2194"/>
  <c r="BN226" i="2194"/>
  <c r="BN225" i="2194"/>
  <c r="BN224" i="2194"/>
  <c r="BN223" i="2194"/>
  <c r="BN222" i="2194"/>
  <c r="BN221" i="2194"/>
  <c r="BN220" i="2194"/>
  <c r="BN219" i="2194"/>
  <c r="BN218" i="2194"/>
  <c r="BN217" i="2194"/>
  <c r="BO217" i="2194" s="1"/>
  <c r="BN216" i="2194"/>
  <c r="BN215" i="2194"/>
  <c r="BO215" i="2194" s="1"/>
  <c r="BN214" i="2194"/>
  <c r="BN213" i="2194"/>
  <c r="BO213" i="2194" s="1"/>
  <c r="BN212" i="2194"/>
  <c r="BN211" i="2194"/>
  <c r="BO211" i="2194" s="1"/>
  <c r="AO211" i="2194"/>
  <c r="AP211" i="2194" s="1"/>
  <c r="BN210" i="2194"/>
  <c r="AO210" i="2194"/>
  <c r="AP210" i="2194" s="1"/>
  <c r="BN209" i="2194"/>
  <c r="BQ209" i="2194" s="1"/>
  <c r="AO209" i="2194"/>
  <c r="AP209" i="2194" s="1"/>
  <c r="BN208" i="2194"/>
  <c r="BO208" i="2194" s="1"/>
  <c r="AO208" i="2194"/>
  <c r="AP208" i="2194" s="1"/>
  <c r="BN207" i="2194"/>
  <c r="BO207" i="2194" s="1"/>
  <c r="AO207" i="2194"/>
  <c r="AP207" i="2194" s="1"/>
  <c r="BN206" i="2194"/>
  <c r="BO206" i="2194" s="1"/>
  <c r="AO206" i="2194"/>
  <c r="AP206" i="2194" s="1"/>
  <c r="BN205" i="2194"/>
  <c r="BQ205" i="2194" s="1"/>
  <c r="AO205" i="2194"/>
  <c r="AP205" i="2194" s="1"/>
  <c r="BN204" i="2194"/>
  <c r="BO204" i="2194" s="1"/>
  <c r="AO204" i="2194"/>
  <c r="AP204" i="2194" s="1"/>
  <c r="BN203" i="2194"/>
  <c r="BO203" i="2194" s="1"/>
  <c r="AO203" i="2194"/>
  <c r="AP203" i="2194" s="1"/>
  <c r="BN202" i="2194"/>
  <c r="BO202" i="2194" s="1"/>
  <c r="AO202" i="2194"/>
  <c r="AP202" i="2194" s="1"/>
  <c r="BN201" i="2194"/>
  <c r="BO201" i="2194" s="1"/>
  <c r="AO201" i="2194"/>
  <c r="AP201" i="2194" s="1"/>
  <c r="BN200" i="2194"/>
  <c r="BO200" i="2194" s="1"/>
  <c r="AO200" i="2194"/>
  <c r="AP200" i="2194" s="1"/>
  <c r="BN199" i="2194"/>
  <c r="BO199" i="2194" s="1"/>
  <c r="AO199" i="2194"/>
  <c r="AP199" i="2194" s="1"/>
  <c r="BN198" i="2194"/>
  <c r="BO198" i="2194" s="1"/>
  <c r="AO198" i="2194"/>
  <c r="AP198" i="2194" s="1"/>
  <c r="BN197" i="2194"/>
  <c r="AO197" i="2194"/>
  <c r="AP197" i="2194" s="1"/>
  <c r="BN196" i="2194"/>
  <c r="BO196" i="2194" s="1"/>
  <c r="AO196" i="2194"/>
  <c r="AP196" i="2194" s="1"/>
  <c r="BN195" i="2194"/>
  <c r="BO195" i="2194" s="1"/>
  <c r="AO195" i="2194"/>
  <c r="AP195" i="2194" s="1"/>
  <c r="BN194" i="2194"/>
  <c r="BO194" i="2194" s="1"/>
  <c r="AO194" i="2194"/>
  <c r="Q91" i="2194" s="1"/>
  <c r="BN193" i="2194"/>
  <c r="BO193" i="2194" s="1"/>
  <c r="AO193" i="2194"/>
  <c r="AP193" i="2194" s="1"/>
  <c r="BN192" i="2194"/>
  <c r="BQ192" i="2194" s="1"/>
  <c r="AO192" i="2194"/>
  <c r="AP192" i="2194" s="1"/>
  <c r="BN191" i="2194"/>
  <c r="BO191" i="2194" s="1"/>
  <c r="AO191" i="2194"/>
  <c r="AP191" i="2194" s="1"/>
  <c r="BN190" i="2194"/>
  <c r="BO190" i="2194" s="1"/>
  <c r="AO190" i="2194"/>
  <c r="AP190" i="2194" s="1"/>
  <c r="BN189" i="2194"/>
  <c r="AO189" i="2194"/>
  <c r="AP189" i="2194" s="1"/>
  <c r="BN188" i="2194"/>
  <c r="AO188" i="2194"/>
  <c r="AP188" i="2194" s="1"/>
  <c r="BN187" i="2194"/>
  <c r="AO187" i="2194"/>
  <c r="AP187" i="2194" s="1"/>
  <c r="BN186" i="2194"/>
  <c r="BO186" i="2194" s="1"/>
  <c r="AO186" i="2194"/>
  <c r="AP186" i="2194" s="1"/>
  <c r="BN185" i="2194"/>
  <c r="BO185" i="2194" s="1"/>
  <c r="AO185" i="2194"/>
  <c r="AP185" i="2194" s="1"/>
  <c r="BN184" i="2194"/>
  <c r="BO184" i="2194" s="1"/>
  <c r="AO184" i="2194"/>
  <c r="AP184" i="2194" s="1"/>
  <c r="BN183" i="2194"/>
  <c r="BO183" i="2194" s="1"/>
  <c r="AO183" i="2194"/>
  <c r="AP183" i="2194" s="1"/>
  <c r="BN182" i="2194"/>
  <c r="BQ182" i="2194" s="1"/>
  <c r="AO182" i="2194"/>
  <c r="AP182" i="2194" s="1"/>
  <c r="BN181" i="2194"/>
  <c r="AO181" i="2194"/>
  <c r="AP181" i="2194" s="1"/>
  <c r="BN180" i="2194"/>
  <c r="BQ180" i="2194" s="1"/>
  <c r="AO180" i="2194"/>
  <c r="AP180" i="2194" s="1"/>
  <c r="BN179" i="2194"/>
  <c r="BQ179" i="2194" s="1"/>
  <c r="AO179" i="2194"/>
  <c r="AP179" i="2194" s="1"/>
  <c r="BN178" i="2194"/>
  <c r="BO178" i="2194" s="1"/>
  <c r="AO178" i="2194"/>
  <c r="AP178" i="2194" s="1"/>
  <c r="BN177" i="2194"/>
  <c r="BO177" i="2194" s="1"/>
  <c r="AO177" i="2194"/>
  <c r="AP177" i="2194" s="1"/>
  <c r="BN176" i="2194"/>
  <c r="BQ176" i="2194" s="1"/>
  <c r="AO176" i="2194"/>
  <c r="AP176" i="2194" s="1"/>
  <c r="BN175" i="2194"/>
  <c r="BO175" i="2194" s="1"/>
  <c r="AO175" i="2194"/>
  <c r="AP175" i="2194" s="1"/>
  <c r="BN174" i="2194"/>
  <c r="BQ174" i="2194" s="1"/>
  <c r="AO174" i="2194"/>
  <c r="AP174" i="2194" s="1"/>
  <c r="BN173" i="2194"/>
  <c r="AO173" i="2194"/>
  <c r="AP173" i="2194" s="1"/>
  <c r="BN172" i="2194"/>
  <c r="AO172" i="2194"/>
  <c r="AP172" i="2194" s="1"/>
  <c r="BN171" i="2194"/>
  <c r="AO171" i="2194"/>
  <c r="AP171" i="2194" s="1"/>
  <c r="BN170" i="2194"/>
  <c r="BO170" i="2194" s="1"/>
  <c r="AO170" i="2194"/>
  <c r="AP170" i="2194" s="1"/>
  <c r="BN169" i="2194"/>
  <c r="BQ169" i="2194" s="1"/>
  <c r="AO169" i="2194"/>
  <c r="AP169" i="2194" s="1"/>
  <c r="BN168" i="2194"/>
  <c r="AO168" i="2194"/>
  <c r="AP168" i="2194" s="1"/>
  <c r="BN167" i="2194"/>
  <c r="BO167" i="2194" s="1"/>
  <c r="AO167" i="2194"/>
  <c r="AP167" i="2194" s="1"/>
  <c r="BN166" i="2194"/>
  <c r="AO166" i="2194"/>
  <c r="AP166" i="2194" s="1"/>
  <c r="BN165" i="2194"/>
  <c r="BQ165" i="2194" s="1"/>
  <c r="AO165" i="2194"/>
  <c r="AP165" i="2194" s="1"/>
  <c r="BN164" i="2194"/>
  <c r="AO164" i="2194"/>
  <c r="AP164" i="2194" s="1"/>
  <c r="BN163" i="2194"/>
  <c r="BO163" i="2194" s="1"/>
  <c r="AO163" i="2194"/>
  <c r="AP163" i="2194" s="1"/>
  <c r="BN162" i="2194"/>
  <c r="AO162" i="2194"/>
  <c r="AP162" i="2194" s="1"/>
  <c r="BN161" i="2194"/>
  <c r="BO161" i="2194" s="1"/>
  <c r="AO161" i="2194"/>
  <c r="AP161" i="2194" s="1"/>
  <c r="BN160" i="2194"/>
  <c r="AO160" i="2194"/>
  <c r="AP160" i="2194" s="1"/>
  <c r="BN159" i="2194"/>
  <c r="BQ159" i="2194" s="1"/>
  <c r="AO159" i="2194"/>
  <c r="AP159" i="2194" s="1"/>
  <c r="BN158" i="2194"/>
  <c r="AO158" i="2194"/>
  <c r="AP158" i="2194" s="1"/>
  <c r="BN157" i="2194"/>
  <c r="BQ157" i="2194" s="1"/>
  <c r="AO157" i="2194"/>
  <c r="AP157" i="2194" s="1"/>
  <c r="BN156" i="2194"/>
  <c r="AO156" i="2194"/>
  <c r="AP156" i="2194" s="1"/>
  <c r="BN155" i="2194"/>
  <c r="BO155" i="2194" s="1"/>
  <c r="AO155" i="2194"/>
  <c r="AP155" i="2194" s="1"/>
  <c r="BN154" i="2194"/>
  <c r="AO154" i="2194"/>
  <c r="AP154" i="2194" s="1"/>
  <c r="BN153" i="2194"/>
  <c r="BO153" i="2194" s="1"/>
  <c r="AO153" i="2194"/>
  <c r="AP153" i="2194" s="1"/>
  <c r="BN152" i="2194"/>
  <c r="BO152" i="2194" s="1"/>
  <c r="AO152" i="2194"/>
  <c r="AP152" i="2194" s="1"/>
  <c r="BN151" i="2194"/>
  <c r="BQ151" i="2194" s="1"/>
  <c r="AO151" i="2194"/>
  <c r="AP151" i="2194" s="1"/>
  <c r="BN150" i="2194"/>
  <c r="BO150" i="2194" s="1"/>
  <c r="AO150" i="2194"/>
  <c r="AP150" i="2194" s="1"/>
  <c r="BN149" i="2194"/>
  <c r="BQ149" i="2194" s="1"/>
  <c r="AO149" i="2194"/>
  <c r="AP149" i="2194" s="1"/>
  <c r="BN148" i="2194"/>
  <c r="BO148" i="2194" s="1"/>
  <c r="AO148" i="2194"/>
  <c r="AP148" i="2194" s="1"/>
  <c r="BN147" i="2194"/>
  <c r="BQ147" i="2194" s="1"/>
  <c r="AO147" i="2194"/>
  <c r="AP147" i="2194" s="1"/>
  <c r="BN146" i="2194"/>
  <c r="AO146" i="2194"/>
  <c r="AP146" i="2194" s="1"/>
  <c r="BN145" i="2194"/>
  <c r="BQ145" i="2194" s="1"/>
  <c r="AO145" i="2194"/>
  <c r="AP145" i="2194" s="1"/>
  <c r="BN144" i="2194"/>
  <c r="BQ144" i="2194" s="1"/>
  <c r="AO144" i="2194"/>
  <c r="AP144" i="2194" s="1"/>
  <c r="BN143" i="2194"/>
  <c r="BO143" i="2194" s="1"/>
  <c r="AO143" i="2194"/>
  <c r="AP143" i="2194" s="1"/>
  <c r="BN142" i="2194"/>
  <c r="BO142" i="2194" s="1"/>
  <c r="AO142" i="2194"/>
  <c r="AP142" i="2194" s="1"/>
  <c r="BN141" i="2194"/>
  <c r="BO141" i="2194" s="1"/>
  <c r="AO141" i="2194"/>
  <c r="AP141" i="2194" s="1"/>
  <c r="BN140" i="2194"/>
  <c r="AO140" i="2194"/>
  <c r="AP140" i="2194" s="1"/>
  <c r="BN139" i="2194"/>
  <c r="BQ139" i="2194" s="1"/>
  <c r="AO139" i="2194"/>
  <c r="AP139" i="2194" s="1"/>
  <c r="BN138" i="2194"/>
  <c r="AO138" i="2194"/>
  <c r="AP138" i="2194" s="1"/>
  <c r="BN137" i="2194"/>
  <c r="BQ137" i="2194" s="1"/>
  <c r="AO137" i="2194"/>
  <c r="AP137" i="2194" s="1"/>
  <c r="BN136" i="2194"/>
  <c r="BO136" i="2194" s="1"/>
  <c r="AO136" i="2194"/>
  <c r="AP136" i="2194" s="1"/>
  <c r="BN135" i="2194"/>
  <c r="BO135" i="2194" s="1"/>
  <c r="AO135" i="2194"/>
  <c r="AP135" i="2194" s="1"/>
  <c r="BN134" i="2194"/>
  <c r="BO134" i="2194" s="1"/>
  <c r="AO134" i="2194"/>
  <c r="AP134" i="2194" s="1"/>
  <c r="BN133" i="2194"/>
  <c r="BQ133" i="2194" s="1"/>
  <c r="AO133" i="2194"/>
  <c r="AP133" i="2194" s="1"/>
  <c r="BN132" i="2194"/>
  <c r="BO132" i="2194" s="1"/>
  <c r="AO132" i="2194"/>
  <c r="AP132" i="2194" s="1"/>
  <c r="BN131" i="2194"/>
  <c r="BQ131" i="2194" s="1"/>
  <c r="AO131" i="2194"/>
  <c r="AP131" i="2194" s="1"/>
  <c r="BN130" i="2194"/>
  <c r="BO130" i="2194" s="1"/>
  <c r="AO130" i="2194"/>
  <c r="AP130" i="2194" s="1"/>
  <c r="BN129" i="2194"/>
  <c r="BO129" i="2194" s="1"/>
  <c r="AO129" i="2194"/>
  <c r="AP129" i="2194" s="1"/>
  <c r="BN128" i="2194"/>
  <c r="BQ128" i="2194" s="1"/>
  <c r="AO128" i="2194"/>
  <c r="AP128" i="2194" s="1"/>
  <c r="BN127" i="2194"/>
  <c r="BO127" i="2194" s="1"/>
  <c r="AO127" i="2194"/>
  <c r="AP127" i="2194" s="1"/>
  <c r="BN126" i="2194"/>
  <c r="BO126" i="2194" s="1"/>
  <c r="AO126" i="2194"/>
  <c r="AP126" i="2194" s="1"/>
  <c r="BN125" i="2194"/>
  <c r="BO125" i="2194" s="1"/>
  <c r="AO125" i="2194"/>
  <c r="AP125" i="2194" s="1"/>
  <c r="BN124" i="2194"/>
  <c r="AO124" i="2194"/>
  <c r="AP124" i="2194" s="1"/>
  <c r="BN123" i="2194"/>
  <c r="BQ123" i="2194" s="1"/>
  <c r="AO123" i="2194"/>
  <c r="AP123" i="2194" s="1"/>
  <c r="BN122" i="2194"/>
  <c r="AO122" i="2194"/>
  <c r="AP122" i="2194" s="1"/>
  <c r="BN121" i="2194"/>
  <c r="BQ121" i="2194" s="1"/>
  <c r="AO121" i="2194"/>
  <c r="AP121" i="2194" s="1"/>
  <c r="BN120" i="2194"/>
  <c r="AO120" i="2194"/>
  <c r="AP120" i="2194" s="1"/>
  <c r="BN119" i="2194"/>
  <c r="BO119" i="2194" s="1"/>
  <c r="AO119" i="2194"/>
  <c r="AP119" i="2194" s="1"/>
  <c r="BN118" i="2194"/>
  <c r="BO118" i="2194" s="1"/>
  <c r="AO118" i="2194"/>
  <c r="AP118" i="2194" s="1"/>
  <c r="BN117" i="2194"/>
  <c r="BQ117" i="2194" s="1"/>
  <c r="AO117" i="2194"/>
  <c r="AP117" i="2194" s="1"/>
  <c r="BN116" i="2194"/>
  <c r="BO116" i="2194" s="1"/>
  <c r="AO116" i="2194"/>
  <c r="AP116" i="2194" s="1"/>
  <c r="BN115" i="2194"/>
  <c r="BQ115" i="2194" s="1"/>
  <c r="AO115" i="2194"/>
  <c r="AP115" i="2194" s="1"/>
  <c r="BN114" i="2194"/>
  <c r="AO114" i="2194"/>
  <c r="AP114" i="2194" s="1"/>
  <c r="BN113" i="2194"/>
  <c r="AO113" i="2194"/>
  <c r="AP113" i="2194" s="1"/>
  <c r="BN112" i="2194"/>
  <c r="AO112" i="2194"/>
  <c r="AP112" i="2194" s="1"/>
  <c r="BN111" i="2194"/>
  <c r="BO111" i="2194" s="1"/>
  <c r="AO111" i="2194"/>
  <c r="AP111" i="2194" s="1"/>
  <c r="BN110" i="2194"/>
  <c r="BO110" i="2194" s="1"/>
  <c r="AO110" i="2194"/>
  <c r="AP110" i="2194" s="1"/>
  <c r="BN109" i="2194"/>
  <c r="BO109" i="2194" s="1"/>
  <c r="AO109" i="2194"/>
  <c r="AP109" i="2194" s="1"/>
  <c r="BN108" i="2194"/>
  <c r="BO108" i="2194" s="1"/>
  <c r="AO108" i="2194"/>
  <c r="AP108" i="2194" s="1"/>
  <c r="BN107" i="2194"/>
  <c r="BO107" i="2194" s="1"/>
  <c r="AO107" i="2194"/>
  <c r="AP107" i="2194" s="1"/>
  <c r="BN106" i="2194"/>
  <c r="BO106" i="2194" s="1"/>
  <c r="AO106" i="2194"/>
  <c r="AP106" i="2194" s="1"/>
  <c r="BN105" i="2194"/>
  <c r="AO105" i="2194"/>
  <c r="AP105" i="2194" s="1"/>
  <c r="AK105" i="2194"/>
  <c r="AF105" i="2194"/>
  <c r="AA105" i="2194"/>
  <c r="Y105" i="2194"/>
  <c r="W105" i="2194"/>
  <c r="V105" i="2194"/>
  <c r="U105" i="2194"/>
  <c r="S105" i="2194"/>
  <c r="AL105" i="2194" s="1"/>
  <c r="P105" i="2194"/>
  <c r="L105" i="2194"/>
  <c r="J105" i="2194"/>
  <c r="I105" i="2194"/>
  <c r="H105" i="2194"/>
  <c r="F105" i="2194"/>
  <c r="AG105" i="2194" s="1"/>
  <c r="AI105" i="2194" s="1"/>
  <c r="BZ106" i="2194" s="1"/>
  <c r="C105" i="2194"/>
  <c r="BN104" i="2194"/>
  <c r="BQ104" i="2194" s="1"/>
  <c r="AO104" i="2194"/>
  <c r="D104" i="2194" s="1"/>
  <c r="AK104" i="2194"/>
  <c r="AF104" i="2194"/>
  <c r="AA104" i="2194"/>
  <c r="Y104" i="2194"/>
  <c r="W104" i="2194"/>
  <c r="V104" i="2194"/>
  <c r="U104" i="2194"/>
  <c r="S104" i="2194"/>
  <c r="T104" i="2194" s="1"/>
  <c r="P104" i="2194"/>
  <c r="L104" i="2194"/>
  <c r="J104" i="2194"/>
  <c r="I104" i="2194"/>
  <c r="H104" i="2194"/>
  <c r="F104" i="2194"/>
  <c r="AG104" i="2194" s="1"/>
  <c r="AI104" i="2194" s="1"/>
  <c r="BZ105" i="2194" s="1"/>
  <c r="C104" i="2194"/>
  <c r="BN103" i="2194"/>
  <c r="BQ103" i="2194" s="1"/>
  <c r="AO103" i="2194"/>
  <c r="AP103" i="2194" s="1"/>
  <c r="AK103" i="2194"/>
  <c r="AF103" i="2194"/>
  <c r="Y103" i="2194"/>
  <c r="W103" i="2194"/>
  <c r="V103" i="2194"/>
  <c r="U103" i="2194"/>
  <c r="S103" i="2194"/>
  <c r="AL103" i="2194" s="1"/>
  <c r="P103" i="2194"/>
  <c r="L103" i="2194"/>
  <c r="J103" i="2194"/>
  <c r="I103" i="2194"/>
  <c r="H103" i="2194"/>
  <c r="F103" i="2194"/>
  <c r="AG103" i="2194" s="1"/>
  <c r="C103" i="2194"/>
  <c r="BN102" i="2194"/>
  <c r="BQ102" i="2194" s="1"/>
  <c r="AO102" i="2194"/>
  <c r="D102" i="2194" s="1"/>
  <c r="AK102" i="2194"/>
  <c r="AF102" i="2194"/>
  <c r="Y102" i="2194"/>
  <c r="W102" i="2194"/>
  <c r="V102" i="2194"/>
  <c r="U102" i="2194"/>
  <c r="S102" i="2194"/>
  <c r="T102" i="2194" s="1"/>
  <c r="P102" i="2194"/>
  <c r="L102" i="2194"/>
  <c r="J102" i="2194"/>
  <c r="I102" i="2194"/>
  <c r="H102" i="2194"/>
  <c r="F102" i="2194"/>
  <c r="AG102" i="2194" s="1"/>
  <c r="AI102" i="2194" s="1"/>
  <c r="BZ103" i="2194" s="1"/>
  <c r="C102" i="2194"/>
  <c r="BN101" i="2194"/>
  <c r="BQ101" i="2194" s="1"/>
  <c r="AO101" i="2194"/>
  <c r="D101" i="2194" s="1"/>
  <c r="AK101" i="2194"/>
  <c r="AF101" i="2194"/>
  <c r="Y101" i="2194"/>
  <c r="W101" i="2194"/>
  <c r="V101" i="2194"/>
  <c r="U101" i="2194"/>
  <c r="S101" i="2194"/>
  <c r="AL101" i="2194" s="1"/>
  <c r="P101" i="2194"/>
  <c r="L101" i="2194"/>
  <c r="J101" i="2194"/>
  <c r="I101" i="2194"/>
  <c r="H101" i="2194"/>
  <c r="F101" i="2194"/>
  <c r="AG101" i="2194" s="1"/>
  <c r="C101" i="2194"/>
  <c r="BN100" i="2194"/>
  <c r="BQ100" i="2194" s="1"/>
  <c r="AO100" i="2194"/>
  <c r="D100" i="2194" s="1"/>
  <c r="AK100" i="2194"/>
  <c r="AF100" i="2194"/>
  <c r="Y100" i="2194"/>
  <c r="W100" i="2194"/>
  <c r="V100" i="2194"/>
  <c r="U100" i="2194"/>
  <c r="S100" i="2194"/>
  <c r="T100" i="2194" s="1"/>
  <c r="P100" i="2194"/>
  <c r="L100" i="2194"/>
  <c r="J100" i="2194"/>
  <c r="I100" i="2194"/>
  <c r="H100" i="2194"/>
  <c r="F100" i="2194"/>
  <c r="AG100" i="2194" s="1"/>
  <c r="C100" i="2194"/>
  <c r="BN99" i="2194"/>
  <c r="BQ99" i="2194" s="1"/>
  <c r="AO99" i="2194"/>
  <c r="D99" i="2194" s="1"/>
  <c r="AK99" i="2194"/>
  <c r="AF99" i="2194"/>
  <c r="Y99" i="2194"/>
  <c r="W99" i="2194"/>
  <c r="V99" i="2194"/>
  <c r="U99" i="2194"/>
  <c r="S99" i="2194"/>
  <c r="AL99" i="2194" s="1"/>
  <c r="P99" i="2194"/>
  <c r="L99" i="2194"/>
  <c r="J99" i="2194"/>
  <c r="I99" i="2194"/>
  <c r="H99" i="2194"/>
  <c r="F99" i="2194"/>
  <c r="AG99" i="2194" s="1"/>
  <c r="C99" i="2194"/>
  <c r="BN98" i="2194"/>
  <c r="BQ98" i="2194" s="1"/>
  <c r="AO98" i="2194"/>
  <c r="D98" i="2194" s="1"/>
  <c r="AK98" i="2194"/>
  <c r="AF98" i="2194"/>
  <c r="Y98" i="2194"/>
  <c r="W98" i="2194"/>
  <c r="V98" i="2194"/>
  <c r="U98" i="2194"/>
  <c r="S98" i="2194"/>
  <c r="T98" i="2194" s="1"/>
  <c r="P98" i="2194"/>
  <c r="L98" i="2194"/>
  <c r="J98" i="2194"/>
  <c r="I98" i="2194"/>
  <c r="H98" i="2194"/>
  <c r="F98" i="2194"/>
  <c r="AG98" i="2194" s="1"/>
  <c r="C98" i="2194"/>
  <c r="BN97" i="2194"/>
  <c r="BQ97" i="2194" s="1"/>
  <c r="AO97" i="2194"/>
  <c r="AP97" i="2194" s="1"/>
  <c r="AK97" i="2194"/>
  <c r="AF97" i="2194"/>
  <c r="Y97" i="2194"/>
  <c r="W97" i="2194"/>
  <c r="V97" i="2194"/>
  <c r="U97" i="2194"/>
  <c r="S97" i="2194"/>
  <c r="AL97" i="2194" s="1"/>
  <c r="P97" i="2194"/>
  <c r="L97" i="2194"/>
  <c r="J97" i="2194"/>
  <c r="I97" i="2194"/>
  <c r="H97" i="2194"/>
  <c r="F97" i="2194"/>
  <c r="G97" i="2194" s="1"/>
  <c r="CG106" i="2194" s="1"/>
  <c r="C97" i="2194"/>
  <c r="BN96" i="2194"/>
  <c r="BQ96" i="2194" s="1"/>
  <c r="AO96" i="2194"/>
  <c r="D96" i="2194" s="1"/>
  <c r="AK96" i="2194"/>
  <c r="AF96" i="2194"/>
  <c r="Y96" i="2194"/>
  <c r="W96" i="2194"/>
  <c r="V96" i="2194"/>
  <c r="U96" i="2194"/>
  <c r="S96" i="2194"/>
  <c r="T96" i="2194" s="1"/>
  <c r="P96" i="2194"/>
  <c r="L96" i="2194"/>
  <c r="J96" i="2194"/>
  <c r="I96" i="2194"/>
  <c r="H96" i="2194"/>
  <c r="F96" i="2194"/>
  <c r="AG96" i="2194" s="1"/>
  <c r="C96" i="2194"/>
  <c r="BN95" i="2194"/>
  <c r="BQ95" i="2194" s="1"/>
  <c r="AO95" i="2194"/>
  <c r="D95" i="2194" s="1"/>
  <c r="AK95" i="2194"/>
  <c r="AF95" i="2194"/>
  <c r="Y95" i="2194"/>
  <c r="W95" i="2194"/>
  <c r="V95" i="2194"/>
  <c r="U95" i="2194"/>
  <c r="S95" i="2194"/>
  <c r="AL95" i="2194" s="1"/>
  <c r="P95" i="2194"/>
  <c r="L95" i="2194"/>
  <c r="J95" i="2194"/>
  <c r="I95" i="2194"/>
  <c r="H95" i="2194"/>
  <c r="F95" i="2194"/>
  <c r="AG95" i="2194" s="1"/>
  <c r="C95" i="2194"/>
  <c r="BN94" i="2194"/>
  <c r="BQ94" i="2194" s="1"/>
  <c r="AO94" i="2194"/>
  <c r="AP94" i="2194" s="1"/>
  <c r="AK94" i="2194"/>
  <c r="AF94" i="2194"/>
  <c r="Y94" i="2194"/>
  <c r="W94" i="2194"/>
  <c r="V94" i="2194"/>
  <c r="U94" i="2194"/>
  <c r="S94" i="2194"/>
  <c r="T94" i="2194" s="1"/>
  <c r="P94" i="2194"/>
  <c r="L94" i="2194"/>
  <c r="J94" i="2194"/>
  <c r="I94" i="2194"/>
  <c r="H94" i="2194"/>
  <c r="F94" i="2194"/>
  <c r="G94" i="2194" s="1"/>
  <c r="C94" i="2194"/>
  <c r="BN93" i="2194"/>
  <c r="BQ93" i="2194" s="1"/>
  <c r="AO93" i="2194"/>
  <c r="AP93" i="2194" s="1"/>
  <c r="AK93" i="2194"/>
  <c r="AF93" i="2194"/>
  <c r="Y93" i="2194"/>
  <c r="W93" i="2194"/>
  <c r="V93" i="2194"/>
  <c r="U93" i="2194"/>
  <c r="S93" i="2194"/>
  <c r="T93" i="2194" s="1"/>
  <c r="P93" i="2194"/>
  <c r="L93" i="2194"/>
  <c r="J93" i="2194"/>
  <c r="I93" i="2194"/>
  <c r="H93" i="2194"/>
  <c r="F93" i="2194"/>
  <c r="AG93" i="2194" s="1"/>
  <c r="C93" i="2194"/>
  <c r="BN92" i="2194"/>
  <c r="BQ92" i="2194" s="1"/>
  <c r="AO92" i="2194"/>
  <c r="AP92" i="2194" s="1"/>
  <c r="AK92" i="2194"/>
  <c r="AF92" i="2194"/>
  <c r="Y92" i="2194"/>
  <c r="W92" i="2194"/>
  <c r="V92" i="2194"/>
  <c r="U92" i="2194"/>
  <c r="S92" i="2194"/>
  <c r="AL92" i="2194" s="1"/>
  <c r="P92" i="2194"/>
  <c r="L92" i="2194"/>
  <c r="J92" i="2194"/>
  <c r="I92" i="2194"/>
  <c r="H92" i="2194"/>
  <c r="F92" i="2194"/>
  <c r="AG92" i="2194" s="1"/>
  <c r="C92" i="2194"/>
  <c r="BN91" i="2194"/>
  <c r="AO91" i="2194"/>
  <c r="AP91" i="2194" s="1"/>
  <c r="AK91" i="2194"/>
  <c r="AF91" i="2194"/>
  <c r="Y91" i="2194"/>
  <c r="W91" i="2194"/>
  <c r="V91" i="2194"/>
  <c r="U91" i="2194"/>
  <c r="S91" i="2194"/>
  <c r="AL91" i="2194" s="1"/>
  <c r="AM91" i="2194" s="1"/>
  <c r="BY195" i="2194" s="1"/>
  <c r="P91" i="2194"/>
  <c r="L91" i="2194"/>
  <c r="J91" i="2194"/>
  <c r="I91" i="2194"/>
  <c r="H91" i="2194"/>
  <c r="F91" i="2194"/>
  <c r="AG91" i="2194" s="1"/>
  <c r="AH91" i="2194" s="1"/>
  <c r="BY92" i="2194" s="1"/>
  <c r="C91" i="2194"/>
  <c r="BN90" i="2194"/>
  <c r="AO90" i="2194"/>
  <c r="AP90" i="2194" s="1"/>
  <c r="AK90" i="2194"/>
  <c r="AF90" i="2194"/>
  <c r="Y90" i="2194"/>
  <c r="W90" i="2194"/>
  <c r="V90" i="2194"/>
  <c r="U90" i="2194"/>
  <c r="S90" i="2194"/>
  <c r="T90" i="2194" s="1"/>
  <c r="P90" i="2194"/>
  <c r="L90" i="2194"/>
  <c r="J90" i="2194"/>
  <c r="I90" i="2194"/>
  <c r="H90" i="2194"/>
  <c r="F90" i="2194"/>
  <c r="G90" i="2194" s="1"/>
  <c r="C90" i="2194"/>
  <c r="BN89" i="2194"/>
  <c r="BQ89" i="2194" s="1"/>
  <c r="AO89" i="2194"/>
  <c r="AP89" i="2194" s="1"/>
  <c r="AK89" i="2194"/>
  <c r="AF89" i="2194"/>
  <c r="Y89" i="2194"/>
  <c r="W89" i="2194"/>
  <c r="V89" i="2194"/>
  <c r="U89" i="2194"/>
  <c r="S89" i="2194"/>
  <c r="T89" i="2194" s="1"/>
  <c r="P89" i="2194"/>
  <c r="L89" i="2194"/>
  <c r="J89" i="2194"/>
  <c r="I89" i="2194"/>
  <c r="H89" i="2194"/>
  <c r="F89" i="2194"/>
  <c r="C89" i="2194"/>
  <c r="BN88" i="2194"/>
  <c r="BQ88" i="2194" s="1"/>
  <c r="AO88" i="2194"/>
  <c r="AP88" i="2194" s="1"/>
  <c r="AK88" i="2194"/>
  <c r="AF88" i="2194"/>
  <c r="Y88" i="2194"/>
  <c r="W88" i="2194"/>
  <c r="V88" i="2194"/>
  <c r="U88" i="2194"/>
  <c r="S88" i="2194"/>
  <c r="Q88" i="2194"/>
  <c r="P88" i="2194"/>
  <c r="L88" i="2194"/>
  <c r="J88" i="2194"/>
  <c r="I88" i="2194"/>
  <c r="H88" i="2194"/>
  <c r="F88" i="2194"/>
  <c r="AG88" i="2194" s="1"/>
  <c r="AI88" i="2194" s="1"/>
  <c r="BZ89" i="2194" s="1"/>
  <c r="C88" i="2194"/>
  <c r="BN87" i="2194"/>
  <c r="BO87" i="2194" s="1"/>
  <c r="AO87" i="2194"/>
  <c r="AP87" i="2194" s="1"/>
  <c r="AK87" i="2194"/>
  <c r="AF87" i="2194"/>
  <c r="Y87" i="2194"/>
  <c r="W87" i="2194"/>
  <c r="V87" i="2194"/>
  <c r="U87" i="2194"/>
  <c r="S87" i="2194"/>
  <c r="AL87" i="2194" s="1"/>
  <c r="AM87" i="2194" s="1"/>
  <c r="BY191" i="2194" s="1"/>
  <c r="P87" i="2194"/>
  <c r="L87" i="2194"/>
  <c r="J87" i="2194"/>
  <c r="I87" i="2194"/>
  <c r="H87" i="2194"/>
  <c r="F87" i="2194"/>
  <c r="AG87" i="2194" s="1"/>
  <c r="AH87" i="2194" s="1"/>
  <c r="BY88" i="2194" s="1"/>
  <c r="C87" i="2194"/>
  <c r="BN86" i="2194"/>
  <c r="AO86" i="2194"/>
  <c r="AK86" i="2194"/>
  <c r="AF86" i="2194"/>
  <c r="Y86" i="2194"/>
  <c r="W86" i="2194"/>
  <c r="V86" i="2194"/>
  <c r="U86" i="2194"/>
  <c r="S86" i="2194"/>
  <c r="T86" i="2194" s="1"/>
  <c r="P86" i="2194"/>
  <c r="L86" i="2194"/>
  <c r="J86" i="2194"/>
  <c r="I86" i="2194"/>
  <c r="H86" i="2194"/>
  <c r="F86" i="2194"/>
  <c r="C86" i="2194"/>
  <c r="BN85" i="2194"/>
  <c r="BQ85" i="2194" s="1"/>
  <c r="AO85" i="2194"/>
  <c r="AP85" i="2194" s="1"/>
  <c r="AK85" i="2194"/>
  <c r="AF85" i="2194"/>
  <c r="Y85" i="2194"/>
  <c r="W85" i="2194"/>
  <c r="V85" i="2194"/>
  <c r="U85" i="2194"/>
  <c r="S85" i="2194"/>
  <c r="AL85" i="2194" s="1"/>
  <c r="AN85" i="2194" s="1"/>
  <c r="BZ189" i="2194" s="1"/>
  <c r="P85" i="2194"/>
  <c r="L85" i="2194"/>
  <c r="J85" i="2194"/>
  <c r="I85" i="2194"/>
  <c r="H85" i="2194"/>
  <c r="F85" i="2194"/>
  <c r="G85" i="2194" s="1"/>
  <c r="CG94" i="2194" s="1"/>
  <c r="C85" i="2194"/>
  <c r="BN84" i="2194"/>
  <c r="AO84" i="2194"/>
  <c r="AK84" i="2194"/>
  <c r="AF84" i="2194"/>
  <c r="Y84" i="2194"/>
  <c r="W84" i="2194"/>
  <c r="V84" i="2194"/>
  <c r="U84" i="2194"/>
  <c r="S84" i="2194"/>
  <c r="T84" i="2194" s="1"/>
  <c r="P84" i="2194"/>
  <c r="L84" i="2194"/>
  <c r="J84" i="2194"/>
  <c r="I84" i="2194"/>
  <c r="H84" i="2194"/>
  <c r="F84" i="2194"/>
  <c r="C84" i="2194"/>
  <c r="BN83" i="2194"/>
  <c r="BQ83" i="2194" s="1"/>
  <c r="AO83" i="2194"/>
  <c r="AP83" i="2194" s="1"/>
  <c r="AK83" i="2194"/>
  <c r="AF83" i="2194"/>
  <c r="Y83" i="2194"/>
  <c r="W83" i="2194"/>
  <c r="V83" i="2194"/>
  <c r="U83" i="2194"/>
  <c r="S83" i="2194"/>
  <c r="AL83" i="2194" s="1"/>
  <c r="P83" i="2194"/>
  <c r="L83" i="2194"/>
  <c r="J83" i="2194"/>
  <c r="I83" i="2194"/>
  <c r="H83" i="2194"/>
  <c r="F83" i="2194"/>
  <c r="AG83" i="2194" s="1"/>
  <c r="AI83" i="2194" s="1"/>
  <c r="BZ84" i="2194" s="1"/>
  <c r="C83" i="2194"/>
  <c r="BN82" i="2194"/>
  <c r="BQ82" i="2194" s="1"/>
  <c r="AO82" i="2194"/>
  <c r="AP82" i="2194" s="1"/>
  <c r="AK82" i="2194"/>
  <c r="AF82" i="2194"/>
  <c r="Y82" i="2194"/>
  <c r="W82" i="2194"/>
  <c r="V82" i="2194"/>
  <c r="U82" i="2194"/>
  <c r="S82" i="2194"/>
  <c r="AL82" i="2194" s="1"/>
  <c r="P82" i="2194"/>
  <c r="L82" i="2194"/>
  <c r="J82" i="2194"/>
  <c r="I82" i="2194"/>
  <c r="H82" i="2194"/>
  <c r="F82" i="2194"/>
  <c r="G82" i="2194" s="1"/>
  <c r="C82" i="2194"/>
  <c r="BN81" i="2194"/>
  <c r="BQ81" i="2194" s="1"/>
  <c r="AO81" i="2194"/>
  <c r="AP81" i="2194" s="1"/>
  <c r="AK81" i="2194"/>
  <c r="AF81" i="2194"/>
  <c r="Y81" i="2194"/>
  <c r="W81" i="2194"/>
  <c r="V81" i="2194"/>
  <c r="U81" i="2194"/>
  <c r="S81" i="2194"/>
  <c r="AL81" i="2194" s="1"/>
  <c r="AN81" i="2194" s="1"/>
  <c r="BZ185" i="2194" s="1"/>
  <c r="P81" i="2194"/>
  <c r="L81" i="2194"/>
  <c r="J81" i="2194"/>
  <c r="I81" i="2194"/>
  <c r="H81" i="2194"/>
  <c r="F81" i="2194"/>
  <c r="G81" i="2194" s="1"/>
  <c r="CG90" i="2194" s="1"/>
  <c r="C81" i="2194"/>
  <c r="BN80" i="2194"/>
  <c r="BQ80" i="2194" s="1"/>
  <c r="AO80" i="2194"/>
  <c r="D80" i="2194" s="1"/>
  <c r="AK80" i="2194"/>
  <c r="AF80" i="2194"/>
  <c r="Y80" i="2194"/>
  <c r="W80" i="2194"/>
  <c r="V80" i="2194"/>
  <c r="U80" i="2194"/>
  <c r="S80" i="2194"/>
  <c r="T80" i="2194" s="1"/>
  <c r="P80" i="2194"/>
  <c r="L80" i="2194"/>
  <c r="J80" i="2194"/>
  <c r="I80" i="2194"/>
  <c r="H80" i="2194"/>
  <c r="F80" i="2194"/>
  <c r="AG80" i="2194" s="1"/>
  <c r="AH80" i="2194" s="1"/>
  <c r="BY81" i="2194" s="1"/>
  <c r="C80" i="2194"/>
  <c r="BN79" i="2194"/>
  <c r="BQ79" i="2194" s="1"/>
  <c r="AO79" i="2194"/>
  <c r="AP79" i="2194" s="1"/>
  <c r="AK79" i="2194"/>
  <c r="AF79" i="2194"/>
  <c r="Y79" i="2194"/>
  <c r="W79" i="2194"/>
  <c r="V79" i="2194"/>
  <c r="U79" i="2194"/>
  <c r="S79" i="2194"/>
  <c r="T79" i="2194" s="1"/>
  <c r="P79" i="2194"/>
  <c r="L79" i="2194"/>
  <c r="J79" i="2194"/>
  <c r="I79" i="2194"/>
  <c r="H79" i="2194"/>
  <c r="F79" i="2194"/>
  <c r="AG79" i="2194" s="1"/>
  <c r="C79" i="2194"/>
  <c r="BN78" i="2194"/>
  <c r="AO78" i="2194"/>
  <c r="AP78" i="2194" s="1"/>
  <c r="AK78" i="2194"/>
  <c r="AF78" i="2194"/>
  <c r="Y78" i="2194"/>
  <c r="W78" i="2194"/>
  <c r="V78" i="2194"/>
  <c r="U78" i="2194"/>
  <c r="S78" i="2194"/>
  <c r="AL78" i="2194" s="1"/>
  <c r="P78" i="2194"/>
  <c r="L78" i="2194"/>
  <c r="J78" i="2194"/>
  <c r="I78" i="2194"/>
  <c r="H78" i="2194"/>
  <c r="F78" i="2194"/>
  <c r="AG78" i="2194" s="1"/>
  <c r="C78" i="2194"/>
  <c r="BN77" i="2194"/>
  <c r="BQ77" i="2194" s="1"/>
  <c r="AO77" i="2194"/>
  <c r="D77" i="2194" s="1"/>
  <c r="AK77" i="2194"/>
  <c r="AF77" i="2194"/>
  <c r="Y77" i="2194"/>
  <c r="W77" i="2194"/>
  <c r="V77" i="2194"/>
  <c r="U77" i="2194"/>
  <c r="S77" i="2194"/>
  <c r="T77" i="2194" s="1"/>
  <c r="P77" i="2194"/>
  <c r="L77" i="2194"/>
  <c r="J77" i="2194"/>
  <c r="I77" i="2194"/>
  <c r="H77" i="2194"/>
  <c r="F77" i="2194"/>
  <c r="AG77" i="2194" s="1"/>
  <c r="AI77" i="2194" s="1"/>
  <c r="BZ78" i="2194" s="1"/>
  <c r="C77" i="2194"/>
  <c r="BN76" i="2194"/>
  <c r="AO76" i="2194"/>
  <c r="AP76" i="2194" s="1"/>
  <c r="AK76" i="2194"/>
  <c r="AF76" i="2194"/>
  <c r="Y76" i="2194"/>
  <c r="W76" i="2194"/>
  <c r="V76" i="2194"/>
  <c r="U76" i="2194"/>
  <c r="S76" i="2194"/>
  <c r="AL76" i="2194" s="1"/>
  <c r="P76" i="2194"/>
  <c r="L76" i="2194"/>
  <c r="J76" i="2194"/>
  <c r="I76" i="2194"/>
  <c r="H76" i="2194"/>
  <c r="F76" i="2194"/>
  <c r="AG76" i="2194" s="1"/>
  <c r="C76" i="2194"/>
  <c r="BN75" i="2194"/>
  <c r="BQ75" i="2194" s="1"/>
  <c r="AO75" i="2194"/>
  <c r="D75" i="2194" s="1"/>
  <c r="AK75" i="2194"/>
  <c r="AF75" i="2194"/>
  <c r="Y75" i="2194"/>
  <c r="W75" i="2194"/>
  <c r="V75" i="2194"/>
  <c r="U75" i="2194"/>
  <c r="S75" i="2194"/>
  <c r="T75" i="2194" s="1"/>
  <c r="P75" i="2194"/>
  <c r="L75" i="2194"/>
  <c r="J75" i="2194"/>
  <c r="I75" i="2194"/>
  <c r="H75" i="2194"/>
  <c r="F75" i="2194"/>
  <c r="AG75" i="2194" s="1"/>
  <c r="AI75" i="2194" s="1"/>
  <c r="BZ76" i="2194" s="1"/>
  <c r="C75" i="2194"/>
  <c r="BN74" i="2194"/>
  <c r="AO74" i="2194"/>
  <c r="AP74" i="2194" s="1"/>
  <c r="AK74" i="2194"/>
  <c r="AF74" i="2194"/>
  <c r="Y74" i="2194"/>
  <c r="W74" i="2194"/>
  <c r="V74" i="2194"/>
  <c r="U74" i="2194"/>
  <c r="S74" i="2194"/>
  <c r="AL74" i="2194" s="1"/>
  <c r="P74" i="2194"/>
  <c r="L74" i="2194"/>
  <c r="J74" i="2194"/>
  <c r="I74" i="2194"/>
  <c r="H74" i="2194"/>
  <c r="F74" i="2194"/>
  <c r="AG74" i="2194" s="1"/>
  <c r="C74" i="2194"/>
  <c r="BN73" i="2194"/>
  <c r="AO73" i="2194"/>
  <c r="D73" i="2194" s="1"/>
  <c r="AK73" i="2194"/>
  <c r="AF73" i="2194"/>
  <c r="Y73" i="2194"/>
  <c r="W73" i="2194"/>
  <c r="V73" i="2194"/>
  <c r="U73" i="2194"/>
  <c r="S73" i="2194"/>
  <c r="T73" i="2194" s="1"/>
  <c r="P73" i="2194"/>
  <c r="L73" i="2194"/>
  <c r="J73" i="2194"/>
  <c r="I73" i="2194"/>
  <c r="H73" i="2194"/>
  <c r="F73" i="2194"/>
  <c r="AG73" i="2194" s="1"/>
  <c r="AI73" i="2194" s="1"/>
  <c r="BZ74" i="2194" s="1"/>
  <c r="C73" i="2194"/>
  <c r="BN72" i="2194"/>
  <c r="AO72" i="2194"/>
  <c r="AP72" i="2194" s="1"/>
  <c r="AK72" i="2194"/>
  <c r="AF72" i="2194"/>
  <c r="Y72" i="2194"/>
  <c r="W72" i="2194"/>
  <c r="V72" i="2194"/>
  <c r="U72" i="2194"/>
  <c r="S72" i="2194"/>
  <c r="AL72" i="2194" s="1"/>
  <c r="P72" i="2194"/>
  <c r="L72" i="2194"/>
  <c r="J72" i="2194"/>
  <c r="I72" i="2194"/>
  <c r="H72" i="2194"/>
  <c r="F72" i="2194"/>
  <c r="AG72" i="2194" s="1"/>
  <c r="C72" i="2194"/>
  <c r="BN71" i="2194"/>
  <c r="BQ71" i="2194" s="1"/>
  <c r="AO71" i="2194"/>
  <c r="AP71" i="2194" s="1"/>
  <c r="AK71" i="2194"/>
  <c r="AF71" i="2194"/>
  <c r="Y71" i="2194"/>
  <c r="W71" i="2194"/>
  <c r="V71" i="2194"/>
  <c r="U71" i="2194"/>
  <c r="S71" i="2194"/>
  <c r="T71" i="2194" s="1"/>
  <c r="P71" i="2194"/>
  <c r="L71" i="2194"/>
  <c r="J71" i="2194"/>
  <c r="I71" i="2194"/>
  <c r="H71" i="2194"/>
  <c r="F71" i="2194"/>
  <c r="AG71" i="2194" s="1"/>
  <c r="AI71" i="2194" s="1"/>
  <c r="BZ72" i="2194" s="1"/>
  <c r="C71" i="2194"/>
  <c r="BN70" i="2194"/>
  <c r="AO70" i="2194"/>
  <c r="AP70" i="2194" s="1"/>
  <c r="AK70" i="2194"/>
  <c r="AF70" i="2194"/>
  <c r="Y70" i="2194"/>
  <c r="W70" i="2194"/>
  <c r="V70" i="2194"/>
  <c r="U70" i="2194"/>
  <c r="S70" i="2194"/>
  <c r="AL70" i="2194" s="1"/>
  <c r="P70" i="2194"/>
  <c r="L70" i="2194"/>
  <c r="J70" i="2194"/>
  <c r="I70" i="2194"/>
  <c r="H70" i="2194"/>
  <c r="F70" i="2194"/>
  <c r="AG70" i="2194" s="1"/>
  <c r="C70" i="2194"/>
  <c r="BN69" i="2194"/>
  <c r="BQ69" i="2194" s="1"/>
  <c r="AO69" i="2194"/>
  <c r="AP69" i="2194" s="1"/>
  <c r="AK69" i="2194"/>
  <c r="AF69" i="2194"/>
  <c r="Y69" i="2194"/>
  <c r="W69" i="2194"/>
  <c r="V69" i="2194"/>
  <c r="U69" i="2194"/>
  <c r="S69" i="2194"/>
  <c r="T69" i="2194" s="1"/>
  <c r="P69" i="2194"/>
  <c r="L69" i="2194"/>
  <c r="J69" i="2194"/>
  <c r="I69" i="2194"/>
  <c r="H69" i="2194"/>
  <c r="F69" i="2194"/>
  <c r="G69" i="2194" s="1"/>
  <c r="C69" i="2194"/>
  <c r="BN68" i="2194"/>
  <c r="AO68" i="2194"/>
  <c r="AP68" i="2194" s="1"/>
  <c r="AK68" i="2194"/>
  <c r="AF68" i="2194"/>
  <c r="Y68" i="2194"/>
  <c r="W68" i="2194"/>
  <c r="V68" i="2194"/>
  <c r="U68" i="2194"/>
  <c r="S68" i="2194"/>
  <c r="T68" i="2194" s="1"/>
  <c r="P68" i="2194"/>
  <c r="L68" i="2194"/>
  <c r="J68" i="2194"/>
  <c r="I68" i="2194"/>
  <c r="H68" i="2194"/>
  <c r="F68" i="2194"/>
  <c r="AG68" i="2194" s="1"/>
  <c r="C68" i="2194"/>
  <c r="BN67" i="2194"/>
  <c r="BO67" i="2194" s="1"/>
  <c r="AO67" i="2194"/>
  <c r="AP67" i="2194" s="1"/>
  <c r="AK67" i="2194"/>
  <c r="AF67" i="2194"/>
  <c r="Y67" i="2194"/>
  <c r="W67" i="2194"/>
  <c r="V67" i="2194"/>
  <c r="U67" i="2194"/>
  <c r="S67" i="2194"/>
  <c r="T67" i="2194" s="1"/>
  <c r="P67" i="2194"/>
  <c r="L67" i="2194"/>
  <c r="J67" i="2194"/>
  <c r="I67" i="2194"/>
  <c r="H67" i="2194"/>
  <c r="F67" i="2194"/>
  <c r="AG67" i="2194" s="1"/>
  <c r="C67" i="2194"/>
  <c r="BN66" i="2194"/>
  <c r="AO66" i="2194"/>
  <c r="AP66" i="2194" s="1"/>
  <c r="AK66" i="2194"/>
  <c r="AF66" i="2194"/>
  <c r="Y66" i="2194"/>
  <c r="W66" i="2194"/>
  <c r="V66" i="2194"/>
  <c r="U66" i="2194"/>
  <c r="S66" i="2194"/>
  <c r="T66" i="2194" s="1"/>
  <c r="P66" i="2194"/>
  <c r="L66" i="2194"/>
  <c r="J66" i="2194"/>
  <c r="I66" i="2194"/>
  <c r="H66" i="2194"/>
  <c r="F66" i="2194"/>
  <c r="G66" i="2194" s="1"/>
  <c r="C66" i="2194"/>
  <c r="BN65" i="2194"/>
  <c r="BQ65" i="2194" s="1"/>
  <c r="AO65" i="2194"/>
  <c r="AP65" i="2194" s="1"/>
  <c r="AK65" i="2194"/>
  <c r="AF65" i="2194"/>
  <c r="Y65" i="2194"/>
  <c r="W65" i="2194"/>
  <c r="V65" i="2194"/>
  <c r="U65" i="2194"/>
  <c r="S65" i="2194"/>
  <c r="T65" i="2194" s="1"/>
  <c r="P65" i="2194"/>
  <c r="L65" i="2194"/>
  <c r="J65" i="2194"/>
  <c r="I65" i="2194"/>
  <c r="H65" i="2194"/>
  <c r="F65" i="2194"/>
  <c r="G65" i="2194" s="1"/>
  <c r="C65" i="2194"/>
  <c r="BN64" i="2194"/>
  <c r="BO64" i="2194" s="1"/>
  <c r="AO64" i="2194"/>
  <c r="AP64" i="2194" s="1"/>
  <c r="AK64" i="2194"/>
  <c r="AF64" i="2194"/>
  <c r="Y64" i="2194"/>
  <c r="W64" i="2194"/>
  <c r="V64" i="2194"/>
  <c r="U64" i="2194"/>
  <c r="S64" i="2194"/>
  <c r="T64" i="2194" s="1"/>
  <c r="P64" i="2194"/>
  <c r="L64" i="2194"/>
  <c r="J64" i="2194"/>
  <c r="I64" i="2194"/>
  <c r="H64" i="2194"/>
  <c r="F64" i="2194"/>
  <c r="AG64" i="2194" s="1"/>
  <c r="C64" i="2194"/>
  <c r="BN63" i="2194"/>
  <c r="AO63" i="2194"/>
  <c r="AP63" i="2194" s="1"/>
  <c r="AK63" i="2194"/>
  <c r="AF63" i="2194"/>
  <c r="Y63" i="2194"/>
  <c r="W63" i="2194"/>
  <c r="V63" i="2194"/>
  <c r="U63" i="2194"/>
  <c r="S63" i="2194"/>
  <c r="T63" i="2194" s="1"/>
  <c r="P63" i="2194"/>
  <c r="L63" i="2194"/>
  <c r="J63" i="2194"/>
  <c r="I63" i="2194"/>
  <c r="H63" i="2194"/>
  <c r="F63" i="2194"/>
  <c r="AG63" i="2194" s="1"/>
  <c r="C63" i="2194"/>
  <c r="BN62" i="2194"/>
  <c r="AO62" i="2194"/>
  <c r="AP62" i="2194" s="1"/>
  <c r="AK62" i="2194"/>
  <c r="AF62" i="2194"/>
  <c r="Y62" i="2194"/>
  <c r="W62" i="2194"/>
  <c r="V62" i="2194"/>
  <c r="U62" i="2194"/>
  <c r="S62" i="2194"/>
  <c r="AL62" i="2194" s="1"/>
  <c r="AM62" i="2194" s="1"/>
  <c r="BY166" i="2194" s="1"/>
  <c r="P62" i="2194"/>
  <c r="L62" i="2194"/>
  <c r="J62" i="2194"/>
  <c r="I62" i="2194"/>
  <c r="H62" i="2194"/>
  <c r="F62" i="2194"/>
  <c r="G62" i="2194" s="1"/>
  <c r="C62" i="2194"/>
  <c r="BN61" i="2194"/>
  <c r="AK61" i="2194"/>
  <c r="AF61" i="2194"/>
  <c r="Y61" i="2194"/>
  <c r="W61" i="2194"/>
  <c r="V61" i="2194"/>
  <c r="U61" i="2194"/>
  <c r="S61" i="2194"/>
  <c r="T61" i="2194" s="1"/>
  <c r="P61" i="2194"/>
  <c r="L61" i="2194"/>
  <c r="J61" i="2194"/>
  <c r="I61" i="2194"/>
  <c r="H61" i="2194"/>
  <c r="F61" i="2194"/>
  <c r="C61" i="2194"/>
  <c r="BN60" i="2194"/>
  <c r="BQ60" i="2194" s="1"/>
  <c r="AK60" i="2194"/>
  <c r="AF60" i="2194"/>
  <c r="Y60" i="2194"/>
  <c r="W60" i="2194"/>
  <c r="V60" i="2194"/>
  <c r="U60" i="2194"/>
  <c r="S60" i="2194"/>
  <c r="T60" i="2194" s="1"/>
  <c r="P60" i="2194"/>
  <c r="L60" i="2194"/>
  <c r="J60" i="2194"/>
  <c r="I60" i="2194"/>
  <c r="H60" i="2194"/>
  <c r="F60" i="2194"/>
  <c r="C60" i="2194"/>
  <c r="BN59" i="2194"/>
  <c r="AK59" i="2194"/>
  <c r="AF59" i="2194"/>
  <c r="Y59" i="2194"/>
  <c r="W59" i="2194"/>
  <c r="V59" i="2194"/>
  <c r="U59" i="2194"/>
  <c r="S59" i="2194"/>
  <c r="T59" i="2194" s="1"/>
  <c r="P59" i="2194"/>
  <c r="L59" i="2194"/>
  <c r="J59" i="2194"/>
  <c r="I59" i="2194"/>
  <c r="H59" i="2194"/>
  <c r="F59" i="2194"/>
  <c r="AG59" i="2194" s="1"/>
  <c r="C59" i="2194"/>
  <c r="BN58" i="2194"/>
  <c r="AK58" i="2194"/>
  <c r="AF58" i="2194"/>
  <c r="Y58" i="2194"/>
  <c r="W58" i="2194"/>
  <c r="V58" i="2194"/>
  <c r="U58" i="2194"/>
  <c r="S58" i="2194"/>
  <c r="AL58" i="2194" s="1"/>
  <c r="P58" i="2194"/>
  <c r="L58" i="2194"/>
  <c r="J58" i="2194"/>
  <c r="I58" i="2194"/>
  <c r="H58" i="2194"/>
  <c r="F58" i="2194"/>
  <c r="AG58" i="2194" s="1"/>
  <c r="C58" i="2194"/>
  <c r="BN57" i="2194"/>
  <c r="BO57" i="2194" s="1"/>
  <c r="AK57" i="2194"/>
  <c r="AF57" i="2194"/>
  <c r="Y57" i="2194"/>
  <c r="W57" i="2194"/>
  <c r="V57" i="2194"/>
  <c r="U57" i="2194"/>
  <c r="S57" i="2194"/>
  <c r="T57" i="2194" s="1"/>
  <c r="P57" i="2194"/>
  <c r="L57" i="2194"/>
  <c r="J57" i="2194"/>
  <c r="I57" i="2194"/>
  <c r="H57" i="2194"/>
  <c r="F57" i="2194"/>
  <c r="C57" i="2194"/>
  <c r="BN56" i="2194"/>
  <c r="AK56" i="2194"/>
  <c r="AF56" i="2194"/>
  <c r="Y56" i="2194"/>
  <c r="W56" i="2194"/>
  <c r="V56" i="2194"/>
  <c r="U56" i="2194"/>
  <c r="S56" i="2194"/>
  <c r="T56" i="2194" s="1"/>
  <c r="P56" i="2194"/>
  <c r="L56" i="2194"/>
  <c r="J56" i="2194"/>
  <c r="I56" i="2194"/>
  <c r="H56" i="2194"/>
  <c r="F56" i="2194"/>
  <c r="C56" i="2194"/>
  <c r="BN55" i="2194"/>
  <c r="AK55" i="2194"/>
  <c r="AF55" i="2194"/>
  <c r="AD55" i="2194"/>
  <c r="AB55" i="2194"/>
  <c r="Y55" i="2194"/>
  <c r="W55" i="2194"/>
  <c r="V55" i="2194"/>
  <c r="U55" i="2194"/>
  <c r="S55" i="2194"/>
  <c r="AL55" i="2194" s="1"/>
  <c r="P55" i="2194"/>
  <c r="L55" i="2194"/>
  <c r="J55" i="2194"/>
  <c r="I55" i="2194"/>
  <c r="H55" i="2194"/>
  <c r="F55" i="2194"/>
  <c r="C55" i="2194"/>
  <c r="BN54" i="2194"/>
  <c r="BQ54" i="2194" s="1"/>
  <c r="AK54" i="2194"/>
  <c r="AF54" i="2194"/>
  <c r="AD54" i="2194"/>
  <c r="AB54" i="2194"/>
  <c r="Y54" i="2194"/>
  <c r="W54" i="2194"/>
  <c r="V54" i="2194"/>
  <c r="U54" i="2194"/>
  <c r="S54" i="2194"/>
  <c r="AL54" i="2194" s="1"/>
  <c r="AN54" i="2194" s="1"/>
  <c r="BZ158" i="2194" s="1"/>
  <c r="P54" i="2194"/>
  <c r="L54" i="2194"/>
  <c r="J54" i="2194"/>
  <c r="I54" i="2194"/>
  <c r="H54" i="2194"/>
  <c r="F54" i="2194"/>
  <c r="C54" i="2194"/>
  <c r="BN53" i="2194"/>
  <c r="AK53" i="2194"/>
  <c r="AF53" i="2194"/>
  <c r="AD53" i="2194"/>
  <c r="AB53" i="2194"/>
  <c r="Y53" i="2194"/>
  <c r="W53" i="2194"/>
  <c r="V53" i="2194"/>
  <c r="U53" i="2194"/>
  <c r="S53" i="2194"/>
  <c r="AL53" i="2194" s="1"/>
  <c r="P53" i="2194"/>
  <c r="L53" i="2194"/>
  <c r="J53" i="2194"/>
  <c r="I53" i="2194"/>
  <c r="H53" i="2194"/>
  <c r="F53" i="2194"/>
  <c r="C53" i="2194"/>
  <c r="BN52" i="2194"/>
  <c r="AK52" i="2194"/>
  <c r="AF52" i="2194"/>
  <c r="AD52" i="2194"/>
  <c r="AB52" i="2194"/>
  <c r="Y52" i="2194"/>
  <c r="W52" i="2194"/>
  <c r="V52" i="2194"/>
  <c r="U52" i="2194"/>
  <c r="S52" i="2194"/>
  <c r="AL52" i="2194" s="1"/>
  <c r="P52" i="2194"/>
  <c r="L52" i="2194"/>
  <c r="J52" i="2194"/>
  <c r="I52" i="2194"/>
  <c r="H52" i="2194"/>
  <c r="F52" i="2194"/>
  <c r="AG52" i="2194" s="1"/>
  <c r="C52" i="2194"/>
  <c r="BN51" i="2194"/>
  <c r="AK51" i="2194"/>
  <c r="AF51" i="2194"/>
  <c r="AD51" i="2194"/>
  <c r="AB51" i="2194"/>
  <c r="Y51" i="2194"/>
  <c r="W51" i="2194"/>
  <c r="V51" i="2194"/>
  <c r="U51" i="2194"/>
  <c r="S51" i="2194"/>
  <c r="AL51" i="2194" s="1"/>
  <c r="P51" i="2194"/>
  <c r="L51" i="2194"/>
  <c r="J51" i="2194"/>
  <c r="I51" i="2194"/>
  <c r="H51" i="2194"/>
  <c r="F51" i="2194"/>
  <c r="C51" i="2194"/>
  <c r="BN50" i="2194"/>
  <c r="AK50" i="2194"/>
  <c r="AF50" i="2194"/>
  <c r="AD50" i="2194"/>
  <c r="AB50" i="2194"/>
  <c r="Y50" i="2194"/>
  <c r="W50" i="2194"/>
  <c r="V50" i="2194"/>
  <c r="U50" i="2194"/>
  <c r="S50" i="2194"/>
  <c r="AL50" i="2194" s="1"/>
  <c r="AN50" i="2194" s="1"/>
  <c r="BZ154" i="2194" s="1"/>
  <c r="P50" i="2194"/>
  <c r="L50" i="2194"/>
  <c r="J50" i="2194"/>
  <c r="I50" i="2194"/>
  <c r="H50" i="2194"/>
  <c r="F50" i="2194"/>
  <c r="C50" i="2194"/>
  <c r="BN49" i="2194"/>
  <c r="AK49" i="2194"/>
  <c r="AF49" i="2194"/>
  <c r="AD49" i="2194"/>
  <c r="AB49" i="2194"/>
  <c r="Y49" i="2194"/>
  <c r="W49" i="2194"/>
  <c r="V49" i="2194"/>
  <c r="U49" i="2194"/>
  <c r="S49" i="2194"/>
  <c r="AL49" i="2194" s="1"/>
  <c r="P49" i="2194"/>
  <c r="L49" i="2194"/>
  <c r="J49" i="2194"/>
  <c r="I49" i="2194"/>
  <c r="H49" i="2194"/>
  <c r="F49" i="2194"/>
  <c r="C49" i="2194"/>
  <c r="BN48" i="2194"/>
  <c r="AK48" i="2194"/>
  <c r="AF48" i="2194"/>
  <c r="AD48" i="2194"/>
  <c r="AB48" i="2194"/>
  <c r="Y48" i="2194"/>
  <c r="W48" i="2194"/>
  <c r="V48" i="2194"/>
  <c r="U48" i="2194"/>
  <c r="S48" i="2194"/>
  <c r="AL48" i="2194" s="1"/>
  <c r="P48" i="2194"/>
  <c r="L48" i="2194"/>
  <c r="J48" i="2194"/>
  <c r="I48" i="2194"/>
  <c r="H48" i="2194"/>
  <c r="F48" i="2194"/>
  <c r="AG48" i="2194" s="1"/>
  <c r="C48" i="2194"/>
  <c r="BN47" i="2194"/>
  <c r="AK47" i="2194"/>
  <c r="AF47" i="2194"/>
  <c r="AD47" i="2194"/>
  <c r="AB47" i="2194"/>
  <c r="Y47" i="2194"/>
  <c r="W47" i="2194"/>
  <c r="V47" i="2194"/>
  <c r="U47" i="2194"/>
  <c r="S47" i="2194"/>
  <c r="AL47" i="2194" s="1"/>
  <c r="P47" i="2194"/>
  <c r="L47" i="2194"/>
  <c r="J47" i="2194"/>
  <c r="I47" i="2194"/>
  <c r="H47" i="2194"/>
  <c r="F47" i="2194"/>
  <c r="C47" i="2194"/>
  <c r="BN46" i="2194"/>
  <c r="BQ46" i="2194" s="1"/>
  <c r="AK46" i="2194"/>
  <c r="AF46" i="2194"/>
  <c r="AD46" i="2194"/>
  <c r="AB46" i="2194"/>
  <c r="Y46" i="2194"/>
  <c r="W46" i="2194"/>
  <c r="V46" i="2194"/>
  <c r="U46" i="2194"/>
  <c r="S46" i="2194"/>
  <c r="T46" i="2194" s="1"/>
  <c r="P46" i="2194"/>
  <c r="L46" i="2194"/>
  <c r="J46" i="2194"/>
  <c r="I46" i="2194"/>
  <c r="H46" i="2194"/>
  <c r="F46" i="2194"/>
  <c r="C46" i="2194"/>
  <c r="BN45" i="2194"/>
  <c r="AK45" i="2194"/>
  <c r="AF45" i="2194"/>
  <c r="AD45" i="2194"/>
  <c r="AB45" i="2194"/>
  <c r="Y45" i="2194"/>
  <c r="W45" i="2194"/>
  <c r="V45" i="2194"/>
  <c r="U45" i="2194"/>
  <c r="S45" i="2194"/>
  <c r="AL45" i="2194" s="1"/>
  <c r="P45" i="2194"/>
  <c r="L45" i="2194"/>
  <c r="J45" i="2194"/>
  <c r="I45" i="2194"/>
  <c r="H45" i="2194"/>
  <c r="F45" i="2194"/>
  <c r="AG45" i="2194" s="1"/>
  <c r="C45" i="2194"/>
  <c r="BN44" i="2194"/>
  <c r="BO44" i="2194" s="1"/>
  <c r="AK44" i="2194"/>
  <c r="AF44" i="2194"/>
  <c r="AD44" i="2194"/>
  <c r="AB44" i="2194"/>
  <c r="Y44" i="2194"/>
  <c r="W44" i="2194"/>
  <c r="V44" i="2194"/>
  <c r="U44" i="2194"/>
  <c r="S44" i="2194"/>
  <c r="AL44" i="2194" s="1"/>
  <c r="P44" i="2194"/>
  <c r="L44" i="2194"/>
  <c r="J44" i="2194"/>
  <c r="I44" i="2194"/>
  <c r="H44" i="2194"/>
  <c r="F44" i="2194"/>
  <c r="C44" i="2194"/>
  <c r="BN43" i="2194"/>
  <c r="AK43" i="2194"/>
  <c r="AF43" i="2194"/>
  <c r="AD43" i="2194"/>
  <c r="AB43" i="2194"/>
  <c r="Y43" i="2194"/>
  <c r="W43" i="2194"/>
  <c r="V43" i="2194"/>
  <c r="U43" i="2194"/>
  <c r="S43" i="2194"/>
  <c r="AL43" i="2194" s="1"/>
  <c r="AN43" i="2194" s="1"/>
  <c r="BZ147" i="2194" s="1"/>
  <c r="P43" i="2194"/>
  <c r="L43" i="2194"/>
  <c r="J43" i="2194"/>
  <c r="I43" i="2194"/>
  <c r="H43" i="2194"/>
  <c r="F43" i="2194"/>
  <c r="C43" i="2194"/>
  <c r="BN42" i="2194"/>
  <c r="BQ42" i="2194" s="1"/>
  <c r="AK42" i="2194"/>
  <c r="AF42" i="2194"/>
  <c r="Y42" i="2194"/>
  <c r="W42" i="2194"/>
  <c r="V42" i="2194"/>
  <c r="U42" i="2194"/>
  <c r="S42" i="2194"/>
  <c r="T42" i="2194" s="1"/>
  <c r="P42" i="2194"/>
  <c r="L42" i="2194"/>
  <c r="J42" i="2194"/>
  <c r="I42" i="2194"/>
  <c r="H42" i="2194"/>
  <c r="F42" i="2194"/>
  <c r="C42" i="2194"/>
  <c r="BN41" i="2194"/>
  <c r="AK41" i="2194"/>
  <c r="AF41" i="2194"/>
  <c r="Y41" i="2194"/>
  <c r="W41" i="2194"/>
  <c r="V41" i="2194"/>
  <c r="U41" i="2194"/>
  <c r="S41" i="2194"/>
  <c r="P41" i="2194"/>
  <c r="L41" i="2194"/>
  <c r="J41" i="2194"/>
  <c r="I41" i="2194"/>
  <c r="H41" i="2194"/>
  <c r="F41" i="2194"/>
  <c r="AG41" i="2194" s="1"/>
  <c r="C41" i="2194"/>
  <c r="BN40" i="2194"/>
  <c r="BO40" i="2194" s="1"/>
  <c r="AK40" i="2194"/>
  <c r="AF40" i="2194"/>
  <c r="Y40" i="2194"/>
  <c r="W40" i="2194"/>
  <c r="V40" i="2194"/>
  <c r="U40" i="2194"/>
  <c r="S40" i="2194"/>
  <c r="AL40" i="2194" s="1"/>
  <c r="AM40" i="2194" s="1"/>
  <c r="BY144" i="2194" s="1"/>
  <c r="P40" i="2194"/>
  <c r="L40" i="2194"/>
  <c r="J40" i="2194"/>
  <c r="I40" i="2194"/>
  <c r="H40" i="2194"/>
  <c r="F40" i="2194"/>
  <c r="C40" i="2194"/>
  <c r="BN39" i="2194"/>
  <c r="BO39" i="2194" s="1"/>
  <c r="AK39" i="2194"/>
  <c r="AF39" i="2194"/>
  <c r="Y39" i="2194"/>
  <c r="W39" i="2194"/>
  <c r="V39" i="2194"/>
  <c r="U39" i="2194"/>
  <c r="S39" i="2194"/>
  <c r="AL39" i="2194" s="1"/>
  <c r="P39" i="2194"/>
  <c r="L39" i="2194"/>
  <c r="J39" i="2194"/>
  <c r="I39" i="2194"/>
  <c r="H39" i="2194"/>
  <c r="F39" i="2194"/>
  <c r="C39" i="2194"/>
  <c r="BN38" i="2194"/>
  <c r="BQ38" i="2194" s="1"/>
  <c r="AK38" i="2194"/>
  <c r="AF38" i="2194"/>
  <c r="Y38" i="2194"/>
  <c r="W38" i="2194"/>
  <c r="V38" i="2194"/>
  <c r="U38" i="2194"/>
  <c r="S38" i="2194"/>
  <c r="AL38" i="2194" s="1"/>
  <c r="P38" i="2194"/>
  <c r="L38" i="2194"/>
  <c r="J38" i="2194"/>
  <c r="I38" i="2194"/>
  <c r="H38" i="2194"/>
  <c r="F38" i="2194"/>
  <c r="AG38" i="2194" s="1"/>
  <c r="C38" i="2194"/>
  <c r="BN37" i="2194"/>
  <c r="BO37" i="2194" s="1"/>
  <c r="AK37" i="2194"/>
  <c r="AF37" i="2194"/>
  <c r="Y37" i="2194"/>
  <c r="W37" i="2194"/>
  <c r="V37" i="2194"/>
  <c r="U37" i="2194"/>
  <c r="S37" i="2194"/>
  <c r="T37" i="2194" s="1"/>
  <c r="P37" i="2194"/>
  <c r="L37" i="2194"/>
  <c r="J37" i="2194"/>
  <c r="I37" i="2194"/>
  <c r="H37" i="2194"/>
  <c r="F37" i="2194"/>
  <c r="C37" i="2194"/>
  <c r="BN36" i="2194"/>
  <c r="BQ36" i="2194" s="1"/>
  <c r="AK36" i="2194"/>
  <c r="AF36" i="2194"/>
  <c r="Y36" i="2194"/>
  <c r="W36" i="2194"/>
  <c r="V36" i="2194"/>
  <c r="U36" i="2194"/>
  <c r="S36" i="2194"/>
  <c r="AL36" i="2194" s="1"/>
  <c r="P36" i="2194"/>
  <c r="L36" i="2194"/>
  <c r="J36" i="2194"/>
  <c r="I36" i="2194"/>
  <c r="H36" i="2194"/>
  <c r="F36" i="2194"/>
  <c r="AG36" i="2194" s="1"/>
  <c r="C36" i="2194"/>
  <c r="BN35" i="2194"/>
  <c r="BO35" i="2194" s="1"/>
  <c r="AK35" i="2194"/>
  <c r="AF35" i="2194"/>
  <c r="Y35" i="2194"/>
  <c r="W35" i="2194"/>
  <c r="V35" i="2194"/>
  <c r="U35" i="2194"/>
  <c r="S35" i="2194"/>
  <c r="T35" i="2194" s="1"/>
  <c r="P35" i="2194"/>
  <c r="L35" i="2194"/>
  <c r="J35" i="2194"/>
  <c r="I35" i="2194"/>
  <c r="H35" i="2194"/>
  <c r="F35" i="2194"/>
  <c r="AG35" i="2194" s="1"/>
  <c r="C35" i="2194"/>
  <c r="BN34" i="2194"/>
  <c r="BQ34" i="2194" s="1"/>
  <c r="AK34" i="2194"/>
  <c r="AF34" i="2194"/>
  <c r="Y34" i="2194"/>
  <c r="W34" i="2194"/>
  <c r="V34" i="2194"/>
  <c r="U34" i="2194"/>
  <c r="S34" i="2194"/>
  <c r="T34" i="2194" s="1"/>
  <c r="P34" i="2194"/>
  <c r="L34" i="2194"/>
  <c r="J34" i="2194"/>
  <c r="I34" i="2194"/>
  <c r="H34" i="2194"/>
  <c r="F34" i="2194"/>
  <c r="C34" i="2194"/>
  <c r="BN33" i="2194"/>
  <c r="BQ33" i="2194" s="1"/>
  <c r="AK33" i="2194"/>
  <c r="AF33" i="2194"/>
  <c r="Y33" i="2194"/>
  <c r="W33" i="2194"/>
  <c r="V33" i="2194"/>
  <c r="U33" i="2194"/>
  <c r="S33" i="2194"/>
  <c r="T33" i="2194" s="1"/>
  <c r="P33" i="2194"/>
  <c r="L33" i="2194"/>
  <c r="J33" i="2194"/>
  <c r="I33" i="2194"/>
  <c r="H33" i="2194"/>
  <c r="F33" i="2194"/>
  <c r="AG33" i="2194" s="1"/>
  <c r="C33" i="2194"/>
  <c r="BN32" i="2194"/>
  <c r="BQ32" i="2194" s="1"/>
  <c r="AK32" i="2194"/>
  <c r="AF32" i="2194"/>
  <c r="Y32" i="2194"/>
  <c r="W32" i="2194"/>
  <c r="V32" i="2194"/>
  <c r="U32" i="2194"/>
  <c r="S32" i="2194"/>
  <c r="AL32" i="2194" s="1"/>
  <c r="P32" i="2194"/>
  <c r="L32" i="2194"/>
  <c r="J32" i="2194"/>
  <c r="I32" i="2194"/>
  <c r="H32" i="2194"/>
  <c r="F32" i="2194"/>
  <c r="AG32" i="2194" s="1"/>
  <c r="C32" i="2194"/>
  <c r="BN31" i="2194"/>
  <c r="BM31" i="2194" s="1"/>
  <c r="AK31" i="2194"/>
  <c r="AF31" i="2194"/>
  <c r="Y31" i="2194"/>
  <c r="W31" i="2194"/>
  <c r="V31" i="2194"/>
  <c r="U31" i="2194"/>
  <c r="S31" i="2194"/>
  <c r="T31" i="2194" s="1"/>
  <c r="P31" i="2194"/>
  <c r="L31" i="2194"/>
  <c r="J31" i="2194"/>
  <c r="I31" i="2194"/>
  <c r="H31" i="2194"/>
  <c r="F31" i="2194"/>
  <c r="AG31" i="2194" s="1"/>
  <c r="C31" i="2194"/>
  <c r="BN30" i="2194"/>
  <c r="BQ30" i="2194" s="1"/>
  <c r="AK30" i="2194"/>
  <c r="AF30" i="2194"/>
  <c r="Y30" i="2194"/>
  <c r="W30" i="2194"/>
  <c r="V30" i="2194"/>
  <c r="U30" i="2194"/>
  <c r="S30" i="2194"/>
  <c r="AL30" i="2194" s="1"/>
  <c r="P30" i="2194"/>
  <c r="L30" i="2194"/>
  <c r="J30" i="2194"/>
  <c r="I30" i="2194"/>
  <c r="H30" i="2194"/>
  <c r="F30" i="2194"/>
  <c r="AG30" i="2194" s="1"/>
  <c r="C30" i="2194"/>
  <c r="BN29" i="2194"/>
  <c r="BQ29" i="2194" s="1"/>
  <c r="AK29" i="2194"/>
  <c r="AF29" i="2194"/>
  <c r="Y29" i="2194"/>
  <c r="W29" i="2194"/>
  <c r="V29" i="2194"/>
  <c r="U29" i="2194"/>
  <c r="S29" i="2194"/>
  <c r="AL29" i="2194" s="1"/>
  <c r="P29" i="2194"/>
  <c r="L29" i="2194"/>
  <c r="J29" i="2194"/>
  <c r="I29" i="2194"/>
  <c r="H29" i="2194"/>
  <c r="F29" i="2194"/>
  <c r="AG29" i="2194" s="1"/>
  <c r="C29" i="2194"/>
  <c r="BN28" i="2194"/>
  <c r="BO28" i="2194" s="1"/>
  <c r="AK28" i="2194"/>
  <c r="AF28" i="2194"/>
  <c r="Y28" i="2194"/>
  <c r="W28" i="2194"/>
  <c r="V28" i="2194"/>
  <c r="U28" i="2194"/>
  <c r="S28" i="2194"/>
  <c r="T28" i="2194" s="1"/>
  <c r="P28" i="2194"/>
  <c r="L28" i="2194"/>
  <c r="J28" i="2194"/>
  <c r="I28" i="2194"/>
  <c r="H28" i="2194"/>
  <c r="F28" i="2194"/>
  <c r="AG28" i="2194" s="1"/>
  <c r="C28" i="2194"/>
  <c r="BN27" i="2194"/>
  <c r="BO27" i="2194" s="1"/>
  <c r="AK27" i="2194"/>
  <c r="AF27" i="2194"/>
  <c r="Y27" i="2194"/>
  <c r="W27" i="2194"/>
  <c r="V27" i="2194"/>
  <c r="U27" i="2194"/>
  <c r="S27" i="2194"/>
  <c r="T27" i="2194" s="1"/>
  <c r="P27" i="2194"/>
  <c r="L27" i="2194"/>
  <c r="J27" i="2194"/>
  <c r="I27" i="2194"/>
  <c r="H27" i="2194"/>
  <c r="F27" i="2194"/>
  <c r="AG27" i="2194" s="1"/>
  <c r="C27" i="2194"/>
  <c r="BN26" i="2194"/>
  <c r="BM26" i="2194" s="1"/>
  <c r="AK26" i="2194"/>
  <c r="AF26" i="2194"/>
  <c r="Y26" i="2194"/>
  <c r="W26" i="2194"/>
  <c r="V26" i="2194"/>
  <c r="U26" i="2194"/>
  <c r="S26" i="2194"/>
  <c r="T26" i="2194" s="1"/>
  <c r="P26" i="2194"/>
  <c r="L26" i="2194"/>
  <c r="J26" i="2194"/>
  <c r="I26" i="2194"/>
  <c r="H26" i="2194"/>
  <c r="F26" i="2194"/>
  <c r="C26" i="2194"/>
  <c r="BN25" i="2194"/>
  <c r="AK25" i="2194"/>
  <c r="AF25" i="2194"/>
  <c r="Y25" i="2194"/>
  <c r="W25" i="2194"/>
  <c r="V25" i="2194"/>
  <c r="U25" i="2194"/>
  <c r="S25" i="2194"/>
  <c r="T25" i="2194" s="1"/>
  <c r="P25" i="2194"/>
  <c r="L25" i="2194"/>
  <c r="J25" i="2194"/>
  <c r="I25" i="2194"/>
  <c r="H25" i="2194"/>
  <c r="F25" i="2194"/>
  <c r="C25" i="2194"/>
  <c r="BN24" i="2194"/>
  <c r="BO24" i="2194" s="1"/>
  <c r="AK24" i="2194"/>
  <c r="AF24" i="2194"/>
  <c r="Y24" i="2194"/>
  <c r="W24" i="2194"/>
  <c r="V24" i="2194"/>
  <c r="U24" i="2194"/>
  <c r="S24" i="2194"/>
  <c r="T24" i="2194" s="1"/>
  <c r="P24" i="2194"/>
  <c r="L24" i="2194"/>
  <c r="J24" i="2194"/>
  <c r="I24" i="2194"/>
  <c r="H24" i="2194"/>
  <c r="F24" i="2194"/>
  <c r="AG24" i="2194" s="1"/>
  <c r="C24" i="2194"/>
  <c r="BN23" i="2194"/>
  <c r="BO23" i="2194" s="1"/>
  <c r="AK23" i="2194"/>
  <c r="AF23" i="2194"/>
  <c r="Y23" i="2194"/>
  <c r="W23" i="2194"/>
  <c r="V23" i="2194"/>
  <c r="U23" i="2194"/>
  <c r="S23" i="2194"/>
  <c r="T23" i="2194" s="1"/>
  <c r="P23" i="2194"/>
  <c r="L23" i="2194"/>
  <c r="J23" i="2194"/>
  <c r="I23" i="2194"/>
  <c r="H23" i="2194"/>
  <c r="F23" i="2194"/>
  <c r="AG23" i="2194" s="1"/>
  <c r="C23" i="2194"/>
  <c r="BN22" i="2194"/>
  <c r="BO22" i="2194" s="1"/>
  <c r="AK22" i="2194"/>
  <c r="AF22" i="2194"/>
  <c r="Y22" i="2194"/>
  <c r="W22" i="2194"/>
  <c r="V22" i="2194"/>
  <c r="U22" i="2194"/>
  <c r="S22" i="2194"/>
  <c r="T22" i="2194" s="1"/>
  <c r="P22" i="2194"/>
  <c r="L22" i="2194"/>
  <c r="J22" i="2194"/>
  <c r="I22" i="2194"/>
  <c r="H22" i="2194"/>
  <c r="F22" i="2194"/>
  <c r="C22" i="2194"/>
  <c r="BN21" i="2194"/>
  <c r="BQ21" i="2194" s="1"/>
  <c r="AK21" i="2194"/>
  <c r="AF21" i="2194"/>
  <c r="Y21" i="2194"/>
  <c r="W21" i="2194"/>
  <c r="V21" i="2194"/>
  <c r="U21" i="2194"/>
  <c r="S21" i="2194"/>
  <c r="T21" i="2194" s="1"/>
  <c r="P21" i="2194"/>
  <c r="L21" i="2194"/>
  <c r="J21" i="2194"/>
  <c r="I21" i="2194"/>
  <c r="H21" i="2194"/>
  <c r="F21" i="2194"/>
  <c r="C21" i="2194"/>
  <c r="BN20" i="2194"/>
  <c r="BO20" i="2194" s="1"/>
  <c r="AK20" i="2194"/>
  <c r="AF20" i="2194"/>
  <c r="AB20" i="2194"/>
  <c r="Y20" i="2194"/>
  <c r="W20" i="2194"/>
  <c r="V20" i="2194"/>
  <c r="U20" i="2194"/>
  <c r="S20" i="2194"/>
  <c r="AL20" i="2194" s="1"/>
  <c r="P20" i="2194"/>
  <c r="L20" i="2194"/>
  <c r="J20" i="2194"/>
  <c r="I20" i="2194"/>
  <c r="H20" i="2194"/>
  <c r="F20" i="2194"/>
  <c r="AG20" i="2194" s="1"/>
  <c r="C20" i="2194"/>
  <c r="BN19" i="2194"/>
  <c r="AK19" i="2194"/>
  <c r="AF19" i="2194"/>
  <c r="AB19" i="2194"/>
  <c r="Y19" i="2194"/>
  <c r="W19" i="2194"/>
  <c r="V19" i="2194"/>
  <c r="U19" i="2194"/>
  <c r="S19" i="2194"/>
  <c r="T19" i="2194" s="1"/>
  <c r="P19" i="2194"/>
  <c r="L19" i="2194"/>
  <c r="J19" i="2194"/>
  <c r="I19" i="2194"/>
  <c r="H19" i="2194"/>
  <c r="F19" i="2194"/>
  <c r="AG19" i="2194" s="1"/>
  <c r="C19" i="2194"/>
  <c r="BN18" i="2194"/>
  <c r="AK18" i="2194"/>
  <c r="AF18" i="2194"/>
  <c r="AB18" i="2194"/>
  <c r="Y18" i="2194"/>
  <c r="W18" i="2194"/>
  <c r="V18" i="2194"/>
  <c r="U18" i="2194"/>
  <c r="S18" i="2194"/>
  <c r="T18" i="2194" s="1"/>
  <c r="P18" i="2194"/>
  <c r="L18" i="2194"/>
  <c r="J18" i="2194"/>
  <c r="I18" i="2194"/>
  <c r="H18" i="2194"/>
  <c r="F18" i="2194"/>
  <c r="AG18" i="2194" s="1"/>
  <c r="C18" i="2194"/>
  <c r="BN17" i="2194"/>
  <c r="AK17" i="2194"/>
  <c r="AF17" i="2194"/>
  <c r="AB17" i="2194"/>
  <c r="Y17" i="2194"/>
  <c r="W17" i="2194"/>
  <c r="V17" i="2194"/>
  <c r="U17" i="2194"/>
  <c r="S17" i="2194"/>
  <c r="AL17" i="2194" s="1"/>
  <c r="P17" i="2194"/>
  <c r="L17" i="2194"/>
  <c r="J17" i="2194"/>
  <c r="I17" i="2194"/>
  <c r="H17" i="2194"/>
  <c r="F17" i="2194"/>
  <c r="AG17" i="2194" s="1"/>
  <c r="C17" i="2194"/>
  <c r="BN16" i="2194"/>
  <c r="AK16" i="2194"/>
  <c r="AF16" i="2194"/>
  <c r="AB16" i="2194"/>
  <c r="Y16" i="2194"/>
  <c r="W16" i="2194"/>
  <c r="V16" i="2194"/>
  <c r="U16" i="2194"/>
  <c r="S16" i="2194"/>
  <c r="T16" i="2194" s="1"/>
  <c r="P16" i="2194"/>
  <c r="L16" i="2194"/>
  <c r="J16" i="2194"/>
  <c r="I16" i="2194"/>
  <c r="H16" i="2194"/>
  <c r="F16" i="2194"/>
  <c r="C16" i="2194"/>
  <c r="BN15" i="2194"/>
  <c r="AK15" i="2194"/>
  <c r="AF15" i="2194"/>
  <c r="AB15" i="2194"/>
  <c r="Y15" i="2194"/>
  <c r="W15" i="2194"/>
  <c r="V15" i="2194"/>
  <c r="U15" i="2194"/>
  <c r="S15" i="2194"/>
  <c r="T15" i="2194" s="1"/>
  <c r="P15" i="2194"/>
  <c r="L15" i="2194"/>
  <c r="J15" i="2194"/>
  <c r="I15" i="2194"/>
  <c r="H15" i="2194"/>
  <c r="F15" i="2194"/>
  <c r="C15" i="2194"/>
  <c r="BN14" i="2194"/>
  <c r="BQ14" i="2194" s="1"/>
  <c r="AK14" i="2194"/>
  <c r="AF14" i="2194"/>
  <c r="AB14" i="2194"/>
  <c r="Y14" i="2194"/>
  <c r="W14" i="2194"/>
  <c r="V14" i="2194"/>
  <c r="U14" i="2194"/>
  <c r="S14" i="2194"/>
  <c r="T14" i="2194" s="1"/>
  <c r="P14" i="2194"/>
  <c r="L14" i="2194"/>
  <c r="J14" i="2194"/>
  <c r="I14" i="2194"/>
  <c r="H14" i="2194"/>
  <c r="F14" i="2194"/>
  <c r="AG14" i="2194" s="1"/>
  <c r="C14" i="2194"/>
  <c r="BN13" i="2194"/>
  <c r="BO13" i="2194" s="1"/>
  <c r="AK13" i="2194"/>
  <c r="AF13" i="2194"/>
  <c r="AB13" i="2194"/>
  <c r="Y13" i="2194"/>
  <c r="W13" i="2194"/>
  <c r="V13" i="2194"/>
  <c r="U13" i="2194"/>
  <c r="S13" i="2194"/>
  <c r="T13" i="2194" s="1"/>
  <c r="P13" i="2194"/>
  <c r="L13" i="2194"/>
  <c r="J13" i="2194"/>
  <c r="I13" i="2194"/>
  <c r="H13" i="2194"/>
  <c r="F13" i="2194"/>
  <c r="C13" i="2194"/>
  <c r="BN12" i="2194"/>
  <c r="BQ12" i="2194" s="1"/>
  <c r="AK12" i="2194"/>
  <c r="AF12" i="2194"/>
  <c r="AB12" i="2194"/>
  <c r="Y12" i="2194"/>
  <c r="W12" i="2194"/>
  <c r="V12" i="2194"/>
  <c r="U12" i="2194"/>
  <c r="S12" i="2194"/>
  <c r="T12" i="2194" s="1"/>
  <c r="P12" i="2194"/>
  <c r="L12" i="2194"/>
  <c r="J12" i="2194"/>
  <c r="I12" i="2194"/>
  <c r="H12" i="2194"/>
  <c r="F12" i="2194"/>
  <c r="AG12" i="2194" s="1"/>
  <c r="C12" i="2194"/>
  <c r="BN11" i="2194"/>
  <c r="BQ11" i="2194" s="1"/>
  <c r="AK11" i="2194"/>
  <c r="AF11" i="2194"/>
  <c r="AB11" i="2194"/>
  <c r="Y11" i="2194"/>
  <c r="W11" i="2194"/>
  <c r="V11" i="2194"/>
  <c r="U11" i="2194"/>
  <c r="S11" i="2194"/>
  <c r="T11" i="2194" s="1"/>
  <c r="P11" i="2194"/>
  <c r="L11" i="2194"/>
  <c r="J11" i="2194"/>
  <c r="I11" i="2194"/>
  <c r="H11" i="2194"/>
  <c r="F11" i="2194"/>
  <c r="C11" i="2194"/>
  <c r="BN10" i="2194"/>
  <c r="BQ10" i="2194" s="1"/>
  <c r="AK10" i="2194"/>
  <c r="AF10" i="2194"/>
  <c r="AB10" i="2194"/>
  <c r="Y10" i="2194"/>
  <c r="W10" i="2194"/>
  <c r="V10" i="2194"/>
  <c r="U10" i="2194"/>
  <c r="S10" i="2194"/>
  <c r="AL10" i="2194" s="1"/>
  <c r="P10" i="2194"/>
  <c r="L10" i="2194"/>
  <c r="J10" i="2194"/>
  <c r="I10" i="2194"/>
  <c r="H10" i="2194"/>
  <c r="F10" i="2194"/>
  <c r="AG10" i="2194" s="1"/>
  <c r="C10" i="2194"/>
  <c r="BN9" i="2194"/>
  <c r="BQ9" i="2194" s="1"/>
  <c r="AK9" i="2194"/>
  <c r="AF9" i="2194"/>
  <c r="AB9" i="2194"/>
  <c r="Y9" i="2194"/>
  <c r="W9" i="2194"/>
  <c r="V9" i="2194"/>
  <c r="U9" i="2194"/>
  <c r="S9" i="2194"/>
  <c r="AL9" i="2194" s="1"/>
  <c r="P9" i="2194"/>
  <c r="L9" i="2194"/>
  <c r="J9" i="2194"/>
  <c r="I9" i="2194"/>
  <c r="H9" i="2194"/>
  <c r="F9" i="2194"/>
  <c r="C9" i="2194"/>
  <c r="BN8" i="2194"/>
  <c r="AK8" i="2194"/>
  <c r="AF8" i="2194"/>
  <c r="AB8" i="2194"/>
  <c r="Y8" i="2194"/>
  <c r="W8" i="2194"/>
  <c r="V8" i="2194"/>
  <c r="U8" i="2194"/>
  <c r="S8" i="2194"/>
  <c r="AL8" i="2194" s="1"/>
  <c r="P8" i="2194"/>
  <c r="L8" i="2194"/>
  <c r="J8" i="2194"/>
  <c r="I8" i="2194"/>
  <c r="H8" i="2194"/>
  <c r="F8" i="2194"/>
  <c r="C8" i="2194"/>
  <c r="BN7" i="2194"/>
  <c r="BQ7" i="2194" s="1"/>
  <c r="AK7" i="2194"/>
  <c r="AF7" i="2194"/>
  <c r="AB7" i="2194"/>
  <c r="Y7" i="2194"/>
  <c r="W7" i="2194"/>
  <c r="V7" i="2194"/>
  <c r="U7" i="2194"/>
  <c r="S7" i="2194"/>
  <c r="T7" i="2194" s="1"/>
  <c r="P7" i="2194"/>
  <c r="L7" i="2194"/>
  <c r="J7" i="2194"/>
  <c r="I7" i="2194"/>
  <c r="H7" i="2194"/>
  <c r="F7" i="2194"/>
  <c r="C7" i="2194"/>
  <c r="BN6" i="2194"/>
  <c r="BQ6" i="2194" s="1"/>
  <c r="AK6" i="2194"/>
  <c r="AF6" i="2194"/>
  <c r="AB6" i="2194"/>
  <c r="Y6" i="2194"/>
  <c r="W6" i="2194"/>
  <c r="V6" i="2194"/>
  <c r="U6" i="2194"/>
  <c r="S6" i="2194"/>
  <c r="AL6" i="2194" s="1"/>
  <c r="P6" i="2194"/>
  <c r="L6" i="2194"/>
  <c r="J6" i="2194"/>
  <c r="I6" i="2194"/>
  <c r="H6" i="2194"/>
  <c r="F6" i="2194"/>
  <c r="C6" i="2194"/>
  <c r="BR5" i="2194"/>
  <c r="BN5" i="2194"/>
  <c r="AK5" i="2194"/>
  <c r="AF5" i="2194"/>
  <c r="Y5" i="2194"/>
  <c r="W5" i="2194"/>
  <c r="V5" i="2194"/>
  <c r="U5" i="2194"/>
  <c r="S5" i="2194"/>
  <c r="AL5" i="2194" s="1"/>
  <c r="P5" i="2194"/>
  <c r="L5" i="2194"/>
  <c r="J5" i="2194"/>
  <c r="I5" i="2194"/>
  <c r="H5" i="2194"/>
  <c r="F5" i="2194"/>
  <c r="AG5" i="2194" s="1"/>
  <c r="C5" i="2194"/>
  <c r="AK4" i="2194"/>
  <c r="AF4" i="2194"/>
  <c r="Y4" i="2194"/>
  <c r="W4" i="2194"/>
  <c r="V4" i="2194"/>
  <c r="U4" i="2194"/>
  <c r="S4" i="2194"/>
  <c r="AL4" i="2194" s="1"/>
  <c r="P4" i="2194"/>
  <c r="L4" i="2194"/>
  <c r="J4" i="2194"/>
  <c r="I4" i="2194"/>
  <c r="H4" i="2194"/>
  <c r="F4" i="2194"/>
  <c r="AG4" i="2194" s="1"/>
  <c r="C4" i="2194"/>
  <c r="AK3" i="2194"/>
  <c r="AF3" i="2194"/>
  <c r="Y3" i="2194"/>
  <c r="W3" i="2194"/>
  <c r="V3" i="2194"/>
  <c r="U3" i="2194"/>
  <c r="S3" i="2194"/>
  <c r="P3" i="2194"/>
  <c r="J3" i="2194"/>
  <c r="I3" i="2194"/>
  <c r="H3" i="2194"/>
  <c r="F3" i="2194"/>
  <c r="C3" i="2194"/>
  <c r="CB2" i="2194"/>
  <c r="CA2" i="2194"/>
  <c r="BB2" i="2194"/>
  <c r="BX1" i="2194"/>
  <c r="BY1" i="2194" s="1"/>
  <c r="AM1" i="2194"/>
  <c r="BQ108" i="2194" l="1"/>
  <c r="Q92" i="2194"/>
  <c r="Q102" i="2194"/>
  <c r="Q11" i="2194"/>
  <c r="Q17" i="2194"/>
  <c r="Q21" i="2194"/>
  <c r="Q9" i="2194"/>
  <c r="Q13" i="2194"/>
  <c r="Q25" i="2194"/>
  <c r="Q7" i="2194"/>
  <c r="Q15" i="2194"/>
  <c r="BQ207" i="2194"/>
  <c r="Q96" i="2194"/>
  <c r="Q104" i="2194"/>
  <c r="Q94" i="2194"/>
  <c r="Q5" i="2194"/>
  <c r="Q35" i="2194"/>
  <c r="Q89" i="2194"/>
  <c r="BQ50" i="2194"/>
  <c r="Q4" i="2194"/>
  <c r="T58" i="2194"/>
  <c r="Q3" i="2194"/>
  <c r="BQ190" i="2194"/>
  <c r="BQ39" i="2194"/>
  <c r="BP39" i="2194" s="1"/>
  <c r="BU39" i="2194" s="1"/>
  <c r="T54" i="2194"/>
  <c r="BO31" i="2194"/>
  <c r="BQ73" i="2194"/>
  <c r="Q50" i="2194"/>
  <c r="Q26" i="2194"/>
  <c r="Q100" i="2194"/>
  <c r="Q29" i="2194"/>
  <c r="Q71" i="2194"/>
  <c r="Q49" i="2194"/>
  <c r="Q37" i="2194"/>
  <c r="Q41" i="2194"/>
  <c r="Q63" i="2194"/>
  <c r="Q75" i="2194"/>
  <c r="Q43" i="2194"/>
  <c r="Q53" i="2194"/>
  <c r="Q57" i="2194"/>
  <c r="Q69" i="2194"/>
  <c r="Q77" i="2194"/>
  <c r="Q19" i="2194"/>
  <c r="Q23" i="2194"/>
  <c r="Q31" i="2194"/>
  <c r="Q61" i="2194"/>
  <c r="Q90" i="2194"/>
  <c r="Q98" i="2194"/>
  <c r="Q95" i="2194"/>
  <c r="Q99" i="2194"/>
  <c r="Q103" i="2194"/>
  <c r="Q93" i="2194"/>
  <c r="Q97" i="2194"/>
  <c r="Q101" i="2194"/>
  <c r="Q27" i="2194"/>
  <c r="Q33" i="2194"/>
  <c r="Q47" i="2194"/>
  <c r="Q51" i="2194"/>
  <c r="Q59" i="2194"/>
  <c r="Q67" i="2194"/>
  <c r="Q79" i="2194"/>
  <c r="D82" i="2194"/>
  <c r="Q85" i="2194"/>
  <c r="Q81" i="2194"/>
  <c r="Q87" i="2194"/>
  <c r="Q39" i="2194"/>
  <c r="Q45" i="2194"/>
  <c r="Q55" i="2194"/>
  <c r="Q65" i="2194"/>
  <c r="Q73" i="2194"/>
  <c r="AP77" i="2194"/>
  <c r="A77" i="2194" s="1"/>
  <c r="CD78" i="2194" s="1"/>
  <c r="Q83" i="2194"/>
  <c r="Q46" i="2194"/>
  <c r="Q6" i="2194"/>
  <c r="Q8" i="2194"/>
  <c r="Q10" i="2194"/>
  <c r="Q12" i="2194"/>
  <c r="Q20" i="2194"/>
  <c r="Q30" i="2194"/>
  <c r="Q40" i="2194"/>
  <c r="Q34" i="2194"/>
  <c r="Q38" i="2194"/>
  <c r="Q54" i="2194"/>
  <c r="Q56" i="2194"/>
  <c r="D69" i="2194"/>
  <c r="Q76" i="2194"/>
  <c r="Q42" i="2194"/>
  <c r="Q44" i="2194"/>
  <c r="Q48" i="2194"/>
  <c r="Q60" i="2194"/>
  <c r="Q14" i="2194"/>
  <c r="Q24" i="2194"/>
  <c r="Q28" i="2194"/>
  <c r="Q16" i="2194"/>
  <c r="Q18" i="2194"/>
  <c r="Q22" i="2194"/>
  <c r="Q32" i="2194"/>
  <c r="Q36" i="2194"/>
  <c r="Q52" i="2194"/>
  <c r="Q58" i="2194"/>
  <c r="Q62" i="2194"/>
  <c r="D65" i="2194"/>
  <c r="Q66" i="2194"/>
  <c r="D68" i="2194"/>
  <c r="AG82" i="2194"/>
  <c r="AH82" i="2194" s="1"/>
  <c r="BY83" i="2194" s="1"/>
  <c r="T101" i="2194"/>
  <c r="AP101" i="2194"/>
  <c r="A101" i="2194" s="1"/>
  <c r="CD102" i="2194" s="1"/>
  <c r="D103" i="2194"/>
  <c r="Q70" i="2194"/>
  <c r="Q74" i="2194"/>
  <c r="A88" i="2194"/>
  <c r="CD89" i="2194" s="1"/>
  <c r="AG11" i="2194"/>
  <c r="AG25" i="2194"/>
  <c r="BQ31" i="2194"/>
  <c r="BP31" i="2194" s="1"/>
  <c r="BU31" i="2194" s="1"/>
  <c r="AG62" i="2194"/>
  <c r="AH62" i="2194" s="1"/>
  <c r="BY63" i="2194" s="1"/>
  <c r="Q64" i="2194"/>
  <c r="D71" i="2194"/>
  <c r="Q72" i="2194"/>
  <c r="T85" i="2194"/>
  <c r="Q86" i="2194"/>
  <c r="D88" i="2194"/>
  <c r="Q84" i="2194"/>
  <c r="Q105" i="2194"/>
  <c r="BM20" i="2194"/>
  <c r="BQ48" i="2194"/>
  <c r="BQ56" i="2194"/>
  <c r="Q68" i="2194"/>
  <c r="G77" i="2194"/>
  <c r="CG86" i="2194" s="1"/>
  <c r="Q78" i="2194"/>
  <c r="Q82" i="2194"/>
  <c r="D93" i="2194"/>
  <c r="BO147" i="2194"/>
  <c r="BQ13" i="2194"/>
  <c r="BQ17" i="2194"/>
  <c r="BO46" i="2194"/>
  <c r="BQ67" i="2194"/>
  <c r="G68" i="2194"/>
  <c r="CG77" i="2194" s="1"/>
  <c r="BQ68" i="2194"/>
  <c r="D70" i="2194"/>
  <c r="D72" i="2194"/>
  <c r="BQ74" i="2194"/>
  <c r="BO85" i="2194"/>
  <c r="D64" i="2194"/>
  <c r="BO139" i="2194"/>
  <c r="BQ167" i="2194"/>
  <c r="BQ211" i="2194"/>
  <c r="AL65" i="2194"/>
  <c r="AN65" i="2194" s="1"/>
  <c r="BZ169" i="2194" s="1"/>
  <c r="BQ148" i="2194"/>
  <c r="BQ215" i="2194"/>
  <c r="AL12" i="2194"/>
  <c r="AN12" i="2194" s="1"/>
  <c r="BZ116" i="2194" s="1"/>
  <c r="BQ27" i="2194"/>
  <c r="BP27" i="2194" s="1"/>
  <c r="BU27" i="2194" s="1"/>
  <c r="N37" i="2194"/>
  <c r="CD141" i="2194" s="1"/>
  <c r="AL42" i="2194"/>
  <c r="BO42" i="2194"/>
  <c r="AL56" i="2194"/>
  <c r="AN56" i="2194" s="1"/>
  <c r="BZ160" i="2194" s="1"/>
  <c r="T62" i="2194"/>
  <c r="D63" i="2194"/>
  <c r="G75" i="2194"/>
  <c r="CG84" i="2194" s="1"/>
  <c r="AP80" i="2194"/>
  <c r="A80" i="2194" s="1"/>
  <c r="CD81" i="2194" s="1"/>
  <c r="BO159" i="2194"/>
  <c r="BQ198" i="2194"/>
  <c r="N101" i="2194"/>
  <c r="CD205" i="2194" s="1"/>
  <c r="BO205" i="2194"/>
  <c r="BO209" i="2194"/>
  <c r="AG26" i="2194"/>
  <c r="AG37" i="2194"/>
  <c r="G88" i="2194"/>
  <c r="CG97" i="2194" s="1"/>
  <c r="D90" i="2194"/>
  <c r="A92" i="2194"/>
  <c r="CD93" i="2194" s="1"/>
  <c r="AL93" i="2194"/>
  <c r="AN93" i="2194" s="1"/>
  <c r="BZ197" i="2194" s="1"/>
  <c r="BO97" i="2194"/>
  <c r="G99" i="2194"/>
  <c r="CG108" i="2194" s="1"/>
  <c r="N85" i="2194"/>
  <c r="CD189" i="2194" s="1"/>
  <c r="BM27" i="2194"/>
  <c r="AL60" i="2194"/>
  <c r="AN60" i="2194" s="1"/>
  <c r="BZ164" i="2194" s="1"/>
  <c r="N103" i="2194"/>
  <c r="CD207" i="2194" s="1"/>
  <c r="T103" i="2194"/>
  <c r="G104" i="2194"/>
  <c r="CG113" i="2194" s="1"/>
  <c r="BQ111" i="2194"/>
  <c r="BQ135" i="2194"/>
  <c r="BQ170" i="2194"/>
  <c r="BQ184" i="2194"/>
  <c r="AG54" i="2194"/>
  <c r="AL80" i="2194"/>
  <c r="AM80" i="2194" s="1"/>
  <c r="BY184" i="2194" s="1"/>
  <c r="A83" i="2194"/>
  <c r="CD84" i="2194" s="1"/>
  <c r="N58" i="2194"/>
  <c r="CD162" i="2194" s="1"/>
  <c r="AG8" i="2194"/>
  <c r="AG13" i="2194"/>
  <c r="AL14" i="2194"/>
  <c r="AN14" i="2194" s="1"/>
  <c r="BZ118" i="2194" s="1"/>
  <c r="BO26" i="2194"/>
  <c r="BQ37" i="2194"/>
  <c r="N39" i="2194"/>
  <c r="CD143" i="2194" s="1"/>
  <c r="T39" i="2194"/>
  <c r="BM39" i="2194"/>
  <c r="BQ58" i="2194"/>
  <c r="BQ59" i="2194"/>
  <c r="D66" i="2194"/>
  <c r="AL69" i="2194"/>
  <c r="AN69" i="2194" s="1"/>
  <c r="BZ173" i="2194" s="1"/>
  <c r="BQ72" i="2194"/>
  <c r="AP75" i="2194"/>
  <c r="A75" i="2194" s="1"/>
  <c r="CD76" i="2194" s="1"/>
  <c r="D79" i="2194"/>
  <c r="N80" i="2194"/>
  <c r="CD184" i="2194" s="1"/>
  <c r="D81" i="2194"/>
  <c r="G83" i="2194"/>
  <c r="T83" i="2194"/>
  <c r="A87" i="2194"/>
  <c r="CD88" i="2194" s="1"/>
  <c r="D89" i="2194"/>
  <c r="D92" i="2194"/>
  <c r="D94" i="2194"/>
  <c r="G95" i="2194"/>
  <c r="CG104" i="2194" s="1"/>
  <c r="T95" i="2194"/>
  <c r="AP95" i="2194"/>
  <c r="A95" i="2194" s="1"/>
  <c r="CD96" i="2194" s="1"/>
  <c r="D97" i="2194"/>
  <c r="BO100" i="2194"/>
  <c r="G101" i="2194"/>
  <c r="CG110" i="2194" s="1"/>
  <c r="G102" i="2194"/>
  <c r="AP102" i="2194"/>
  <c r="A102" i="2194" s="1"/>
  <c r="CD103" i="2194" s="1"/>
  <c r="BO133" i="2194"/>
  <c r="BQ186" i="2194"/>
  <c r="N87" i="2194"/>
  <c r="CD191" i="2194" s="1"/>
  <c r="AP194" i="2194"/>
  <c r="N91" i="2194" s="1"/>
  <c r="CD195" i="2194" s="1"/>
  <c r="N95" i="2194"/>
  <c r="CD199" i="2194" s="1"/>
  <c r="BQ217" i="2194"/>
  <c r="BQ15" i="2194"/>
  <c r="BQ26" i="2194"/>
  <c r="BP26" i="2194" s="1"/>
  <c r="BU26" i="2194" s="1"/>
  <c r="A76" i="2194"/>
  <c r="CD77" i="2194" s="1"/>
  <c r="D85" i="2194"/>
  <c r="A91" i="2194"/>
  <c r="CD92" i="2194" s="1"/>
  <c r="A103" i="2194"/>
  <c r="CD104" i="2194" s="1"/>
  <c r="A105" i="2194"/>
  <c r="CD106" i="2194" s="1"/>
  <c r="BO115" i="2194"/>
  <c r="BQ116" i="2194"/>
  <c r="BO137" i="2194"/>
  <c r="N54" i="2194"/>
  <c r="CD158" i="2194" s="1"/>
  <c r="BQ161" i="2194"/>
  <c r="N62" i="2194"/>
  <c r="CD166" i="2194" s="1"/>
  <c r="BO174" i="2194"/>
  <c r="BQ175" i="2194"/>
  <c r="AG7" i="2194"/>
  <c r="BA14" i="2194"/>
  <c r="AL46" i="2194"/>
  <c r="AN46" i="2194" s="1"/>
  <c r="BZ150" i="2194" s="1"/>
  <c r="BQ55" i="2194"/>
  <c r="BQ63" i="2194"/>
  <c r="G64" i="2194"/>
  <c r="CG73" i="2194" s="1"/>
  <c r="BQ64" i="2194"/>
  <c r="D67" i="2194"/>
  <c r="D78" i="2194"/>
  <c r="Q80" i="2194"/>
  <c r="D83" i="2194"/>
  <c r="AM85" i="2194"/>
  <c r="BY189" i="2194" s="1"/>
  <c r="G87" i="2194"/>
  <c r="G91" i="2194"/>
  <c r="N97" i="2194"/>
  <c r="CD201" i="2194" s="1"/>
  <c r="T97" i="2194"/>
  <c r="N99" i="2194"/>
  <c r="CD203" i="2194" s="1"/>
  <c r="T99" i="2194"/>
  <c r="AP99" i="2194"/>
  <c r="A99" i="2194" s="1"/>
  <c r="CD100" i="2194" s="1"/>
  <c r="AP100" i="2194"/>
  <c r="A100" i="2194" s="1"/>
  <c r="CD101" i="2194" s="1"/>
  <c r="AP104" i="2194"/>
  <c r="A104" i="2194" s="1"/>
  <c r="CD105" i="2194" s="1"/>
  <c r="N105" i="2194"/>
  <c r="CD209" i="2194" s="1"/>
  <c r="BQ125" i="2194"/>
  <c r="BQ136" i="2194"/>
  <c r="N83" i="2194"/>
  <c r="CD187" i="2194" s="1"/>
  <c r="BQ191" i="2194"/>
  <c r="BQ208" i="2194"/>
  <c r="BQ213" i="2194"/>
  <c r="AM38" i="2194"/>
  <c r="BY142" i="2194" s="1"/>
  <c r="AN38" i="2194"/>
  <c r="BZ142" i="2194" s="1"/>
  <c r="AL23" i="2194"/>
  <c r="AL34" i="2194"/>
  <c r="AN34" i="2194" s="1"/>
  <c r="BZ138" i="2194" s="1"/>
  <c r="AG49" i="2194"/>
  <c r="BQ52" i="2194"/>
  <c r="AI95" i="2194"/>
  <c r="BZ96" i="2194" s="1"/>
  <c r="AH95" i="2194"/>
  <c r="BY96" i="2194" s="1"/>
  <c r="BA8" i="2194"/>
  <c r="AS17" i="2194"/>
  <c r="N9" i="2194"/>
  <c r="CD113" i="2194" s="1"/>
  <c r="T9" i="2194"/>
  <c r="AL15" i="2194"/>
  <c r="AN15" i="2194" s="1"/>
  <c r="BZ119" i="2194" s="1"/>
  <c r="AL16" i="2194"/>
  <c r="AN16" i="2194" s="1"/>
  <c r="BZ120" i="2194" s="1"/>
  <c r="N17" i="2194"/>
  <c r="CD121" i="2194" s="1"/>
  <c r="T17" i="2194"/>
  <c r="BQ18" i="2194"/>
  <c r="AL21" i="2194"/>
  <c r="AN21" i="2194" s="1"/>
  <c r="BZ125" i="2194" s="1"/>
  <c r="BO21" i="2194"/>
  <c r="N23" i="2194"/>
  <c r="CD127" i="2194" s="1"/>
  <c r="BQ23" i="2194"/>
  <c r="BP23" i="2194" s="1"/>
  <c r="BU23" i="2194" s="1"/>
  <c r="BM24" i="2194"/>
  <c r="BO25" i="2194"/>
  <c r="N30" i="2194"/>
  <c r="CD134" i="2194" s="1"/>
  <c r="T30" i="2194"/>
  <c r="BO32" i="2194"/>
  <c r="N34" i="2194"/>
  <c r="CD138" i="2194" s="1"/>
  <c r="AN40" i="2194"/>
  <c r="BZ144" i="2194" s="1"/>
  <c r="BQ41" i="2194"/>
  <c r="T50" i="2194"/>
  <c r="N50" i="2194"/>
  <c r="CD154" i="2194" s="1"/>
  <c r="BQ51" i="2194"/>
  <c r="N6" i="2194"/>
  <c r="CD110" i="2194" s="1"/>
  <c r="T6" i="2194"/>
  <c r="CG118" i="2194" s="1"/>
  <c r="BA9" i="2194"/>
  <c r="AL13" i="2194"/>
  <c r="AN13" i="2194" s="1"/>
  <c r="BZ117" i="2194" s="1"/>
  <c r="BQ25" i="2194"/>
  <c r="N29" i="2194"/>
  <c r="CD133" i="2194" s="1"/>
  <c r="T29" i="2194"/>
  <c r="BO30" i="2194"/>
  <c r="N36" i="2194"/>
  <c r="CD140" i="2194" s="1"/>
  <c r="T36" i="2194"/>
  <c r="CG148" i="2194" s="1"/>
  <c r="AG39" i="2194"/>
  <c r="AM43" i="2194"/>
  <c r="BY147" i="2194" s="1"/>
  <c r="BQ47" i="2194"/>
  <c r="AG50" i="2194"/>
  <c r="AG53" i="2194"/>
  <c r="BF18" i="2194"/>
  <c r="BQ8" i="2194"/>
  <c r="AQ16" i="2194"/>
  <c r="AL11" i="2194"/>
  <c r="AN11" i="2194" s="1"/>
  <c r="BZ115" i="2194" s="1"/>
  <c r="AG15" i="2194"/>
  <c r="AG16" i="2194"/>
  <c r="N20" i="2194"/>
  <c r="CD124" i="2194" s="1"/>
  <c r="T20" i="2194"/>
  <c r="BQ20" i="2194"/>
  <c r="N21" i="2194"/>
  <c r="CD125" i="2194" s="1"/>
  <c r="AL22" i="2194"/>
  <c r="AM22" i="2194" s="1"/>
  <c r="BY126" i="2194" s="1"/>
  <c r="BM23" i="2194"/>
  <c r="BQ24" i="2194"/>
  <c r="BP24" i="2194" s="1"/>
  <c r="BU24" i="2194" s="1"/>
  <c r="AL37" i="2194"/>
  <c r="AN37" i="2194" s="1"/>
  <c r="BZ141" i="2194" s="1"/>
  <c r="BQ43" i="2194"/>
  <c r="BQ44" i="2194"/>
  <c r="BP44" i="2194" s="1"/>
  <c r="BU44" i="2194" s="1"/>
  <c r="N46" i="2194"/>
  <c r="CD150" i="2194" s="1"/>
  <c r="AG46" i="2194"/>
  <c r="AM58" i="2194"/>
  <c r="BY162" i="2194" s="1"/>
  <c r="AN58" i="2194"/>
  <c r="BZ162" i="2194" s="1"/>
  <c r="AL63" i="2194"/>
  <c r="AL67" i="2194"/>
  <c r="AG81" i="2194"/>
  <c r="AI81" i="2194" s="1"/>
  <c r="BZ82" i="2194" s="1"/>
  <c r="A81" i="2194"/>
  <c r="CD82" i="2194" s="1"/>
  <c r="G105" i="2194"/>
  <c r="CG114" i="2194" s="1"/>
  <c r="BQ106" i="2194"/>
  <c r="BO117" i="2194"/>
  <c r="BQ119" i="2194"/>
  <c r="BQ127" i="2194"/>
  <c r="BQ141" i="2194"/>
  <c r="BQ143" i="2194"/>
  <c r="BQ153" i="2194"/>
  <c r="BQ155" i="2194"/>
  <c r="BQ163" i="2194"/>
  <c r="BO169" i="2194"/>
  <c r="BO176" i="2194"/>
  <c r="BQ178" i="2194"/>
  <c r="BO192" i="2194"/>
  <c r="BQ194" i="2194"/>
  <c r="BQ200" i="2194"/>
  <c r="BQ202" i="2194"/>
  <c r="BQ203" i="2194"/>
  <c r="N63" i="2194"/>
  <c r="CD167" i="2194" s="1"/>
  <c r="N67" i="2194"/>
  <c r="CD171" i="2194" s="1"/>
  <c r="BO69" i="2194"/>
  <c r="BQ70" i="2194"/>
  <c r="G73" i="2194"/>
  <c r="CG82" i="2194" s="1"/>
  <c r="AP73" i="2194"/>
  <c r="A73" i="2194" s="1"/>
  <c r="CD74" i="2194" s="1"/>
  <c r="D76" i="2194"/>
  <c r="BO77" i="2194"/>
  <c r="BQ78" i="2194"/>
  <c r="G79" i="2194"/>
  <c r="CG88" i="2194" s="1"/>
  <c r="AN80" i="2194"/>
  <c r="BZ184" i="2194" s="1"/>
  <c r="AG85" i="2194"/>
  <c r="T87" i="2194"/>
  <c r="AL90" i="2194"/>
  <c r="T91" i="2194"/>
  <c r="AL94" i="2194"/>
  <c r="AN94" i="2194" s="1"/>
  <c r="BZ198" i="2194" s="1"/>
  <c r="AG97" i="2194"/>
  <c r="AL57" i="2194"/>
  <c r="AM57" i="2194" s="1"/>
  <c r="BY161" i="2194" s="1"/>
  <c r="AL61" i="2194"/>
  <c r="AM61" i="2194" s="1"/>
  <c r="BY165" i="2194" s="1"/>
  <c r="A64" i="2194"/>
  <c r="CD65" i="2194" s="1"/>
  <c r="A68" i="2194"/>
  <c r="CD69" i="2194" s="1"/>
  <c r="A71" i="2194"/>
  <c r="CD72" i="2194" s="1"/>
  <c r="G71" i="2194"/>
  <c r="CG80" i="2194" s="1"/>
  <c r="D74" i="2194"/>
  <c r="BQ76" i="2194"/>
  <c r="N81" i="2194"/>
  <c r="CD185" i="2194" s="1"/>
  <c r="T81" i="2194"/>
  <c r="CG193" i="2194" s="1"/>
  <c r="A85" i="2194"/>
  <c r="CD86" i="2194" s="1"/>
  <c r="D87" i="2194"/>
  <c r="BQ87" i="2194"/>
  <c r="AL89" i="2194"/>
  <c r="N90" i="2194"/>
  <c r="CD194" i="2194" s="1"/>
  <c r="D91" i="2194"/>
  <c r="BQ91" i="2194"/>
  <c r="N94" i="2194"/>
  <c r="CD198" i="2194" s="1"/>
  <c r="BO95" i="2194"/>
  <c r="A97" i="2194"/>
  <c r="CD98" i="2194" s="1"/>
  <c r="BO102" i="2194"/>
  <c r="D105" i="2194"/>
  <c r="BO121" i="2194"/>
  <c r="BO123" i="2194"/>
  <c r="BQ129" i="2194"/>
  <c r="BO131" i="2194"/>
  <c r="BQ132" i="2194"/>
  <c r="BO151" i="2194"/>
  <c r="BO157" i="2194"/>
  <c r="BO165" i="2194"/>
  <c r="BO182" i="2194"/>
  <c r="BQ196" i="2194"/>
  <c r="AL66" i="2194"/>
  <c r="AM66" i="2194" s="1"/>
  <c r="BY170" i="2194" s="1"/>
  <c r="A78" i="2194"/>
  <c r="CD79" i="2194" s="1"/>
  <c r="A79" i="2194"/>
  <c r="CD80" i="2194" s="1"/>
  <c r="G92" i="2194"/>
  <c r="G103" i="2194"/>
  <c r="CG112" i="2194" s="1"/>
  <c r="BO104" i="2194"/>
  <c r="AN10" i="2194"/>
  <c r="BZ114" i="2194" s="1"/>
  <c r="AM10" i="2194"/>
  <c r="BY114" i="2194" s="1"/>
  <c r="AN5" i="2194"/>
  <c r="BZ109" i="2194" s="1"/>
  <c r="AM5" i="2194"/>
  <c r="BY109" i="2194" s="1"/>
  <c r="CG125" i="2194"/>
  <c r="CG136" i="2194"/>
  <c r="CG139" i="2194"/>
  <c r="AN29" i="2194"/>
  <c r="BZ133" i="2194" s="1"/>
  <c r="AM29" i="2194"/>
  <c r="BY133" i="2194" s="1"/>
  <c r="AN32" i="2194"/>
  <c r="BZ136" i="2194" s="1"/>
  <c r="AM32" i="2194"/>
  <c r="BY136" i="2194" s="1"/>
  <c r="CG145" i="2194"/>
  <c r="AN36" i="2194"/>
  <c r="BZ140" i="2194" s="1"/>
  <c r="AM36" i="2194"/>
  <c r="BY140" i="2194" s="1"/>
  <c r="BP6" i="2194"/>
  <c r="BU6" i="2194" s="1"/>
  <c r="CG131" i="2194"/>
  <c r="AN20" i="2194"/>
  <c r="BZ124" i="2194" s="1"/>
  <c r="AM20" i="2194"/>
  <c r="BY124" i="2194" s="1"/>
  <c r="CG133" i="2194"/>
  <c r="CG138" i="2194"/>
  <c r="CG119" i="2194"/>
  <c r="AN8" i="2194"/>
  <c r="BZ112" i="2194" s="1"/>
  <c r="AM8" i="2194"/>
  <c r="BY112" i="2194" s="1"/>
  <c r="CG123" i="2194"/>
  <c r="AM4" i="2194"/>
  <c r="BY108" i="2194" s="1"/>
  <c r="AN4" i="2194"/>
  <c r="BZ108" i="2194" s="1"/>
  <c r="BP9" i="2194"/>
  <c r="BU9" i="2194" s="1"/>
  <c r="CG124" i="2194"/>
  <c r="CG126" i="2194"/>
  <c r="CG137" i="2194"/>
  <c r="CG143" i="2194"/>
  <c r="CG149" i="2194"/>
  <c r="AN39" i="2194"/>
  <c r="BZ143" i="2194" s="1"/>
  <c r="AM39" i="2194"/>
  <c r="BY143" i="2194" s="1"/>
  <c r="AN6" i="2194"/>
  <c r="BZ110" i="2194" s="1"/>
  <c r="AM6" i="2194"/>
  <c r="BY110" i="2194" s="1"/>
  <c r="AN9" i="2194"/>
  <c r="BZ113" i="2194" s="1"/>
  <c r="AM9" i="2194"/>
  <c r="BY113" i="2194" s="1"/>
  <c r="CG127" i="2194"/>
  <c r="CG128" i="2194"/>
  <c r="AN17" i="2194"/>
  <c r="BZ121" i="2194" s="1"/>
  <c r="AM17" i="2194"/>
  <c r="BY121" i="2194" s="1"/>
  <c r="CG130" i="2194"/>
  <c r="CG134" i="2194"/>
  <c r="CG140" i="2194"/>
  <c r="AM30" i="2194"/>
  <c r="BY134" i="2194" s="1"/>
  <c r="AN30" i="2194"/>
  <c r="BZ134" i="2194" s="1"/>
  <c r="CG147" i="2194"/>
  <c r="AL7" i="2194"/>
  <c r="BF10" i="2194"/>
  <c r="AG3" i="2194"/>
  <c r="AH45" i="2194" s="1"/>
  <c r="BY46" i="2194" s="1"/>
  <c r="AL3" i="2194"/>
  <c r="N4" i="2194"/>
  <c r="CD108" i="2194" s="1"/>
  <c r="T4" i="2194"/>
  <c r="N5" i="2194"/>
  <c r="CD109" i="2194" s="1"/>
  <c r="T5" i="2194"/>
  <c r="BQ5" i="2194"/>
  <c r="AG6" i="2194"/>
  <c r="BO6" i="2194"/>
  <c r="BA7" i="2194"/>
  <c r="AG9" i="2194"/>
  <c r="BO9" i="2194"/>
  <c r="N10" i="2194"/>
  <c r="CD114" i="2194" s="1"/>
  <c r="T10" i="2194"/>
  <c r="N11" i="2194"/>
  <c r="CD115" i="2194" s="1"/>
  <c r="N12" i="2194"/>
  <c r="CD116" i="2194" s="1"/>
  <c r="BF12" i="2194"/>
  <c r="N13" i="2194"/>
  <c r="CD117" i="2194" s="1"/>
  <c r="BF13" i="2194"/>
  <c r="N14" i="2194"/>
  <c r="CD118" i="2194" s="1"/>
  <c r="BF14" i="2194"/>
  <c r="N15" i="2194"/>
  <c r="CD119" i="2194" s="1"/>
  <c r="BF15" i="2194"/>
  <c r="N16" i="2194"/>
  <c r="CD120" i="2194" s="1"/>
  <c r="AS16" i="2194"/>
  <c r="BE16" i="2194"/>
  <c r="BQ16" i="2194"/>
  <c r="BQ19" i="2194"/>
  <c r="N22" i="2194"/>
  <c r="CD126" i="2194" s="1"/>
  <c r="AN22" i="2194"/>
  <c r="BZ126" i="2194" s="1"/>
  <c r="BM22" i="2194"/>
  <c r="BQ22" i="2194"/>
  <c r="BM28" i="2194"/>
  <c r="BQ28" i="2194"/>
  <c r="BO29" i="2194"/>
  <c r="BP30" i="2194"/>
  <c r="BU30" i="2194" s="1"/>
  <c r="N32" i="2194"/>
  <c r="CD136" i="2194" s="1"/>
  <c r="T32" i="2194"/>
  <c r="BP32" i="2194"/>
  <c r="BU32" i="2194" s="1"/>
  <c r="AL33" i="2194"/>
  <c r="BO33" i="2194"/>
  <c r="BQ35" i="2194"/>
  <c r="AG40" i="2194"/>
  <c r="AG44" i="2194"/>
  <c r="AM45" i="2194"/>
  <c r="BY149" i="2194" s="1"/>
  <c r="AN45" i="2194"/>
  <c r="BZ149" i="2194" s="1"/>
  <c r="AN47" i="2194"/>
  <c r="BZ151" i="2194" s="1"/>
  <c r="AM47" i="2194"/>
  <c r="BY151" i="2194" s="1"/>
  <c r="AN48" i="2194"/>
  <c r="BZ152" i="2194" s="1"/>
  <c r="AM48" i="2194"/>
  <c r="BY152" i="2194" s="1"/>
  <c r="CG171" i="2194"/>
  <c r="CG71" i="2194"/>
  <c r="CG177" i="2194"/>
  <c r="CG181" i="2194"/>
  <c r="AN74" i="2194"/>
  <c r="BZ178" i="2194" s="1"/>
  <c r="AM74" i="2194"/>
  <c r="BY178" i="2194" s="1"/>
  <c r="AI76" i="2194"/>
  <c r="BZ77" i="2194" s="1"/>
  <c r="AH76" i="2194"/>
  <c r="BY77" i="2194" s="1"/>
  <c r="CG189" i="2194"/>
  <c r="CG91" i="2194"/>
  <c r="BE8" i="2194"/>
  <c r="BF16" i="2194"/>
  <c r="CG129" i="2194"/>
  <c r="AQ17" i="2194"/>
  <c r="AU17" i="2194" s="1"/>
  <c r="BE17" i="2194"/>
  <c r="AL18" i="2194"/>
  <c r="CG132" i="2194"/>
  <c r="AG21" i="2194"/>
  <c r="CG135" i="2194"/>
  <c r="AL24" i="2194"/>
  <c r="AL25" i="2194"/>
  <c r="AL26" i="2194"/>
  <c r="AL27" i="2194"/>
  <c r="AL28" i="2194"/>
  <c r="CG141" i="2194"/>
  <c r="AL31" i="2194"/>
  <c r="AG34" i="2194"/>
  <c r="CG151" i="2194"/>
  <c r="CG154" i="2194"/>
  <c r="AN42" i="2194"/>
  <c r="BZ146" i="2194" s="1"/>
  <c r="AM42" i="2194"/>
  <c r="BY146" i="2194" s="1"/>
  <c r="AM49" i="2194"/>
  <c r="BY153" i="2194" s="1"/>
  <c r="AN49" i="2194"/>
  <c r="BZ153" i="2194" s="1"/>
  <c r="AN51" i="2194"/>
  <c r="BZ155" i="2194" s="1"/>
  <c r="AM51" i="2194"/>
  <c r="BY155" i="2194" s="1"/>
  <c r="AN52" i="2194"/>
  <c r="BZ156" i="2194" s="1"/>
  <c r="AM52" i="2194"/>
  <c r="BY156" i="2194" s="1"/>
  <c r="CG169" i="2194"/>
  <c r="CG173" i="2194"/>
  <c r="AI64" i="2194"/>
  <c r="BZ65" i="2194" s="1"/>
  <c r="AH64" i="2194"/>
  <c r="BY65" i="2194" s="1"/>
  <c r="CG176" i="2194"/>
  <c r="CG74" i="2194"/>
  <c r="AI68" i="2194"/>
  <c r="BZ69" i="2194" s="1"/>
  <c r="AH68" i="2194"/>
  <c r="BY69" i="2194" s="1"/>
  <c r="CG180" i="2194"/>
  <c r="CG78" i="2194"/>
  <c r="AN72" i="2194"/>
  <c r="BZ176" i="2194" s="1"/>
  <c r="AM72" i="2194"/>
  <c r="BY176" i="2194" s="1"/>
  <c r="AI74" i="2194"/>
  <c r="BZ75" i="2194" s="1"/>
  <c r="AH74" i="2194"/>
  <c r="BY75" i="2194" s="1"/>
  <c r="CG187" i="2194"/>
  <c r="AN83" i="2194"/>
  <c r="BZ187" i="2194" s="1"/>
  <c r="AM83" i="2194"/>
  <c r="BY187" i="2194" s="1"/>
  <c r="N3" i="2194"/>
  <c r="CD107" i="2194" s="1"/>
  <c r="T3" i="2194"/>
  <c r="BM6" i="2194"/>
  <c r="N7" i="2194"/>
  <c r="CD111" i="2194" s="1"/>
  <c r="N8" i="2194"/>
  <c r="CD112" i="2194" s="1"/>
  <c r="T8" i="2194"/>
  <c r="BF8" i="2194"/>
  <c r="BE9" i="2194"/>
  <c r="BM9" i="2194"/>
  <c r="BE10" i="2194"/>
  <c r="AM11" i="2194"/>
  <c r="BY115" i="2194" s="1"/>
  <c r="BE11" i="2194"/>
  <c r="AM12" i="2194"/>
  <c r="BY116" i="2194" s="1"/>
  <c r="AM13" i="2194"/>
  <c r="BY117" i="2194" s="1"/>
  <c r="AM14" i="2194"/>
  <c r="BY118" i="2194" s="1"/>
  <c r="AH15" i="2194"/>
  <c r="BY16" i="2194" s="1"/>
  <c r="AM15" i="2194"/>
  <c r="BY119" i="2194" s="1"/>
  <c r="AH16" i="2194"/>
  <c r="BY17" i="2194" s="1"/>
  <c r="AM16" i="2194"/>
  <c r="BY120" i="2194" s="1"/>
  <c r="BF17" i="2194"/>
  <c r="N18" i="2194"/>
  <c r="CD122" i="2194" s="1"/>
  <c r="AH18" i="2194"/>
  <c r="BY19" i="2194" s="1"/>
  <c r="BE18" i="2194"/>
  <c r="AL19" i="2194"/>
  <c r="AM21" i="2194"/>
  <c r="BY125" i="2194" s="1"/>
  <c r="AG22" i="2194"/>
  <c r="AI38" i="2194" s="1"/>
  <c r="BZ39" i="2194" s="1"/>
  <c r="N24" i="2194"/>
  <c r="CD128" i="2194" s="1"/>
  <c r="N25" i="2194"/>
  <c r="CD129" i="2194" s="1"/>
  <c r="N26" i="2194"/>
  <c r="CD130" i="2194" s="1"/>
  <c r="AH26" i="2194"/>
  <c r="BY27" i="2194" s="1"/>
  <c r="N27" i="2194"/>
  <c r="CD131" i="2194" s="1"/>
  <c r="N28" i="2194"/>
  <c r="CD132" i="2194" s="1"/>
  <c r="BM29" i="2194"/>
  <c r="N31" i="2194"/>
  <c r="CD135" i="2194" s="1"/>
  <c r="N33" i="2194"/>
  <c r="CD137" i="2194" s="1"/>
  <c r="AM34" i="2194"/>
  <c r="BY138" i="2194" s="1"/>
  <c r="AL35" i="2194"/>
  <c r="AH37" i="2194"/>
  <c r="BY38" i="2194" s="1"/>
  <c r="AM37" i="2194"/>
  <c r="BY141" i="2194" s="1"/>
  <c r="BQ40" i="2194"/>
  <c r="AM53" i="2194"/>
  <c r="BY157" i="2194" s="1"/>
  <c r="AN53" i="2194"/>
  <c r="BZ157" i="2194" s="1"/>
  <c r="AN55" i="2194"/>
  <c r="BZ159" i="2194" s="1"/>
  <c r="AM55" i="2194"/>
  <c r="BY159" i="2194" s="1"/>
  <c r="AI63" i="2194"/>
  <c r="BZ64" i="2194" s="1"/>
  <c r="AH63" i="2194"/>
  <c r="BY64" i="2194" s="1"/>
  <c r="CG178" i="2194"/>
  <c r="AI67" i="2194"/>
  <c r="BZ68" i="2194" s="1"/>
  <c r="AH67" i="2194"/>
  <c r="BY68" i="2194" s="1"/>
  <c r="AN70" i="2194"/>
  <c r="BZ174" i="2194" s="1"/>
  <c r="AM70" i="2194"/>
  <c r="BY174" i="2194" s="1"/>
  <c r="AI72" i="2194"/>
  <c r="BZ73" i="2194" s="1"/>
  <c r="AH72" i="2194"/>
  <c r="BY73" i="2194" s="1"/>
  <c r="CG185" i="2194"/>
  <c r="AN78" i="2194"/>
  <c r="BZ182" i="2194" s="1"/>
  <c r="AM78" i="2194"/>
  <c r="BY182" i="2194" s="1"/>
  <c r="AI79" i="2194"/>
  <c r="BZ80" i="2194" s="1"/>
  <c r="AH79" i="2194"/>
  <c r="BY80" i="2194" s="1"/>
  <c r="CG191" i="2194"/>
  <c r="CG121" i="2194"/>
  <c r="BF9" i="2194"/>
  <c r="BF11" i="2194"/>
  <c r="BE12" i="2194"/>
  <c r="BE13" i="2194"/>
  <c r="BE14" i="2194"/>
  <c r="BE15" i="2194"/>
  <c r="N19" i="2194"/>
  <c r="CD123" i="2194" s="1"/>
  <c r="CG142" i="2194"/>
  <c r="CG146" i="2194"/>
  <c r="N35" i="2194"/>
  <c r="CD139" i="2194" s="1"/>
  <c r="T38" i="2194"/>
  <c r="N38" i="2194"/>
  <c r="CD142" i="2194" s="1"/>
  <c r="T41" i="2194"/>
  <c r="N41" i="2194"/>
  <c r="CD145" i="2194" s="1"/>
  <c r="AL41" i="2194"/>
  <c r="AG42" i="2194"/>
  <c r="AN44" i="2194"/>
  <c r="BZ148" i="2194" s="1"/>
  <c r="AM44" i="2194"/>
  <c r="BY148" i="2194" s="1"/>
  <c r="CG168" i="2194"/>
  <c r="CG172" i="2194"/>
  <c r="CG75" i="2194"/>
  <c r="AI70" i="2194"/>
  <c r="BZ71" i="2194" s="1"/>
  <c r="AH70" i="2194"/>
  <c r="BY71" i="2194" s="1"/>
  <c r="CG183" i="2194"/>
  <c r="AN76" i="2194"/>
  <c r="BZ180" i="2194" s="1"/>
  <c r="AM76" i="2194"/>
  <c r="BY180" i="2194" s="1"/>
  <c r="AI78" i="2194"/>
  <c r="BZ79" i="2194" s="1"/>
  <c r="AH78" i="2194"/>
  <c r="BY79" i="2194" s="1"/>
  <c r="AM82" i="2194"/>
  <c r="BY186" i="2194" s="1"/>
  <c r="AN82" i="2194"/>
  <c r="BZ186" i="2194" s="1"/>
  <c r="N40" i="2194"/>
  <c r="CD144" i="2194" s="1"/>
  <c r="T40" i="2194"/>
  <c r="N43" i="2194"/>
  <c r="CD147" i="2194" s="1"/>
  <c r="T43" i="2194"/>
  <c r="AG43" i="2194"/>
  <c r="AI45" i="2194"/>
  <c r="BZ46" i="2194" s="1"/>
  <c r="BQ45" i="2194"/>
  <c r="N47" i="2194"/>
  <c r="CD151" i="2194" s="1"/>
  <c r="T47" i="2194"/>
  <c r="AG47" i="2194"/>
  <c r="AI49" i="2194"/>
  <c r="BZ50" i="2194" s="1"/>
  <c r="BQ49" i="2194"/>
  <c r="N51" i="2194"/>
  <c r="CD155" i="2194" s="1"/>
  <c r="T51" i="2194"/>
  <c r="AG51" i="2194"/>
  <c r="AI52" i="2194" s="1"/>
  <c r="BZ53" i="2194" s="1"/>
  <c r="BQ53" i="2194"/>
  <c r="N55" i="2194"/>
  <c r="CD159" i="2194" s="1"/>
  <c r="T55" i="2194"/>
  <c r="AG55" i="2194"/>
  <c r="N57" i="2194"/>
  <c r="CD161" i="2194" s="1"/>
  <c r="AN57" i="2194"/>
  <c r="BZ161" i="2194" s="1"/>
  <c r="BQ57" i="2194"/>
  <c r="AL59" i="2194"/>
  <c r="N61" i="2194"/>
  <c r="CD165" i="2194" s="1"/>
  <c r="AN61" i="2194"/>
  <c r="BZ165" i="2194" s="1"/>
  <c r="BQ61" i="2194"/>
  <c r="A62" i="2194"/>
  <c r="CD63" i="2194" s="1"/>
  <c r="AI62" i="2194"/>
  <c r="BZ63" i="2194" s="1"/>
  <c r="AN62" i="2194"/>
  <c r="BZ166" i="2194" s="1"/>
  <c r="BQ62" i="2194"/>
  <c r="A63" i="2194"/>
  <c r="CD64" i="2194" s="1"/>
  <c r="G63" i="2194"/>
  <c r="AL64" i="2194"/>
  <c r="N66" i="2194"/>
  <c r="CD170" i="2194" s="1"/>
  <c r="AN66" i="2194"/>
  <c r="BZ170" i="2194" s="1"/>
  <c r="BQ66" i="2194"/>
  <c r="A67" i="2194"/>
  <c r="CD68" i="2194" s="1"/>
  <c r="G67" i="2194"/>
  <c r="AL68" i="2194"/>
  <c r="N70" i="2194"/>
  <c r="CD174" i="2194" s="1"/>
  <c r="T70" i="2194"/>
  <c r="N72" i="2194"/>
  <c r="CD176" i="2194" s="1"/>
  <c r="T72" i="2194"/>
  <c r="N74" i="2194"/>
  <c r="CD178" i="2194" s="1"/>
  <c r="T74" i="2194"/>
  <c r="N76" i="2194"/>
  <c r="CD180" i="2194" s="1"/>
  <c r="T76" i="2194"/>
  <c r="N78" i="2194"/>
  <c r="CD182" i="2194" s="1"/>
  <c r="T78" i="2194"/>
  <c r="AL79" i="2194"/>
  <c r="G80" i="2194"/>
  <c r="AI80" i="2194"/>
  <c r="BZ81" i="2194" s="1"/>
  <c r="A82" i="2194"/>
  <c r="CD83" i="2194" s="1"/>
  <c r="CG92" i="2194"/>
  <c r="AG84" i="2194"/>
  <c r="G84" i="2194"/>
  <c r="BQ84" i="2194"/>
  <c r="AI91" i="2194"/>
  <c r="BZ92" i="2194" s="1"/>
  <c r="AH92" i="2194"/>
  <c r="BY93" i="2194" s="1"/>
  <c r="AI92" i="2194"/>
  <c r="BZ93" i="2194" s="1"/>
  <c r="AM92" i="2194"/>
  <c r="BY196" i="2194" s="1"/>
  <c r="AN92" i="2194"/>
  <c r="BZ196" i="2194" s="1"/>
  <c r="AM99" i="2194"/>
  <c r="BY203" i="2194" s="1"/>
  <c r="AN99" i="2194"/>
  <c r="BZ203" i="2194" s="1"/>
  <c r="AM101" i="2194"/>
  <c r="BY205" i="2194" s="1"/>
  <c r="AN101" i="2194"/>
  <c r="BZ205" i="2194" s="1"/>
  <c r="AN105" i="2194"/>
  <c r="BZ209" i="2194" s="1"/>
  <c r="AM105" i="2194"/>
  <c r="BY209" i="2194" s="1"/>
  <c r="CG158" i="2194"/>
  <c r="CG162" i="2194"/>
  <c r="CG166" i="2194"/>
  <c r="AG56" i="2194"/>
  <c r="AI59" i="2194" s="1"/>
  <c r="BZ60" i="2194" s="1"/>
  <c r="CG170" i="2194"/>
  <c r="AG60" i="2194"/>
  <c r="CG174" i="2194"/>
  <c r="CG175" i="2194"/>
  <c r="AG65" i="2194"/>
  <c r="CG179" i="2194"/>
  <c r="AG69" i="2194"/>
  <c r="AL71" i="2194"/>
  <c r="AL73" i="2194"/>
  <c r="AL75" i="2194"/>
  <c r="AL77" i="2194"/>
  <c r="CG192" i="2194"/>
  <c r="CG195" i="2194"/>
  <c r="CG197" i="2194"/>
  <c r="AI87" i="2194"/>
  <c r="BZ88" i="2194" s="1"/>
  <c r="AL88" i="2194"/>
  <c r="T88" i="2194"/>
  <c r="N88" i="2194"/>
  <c r="CD192" i="2194" s="1"/>
  <c r="CG201" i="2194"/>
  <c r="AN89" i="2194"/>
  <c r="BZ193" i="2194" s="1"/>
  <c r="AM89" i="2194"/>
  <c r="BY193" i="2194" s="1"/>
  <c r="CG101" i="2194"/>
  <c r="CG205" i="2194"/>
  <c r="AM97" i="2194"/>
  <c r="BY201" i="2194" s="1"/>
  <c r="AN97" i="2194"/>
  <c r="BZ201" i="2194" s="1"/>
  <c r="CG210" i="2194"/>
  <c r="CG212" i="2194"/>
  <c r="N45" i="2194"/>
  <c r="CD149" i="2194" s="1"/>
  <c r="T45" i="2194"/>
  <c r="AM46" i="2194"/>
  <c r="BY150" i="2194" s="1"/>
  <c r="N49" i="2194"/>
  <c r="CD153" i="2194" s="1"/>
  <c r="T49" i="2194"/>
  <c r="AH50" i="2194"/>
  <c r="BY51" i="2194" s="1"/>
  <c r="AM50" i="2194"/>
  <c r="BY154" i="2194" s="1"/>
  <c r="N53" i="2194"/>
  <c r="CD157" i="2194" s="1"/>
  <c r="T53" i="2194"/>
  <c r="AH54" i="2194"/>
  <c r="BY55" i="2194" s="1"/>
  <c r="AM54" i="2194"/>
  <c r="BY158" i="2194" s="1"/>
  <c r="AM56" i="2194"/>
  <c r="BY160" i="2194" s="1"/>
  <c r="AG57" i="2194"/>
  <c r="N59" i="2194"/>
  <c r="CD163" i="2194" s="1"/>
  <c r="AM60" i="2194"/>
  <c r="BY164" i="2194" s="1"/>
  <c r="AG61" i="2194"/>
  <c r="D62" i="2194"/>
  <c r="N64" i="2194"/>
  <c r="CD168" i="2194" s="1"/>
  <c r="A65" i="2194"/>
  <c r="CD66" i="2194" s="1"/>
  <c r="AM65" i="2194"/>
  <c r="BY169" i="2194" s="1"/>
  <c r="AG66" i="2194"/>
  <c r="N68" i="2194"/>
  <c r="CD172" i="2194" s="1"/>
  <c r="A69" i="2194"/>
  <c r="CD70" i="2194" s="1"/>
  <c r="AM69" i="2194"/>
  <c r="BY173" i="2194" s="1"/>
  <c r="N71" i="2194"/>
  <c r="CD175" i="2194" s="1"/>
  <c r="AH71" i="2194"/>
  <c r="BY72" i="2194" s="1"/>
  <c r="N73" i="2194"/>
  <c r="CD177" i="2194" s="1"/>
  <c r="AH73" i="2194"/>
  <c r="BY74" i="2194" s="1"/>
  <c r="N75" i="2194"/>
  <c r="CD179" i="2194" s="1"/>
  <c r="AH75" i="2194"/>
  <c r="BY76" i="2194" s="1"/>
  <c r="N77" i="2194"/>
  <c r="CD181" i="2194" s="1"/>
  <c r="AH77" i="2194"/>
  <c r="BY78" i="2194" s="1"/>
  <c r="N79" i="2194"/>
  <c r="CD183" i="2194" s="1"/>
  <c r="AH81" i="2194"/>
  <c r="BY82" i="2194" s="1"/>
  <c r="AM81" i="2194"/>
  <c r="BY185" i="2194" s="1"/>
  <c r="AI82" i="2194"/>
  <c r="BZ83" i="2194" s="1"/>
  <c r="AH83" i="2194"/>
  <c r="BY84" i="2194" s="1"/>
  <c r="CG198" i="2194"/>
  <c r="D86" i="2194"/>
  <c r="AP86" i="2194"/>
  <c r="A86" i="2194" s="1"/>
  <c r="CD87" i="2194" s="1"/>
  <c r="G89" i="2194"/>
  <c r="A89" i="2194"/>
  <c r="CD90" i="2194" s="1"/>
  <c r="BQ90" i="2194"/>
  <c r="CG203" i="2194"/>
  <c r="AN91" i="2194"/>
  <c r="BZ195" i="2194" s="1"/>
  <c r="AI93" i="2194"/>
  <c r="BZ94" i="2194" s="1"/>
  <c r="AH93" i="2194"/>
  <c r="BY94" i="2194" s="1"/>
  <c r="AM95" i="2194"/>
  <c r="BY199" i="2194" s="1"/>
  <c r="AN95" i="2194"/>
  <c r="BZ199" i="2194" s="1"/>
  <c r="CG208" i="2194"/>
  <c r="AI98" i="2194"/>
  <c r="BZ99" i="2194" s="1"/>
  <c r="AH98" i="2194"/>
  <c r="BY99" i="2194" s="1"/>
  <c r="AI100" i="2194"/>
  <c r="BZ101" i="2194" s="1"/>
  <c r="AH100" i="2194"/>
  <c r="BY101" i="2194" s="1"/>
  <c r="AH103" i="2194"/>
  <c r="BY104" i="2194" s="1"/>
  <c r="AI103" i="2194"/>
  <c r="BZ104" i="2194" s="1"/>
  <c r="N42" i="2194"/>
  <c r="CD146" i="2194" s="1"/>
  <c r="N44" i="2194"/>
  <c r="CD148" i="2194" s="1"/>
  <c r="T44" i="2194"/>
  <c r="N48" i="2194"/>
  <c r="CD152" i="2194" s="1"/>
  <c r="T48" i="2194"/>
  <c r="N52" i="2194"/>
  <c r="CD156" i="2194" s="1"/>
  <c r="T52" i="2194"/>
  <c r="N56" i="2194"/>
  <c r="CD160" i="2194" s="1"/>
  <c r="N60" i="2194"/>
  <c r="CD164" i="2194" s="1"/>
  <c r="N65" i="2194"/>
  <c r="CD169" i="2194" s="1"/>
  <c r="A66" i="2194"/>
  <c r="CD67" i="2194" s="1"/>
  <c r="N69" i="2194"/>
  <c r="CD173" i="2194" s="1"/>
  <c r="A70" i="2194"/>
  <c r="CD71" i="2194" s="1"/>
  <c r="G70" i="2194"/>
  <c r="A72" i="2194"/>
  <c r="CD73" i="2194" s="1"/>
  <c r="G72" i="2194"/>
  <c r="A74" i="2194"/>
  <c r="CD75" i="2194" s="1"/>
  <c r="G74" i="2194"/>
  <c r="G76" i="2194"/>
  <c r="G78" i="2194"/>
  <c r="T82" i="2194"/>
  <c r="N82" i="2194"/>
  <c r="CD186" i="2194" s="1"/>
  <c r="CG196" i="2194"/>
  <c r="D84" i="2194"/>
  <c r="AP84" i="2194"/>
  <c r="A84" i="2194" s="1"/>
  <c r="CD85" i="2194" s="1"/>
  <c r="AG86" i="2194"/>
  <c r="G86" i="2194"/>
  <c r="BQ86" i="2194"/>
  <c r="BO86" i="2194"/>
  <c r="CG199" i="2194"/>
  <c r="AN87" i="2194"/>
  <c r="BZ191" i="2194" s="1"/>
  <c r="AH88" i="2194"/>
  <c r="BY89" i="2194" s="1"/>
  <c r="AG89" i="2194"/>
  <c r="CG99" i="2194"/>
  <c r="CG103" i="2194"/>
  <c r="AI96" i="2194"/>
  <c r="BZ97" i="2194" s="1"/>
  <c r="AH96" i="2194"/>
  <c r="BY97" i="2194" s="1"/>
  <c r="AH99" i="2194"/>
  <c r="BY100" i="2194" s="1"/>
  <c r="AI99" i="2194"/>
  <c r="BZ100" i="2194" s="1"/>
  <c r="AH101" i="2194"/>
  <c r="BY102" i="2194" s="1"/>
  <c r="AI101" i="2194"/>
  <c r="BZ102" i="2194" s="1"/>
  <c r="CG214" i="2194"/>
  <c r="AM103" i="2194"/>
  <c r="BY207" i="2194" s="1"/>
  <c r="AN103" i="2194"/>
  <c r="BZ207" i="2194" s="1"/>
  <c r="CG216" i="2194"/>
  <c r="AL84" i="2194"/>
  <c r="AL86" i="2194"/>
  <c r="AG90" i="2194"/>
  <c r="N92" i="2194"/>
  <c r="CD196" i="2194" s="1"/>
  <c r="T92" i="2194"/>
  <c r="A93" i="2194"/>
  <c r="CD94" i="2194" s="1"/>
  <c r="G93" i="2194"/>
  <c r="AM93" i="2194"/>
  <c r="BY197" i="2194" s="1"/>
  <c r="AG94" i="2194"/>
  <c r="G96" i="2194"/>
  <c r="AL96" i="2194"/>
  <c r="AP96" i="2194"/>
  <c r="A96" i="2194" s="1"/>
  <c r="CD97" i="2194" s="1"/>
  <c r="BO96" i="2194"/>
  <c r="G98" i="2194"/>
  <c r="AL98" i="2194"/>
  <c r="AP98" i="2194"/>
  <c r="A98" i="2194" s="1"/>
  <c r="CD99" i="2194" s="1"/>
  <c r="BO98" i="2194"/>
  <c r="G100" i="2194"/>
  <c r="AL100" i="2194"/>
  <c r="AL102" i="2194"/>
  <c r="AL104" i="2194"/>
  <c r="BQ105" i="2194"/>
  <c r="BO112" i="2194"/>
  <c r="BO113" i="2194"/>
  <c r="BQ114" i="2194"/>
  <c r="BO114" i="2194"/>
  <c r="N84" i="2194"/>
  <c r="CD188" i="2194" s="1"/>
  <c r="N86" i="2194"/>
  <c r="CD190" i="2194" s="1"/>
  <c r="N89" i="2194"/>
  <c r="CD193" i="2194" s="1"/>
  <c r="A90" i="2194"/>
  <c r="CD91" i="2194" s="1"/>
  <c r="N93" i="2194"/>
  <c r="CD197" i="2194" s="1"/>
  <c r="A94" i="2194"/>
  <c r="CD95" i="2194" s="1"/>
  <c r="AM94" i="2194"/>
  <c r="BY198" i="2194" s="1"/>
  <c r="N96" i="2194"/>
  <c r="CD200" i="2194" s="1"/>
  <c r="CG96" i="2194"/>
  <c r="N98" i="2194"/>
  <c r="CD202" i="2194" s="1"/>
  <c r="N100" i="2194"/>
  <c r="CD204" i="2194" s="1"/>
  <c r="CG100" i="2194"/>
  <c r="N102" i="2194"/>
  <c r="CD206" i="2194" s="1"/>
  <c r="AH102" i="2194"/>
  <c r="BY103" i="2194" s="1"/>
  <c r="N104" i="2194"/>
  <c r="CD208" i="2194" s="1"/>
  <c r="AH104" i="2194"/>
  <c r="BY105" i="2194" s="1"/>
  <c r="AH105" i="2194"/>
  <c r="BY106" i="2194" s="1"/>
  <c r="BO105" i="2194"/>
  <c r="BQ107" i="2194"/>
  <c r="CG111" i="2194"/>
  <c r="BQ112" i="2194"/>
  <c r="BQ113" i="2194"/>
  <c r="CG202" i="2194"/>
  <c r="CG206" i="2194"/>
  <c r="BO120" i="2194"/>
  <c r="BQ120" i="2194"/>
  <c r="CG207" i="2194"/>
  <c r="CG209" i="2194"/>
  <c r="CG211" i="2194"/>
  <c r="CG213" i="2194"/>
  <c r="CG215" i="2194"/>
  <c r="T105" i="2194"/>
  <c r="BQ109" i="2194"/>
  <c r="BQ118" i="2194"/>
  <c r="BQ122" i="2194"/>
  <c r="BO122" i="2194"/>
  <c r="BQ130" i="2194"/>
  <c r="BQ138" i="2194"/>
  <c r="BO138" i="2194"/>
  <c r="BO144" i="2194"/>
  <c r="BO145" i="2194"/>
  <c r="BO124" i="2194"/>
  <c r="BQ124" i="2194"/>
  <c r="BO140" i="2194"/>
  <c r="BQ140" i="2194"/>
  <c r="BQ110" i="2194"/>
  <c r="BO128" i="2194"/>
  <c r="BQ146" i="2194"/>
  <c r="BO146" i="2194"/>
  <c r="BQ126" i="2194"/>
  <c r="BQ134" i="2194"/>
  <c r="BO149" i="2194"/>
  <c r="BO162" i="2194"/>
  <c r="BQ162" i="2194"/>
  <c r="BQ164" i="2194"/>
  <c r="BO164" i="2194"/>
  <c r="BQ168" i="2194"/>
  <c r="BO168" i="2194"/>
  <c r="BO172" i="2194"/>
  <c r="BQ172" i="2194"/>
  <c r="BQ142" i="2194"/>
  <c r="BQ152" i="2194"/>
  <c r="BQ156" i="2194"/>
  <c r="BO156" i="2194"/>
  <c r="BQ160" i="2194"/>
  <c r="BO160" i="2194"/>
  <c r="BO171" i="2194"/>
  <c r="BQ171" i="2194"/>
  <c r="BQ173" i="2194"/>
  <c r="BO173" i="2194"/>
  <c r="BQ154" i="2194"/>
  <c r="BO154" i="2194"/>
  <c r="BQ150" i="2194"/>
  <c r="BO158" i="2194"/>
  <c r="BQ158" i="2194"/>
  <c r="BO166" i="2194"/>
  <c r="BQ166" i="2194"/>
  <c r="BO187" i="2194"/>
  <c r="BQ188" i="2194"/>
  <c r="BO188" i="2194"/>
  <c r="BO179" i="2194"/>
  <c r="BO180" i="2194"/>
  <c r="BQ181" i="2194"/>
  <c r="BO181" i="2194"/>
  <c r="BQ187" i="2194"/>
  <c r="BQ197" i="2194"/>
  <c r="BO216" i="2194"/>
  <c r="BQ216" i="2194"/>
  <c r="BQ177" i="2194"/>
  <c r="BQ183" i="2194"/>
  <c r="BQ193" i="2194"/>
  <c r="BO197" i="2194"/>
  <c r="BQ199" i="2194"/>
  <c r="BO212" i="2194"/>
  <c r="BQ212" i="2194"/>
  <c r="BQ189" i="2194"/>
  <c r="BQ195" i="2194"/>
  <c r="BQ185" i="2194"/>
  <c r="BO189" i="2194"/>
  <c r="BQ201" i="2194"/>
  <c r="BO210" i="2194"/>
  <c r="BQ210" i="2194"/>
  <c r="BQ204" i="2194"/>
  <c r="BQ214" i="2194"/>
  <c r="BO214" i="2194"/>
  <c r="BQ206" i="2194"/>
  <c r="BQ219" i="2194"/>
  <c r="BO219" i="2194"/>
  <c r="BQ221" i="2194"/>
  <c r="BO221" i="2194"/>
  <c r="BQ223" i="2194"/>
  <c r="BO223" i="2194"/>
  <c r="BQ225" i="2194"/>
  <c r="BO225" i="2194"/>
  <c r="BQ227" i="2194"/>
  <c r="BO227" i="2194"/>
  <c r="BQ229" i="2194"/>
  <c r="BO229" i="2194"/>
  <c r="BQ231" i="2194"/>
  <c r="BO231" i="2194"/>
  <c r="BQ233" i="2194"/>
  <c r="BO233" i="2194"/>
  <c r="BQ235" i="2194"/>
  <c r="BO235" i="2194"/>
  <c r="BQ237" i="2194"/>
  <c r="BO237" i="2194"/>
  <c r="BQ239" i="2194"/>
  <c r="BO239" i="2194"/>
  <c r="BQ241" i="2194"/>
  <c r="BO241" i="2194"/>
  <c r="BQ243" i="2194"/>
  <c r="BO243" i="2194"/>
  <c r="BQ245" i="2194"/>
  <c r="BO245" i="2194"/>
  <c r="BQ247" i="2194"/>
  <c r="BO247" i="2194"/>
  <c r="BQ249" i="2194"/>
  <c r="BO249" i="2194"/>
  <c r="BQ251" i="2194"/>
  <c r="BO251" i="2194"/>
  <c r="BQ253" i="2194"/>
  <c r="BO253" i="2194"/>
  <c r="BQ255" i="2194"/>
  <c r="BO255" i="2194"/>
  <c r="BQ257" i="2194"/>
  <c r="BO257" i="2194"/>
  <c r="BQ259" i="2194"/>
  <c r="BO259" i="2194"/>
  <c r="BQ218" i="2194"/>
  <c r="BQ220" i="2194"/>
  <c r="BQ222" i="2194"/>
  <c r="BQ224" i="2194"/>
  <c r="BQ226" i="2194"/>
  <c r="BQ228" i="2194"/>
  <c r="BQ230" i="2194"/>
  <c r="BQ232" i="2194"/>
  <c r="BQ234" i="2194"/>
  <c r="BQ236" i="2194"/>
  <c r="BQ238" i="2194"/>
  <c r="BQ240" i="2194"/>
  <c r="BQ242" i="2194"/>
  <c r="BQ244" i="2194"/>
  <c r="BQ246" i="2194"/>
  <c r="BQ248" i="2194"/>
  <c r="BQ250" i="2194"/>
  <c r="BQ252" i="2194"/>
  <c r="BQ254" i="2194"/>
  <c r="BQ256" i="2194"/>
  <c r="BQ258" i="2194"/>
  <c r="BO218" i="2194"/>
  <c r="BO220" i="2194"/>
  <c r="BO222" i="2194"/>
  <c r="BO224" i="2194"/>
  <c r="BO226" i="2194"/>
  <c r="BO228" i="2194"/>
  <c r="BO230" i="2194"/>
  <c r="BO232" i="2194"/>
  <c r="BO234" i="2194"/>
  <c r="BO236" i="2194"/>
  <c r="BO238" i="2194"/>
  <c r="BO240" i="2194"/>
  <c r="BO242" i="2194"/>
  <c r="BO244" i="2194"/>
  <c r="BO246" i="2194"/>
  <c r="BO248" i="2194"/>
  <c r="BO250" i="2194"/>
  <c r="BO252" i="2194"/>
  <c r="BO254" i="2194"/>
  <c r="BO256" i="2194"/>
  <c r="BO258" i="2194"/>
  <c r="AH46" i="2194" l="1"/>
  <c r="BY47" i="2194" s="1"/>
  <c r="AI53" i="2194"/>
  <c r="BZ54" i="2194" s="1"/>
  <c r="AH48" i="2194"/>
  <c r="BY49" i="2194" s="1"/>
  <c r="AH24" i="2194"/>
  <c r="BY25" i="2194" s="1"/>
  <c r="AH33" i="2194"/>
  <c r="BY34" i="2194" s="1"/>
  <c r="AI50" i="2194"/>
  <c r="BZ51" i="2194" s="1"/>
  <c r="AH41" i="2194"/>
  <c r="BY42" i="2194" s="1"/>
  <c r="AI41" i="2194"/>
  <c r="BZ42" i="2194" s="1"/>
  <c r="AI48" i="2194"/>
  <c r="BZ49" i="2194" s="1"/>
  <c r="AI46" i="2194"/>
  <c r="BZ47" i="2194" s="1"/>
  <c r="AH49" i="2194"/>
  <c r="BY50" i="2194" s="1"/>
  <c r="AH52" i="2194"/>
  <c r="BY53" i="2194" s="1"/>
  <c r="AH38" i="2194"/>
  <c r="BY39" i="2194" s="1"/>
  <c r="AH53" i="2194"/>
  <c r="BY54" i="2194" s="1"/>
  <c r="AI54" i="2194"/>
  <c r="BZ55" i="2194" s="1"/>
  <c r="AH58" i="2194"/>
  <c r="BY59" i="2194" s="1"/>
  <c r="AH59" i="2194"/>
  <c r="BY60" i="2194" s="1"/>
  <c r="AI58" i="2194"/>
  <c r="BZ59" i="2194" s="1"/>
  <c r="BO19" i="2194"/>
  <c r="AH11" i="2194"/>
  <c r="BY12" i="2194" s="1"/>
  <c r="AI35" i="2194"/>
  <c r="BZ36" i="2194" s="1"/>
  <c r="AI33" i="2194"/>
  <c r="BZ34" i="2194" s="1"/>
  <c r="AI32" i="2194"/>
  <c r="BZ33" i="2194" s="1"/>
  <c r="AH36" i="2194"/>
  <c r="BY37" i="2194" s="1"/>
  <c r="AH35" i="2194"/>
  <c r="BY36" i="2194" s="1"/>
  <c r="AH32" i="2194"/>
  <c r="BY33" i="2194" s="1"/>
  <c r="AI37" i="2194"/>
  <c r="BZ38" i="2194" s="1"/>
  <c r="AI8" i="2194"/>
  <c r="BZ9" i="2194" s="1"/>
  <c r="AI36" i="2194"/>
  <c r="BZ37" i="2194" s="1"/>
  <c r="AH23" i="2194"/>
  <c r="BY24" i="2194" s="1"/>
  <c r="AH28" i="2194"/>
  <c r="BY29" i="2194" s="1"/>
  <c r="AI31" i="2194"/>
  <c r="BZ32" i="2194" s="1"/>
  <c r="AI26" i="2194"/>
  <c r="BZ27" i="2194" s="1"/>
  <c r="AI27" i="2194"/>
  <c r="BZ28" i="2194" s="1"/>
  <c r="AI30" i="2194"/>
  <c r="BZ31" i="2194" s="1"/>
  <c r="AI23" i="2194"/>
  <c r="BZ24" i="2194" s="1"/>
  <c r="AH29" i="2194"/>
  <c r="BY30" i="2194" s="1"/>
  <c r="AH31" i="2194"/>
  <c r="BY32" i="2194" s="1"/>
  <c r="AI25" i="2194"/>
  <c r="BZ26" i="2194" s="1"/>
  <c r="AH30" i="2194"/>
  <c r="BY31" i="2194" s="1"/>
  <c r="AI17" i="2194"/>
  <c r="BZ18" i="2194" s="1"/>
  <c r="AI19" i="2194"/>
  <c r="BZ20" i="2194" s="1"/>
  <c r="AH20" i="2194"/>
  <c r="BY21" i="2194" s="1"/>
  <c r="AI29" i="2194"/>
  <c r="BZ30" i="2194" s="1"/>
  <c r="AI24" i="2194"/>
  <c r="BZ25" i="2194" s="1"/>
  <c r="AH27" i="2194"/>
  <c r="BY28" i="2194" s="1"/>
  <c r="AH25" i="2194"/>
  <c r="BY26" i="2194" s="1"/>
  <c r="AH13" i="2194"/>
  <c r="BY14" i="2194" s="1"/>
  <c r="AH19" i="2194"/>
  <c r="BY20" i="2194" s="1"/>
  <c r="AI20" i="2194"/>
  <c r="BZ21" i="2194" s="1"/>
  <c r="AI28" i="2194"/>
  <c r="BZ29" i="2194" s="1"/>
  <c r="AI18" i="2194"/>
  <c r="BZ19" i="2194" s="1"/>
  <c r="BO18" i="2194"/>
  <c r="AH17" i="2194"/>
  <c r="BY18" i="2194" s="1"/>
  <c r="AI16" i="2194"/>
  <c r="BZ17" i="2194" s="1"/>
  <c r="AI4" i="2194"/>
  <c r="BZ5" i="2194" s="1"/>
  <c r="AH5" i="2194"/>
  <c r="BY6" i="2194" s="1"/>
  <c r="AI15" i="2194"/>
  <c r="BZ16" i="2194" s="1"/>
  <c r="AI11" i="2194"/>
  <c r="BZ12" i="2194" s="1"/>
  <c r="AH4" i="2194"/>
  <c r="BY5" i="2194" s="1"/>
  <c r="AI5" i="2194"/>
  <c r="BZ6" i="2194" s="1"/>
  <c r="AI7" i="2194"/>
  <c r="BZ8" i="2194" s="1"/>
  <c r="AI10" i="2194"/>
  <c r="BZ11" i="2194" s="1"/>
  <c r="AH10" i="2194"/>
  <c r="BY11" i="2194" s="1"/>
  <c r="AI14" i="2194"/>
  <c r="BZ15" i="2194" s="1"/>
  <c r="AH14" i="2194"/>
  <c r="BY15" i="2194" s="1"/>
  <c r="AH12" i="2194"/>
  <c r="BY13" i="2194" s="1"/>
  <c r="AI13" i="2194"/>
  <c r="BZ14" i="2194" s="1"/>
  <c r="AI12" i="2194"/>
  <c r="BZ13" i="2194" s="1"/>
  <c r="AH8" i="2194"/>
  <c r="BY9" i="2194" s="1"/>
  <c r="AH7" i="2194"/>
  <c r="BY8" i="2194" s="1"/>
  <c r="BG14" i="2194"/>
  <c r="BG15" i="2194"/>
  <c r="BT31" i="2194"/>
  <c r="BG13" i="2194"/>
  <c r="BG18" i="2194"/>
  <c r="BG10" i="2194"/>
  <c r="BG12" i="2194"/>
  <c r="BP36" i="2194"/>
  <c r="BT9" i="2194"/>
  <c r="BT23" i="2194"/>
  <c r="BT24" i="2194"/>
  <c r="BT6" i="2194"/>
  <c r="BT26" i="2194"/>
  <c r="BT27" i="2194"/>
  <c r="BT39" i="2194"/>
  <c r="CE122" i="2194"/>
  <c r="CE166" i="2194"/>
  <c r="CE171" i="2194"/>
  <c r="CE134" i="2194"/>
  <c r="CE132" i="2194"/>
  <c r="CE206" i="2194"/>
  <c r="CE165" i="2194"/>
  <c r="AI97" i="2194"/>
  <c r="BZ98" i="2194" s="1"/>
  <c r="AH97" i="2194"/>
  <c r="BY98" i="2194" s="1"/>
  <c r="AM63" i="2194"/>
  <c r="BY167" i="2194" s="1"/>
  <c r="AN63" i="2194"/>
  <c r="BZ167" i="2194" s="1"/>
  <c r="BT20" i="2194"/>
  <c r="BP20" i="2194"/>
  <c r="BU20" i="2194" s="1"/>
  <c r="CE172" i="2194"/>
  <c r="CE168" i="2194"/>
  <c r="CE126" i="2194"/>
  <c r="AI85" i="2194"/>
  <c r="BZ86" i="2194" s="1"/>
  <c r="AH85" i="2194"/>
  <c r="BY86" i="2194" s="1"/>
  <c r="CE202" i="2194"/>
  <c r="CE135" i="2194"/>
  <c r="CE173" i="2194"/>
  <c r="CE125" i="2194"/>
  <c r="CE131" i="2194"/>
  <c r="CE207" i="2194"/>
  <c r="CE205" i="2194"/>
  <c r="CE167" i="2194"/>
  <c r="CE170" i="2194"/>
  <c r="CE124" i="2194"/>
  <c r="CE121" i="2194"/>
  <c r="CE169" i="2194"/>
  <c r="CE123" i="2194"/>
  <c r="AM90" i="2194"/>
  <c r="BY194" i="2194" s="1"/>
  <c r="AN90" i="2194"/>
  <c r="BZ194" i="2194" s="1"/>
  <c r="AM67" i="2194"/>
  <c r="BY171" i="2194" s="1"/>
  <c r="AN67" i="2194"/>
  <c r="BZ171" i="2194" s="1"/>
  <c r="AH39" i="2194"/>
  <c r="BY40" i="2194" s="1"/>
  <c r="AI39" i="2194"/>
  <c r="BZ40" i="2194" s="1"/>
  <c r="AM23" i="2194"/>
  <c r="BY127" i="2194" s="1"/>
  <c r="AN23" i="2194"/>
  <c r="BZ127" i="2194" s="1"/>
  <c r="BT11" i="2194"/>
  <c r="CG217" i="2194"/>
  <c r="CE209" i="2194" s="1"/>
  <c r="CG105" i="2194"/>
  <c r="AN84" i="2194"/>
  <c r="BZ188" i="2194" s="1"/>
  <c r="AM84" i="2194"/>
  <c r="BY188" i="2194" s="1"/>
  <c r="CG85" i="2194"/>
  <c r="CE203" i="2194"/>
  <c r="AN100" i="2194"/>
  <c r="BZ204" i="2194" s="1"/>
  <c r="AM100" i="2194"/>
  <c r="BY204" i="2194" s="1"/>
  <c r="CG102" i="2194"/>
  <c r="CE96" i="2194" s="1"/>
  <c r="AI90" i="2194"/>
  <c r="BZ91" i="2194" s="1"/>
  <c r="AH90" i="2194"/>
  <c r="BY91" i="2194" s="1"/>
  <c r="CG95" i="2194"/>
  <c r="CG194" i="2194"/>
  <c r="CE188" i="2194" s="1"/>
  <c r="CG81" i="2194"/>
  <c r="CG164" i="2194"/>
  <c r="AH61" i="2194"/>
  <c r="BY62" i="2194" s="1"/>
  <c r="AI61" i="2194"/>
  <c r="BZ62" i="2194" s="1"/>
  <c r="AH57" i="2194"/>
  <c r="BY58" i="2194" s="1"/>
  <c r="AI57" i="2194"/>
  <c r="BZ58" i="2194" s="1"/>
  <c r="CG157" i="2194"/>
  <c r="AN77" i="2194"/>
  <c r="BZ181" i="2194" s="1"/>
  <c r="AM77" i="2194"/>
  <c r="BY181" i="2194" s="1"/>
  <c r="CG89" i="2194"/>
  <c r="CG190" i="2194"/>
  <c r="CG188" i="2194"/>
  <c r="CG186" i="2194"/>
  <c r="AN68" i="2194"/>
  <c r="BZ172" i="2194" s="1"/>
  <c r="AM68" i="2194"/>
  <c r="BY172" i="2194" s="1"/>
  <c r="AN64" i="2194"/>
  <c r="BZ168" i="2194" s="1"/>
  <c r="AM64" i="2194"/>
  <c r="BY168" i="2194" s="1"/>
  <c r="CG163" i="2194"/>
  <c r="AI47" i="2194"/>
  <c r="BZ48" i="2194" s="1"/>
  <c r="AH47" i="2194"/>
  <c r="BY48" i="2194" s="1"/>
  <c r="BP45" i="2194"/>
  <c r="BU45" i="2194" s="1"/>
  <c r="CG152" i="2194"/>
  <c r="AI42" i="2194"/>
  <c r="BZ43" i="2194" s="1"/>
  <c r="AH42" i="2194"/>
  <c r="BY43" i="2194" s="1"/>
  <c r="AM35" i="2194"/>
  <c r="BY139" i="2194" s="1"/>
  <c r="AN35" i="2194"/>
  <c r="BZ139" i="2194" s="1"/>
  <c r="AM19" i="2194"/>
  <c r="BY123" i="2194" s="1"/>
  <c r="AN19" i="2194"/>
  <c r="BZ123" i="2194" s="1"/>
  <c r="BG9" i="2194"/>
  <c r="CG120" i="2194"/>
  <c r="CE133" i="2194"/>
  <c r="AN26" i="2194"/>
  <c r="BZ130" i="2194" s="1"/>
  <c r="AM26" i="2194"/>
  <c r="BY130" i="2194" s="1"/>
  <c r="CE127" i="2194"/>
  <c r="AN18" i="2194"/>
  <c r="BZ122" i="2194" s="1"/>
  <c r="AM18" i="2194"/>
  <c r="BY122" i="2194" s="1"/>
  <c r="AH40" i="2194"/>
  <c r="BY41" i="2194" s="1"/>
  <c r="AI40" i="2194"/>
  <c r="BZ41" i="2194" s="1"/>
  <c r="AN33" i="2194"/>
  <c r="BZ137" i="2194" s="1"/>
  <c r="AM33" i="2194"/>
  <c r="BY137" i="2194" s="1"/>
  <c r="BP28" i="2194"/>
  <c r="BU28" i="2194" s="1"/>
  <c r="BG16" i="2194"/>
  <c r="CE120" i="2194"/>
  <c r="CE130" i="2194"/>
  <c r="CE208" i="2194"/>
  <c r="AI89" i="2194"/>
  <c r="BZ90" i="2194" s="1"/>
  <c r="AH89" i="2194"/>
  <c r="BY90" i="2194" s="1"/>
  <c r="AI86" i="2194"/>
  <c r="BZ87" i="2194" s="1"/>
  <c r="AH86" i="2194"/>
  <c r="BY87" i="2194" s="1"/>
  <c r="CG87" i="2194"/>
  <c r="CG83" i="2194"/>
  <c r="CG98" i="2194"/>
  <c r="CE93" i="2194" s="1"/>
  <c r="CG161" i="2194"/>
  <c r="CE204" i="2194"/>
  <c r="CG200" i="2194"/>
  <c r="CE192" i="2194" s="1"/>
  <c r="AN75" i="2194"/>
  <c r="BZ179" i="2194" s="1"/>
  <c r="AM75" i="2194"/>
  <c r="BY179" i="2194" s="1"/>
  <c r="AI69" i="2194"/>
  <c r="BZ70" i="2194" s="1"/>
  <c r="AH69" i="2194"/>
  <c r="BY70" i="2194" s="1"/>
  <c r="AI65" i="2194"/>
  <c r="BZ66" i="2194" s="1"/>
  <c r="AH65" i="2194"/>
  <c r="BY66" i="2194" s="1"/>
  <c r="AN59" i="2194"/>
  <c r="BZ163" i="2194" s="1"/>
  <c r="AM59" i="2194"/>
  <c r="BY163" i="2194" s="1"/>
  <c r="CG159" i="2194"/>
  <c r="AI43" i="2194"/>
  <c r="BZ44" i="2194" s="1"/>
  <c r="AH43" i="2194"/>
  <c r="BY44" i="2194" s="1"/>
  <c r="AN41" i="2194"/>
  <c r="BZ145" i="2194" s="1"/>
  <c r="AM41" i="2194"/>
  <c r="BY145" i="2194" s="1"/>
  <c r="BT44" i="2194"/>
  <c r="BP40" i="2194"/>
  <c r="BU40" i="2194" s="1"/>
  <c r="AH22" i="2194"/>
  <c r="BY23" i="2194" s="1"/>
  <c r="AI22" i="2194"/>
  <c r="BZ23" i="2194" s="1"/>
  <c r="AI34" i="2194"/>
  <c r="BZ35" i="2194" s="1"/>
  <c r="AH34" i="2194"/>
  <c r="BY35" i="2194" s="1"/>
  <c r="AN25" i="2194"/>
  <c r="BZ129" i="2194" s="1"/>
  <c r="AM25" i="2194"/>
  <c r="BY129" i="2194" s="1"/>
  <c r="AI21" i="2194"/>
  <c r="BZ22" i="2194" s="1"/>
  <c r="AH21" i="2194"/>
  <c r="BY22" i="2194" s="1"/>
  <c r="BG17" i="2194"/>
  <c r="AY2" i="2194"/>
  <c r="AI6" i="2194"/>
  <c r="BZ7" i="2194" s="1"/>
  <c r="AH6" i="2194"/>
  <c r="BY7" i="2194" s="1"/>
  <c r="CG117" i="2194"/>
  <c r="AM3" i="2194"/>
  <c r="BY107" i="2194" s="1"/>
  <c r="AN3" i="2194"/>
  <c r="BZ107" i="2194" s="1"/>
  <c r="BT30" i="2194"/>
  <c r="AW2" i="2194"/>
  <c r="BT32" i="2194"/>
  <c r="CG109" i="2194"/>
  <c r="AN98" i="2194"/>
  <c r="BZ202" i="2194" s="1"/>
  <c r="AM98" i="2194"/>
  <c r="BY202" i="2194" s="1"/>
  <c r="AN104" i="2194"/>
  <c r="BZ208" i="2194" s="1"/>
  <c r="AM104" i="2194"/>
  <c r="BY208" i="2194" s="1"/>
  <c r="CG107" i="2194"/>
  <c r="CE100" i="2194" s="1"/>
  <c r="AN96" i="2194"/>
  <c r="BZ200" i="2194" s="1"/>
  <c r="AM96" i="2194"/>
  <c r="BY200" i="2194" s="1"/>
  <c r="AI94" i="2194"/>
  <c r="BZ95" i="2194" s="1"/>
  <c r="AH94" i="2194"/>
  <c r="BY95" i="2194" s="1"/>
  <c r="CG204" i="2194"/>
  <c r="CE199" i="2194" s="1"/>
  <c r="AN86" i="2194"/>
  <c r="BZ190" i="2194" s="1"/>
  <c r="AM86" i="2194"/>
  <c r="BY190" i="2194" s="1"/>
  <c r="CG79" i="2194"/>
  <c r="CG156" i="2194"/>
  <c r="CG165" i="2194"/>
  <c r="AN88" i="2194"/>
  <c r="BZ192" i="2194" s="1"/>
  <c r="AM88" i="2194"/>
  <c r="BY192" i="2194" s="1"/>
  <c r="AN73" i="2194"/>
  <c r="BZ177" i="2194" s="1"/>
  <c r="AM73" i="2194"/>
  <c r="BY177" i="2194" s="1"/>
  <c r="AI56" i="2194"/>
  <c r="BZ57" i="2194" s="1"/>
  <c r="AH56" i="2194"/>
  <c r="BY57" i="2194" s="1"/>
  <c r="CG93" i="2194"/>
  <c r="AN79" i="2194"/>
  <c r="BZ183" i="2194" s="1"/>
  <c r="AM79" i="2194"/>
  <c r="BY183" i="2194" s="1"/>
  <c r="CG182" i="2194"/>
  <c r="CE174" i="2194" s="1"/>
  <c r="CG76" i="2194"/>
  <c r="CG72" i="2194"/>
  <c r="AI55" i="2194"/>
  <c r="BZ56" i="2194" s="1"/>
  <c r="AH55" i="2194"/>
  <c r="BY56" i="2194" s="1"/>
  <c r="CG155" i="2194"/>
  <c r="CG150" i="2194"/>
  <c r="BG11" i="2194"/>
  <c r="AN28" i="2194"/>
  <c r="BZ132" i="2194" s="1"/>
  <c r="AM28" i="2194"/>
  <c r="BY132" i="2194" s="1"/>
  <c r="AN24" i="2194"/>
  <c r="BZ128" i="2194" s="1"/>
  <c r="AM24" i="2194"/>
  <c r="BY128" i="2194" s="1"/>
  <c r="BE19" i="2194"/>
  <c r="BG8" i="2194"/>
  <c r="AI44" i="2194"/>
  <c r="BZ45" i="2194" s="1"/>
  <c r="AH44" i="2194"/>
  <c r="BY45" i="2194" s="1"/>
  <c r="CG144" i="2194"/>
  <c r="CE138" i="2194" s="1"/>
  <c r="BP22" i="2194"/>
  <c r="BU22" i="2194" s="1"/>
  <c r="CG122" i="2194"/>
  <c r="CE117" i="2194" s="1"/>
  <c r="AI9" i="2194"/>
  <c r="BZ10" i="2194" s="1"/>
  <c r="AH9" i="2194"/>
  <c r="BY10" i="2194" s="1"/>
  <c r="AH3" i="2194"/>
  <c r="BY4" i="2194" s="1"/>
  <c r="AI3" i="2194"/>
  <c r="BZ4" i="2194" s="1"/>
  <c r="BM42" i="2194"/>
  <c r="BP42" i="2194"/>
  <c r="BP51" i="2194"/>
  <c r="BP47" i="2194"/>
  <c r="BM44" i="2194"/>
  <c r="BM37" i="2194"/>
  <c r="BM21" i="2194"/>
  <c r="BP37" i="2194"/>
  <c r="BP21" i="2194"/>
  <c r="BP34" i="2194"/>
  <c r="BM32" i="2194"/>
  <c r="BM30" i="2194"/>
  <c r="BM40" i="2194"/>
  <c r="CE129" i="2194"/>
  <c r="AU16" i="2194"/>
  <c r="BP29" i="2194"/>
  <c r="CE128" i="2194"/>
  <c r="AN102" i="2194"/>
  <c r="BZ206" i="2194" s="1"/>
  <c r="AM102" i="2194"/>
  <c r="BY206" i="2194" s="1"/>
  <c r="CG160" i="2194"/>
  <c r="CE152" i="2194" s="1"/>
  <c r="AH66" i="2194"/>
  <c r="BY67" i="2194" s="1"/>
  <c r="AI66" i="2194"/>
  <c r="BZ67" i="2194" s="1"/>
  <c r="CE197" i="2194"/>
  <c r="CE92" i="2194"/>
  <c r="AN71" i="2194"/>
  <c r="BZ175" i="2194" s="1"/>
  <c r="AM71" i="2194"/>
  <c r="BY175" i="2194" s="1"/>
  <c r="AI60" i="2194"/>
  <c r="BZ61" i="2194" s="1"/>
  <c r="AH60" i="2194"/>
  <c r="BY61" i="2194" s="1"/>
  <c r="AI84" i="2194"/>
  <c r="BZ85" i="2194" s="1"/>
  <c r="AH84" i="2194"/>
  <c r="BY85" i="2194" s="1"/>
  <c r="CG184" i="2194"/>
  <c r="CE178" i="2194" s="1"/>
  <c r="CG167" i="2194"/>
  <c r="AI51" i="2194"/>
  <c r="BZ52" i="2194" s="1"/>
  <c r="AH51" i="2194"/>
  <c r="BY52" i="2194" s="1"/>
  <c r="CE175" i="2194"/>
  <c r="CG153" i="2194"/>
  <c r="BF19" i="2194"/>
  <c r="CG115" i="2194"/>
  <c r="AN31" i="2194"/>
  <c r="BZ135" i="2194" s="1"/>
  <c r="AM31" i="2194"/>
  <c r="BY135" i="2194" s="1"/>
  <c r="AN27" i="2194"/>
  <c r="BZ131" i="2194" s="1"/>
  <c r="AM27" i="2194"/>
  <c r="BY131" i="2194" s="1"/>
  <c r="CE83" i="2194"/>
  <c r="CG116" i="2194"/>
  <c r="CE113" i="2194" s="1"/>
  <c r="AN7" i="2194"/>
  <c r="BZ111" i="2194" s="1"/>
  <c r="AM7" i="2194"/>
  <c r="BY111" i="2194" s="1"/>
  <c r="BP10" i="2194"/>
  <c r="CE115" i="2194" l="1"/>
  <c r="CE116" i="2194"/>
  <c r="CE145" i="2194"/>
  <c r="CE162" i="2194"/>
  <c r="CE86" i="2194"/>
  <c r="CE183" i="2194"/>
  <c r="CE144" i="2194"/>
  <c r="BU36" i="2194"/>
  <c r="BT36" i="2194"/>
  <c r="BT22" i="2194"/>
  <c r="CE71" i="2194"/>
  <c r="CE77" i="2194"/>
  <c r="BT28" i="2194"/>
  <c r="CE68" i="2194"/>
  <c r="CE147" i="2194"/>
  <c r="CE69" i="2194"/>
  <c r="CE158" i="2194"/>
  <c r="CE82" i="2194"/>
  <c r="CE111" i="2194"/>
  <c r="CE156" i="2194"/>
  <c r="CE81" i="2194"/>
  <c r="CE196" i="2194"/>
  <c r="CE99" i="2194"/>
  <c r="CE146" i="2194"/>
  <c r="CE155" i="2194"/>
  <c r="CE149" i="2194"/>
  <c r="CE73" i="2194"/>
  <c r="CE180" i="2194"/>
  <c r="CE80" i="2194"/>
  <c r="CE114" i="2194"/>
  <c r="CE150" i="2194"/>
  <c r="CE177" i="2194"/>
  <c r="CE101" i="2194"/>
  <c r="CE112" i="2194"/>
  <c r="CE151" i="2194"/>
  <c r="CE182" i="2194"/>
  <c r="CE87" i="2194"/>
  <c r="BU21" i="2194"/>
  <c r="BT21" i="2194"/>
  <c r="CE108" i="2194"/>
  <c r="CE176" i="2194"/>
  <c r="CE154" i="2194"/>
  <c r="BA2" i="2194"/>
  <c r="AZ2" i="2194" s="1"/>
  <c r="AR16" i="2194"/>
  <c r="BU51" i="2194"/>
  <c r="BT51" i="2194"/>
  <c r="BX209" i="2194"/>
  <c r="BX205" i="2194"/>
  <c r="BX204" i="2194"/>
  <c r="BX208" i="2194"/>
  <c r="BX203" i="2194"/>
  <c r="BX200" i="2194"/>
  <c r="BX196" i="2194"/>
  <c r="BX192" i="2194"/>
  <c r="BX188" i="2194"/>
  <c r="BX184" i="2194"/>
  <c r="BX180" i="2194"/>
  <c r="BX176" i="2194"/>
  <c r="BX172" i="2194"/>
  <c r="BX206" i="2194"/>
  <c r="BX199" i="2194"/>
  <c r="BX190" i="2194"/>
  <c r="BX189" i="2194"/>
  <c r="BX183" i="2194"/>
  <c r="BX174" i="2194"/>
  <c r="BX173" i="2194"/>
  <c r="BX167" i="2194"/>
  <c r="BX163" i="2194"/>
  <c r="BX159" i="2194"/>
  <c r="BX194" i="2194"/>
  <c r="BX193" i="2194"/>
  <c r="BX207" i="2194"/>
  <c r="BX198" i="2194"/>
  <c r="BX197" i="2194"/>
  <c r="BX191" i="2194"/>
  <c r="BX182" i="2194"/>
  <c r="BX181" i="2194"/>
  <c r="BX175" i="2194"/>
  <c r="BX165" i="2194"/>
  <c r="BX161" i="2194"/>
  <c r="BX157" i="2194"/>
  <c r="BX153" i="2194"/>
  <c r="BX149" i="2194"/>
  <c r="BX145" i="2194"/>
  <c r="BX141" i="2194"/>
  <c r="BX137" i="2194"/>
  <c r="BX133" i="2194"/>
  <c r="BX129" i="2194"/>
  <c r="BX125" i="2194"/>
  <c r="BX121" i="2194"/>
  <c r="BX202" i="2194"/>
  <c r="BX201" i="2194"/>
  <c r="BX195" i="2194"/>
  <c r="BX187" i="2194"/>
  <c r="BX186" i="2194"/>
  <c r="BX177" i="2194"/>
  <c r="BX185" i="2194"/>
  <c r="BX179" i="2194"/>
  <c r="BX178" i="2194"/>
  <c r="BX168" i="2194"/>
  <c r="BX160" i="2194"/>
  <c r="BX155" i="2194"/>
  <c r="BX154" i="2194"/>
  <c r="BX148" i="2194"/>
  <c r="BX171" i="2194"/>
  <c r="BX158" i="2194"/>
  <c r="BX164" i="2194"/>
  <c r="BX162" i="2194"/>
  <c r="BX150" i="2194"/>
  <c r="BX170" i="2194"/>
  <c r="BX166" i="2194"/>
  <c r="BX169" i="2194"/>
  <c r="BX156" i="2194"/>
  <c r="BX152" i="2194"/>
  <c r="BX151" i="2194"/>
  <c r="BX147" i="2194"/>
  <c r="BX139" i="2194"/>
  <c r="BX138" i="2194"/>
  <c r="BX132" i="2194"/>
  <c r="BX123" i="2194"/>
  <c r="BX122" i="2194"/>
  <c r="BX117" i="2194"/>
  <c r="BX113" i="2194"/>
  <c r="BX134" i="2194"/>
  <c r="BX127" i="2194"/>
  <c r="BX126" i="2194"/>
  <c r="BX144" i="2194"/>
  <c r="BX143" i="2194"/>
  <c r="BX115" i="2194"/>
  <c r="BX114" i="2194"/>
  <c r="BX136" i="2194"/>
  <c r="BX135" i="2194"/>
  <c r="BX131" i="2194"/>
  <c r="BX128" i="2194"/>
  <c r="BX119" i="2194"/>
  <c r="BX118" i="2194"/>
  <c r="BX146" i="2194"/>
  <c r="BX142" i="2194"/>
  <c r="BX140" i="2194"/>
  <c r="BX130" i="2194"/>
  <c r="BX124" i="2194"/>
  <c r="BX116" i="2194"/>
  <c r="BX108" i="2194"/>
  <c r="BX120" i="2194"/>
  <c r="BX109" i="2194"/>
  <c r="BX107" i="2194"/>
  <c r="BX103" i="2194"/>
  <c r="BX101" i="2194"/>
  <c r="BX99" i="2194"/>
  <c r="BX97" i="2194"/>
  <c r="BX95" i="2194"/>
  <c r="BX92" i="2194"/>
  <c r="BX112" i="2194"/>
  <c r="BX111" i="2194"/>
  <c r="BX91" i="2194"/>
  <c r="BX87" i="2194"/>
  <c r="BX106" i="2194"/>
  <c r="BX105" i="2194"/>
  <c r="BX104" i="2194"/>
  <c r="BX102" i="2194"/>
  <c r="BX100" i="2194"/>
  <c r="BX98" i="2194"/>
  <c r="BX96" i="2194"/>
  <c r="BX94" i="2194"/>
  <c r="BX90" i="2194"/>
  <c r="BX86" i="2194"/>
  <c r="BX84" i="2194"/>
  <c r="BX82" i="2194"/>
  <c r="BX80" i="2194"/>
  <c r="BX110" i="2194"/>
  <c r="BX93" i="2194"/>
  <c r="BX89" i="2194"/>
  <c r="BX85" i="2194"/>
  <c r="BX66" i="2194"/>
  <c r="BX62" i="2194"/>
  <c r="BX61" i="2194"/>
  <c r="BX57" i="2194"/>
  <c r="BX53" i="2194"/>
  <c r="BX49" i="2194"/>
  <c r="BX45" i="2194"/>
  <c r="BX83" i="2194"/>
  <c r="BX77" i="2194"/>
  <c r="BX75" i="2194"/>
  <c r="BX73" i="2194"/>
  <c r="BX71" i="2194"/>
  <c r="BX69" i="2194"/>
  <c r="BX65" i="2194"/>
  <c r="BX60" i="2194"/>
  <c r="BX56" i="2194"/>
  <c r="BX54" i="2194"/>
  <c r="BX50" i="2194"/>
  <c r="BX46" i="2194"/>
  <c r="BX42" i="2194"/>
  <c r="BX88" i="2194"/>
  <c r="BX81" i="2194"/>
  <c r="BX79" i="2194"/>
  <c r="BX68" i="2194"/>
  <c r="BX64" i="2194"/>
  <c r="BX59" i="2194"/>
  <c r="BX55" i="2194"/>
  <c r="BX51" i="2194"/>
  <c r="BX47" i="2194"/>
  <c r="BX78" i="2194"/>
  <c r="BX76" i="2194"/>
  <c r="BX74" i="2194"/>
  <c r="BX72" i="2194"/>
  <c r="BX70" i="2194"/>
  <c r="BX67" i="2194"/>
  <c r="BX63" i="2194"/>
  <c r="BX58" i="2194"/>
  <c r="BX52" i="2194"/>
  <c r="BX48" i="2194"/>
  <c r="BX44" i="2194"/>
  <c r="BX40" i="2194"/>
  <c r="BX38" i="2194"/>
  <c r="BX36" i="2194"/>
  <c r="BX39" i="2194"/>
  <c r="BX35" i="2194"/>
  <c r="BX28" i="2194"/>
  <c r="BX22" i="2194"/>
  <c r="BX19" i="2194"/>
  <c r="BX16" i="2194"/>
  <c r="BX6" i="2194"/>
  <c r="BX31" i="2194"/>
  <c r="BX21" i="2194"/>
  <c r="BX15" i="2194"/>
  <c r="BX14" i="2194"/>
  <c r="BX13" i="2194"/>
  <c r="BX12" i="2194"/>
  <c r="BX41" i="2194"/>
  <c r="BX37" i="2194"/>
  <c r="BX34" i="2194"/>
  <c r="BX33" i="2194"/>
  <c r="BX29" i="2194"/>
  <c r="BX20" i="2194"/>
  <c r="BX18" i="2194"/>
  <c r="BX11" i="2194"/>
  <c r="BX10" i="2194"/>
  <c r="BX9" i="2194"/>
  <c r="BX4" i="2194"/>
  <c r="BX43" i="2194"/>
  <c r="BX32" i="2194"/>
  <c r="BX30" i="2194"/>
  <c r="BX27" i="2194"/>
  <c r="BX26" i="2194"/>
  <c r="BX25" i="2194"/>
  <c r="BX24" i="2194"/>
  <c r="BX23" i="2194"/>
  <c r="BX17" i="2194"/>
  <c r="BX8" i="2194"/>
  <c r="BX5" i="2194"/>
  <c r="BX7" i="2194"/>
  <c r="CE179" i="2194"/>
  <c r="CE142" i="2194"/>
  <c r="CE85" i="2194"/>
  <c r="CE76" i="2194"/>
  <c r="CE153" i="2194"/>
  <c r="CE75" i="2194"/>
  <c r="CE141" i="2194"/>
  <c r="BT45" i="2194"/>
  <c r="CE186" i="2194"/>
  <c r="CE97" i="2194"/>
  <c r="CE70" i="2194"/>
  <c r="CE119" i="2194"/>
  <c r="CE140" i="2194"/>
  <c r="CE91" i="2194"/>
  <c r="CE190" i="2194"/>
  <c r="CE200" i="2194"/>
  <c r="BU10" i="2194"/>
  <c r="BT10" i="2194"/>
  <c r="BU37" i="2194"/>
  <c r="BT37" i="2194"/>
  <c r="BU42" i="2194"/>
  <c r="BT42" i="2194"/>
  <c r="CE181" i="2194"/>
  <c r="CE89" i="2194"/>
  <c r="CE157" i="2194"/>
  <c r="CE148" i="2194"/>
  <c r="CE102" i="2194"/>
  <c r="CE185" i="2194"/>
  <c r="CE103" i="2194"/>
  <c r="CE201" i="2194"/>
  <c r="CE143" i="2194"/>
  <c r="CE184" i="2194"/>
  <c r="BU34" i="2194"/>
  <c r="BT34" i="2194"/>
  <c r="CE107" i="2194"/>
  <c r="CE159" i="2194"/>
  <c r="BU29" i="2194"/>
  <c r="BT29" i="2194"/>
  <c r="BU47" i="2194"/>
  <c r="BT47" i="2194"/>
  <c r="CE136" i="2194"/>
  <c r="BG19" i="2194"/>
  <c r="BH9" i="2194" s="1"/>
  <c r="CE160" i="2194"/>
  <c r="CE110" i="2194"/>
  <c r="CE109" i="2194"/>
  <c r="AT16" i="2194"/>
  <c r="BT40" i="2194"/>
  <c r="CE193" i="2194"/>
  <c r="CE195" i="2194"/>
  <c r="CE194" i="2194"/>
  <c r="CE90" i="2194"/>
  <c r="CE79" i="2194"/>
  <c r="CE78" i="2194"/>
  <c r="CE94" i="2194"/>
  <c r="CE198" i="2194"/>
  <c r="CE137" i="2194"/>
  <c r="CE163" i="2194"/>
  <c r="CE139" i="2194"/>
  <c r="CE118" i="2194"/>
  <c r="CE88" i="2194"/>
  <c r="CE74" i="2194"/>
  <c r="CE72" i="2194"/>
  <c r="CE104" i="2194"/>
  <c r="CE105" i="2194"/>
  <c r="CE106" i="2194"/>
  <c r="CE84" i="2194"/>
  <c r="CE187" i="2194"/>
  <c r="CE191" i="2194"/>
  <c r="CE98" i="2194"/>
  <c r="CE189" i="2194"/>
  <c r="CE164" i="2194"/>
  <c r="CE161" i="2194"/>
  <c r="CE95" i="2194"/>
  <c r="AX2" i="2194" l="1"/>
  <c r="BH17" i="2194"/>
  <c r="BH11" i="2194"/>
  <c r="BH8" i="2194"/>
  <c r="CB209" i="2194"/>
  <c r="CA208" i="2194"/>
  <c r="CB205" i="2194"/>
  <c r="CA204" i="2194"/>
  <c r="CA209" i="2194"/>
  <c r="CB207" i="2194"/>
  <c r="CB206" i="2194"/>
  <c r="CA203" i="2194"/>
  <c r="CA207" i="2194"/>
  <c r="CB200" i="2194"/>
  <c r="CA199" i="2194"/>
  <c r="CB196" i="2194"/>
  <c r="CA195" i="2194"/>
  <c r="CB192" i="2194"/>
  <c r="CA191" i="2194"/>
  <c r="CB188" i="2194"/>
  <c r="CA187" i="2194"/>
  <c r="CB184" i="2194"/>
  <c r="CA183" i="2194"/>
  <c r="CB180" i="2194"/>
  <c r="CA179" i="2194"/>
  <c r="CB176" i="2194"/>
  <c r="CA175" i="2194"/>
  <c r="CB172" i="2194"/>
  <c r="CA171" i="2194"/>
  <c r="CB208" i="2194"/>
  <c r="CB204" i="2194"/>
  <c r="CB203" i="2194"/>
  <c r="CB202" i="2194"/>
  <c r="CB201" i="2194"/>
  <c r="CA198" i="2194"/>
  <c r="CA197" i="2194"/>
  <c r="CB195" i="2194"/>
  <c r="CA188" i="2194"/>
  <c r="CB186" i="2194"/>
  <c r="CB185" i="2194"/>
  <c r="CA182" i="2194"/>
  <c r="CA181" i="2194"/>
  <c r="CB179" i="2194"/>
  <c r="CA172" i="2194"/>
  <c r="CB170" i="2194"/>
  <c r="CB169" i="2194"/>
  <c r="CB167" i="2194"/>
  <c r="CA166" i="2194"/>
  <c r="CB163" i="2194"/>
  <c r="CA162" i="2194"/>
  <c r="CB159" i="2194"/>
  <c r="CA158" i="2194"/>
  <c r="CB155" i="2194"/>
  <c r="CA202" i="2194"/>
  <c r="CA201" i="2194"/>
  <c r="CB199" i="2194"/>
  <c r="CA192" i="2194"/>
  <c r="CB190" i="2194"/>
  <c r="CB189" i="2194"/>
  <c r="CA196" i="2194"/>
  <c r="CB194" i="2194"/>
  <c r="CB193" i="2194"/>
  <c r="CA190" i="2194"/>
  <c r="CA189" i="2194"/>
  <c r="CB187" i="2194"/>
  <c r="CA180" i="2194"/>
  <c r="CB178" i="2194"/>
  <c r="CB177" i="2194"/>
  <c r="CA174" i="2194"/>
  <c r="CA173" i="2194"/>
  <c r="CB171" i="2194"/>
  <c r="CA168" i="2194"/>
  <c r="CB165" i="2194"/>
  <c r="CA164" i="2194"/>
  <c r="CB161" i="2194"/>
  <c r="CA160" i="2194"/>
  <c r="CB157" i="2194"/>
  <c r="CA156" i="2194"/>
  <c r="CB153" i="2194"/>
  <c r="CA152" i="2194"/>
  <c r="CB149" i="2194"/>
  <c r="CA148" i="2194"/>
  <c r="CB145" i="2194"/>
  <c r="CA144" i="2194"/>
  <c r="CB141" i="2194"/>
  <c r="CA140" i="2194"/>
  <c r="CB137" i="2194"/>
  <c r="CA136" i="2194"/>
  <c r="CB133" i="2194"/>
  <c r="CA132" i="2194"/>
  <c r="CB129" i="2194"/>
  <c r="CA128" i="2194"/>
  <c r="CB125" i="2194"/>
  <c r="CA124" i="2194"/>
  <c r="CB121" i="2194"/>
  <c r="CA206" i="2194"/>
  <c r="CA205" i="2194"/>
  <c r="CA200" i="2194"/>
  <c r="CB198" i="2194"/>
  <c r="CB197" i="2194"/>
  <c r="CA194" i="2194"/>
  <c r="CA193" i="2194"/>
  <c r="CB191" i="2194"/>
  <c r="CA185" i="2194"/>
  <c r="CA184" i="2194"/>
  <c r="CB181" i="2194"/>
  <c r="CB183" i="2194"/>
  <c r="CB182" i="2194"/>
  <c r="CA178" i="2194"/>
  <c r="CA186" i="2194"/>
  <c r="CA169" i="2194"/>
  <c r="CA167" i="2194"/>
  <c r="CC167" i="2194" s="1"/>
  <c r="CB164" i="2194"/>
  <c r="CA159" i="2194"/>
  <c r="CB156" i="2194"/>
  <c r="CA153" i="2194"/>
  <c r="CC153" i="2194" s="1"/>
  <c r="CB151" i="2194"/>
  <c r="CB150" i="2194"/>
  <c r="CA147" i="2194"/>
  <c r="CA146" i="2194"/>
  <c r="CB175" i="2194"/>
  <c r="CA161" i="2194"/>
  <c r="CB174" i="2194"/>
  <c r="CA170" i="2194"/>
  <c r="CB166" i="2194"/>
  <c r="CA165" i="2194"/>
  <c r="CC165" i="2194" s="1"/>
  <c r="CB160" i="2194"/>
  <c r="CA155" i="2194"/>
  <c r="CB152" i="2194"/>
  <c r="CA151" i="2194"/>
  <c r="CB148" i="2194"/>
  <c r="CB147" i="2194"/>
  <c r="CA145" i="2194"/>
  <c r="CB143" i="2194"/>
  <c r="CB142" i="2194"/>
  <c r="CB173" i="2194"/>
  <c r="CB154" i="2194"/>
  <c r="CA177" i="2194"/>
  <c r="CA176" i="2194"/>
  <c r="CC176" i="2194" s="1"/>
  <c r="CB168" i="2194"/>
  <c r="CA163" i="2194"/>
  <c r="CB162" i="2194"/>
  <c r="CB158" i="2194"/>
  <c r="CA157" i="2194"/>
  <c r="CA154" i="2194"/>
  <c r="CA150" i="2194"/>
  <c r="CA149" i="2194"/>
  <c r="CB144" i="2194"/>
  <c r="CA137" i="2194"/>
  <c r="CB135" i="2194"/>
  <c r="CB134" i="2194"/>
  <c r="CA131" i="2194"/>
  <c r="CA130" i="2194"/>
  <c r="CB128" i="2194"/>
  <c r="CA121" i="2194"/>
  <c r="CA120" i="2194"/>
  <c r="CB117" i="2194"/>
  <c r="CA116" i="2194"/>
  <c r="CB113" i="2194"/>
  <c r="CA112" i="2194"/>
  <c r="CA143" i="2194"/>
  <c r="CA139" i="2194"/>
  <c r="CB136" i="2194"/>
  <c r="CA135" i="2194"/>
  <c r="CB132" i="2194"/>
  <c r="CB131" i="2194"/>
  <c r="CA129" i="2194"/>
  <c r="CA123" i="2194"/>
  <c r="CB140" i="2194"/>
  <c r="CB138" i="2194"/>
  <c r="CB130" i="2194"/>
  <c r="CA125" i="2194"/>
  <c r="CB124" i="2194"/>
  <c r="CB122" i="2194"/>
  <c r="CB120" i="2194"/>
  <c r="CA113" i="2194"/>
  <c r="CC113" i="2194" s="1"/>
  <c r="CB111" i="2194"/>
  <c r="CB110" i="2194"/>
  <c r="CA109" i="2194"/>
  <c r="CB146" i="2194"/>
  <c r="CA142" i="2194"/>
  <c r="CA141" i="2194"/>
  <c r="CC141" i="2194" s="1"/>
  <c r="CA138" i="2194"/>
  <c r="CA134" i="2194"/>
  <c r="CA133" i="2194"/>
  <c r="CB127" i="2194"/>
  <c r="CB126" i="2194"/>
  <c r="CA122" i="2194"/>
  <c r="CB139" i="2194"/>
  <c r="CA127" i="2194"/>
  <c r="CA126" i="2194"/>
  <c r="CB123" i="2194"/>
  <c r="CB119" i="2194"/>
  <c r="CB118" i="2194"/>
  <c r="CA115" i="2194"/>
  <c r="CA114" i="2194"/>
  <c r="CB112" i="2194"/>
  <c r="CB108" i="2194"/>
  <c r="CA107" i="2194"/>
  <c r="CA119" i="2194"/>
  <c r="CA118" i="2194"/>
  <c r="CB115" i="2194"/>
  <c r="CA111" i="2194"/>
  <c r="CA106" i="2194"/>
  <c r="CA105" i="2194"/>
  <c r="CB103" i="2194"/>
  <c r="CB101" i="2194"/>
  <c r="CB99" i="2194"/>
  <c r="CB97" i="2194"/>
  <c r="CB95" i="2194"/>
  <c r="CA93" i="2194"/>
  <c r="CB92" i="2194"/>
  <c r="CB107" i="2194"/>
  <c r="CA103" i="2194"/>
  <c r="CA101" i="2194"/>
  <c r="CA99" i="2194"/>
  <c r="CA97" i="2194"/>
  <c r="CA95" i="2194"/>
  <c r="CA92" i="2194"/>
  <c r="CB91" i="2194"/>
  <c r="CA88" i="2194"/>
  <c r="CB87" i="2194"/>
  <c r="CA85" i="2194"/>
  <c r="CA110" i="2194"/>
  <c r="CB109" i="2194"/>
  <c r="CB104" i="2194"/>
  <c r="CB102" i="2194"/>
  <c r="CB100" i="2194"/>
  <c r="CB98" i="2194"/>
  <c r="CB96" i="2194"/>
  <c r="CB94" i="2194"/>
  <c r="CA91" i="2194"/>
  <c r="CB90" i="2194"/>
  <c r="CA87" i="2194"/>
  <c r="CB86" i="2194"/>
  <c r="CB84" i="2194"/>
  <c r="CB82" i="2194"/>
  <c r="CB80" i="2194"/>
  <c r="CA117" i="2194"/>
  <c r="CB116" i="2194"/>
  <c r="CB114" i="2194"/>
  <c r="CA108" i="2194"/>
  <c r="CB106" i="2194"/>
  <c r="CB105" i="2194"/>
  <c r="CA104" i="2194"/>
  <c r="CA102" i="2194"/>
  <c r="CA100" i="2194"/>
  <c r="CA98" i="2194"/>
  <c r="CA96" i="2194"/>
  <c r="CA94" i="2194"/>
  <c r="CB93" i="2194"/>
  <c r="CA90" i="2194"/>
  <c r="CB89" i="2194"/>
  <c r="CA86" i="2194"/>
  <c r="CA84" i="2194"/>
  <c r="CA89" i="2194"/>
  <c r="CA83" i="2194"/>
  <c r="CA81" i="2194"/>
  <c r="CA78" i="2194"/>
  <c r="CA76" i="2194"/>
  <c r="CA74" i="2194"/>
  <c r="CA72" i="2194"/>
  <c r="CA70" i="2194"/>
  <c r="CA67" i="2194"/>
  <c r="CB66" i="2194"/>
  <c r="CA63" i="2194"/>
  <c r="CB62" i="2194"/>
  <c r="CB61" i="2194"/>
  <c r="CA58" i="2194"/>
  <c r="CB57" i="2194"/>
  <c r="CB53" i="2194"/>
  <c r="CA52" i="2194"/>
  <c r="CB49" i="2194"/>
  <c r="CA48" i="2194"/>
  <c r="CB45" i="2194"/>
  <c r="CA44" i="2194"/>
  <c r="CA40" i="2194"/>
  <c r="CB88" i="2194"/>
  <c r="CA80" i="2194"/>
  <c r="CB77" i="2194"/>
  <c r="CB75" i="2194"/>
  <c r="CB73" i="2194"/>
  <c r="CB71" i="2194"/>
  <c r="CB69" i="2194"/>
  <c r="CA66" i="2194"/>
  <c r="CB65" i="2194"/>
  <c r="CA62" i="2194"/>
  <c r="CA61" i="2194"/>
  <c r="CB60" i="2194"/>
  <c r="CA57" i="2194"/>
  <c r="CB56" i="2194"/>
  <c r="CB54" i="2194"/>
  <c r="CA53" i="2194"/>
  <c r="CB50" i="2194"/>
  <c r="CA49" i="2194"/>
  <c r="CB46" i="2194"/>
  <c r="CA45" i="2194"/>
  <c r="CB42" i="2194"/>
  <c r="CB79" i="2194"/>
  <c r="CA77" i="2194"/>
  <c r="CC77" i="2194" s="1"/>
  <c r="CA75" i="2194"/>
  <c r="CC75" i="2194" s="1"/>
  <c r="CA73" i="2194"/>
  <c r="CC73" i="2194" s="1"/>
  <c r="CA71" i="2194"/>
  <c r="CC71" i="2194" s="1"/>
  <c r="CA69" i="2194"/>
  <c r="CB68" i="2194"/>
  <c r="CA65" i="2194"/>
  <c r="CB64" i="2194"/>
  <c r="CA60" i="2194"/>
  <c r="CB59" i="2194"/>
  <c r="CA56" i="2194"/>
  <c r="CB55" i="2194"/>
  <c r="CA54" i="2194"/>
  <c r="CB51" i="2194"/>
  <c r="CA50" i="2194"/>
  <c r="CB47" i="2194"/>
  <c r="CA46" i="2194"/>
  <c r="CB85" i="2194"/>
  <c r="CB83" i="2194"/>
  <c r="CA82" i="2194"/>
  <c r="CB81" i="2194"/>
  <c r="CA79" i="2194"/>
  <c r="CB78" i="2194"/>
  <c r="CB76" i="2194"/>
  <c r="CB74" i="2194"/>
  <c r="CB72" i="2194"/>
  <c r="CB70" i="2194"/>
  <c r="CA68" i="2194"/>
  <c r="CB67" i="2194"/>
  <c r="CA64" i="2194"/>
  <c r="CB63" i="2194"/>
  <c r="CA59" i="2194"/>
  <c r="CB58" i="2194"/>
  <c r="CA55" i="2194"/>
  <c r="CB52" i="2194"/>
  <c r="CA51" i="2194"/>
  <c r="CB48" i="2194"/>
  <c r="CA47" i="2194"/>
  <c r="CB44" i="2194"/>
  <c r="CA43" i="2194"/>
  <c r="CA41" i="2194"/>
  <c r="CB40" i="2194"/>
  <c r="CB38" i="2194"/>
  <c r="CB36" i="2194"/>
  <c r="CA37" i="2194"/>
  <c r="CB35" i="2194"/>
  <c r="CA32" i="2194"/>
  <c r="CA30" i="2194"/>
  <c r="CB28" i="2194"/>
  <c r="CA27" i="2194"/>
  <c r="CA26" i="2194"/>
  <c r="CA25" i="2194"/>
  <c r="CA24" i="2194"/>
  <c r="CA23" i="2194"/>
  <c r="CB22" i="2194"/>
  <c r="CB19" i="2194"/>
  <c r="CA17" i="2194"/>
  <c r="CB16" i="2194"/>
  <c r="CA8" i="2194"/>
  <c r="CB6" i="2194"/>
  <c r="CB4" i="2194"/>
  <c r="CB41" i="2194"/>
  <c r="CB39" i="2194"/>
  <c r="CA36" i="2194"/>
  <c r="CA35" i="2194"/>
  <c r="CB31" i="2194"/>
  <c r="CA28" i="2194"/>
  <c r="CA22" i="2194"/>
  <c r="CB21" i="2194"/>
  <c r="CA19" i="2194"/>
  <c r="CA16" i="2194"/>
  <c r="CB15" i="2194"/>
  <c r="CB14" i="2194"/>
  <c r="CB13" i="2194"/>
  <c r="CB12" i="2194"/>
  <c r="CA7" i="2194"/>
  <c r="CA6" i="2194"/>
  <c r="CB43" i="2194"/>
  <c r="CA39" i="2194"/>
  <c r="CB34" i="2194"/>
  <c r="CB33" i="2194"/>
  <c r="CA31" i="2194"/>
  <c r="CB29" i="2194"/>
  <c r="CA21" i="2194"/>
  <c r="CB20" i="2194"/>
  <c r="CB18" i="2194"/>
  <c r="CA15" i="2194"/>
  <c r="CA14" i="2194"/>
  <c r="CA13" i="2194"/>
  <c r="CA12" i="2194"/>
  <c r="CB11" i="2194"/>
  <c r="CB10" i="2194"/>
  <c r="CB9" i="2194"/>
  <c r="CA42" i="2194"/>
  <c r="CA38" i="2194"/>
  <c r="CB37" i="2194"/>
  <c r="CA34" i="2194"/>
  <c r="CA33" i="2194"/>
  <c r="CB32" i="2194"/>
  <c r="CB30" i="2194"/>
  <c r="CA29" i="2194"/>
  <c r="CB27" i="2194"/>
  <c r="CB26" i="2194"/>
  <c r="CB25" i="2194"/>
  <c r="CB24" i="2194"/>
  <c r="CB23" i="2194"/>
  <c r="CA20" i="2194"/>
  <c r="CA18" i="2194"/>
  <c r="CB17" i="2194"/>
  <c r="CA11" i="2194"/>
  <c r="CA10" i="2194"/>
  <c r="CA9" i="2194"/>
  <c r="CB8" i="2194"/>
  <c r="CB5" i="2194"/>
  <c r="CA4" i="2194"/>
  <c r="CC4" i="2194" s="1"/>
  <c r="CB7" i="2194"/>
  <c r="CA5" i="2194"/>
  <c r="BH15" i="2194"/>
  <c r="BH12" i="2194"/>
  <c r="BH10" i="2194"/>
  <c r="BH14" i="2194"/>
  <c r="BH18" i="2194"/>
  <c r="BH13" i="2194"/>
  <c r="BH16" i="2194"/>
  <c r="CC114" i="2194" l="1"/>
  <c r="CC129" i="2194"/>
  <c r="CC42" i="2194"/>
  <c r="CC47" i="2194"/>
  <c r="CC55" i="2194"/>
  <c r="CC45" i="2194"/>
  <c r="CC53" i="2194"/>
  <c r="CC137" i="2194"/>
  <c r="CC154" i="2194"/>
  <c r="CC145" i="2194"/>
  <c r="CC205" i="2194"/>
  <c r="CC50" i="2194"/>
  <c r="CC86" i="2194"/>
  <c r="CC94" i="2194"/>
  <c r="CC102" i="2194"/>
  <c r="CC108" i="2194"/>
  <c r="CC200" i="2194"/>
  <c r="CC184" i="2194"/>
  <c r="CC192" i="2194"/>
  <c r="CC31" i="2194"/>
  <c r="CC79" i="2194"/>
  <c r="CC68" i="2194"/>
  <c r="CC18" i="2194"/>
  <c r="CC14" i="2194"/>
  <c r="CC7" i="2194"/>
  <c r="CC36" i="2194"/>
  <c r="CC25" i="2194"/>
  <c r="CC62" i="2194"/>
  <c r="CC100" i="2194"/>
  <c r="CC107" i="2194"/>
  <c r="CC115" i="2194"/>
  <c r="CC126" i="2194"/>
  <c r="CC121" i="2194"/>
  <c r="CC147" i="2194"/>
  <c r="CC169" i="2194"/>
  <c r="CC190" i="2194"/>
  <c r="CC198" i="2194"/>
  <c r="CC10" i="2194"/>
  <c r="CC20" i="2194"/>
  <c r="CC38" i="2194"/>
  <c r="CC15" i="2194"/>
  <c r="CC28" i="2194"/>
  <c r="CC8" i="2194"/>
  <c r="CC26" i="2194"/>
  <c r="CC32" i="2194"/>
  <c r="CC56" i="2194"/>
  <c r="CC65" i="2194"/>
  <c r="CC63" i="2194"/>
  <c r="CC72" i="2194"/>
  <c r="CC81" i="2194"/>
  <c r="CC127" i="2194"/>
  <c r="CC139" i="2194"/>
  <c r="CC116" i="2194"/>
  <c r="CC150" i="2194"/>
  <c r="CC177" i="2194"/>
  <c r="CC161" i="2194"/>
  <c r="CC159" i="2194"/>
  <c r="CC186" i="2194"/>
  <c r="CC173" i="2194"/>
  <c r="CC193" i="2194"/>
  <c r="CC124" i="2194"/>
  <c r="CC132" i="2194"/>
  <c r="CC148" i="2194"/>
  <c r="CC156" i="2194"/>
  <c r="CC180" i="2194"/>
  <c r="CC202" i="2194"/>
  <c r="CC188" i="2194"/>
  <c r="CC208" i="2194"/>
  <c r="CC64" i="2194"/>
  <c r="CC133" i="2194"/>
  <c r="CC163" i="2194"/>
  <c r="CC41" i="2194"/>
  <c r="CC196" i="2194"/>
  <c r="CC9" i="2194"/>
  <c r="CC30" i="2194"/>
  <c r="CC59" i="2194"/>
  <c r="CC82" i="2194"/>
  <c r="CC70" i="2194"/>
  <c r="CC78" i="2194"/>
  <c r="CC84" i="2194"/>
  <c r="CC117" i="2194"/>
  <c r="CC92" i="2194"/>
  <c r="CC111" i="2194"/>
  <c r="CC138" i="2194"/>
  <c r="CC149" i="2194"/>
  <c r="CC5" i="2194"/>
  <c r="CC29" i="2194"/>
  <c r="CC34" i="2194"/>
  <c r="CC13" i="2194"/>
  <c r="CC6" i="2194"/>
  <c r="CC35" i="2194"/>
  <c r="CC17" i="2194"/>
  <c r="CC24" i="2194"/>
  <c r="CC37" i="2194"/>
  <c r="CC46" i="2194"/>
  <c r="CC54" i="2194"/>
  <c r="CC60" i="2194"/>
  <c r="CC69" i="2194"/>
  <c r="CC61" i="2194"/>
  <c r="CC44" i="2194"/>
  <c r="CC52" i="2194"/>
  <c r="CC67" i="2194"/>
  <c r="CC76" i="2194"/>
  <c r="CC89" i="2194"/>
  <c r="CC90" i="2194"/>
  <c r="CC98" i="2194"/>
  <c r="CC91" i="2194"/>
  <c r="CC110" i="2194"/>
  <c r="CC99" i="2194"/>
  <c r="CC106" i="2194"/>
  <c r="CC119" i="2194"/>
  <c r="CC122" i="2194"/>
  <c r="CC134" i="2194"/>
  <c r="CC125" i="2194"/>
  <c r="CC123" i="2194"/>
  <c r="CC135" i="2194"/>
  <c r="CC112" i="2194"/>
  <c r="CC120" i="2194"/>
  <c r="CC131" i="2194"/>
  <c r="CC157" i="2194"/>
  <c r="CC155" i="2194"/>
  <c r="CC170" i="2194"/>
  <c r="CC146" i="2194"/>
  <c r="CC185" i="2194"/>
  <c r="CC206" i="2194"/>
  <c r="CC128" i="2194"/>
  <c r="CC136" i="2194"/>
  <c r="CC144" i="2194"/>
  <c r="CC152" i="2194"/>
  <c r="CC160" i="2194"/>
  <c r="CC168" i="2194"/>
  <c r="CC189" i="2194"/>
  <c r="CC158" i="2194"/>
  <c r="CC166" i="2194"/>
  <c r="CC172" i="2194"/>
  <c r="CC197" i="2194"/>
  <c r="CC203" i="2194"/>
  <c r="CC204" i="2194"/>
  <c r="CC21" i="2194"/>
  <c r="CC22" i="2194"/>
  <c r="CC43" i="2194"/>
  <c r="CC51" i="2194"/>
  <c r="CC49" i="2194"/>
  <c r="CC80" i="2194"/>
  <c r="CC85" i="2194"/>
  <c r="CC101" i="2194"/>
  <c r="CC93" i="2194"/>
  <c r="CC109" i="2194"/>
  <c r="CC201" i="2194"/>
  <c r="CC175" i="2194"/>
  <c r="CC183" i="2194"/>
  <c r="CC191" i="2194"/>
  <c r="CC199" i="2194"/>
  <c r="CC39" i="2194"/>
  <c r="CC16" i="2194"/>
  <c r="CC57" i="2194"/>
  <c r="CC48" i="2194"/>
  <c r="CC87" i="2194"/>
  <c r="CC95" i="2194"/>
  <c r="CC103" i="2194"/>
  <c r="CC151" i="2194"/>
  <c r="CC140" i="2194"/>
  <c r="CC164" i="2194"/>
  <c r="CC162" i="2194"/>
  <c r="CC181" i="2194"/>
  <c r="CC11" i="2194"/>
  <c r="CC33" i="2194"/>
  <c r="CC12" i="2194"/>
  <c r="CC19" i="2194"/>
  <c r="CC23" i="2194"/>
  <c r="CC27" i="2194"/>
  <c r="CC66" i="2194"/>
  <c r="CC40" i="2194"/>
  <c r="CC58" i="2194"/>
  <c r="CC74" i="2194"/>
  <c r="CC83" i="2194"/>
  <c r="CC96" i="2194"/>
  <c r="CC104" i="2194"/>
  <c r="CC88" i="2194"/>
  <c r="CC97" i="2194"/>
  <c r="CC105" i="2194"/>
  <c r="CC118" i="2194"/>
  <c r="CC142" i="2194"/>
  <c r="CC143" i="2194"/>
  <c r="CC130" i="2194"/>
  <c r="CC178" i="2194"/>
  <c r="CC194" i="2194"/>
  <c r="CC174" i="2194"/>
  <c r="CC182" i="2194"/>
  <c r="CC171" i="2194"/>
  <c r="CC179" i="2194"/>
  <c r="CC187" i="2194"/>
  <c r="CC195" i="2194"/>
  <c r="CC207" i="2194"/>
  <c r="CC209" i="2194"/>
  <c r="AC62" i="2194" l="1"/>
  <c r="AC64" i="2194"/>
  <c r="E68" i="1682" l="1"/>
  <c r="F68" i="1682"/>
  <c r="G68" i="1682"/>
  <c r="H68" i="1682"/>
  <c r="I68" i="1682"/>
  <c r="J68" i="1682"/>
  <c r="K68" i="1682"/>
  <c r="L68" i="1682"/>
  <c r="M68" i="1682"/>
  <c r="N68" i="1682"/>
  <c r="O68" i="1682"/>
  <c r="P68" i="1682"/>
  <c r="Q68" i="1682"/>
  <c r="R68" i="1682"/>
  <c r="S68" i="1682"/>
  <c r="T68" i="1682"/>
  <c r="U68" i="1682"/>
  <c r="V68" i="1682"/>
  <c r="W68" i="1682"/>
  <c r="D68" i="1682"/>
  <c r="E60" i="1682"/>
  <c r="F60" i="1682"/>
  <c r="G60" i="1682"/>
  <c r="H60" i="1682"/>
  <c r="I60" i="1682"/>
  <c r="J60" i="1682"/>
  <c r="K60" i="1682"/>
  <c r="L60" i="1682"/>
  <c r="M60" i="1682"/>
  <c r="N60" i="1682"/>
  <c r="O60" i="1682"/>
  <c r="P60" i="1682"/>
  <c r="Q60" i="1682"/>
  <c r="R60" i="1682"/>
  <c r="S60" i="1682"/>
  <c r="T60" i="1682"/>
  <c r="U60" i="1682"/>
  <c r="V60" i="1682"/>
  <c r="W60" i="1682"/>
  <c r="D60" i="1682"/>
  <c r="AY51" i="1682" l="1"/>
  <c r="BN6" i="2159" l="1"/>
  <c r="BQ6" i="2159" s="1"/>
  <c r="CG4" i="1682" l="1"/>
  <c r="CG5" i="1682"/>
  <c r="CG6" i="1682"/>
  <c r="CG7" i="1682"/>
  <c r="CG8" i="1682"/>
  <c r="CG9" i="1682"/>
  <c r="CG10" i="1682"/>
  <c r="CG11" i="1682"/>
  <c r="CG12" i="1682"/>
  <c r="CG13" i="1682"/>
  <c r="CG14" i="1682"/>
  <c r="CG15" i="1682"/>
  <c r="CG16" i="1682"/>
  <c r="CG17" i="1682"/>
  <c r="CG18" i="1682"/>
  <c r="CG19" i="1682"/>
  <c r="CG20" i="1682"/>
  <c r="CG21" i="1682"/>
  <c r="CG22" i="1682"/>
  <c r="CG23" i="1682"/>
  <c r="CG24" i="1682"/>
  <c r="CG25" i="1682"/>
  <c r="CG26" i="1682"/>
  <c r="CG27" i="1682"/>
  <c r="CG28" i="1682"/>
  <c r="CG29" i="1682"/>
  <c r="CG30" i="1682"/>
  <c r="CG31" i="1682"/>
  <c r="CG32" i="1682"/>
  <c r="CG33" i="1682"/>
  <c r="CG34" i="1682"/>
  <c r="CG35" i="1682"/>
  <c r="CG36" i="1682"/>
  <c r="CG37" i="1682"/>
  <c r="CG38" i="1682"/>
  <c r="CG39" i="1682"/>
  <c r="CG40" i="1682"/>
  <c r="CG41" i="1682"/>
  <c r="CG42" i="1682"/>
  <c r="CG43" i="1682"/>
  <c r="CG44" i="1682"/>
  <c r="CG45" i="1682"/>
  <c r="CG46" i="1682"/>
  <c r="CG47" i="1682"/>
  <c r="CG48" i="1682"/>
  <c r="CG49" i="1682"/>
  <c r="CG50" i="1682"/>
  <c r="CG51" i="1682"/>
  <c r="CG52" i="1682"/>
  <c r="CG53" i="1682"/>
  <c r="CG54" i="1682"/>
  <c r="CG55" i="1682"/>
  <c r="CG56" i="1682"/>
  <c r="CG57" i="1682"/>
  <c r="CG58" i="1682"/>
  <c r="CG59" i="1682"/>
  <c r="CG60" i="1682"/>
  <c r="CG61" i="1682"/>
  <c r="CG62" i="1682"/>
  <c r="CG63" i="1682"/>
  <c r="CG64" i="1682"/>
  <c r="CG65" i="1682"/>
  <c r="CG66" i="1682"/>
  <c r="CG67" i="1682"/>
  <c r="CG68" i="1682"/>
  <c r="CG69" i="1682"/>
  <c r="CG70" i="1682"/>
  <c r="CG71" i="1682"/>
  <c r="CG72" i="1682"/>
  <c r="CG73" i="1682"/>
  <c r="CG74" i="1682"/>
  <c r="CG75" i="1682"/>
  <c r="CG76" i="1682"/>
  <c r="CG77" i="1682"/>
  <c r="CG78" i="1682"/>
  <c r="CG79" i="1682"/>
  <c r="CG80" i="1682"/>
  <c r="CG81" i="1682"/>
  <c r="CG82" i="1682"/>
  <c r="CG83" i="1682"/>
  <c r="CG84" i="1682"/>
  <c r="CG85" i="1682"/>
  <c r="CG86" i="1682"/>
  <c r="CG87" i="1682"/>
  <c r="CG88" i="1682"/>
  <c r="CG89" i="1682"/>
  <c r="CG90" i="1682"/>
  <c r="CG91" i="1682"/>
  <c r="CG92" i="1682"/>
  <c r="CG93" i="1682"/>
  <c r="CG94" i="1682"/>
  <c r="CG95" i="1682"/>
  <c r="CG96" i="1682"/>
  <c r="CG97" i="1682"/>
  <c r="CG98" i="1682"/>
  <c r="CG99" i="1682"/>
  <c r="CG100" i="1682"/>
  <c r="CG101" i="1682"/>
  <c r="CG102" i="1682"/>
  <c r="CG103" i="1682"/>
  <c r="CG104" i="1682"/>
  <c r="CG105" i="1682"/>
  <c r="CG106" i="1682"/>
  <c r="CG107" i="1682"/>
  <c r="CG108" i="1682"/>
  <c r="CG109" i="1682"/>
  <c r="CG110" i="1682"/>
  <c r="CG111" i="1682"/>
  <c r="CG112" i="1682"/>
  <c r="CG113" i="1682"/>
  <c r="CG114" i="1682"/>
  <c r="CG115" i="1682"/>
  <c r="CG116" i="1682"/>
  <c r="CG117" i="1682"/>
  <c r="CG118" i="1682"/>
  <c r="CG119" i="1682"/>
  <c r="CG120" i="1682"/>
  <c r="CG121" i="1682"/>
  <c r="CG122" i="1682"/>
  <c r="CG123" i="1682"/>
  <c r="CG124" i="1682"/>
  <c r="CG125" i="1682"/>
  <c r="CG126" i="1682"/>
  <c r="CG127" i="1682"/>
  <c r="CG128" i="1682"/>
  <c r="CG129" i="1682"/>
  <c r="CG130" i="1682"/>
  <c r="CG131" i="1682"/>
  <c r="CG132" i="1682"/>
  <c r="CG133" i="1682"/>
  <c r="CG134" i="1682"/>
  <c r="CG135" i="1682"/>
  <c r="CG136" i="1682"/>
  <c r="CG137" i="1682"/>
  <c r="CG138" i="1682"/>
  <c r="CG139" i="1682"/>
  <c r="CG140" i="1682"/>
  <c r="CG141" i="1682"/>
  <c r="CG142" i="1682"/>
  <c r="CG143" i="1682"/>
  <c r="CG144" i="1682"/>
  <c r="CG145" i="1682"/>
  <c r="CG146" i="1682"/>
  <c r="CG147" i="1682"/>
  <c r="CG148" i="1682"/>
  <c r="CG149" i="1682"/>
  <c r="CG150" i="1682"/>
  <c r="CG151" i="1682"/>
  <c r="CG152" i="1682"/>
  <c r="CG153" i="1682"/>
  <c r="CG154" i="1682"/>
  <c r="CG155" i="1682"/>
  <c r="CG156" i="1682"/>
  <c r="CG157" i="1682"/>
  <c r="CG158" i="1682"/>
  <c r="CG159" i="1682"/>
  <c r="CG160" i="1682"/>
  <c r="CG161" i="1682"/>
  <c r="CG162" i="1682"/>
  <c r="CG163" i="1682"/>
  <c r="CG164" i="1682"/>
  <c r="CG165" i="1682"/>
  <c r="CG166" i="1682"/>
  <c r="CG167" i="1682"/>
  <c r="CG168" i="1682"/>
  <c r="CG169" i="1682"/>
  <c r="CG170" i="1682"/>
  <c r="CG171" i="1682"/>
  <c r="CG172" i="1682"/>
  <c r="CG173" i="1682"/>
  <c r="CG174" i="1682"/>
  <c r="CG175" i="1682"/>
  <c r="CG176" i="1682"/>
  <c r="CG177" i="1682"/>
  <c r="CG178" i="1682"/>
  <c r="CG179" i="1682"/>
  <c r="CG180" i="1682"/>
  <c r="CG181" i="1682"/>
  <c r="CG182" i="1682"/>
  <c r="CG183" i="1682"/>
  <c r="CG184" i="1682"/>
  <c r="CG185" i="1682"/>
  <c r="CG186" i="1682"/>
  <c r="CG187" i="1682"/>
  <c r="CG188" i="1682"/>
  <c r="CG189" i="1682"/>
  <c r="CG190" i="1682"/>
  <c r="CG191" i="1682"/>
  <c r="CG192" i="1682"/>
  <c r="CG3" i="1682"/>
  <c r="CD4" i="1682"/>
  <c r="CD5" i="1682"/>
  <c r="CD6" i="1682"/>
  <c r="CD7" i="1682"/>
  <c r="CD8" i="1682"/>
  <c r="CD9" i="1682"/>
  <c r="CD10" i="1682"/>
  <c r="CD11" i="1682"/>
  <c r="CD12" i="1682"/>
  <c r="CD13" i="1682"/>
  <c r="CD14" i="1682"/>
  <c r="CD15" i="1682"/>
  <c r="CD16" i="1682"/>
  <c r="CD17" i="1682"/>
  <c r="CD18" i="1682"/>
  <c r="CD19" i="1682"/>
  <c r="CD20" i="1682"/>
  <c r="CD21" i="1682"/>
  <c r="CD22" i="1682"/>
  <c r="CD23" i="1682"/>
  <c r="CD24" i="1682"/>
  <c r="CD25" i="1682"/>
  <c r="CD26" i="1682"/>
  <c r="CD27" i="1682"/>
  <c r="CD28" i="1682"/>
  <c r="CD29" i="1682"/>
  <c r="CD30" i="1682"/>
  <c r="CD31" i="1682"/>
  <c r="CD32" i="1682"/>
  <c r="CD33" i="1682"/>
  <c r="CD34" i="1682"/>
  <c r="CD35" i="1682"/>
  <c r="CD36" i="1682"/>
  <c r="CD37" i="1682"/>
  <c r="CD38" i="1682"/>
  <c r="CD39" i="1682"/>
  <c r="CD40" i="1682"/>
  <c r="CD41" i="1682"/>
  <c r="CD42" i="1682"/>
  <c r="CD43" i="1682"/>
  <c r="CD44" i="1682"/>
  <c r="CD45" i="1682"/>
  <c r="CD46" i="1682"/>
  <c r="CD47" i="1682"/>
  <c r="CD48" i="1682"/>
  <c r="CD49" i="1682"/>
  <c r="CD50" i="1682"/>
  <c r="CD51" i="1682"/>
  <c r="CD52" i="1682"/>
  <c r="CD53" i="1682"/>
  <c r="CD54" i="1682"/>
  <c r="CD55" i="1682"/>
  <c r="CD56" i="1682"/>
  <c r="CD57" i="1682"/>
  <c r="CD58" i="1682"/>
  <c r="CD59" i="1682"/>
  <c r="CD60" i="1682"/>
  <c r="CD61" i="1682"/>
  <c r="CD62" i="1682"/>
  <c r="CD63" i="1682"/>
  <c r="CD64" i="1682"/>
  <c r="CD65" i="1682"/>
  <c r="CD66" i="1682"/>
  <c r="CD67" i="1682"/>
  <c r="CD68" i="1682"/>
  <c r="CD69" i="1682"/>
  <c r="CD70" i="1682"/>
  <c r="CD71" i="1682"/>
  <c r="CD72" i="1682"/>
  <c r="CD73" i="1682"/>
  <c r="CD74" i="1682"/>
  <c r="CD75" i="1682"/>
  <c r="CD76" i="1682"/>
  <c r="CD77" i="1682"/>
  <c r="CD78" i="1682"/>
  <c r="CD79" i="1682"/>
  <c r="CD80" i="1682"/>
  <c r="CD81" i="1682"/>
  <c r="CD82" i="1682"/>
  <c r="CD83" i="1682"/>
  <c r="CD84" i="1682"/>
  <c r="CD85" i="1682"/>
  <c r="CD86" i="1682"/>
  <c r="CD87" i="1682"/>
  <c r="CD88" i="1682"/>
  <c r="CD89" i="1682"/>
  <c r="CD90" i="1682"/>
  <c r="CD91" i="1682"/>
  <c r="CD92" i="1682"/>
  <c r="CD93" i="1682"/>
  <c r="CD94" i="1682"/>
  <c r="CD95" i="1682"/>
  <c r="CD96" i="1682"/>
  <c r="CD97" i="1682"/>
  <c r="CD98" i="1682"/>
  <c r="CD99" i="1682"/>
  <c r="CD100" i="1682"/>
  <c r="CD101" i="1682"/>
  <c r="CD102" i="1682"/>
  <c r="CD103" i="1682"/>
  <c r="CD104" i="1682"/>
  <c r="CD105" i="1682"/>
  <c r="CD106" i="1682"/>
  <c r="CD107" i="1682"/>
  <c r="CD108" i="1682"/>
  <c r="CD109" i="1682"/>
  <c r="CD110" i="1682"/>
  <c r="CD111" i="1682"/>
  <c r="CD112" i="1682"/>
  <c r="CD113" i="1682"/>
  <c r="CD114" i="1682"/>
  <c r="CD115" i="1682"/>
  <c r="CD116" i="1682"/>
  <c r="CD117" i="1682"/>
  <c r="CD118" i="1682"/>
  <c r="CD119" i="1682"/>
  <c r="CD120" i="1682"/>
  <c r="CD121" i="1682"/>
  <c r="CD122" i="1682"/>
  <c r="CD123" i="1682"/>
  <c r="CD124" i="1682"/>
  <c r="CD125" i="1682"/>
  <c r="CD126" i="1682"/>
  <c r="CD127" i="1682"/>
  <c r="CD128" i="1682"/>
  <c r="CD129" i="1682"/>
  <c r="CD130" i="1682"/>
  <c r="CD131" i="1682"/>
  <c r="CD132" i="1682"/>
  <c r="CD133" i="1682"/>
  <c r="CD134" i="1682"/>
  <c r="CD135" i="1682"/>
  <c r="CD136" i="1682"/>
  <c r="CD137" i="1682"/>
  <c r="CD138" i="1682"/>
  <c r="CD139" i="1682"/>
  <c r="CD140" i="1682"/>
  <c r="CD141" i="1682"/>
  <c r="CD142" i="1682"/>
  <c r="CD143" i="1682"/>
  <c r="CD144" i="1682"/>
  <c r="CD145" i="1682"/>
  <c r="CD146" i="1682"/>
  <c r="CD147" i="1682"/>
  <c r="CD148" i="1682"/>
  <c r="CD149" i="1682"/>
  <c r="CD150" i="1682"/>
  <c r="CD151" i="1682"/>
  <c r="CD152" i="1682"/>
  <c r="CD153" i="1682"/>
  <c r="CD154" i="1682"/>
  <c r="CD155" i="1682"/>
  <c r="CD156" i="1682"/>
  <c r="CD157" i="1682"/>
  <c r="CD158" i="1682"/>
  <c r="CD159" i="1682"/>
  <c r="CD160" i="1682"/>
  <c r="CD161" i="1682"/>
  <c r="CD162" i="1682"/>
  <c r="CD163" i="1682"/>
  <c r="CD164" i="1682"/>
  <c r="CD165" i="1682"/>
  <c r="CD166" i="1682"/>
  <c r="CD167" i="1682"/>
  <c r="CD168" i="1682"/>
  <c r="CD169" i="1682"/>
  <c r="CD170" i="1682"/>
  <c r="CD171" i="1682"/>
  <c r="CD172" i="1682"/>
  <c r="CD173" i="1682"/>
  <c r="CD174" i="1682"/>
  <c r="CD175" i="1682"/>
  <c r="CD176" i="1682"/>
  <c r="CD177" i="1682"/>
  <c r="CD178" i="1682"/>
  <c r="CD179" i="1682"/>
  <c r="CD180" i="1682"/>
  <c r="CD181" i="1682"/>
  <c r="CD182" i="1682"/>
  <c r="CD183" i="1682"/>
  <c r="CD184" i="1682"/>
  <c r="CD185" i="1682"/>
  <c r="CD186" i="1682"/>
  <c r="CD187" i="1682"/>
  <c r="CD188" i="1682"/>
  <c r="CD189" i="1682"/>
  <c r="CD190" i="1682"/>
  <c r="CD191" i="1682"/>
  <c r="CD192" i="1682"/>
  <c r="CD3" i="1682"/>
  <c r="CE4" i="1682"/>
  <c r="CF4" i="1682"/>
  <c r="CE5" i="1682"/>
  <c r="CF5" i="1682"/>
  <c r="CE6" i="1682"/>
  <c r="CF6" i="1682"/>
  <c r="CE7" i="1682"/>
  <c r="CF7" i="1682"/>
  <c r="CE8" i="1682"/>
  <c r="CF8" i="1682"/>
  <c r="CE9" i="1682"/>
  <c r="CF9" i="1682"/>
  <c r="CE10" i="1682"/>
  <c r="CF10" i="1682"/>
  <c r="CE11" i="1682"/>
  <c r="CF11" i="1682"/>
  <c r="CE12" i="1682"/>
  <c r="CF12" i="1682"/>
  <c r="CE13" i="1682"/>
  <c r="CF13" i="1682"/>
  <c r="CE14" i="1682"/>
  <c r="CF14" i="1682"/>
  <c r="CE15" i="1682"/>
  <c r="CF15" i="1682"/>
  <c r="CE16" i="1682"/>
  <c r="CF16" i="1682"/>
  <c r="CE17" i="1682"/>
  <c r="CF17" i="1682"/>
  <c r="CE18" i="1682"/>
  <c r="CF18" i="1682"/>
  <c r="CE19" i="1682"/>
  <c r="CF19" i="1682"/>
  <c r="CE20" i="1682"/>
  <c r="CF20" i="1682"/>
  <c r="CE21" i="1682"/>
  <c r="CF21" i="1682"/>
  <c r="CE22" i="1682"/>
  <c r="CF22" i="1682"/>
  <c r="CE23" i="1682"/>
  <c r="CF23" i="1682"/>
  <c r="CE24" i="1682"/>
  <c r="CF24" i="1682"/>
  <c r="CE25" i="1682"/>
  <c r="CF25" i="1682"/>
  <c r="CE26" i="1682"/>
  <c r="CF26" i="1682"/>
  <c r="CE27" i="1682"/>
  <c r="CF27" i="1682"/>
  <c r="CE28" i="1682"/>
  <c r="CF28" i="1682"/>
  <c r="CE29" i="1682"/>
  <c r="CF29" i="1682"/>
  <c r="CE30" i="1682"/>
  <c r="CF30" i="1682"/>
  <c r="CE31" i="1682"/>
  <c r="CF31" i="1682"/>
  <c r="CE32" i="1682"/>
  <c r="CF32" i="1682"/>
  <c r="CE33" i="1682"/>
  <c r="CF33" i="1682"/>
  <c r="CE34" i="1682"/>
  <c r="CF34" i="1682"/>
  <c r="CE35" i="1682"/>
  <c r="CF35" i="1682"/>
  <c r="CE36" i="1682"/>
  <c r="CF36" i="1682"/>
  <c r="CE37" i="1682"/>
  <c r="CF37" i="1682"/>
  <c r="CE38" i="1682"/>
  <c r="CF38" i="1682"/>
  <c r="CE39" i="1682"/>
  <c r="CF39" i="1682"/>
  <c r="CE40" i="1682"/>
  <c r="CF40" i="1682"/>
  <c r="CE41" i="1682"/>
  <c r="CF41" i="1682"/>
  <c r="CE42" i="1682"/>
  <c r="CF42" i="1682"/>
  <c r="CE43" i="1682"/>
  <c r="CF43" i="1682"/>
  <c r="CE44" i="1682"/>
  <c r="CF44" i="1682"/>
  <c r="CE45" i="1682"/>
  <c r="CF45" i="1682"/>
  <c r="CE46" i="1682"/>
  <c r="CF46" i="1682"/>
  <c r="CE47" i="1682"/>
  <c r="CF47" i="1682"/>
  <c r="CE48" i="1682"/>
  <c r="CF48" i="1682"/>
  <c r="CE49" i="1682"/>
  <c r="CF49" i="1682"/>
  <c r="CE50" i="1682"/>
  <c r="CF50" i="1682"/>
  <c r="CE51" i="1682"/>
  <c r="CF51" i="1682"/>
  <c r="CE52" i="1682"/>
  <c r="CF52" i="1682"/>
  <c r="CE53" i="1682"/>
  <c r="CF53" i="1682"/>
  <c r="CE54" i="1682"/>
  <c r="CF54" i="1682"/>
  <c r="CE55" i="1682"/>
  <c r="CF55" i="1682"/>
  <c r="CE56" i="1682"/>
  <c r="CF56" i="1682"/>
  <c r="CE57" i="1682"/>
  <c r="CF57" i="1682"/>
  <c r="CE58" i="1682"/>
  <c r="CF58" i="1682"/>
  <c r="CE59" i="1682"/>
  <c r="CF59" i="1682"/>
  <c r="CE60" i="1682"/>
  <c r="CF60" i="1682"/>
  <c r="CE61" i="1682"/>
  <c r="CF61" i="1682"/>
  <c r="CE62" i="1682"/>
  <c r="CF62" i="1682"/>
  <c r="CE63" i="1682"/>
  <c r="CF63" i="1682"/>
  <c r="CE64" i="1682"/>
  <c r="CF64" i="1682"/>
  <c r="CE65" i="1682"/>
  <c r="CF65" i="1682"/>
  <c r="CE66" i="1682"/>
  <c r="CF66" i="1682"/>
  <c r="CE67" i="1682"/>
  <c r="CF67" i="1682"/>
  <c r="CE68" i="1682"/>
  <c r="CF68" i="1682"/>
  <c r="CE69" i="1682"/>
  <c r="CF69" i="1682"/>
  <c r="CE70" i="1682"/>
  <c r="CF70" i="1682"/>
  <c r="CE71" i="1682"/>
  <c r="CF71" i="1682"/>
  <c r="CE72" i="1682"/>
  <c r="CF72" i="1682"/>
  <c r="CE73" i="1682"/>
  <c r="CF73" i="1682"/>
  <c r="CE74" i="1682"/>
  <c r="CF74" i="1682"/>
  <c r="CE75" i="1682"/>
  <c r="CF75" i="1682"/>
  <c r="CE76" i="1682"/>
  <c r="CF76" i="1682"/>
  <c r="CE77" i="1682"/>
  <c r="CF77" i="1682"/>
  <c r="CE78" i="1682"/>
  <c r="CF78" i="1682"/>
  <c r="CE79" i="1682"/>
  <c r="CF79" i="1682"/>
  <c r="CE80" i="1682"/>
  <c r="CF80" i="1682"/>
  <c r="CE81" i="1682"/>
  <c r="CF81" i="1682"/>
  <c r="CE82" i="1682"/>
  <c r="CF82" i="1682"/>
  <c r="CE83" i="1682"/>
  <c r="CF83" i="1682"/>
  <c r="CE84" i="1682"/>
  <c r="CF84" i="1682"/>
  <c r="CE85" i="1682"/>
  <c r="CF85" i="1682"/>
  <c r="CE86" i="1682"/>
  <c r="CF86" i="1682"/>
  <c r="CE87" i="1682"/>
  <c r="CF87" i="1682"/>
  <c r="CE88" i="1682"/>
  <c r="CF88" i="1682"/>
  <c r="CE89" i="1682"/>
  <c r="CF89" i="1682"/>
  <c r="CE90" i="1682"/>
  <c r="CF90" i="1682"/>
  <c r="CE91" i="1682"/>
  <c r="CF91" i="1682"/>
  <c r="CE92" i="1682"/>
  <c r="CF92" i="1682"/>
  <c r="CE93" i="1682"/>
  <c r="CF93" i="1682"/>
  <c r="CE94" i="1682"/>
  <c r="CF94" i="1682"/>
  <c r="CE95" i="1682"/>
  <c r="CF95" i="1682"/>
  <c r="CE96" i="1682"/>
  <c r="CF96" i="1682"/>
  <c r="CE97" i="1682"/>
  <c r="CF97" i="1682"/>
  <c r="CE98" i="1682"/>
  <c r="CF98" i="1682"/>
  <c r="CE99" i="1682"/>
  <c r="CF99" i="1682"/>
  <c r="CE100" i="1682"/>
  <c r="CF100" i="1682"/>
  <c r="CE101" i="1682"/>
  <c r="CF101" i="1682"/>
  <c r="CE102" i="1682"/>
  <c r="CF102" i="1682"/>
  <c r="CE103" i="1682"/>
  <c r="CF103" i="1682"/>
  <c r="CE104" i="1682"/>
  <c r="CF104" i="1682"/>
  <c r="CE105" i="1682"/>
  <c r="CF105" i="1682"/>
  <c r="CE106" i="1682"/>
  <c r="CF106" i="1682"/>
  <c r="CE107" i="1682"/>
  <c r="CF107" i="1682"/>
  <c r="CE108" i="1682"/>
  <c r="CF108" i="1682"/>
  <c r="CE109" i="1682"/>
  <c r="CF109" i="1682"/>
  <c r="CE110" i="1682"/>
  <c r="CF110" i="1682"/>
  <c r="CE111" i="1682"/>
  <c r="CF111" i="1682"/>
  <c r="CE112" i="1682"/>
  <c r="CF112" i="1682"/>
  <c r="CE113" i="1682"/>
  <c r="CF113" i="1682"/>
  <c r="CE114" i="1682"/>
  <c r="CF114" i="1682"/>
  <c r="CE115" i="1682"/>
  <c r="CF115" i="1682"/>
  <c r="CE116" i="1682"/>
  <c r="CF116" i="1682"/>
  <c r="CE117" i="1682"/>
  <c r="CF117" i="1682"/>
  <c r="CE118" i="1682"/>
  <c r="CF118" i="1682"/>
  <c r="CE119" i="1682"/>
  <c r="CF119" i="1682"/>
  <c r="CE120" i="1682"/>
  <c r="CF120" i="1682"/>
  <c r="CE121" i="1682"/>
  <c r="CF121" i="1682"/>
  <c r="CE122" i="1682"/>
  <c r="CF122" i="1682"/>
  <c r="CE123" i="1682"/>
  <c r="CF123" i="1682"/>
  <c r="CE124" i="1682"/>
  <c r="CF124" i="1682"/>
  <c r="CE125" i="1682"/>
  <c r="CF125" i="1682"/>
  <c r="CE126" i="1682"/>
  <c r="CF126" i="1682"/>
  <c r="CE127" i="1682"/>
  <c r="CF127" i="1682"/>
  <c r="CE128" i="1682"/>
  <c r="CF128" i="1682"/>
  <c r="CE129" i="1682"/>
  <c r="CF129" i="1682"/>
  <c r="CE130" i="1682"/>
  <c r="CF130" i="1682"/>
  <c r="CE131" i="1682"/>
  <c r="CF131" i="1682"/>
  <c r="CE132" i="1682"/>
  <c r="CF132" i="1682"/>
  <c r="CE133" i="1682"/>
  <c r="CF133" i="1682"/>
  <c r="CE134" i="1682"/>
  <c r="CF134" i="1682"/>
  <c r="CE135" i="1682"/>
  <c r="CF135" i="1682"/>
  <c r="CE136" i="1682"/>
  <c r="CF136" i="1682"/>
  <c r="CE137" i="1682"/>
  <c r="CF137" i="1682"/>
  <c r="CE138" i="1682"/>
  <c r="CF138" i="1682"/>
  <c r="CE139" i="1682"/>
  <c r="CF139" i="1682"/>
  <c r="CE140" i="1682"/>
  <c r="CF140" i="1682"/>
  <c r="CE141" i="1682"/>
  <c r="CF141" i="1682"/>
  <c r="CE142" i="1682"/>
  <c r="CF142" i="1682"/>
  <c r="CE143" i="1682"/>
  <c r="CF143" i="1682"/>
  <c r="CE144" i="1682"/>
  <c r="CF144" i="1682"/>
  <c r="CE145" i="1682"/>
  <c r="CF145" i="1682"/>
  <c r="CE146" i="1682"/>
  <c r="CF146" i="1682"/>
  <c r="CE147" i="1682"/>
  <c r="CF147" i="1682"/>
  <c r="CE148" i="1682"/>
  <c r="CF148" i="1682"/>
  <c r="CE149" i="1682"/>
  <c r="CF149" i="1682"/>
  <c r="CE150" i="1682"/>
  <c r="CF150" i="1682"/>
  <c r="CE151" i="1682"/>
  <c r="CF151" i="1682"/>
  <c r="CE152" i="1682"/>
  <c r="CF152" i="1682"/>
  <c r="CE153" i="1682"/>
  <c r="CF153" i="1682"/>
  <c r="CE154" i="1682"/>
  <c r="CF154" i="1682"/>
  <c r="CE155" i="1682"/>
  <c r="CF155" i="1682"/>
  <c r="CE156" i="1682"/>
  <c r="CF156" i="1682"/>
  <c r="CE157" i="1682"/>
  <c r="CF157" i="1682"/>
  <c r="CE158" i="1682"/>
  <c r="CF158" i="1682"/>
  <c r="CE159" i="1682"/>
  <c r="CF159" i="1682"/>
  <c r="CE160" i="1682"/>
  <c r="CF160" i="1682"/>
  <c r="CE161" i="1682"/>
  <c r="CF161" i="1682"/>
  <c r="CE162" i="1682"/>
  <c r="CF162" i="1682"/>
  <c r="CE163" i="1682"/>
  <c r="CF163" i="1682"/>
  <c r="CE164" i="1682"/>
  <c r="CF164" i="1682"/>
  <c r="CE165" i="1682"/>
  <c r="CF165" i="1682"/>
  <c r="CE166" i="1682"/>
  <c r="CF166" i="1682"/>
  <c r="CE167" i="1682"/>
  <c r="CF167" i="1682"/>
  <c r="CE168" i="1682"/>
  <c r="CF168" i="1682"/>
  <c r="CE169" i="1682"/>
  <c r="CF169" i="1682"/>
  <c r="CE170" i="1682"/>
  <c r="CF170" i="1682"/>
  <c r="CE171" i="1682"/>
  <c r="CF171" i="1682"/>
  <c r="CE172" i="1682"/>
  <c r="CF172" i="1682"/>
  <c r="CE173" i="1682"/>
  <c r="CF173" i="1682"/>
  <c r="CE174" i="1682"/>
  <c r="CF174" i="1682"/>
  <c r="CE175" i="1682"/>
  <c r="CF175" i="1682"/>
  <c r="CE176" i="1682"/>
  <c r="CF176" i="1682"/>
  <c r="CE177" i="1682"/>
  <c r="CF177" i="1682"/>
  <c r="CE178" i="1682"/>
  <c r="CF178" i="1682"/>
  <c r="CE179" i="1682"/>
  <c r="CF179" i="1682"/>
  <c r="CE180" i="1682"/>
  <c r="CF180" i="1682"/>
  <c r="CE181" i="1682"/>
  <c r="CF181" i="1682"/>
  <c r="CE182" i="1682"/>
  <c r="CF182" i="1682"/>
  <c r="CE183" i="1682"/>
  <c r="CF183" i="1682"/>
  <c r="CE184" i="1682"/>
  <c r="CF184" i="1682"/>
  <c r="CE185" i="1682"/>
  <c r="CF185" i="1682"/>
  <c r="CE186" i="1682"/>
  <c r="CF186" i="1682"/>
  <c r="CE187" i="1682"/>
  <c r="CF187" i="1682"/>
  <c r="CE188" i="1682"/>
  <c r="CF188" i="1682"/>
  <c r="CE189" i="1682"/>
  <c r="CF189" i="1682"/>
  <c r="CE190" i="1682"/>
  <c r="CF190" i="1682"/>
  <c r="CE191" i="1682"/>
  <c r="CF191" i="1682"/>
  <c r="CE192" i="1682"/>
  <c r="CF192" i="1682"/>
  <c r="CF3" i="1682"/>
  <c r="CE3" i="1682"/>
  <c r="CB4" i="1682"/>
  <c r="CC4" i="1682"/>
  <c r="CB5" i="1682"/>
  <c r="CC5" i="1682"/>
  <c r="CB6" i="1682"/>
  <c r="CC6" i="1682"/>
  <c r="CB7" i="1682"/>
  <c r="CC7" i="1682"/>
  <c r="CB8" i="1682"/>
  <c r="CC8" i="1682"/>
  <c r="CB9" i="1682"/>
  <c r="CC9" i="1682"/>
  <c r="CB10" i="1682"/>
  <c r="CC10" i="1682"/>
  <c r="CB11" i="1682"/>
  <c r="CC11" i="1682"/>
  <c r="CB12" i="1682"/>
  <c r="CC12" i="1682"/>
  <c r="CB13" i="1682"/>
  <c r="CC13" i="1682"/>
  <c r="CB14" i="1682"/>
  <c r="CC14" i="1682"/>
  <c r="CB15" i="1682"/>
  <c r="CC15" i="1682"/>
  <c r="CB16" i="1682"/>
  <c r="CC16" i="1682"/>
  <c r="CB17" i="1682"/>
  <c r="CC17" i="1682"/>
  <c r="CB18" i="1682"/>
  <c r="CC18" i="1682"/>
  <c r="CB19" i="1682"/>
  <c r="CC19" i="1682"/>
  <c r="CB20" i="1682"/>
  <c r="CC20" i="1682"/>
  <c r="CB21" i="1682"/>
  <c r="CC21" i="1682"/>
  <c r="CB22" i="1682"/>
  <c r="CC22" i="1682"/>
  <c r="CB23" i="1682"/>
  <c r="CC23" i="1682"/>
  <c r="CB24" i="1682"/>
  <c r="CC24" i="1682"/>
  <c r="CB25" i="1682"/>
  <c r="CC25" i="1682"/>
  <c r="CB26" i="1682"/>
  <c r="CC26" i="1682"/>
  <c r="CB27" i="1682"/>
  <c r="CC27" i="1682"/>
  <c r="CB28" i="1682"/>
  <c r="CC28" i="1682"/>
  <c r="CB29" i="1682"/>
  <c r="CC29" i="1682"/>
  <c r="CB30" i="1682"/>
  <c r="CC30" i="1682"/>
  <c r="CB31" i="1682"/>
  <c r="CC31" i="1682"/>
  <c r="CB32" i="1682"/>
  <c r="CC32" i="1682"/>
  <c r="CB33" i="1682"/>
  <c r="CC33" i="1682"/>
  <c r="CB34" i="1682"/>
  <c r="CC34" i="1682"/>
  <c r="CB35" i="1682"/>
  <c r="CC35" i="1682"/>
  <c r="CB36" i="1682"/>
  <c r="CC36" i="1682"/>
  <c r="CB37" i="1682"/>
  <c r="CC37" i="1682"/>
  <c r="CB38" i="1682"/>
  <c r="CC38" i="1682"/>
  <c r="CB39" i="1682"/>
  <c r="CC39" i="1682"/>
  <c r="CB40" i="1682"/>
  <c r="CC40" i="1682"/>
  <c r="CB41" i="1682"/>
  <c r="CC41" i="1682"/>
  <c r="CB42" i="1682"/>
  <c r="CC42" i="1682"/>
  <c r="CB43" i="1682"/>
  <c r="CC43" i="1682"/>
  <c r="CB44" i="1682"/>
  <c r="CC44" i="1682"/>
  <c r="CB45" i="1682"/>
  <c r="CC45" i="1682"/>
  <c r="CB46" i="1682"/>
  <c r="CC46" i="1682"/>
  <c r="CB47" i="1682"/>
  <c r="CC47" i="1682"/>
  <c r="CB48" i="1682"/>
  <c r="CC48" i="1682"/>
  <c r="CB49" i="1682"/>
  <c r="CC49" i="1682"/>
  <c r="CB50" i="1682"/>
  <c r="CC50" i="1682"/>
  <c r="CB51" i="1682"/>
  <c r="CC51" i="1682"/>
  <c r="CB52" i="1682"/>
  <c r="CC52" i="1682"/>
  <c r="CB53" i="1682"/>
  <c r="CC53" i="1682"/>
  <c r="CB54" i="1682"/>
  <c r="CC54" i="1682"/>
  <c r="CB55" i="1682"/>
  <c r="CC55" i="1682"/>
  <c r="CB56" i="1682"/>
  <c r="CC56" i="1682"/>
  <c r="CB57" i="1682"/>
  <c r="CC57" i="1682"/>
  <c r="CB58" i="1682"/>
  <c r="CC58" i="1682"/>
  <c r="CB59" i="1682"/>
  <c r="CC59" i="1682"/>
  <c r="CB60" i="1682"/>
  <c r="CC60" i="1682"/>
  <c r="CB61" i="1682"/>
  <c r="CC61" i="1682"/>
  <c r="CB62" i="1682"/>
  <c r="CC62" i="1682"/>
  <c r="CB63" i="1682"/>
  <c r="CC63" i="1682"/>
  <c r="CB64" i="1682"/>
  <c r="CC64" i="1682"/>
  <c r="CB65" i="1682"/>
  <c r="CC65" i="1682"/>
  <c r="CB66" i="1682"/>
  <c r="CC66" i="1682"/>
  <c r="CB67" i="1682"/>
  <c r="CC67" i="1682"/>
  <c r="CB68" i="1682"/>
  <c r="CC68" i="1682"/>
  <c r="CB69" i="1682"/>
  <c r="CC69" i="1682"/>
  <c r="CB70" i="1682"/>
  <c r="CC70" i="1682"/>
  <c r="CB71" i="1682"/>
  <c r="CC71" i="1682"/>
  <c r="CB72" i="1682"/>
  <c r="CC72" i="1682"/>
  <c r="CB73" i="1682"/>
  <c r="CC73" i="1682"/>
  <c r="CB74" i="1682"/>
  <c r="CC74" i="1682"/>
  <c r="CB75" i="1682"/>
  <c r="CC75" i="1682"/>
  <c r="CB76" i="1682"/>
  <c r="CC76" i="1682"/>
  <c r="CB77" i="1682"/>
  <c r="CC77" i="1682"/>
  <c r="CB78" i="1682"/>
  <c r="CC78" i="1682"/>
  <c r="CB79" i="1682"/>
  <c r="CC79" i="1682"/>
  <c r="CB80" i="1682"/>
  <c r="CC80" i="1682"/>
  <c r="CB81" i="1682"/>
  <c r="CC81" i="1682"/>
  <c r="CB82" i="1682"/>
  <c r="CC82" i="1682"/>
  <c r="CB83" i="1682"/>
  <c r="CC83" i="1682"/>
  <c r="CB84" i="1682"/>
  <c r="CC84" i="1682"/>
  <c r="CB85" i="1682"/>
  <c r="CC85" i="1682"/>
  <c r="CB86" i="1682"/>
  <c r="CC86" i="1682"/>
  <c r="CB87" i="1682"/>
  <c r="CC87" i="1682"/>
  <c r="CB88" i="1682"/>
  <c r="CC88" i="1682"/>
  <c r="CB89" i="1682"/>
  <c r="CC89" i="1682"/>
  <c r="CB90" i="1682"/>
  <c r="CC90" i="1682"/>
  <c r="CB91" i="1682"/>
  <c r="CC91" i="1682"/>
  <c r="CB92" i="1682"/>
  <c r="CC92" i="1682"/>
  <c r="CB93" i="1682"/>
  <c r="CC93" i="1682"/>
  <c r="CB94" i="1682"/>
  <c r="CC94" i="1682"/>
  <c r="CB95" i="1682"/>
  <c r="CC95" i="1682"/>
  <c r="CB96" i="1682"/>
  <c r="CC96" i="1682"/>
  <c r="CB97" i="1682"/>
  <c r="CC97" i="1682"/>
  <c r="CB98" i="1682"/>
  <c r="CC98" i="1682"/>
  <c r="CB99" i="1682"/>
  <c r="CC99" i="1682"/>
  <c r="CB100" i="1682"/>
  <c r="CC100" i="1682"/>
  <c r="CB101" i="1682"/>
  <c r="CC101" i="1682"/>
  <c r="CB102" i="1682"/>
  <c r="CC102" i="1682"/>
  <c r="CB103" i="1682"/>
  <c r="CC103" i="1682"/>
  <c r="CB104" i="1682"/>
  <c r="CC104" i="1682"/>
  <c r="CB105" i="1682"/>
  <c r="CC105" i="1682"/>
  <c r="CB106" i="1682"/>
  <c r="CC106" i="1682"/>
  <c r="CB107" i="1682"/>
  <c r="CC107" i="1682"/>
  <c r="CB108" i="1682"/>
  <c r="CC108" i="1682"/>
  <c r="CB109" i="1682"/>
  <c r="CC109" i="1682"/>
  <c r="CB110" i="1682"/>
  <c r="CC110" i="1682"/>
  <c r="CB111" i="1682"/>
  <c r="CC111" i="1682"/>
  <c r="CB112" i="1682"/>
  <c r="CC112" i="1682"/>
  <c r="CB113" i="1682"/>
  <c r="CC113" i="1682"/>
  <c r="CB114" i="1682"/>
  <c r="CC114" i="1682"/>
  <c r="CB115" i="1682"/>
  <c r="CC115" i="1682"/>
  <c r="CB116" i="1682"/>
  <c r="CC116" i="1682"/>
  <c r="CB117" i="1682"/>
  <c r="CC117" i="1682"/>
  <c r="CB118" i="1682"/>
  <c r="CC118" i="1682"/>
  <c r="CB119" i="1682"/>
  <c r="CC119" i="1682"/>
  <c r="CB120" i="1682"/>
  <c r="CC120" i="1682"/>
  <c r="CB121" i="1682"/>
  <c r="CC121" i="1682"/>
  <c r="CB122" i="1682"/>
  <c r="CC122" i="1682"/>
  <c r="CB123" i="1682"/>
  <c r="CC123" i="1682"/>
  <c r="CB124" i="1682"/>
  <c r="CC124" i="1682"/>
  <c r="CB125" i="1682"/>
  <c r="CC125" i="1682"/>
  <c r="CB126" i="1682"/>
  <c r="CC126" i="1682"/>
  <c r="CB127" i="1682"/>
  <c r="CC127" i="1682"/>
  <c r="CB128" i="1682"/>
  <c r="CC128" i="1682"/>
  <c r="CB129" i="1682"/>
  <c r="CC129" i="1682"/>
  <c r="CB130" i="1682"/>
  <c r="CC130" i="1682"/>
  <c r="CB131" i="1682"/>
  <c r="CC131" i="1682"/>
  <c r="CB132" i="1682"/>
  <c r="CC132" i="1682"/>
  <c r="CB133" i="1682"/>
  <c r="CC133" i="1682"/>
  <c r="CB134" i="1682"/>
  <c r="CC134" i="1682"/>
  <c r="CB135" i="1682"/>
  <c r="CC135" i="1682"/>
  <c r="CB136" i="1682"/>
  <c r="CC136" i="1682"/>
  <c r="CB137" i="1682"/>
  <c r="CC137" i="1682"/>
  <c r="CB138" i="1682"/>
  <c r="CC138" i="1682"/>
  <c r="CB139" i="1682"/>
  <c r="CC139" i="1682"/>
  <c r="CB140" i="1682"/>
  <c r="CC140" i="1682"/>
  <c r="CB141" i="1682"/>
  <c r="CC141" i="1682"/>
  <c r="CB142" i="1682"/>
  <c r="CC142" i="1682"/>
  <c r="CB143" i="1682"/>
  <c r="CC143" i="1682"/>
  <c r="CB144" i="1682"/>
  <c r="CC144" i="1682"/>
  <c r="CB145" i="1682"/>
  <c r="CC145" i="1682"/>
  <c r="CB146" i="1682"/>
  <c r="CC146" i="1682"/>
  <c r="CB147" i="1682"/>
  <c r="CC147" i="1682"/>
  <c r="CB148" i="1682"/>
  <c r="CC148" i="1682"/>
  <c r="CB149" i="1682"/>
  <c r="CC149" i="1682"/>
  <c r="CB150" i="1682"/>
  <c r="CC150" i="1682"/>
  <c r="CB151" i="1682"/>
  <c r="CC151" i="1682"/>
  <c r="CB152" i="1682"/>
  <c r="CC152" i="1682"/>
  <c r="CB153" i="1682"/>
  <c r="CC153" i="1682"/>
  <c r="CB154" i="1682"/>
  <c r="CC154" i="1682"/>
  <c r="CB155" i="1682"/>
  <c r="CC155" i="1682"/>
  <c r="CB156" i="1682"/>
  <c r="CC156" i="1682"/>
  <c r="CB157" i="1682"/>
  <c r="CC157" i="1682"/>
  <c r="CB158" i="1682"/>
  <c r="CC158" i="1682"/>
  <c r="CB159" i="1682"/>
  <c r="CC159" i="1682"/>
  <c r="CB160" i="1682"/>
  <c r="CC160" i="1682"/>
  <c r="CB161" i="1682"/>
  <c r="CC161" i="1682"/>
  <c r="CB162" i="1682"/>
  <c r="CC162" i="1682"/>
  <c r="CB163" i="1682"/>
  <c r="CC163" i="1682"/>
  <c r="CB164" i="1682"/>
  <c r="CC164" i="1682"/>
  <c r="CB165" i="1682"/>
  <c r="CC165" i="1682"/>
  <c r="CB166" i="1682"/>
  <c r="CC166" i="1682"/>
  <c r="CB167" i="1682"/>
  <c r="CC167" i="1682"/>
  <c r="CB168" i="1682"/>
  <c r="CC168" i="1682"/>
  <c r="CB169" i="1682"/>
  <c r="CC169" i="1682"/>
  <c r="CB170" i="1682"/>
  <c r="CC170" i="1682"/>
  <c r="CB171" i="1682"/>
  <c r="CC171" i="1682"/>
  <c r="CB172" i="1682"/>
  <c r="CC172" i="1682"/>
  <c r="CB173" i="1682"/>
  <c r="CC173" i="1682"/>
  <c r="CB174" i="1682"/>
  <c r="CC174" i="1682"/>
  <c r="CB175" i="1682"/>
  <c r="CC175" i="1682"/>
  <c r="CB176" i="1682"/>
  <c r="CC176" i="1682"/>
  <c r="CB177" i="1682"/>
  <c r="CC177" i="1682"/>
  <c r="CB178" i="1682"/>
  <c r="CC178" i="1682"/>
  <c r="CB179" i="1682"/>
  <c r="CC179" i="1682"/>
  <c r="CB180" i="1682"/>
  <c r="CC180" i="1682"/>
  <c r="CB181" i="1682"/>
  <c r="CC181" i="1682"/>
  <c r="CB182" i="1682"/>
  <c r="CC182" i="1682"/>
  <c r="CB183" i="1682"/>
  <c r="CC183" i="1682"/>
  <c r="CB184" i="1682"/>
  <c r="CC184" i="1682"/>
  <c r="CB185" i="1682"/>
  <c r="CC185" i="1682"/>
  <c r="CB186" i="1682"/>
  <c r="CC186" i="1682"/>
  <c r="CB187" i="1682"/>
  <c r="CC187" i="1682"/>
  <c r="CB188" i="1682"/>
  <c r="CC188" i="1682"/>
  <c r="CB189" i="1682"/>
  <c r="CC189" i="1682"/>
  <c r="CB190" i="1682"/>
  <c r="CC190" i="1682"/>
  <c r="CB191" i="1682"/>
  <c r="CC191" i="1682"/>
  <c r="CB192" i="1682"/>
  <c r="CC192" i="1682"/>
  <c r="CC3" i="1682"/>
  <c r="CB3" i="1682"/>
  <c r="BH29" i="1682" l="1"/>
  <c r="W5" i="2159" l="1"/>
  <c r="W6" i="2159"/>
  <c r="W7" i="2159"/>
  <c r="W8" i="2159"/>
  <c r="J4" i="2159"/>
  <c r="S4" i="2159"/>
  <c r="S5" i="2159"/>
  <c r="S6" i="2159"/>
  <c r="S7" i="2159"/>
  <c r="S8" i="2159"/>
  <c r="S9" i="2159"/>
  <c r="S10" i="2159"/>
  <c r="S11" i="2159"/>
  <c r="S12" i="2159"/>
  <c r="S13" i="2159"/>
  <c r="S14" i="2159"/>
  <c r="S15" i="2159"/>
  <c r="S16" i="2159"/>
  <c r="S17" i="2159"/>
  <c r="S18" i="2159"/>
  <c r="S19" i="2159"/>
  <c r="S20" i="2159"/>
  <c r="S21" i="2159"/>
  <c r="S22" i="2159"/>
  <c r="S23" i="2159"/>
  <c r="S24" i="2159"/>
  <c r="S25" i="2159"/>
  <c r="S26" i="2159"/>
  <c r="S27" i="2159"/>
  <c r="S28" i="2159"/>
  <c r="S29" i="2159"/>
  <c r="S30" i="2159"/>
  <c r="S31" i="2159"/>
  <c r="S32" i="2159"/>
  <c r="S33" i="2159"/>
  <c r="S34" i="2159"/>
  <c r="S35" i="2159"/>
  <c r="S36" i="2159"/>
  <c r="S37" i="2159"/>
  <c r="S38" i="2159"/>
  <c r="S39" i="2159"/>
  <c r="S40" i="2159"/>
  <c r="S41" i="2159"/>
  <c r="S42" i="2159"/>
  <c r="S43" i="2159"/>
  <c r="S44" i="2159"/>
  <c r="S45" i="2159"/>
  <c r="S46" i="2159"/>
  <c r="S47" i="2159"/>
  <c r="S48" i="2159"/>
  <c r="S49" i="2159"/>
  <c r="S50" i="2159"/>
  <c r="S51" i="2159"/>
  <c r="S52" i="2159"/>
  <c r="S53" i="2159"/>
  <c r="S54" i="2159"/>
  <c r="S55" i="2159"/>
  <c r="S56" i="2159"/>
  <c r="S57" i="2159"/>
  <c r="S58" i="2159"/>
  <c r="S59" i="2159"/>
  <c r="S60" i="2159"/>
  <c r="S61" i="2159"/>
  <c r="S62" i="2159"/>
  <c r="S63" i="2159"/>
  <c r="S64" i="2159"/>
  <c r="S65" i="2159"/>
  <c r="S66" i="2159"/>
  <c r="S67" i="2159"/>
  <c r="S68" i="2159"/>
  <c r="S69" i="2159"/>
  <c r="S70" i="2159"/>
  <c r="S71" i="2159"/>
  <c r="S72" i="2159"/>
  <c r="S73" i="2159"/>
  <c r="S74" i="2159"/>
  <c r="S75" i="2159"/>
  <c r="S76" i="2159"/>
  <c r="S77" i="2159"/>
  <c r="S78" i="2159"/>
  <c r="S79" i="2159"/>
  <c r="S80" i="2159"/>
  <c r="S81" i="2159"/>
  <c r="S82" i="2159"/>
  <c r="S83" i="2159"/>
  <c r="S84" i="2159"/>
  <c r="S85" i="2159"/>
  <c r="S86" i="2159"/>
  <c r="S87" i="2159"/>
  <c r="S88" i="2159"/>
  <c r="S89" i="2159"/>
  <c r="S90" i="2159"/>
  <c r="S91" i="2159"/>
  <c r="S92" i="2159"/>
  <c r="S93" i="2159"/>
  <c r="S94" i="2159"/>
  <c r="S95" i="2159"/>
  <c r="S96" i="2159"/>
  <c r="S97" i="2159"/>
  <c r="S98" i="2159"/>
  <c r="S99" i="2159"/>
  <c r="S100" i="2159"/>
  <c r="S101" i="2159"/>
  <c r="S102" i="2159"/>
  <c r="S103" i="2159"/>
  <c r="S104" i="2159"/>
  <c r="S105" i="2159"/>
  <c r="S3" i="2159"/>
  <c r="F4" i="2159"/>
  <c r="F5" i="2159"/>
  <c r="F6" i="2159"/>
  <c r="F7" i="2159"/>
  <c r="F8" i="2159"/>
  <c r="F9" i="2159"/>
  <c r="F10" i="2159"/>
  <c r="F11" i="2159"/>
  <c r="F12" i="2159"/>
  <c r="F13" i="2159"/>
  <c r="F14" i="2159"/>
  <c r="F15" i="2159"/>
  <c r="F16" i="2159"/>
  <c r="F17" i="2159"/>
  <c r="F18" i="2159"/>
  <c r="F19" i="2159"/>
  <c r="F20" i="2159"/>
  <c r="F21" i="2159"/>
  <c r="F22" i="2159"/>
  <c r="F23" i="2159"/>
  <c r="F24" i="2159"/>
  <c r="F25" i="2159"/>
  <c r="F26" i="2159"/>
  <c r="F27" i="2159"/>
  <c r="F28" i="2159"/>
  <c r="F29" i="2159"/>
  <c r="F30" i="2159"/>
  <c r="F31" i="2159"/>
  <c r="F32" i="2159"/>
  <c r="F33" i="2159"/>
  <c r="F34" i="2159"/>
  <c r="F35" i="2159"/>
  <c r="F36" i="2159"/>
  <c r="F37" i="2159"/>
  <c r="F38" i="2159"/>
  <c r="F39" i="2159"/>
  <c r="F40" i="2159"/>
  <c r="F41" i="2159"/>
  <c r="F42" i="2159"/>
  <c r="F43" i="2159"/>
  <c r="F44" i="2159"/>
  <c r="F45" i="2159"/>
  <c r="F46" i="2159"/>
  <c r="F47" i="2159"/>
  <c r="F48" i="2159"/>
  <c r="F49" i="2159"/>
  <c r="F50" i="2159"/>
  <c r="F51" i="2159"/>
  <c r="F52" i="2159"/>
  <c r="F53" i="2159"/>
  <c r="F54" i="2159"/>
  <c r="F55" i="2159"/>
  <c r="F56" i="2159"/>
  <c r="F57" i="2159"/>
  <c r="F58" i="2159"/>
  <c r="F59" i="2159"/>
  <c r="F60" i="2159"/>
  <c r="F61" i="2159"/>
  <c r="F62" i="2159"/>
  <c r="F63" i="2159"/>
  <c r="F64" i="2159"/>
  <c r="F65" i="2159"/>
  <c r="F66" i="2159"/>
  <c r="F67" i="2159"/>
  <c r="F68" i="2159"/>
  <c r="F69" i="2159"/>
  <c r="F70" i="2159"/>
  <c r="F71" i="2159"/>
  <c r="F72" i="2159"/>
  <c r="F73" i="2159"/>
  <c r="F74" i="2159"/>
  <c r="F75" i="2159"/>
  <c r="F76" i="2159"/>
  <c r="F77" i="2159"/>
  <c r="F78" i="2159"/>
  <c r="F79" i="2159"/>
  <c r="F80" i="2159"/>
  <c r="F81" i="2159"/>
  <c r="F82" i="2159"/>
  <c r="F83" i="2159"/>
  <c r="F84" i="2159"/>
  <c r="F85" i="2159"/>
  <c r="F86" i="2159"/>
  <c r="F87" i="2159"/>
  <c r="F88" i="2159"/>
  <c r="F89" i="2159"/>
  <c r="F90" i="2159"/>
  <c r="F91" i="2159"/>
  <c r="F92" i="2159"/>
  <c r="F93" i="2159"/>
  <c r="F94" i="2159"/>
  <c r="F95" i="2159"/>
  <c r="F96" i="2159"/>
  <c r="F97" i="2159"/>
  <c r="F98" i="2159"/>
  <c r="F99" i="2159"/>
  <c r="F100" i="2159"/>
  <c r="F101" i="2159"/>
  <c r="F102" i="2159"/>
  <c r="F103" i="2159"/>
  <c r="F104" i="2159"/>
  <c r="F105" i="2159"/>
  <c r="F3" i="2159"/>
  <c r="A1" i="2159" l="1"/>
  <c r="BH20" i="1682" l="1"/>
  <c r="AM20" i="1682"/>
  <c r="AM29" i="1682" l="1"/>
  <c r="BR5" i="2159"/>
  <c r="BH43" i="1682" l="1"/>
  <c r="BN259" i="2159" l="1"/>
  <c r="BQ259" i="2159" s="1"/>
  <c r="BN258" i="2159"/>
  <c r="BQ258" i="2159" s="1"/>
  <c r="BN257" i="2159"/>
  <c r="BQ257" i="2159" s="1"/>
  <c r="BN256" i="2159"/>
  <c r="BQ256" i="2159" s="1"/>
  <c r="BN255" i="2159"/>
  <c r="BQ255" i="2159" s="1"/>
  <c r="BN254" i="2159"/>
  <c r="BQ254" i="2159" s="1"/>
  <c r="BN253" i="2159"/>
  <c r="BQ253" i="2159" s="1"/>
  <c r="BN252" i="2159"/>
  <c r="BQ252" i="2159" s="1"/>
  <c r="BN251" i="2159"/>
  <c r="BQ251" i="2159" s="1"/>
  <c r="BN250" i="2159"/>
  <c r="BQ250" i="2159" s="1"/>
  <c r="BN249" i="2159"/>
  <c r="BQ249" i="2159" s="1"/>
  <c r="BN248" i="2159"/>
  <c r="BQ248" i="2159" s="1"/>
  <c r="BN247" i="2159"/>
  <c r="BQ247" i="2159" s="1"/>
  <c r="BN246" i="2159"/>
  <c r="BQ246" i="2159" s="1"/>
  <c r="BN245" i="2159"/>
  <c r="BQ245" i="2159" s="1"/>
  <c r="BN244" i="2159"/>
  <c r="BQ244" i="2159" s="1"/>
  <c r="BN243" i="2159"/>
  <c r="BQ243" i="2159" s="1"/>
  <c r="BN242" i="2159"/>
  <c r="BQ242" i="2159" s="1"/>
  <c r="BN241" i="2159"/>
  <c r="BQ241" i="2159" s="1"/>
  <c r="BN240" i="2159"/>
  <c r="BQ240" i="2159" s="1"/>
  <c r="BN239" i="2159"/>
  <c r="BQ239" i="2159" s="1"/>
  <c r="BN238" i="2159"/>
  <c r="BQ238" i="2159" s="1"/>
  <c r="BN237" i="2159"/>
  <c r="BQ237" i="2159" s="1"/>
  <c r="BN236" i="2159"/>
  <c r="BQ236" i="2159" s="1"/>
  <c r="BN235" i="2159"/>
  <c r="BQ235" i="2159" s="1"/>
  <c r="BN234" i="2159"/>
  <c r="BQ234" i="2159" s="1"/>
  <c r="BN233" i="2159"/>
  <c r="BQ233" i="2159" s="1"/>
  <c r="BN232" i="2159"/>
  <c r="BQ232" i="2159" s="1"/>
  <c r="BN231" i="2159"/>
  <c r="BQ231" i="2159" s="1"/>
  <c r="BN230" i="2159"/>
  <c r="BQ230" i="2159" s="1"/>
  <c r="BN229" i="2159"/>
  <c r="BQ229" i="2159" s="1"/>
  <c r="BN228" i="2159"/>
  <c r="BQ228" i="2159" s="1"/>
  <c r="BN227" i="2159"/>
  <c r="BQ227" i="2159" s="1"/>
  <c r="BN226" i="2159"/>
  <c r="BQ226" i="2159" s="1"/>
  <c r="BN225" i="2159"/>
  <c r="BQ225" i="2159" s="1"/>
  <c r="BN224" i="2159"/>
  <c r="BQ224" i="2159" s="1"/>
  <c r="BN223" i="2159"/>
  <c r="BQ223" i="2159" s="1"/>
  <c r="BN222" i="2159"/>
  <c r="BQ222" i="2159" s="1"/>
  <c r="BN221" i="2159"/>
  <c r="BQ221" i="2159" s="1"/>
  <c r="BN220" i="2159"/>
  <c r="BQ220" i="2159" s="1"/>
  <c r="BN219" i="2159"/>
  <c r="BQ219" i="2159" s="1"/>
  <c r="BN218" i="2159"/>
  <c r="BQ218" i="2159" s="1"/>
  <c r="BN217" i="2159"/>
  <c r="BQ217" i="2159" s="1"/>
  <c r="BN216" i="2159"/>
  <c r="BQ216" i="2159" s="1"/>
  <c r="BN215" i="2159"/>
  <c r="BQ215" i="2159" s="1"/>
  <c r="BN214" i="2159"/>
  <c r="BQ214" i="2159" s="1"/>
  <c r="BN213" i="2159"/>
  <c r="BQ213" i="2159" s="1"/>
  <c r="BN212" i="2159"/>
  <c r="BQ212" i="2159" s="1"/>
  <c r="BN211" i="2159"/>
  <c r="BQ211" i="2159" s="1"/>
  <c r="AO211" i="2159"/>
  <c r="AP211" i="2159" s="1"/>
  <c r="BN210" i="2159"/>
  <c r="BQ210" i="2159" s="1"/>
  <c r="AO210" i="2159"/>
  <c r="AP210" i="2159" s="1"/>
  <c r="BN209" i="2159"/>
  <c r="BQ209" i="2159" s="1"/>
  <c r="AO209" i="2159"/>
  <c r="AP209" i="2159" s="1"/>
  <c r="BN208" i="2159"/>
  <c r="BQ208" i="2159" s="1"/>
  <c r="AO208" i="2159"/>
  <c r="AP208" i="2159" s="1"/>
  <c r="BN207" i="2159"/>
  <c r="BQ207" i="2159" s="1"/>
  <c r="AO207" i="2159"/>
  <c r="AP207" i="2159" s="1"/>
  <c r="BN206" i="2159"/>
  <c r="BQ206" i="2159" s="1"/>
  <c r="AO206" i="2159"/>
  <c r="AP206" i="2159" s="1"/>
  <c r="BN205" i="2159"/>
  <c r="BQ205" i="2159" s="1"/>
  <c r="AO205" i="2159"/>
  <c r="AP205" i="2159" s="1"/>
  <c r="BN204" i="2159"/>
  <c r="BQ204" i="2159" s="1"/>
  <c r="AO204" i="2159"/>
  <c r="AP204" i="2159" s="1"/>
  <c r="BN203" i="2159"/>
  <c r="BQ203" i="2159" s="1"/>
  <c r="AO203" i="2159"/>
  <c r="AP203" i="2159" s="1"/>
  <c r="BN202" i="2159"/>
  <c r="BQ202" i="2159" s="1"/>
  <c r="AO202" i="2159"/>
  <c r="AP202" i="2159" s="1"/>
  <c r="BN201" i="2159"/>
  <c r="BQ201" i="2159" s="1"/>
  <c r="AO201" i="2159"/>
  <c r="Q98" i="2159" s="1"/>
  <c r="BN200" i="2159"/>
  <c r="BQ200" i="2159" s="1"/>
  <c r="AO200" i="2159"/>
  <c r="AP200" i="2159" s="1"/>
  <c r="BN199" i="2159"/>
  <c r="BQ199" i="2159" s="1"/>
  <c r="AO199" i="2159"/>
  <c r="AP199" i="2159" s="1"/>
  <c r="BN198" i="2159"/>
  <c r="BQ198" i="2159" s="1"/>
  <c r="AO198" i="2159"/>
  <c r="AP198" i="2159" s="1"/>
  <c r="BN197" i="2159"/>
  <c r="BQ197" i="2159" s="1"/>
  <c r="AO197" i="2159"/>
  <c r="AP197" i="2159" s="1"/>
  <c r="BN196" i="2159"/>
  <c r="BQ196" i="2159" s="1"/>
  <c r="AO196" i="2159"/>
  <c r="AP196" i="2159" s="1"/>
  <c r="BN195" i="2159"/>
  <c r="BQ195" i="2159" s="1"/>
  <c r="AO195" i="2159"/>
  <c r="AP195" i="2159" s="1"/>
  <c r="BN194" i="2159"/>
  <c r="BQ194" i="2159" s="1"/>
  <c r="AO194" i="2159"/>
  <c r="AP194" i="2159" s="1"/>
  <c r="BN193" i="2159"/>
  <c r="BQ193" i="2159" s="1"/>
  <c r="AO193" i="2159"/>
  <c r="AP193" i="2159" s="1"/>
  <c r="BN192" i="2159"/>
  <c r="BQ192" i="2159" s="1"/>
  <c r="AO192" i="2159"/>
  <c r="AP192" i="2159" s="1"/>
  <c r="BN191" i="2159"/>
  <c r="BQ191" i="2159" s="1"/>
  <c r="AO191" i="2159"/>
  <c r="AP191" i="2159" s="1"/>
  <c r="BN190" i="2159"/>
  <c r="BQ190" i="2159" s="1"/>
  <c r="AO190" i="2159"/>
  <c r="AP190" i="2159" s="1"/>
  <c r="BN189" i="2159"/>
  <c r="BQ189" i="2159" s="1"/>
  <c r="AO189" i="2159"/>
  <c r="AP189" i="2159" s="1"/>
  <c r="BN188" i="2159"/>
  <c r="BQ188" i="2159" s="1"/>
  <c r="AO188" i="2159"/>
  <c r="AP188" i="2159" s="1"/>
  <c r="BN187" i="2159"/>
  <c r="BQ187" i="2159" s="1"/>
  <c r="AO187" i="2159"/>
  <c r="AP187" i="2159" s="1"/>
  <c r="BN186" i="2159"/>
  <c r="BQ186" i="2159" s="1"/>
  <c r="AO186" i="2159"/>
  <c r="AP186" i="2159" s="1"/>
  <c r="BN185" i="2159"/>
  <c r="BQ185" i="2159" s="1"/>
  <c r="AO185" i="2159"/>
  <c r="AP185" i="2159" s="1"/>
  <c r="BN184" i="2159"/>
  <c r="BQ184" i="2159" s="1"/>
  <c r="AO184" i="2159"/>
  <c r="AP184" i="2159" s="1"/>
  <c r="BN183" i="2159"/>
  <c r="BQ183" i="2159" s="1"/>
  <c r="AO183" i="2159"/>
  <c r="AP183" i="2159" s="1"/>
  <c r="BN182" i="2159"/>
  <c r="BQ182" i="2159" s="1"/>
  <c r="AO182" i="2159"/>
  <c r="AP182" i="2159" s="1"/>
  <c r="BN181" i="2159"/>
  <c r="BQ181" i="2159" s="1"/>
  <c r="AO181" i="2159"/>
  <c r="AP181" i="2159" s="1"/>
  <c r="BN180" i="2159"/>
  <c r="BQ180" i="2159" s="1"/>
  <c r="AO180" i="2159"/>
  <c r="AP180" i="2159" s="1"/>
  <c r="BN179" i="2159"/>
  <c r="BQ179" i="2159" s="1"/>
  <c r="AO179" i="2159"/>
  <c r="AP179" i="2159" s="1"/>
  <c r="BN178" i="2159"/>
  <c r="BQ178" i="2159" s="1"/>
  <c r="AO178" i="2159"/>
  <c r="AP178" i="2159" s="1"/>
  <c r="BN177" i="2159"/>
  <c r="BQ177" i="2159" s="1"/>
  <c r="AO177" i="2159"/>
  <c r="AP177" i="2159" s="1"/>
  <c r="BN176" i="2159"/>
  <c r="BQ176" i="2159" s="1"/>
  <c r="AO176" i="2159"/>
  <c r="AP176" i="2159" s="1"/>
  <c r="BN175" i="2159"/>
  <c r="BQ175" i="2159" s="1"/>
  <c r="AO175" i="2159"/>
  <c r="AP175" i="2159" s="1"/>
  <c r="BN174" i="2159"/>
  <c r="BQ174" i="2159" s="1"/>
  <c r="AO174" i="2159"/>
  <c r="AP174" i="2159" s="1"/>
  <c r="BN173" i="2159"/>
  <c r="BQ173" i="2159" s="1"/>
  <c r="AO173" i="2159"/>
  <c r="AP173" i="2159" s="1"/>
  <c r="BN172" i="2159"/>
  <c r="BQ172" i="2159" s="1"/>
  <c r="AO172" i="2159"/>
  <c r="AP172" i="2159" s="1"/>
  <c r="BN171" i="2159"/>
  <c r="BQ171" i="2159" s="1"/>
  <c r="AO171" i="2159"/>
  <c r="AP171" i="2159" s="1"/>
  <c r="BN170" i="2159"/>
  <c r="BQ170" i="2159" s="1"/>
  <c r="AO170" i="2159"/>
  <c r="Q67" i="2159" s="1"/>
  <c r="BN169" i="2159"/>
  <c r="BQ169" i="2159" s="1"/>
  <c r="AO169" i="2159"/>
  <c r="AP169" i="2159" s="1"/>
  <c r="BN168" i="2159"/>
  <c r="BQ168" i="2159" s="1"/>
  <c r="AO168" i="2159"/>
  <c r="AP168" i="2159" s="1"/>
  <c r="BN167" i="2159"/>
  <c r="BQ167" i="2159" s="1"/>
  <c r="AO167" i="2159"/>
  <c r="AP167" i="2159" s="1"/>
  <c r="BN166" i="2159"/>
  <c r="BQ166" i="2159" s="1"/>
  <c r="AO166" i="2159"/>
  <c r="AP166" i="2159" s="1"/>
  <c r="BN165" i="2159"/>
  <c r="BQ165" i="2159" s="1"/>
  <c r="AO165" i="2159"/>
  <c r="BN164" i="2159"/>
  <c r="BQ164" i="2159" s="1"/>
  <c r="AO164" i="2159"/>
  <c r="AP164" i="2159" s="1"/>
  <c r="BN163" i="2159"/>
  <c r="BQ163" i="2159" s="1"/>
  <c r="AO163" i="2159"/>
  <c r="AP163" i="2159" s="1"/>
  <c r="BN162" i="2159"/>
  <c r="BQ162" i="2159" s="1"/>
  <c r="AO162" i="2159"/>
  <c r="Q59" i="2159" s="1"/>
  <c r="BN161" i="2159"/>
  <c r="BQ161" i="2159" s="1"/>
  <c r="AO161" i="2159"/>
  <c r="AP161" i="2159" s="1"/>
  <c r="BN160" i="2159"/>
  <c r="BQ160" i="2159" s="1"/>
  <c r="AO160" i="2159"/>
  <c r="AP160" i="2159" s="1"/>
  <c r="BN159" i="2159"/>
  <c r="BQ159" i="2159" s="1"/>
  <c r="AO159" i="2159"/>
  <c r="AP159" i="2159" s="1"/>
  <c r="BN158" i="2159"/>
  <c r="BQ158" i="2159" s="1"/>
  <c r="AO158" i="2159"/>
  <c r="AP158" i="2159" s="1"/>
  <c r="BN157" i="2159"/>
  <c r="BQ157" i="2159" s="1"/>
  <c r="AO157" i="2159"/>
  <c r="AP157" i="2159" s="1"/>
  <c r="BN156" i="2159"/>
  <c r="BQ156" i="2159" s="1"/>
  <c r="AO156" i="2159"/>
  <c r="AP156" i="2159" s="1"/>
  <c r="BN155" i="2159"/>
  <c r="BQ155" i="2159" s="1"/>
  <c r="AO155" i="2159"/>
  <c r="AP155" i="2159" s="1"/>
  <c r="BN154" i="2159"/>
  <c r="BQ154" i="2159" s="1"/>
  <c r="AO154" i="2159"/>
  <c r="AP154" i="2159" s="1"/>
  <c r="BN153" i="2159"/>
  <c r="BQ153" i="2159" s="1"/>
  <c r="AO153" i="2159"/>
  <c r="AP153" i="2159" s="1"/>
  <c r="BN152" i="2159"/>
  <c r="BQ152" i="2159" s="1"/>
  <c r="AO152" i="2159"/>
  <c r="AP152" i="2159" s="1"/>
  <c r="BN151" i="2159"/>
  <c r="BQ151" i="2159" s="1"/>
  <c r="AO151" i="2159"/>
  <c r="AP151" i="2159" s="1"/>
  <c r="BN150" i="2159"/>
  <c r="BQ150" i="2159" s="1"/>
  <c r="AO150" i="2159"/>
  <c r="AP150" i="2159" s="1"/>
  <c r="BN149" i="2159"/>
  <c r="BQ149" i="2159" s="1"/>
  <c r="AO149" i="2159"/>
  <c r="AP149" i="2159" s="1"/>
  <c r="BN148" i="2159"/>
  <c r="BQ148" i="2159" s="1"/>
  <c r="AO148" i="2159"/>
  <c r="AP148" i="2159" s="1"/>
  <c r="BN147" i="2159"/>
  <c r="BQ147" i="2159" s="1"/>
  <c r="AO147" i="2159"/>
  <c r="AP147" i="2159" s="1"/>
  <c r="BN146" i="2159"/>
  <c r="BQ146" i="2159" s="1"/>
  <c r="AO146" i="2159"/>
  <c r="AP146" i="2159" s="1"/>
  <c r="BN145" i="2159"/>
  <c r="BQ145" i="2159" s="1"/>
  <c r="AO145" i="2159"/>
  <c r="AP145" i="2159" s="1"/>
  <c r="BN144" i="2159"/>
  <c r="BQ144" i="2159" s="1"/>
  <c r="AO144" i="2159"/>
  <c r="AP144" i="2159" s="1"/>
  <c r="BN143" i="2159"/>
  <c r="BQ143" i="2159" s="1"/>
  <c r="AO143" i="2159"/>
  <c r="AP143" i="2159" s="1"/>
  <c r="BN142" i="2159"/>
  <c r="BQ142" i="2159" s="1"/>
  <c r="AO142" i="2159"/>
  <c r="AP142" i="2159" s="1"/>
  <c r="BN141" i="2159"/>
  <c r="BQ141" i="2159" s="1"/>
  <c r="AO141" i="2159"/>
  <c r="AP141" i="2159" s="1"/>
  <c r="BN140" i="2159"/>
  <c r="BQ140" i="2159" s="1"/>
  <c r="AO140" i="2159"/>
  <c r="AP140" i="2159" s="1"/>
  <c r="BN139" i="2159"/>
  <c r="BQ139" i="2159" s="1"/>
  <c r="AO139" i="2159"/>
  <c r="AP139" i="2159" s="1"/>
  <c r="BN138" i="2159"/>
  <c r="BQ138" i="2159" s="1"/>
  <c r="AO138" i="2159"/>
  <c r="AP138" i="2159" s="1"/>
  <c r="BN137" i="2159"/>
  <c r="BQ137" i="2159" s="1"/>
  <c r="AO137" i="2159"/>
  <c r="AP137" i="2159" s="1"/>
  <c r="BN136" i="2159"/>
  <c r="BQ136" i="2159" s="1"/>
  <c r="AO136" i="2159"/>
  <c r="AP136" i="2159" s="1"/>
  <c r="BN135" i="2159"/>
  <c r="BQ135" i="2159" s="1"/>
  <c r="AO135" i="2159"/>
  <c r="AP135" i="2159" s="1"/>
  <c r="BN134" i="2159"/>
  <c r="BQ134" i="2159" s="1"/>
  <c r="AO134" i="2159"/>
  <c r="AP134" i="2159" s="1"/>
  <c r="BN133" i="2159"/>
  <c r="BQ133" i="2159" s="1"/>
  <c r="AO133" i="2159"/>
  <c r="AP133" i="2159" s="1"/>
  <c r="BN132" i="2159"/>
  <c r="BQ132" i="2159" s="1"/>
  <c r="AO132" i="2159"/>
  <c r="AP132" i="2159" s="1"/>
  <c r="BN131" i="2159"/>
  <c r="BQ131" i="2159" s="1"/>
  <c r="AO131" i="2159"/>
  <c r="AP131" i="2159" s="1"/>
  <c r="BN130" i="2159"/>
  <c r="BQ130" i="2159" s="1"/>
  <c r="AO130" i="2159"/>
  <c r="AP130" i="2159" s="1"/>
  <c r="BN129" i="2159"/>
  <c r="BQ129" i="2159" s="1"/>
  <c r="AO129" i="2159"/>
  <c r="AP129" i="2159" s="1"/>
  <c r="BN128" i="2159"/>
  <c r="BQ128" i="2159" s="1"/>
  <c r="AO128" i="2159"/>
  <c r="AP128" i="2159" s="1"/>
  <c r="BN127" i="2159"/>
  <c r="BQ127" i="2159" s="1"/>
  <c r="AO127" i="2159"/>
  <c r="AP127" i="2159" s="1"/>
  <c r="BN126" i="2159"/>
  <c r="BQ126" i="2159" s="1"/>
  <c r="AO126" i="2159"/>
  <c r="AP126" i="2159" s="1"/>
  <c r="BN125" i="2159"/>
  <c r="BQ125" i="2159" s="1"/>
  <c r="AO125" i="2159"/>
  <c r="AP125" i="2159" s="1"/>
  <c r="BN124" i="2159"/>
  <c r="BQ124" i="2159" s="1"/>
  <c r="AO124" i="2159"/>
  <c r="AP124" i="2159" s="1"/>
  <c r="BN123" i="2159"/>
  <c r="BQ123" i="2159" s="1"/>
  <c r="AO123" i="2159"/>
  <c r="AP123" i="2159" s="1"/>
  <c r="BN122" i="2159"/>
  <c r="BQ122" i="2159" s="1"/>
  <c r="AO122" i="2159"/>
  <c r="AP122" i="2159" s="1"/>
  <c r="BN121" i="2159"/>
  <c r="BQ121" i="2159" s="1"/>
  <c r="BN120" i="2159"/>
  <c r="BQ120" i="2159" s="1"/>
  <c r="BN119" i="2159"/>
  <c r="BQ119" i="2159" s="1"/>
  <c r="BN118" i="2159"/>
  <c r="BQ118" i="2159" s="1"/>
  <c r="BN117" i="2159"/>
  <c r="BQ117" i="2159" s="1"/>
  <c r="BN116" i="2159"/>
  <c r="BQ116" i="2159" s="1"/>
  <c r="BN115" i="2159"/>
  <c r="BQ115" i="2159" s="1"/>
  <c r="BN114" i="2159"/>
  <c r="BQ114" i="2159" s="1"/>
  <c r="BN113" i="2159"/>
  <c r="BQ113" i="2159" s="1"/>
  <c r="BN112" i="2159"/>
  <c r="BQ112" i="2159" s="1"/>
  <c r="BN111" i="2159"/>
  <c r="BQ111" i="2159" s="1"/>
  <c r="BN110" i="2159"/>
  <c r="BQ110" i="2159" s="1"/>
  <c r="BN109" i="2159"/>
  <c r="BQ109" i="2159" s="1"/>
  <c r="BN108" i="2159"/>
  <c r="BQ108" i="2159" s="1"/>
  <c r="BN107" i="2159"/>
  <c r="BQ107" i="2159" s="1"/>
  <c r="BN106" i="2159"/>
  <c r="BQ106" i="2159" s="1"/>
  <c r="BN105" i="2159"/>
  <c r="BQ105" i="2159" s="1"/>
  <c r="AK105" i="2159"/>
  <c r="AF105" i="2159"/>
  <c r="AA105" i="2159"/>
  <c r="Y105" i="2159"/>
  <c r="W105" i="2159"/>
  <c r="V105" i="2159"/>
  <c r="U105" i="2159"/>
  <c r="P105" i="2159"/>
  <c r="L105" i="2159"/>
  <c r="J105" i="2159"/>
  <c r="I105" i="2159"/>
  <c r="H105" i="2159"/>
  <c r="AG105" i="2159"/>
  <c r="C105" i="2159"/>
  <c r="BN104" i="2159"/>
  <c r="BQ104" i="2159" s="1"/>
  <c r="AK104" i="2159"/>
  <c r="AF104" i="2159"/>
  <c r="AA104" i="2159"/>
  <c r="Y104" i="2159"/>
  <c r="W104" i="2159"/>
  <c r="V104" i="2159"/>
  <c r="U104" i="2159"/>
  <c r="P104" i="2159"/>
  <c r="L104" i="2159"/>
  <c r="J104" i="2159"/>
  <c r="I104" i="2159"/>
  <c r="H104" i="2159"/>
  <c r="AG104" i="2159"/>
  <c r="C104" i="2159"/>
  <c r="BN103" i="2159"/>
  <c r="BQ103" i="2159" s="1"/>
  <c r="AK103" i="2159"/>
  <c r="AF103" i="2159"/>
  <c r="Y103" i="2159"/>
  <c r="W103" i="2159"/>
  <c r="V103" i="2159"/>
  <c r="U103" i="2159"/>
  <c r="P103" i="2159"/>
  <c r="L103" i="2159"/>
  <c r="J103" i="2159"/>
  <c r="I103" i="2159"/>
  <c r="H103" i="2159"/>
  <c r="AG103" i="2159"/>
  <c r="C103" i="2159"/>
  <c r="BN102" i="2159"/>
  <c r="BQ102" i="2159" s="1"/>
  <c r="AK102" i="2159"/>
  <c r="AF102" i="2159"/>
  <c r="Y102" i="2159"/>
  <c r="W102" i="2159"/>
  <c r="V102" i="2159"/>
  <c r="U102" i="2159"/>
  <c r="P102" i="2159"/>
  <c r="L102" i="2159"/>
  <c r="J102" i="2159"/>
  <c r="I102" i="2159"/>
  <c r="H102" i="2159"/>
  <c r="G102" i="2159"/>
  <c r="CG111" i="2159" s="1"/>
  <c r="C102" i="2159"/>
  <c r="BN101" i="2159"/>
  <c r="BQ101" i="2159" s="1"/>
  <c r="AK101" i="2159"/>
  <c r="AF101" i="2159"/>
  <c r="Y101" i="2159"/>
  <c r="W101" i="2159"/>
  <c r="V101" i="2159"/>
  <c r="U101" i="2159"/>
  <c r="P101" i="2159"/>
  <c r="L101" i="2159"/>
  <c r="J101" i="2159"/>
  <c r="I101" i="2159"/>
  <c r="H101" i="2159"/>
  <c r="G101" i="2159"/>
  <c r="C101" i="2159"/>
  <c r="BN100" i="2159"/>
  <c r="BQ100" i="2159" s="1"/>
  <c r="AK100" i="2159"/>
  <c r="AF100" i="2159"/>
  <c r="Y100" i="2159"/>
  <c r="W100" i="2159"/>
  <c r="V100" i="2159"/>
  <c r="U100" i="2159"/>
  <c r="P100" i="2159"/>
  <c r="L100" i="2159"/>
  <c r="J100" i="2159"/>
  <c r="I100" i="2159"/>
  <c r="H100" i="2159"/>
  <c r="G100" i="2159"/>
  <c r="CG109" i="2159" s="1"/>
  <c r="C100" i="2159"/>
  <c r="BN99" i="2159"/>
  <c r="BQ99" i="2159" s="1"/>
  <c r="AK99" i="2159"/>
  <c r="AF99" i="2159"/>
  <c r="Y99" i="2159"/>
  <c r="W99" i="2159"/>
  <c r="V99" i="2159"/>
  <c r="U99" i="2159"/>
  <c r="P99" i="2159"/>
  <c r="L99" i="2159"/>
  <c r="J99" i="2159"/>
  <c r="I99" i="2159"/>
  <c r="H99" i="2159"/>
  <c r="G99" i="2159"/>
  <c r="CG108" i="2159" s="1"/>
  <c r="C99" i="2159"/>
  <c r="BN98" i="2159"/>
  <c r="BQ98" i="2159" s="1"/>
  <c r="AK98" i="2159"/>
  <c r="AF98" i="2159"/>
  <c r="Y98" i="2159"/>
  <c r="W98" i="2159"/>
  <c r="V98" i="2159"/>
  <c r="U98" i="2159"/>
  <c r="P98" i="2159"/>
  <c r="L98" i="2159"/>
  <c r="J98" i="2159"/>
  <c r="I98" i="2159"/>
  <c r="H98" i="2159"/>
  <c r="G98" i="2159"/>
  <c r="CG107" i="2159" s="1"/>
  <c r="C98" i="2159"/>
  <c r="BN97" i="2159"/>
  <c r="BQ97" i="2159" s="1"/>
  <c r="AK97" i="2159"/>
  <c r="AF97" i="2159"/>
  <c r="Y97" i="2159"/>
  <c r="W97" i="2159"/>
  <c r="V97" i="2159"/>
  <c r="U97" i="2159"/>
  <c r="P97" i="2159"/>
  <c r="L97" i="2159"/>
  <c r="J97" i="2159"/>
  <c r="I97" i="2159"/>
  <c r="H97" i="2159"/>
  <c r="AG97" i="2159"/>
  <c r="C97" i="2159"/>
  <c r="BN96" i="2159"/>
  <c r="BQ96" i="2159" s="1"/>
  <c r="AK96" i="2159"/>
  <c r="AF96" i="2159"/>
  <c r="Y96" i="2159"/>
  <c r="W96" i="2159"/>
  <c r="V96" i="2159"/>
  <c r="U96" i="2159"/>
  <c r="P96" i="2159"/>
  <c r="L96" i="2159"/>
  <c r="J96" i="2159"/>
  <c r="I96" i="2159"/>
  <c r="H96" i="2159"/>
  <c r="AG96" i="2159"/>
  <c r="C96" i="2159"/>
  <c r="BN95" i="2159"/>
  <c r="BQ95" i="2159" s="1"/>
  <c r="AK95" i="2159"/>
  <c r="AF95" i="2159"/>
  <c r="Y95" i="2159"/>
  <c r="W95" i="2159"/>
  <c r="V95" i="2159"/>
  <c r="U95" i="2159"/>
  <c r="P95" i="2159"/>
  <c r="L95" i="2159"/>
  <c r="J95" i="2159"/>
  <c r="I95" i="2159"/>
  <c r="H95" i="2159"/>
  <c r="G95" i="2159"/>
  <c r="CG104" i="2159" s="1"/>
  <c r="C95" i="2159"/>
  <c r="BN94" i="2159"/>
  <c r="BQ94" i="2159" s="1"/>
  <c r="AK94" i="2159"/>
  <c r="AF94" i="2159"/>
  <c r="Y94" i="2159"/>
  <c r="W94" i="2159"/>
  <c r="V94" i="2159"/>
  <c r="U94" i="2159"/>
  <c r="P94" i="2159"/>
  <c r="L94" i="2159"/>
  <c r="J94" i="2159"/>
  <c r="I94" i="2159"/>
  <c r="H94" i="2159"/>
  <c r="AG94" i="2159"/>
  <c r="C94" i="2159"/>
  <c r="BN93" i="2159"/>
  <c r="BQ93" i="2159" s="1"/>
  <c r="AK93" i="2159"/>
  <c r="AF93" i="2159"/>
  <c r="Y93" i="2159"/>
  <c r="W93" i="2159"/>
  <c r="V93" i="2159"/>
  <c r="U93" i="2159"/>
  <c r="P93" i="2159"/>
  <c r="L93" i="2159"/>
  <c r="J93" i="2159"/>
  <c r="I93" i="2159"/>
  <c r="H93" i="2159"/>
  <c r="C93" i="2159"/>
  <c r="BN92" i="2159"/>
  <c r="BQ92" i="2159" s="1"/>
  <c r="AK92" i="2159"/>
  <c r="AF92" i="2159"/>
  <c r="Y92" i="2159"/>
  <c r="W92" i="2159"/>
  <c r="V92" i="2159"/>
  <c r="U92" i="2159"/>
  <c r="P92" i="2159"/>
  <c r="L92" i="2159"/>
  <c r="J92" i="2159"/>
  <c r="I92" i="2159"/>
  <c r="H92" i="2159"/>
  <c r="C92" i="2159"/>
  <c r="BN91" i="2159"/>
  <c r="BQ91" i="2159" s="1"/>
  <c r="AK91" i="2159"/>
  <c r="AF91" i="2159"/>
  <c r="Y91" i="2159"/>
  <c r="W91" i="2159"/>
  <c r="V91" i="2159"/>
  <c r="U91" i="2159"/>
  <c r="P91" i="2159"/>
  <c r="L91" i="2159"/>
  <c r="J91" i="2159"/>
  <c r="I91" i="2159"/>
  <c r="H91" i="2159"/>
  <c r="AG91" i="2159"/>
  <c r="C91" i="2159"/>
  <c r="BN90" i="2159"/>
  <c r="BQ90" i="2159" s="1"/>
  <c r="AK90" i="2159"/>
  <c r="AF90" i="2159"/>
  <c r="Y90" i="2159"/>
  <c r="W90" i="2159"/>
  <c r="V90" i="2159"/>
  <c r="U90" i="2159"/>
  <c r="P90" i="2159"/>
  <c r="L90" i="2159"/>
  <c r="J90" i="2159"/>
  <c r="I90" i="2159"/>
  <c r="H90" i="2159"/>
  <c r="AG90" i="2159"/>
  <c r="C90" i="2159"/>
  <c r="BN89" i="2159"/>
  <c r="BQ89" i="2159" s="1"/>
  <c r="AK89" i="2159"/>
  <c r="AF89" i="2159"/>
  <c r="Y89" i="2159"/>
  <c r="W89" i="2159"/>
  <c r="V89" i="2159"/>
  <c r="U89" i="2159"/>
  <c r="P89" i="2159"/>
  <c r="L89" i="2159"/>
  <c r="J89" i="2159"/>
  <c r="I89" i="2159"/>
  <c r="H89" i="2159"/>
  <c r="C89" i="2159"/>
  <c r="BN88" i="2159"/>
  <c r="BQ88" i="2159" s="1"/>
  <c r="AK88" i="2159"/>
  <c r="AF88" i="2159"/>
  <c r="Y88" i="2159"/>
  <c r="W88" i="2159"/>
  <c r="V88" i="2159"/>
  <c r="U88" i="2159"/>
  <c r="P88" i="2159"/>
  <c r="L88" i="2159"/>
  <c r="J88" i="2159"/>
  <c r="I88" i="2159"/>
  <c r="H88" i="2159"/>
  <c r="C88" i="2159"/>
  <c r="BN87" i="2159"/>
  <c r="BQ87" i="2159" s="1"/>
  <c r="AK87" i="2159"/>
  <c r="AF87" i="2159"/>
  <c r="Y87" i="2159"/>
  <c r="W87" i="2159"/>
  <c r="V87" i="2159"/>
  <c r="U87" i="2159"/>
  <c r="P87" i="2159"/>
  <c r="L87" i="2159"/>
  <c r="J87" i="2159"/>
  <c r="I87" i="2159"/>
  <c r="H87" i="2159"/>
  <c r="AG87" i="2159"/>
  <c r="C87" i="2159"/>
  <c r="BN86" i="2159"/>
  <c r="BQ86" i="2159" s="1"/>
  <c r="AK86" i="2159"/>
  <c r="AF86" i="2159"/>
  <c r="Y86" i="2159"/>
  <c r="W86" i="2159"/>
  <c r="V86" i="2159"/>
  <c r="U86" i="2159"/>
  <c r="Q86" i="2159"/>
  <c r="P86" i="2159"/>
  <c r="L86" i="2159"/>
  <c r="J86" i="2159"/>
  <c r="I86" i="2159"/>
  <c r="H86" i="2159"/>
  <c r="AG86" i="2159"/>
  <c r="C86" i="2159"/>
  <c r="BN85" i="2159"/>
  <c r="BQ85" i="2159" s="1"/>
  <c r="AK85" i="2159"/>
  <c r="AF85" i="2159"/>
  <c r="Y85" i="2159"/>
  <c r="W85" i="2159"/>
  <c r="V85" i="2159"/>
  <c r="U85" i="2159"/>
  <c r="P85" i="2159"/>
  <c r="L85" i="2159"/>
  <c r="J85" i="2159"/>
  <c r="I85" i="2159"/>
  <c r="H85" i="2159"/>
  <c r="AG85" i="2159"/>
  <c r="C85" i="2159"/>
  <c r="BN84" i="2159"/>
  <c r="BQ84" i="2159" s="1"/>
  <c r="AK84" i="2159"/>
  <c r="AF84" i="2159"/>
  <c r="Y84" i="2159"/>
  <c r="W84" i="2159"/>
  <c r="V84" i="2159"/>
  <c r="U84" i="2159"/>
  <c r="P84" i="2159"/>
  <c r="L84" i="2159"/>
  <c r="J84" i="2159"/>
  <c r="I84" i="2159"/>
  <c r="H84" i="2159"/>
  <c r="G84" i="2159"/>
  <c r="C84" i="2159"/>
  <c r="BN83" i="2159"/>
  <c r="BQ83" i="2159" s="1"/>
  <c r="AK83" i="2159"/>
  <c r="AF83" i="2159"/>
  <c r="Y83" i="2159"/>
  <c r="W83" i="2159"/>
  <c r="V83" i="2159"/>
  <c r="U83" i="2159"/>
  <c r="P83" i="2159"/>
  <c r="L83" i="2159"/>
  <c r="J83" i="2159"/>
  <c r="I83" i="2159"/>
  <c r="H83" i="2159"/>
  <c r="G83" i="2159"/>
  <c r="C83" i="2159"/>
  <c r="BN82" i="2159"/>
  <c r="BQ82" i="2159" s="1"/>
  <c r="AK82" i="2159"/>
  <c r="AF82" i="2159"/>
  <c r="Y82" i="2159"/>
  <c r="W82" i="2159"/>
  <c r="V82" i="2159"/>
  <c r="U82" i="2159"/>
  <c r="P82" i="2159"/>
  <c r="L82" i="2159"/>
  <c r="J82" i="2159"/>
  <c r="I82" i="2159"/>
  <c r="H82" i="2159"/>
  <c r="AG82" i="2159"/>
  <c r="C82" i="2159"/>
  <c r="BN81" i="2159"/>
  <c r="BQ81" i="2159" s="1"/>
  <c r="AK81" i="2159"/>
  <c r="AF81" i="2159"/>
  <c r="Y81" i="2159"/>
  <c r="W81" i="2159"/>
  <c r="V81" i="2159"/>
  <c r="U81" i="2159"/>
  <c r="P81" i="2159"/>
  <c r="L81" i="2159"/>
  <c r="J81" i="2159"/>
  <c r="I81" i="2159"/>
  <c r="H81" i="2159"/>
  <c r="AG81" i="2159"/>
  <c r="C81" i="2159"/>
  <c r="BN80" i="2159"/>
  <c r="BQ80" i="2159" s="1"/>
  <c r="AK80" i="2159"/>
  <c r="AF80" i="2159"/>
  <c r="Y80" i="2159"/>
  <c r="W80" i="2159"/>
  <c r="V80" i="2159"/>
  <c r="U80" i="2159"/>
  <c r="P80" i="2159"/>
  <c r="L80" i="2159"/>
  <c r="J80" i="2159"/>
  <c r="I80" i="2159"/>
  <c r="H80" i="2159"/>
  <c r="C80" i="2159"/>
  <c r="BN79" i="2159"/>
  <c r="BQ79" i="2159" s="1"/>
  <c r="AK79" i="2159"/>
  <c r="AF79" i="2159"/>
  <c r="Y79" i="2159"/>
  <c r="W79" i="2159"/>
  <c r="V79" i="2159"/>
  <c r="U79" i="2159"/>
  <c r="P79" i="2159"/>
  <c r="L79" i="2159"/>
  <c r="J79" i="2159"/>
  <c r="I79" i="2159"/>
  <c r="H79" i="2159"/>
  <c r="G79" i="2159"/>
  <c r="C79" i="2159"/>
  <c r="BN78" i="2159"/>
  <c r="BQ78" i="2159" s="1"/>
  <c r="AK78" i="2159"/>
  <c r="AF78" i="2159"/>
  <c r="Y78" i="2159"/>
  <c r="W78" i="2159"/>
  <c r="V78" i="2159"/>
  <c r="U78" i="2159"/>
  <c r="P78" i="2159"/>
  <c r="L78" i="2159"/>
  <c r="J78" i="2159"/>
  <c r="I78" i="2159"/>
  <c r="H78" i="2159"/>
  <c r="AG78" i="2159"/>
  <c r="C78" i="2159"/>
  <c r="BN77" i="2159"/>
  <c r="BQ77" i="2159" s="1"/>
  <c r="AK77" i="2159"/>
  <c r="AF77" i="2159"/>
  <c r="Y77" i="2159"/>
  <c r="W77" i="2159"/>
  <c r="V77" i="2159"/>
  <c r="U77" i="2159"/>
  <c r="P77" i="2159"/>
  <c r="L77" i="2159"/>
  <c r="J77" i="2159"/>
  <c r="I77" i="2159"/>
  <c r="H77" i="2159"/>
  <c r="AG77" i="2159"/>
  <c r="C77" i="2159"/>
  <c r="BN76" i="2159"/>
  <c r="BQ76" i="2159" s="1"/>
  <c r="AK76" i="2159"/>
  <c r="AF76" i="2159"/>
  <c r="Y76" i="2159"/>
  <c r="W76" i="2159"/>
  <c r="V76" i="2159"/>
  <c r="U76" i="2159"/>
  <c r="P76" i="2159"/>
  <c r="L76" i="2159"/>
  <c r="J76" i="2159"/>
  <c r="I76" i="2159"/>
  <c r="H76" i="2159"/>
  <c r="AG76" i="2159"/>
  <c r="C76" i="2159"/>
  <c r="BN75" i="2159"/>
  <c r="BQ75" i="2159" s="1"/>
  <c r="AK75" i="2159"/>
  <c r="AF75" i="2159"/>
  <c r="Y75" i="2159"/>
  <c r="W75" i="2159"/>
  <c r="V75" i="2159"/>
  <c r="U75" i="2159"/>
  <c r="P75" i="2159"/>
  <c r="L75" i="2159"/>
  <c r="J75" i="2159"/>
  <c r="I75" i="2159"/>
  <c r="H75" i="2159"/>
  <c r="AG75" i="2159"/>
  <c r="C75" i="2159"/>
  <c r="BN74" i="2159"/>
  <c r="BQ74" i="2159" s="1"/>
  <c r="AK74" i="2159"/>
  <c r="AF74" i="2159"/>
  <c r="Y74" i="2159"/>
  <c r="W74" i="2159"/>
  <c r="V74" i="2159"/>
  <c r="U74" i="2159"/>
  <c r="P74" i="2159"/>
  <c r="L74" i="2159"/>
  <c r="J74" i="2159"/>
  <c r="I74" i="2159"/>
  <c r="H74" i="2159"/>
  <c r="AG74" i="2159"/>
  <c r="C74" i="2159"/>
  <c r="BN73" i="2159"/>
  <c r="BQ73" i="2159" s="1"/>
  <c r="AK73" i="2159"/>
  <c r="AF73" i="2159"/>
  <c r="Y73" i="2159"/>
  <c r="W73" i="2159"/>
  <c r="V73" i="2159"/>
  <c r="U73" i="2159"/>
  <c r="P73" i="2159"/>
  <c r="L73" i="2159"/>
  <c r="J73" i="2159"/>
  <c r="I73" i="2159"/>
  <c r="H73" i="2159"/>
  <c r="AG73" i="2159"/>
  <c r="C73" i="2159"/>
  <c r="BN72" i="2159"/>
  <c r="BQ72" i="2159" s="1"/>
  <c r="AK72" i="2159"/>
  <c r="AF72" i="2159"/>
  <c r="Y72" i="2159"/>
  <c r="W72" i="2159"/>
  <c r="V72" i="2159"/>
  <c r="U72" i="2159"/>
  <c r="P72" i="2159"/>
  <c r="L72" i="2159"/>
  <c r="J72" i="2159"/>
  <c r="I72" i="2159"/>
  <c r="H72" i="2159"/>
  <c r="AG72" i="2159"/>
  <c r="C72" i="2159"/>
  <c r="BN71" i="2159"/>
  <c r="BQ71" i="2159" s="1"/>
  <c r="AK71" i="2159"/>
  <c r="AF71" i="2159"/>
  <c r="Y71" i="2159"/>
  <c r="W71" i="2159"/>
  <c r="V71" i="2159"/>
  <c r="U71" i="2159"/>
  <c r="P71" i="2159"/>
  <c r="L71" i="2159"/>
  <c r="J71" i="2159"/>
  <c r="I71" i="2159"/>
  <c r="H71" i="2159"/>
  <c r="AG71" i="2159"/>
  <c r="C71" i="2159"/>
  <c r="BN70" i="2159"/>
  <c r="BQ70" i="2159" s="1"/>
  <c r="AK70" i="2159"/>
  <c r="AF70" i="2159"/>
  <c r="Y70" i="2159"/>
  <c r="W70" i="2159"/>
  <c r="V70" i="2159"/>
  <c r="U70" i="2159"/>
  <c r="P70" i="2159"/>
  <c r="L70" i="2159"/>
  <c r="J70" i="2159"/>
  <c r="I70" i="2159"/>
  <c r="H70" i="2159"/>
  <c r="AG70" i="2159"/>
  <c r="C70" i="2159"/>
  <c r="BN69" i="2159"/>
  <c r="BQ69" i="2159" s="1"/>
  <c r="AK69" i="2159"/>
  <c r="AF69" i="2159"/>
  <c r="Y69" i="2159"/>
  <c r="W69" i="2159"/>
  <c r="V69" i="2159"/>
  <c r="U69" i="2159"/>
  <c r="P69" i="2159"/>
  <c r="L69" i="2159"/>
  <c r="J69" i="2159"/>
  <c r="I69" i="2159"/>
  <c r="H69" i="2159"/>
  <c r="AG69" i="2159"/>
  <c r="C69" i="2159"/>
  <c r="BN68" i="2159"/>
  <c r="BQ68" i="2159" s="1"/>
  <c r="AK68" i="2159"/>
  <c r="AF68" i="2159"/>
  <c r="Y68" i="2159"/>
  <c r="W68" i="2159"/>
  <c r="V68" i="2159"/>
  <c r="U68" i="2159"/>
  <c r="P68" i="2159"/>
  <c r="L68" i="2159"/>
  <c r="J68" i="2159"/>
  <c r="I68" i="2159"/>
  <c r="H68" i="2159"/>
  <c r="AG68" i="2159"/>
  <c r="C68" i="2159"/>
  <c r="BN67" i="2159"/>
  <c r="BQ67" i="2159" s="1"/>
  <c r="AK67" i="2159"/>
  <c r="AF67" i="2159"/>
  <c r="Y67" i="2159"/>
  <c r="W67" i="2159"/>
  <c r="V67" i="2159"/>
  <c r="U67" i="2159"/>
  <c r="P67" i="2159"/>
  <c r="L67" i="2159"/>
  <c r="J67" i="2159"/>
  <c r="I67" i="2159"/>
  <c r="H67" i="2159"/>
  <c r="AG67" i="2159"/>
  <c r="C67" i="2159"/>
  <c r="BN66" i="2159"/>
  <c r="BQ66" i="2159" s="1"/>
  <c r="AK66" i="2159"/>
  <c r="AF66" i="2159"/>
  <c r="Y66" i="2159"/>
  <c r="W66" i="2159"/>
  <c r="V66" i="2159"/>
  <c r="U66" i="2159"/>
  <c r="P66" i="2159"/>
  <c r="L66" i="2159"/>
  <c r="J66" i="2159"/>
  <c r="I66" i="2159"/>
  <c r="H66" i="2159"/>
  <c r="G66" i="2159"/>
  <c r="C66" i="2159"/>
  <c r="BN65" i="2159"/>
  <c r="BQ65" i="2159" s="1"/>
  <c r="AK65" i="2159"/>
  <c r="AF65" i="2159"/>
  <c r="Y65" i="2159"/>
  <c r="W65" i="2159"/>
  <c r="V65" i="2159"/>
  <c r="U65" i="2159"/>
  <c r="P65" i="2159"/>
  <c r="L65" i="2159"/>
  <c r="J65" i="2159"/>
  <c r="I65" i="2159"/>
  <c r="H65" i="2159"/>
  <c r="AG65" i="2159"/>
  <c r="C65" i="2159"/>
  <c r="BN64" i="2159"/>
  <c r="BQ64" i="2159" s="1"/>
  <c r="AK64" i="2159"/>
  <c r="AF64" i="2159"/>
  <c r="Y64" i="2159"/>
  <c r="W64" i="2159"/>
  <c r="V64" i="2159"/>
  <c r="U64" i="2159"/>
  <c r="P64" i="2159"/>
  <c r="L64" i="2159"/>
  <c r="J64" i="2159"/>
  <c r="I64" i="2159"/>
  <c r="H64" i="2159"/>
  <c r="AG64" i="2159"/>
  <c r="C64" i="2159"/>
  <c r="BN63" i="2159"/>
  <c r="BQ63" i="2159" s="1"/>
  <c r="AK63" i="2159"/>
  <c r="AF63" i="2159"/>
  <c r="Y63" i="2159"/>
  <c r="W63" i="2159"/>
  <c r="V63" i="2159"/>
  <c r="U63" i="2159"/>
  <c r="P63" i="2159"/>
  <c r="L63" i="2159"/>
  <c r="J63" i="2159"/>
  <c r="I63" i="2159"/>
  <c r="H63" i="2159"/>
  <c r="C63" i="2159"/>
  <c r="BN62" i="2159"/>
  <c r="BQ62" i="2159" s="1"/>
  <c r="AK62" i="2159"/>
  <c r="AF62" i="2159"/>
  <c r="Y62" i="2159"/>
  <c r="W62" i="2159"/>
  <c r="V62" i="2159"/>
  <c r="U62" i="2159"/>
  <c r="P62" i="2159"/>
  <c r="L62" i="2159"/>
  <c r="J62" i="2159"/>
  <c r="I62" i="2159"/>
  <c r="H62" i="2159"/>
  <c r="AG62" i="2159"/>
  <c r="C62" i="2159"/>
  <c r="BN61" i="2159"/>
  <c r="BQ61" i="2159" s="1"/>
  <c r="AK61" i="2159"/>
  <c r="AF61" i="2159"/>
  <c r="Y61" i="2159"/>
  <c r="W61" i="2159"/>
  <c r="V61" i="2159"/>
  <c r="U61" i="2159"/>
  <c r="P61" i="2159"/>
  <c r="L61" i="2159"/>
  <c r="J61" i="2159"/>
  <c r="I61" i="2159"/>
  <c r="H61" i="2159"/>
  <c r="AG61" i="2159"/>
  <c r="C61" i="2159"/>
  <c r="BN60" i="2159"/>
  <c r="BQ60" i="2159" s="1"/>
  <c r="AK60" i="2159"/>
  <c r="AF60" i="2159"/>
  <c r="Y60" i="2159"/>
  <c r="W60" i="2159"/>
  <c r="V60" i="2159"/>
  <c r="U60" i="2159"/>
  <c r="P60" i="2159"/>
  <c r="L60" i="2159"/>
  <c r="J60" i="2159"/>
  <c r="I60" i="2159"/>
  <c r="H60" i="2159"/>
  <c r="G60" i="2159"/>
  <c r="C60" i="2159"/>
  <c r="BN59" i="2159"/>
  <c r="BQ59" i="2159" s="1"/>
  <c r="AK59" i="2159"/>
  <c r="AF59" i="2159"/>
  <c r="Y59" i="2159"/>
  <c r="W59" i="2159"/>
  <c r="V59" i="2159"/>
  <c r="U59" i="2159"/>
  <c r="P59" i="2159"/>
  <c r="L59" i="2159"/>
  <c r="J59" i="2159"/>
  <c r="I59" i="2159"/>
  <c r="H59" i="2159"/>
  <c r="AG59" i="2159"/>
  <c r="C59" i="2159"/>
  <c r="BN58" i="2159"/>
  <c r="BQ58" i="2159" s="1"/>
  <c r="AK58" i="2159"/>
  <c r="AF58" i="2159"/>
  <c r="Y58" i="2159"/>
  <c r="W58" i="2159"/>
  <c r="V58" i="2159"/>
  <c r="U58" i="2159"/>
  <c r="P58" i="2159"/>
  <c r="L58" i="2159"/>
  <c r="J58" i="2159"/>
  <c r="I58" i="2159"/>
  <c r="H58" i="2159"/>
  <c r="AG58" i="2159"/>
  <c r="C58" i="2159"/>
  <c r="BN57" i="2159"/>
  <c r="BQ57" i="2159" s="1"/>
  <c r="AO57" i="2159"/>
  <c r="AK57" i="2159"/>
  <c r="AF57" i="2159"/>
  <c r="Y57" i="2159"/>
  <c r="W57" i="2159"/>
  <c r="V57" i="2159"/>
  <c r="U57" i="2159"/>
  <c r="P57" i="2159"/>
  <c r="L57" i="2159"/>
  <c r="J57" i="2159"/>
  <c r="I57" i="2159"/>
  <c r="H57" i="2159"/>
  <c r="AG57" i="2159"/>
  <c r="C57" i="2159"/>
  <c r="BN56" i="2159"/>
  <c r="BQ56" i="2159" s="1"/>
  <c r="AK56" i="2159"/>
  <c r="AF56" i="2159"/>
  <c r="Y56" i="2159"/>
  <c r="W56" i="2159"/>
  <c r="V56" i="2159"/>
  <c r="U56" i="2159"/>
  <c r="P56" i="2159"/>
  <c r="L56" i="2159"/>
  <c r="J56" i="2159"/>
  <c r="I56" i="2159"/>
  <c r="H56" i="2159"/>
  <c r="AG56" i="2159"/>
  <c r="C56" i="2159"/>
  <c r="BN55" i="2159"/>
  <c r="BQ55" i="2159" s="1"/>
  <c r="AO55" i="2159"/>
  <c r="AK55" i="2159"/>
  <c r="AF55" i="2159"/>
  <c r="AD55" i="2159"/>
  <c r="AB55" i="2159"/>
  <c r="Y55" i="2159"/>
  <c r="W55" i="2159"/>
  <c r="V55" i="2159"/>
  <c r="U55" i="2159"/>
  <c r="P55" i="2159"/>
  <c r="L55" i="2159"/>
  <c r="J55" i="2159"/>
  <c r="I55" i="2159"/>
  <c r="H55" i="2159"/>
  <c r="AG55" i="2159"/>
  <c r="C55" i="2159"/>
  <c r="BN54" i="2159"/>
  <c r="BQ54" i="2159" s="1"/>
  <c r="AK54" i="2159"/>
  <c r="AF54" i="2159"/>
  <c r="AD54" i="2159"/>
  <c r="AB54" i="2159"/>
  <c r="Y54" i="2159"/>
  <c r="W54" i="2159"/>
  <c r="V54" i="2159"/>
  <c r="U54" i="2159"/>
  <c r="P54" i="2159"/>
  <c r="L54" i="2159"/>
  <c r="J54" i="2159"/>
  <c r="I54" i="2159"/>
  <c r="H54" i="2159"/>
  <c r="AG54" i="2159"/>
  <c r="C54" i="2159"/>
  <c r="BN53" i="2159"/>
  <c r="BQ53" i="2159" s="1"/>
  <c r="AK53" i="2159"/>
  <c r="AF53" i="2159"/>
  <c r="AD53" i="2159"/>
  <c r="AB53" i="2159"/>
  <c r="Y53" i="2159"/>
  <c r="W53" i="2159"/>
  <c r="V53" i="2159"/>
  <c r="U53" i="2159"/>
  <c r="P53" i="2159"/>
  <c r="L53" i="2159"/>
  <c r="J53" i="2159"/>
  <c r="I53" i="2159"/>
  <c r="H53" i="2159"/>
  <c r="AG53" i="2159"/>
  <c r="C53" i="2159"/>
  <c r="BN52" i="2159"/>
  <c r="BQ52" i="2159" s="1"/>
  <c r="AK52" i="2159"/>
  <c r="AF52" i="2159"/>
  <c r="AD52" i="2159"/>
  <c r="AB52" i="2159"/>
  <c r="Y52" i="2159"/>
  <c r="W52" i="2159"/>
  <c r="V52" i="2159"/>
  <c r="U52" i="2159"/>
  <c r="P52" i="2159"/>
  <c r="L52" i="2159"/>
  <c r="J52" i="2159"/>
  <c r="I52" i="2159"/>
  <c r="H52" i="2159"/>
  <c r="C52" i="2159"/>
  <c r="BN51" i="2159"/>
  <c r="BQ51" i="2159" s="1"/>
  <c r="AK51" i="2159"/>
  <c r="AF51" i="2159"/>
  <c r="AD51" i="2159"/>
  <c r="AB51" i="2159"/>
  <c r="Y51" i="2159"/>
  <c r="W51" i="2159"/>
  <c r="V51" i="2159"/>
  <c r="U51" i="2159"/>
  <c r="P51" i="2159"/>
  <c r="L51" i="2159"/>
  <c r="J51" i="2159"/>
  <c r="I51" i="2159"/>
  <c r="H51" i="2159"/>
  <c r="AG51" i="2159"/>
  <c r="C51" i="2159"/>
  <c r="BN50" i="2159"/>
  <c r="BQ50" i="2159" s="1"/>
  <c r="AK50" i="2159"/>
  <c r="AF50" i="2159"/>
  <c r="AD50" i="2159"/>
  <c r="AB50" i="2159"/>
  <c r="Y50" i="2159"/>
  <c r="W50" i="2159"/>
  <c r="V50" i="2159"/>
  <c r="U50" i="2159"/>
  <c r="P50" i="2159"/>
  <c r="L50" i="2159"/>
  <c r="J50" i="2159"/>
  <c r="I50" i="2159"/>
  <c r="H50" i="2159"/>
  <c r="G50" i="2159"/>
  <c r="CG59" i="2159" s="1"/>
  <c r="C50" i="2159"/>
  <c r="BN49" i="2159"/>
  <c r="BQ49" i="2159" s="1"/>
  <c r="AK49" i="2159"/>
  <c r="AF49" i="2159"/>
  <c r="AD49" i="2159"/>
  <c r="AB49" i="2159"/>
  <c r="Y49" i="2159"/>
  <c r="W49" i="2159"/>
  <c r="V49" i="2159"/>
  <c r="U49" i="2159"/>
  <c r="P49" i="2159"/>
  <c r="L49" i="2159"/>
  <c r="J49" i="2159"/>
  <c r="I49" i="2159"/>
  <c r="H49" i="2159"/>
  <c r="C49" i="2159"/>
  <c r="BN48" i="2159"/>
  <c r="BQ48" i="2159" s="1"/>
  <c r="AK48" i="2159"/>
  <c r="AF48" i="2159"/>
  <c r="AD48" i="2159"/>
  <c r="AB48" i="2159"/>
  <c r="Y48" i="2159"/>
  <c r="W48" i="2159"/>
  <c r="V48" i="2159"/>
  <c r="U48" i="2159"/>
  <c r="P48" i="2159"/>
  <c r="L48" i="2159"/>
  <c r="J48" i="2159"/>
  <c r="I48" i="2159"/>
  <c r="H48" i="2159"/>
  <c r="AG48" i="2159"/>
  <c r="C48" i="2159"/>
  <c r="BN47" i="2159"/>
  <c r="BQ47" i="2159" s="1"/>
  <c r="AK47" i="2159"/>
  <c r="AF47" i="2159"/>
  <c r="AD47" i="2159"/>
  <c r="AB47" i="2159"/>
  <c r="Y47" i="2159"/>
  <c r="W47" i="2159"/>
  <c r="V47" i="2159"/>
  <c r="U47" i="2159"/>
  <c r="P47" i="2159"/>
  <c r="L47" i="2159"/>
  <c r="J47" i="2159"/>
  <c r="I47" i="2159"/>
  <c r="H47" i="2159"/>
  <c r="AG47" i="2159"/>
  <c r="C47" i="2159"/>
  <c r="BN46" i="2159"/>
  <c r="BQ46" i="2159" s="1"/>
  <c r="AK46" i="2159"/>
  <c r="AF46" i="2159"/>
  <c r="AD46" i="2159"/>
  <c r="AB46" i="2159"/>
  <c r="Y46" i="2159"/>
  <c r="W46" i="2159"/>
  <c r="V46" i="2159"/>
  <c r="U46" i="2159"/>
  <c r="P46" i="2159"/>
  <c r="L46" i="2159"/>
  <c r="J46" i="2159"/>
  <c r="I46" i="2159"/>
  <c r="H46" i="2159"/>
  <c r="G46" i="2159"/>
  <c r="C46" i="2159"/>
  <c r="BN45" i="2159"/>
  <c r="BQ45" i="2159" s="1"/>
  <c r="AK45" i="2159"/>
  <c r="AF45" i="2159"/>
  <c r="AD45" i="2159"/>
  <c r="AB45" i="2159"/>
  <c r="Y45" i="2159"/>
  <c r="W45" i="2159"/>
  <c r="V45" i="2159"/>
  <c r="U45" i="2159"/>
  <c r="P45" i="2159"/>
  <c r="L45" i="2159"/>
  <c r="J45" i="2159"/>
  <c r="I45" i="2159"/>
  <c r="H45" i="2159"/>
  <c r="C45" i="2159"/>
  <c r="BN44" i="2159"/>
  <c r="BQ44" i="2159" s="1"/>
  <c r="AO44" i="2159"/>
  <c r="AK44" i="2159"/>
  <c r="AF44" i="2159"/>
  <c r="AD44" i="2159"/>
  <c r="AB44" i="2159"/>
  <c r="Y44" i="2159"/>
  <c r="W44" i="2159"/>
  <c r="V44" i="2159"/>
  <c r="U44" i="2159"/>
  <c r="P44" i="2159"/>
  <c r="L44" i="2159"/>
  <c r="J44" i="2159"/>
  <c r="I44" i="2159"/>
  <c r="H44" i="2159"/>
  <c r="AG44" i="2159"/>
  <c r="C44" i="2159"/>
  <c r="BN43" i="2159"/>
  <c r="BQ43" i="2159" s="1"/>
  <c r="AK43" i="2159"/>
  <c r="AF43" i="2159"/>
  <c r="AD43" i="2159"/>
  <c r="AB43" i="2159"/>
  <c r="Y43" i="2159"/>
  <c r="W43" i="2159"/>
  <c r="V43" i="2159"/>
  <c r="U43" i="2159"/>
  <c r="P43" i="2159"/>
  <c r="L43" i="2159"/>
  <c r="J43" i="2159"/>
  <c r="I43" i="2159"/>
  <c r="H43" i="2159"/>
  <c r="AG43" i="2159"/>
  <c r="C43" i="2159"/>
  <c r="BN42" i="2159"/>
  <c r="BQ42" i="2159" s="1"/>
  <c r="AK42" i="2159"/>
  <c r="AF42" i="2159"/>
  <c r="Y42" i="2159"/>
  <c r="W42" i="2159"/>
  <c r="V42" i="2159"/>
  <c r="U42" i="2159"/>
  <c r="P42" i="2159"/>
  <c r="L42" i="2159"/>
  <c r="J42" i="2159"/>
  <c r="I42" i="2159"/>
  <c r="H42" i="2159"/>
  <c r="C42" i="2159"/>
  <c r="BN41" i="2159"/>
  <c r="BQ41" i="2159" s="1"/>
  <c r="AK41" i="2159"/>
  <c r="AF41" i="2159"/>
  <c r="Y41" i="2159"/>
  <c r="W41" i="2159"/>
  <c r="V41" i="2159"/>
  <c r="U41" i="2159"/>
  <c r="P41" i="2159"/>
  <c r="L41" i="2159"/>
  <c r="J41" i="2159"/>
  <c r="I41" i="2159"/>
  <c r="H41" i="2159"/>
  <c r="AG41" i="2159"/>
  <c r="C41" i="2159"/>
  <c r="BN40" i="2159"/>
  <c r="BQ40" i="2159" s="1"/>
  <c r="AK40" i="2159"/>
  <c r="AF40" i="2159"/>
  <c r="Y40" i="2159"/>
  <c r="W40" i="2159"/>
  <c r="V40" i="2159"/>
  <c r="U40" i="2159"/>
  <c r="P40" i="2159"/>
  <c r="L40" i="2159"/>
  <c r="J40" i="2159"/>
  <c r="I40" i="2159"/>
  <c r="H40" i="2159"/>
  <c r="C40" i="2159"/>
  <c r="BN39" i="2159"/>
  <c r="BQ39" i="2159" s="1"/>
  <c r="AK39" i="2159"/>
  <c r="AF39" i="2159"/>
  <c r="Y39" i="2159"/>
  <c r="W39" i="2159"/>
  <c r="V39" i="2159"/>
  <c r="U39" i="2159"/>
  <c r="P39" i="2159"/>
  <c r="L39" i="2159"/>
  <c r="J39" i="2159"/>
  <c r="I39" i="2159"/>
  <c r="H39" i="2159"/>
  <c r="C39" i="2159"/>
  <c r="BN38" i="2159"/>
  <c r="BQ38" i="2159" s="1"/>
  <c r="AK38" i="2159"/>
  <c r="AF38" i="2159"/>
  <c r="Y38" i="2159"/>
  <c r="W38" i="2159"/>
  <c r="V38" i="2159"/>
  <c r="U38" i="2159"/>
  <c r="P38" i="2159"/>
  <c r="L38" i="2159"/>
  <c r="J38" i="2159"/>
  <c r="I38" i="2159"/>
  <c r="H38" i="2159"/>
  <c r="C38" i="2159"/>
  <c r="BN37" i="2159"/>
  <c r="BQ37" i="2159" s="1"/>
  <c r="AK37" i="2159"/>
  <c r="AF37" i="2159"/>
  <c r="Y37" i="2159"/>
  <c r="W37" i="2159"/>
  <c r="V37" i="2159"/>
  <c r="U37" i="2159"/>
  <c r="P37" i="2159"/>
  <c r="L37" i="2159"/>
  <c r="J37" i="2159"/>
  <c r="I37" i="2159"/>
  <c r="H37" i="2159"/>
  <c r="C37" i="2159"/>
  <c r="BN36" i="2159"/>
  <c r="BQ36" i="2159" s="1"/>
  <c r="AK36" i="2159"/>
  <c r="AF36" i="2159"/>
  <c r="Y36" i="2159"/>
  <c r="W36" i="2159"/>
  <c r="V36" i="2159"/>
  <c r="U36" i="2159"/>
  <c r="P36" i="2159"/>
  <c r="L36" i="2159"/>
  <c r="J36" i="2159"/>
  <c r="I36" i="2159"/>
  <c r="H36" i="2159"/>
  <c r="C36" i="2159"/>
  <c r="BN35" i="2159"/>
  <c r="BQ35" i="2159" s="1"/>
  <c r="AK35" i="2159"/>
  <c r="AF35" i="2159"/>
  <c r="Y35" i="2159"/>
  <c r="W35" i="2159"/>
  <c r="V35" i="2159"/>
  <c r="U35" i="2159"/>
  <c r="P35" i="2159"/>
  <c r="L35" i="2159"/>
  <c r="J35" i="2159"/>
  <c r="I35" i="2159"/>
  <c r="H35" i="2159"/>
  <c r="C35" i="2159"/>
  <c r="BN34" i="2159"/>
  <c r="BQ34" i="2159" s="1"/>
  <c r="AK34" i="2159"/>
  <c r="AF34" i="2159"/>
  <c r="Y34" i="2159"/>
  <c r="W34" i="2159"/>
  <c r="V34" i="2159"/>
  <c r="U34" i="2159"/>
  <c r="P34" i="2159"/>
  <c r="L34" i="2159"/>
  <c r="J34" i="2159"/>
  <c r="I34" i="2159"/>
  <c r="H34" i="2159"/>
  <c r="C34" i="2159"/>
  <c r="BN33" i="2159"/>
  <c r="BQ33" i="2159" s="1"/>
  <c r="AK33" i="2159"/>
  <c r="AF33" i="2159"/>
  <c r="Y33" i="2159"/>
  <c r="W33" i="2159"/>
  <c r="V33" i="2159"/>
  <c r="U33" i="2159"/>
  <c r="P33" i="2159"/>
  <c r="L33" i="2159"/>
  <c r="J33" i="2159"/>
  <c r="I33" i="2159"/>
  <c r="H33" i="2159"/>
  <c r="C33" i="2159"/>
  <c r="BN32" i="2159"/>
  <c r="BQ32" i="2159" s="1"/>
  <c r="AO32" i="2159"/>
  <c r="AK32" i="2159"/>
  <c r="AF32" i="2159"/>
  <c r="Y32" i="2159"/>
  <c r="W32" i="2159"/>
  <c r="V32" i="2159"/>
  <c r="U32" i="2159"/>
  <c r="P32" i="2159"/>
  <c r="L32" i="2159"/>
  <c r="J32" i="2159"/>
  <c r="I32" i="2159"/>
  <c r="H32" i="2159"/>
  <c r="C32" i="2159"/>
  <c r="BN31" i="2159"/>
  <c r="BQ31" i="2159" s="1"/>
  <c r="AK31" i="2159"/>
  <c r="AF31" i="2159"/>
  <c r="Y31" i="2159"/>
  <c r="W31" i="2159"/>
  <c r="V31" i="2159"/>
  <c r="U31" i="2159"/>
  <c r="P31" i="2159"/>
  <c r="L31" i="2159"/>
  <c r="J31" i="2159"/>
  <c r="I31" i="2159"/>
  <c r="H31" i="2159"/>
  <c r="G31" i="2159"/>
  <c r="CG40" i="2159" s="1"/>
  <c r="C31" i="2159"/>
  <c r="BN30" i="2159"/>
  <c r="BQ30" i="2159" s="1"/>
  <c r="AK30" i="2159"/>
  <c r="AF30" i="2159"/>
  <c r="Y30" i="2159"/>
  <c r="W30" i="2159"/>
  <c r="V30" i="2159"/>
  <c r="U30" i="2159"/>
  <c r="P30" i="2159"/>
  <c r="L30" i="2159"/>
  <c r="J30" i="2159"/>
  <c r="I30" i="2159"/>
  <c r="H30" i="2159"/>
  <c r="AG30" i="2159"/>
  <c r="C30" i="2159"/>
  <c r="BN29" i="2159"/>
  <c r="BQ29" i="2159" s="1"/>
  <c r="AK29" i="2159"/>
  <c r="AF29" i="2159"/>
  <c r="Y29" i="2159"/>
  <c r="W29" i="2159"/>
  <c r="V29" i="2159"/>
  <c r="U29" i="2159"/>
  <c r="P29" i="2159"/>
  <c r="L29" i="2159"/>
  <c r="J29" i="2159"/>
  <c r="I29" i="2159"/>
  <c r="H29" i="2159"/>
  <c r="G29" i="2159"/>
  <c r="CG38" i="2159" s="1"/>
  <c r="C29" i="2159"/>
  <c r="BN28" i="2159"/>
  <c r="BQ28" i="2159" s="1"/>
  <c r="AK28" i="2159"/>
  <c r="AF28" i="2159"/>
  <c r="Y28" i="2159"/>
  <c r="W28" i="2159"/>
  <c r="V28" i="2159"/>
  <c r="U28" i="2159"/>
  <c r="P28" i="2159"/>
  <c r="L28" i="2159"/>
  <c r="J28" i="2159"/>
  <c r="I28" i="2159"/>
  <c r="H28" i="2159"/>
  <c r="G28" i="2159"/>
  <c r="CG37" i="2159" s="1"/>
  <c r="C28" i="2159"/>
  <c r="BN27" i="2159"/>
  <c r="BQ27" i="2159" s="1"/>
  <c r="AO27" i="2159"/>
  <c r="AK27" i="2159"/>
  <c r="AF27" i="2159"/>
  <c r="Y27" i="2159"/>
  <c r="W27" i="2159"/>
  <c r="V27" i="2159"/>
  <c r="U27" i="2159"/>
  <c r="P27" i="2159"/>
  <c r="L27" i="2159"/>
  <c r="J27" i="2159"/>
  <c r="I27" i="2159"/>
  <c r="H27" i="2159"/>
  <c r="C27" i="2159"/>
  <c r="BN26" i="2159"/>
  <c r="BQ26" i="2159" s="1"/>
  <c r="AO26" i="2159"/>
  <c r="AK26" i="2159"/>
  <c r="AF26" i="2159"/>
  <c r="Y26" i="2159"/>
  <c r="W26" i="2159"/>
  <c r="V26" i="2159"/>
  <c r="U26" i="2159"/>
  <c r="P26" i="2159"/>
  <c r="L26" i="2159"/>
  <c r="J26" i="2159"/>
  <c r="I26" i="2159"/>
  <c r="H26" i="2159"/>
  <c r="C26" i="2159"/>
  <c r="BN25" i="2159"/>
  <c r="BQ25" i="2159" s="1"/>
  <c r="AK25" i="2159"/>
  <c r="AF25" i="2159"/>
  <c r="Y25" i="2159"/>
  <c r="W25" i="2159"/>
  <c r="V25" i="2159"/>
  <c r="U25" i="2159"/>
  <c r="P25" i="2159"/>
  <c r="L25" i="2159"/>
  <c r="J25" i="2159"/>
  <c r="I25" i="2159"/>
  <c r="H25" i="2159"/>
  <c r="AG25" i="2159"/>
  <c r="C25" i="2159"/>
  <c r="BN24" i="2159"/>
  <c r="BQ24" i="2159" s="1"/>
  <c r="AK24" i="2159"/>
  <c r="AF24" i="2159"/>
  <c r="Y24" i="2159"/>
  <c r="W24" i="2159"/>
  <c r="V24" i="2159"/>
  <c r="U24" i="2159"/>
  <c r="P24" i="2159"/>
  <c r="L24" i="2159"/>
  <c r="J24" i="2159"/>
  <c r="I24" i="2159"/>
  <c r="H24" i="2159"/>
  <c r="G24" i="2159"/>
  <c r="CG33" i="2159" s="1"/>
  <c r="C24" i="2159"/>
  <c r="BN23" i="2159"/>
  <c r="BQ23" i="2159" s="1"/>
  <c r="AK23" i="2159"/>
  <c r="AF23" i="2159"/>
  <c r="Y23" i="2159"/>
  <c r="W23" i="2159"/>
  <c r="V23" i="2159"/>
  <c r="U23" i="2159"/>
  <c r="P23" i="2159"/>
  <c r="L23" i="2159"/>
  <c r="J23" i="2159"/>
  <c r="I23" i="2159"/>
  <c r="H23" i="2159"/>
  <c r="AG23" i="2159"/>
  <c r="C23" i="2159"/>
  <c r="BN22" i="2159"/>
  <c r="BQ22" i="2159" s="1"/>
  <c r="AK22" i="2159"/>
  <c r="AF22" i="2159"/>
  <c r="Y22" i="2159"/>
  <c r="W22" i="2159"/>
  <c r="V22" i="2159"/>
  <c r="U22" i="2159"/>
  <c r="P22" i="2159"/>
  <c r="L22" i="2159"/>
  <c r="J22" i="2159"/>
  <c r="I22" i="2159"/>
  <c r="H22" i="2159"/>
  <c r="AG22" i="2159"/>
  <c r="C22" i="2159"/>
  <c r="BN21" i="2159"/>
  <c r="BQ21" i="2159" s="1"/>
  <c r="AK21" i="2159"/>
  <c r="AF21" i="2159"/>
  <c r="Y21" i="2159"/>
  <c r="W21" i="2159"/>
  <c r="V21" i="2159"/>
  <c r="U21" i="2159"/>
  <c r="P21" i="2159"/>
  <c r="L21" i="2159"/>
  <c r="J21" i="2159"/>
  <c r="I21" i="2159"/>
  <c r="H21" i="2159"/>
  <c r="AG21" i="2159"/>
  <c r="C21" i="2159"/>
  <c r="BN20" i="2159"/>
  <c r="BQ20" i="2159" s="1"/>
  <c r="AK20" i="2159"/>
  <c r="AF20" i="2159"/>
  <c r="AB20" i="2159"/>
  <c r="Y20" i="2159"/>
  <c r="W20" i="2159"/>
  <c r="V20" i="2159"/>
  <c r="U20" i="2159"/>
  <c r="P20" i="2159"/>
  <c r="L20" i="2159"/>
  <c r="J20" i="2159"/>
  <c r="I20" i="2159"/>
  <c r="H20" i="2159"/>
  <c r="G20" i="2159"/>
  <c r="C20" i="2159"/>
  <c r="BN19" i="2159"/>
  <c r="BQ19" i="2159" s="1"/>
  <c r="AK19" i="2159"/>
  <c r="AF19" i="2159"/>
  <c r="AB19" i="2159"/>
  <c r="Y19" i="2159"/>
  <c r="W19" i="2159"/>
  <c r="V19" i="2159"/>
  <c r="U19" i="2159"/>
  <c r="P19" i="2159"/>
  <c r="L19" i="2159"/>
  <c r="J19" i="2159"/>
  <c r="I19" i="2159"/>
  <c r="H19" i="2159"/>
  <c r="G19" i="2159"/>
  <c r="C19" i="2159"/>
  <c r="BN18" i="2159"/>
  <c r="BQ18" i="2159" s="1"/>
  <c r="AO18" i="2159"/>
  <c r="D18" i="2159" s="1"/>
  <c r="AK18" i="2159"/>
  <c r="AF18" i="2159"/>
  <c r="AB18" i="2159"/>
  <c r="Y18" i="2159"/>
  <c r="W18" i="2159"/>
  <c r="V18" i="2159"/>
  <c r="U18" i="2159"/>
  <c r="P18" i="2159"/>
  <c r="L18" i="2159"/>
  <c r="J18" i="2159"/>
  <c r="I18" i="2159"/>
  <c r="H18" i="2159"/>
  <c r="G18" i="2159"/>
  <c r="C18" i="2159"/>
  <c r="BN17" i="2159"/>
  <c r="BQ17" i="2159" s="1"/>
  <c r="AO17" i="2159"/>
  <c r="D17" i="2159" s="1"/>
  <c r="AK17" i="2159"/>
  <c r="AF17" i="2159"/>
  <c r="AB17" i="2159"/>
  <c r="Y17" i="2159"/>
  <c r="W17" i="2159"/>
  <c r="V17" i="2159"/>
  <c r="U17" i="2159"/>
  <c r="P17" i="2159"/>
  <c r="L17" i="2159"/>
  <c r="J17" i="2159"/>
  <c r="I17" i="2159"/>
  <c r="H17" i="2159"/>
  <c r="C17" i="2159"/>
  <c r="BN16" i="2159"/>
  <c r="BQ16" i="2159" s="1"/>
  <c r="AK16" i="2159"/>
  <c r="AF16" i="2159"/>
  <c r="AB16" i="2159"/>
  <c r="Y16" i="2159"/>
  <c r="W16" i="2159"/>
  <c r="V16" i="2159"/>
  <c r="U16" i="2159"/>
  <c r="P16" i="2159"/>
  <c r="L16" i="2159"/>
  <c r="J16" i="2159"/>
  <c r="I16" i="2159"/>
  <c r="H16" i="2159"/>
  <c r="G16" i="2159"/>
  <c r="CG25" i="2159" s="1"/>
  <c r="C16" i="2159"/>
  <c r="BN15" i="2159"/>
  <c r="BQ15" i="2159" s="1"/>
  <c r="AK15" i="2159"/>
  <c r="AF15" i="2159"/>
  <c r="AB15" i="2159"/>
  <c r="Y15" i="2159"/>
  <c r="W15" i="2159"/>
  <c r="V15" i="2159"/>
  <c r="U15" i="2159"/>
  <c r="P15" i="2159"/>
  <c r="L15" i="2159"/>
  <c r="J15" i="2159"/>
  <c r="I15" i="2159"/>
  <c r="H15" i="2159"/>
  <c r="AG15" i="2159"/>
  <c r="C15" i="2159"/>
  <c r="BN14" i="2159"/>
  <c r="BQ14" i="2159" s="1"/>
  <c r="AK14" i="2159"/>
  <c r="AF14" i="2159"/>
  <c r="AB14" i="2159"/>
  <c r="Y14" i="2159"/>
  <c r="W14" i="2159"/>
  <c r="V14" i="2159"/>
  <c r="U14" i="2159"/>
  <c r="P14" i="2159"/>
  <c r="L14" i="2159"/>
  <c r="J14" i="2159"/>
  <c r="I14" i="2159"/>
  <c r="H14" i="2159"/>
  <c r="G14" i="2159"/>
  <c r="CG23" i="2159" s="1"/>
  <c r="C14" i="2159"/>
  <c r="BN13" i="2159"/>
  <c r="BQ13" i="2159" s="1"/>
  <c r="AK13" i="2159"/>
  <c r="AF13" i="2159"/>
  <c r="AB13" i="2159"/>
  <c r="Y13" i="2159"/>
  <c r="W13" i="2159"/>
  <c r="V13" i="2159"/>
  <c r="U13" i="2159"/>
  <c r="P13" i="2159"/>
  <c r="L13" i="2159"/>
  <c r="J13" i="2159"/>
  <c r="I13" i="2159"/>
  <c r="H13" i="2159"/>
  <c r="AG13" i="2159"/>
  <c r="C13" i="2159"/>
  <c r="BN12" i="2159"/>
  <c r="BQ12" i="2159" s="1"/>
  <c r="AK12" i="2159"/>
  <c r="AF12" i="2159"/>
  <c r="AB12" i="2159"/>
  <c r="Y12" i="2159"/>
  <c r="W12" i="2159"/>
  <c r="V12" i="2159"/>
  <c r="U12" i="2159"/>
  <c r="P12" i="2159"/>
  <c r="L12" i="2159"/>
  <c r="J12" i="2159"/>
  <c r="I12" i="2159"/>
  <c r="H12" i="2159"/>
  <c r="G12" i="2159"/>
  <c r="CG21" i="2159" s="1"/>
  <c r="C12" i="2159"/>
  <c r="BN11" i="2159"/>
  <c r="BQ11" i="2159" s="1"/>
  <c r="AK11" i="2159"/>
  <c r="AF11" i="2159"/>
  <c r="AB11" i="2159"/>
  <c r="Y11" i="2159"/>
  <c r="W11" i="2159"/>
  <c r="V11" i="2159"/>
  <c r="U11" i="2159"/>
  <c r="P11" i="2159"/>
  <c r="L11" i="2159"/>
  <c r="J11" i="2159"/>
  <c r="I11" i="2159"/>
  <c r="H11" i="2159"/>
  <c r="AG11" i="2159"/>
  <c r="C11" i="2159"/>
  <c r="BN10" i="2159"/>
  <c r="BQ10" i="2159" s="1"/>
  <c r="AK10" i="2159"/>
  <c r="AF10" i="2159"/>
  <c r="AB10" i="2159"/>
  <c r="Y10" i="2159"/>
  <c r="W10" i="2159"/>
  <c r="V10" i="2159"/>
  <c r="U10" i="2159"/>
  <c r="P10" i="2159"/>
  <c r="L10" i="2159"/>
  <c r="J10" i="2159"/>
  <c r="I10" i="2159"/>
  <c r="H10" i="2159"/>
  <c r="AG10" i="2159"/>
  <c r="C10" i="2159"/>
  <c r="BN9" i="2159"/>
  <c r="BQ9" i="2159" s="1"/>
  <c r="AK9" i="2159"/>
  <c r="AF9" i="2159"/>
  <c r="AB9" i="2159"/>
  <c r="Y9" i="2159"/>
  <c r="W9" i="2159"/>
  <c r="V9" i="2159"/>
  <c r="U9" i="2159"/>
  <c r="P9" i="2159"/>
  <c r="L9" i="2159"/>
  <c r="J9" i="2159"/>
  <c r="I9" i="2159"/>
  <c r="H9" i="2159"/>
  <c r="AG9" i="2159"/>
  <c r="C9" i="2159"/>
  <c r="BN8" i="2159"/>
  <c r="BQ8" i="2159" s="1"/>
  <c r="AK8" i="2159"/>
  <c r="AF8" i="2159"/>
  <c r="AB8" i="2159"/>
  <c r="Y8" i="2159"/>
  <c r="V8" i="2159"/>
  <c r="U8" i="2159"/>
  <c r="P8" i="2159"/>
  <c r="L8" i="2159"/>
  <c r="J8" i="2159"/>
  <c r="I8" i="2159"/>
  <c r="H8" i="2159"/>
  <c r="AG8" i="2159"/>
  <c r="C8" i="2159"/>
  <c r="BN7" i="2159"/>
  <c r="BQ7" i="2159" s="1"/>
  <c r="AK7" i="2159"/>
  <c r="AF7" i="2159"/>
  <c r="AB7" i="2159"/>
  <c r="Y7" i="2159"/>
  <c r="V7" i="2159"/>
  <c r="U7" i="2159"/>
  <c r="P7" i="2159"/>
  <c r="L7" i="2159"/>
  <c r="J7" i="2159"/>
  <c r="I7" i="2159"/>
  <c r="H7" i="2159"/>
  <c r="G7" i="2159"/>
  <c r="CG16" i="2159" s="1"/>
  <c r="C7" i="2159"/>
  <c r="AK6" i="2159"/>
  <c r="AF6" i="2159"/>
  <c r="AB6" i="2159"/>
  <c r="Y6" i="2159"/>
  <c r="V6" i="2159"/>
  <c r="U6" i="2159"/>
  <c r="P6" i="2159"/>
  <c r="L6" i="2159"/>
  <c r="J6" i="2159"/>
  <c r="I6" i="2159"/>
  <c r="H6" i="2159"/>
  <c r="C6" i="2159"/>
  <c r="BN5" i="2159"/>
  <c r="BQ5" i="2159" s="1"/>
  <c r="AK5" i="2159"/>
  <c r="AF5" i="2159"/>
  <c r="Y5" i="2159"/>
  <c r="V5" i="2159"/>
  <c r="U5" i="2159"/>
  <c r="P5" i="2159"/>
  <c r="L5" i="2159"/>
  <c r="J5" i="2159"/>
  <c r="I5" i="2159"/>
  <c r="H5" i="2159"/>
  <c r="AG5" i="2159"/>
  <c r="C5" i="2159"/>
  <c r="AK4" i="2159"/>
  <c r="AF4" i="2159"/>
  <c r="Y4" i="2159"/>
  <c r="W4" i="2159"/>
  <c r="V4" i="2159"/>
  <c r="U4" i="2159"/>
  <c r="P4" i="2159"/>
  <c r="L4" i="2159"/>
  <c r="I4" i="2159"/>
  <c r="H4" i="2159"/>
  <c r="AG4" i="2159"/>
  <c r="C4" i="2159"/>
  <c r="AK3" i="2159"/>
  <c r="AF3" i="2159"/>
  <c r="Y3" i="2159"/>
  <c r="W3" i="2159"/>
  <c r="V3" i="2159"/>
  <c r="U3" i="2159"/>
  <c r="P3" i="2159"/>
  <c r="J3" i="2159"/>
  <c r="I3" i="2159"/>
  <c r="H3" i="2159"/>
  <c r="C3" i="2159"/>
  <c r="CB2" i="2159"/>
  <c r="CA2" i="2159"/>
  <c r="BB2" i="2159"/>
  <c r="BX1" i="2159"/>
  <c r="BY1" i="2159" s="1"/>
  <c r="AM1" i="2159"/>
  <c r="BO16" i="2159" l="1"/>
  <c r="BO85" i="2159"/>
  <c r="BO212" i="2159"/>
  <c r="BO214" i="2159"/>
  <c r="BO220" i="2159"/>
  <c r="BO222" i="2159"/>
  <c r="BO228" i="2159"/>
  <c r="BO230" i="2159"/>
  <c r="BO240" i="2159"/>
  <c r="BO242" i="2159"/>
  <c r="BO244" i="2159"/>
  <c r="BO246" i="2159"/>
  <c r="BO248" i="2159"/>
  <c r="BO250" i="2159"/>
  <c r="BO256" i="2159"/>
  <c r="BO14" i="2159"/>
  <c r="BO26" i="2159"/>
  <c r="BO28" i="2159"/>
  <c r="BO73" i="2159"/>
  <c r="BO96" i="2159"/>
  <c r="BO115" i="2159"/>
  <c r="BO122" i="2159"/>
  <c r="BO132" i="2159"/>
  <c r="BO140" i="2159"/>
  <c r="BO142" i="2159"/>
  <c r="BO144" i="2159"/>
  <c r="BO148" i="2159"/>
  <c r="BO149" i="2159"/>
  <c r="BO151" i="2159"/>
  <c r="BO153" i="2159"/>
  <c r="BO154" i="2159"/>
  <c r="BO155" i="2159"/>
  <c r="BO156" i="2159"/>
  <c r="BO159" i="2159"/>
  <c r="BO160" i="2159"/>
  <c r="BO162" i="2159"/>
  <c r="BO166" i="2159"/>
  <c r="BO170" i="2159"/>
  <c r="BO172" i="2159"/>
  <c r="BO174" i="2159"/>
  <c r="BO180" i="2159"/>
  <c r="BO182" i="2159"/>
  <c r="BO186" i="2159"/>
  <c r="BO187" i="2159"/>
  <c r="BO190" i="2159"/>
  <c r="BO191" i="2159"/>
  <c r="BO192" i="2159"/>
  <c r="BO196" i="2159"/>
  <c r="BO199" i="2159"/>
  <c r="BO200" i="2159"/>
  <c r="BO201" i="2159"/>
  <c r="BO206" i="2159"/>
  <c r="BO209" i="2159"/>
  <c r="BO210" i="2159"/>
  <c r="BO215" i="2159"/>
  <c r="BO217" i="2159"/>
  <c r="BO219" i="2159"/>
  <c r="BO221" i="2159"/>
  <c r="BO225" i="2159"/>
  <c r="BO227" i="2159"/>
  <c r="BO233" i="2159"/>
  <c r="BO239" i="2159"/>
  <c r="BO245" i="2159"/>
  <c r="BO249" i="2159"/>
  <c r="BO251" i="2159"/>
  <c r="BO253" i="2159"/>
  <c r="BO255" i="2159"/>
  <c r="BO257" i="2159"/>
  <c r="BO259" i="2159"/>
  <c r="Q31" i="2159"/>
  <c r="Q33" i="2159"/>
  <c r="Q73" i="2159"/>
  <c r="N53" i="2159"/>
  <c r="CD157" i="2159" s="1"/>
  <c r="N61" i="2159"/>
  <c r="CD165" i="2159" s="1"/>
  <c r="N73" i="2159"/>
  <c r="CD177" i="2159" s="1"/>
  <c r="N75" i="2159"/>
  <c r="CD179" i="2159" s="1"/>
  <c r="N77" i="2159"/>
  <c r="CD181" i="2159" s="1"/>
  <c r="N79" i="2159"/>
  <c r="CD183" i="2159" s="1"/>
  <c r="N52" i="2159"/>
  <c r="CD156" i="2159" s="1"/>
  <c r="N54" i="2159"/>
  <c r="N23" i="2159"/>
  <c r="CD127" i="2159" s="1"/>
  <c r="N25" i="2159"/>
  <c r="CD129" i="2159" s="1"/>
  <c r="N27" i="2159"/>
  <c r="CD131" i="2159" s="1"/>
  <c r="N29" i="2159"/>
  <c r="CD133" i="2159" s="1"/>
  <c r="N31" i="2159"/>
  <c r="CD135" i="2159" s="1"/>
  <c r="N33" i="2159"/>
  <c r="CD137" i="2159" s="1"/>
  <c r="N35" i="2159"/>
  <c r="CD139" i="2159" s="1"/>
  <c r="N37" i="2159"/>
  <c r="CD141" i="2159" s="1"/>
  <c r="N39" i="2159"/>
  <c r="CD143" i="2159" s="1"/>
  <c r="N41" i="2159"/>
  <c r="CD145" i="2159" s="1"/>
  <c r="N43" i="2159"/>
  <c r="CD147" i="2159" s="1"/>
  <c r="N45" i="2159"/>
  <c r="CD149" i="2159" s="1"/>
  <c r="N47" i="2159"/>
  <c r="CD151" i="2159" s="1"/>
  <c r="N49" i="2159"/>
  <c r="CD153" i="2159" s="1"/>
  <c r="N51" i="2159"/>
  <c r="CD155" i="2159" s="1"/>
  <c r="N55" i="2159"/>
  <c r="CD159" i="2159" s="1"/>
  <c r="N57" i="2159"/>
  <c r="CD161" i="2159" s="1"/>
  <c r="N63" i="2159"/>
  <c r="CD167" i="2159" s="1"/>
  <c r="N65" i="2159"/>
  <c r="CD169" i="2159" s="1"/>
  <c r="N69" i="2159"/>
  <c r="CD173" i="2159" s="1"/>
  <c r="N71" i="2159"/>
  <c r="CD175" i="2159" s="1"/>
  <c r="N81" i="2159"/>
  <c r="CD185" i="2159" s="1"/>
  <c r="N83" i="2159"/>
  <c r="CD187" i="2159" s="1"/>
  <c r="N85" i="2159"/>
  <c r="CD189" i="2159" s="1"/>
  <c r="N87" i="2159"/>
  <c r="CD191" i="2159" s="1"/>
  <c r="N89" i="2159"/>
  <c r="CD193" i="2159" s="1"/>
  <c r="N91" i="2159"/>
  <c r="N93" i="2159"/>
  <c r="CD197" i="2159" s="1"/>
  <c r="N95" i="2159"/>
  <c r="CD199" i="2159" s="1"/>
  <c r="N97" i="2159"/>
  <c r="CD201" i="2159" s="1"/>
  <c r="N99" i="2159"/>
  <c r="CD203" i="2159" s="1"/>
  <c r="N101" i="2159"/>
  <c r="CD205" i="2159" s="1"/>
  <c r="N103" i="2159"/>
  <c r="CD207" i="2159" s="1"/>
  <c r="N105" i="2159"/>
  <c r="CD209" i="2159" s="1"/>
  <c r="N20" i="2159"/>
  <c r="CD124" i="2159" s="1"/>
  <c r="N22" i="2159"/>
  <c r="N24" i="2159"/>
  <c r="CD128" i="2159" s="1"/>
  <c r="N26" i="2159"/>
  <c r="CD130" i="2159" s="1"/>
  <c r="N28" i="2159"/>
  <c r="CD132" i="2159" s="1"/>
  <c r="N30" i="2159"/>
  <c r="CD134" i="2159" s="1"/>
  <c r="N32" i="2159"/>
  <c r="CD136" i="2159" s="1"/>
  <c r="N34" i="2159"/>
  <c r="CD138" i="2159" s="1"/>
  <c r="N36" i="2159"/>
  <c r="CD140" i="2159" s="1"/>
  <c r="N38" i="2159"/>
  <c r="CD142" i="2159" s="1"/>
  <c r="N40" i="2159"/>
  <c r="CD144" i="2159" s="1"/>
  <c r="N42" i="2159"/>
  <c r="N44" i="2159"/>
  <c r="CD148" i="2159" s="1"/>
  <c r="N46" i="2159"/>
  <c r="CD150" i="2159" s="1"/>
  <c r="N48" i="2159"/>
  <c r="CD152" i="2159" s="1"/>
  <c r="N50" i="2159"/>
  <c r="CD154" i="2159" s="1"/>
  <c r="N56" i="2159"/>
  <c r="CD160" i="2159" s="1"/>
  <c r="N58" i="2159"/>
  <c r="CD162" i="2159" s="1"/>
  <c r="N60" i="2159"/>
  <c r="CD164" i="2159" s="1"/>
  <c r="N64" i="2159"/>
  <c r="CD168" i="2159" s="1"/>
  <c r="N66" i="2159"/>
  <c r="CD170" i="2159" s="1"/>
  <c r="N68" i="2159"/>
  <c r="CD172" i="2159" s="1"/>
  <c r="N70" i="2159"/>
  <c r="CD174" i="2159" s="1"/>
  <c r="N72" i="2159"/>
  <c r="CD176" i="2159" s="1"/>
  <c r="N74" i="2159"/>
  <c r="CD178" i="2159" s="1"/>
  <c r="N76" i="2159"/>
  <c r="CD180" i="2159" s="1"/>
  <c r="N78" i="2159"/>
  <c r="CD182" i="2159" s="1"/>
  <c r="N80" i="2159"/>
  <c r="CD184" i="2159" s="1"/>
  <c r="N82" i="2159"/>
  <c r="CD186" i="2159" s="1"/>
  <c r="N84" i="2159"/>
  <c r="CD188" i="2159" s="1"/>
  <c r="N86" i="2159"/>
  <c r="CD190" i="2159" s="1"/>
  <c r="N88" i="2159"/>
  <c r="CD192" i="2159" s="1"/>
  <c r="N90" i="2159"/>
  <c r="CD194" i="2159" s="1"/>
  <c r="N92" i="2159"/>
  <c r="CD196" i="2159" s="1"/>
  <c r="N94" i="2159"/>
  <c r="CD198" i="2159" s="1"/>
  <c r="N96" i="2159"/>
  <c r="CD200" i="2159" s="1"/>
  <c r="N100" i="2159"/>
  <c r="CD204" i="2159" s="1"/>
  <c r="N102" i="2159"/>
  <c r="CD206" i="2159" s="1"/>
  <c r="N104" i="2159"/>
  <c r="CD208" i="2159" s="1"/>
  <c r="N19" i="2159"/>
  <c r="CD123" i="2159" s="1"/>
  <c r="N21" i="2159"/>
  <c r="CD125" i="2159" s="1"/>
  <c r="Q19" i="2159"/>
  <c r="Q47" i="2159"/>
  <c r="Q49" i="2159"/>
  <c r="Q23" i="2159"/>
  <c r="Q39" i="2159"/>
  <c r="Q41" i="2159"/>
  <c r="CD146" i="2159"/>
  <c r="Q43" i="2159"/>
  <c r="Q64" i="2159"/>
  <c r="BE9" i="2159"/>
  <c r="BE10" i="2159"/>
  <c r="BE11" i="2159"/>
  <c r="BE12" i="2159"/>
  <c r="BE13" i="2159"/>
  <c r="BE14" i="2159"/>
  <c r="BE15" i="2159"/>
  <c r="BE16" i="2159"/>
  <c r="BE17" i="2159"/>
  <c r="BF18" i="2159"/>
  <c r="BF8" i="2159"/>
  <c r="BF17" i="2159"/>
  <c r="BF9" i="2159"/>
  <c r="BF10" i="2159"/>
  <c r="BF11" i="2159"/>
  <c r="BF12" i="2159"/>
  <c r="BF13" i="2159"/>
  <c r="BF14" i="2159"/>
  <c r="BF15" i="2159"/>
  <c r="BF16" i="2159"/>
  <c r="BE18" i="2159"/>
  <c r="BE8" i="2159"/>
  <c r="Q21" i="2159"/>
  <c r="Q25" i="2159"/>
  <c r="Q27" i="2159"/>
  <c r="Q29" i="2159"/>
  <c r="Q35" i="2159"/>
  <c r="Q45" i="2159"/>
  <c r="Q51" i="2159"/>
  <c r="Q53" i="2159"/>
  <c r="Q57" i="2159"/>
  <c r="Q66" i="2159"/>
  <c r="T12" i="2159"/>
  <c r="CG124" i="2159" s="1"/>
  <c r="T18" i="2159"/>
  <c r="CG130" i="2159" s="1"/>
  <c r="AL26" i="2159"/>
  <c r="AM26" i="2159" s="1"/>
  <c r="BY130" i="2159" s="1"/>
  <c r="AL30" i="2159"/>
  <c r="AM30" i="2159" s="1"/>
  <c r="BY134" i="2159" s="1"/>
  <c r="AL33" i="2159"/>
  <c r="AM33" i="2159" s="1"/>
  <c r="BY137" i="2159" s="1"/>
  <c r="T38" i="2159"/>
  <c r="CG150" i="2159" s="1"/>
  <c r="T39" i="2159"/>
  <c r="CG151" i="2159" s="1"/>
  <c r="AL49" i="2159"/>
  <c r="AM49" i="2159" s="1"/>
  <c r="BY153" i="2159" s="1"/>
  <c r="AL52" i="2159"/>
  <c r="AM52" i="2159" s="1"/>
  <c r="BY156" i="2159" s="1"/>
  <c r="T60" i="2159"/>
  <c r="CG172" i="2159" s="1"/>
  <c r="AL65" i="2159"/>
  <c r="AM65" i="2159" s="1"/>
  <c r="BY169" i="2159" s="1"/>
  <c r="T66" i="2159"/>
  <c r="CG178" i="2159" s="1"/>
  <c r="AL70" i="2159"/>
  <c r="AM70" i="2159" s="1"/>
  <c r="BY174" i="2159" s="1"/>
  <c r="AL75" i="2159"/>
  <c r="AM75" i="2159" s="1"/>
  <c r="BY179" i="2159" s="1"/>
  <c r="AL79" i="2159"/>
  <c r="AN79" i="2159" s="1"/>
  <c r="BZ183" i="2159" s="1"/>
  <c r="T83" i="2159"/>
  <c r="CG195" i="2159" s="1"/>
  <c r="T88" i="2159"/>
  <c r="CG200" i="2159" s="1"/>
  <c r="T92" i="2159"/>
  <c r="CG204" i="2159" s="1"/>
  <c r="AL96" i="2159"/>
  <c r="AM96" i="2159" s="1"/>
  <c r="BY200" i="2159" s="1"/>
  <c r="AL100" i="2159"/>
  <c r="AM100" i="2159" s="1"/>
  <c r="BY204" i="2159" s="1"/>
  <c r="AL104" i="2159"/>
  <c r="AM104" i="2159" s="1"/>
  <c r="BY208" i="2159" s="1"/>
  <c r="AL6" i="2159"/>
  <c r="AL7" i="2159"/>
  <c r="AL4" i="2159"/>
  <c r="AL14" i="2159"/>
  <c r="AL24" i="2159"/>
  <c r="AN24" i="2159" s="1"/>
  <c r="BZ128" i="2159" s="1"/>
  <c r="T25" i="2159"/>
  <c r="CG137" i="2159" s="1"/>
  <c r="AL27" i="2159"/>
  <c r="AM27" i="2159" s="1"/>
  <c r="BY131" i="2159" s="1"/>
  <c r="AL28" i="2159"/>
  <c r="AM28" i="2159" s="1"/>
  <c r="BY132" i="2159" s="1"/>
  <c r="AL29" i="2159"/>
  <c r="AN29" i="2159" s="1"/>
  <c r="BZ133" i="2159" s="1"/>
  <c r="T37" i="2159"/>
  <c r="CG149" i="2159" s="1"/>
  <c r="AL47" i="2159"/>
  <c r="AM47" i="2159" s="1"/>
  <c r="BY151" i="2159" s="1"/>
  <c r="AL50" i="2159"/>
  <c r="AN50" i="2159" s="1"/>
  <c r="BZ154" i="2159" s="1"/>
  <c r="AL59" i="2159"/>
  <c r="AN59" i="2159" s="1"/>
  <c r="BZ163" i="2159" s="1"/>
  <c r="T63" i="2159"/>
  <c r="CG175" i="2159" s="1"/>
  <c r="AL69" i="2159"/>
  <c r="AM69" i="2159" s="1"/>
  <c r="BY173" i="2159" s="1"/>
  <c r="AL74" i="2159"/>
  <c r="AM74" i="2159" s="1"/>
  <c r="BY178" i="2159" s="1"/>
  <c r="AL78" i="2159"/>
  <c r="AM78" i="2159" s="1"/>
  <c r="BY182" i="2159" s="1"/>
  <c r="T82" i="2159"/>
  <c r="CG194" i="2159" s="1"/>
  <c r="AL87" i="2159"/>
  <c r="AN87" i="2159" s="1"/>
  <c r="BZ191" i="2159" s="1"/>
  <c r="AL91" i="2159"/>
  <c r="AM91" i="2159" s="1"/>
  <c r="BY195" i="2159" s="1"/>
  <c r="AL95" i="2159"/>
  <c r="AM95" i="2159" s="1"/>
  <c r="BY199" i="2159" s="1"/>
  <c r="AL99" i="2159"/>
  <c r="AM99" i="2159" s="1"/>
  <c r="BY203" i="2159" s="1"/>
  <c r="AL103" i="2159"/>
  <c r="AM103" i="2159" s="1"/>
  <c r="BY207" i="2159" s="1"/>
  <c r="T105" i="2159"/>
  <c r="CG217" i="2159" s="1"/>
  <c r="AL16" i="2159"/>
  <c r="AL19" i="2159"/>
  <c r="AN19" i="2159" s="1"/>
  <c r="BZ123" i="2159" s="1"/>
  <c r="AL20" i="2159"/>
  <c r="AM20" i="2159" s="1"/>
  <c r="BY124" i="2159" s="1"/>
  <c r="T22" i="2159"/>
  <c r="CG134" i="2159" s="1"/>
  <c r="CD126" i="2159"/>
  <c r="T23" i="2159"/>
  <c r="CG135" i="2159" s="1"/>
  <c r="AL36" i="2159"/>
  <c r="AN36" i="2159" s="1"/>
  <c r="BZ140" i="2159" s="1"/>
  <c r="T43" i="2159"/>
  <c r="CG155" i="2159" s="1"/>
  <c r="AL45" i="2159"/>
  <c r="AM45" i="2159" s="1"/>
  <c r="BY149" i="2159" s="1"/>
  <c r="AL53" i="2159"/>
  <c r="AN53" i="2159" s="1"/>
  <c r="BZ157" i="2159" s="1"/>
  <c r="AL56" i="2159"/>
  <c r="AM56" i="2159" s="1"/>
  <c r="BY160" i="2159" s="1"/>
  <c r="T57" i="2159"/>
  <c r="CG169" i="2159" s="1"/>
  <c r="T58" i="2159"/>
  <c r="CG170" i="2159" s="1"/>
  <c r="AL72" i="2159"/>
  <c r="AM72" i="2159" s="1"/>
  <c r="BY176" i="2159" s="1"/>
  <c r="AL73" i="2159"/>
  <c r="AM73" i="2159" s="1"/>
  <c r="BY177" i="2159" s="1"/>
  <c r="AL77" i="2159"/>
  <c r="AM77" i="2159" s="1"/>
  <c r="BY181" i="2159" s="1"/>
  <c r="T81" i="2159"/>
  <c r="CG193" i="2159" s="1"/>
  <c r="T85" i="2159"/>
  <c r="CG197" i="2159" s="1"/>
  <c r="T86" i="2159"/>
  <c r="CG198" i="2159" s="1"/>
  <c r="AL90" i="2159"/>
  <c r="AN90" i="2159" s="1"/>
  <c r="BZ194" i="2159" s="1"/>
  <c r="AL94" i="2159"/>
  <c r="AN94" i="2159" s="1"/>
  <c r="BZ198" i="2159" s="1"/>
  <c r="AL98" i="2159"/>
  <c r="AN98" i="2159" s="1"/>
  <c r="BZ202" i="2159" s="1"/>
  <c r="AL102" i="2159"/>
  <c r="AM102" i="2159" s="1"/>
  <c r="BY206" i="2159" s="1"/>
  <c r="AL5" i="2159"/>
  <c r="AL9" i="2159"/>
  <c r="AL10" i="2159"/>
  <c r="AL17" i="2159"/>
  <c r="AL21" i="2159"/>
  <c r="AL32" i="2159"/>
  <c r="AN32" i="2159" s="1"/>
  <c r="BZ136" i="2159" s="1"/>
  <c r="AL34" i="2159"/>
  <c r="AM34" i="2159" s="1"/>
  <c r="BY138" i="2159" s="1"/>
  <c r="T40" i="2159"/>
  <c r="CG152" i="2159" s="1"/>
  <c r="T41" i="2159"/>
  <c r="CG153" i="2159" s="1"/>
  <c r="T46" i="2159"/>
  <c r="CG158" i="2159" s="1"/>
  <c r="AL54" i="2159"/>
  <c r="AM54" i="2159" s="1"/>
  <c r="BY158" i="2159" s="1"/>
  <c r="CD158" i="2159"/>
  <c r="T61" i="2159"/>
  <c r="CG173" i="2159" s="1"/>
  <c r="T67" i="2159"/>
  <c r="CG179" i="2159" s="1"/>
  <c r="AL71" i="2159"/>
  <c r="AM71" i="2159" s="1"/>
  <c r="BY175" i="2159" s="1"/>
  <c r="AL76" i="2159"/>
  <c r="AM76" i="2159" s="1"/>
  <c r="BY180" i="2159" s="1"/>
  <c r="T80" i="2159"/>
  <c r="T84" i="2159"/>
  <c r="CG196" i="2159" s="1"/>
  <c r="AL97" i="2159"/>
  <c r="AN97" i="2159" s="1"/>
  <c r="BZ201" i="2159" s="1"/>
  <c r="AL101" i="2159"/>
  <c r="AM101" i="2159" s="1"/>
  <c r="BY205" i="2159" s="1"/>
  <c r="Q55" i="2159"/>
  <c r="Q61" i="2159"/>
  <c r="Q69" i="2159"/>
  <c r="Q79" i="2159"/>
  <c r="Q63" i="2159"/>
  <c r="Q65" i="2159"/>
  <c r="Q95" i="2159"/>
  <c r="Q84" i="2159"/>
  <c r="Q92" i="2159"/>
  <c r="Q82" i="2159"/>
  <c r="Q90" i="2159"/>
  <c r="Q22" i="2159"/>
  <c r="Q24" i="2159"/>
  <c r="Q26" i="2159"/>
  <c r="Q46" i="2159"/>
  <c r="Q48" i="2159"/>
  <c r="Q50" i="2159"/>
  <c r="Q52" i="2159"/>
  <c r="Q54" i="2159"/>
  <c r="Q78" i="2159"/>
  <c r="Q80" i="2159"/>
  <c r="Q88" i="2159"/>
  <c r="Q81" i="2159"/>
  <c r="Q83" i="2159"/>
  <c r="Q85" i="2159"/>
  <c r="Q87" i="2159"/>
  <c r="Q89" i="2159"/>
  <c r="Q91" i="2159"/>
  <c r="Q93" i="2159"/>
  <c r="Q103" i="2159"/>
  <c r="Q71" i="2159"/>
  <c r="Q101" i="2159"/>
  <c r="Q105" i="2159"/>
  <c r="Q99" i="2159"/>
  <c r="Q42" i="2159"/>
  <c r="Q56" i="2159"/>
  <c r="Q60" i="2159"/>
  <c r="Q76" i="2159"/>
  <c r="Q28" i="2159"/>
  <c r="Q30" i="2159"/>
  <c r="Q32" i="2159"/>
  <c r="Q38" i="2159"/>
  <c r="Q58" i="2159"/>
  <c r="Q20" i="2159"/>
  <c r="Q34" i="2159"/>
  <c r="Q36" i="2159"/>
  <c r="Q44" i="2159"/>
  <c r="Q68" i="2159"/>
  <c r="Q70" i="2159"/>
  <c r="Q72" i="2159"/>
  <c r="T34" i="2159"/>
  <c r="CG146" i="2159" s="1"/>
  <c r="Q94" i="2159"/>
  <c r="AG83" i="2159"/>
  <c r="AH83" i="2159" s="1"/>
  <c r="BY84" i="2159" s="1"/>
  <c r="Q104" i="2159"/>
  <c r="Q102" i="2159"/>
  <c r="T59" i="2159"/>
  <c r="CG171" i="2159" s="1"/>
  <c r="BO177" i="2159"/>
  <c r="AG12" i="2159"/>
  <c r="AG14" i="2159"/>
  <c r="T87" i="2159"/>
  <c r="CG199" i="2159" s="1"/>
  <c r="BO203" i="2159"/>
  <c r="AG102" i="2159"/>
  <c r="BO179" i="2159"/>
  <c r="BO185" i="2159"/>
  <c r="BO189" i="2159"/>
  <c r="AS16" i="2159"/>
  <c r="AG16" i="2159"/>
  <c r="AG18" i="2159"/>
  <c r="G22" i="2159"/>
  <c r="CG31" i="2159" s="1"/>
  <c r="T27" i="2159"/>
  <c r="CG139" i="2159" s="1"/>
  <c r="BO232" i="2159"/>
  <c r="AL80" i="2159"/>
  <c r="AM80" i="2159" s="1"/>
  <c r="BY184" i="2159" s="1"/>
  <c r="G81" i="2159"/>
  <c r="CG90" i="2159" s="1"/>
  <c r="BO113" i="2159"/>
  <c r="BO193" i="2159"/>
  <c r="AS17" i="2159"/>
  <c r="AL22" i="2159"/>
  <c r="AN22" i="2159" s="1"/>
  <c r="BZ126" i="2159" s="1"/>
  <c r="AG7" i="2159"/>
  <c r="G11" i="2159"/>
  <c r="CG20" i="2159" s="1"/>
  <c r="T47" i="2159"/>
  <c r="CG159" i="2159" s="1"/>
  <c r="T52" i="2159"/>
  <c r="CG164" i="2159" s="1"/>
  <c r="AG99" i="2159"/>
  <c r="BO205" i="2159"/>
  <c r="BO252" i="2159"/>
  <c r="BO254" i="2159"/>
  <c r="T20" i="2159"/>
  <c r="CG132" i="2159" s="1"/>
  <c r="G21" i="2159"/>
  <c r="CG30" i="2159" s="1"/>
  <c r="T24" i="2159"/>
  <c r="CG136" i="2159" s="1"/>
  <c r="T32" i="2159"/>
  <c r="CG144" i="2159" s="1"/>
  <c r="T50" i="2159"/>
  <c r="CG162" i="2159" s="1"/>
  <c r="AG50" i="2159"/>
  <c r="AH50" i="2159" s="1"/>
  <c r="BY51" i="2159" s="1"/>
  <c r="AL63" i="2159"/>
  <c r="AN63" i="2159" s="1"/>
  <c r="BZ167" i="2159" s="1"/>
  <c r="G64" i="2159"/>
  <c r="CG73" i="2159" s="1"/>
  <c r="T76" i="2159"/>
  <c r="CG188" i="2159" s="1"/>
  <c r="T79" i="2159"/>
  <c r="CG191" i="2159" s="1"/>
  <c r="G96" i="2159"/>
  <c r="CG105" i="2159" s="1"/>
  <c r="T96" i="2159"/>
  <c r="CG208" i="2159" s="1"/>
  <c r="T102" i="2159"/>
  <c r="CG214" i="2159" s="1"/>
  <c r="AG98" i="2159"/>
  <c r="BO19" i="2159"/>
  <c r="T26" i="2159"/>
  <c r="CG138" i="2159" s="1"/>
  <c r="T33" i="2159"/>
  <c r="CG145" i="2159" s="1"/>
  <c r="T36" i="2159"/>
  <c r="CG148" i="2159" s="1"/>
  <c r="T54" i="2159"/>
  <c r="CG166" i="2159" s="1"/>
  <c r="G55" i="2159"/>
  <c r="CG64" i="2159" s="1"/>
  <c r="T56" i="2159"/>
  <c r="CG168" i="2159" s="1"/>
  <c r="T69" i="2159"/>
  <c r="CG181" i="2159" s="1"/>
  <c r="T78" i="2159"/>
  <c r="CG190" i="2159" s="1"/>
  <c r="T5" i="2159"/>
  <c r="CG117" i="2159" s="1"/>
  <c r="T7" i="2159"/>
  <c r="CG119" i="2159" s="1"/>
  <c r="AL12" i="2159"/>
  <c r="T14" i="2159"/>
  <c r="CG126" i="2159" s="1"/>
  <c r="T17" i="2159"/>
  <c r="CG129" i="2159" s="1"/>
  <c r="AL18" i="2159"/>
  <c r="BO18" i="2159"/>
  <c r="AG19" i="2159"/>
  <c r="AG28" i="2159"/>
  <c r="AL31" i="2159"/>
  <c r="AM31" i="2159" s="1"/>
  <c r="BY135" i="2159" s="1"/>
  <c r="T31" i="2159"/>
  <c r="CG143" i="2159" s="1"/>
  <c r="AG34" i="2159"/>
  <c r="G34" i="2159"/>
  <c r="CG43" i="2159" s="1"/>
  <c r="G10" i="2159"/>
  <c r="CG19" i="2159" s="1"/>
  <c r="AL23" i="2159"/>
  <c r="AN23" i="2159" s="1"/>
  <c r="BZ127" i="2159" s="1"/>
  <c r="AG24" i="2159"/>
  <c r="AL35" i="2159"/>
  <c r="AN35" i="2159" s="1"/>
  <c r="BZ139" i="2159" s="1"/>
  <c r="T35" i="2159"/>
  <c r="CG147" i="2159" s="1"/>
  <c r="AG42" i="2159"/>
  <c r="G42" i="2159"/>
  <c r="CG51" i="2159" s="1"/>
  <c r="G9" i="2159"/>
  <c r="CG18" i="2159" s="1"/>
  <c r="T28" i="2159"/>
  <c r="CG140" i="2159" s="1"/>
  <c r="T29" i="2159"/>
  <c r="CG141" i="2159" s="1"/>
  <c r="G30" i="2159"/>
  <c r="CG39" i="2159" s="1"/>
  <c r="T30" i="2159"/>
  <c r="CG142" i="2159" s="1"/>
  <c r="BO30" i="2159"/>
  <c r="AL60" i="2159"/>
  <c r="AL66" i="2159"/>
  <c r="AG84" i="2159"/>
  <c r="T95" i="2159"/>
  <c r="CG207" i="2159" s="1"/>
  <c r="T98" i="2159"/>
  <c r="CG210" i="2159" s="1"/>
  <c r="T99" i="2159"/>
  <c r="CG211" i="2159" s="1"/>
  <c r="T100" i="2159"/>
  <c r="CG212" i="2159" s="1"/>
  <c r="BO131" i="2159"/>
  <c r="BO150" i="2159"/>
  <c r="BO158" i="2159"/>
  <c r="BO164" i="2159"/>
  <c r="BO168" i="2159"/>
  <c r="BO175" i="2159"/>
  <c r="BO183" i="2159"/>
  <c r="BO197" i="2159"/>
  <c r="BO258" i="2159"/>
  <c r="AL41" i="2159"/>
  <c r="AN41" i="2159" s="1"/>
  <c r="BZ145" i="2159" s="1"/>
  <c r="AL43" i="2159"/>
  <c r="AN43" i="2159" s="1"/>
  <c r="BZ147" i="2159" s="1"/>
  <c r="AL46" i="2159"/>
  <c r="G48" i="2159"/>
  <c r="CG57" i="2159" s="1"/>
  <c r="G51" i="2159"/>
  <c r="CG60" i="2159" s="1"/>
  <c r="G54" i="2159"/>
  <c r="CG63" i="2159" s="1"/>
  <c r="G58" i="2159"/>
  <c r="CG67" i="2159" s="1"/>
  <c r="T65" i="2159"/>
  <c r="CG177" i="2159" s="1"/>
  <c r="AL67" i="2159"/>
  <c r="AN67" i="2159" s="1"/>
  <c r="BZ171" i="2159" s="1"/>
  <c r="G68" i="2159"/>
  <c r="CG77" i="2159" s="1"/>
  <c r="T72" i="2159"/>
  <c r="CG184" i="2159" s="1"/>
  <c r="T74" i="2159"/>
  <c r="CG186" i="2159" s="1"/>
  <c r="AL88" i="2159"/>
  <c r="AN88" i="2159" s="1"/>
  <c r="BZ192" i="2159" s="1"/>
  <c r="G90" i="2159"/>
  <c r="CG99" i="2159" s="1"/>
  <c r="T90" i="2159"/>
  <c r="CG202" i="2159" s="1"/>
  <c r="G91" i="2159"/>
  <c r="CG100" i="2159" s="1"/>
  <c r="T91" i="2159"/>
  <c r="CG203" i="2159" s="1"/>
  <c r="T103" i="2159"/>
  <c r="CG215" i="2159" s="1"/>
  <c r="G104" i="2159"/>
  <c r="CG113" i="2159" s="1"/>
  <c r="T104" i="2159"/>
  <c r="CG216" i="2159" s="1"/>
  <c r="AL84" i="2159"/>
  <c r="AN84" i="2159" s="1"/>
  <c r="BZ188" i="2159" s="1"/>
  <c r="AL86" i="2159"/>
  <c r="AN86" i="2159" s="1"/>
  <c r="BZ190" i="2159" s="1"/>
  <c r="BO213" i="2159"/>
  <c r="BO234" i="2159"/>
  <c r="BO236" i="2159"/>
  <c r="BO238" i="2159"/>
  <c r="BO241" i="2159"/>
  <c r="G43" i="2159"/>
  <c r="CG52" i="2159" s="1"/>
  <c r="AG46" i="2159"/>
  <c r="G53" i="2159"/>
  <c r="CG62" i="2159" s="1"/>
  <c r="T53" i="2159"/>
  <c r="CG165" i="2159" s="1"/>
  <c r="G57" i="2159"/>
  <c r="CG66" i="2159" s="1"/>
  <c r="AL58" i="2159"/>
  <c r="AN58" i="2159" s="1"/>
  <c r="BZ162" i="2159" s="1"/>
  <c r="AL61" i="2159"/>
  <c r="AM61" i="2159" s="1"/>
  <c r="BY165" i="2159" s="1"/>
  <c r="G62" i="2159"/>
  <c r="CG71" i="2159" s="1"/>
  <c r="G69" i="2159"/>
  <c r="CG78" i="2159" s="1"/>
  <c r="T70" i="2159"/>
  <c r="CG182" i="2159" s="1"/>
  <c r="T71" i="2159"/>
  <c r="CG183" i="2159" s="1"/>
  <c r="T73" i="2159"/>
  <c r="CG185" i="2159" s="1"/>
  <c r="T75" i="2159"/>
  <c r="CG187" i="2159" s="1"/>
  <c r="T77" i="2159"/>
  <c r="CG189" i="2159" s="1"/>
  <c r="AL83" i="2159"/>
  <c r="AM83" i="2159" s="1"/>
  <c r="BY187" i="2159" s="1"/>
  <c r="G87" i="2159"/>
  <c r="CG96" i="2159" s="1"/>
  <c r="AL92" i="2159"/>
  <c r="AM92" i="2159" s="1"/>
  <c r="BY196" i="2159" s="1"/>
  <c r="G94" i="2159"/>
  <c r="CG103" i="2159" s="1"/>
  <c r="T94" i="2159"/>
  <c r="CG206" i="2159" s="1"/>
  <c r="G97" i="2159"/>
  <c r="CG106" i="2159" s="1"/>
  <c r="T97" i="2159"/>
  <c r="CG209" i="2159" s="1"/>
  <c r="T101" i="2159"/>
  <c r="CG213" i="2159" s="1"/>
  <c r="CD195" i="2159"/>
  <c r="CG110" i="2159"/>
  <c r="G3" i="2159"/>
  <c r="CG12" i="2159" s="1"/>
  <c r="AG20" i="2159"/>
  <c r="AG29" i="2159"/>
  <c r="AG31" i="2159"/>
  <c r="G44" i="2159"/>
  <c r="CG53" i="2159" s="1"/>
  <c r="G47" i="2159"/>
  <c r="CG56" i="2159" s="1"/>
  <c r="G59" i="2159"/>
  <c r="CG68" i="2159" s="1"/>
  <c r="G65" i="2159"/>
  <c r="CG74" i="2159" s="1"/>
  <c r="G82" i="2159"/>
  <c r="CG91" i="2159" s="1"/>
  <c r="G85" i="2159"/>
  <c r="CG94" i="2159" s="1"/>
  <c r="G86" i="2159"/>
  <c r="CG95" i="2159" s="1"/>
  <c r="Q96" i="2159"/>
  <c r="Q97" i="2159"/>
  <c r="AG100" i="2159"/>
  <c r="G103" i="2159"/>
  <c r="CG112" i="2159" s="1"/>
  <c r="G105" i="2159"/>
  <c r="CG114" i="2159" s="1"/>
  <c r="AP18" i="2159"/>
  <c r="AG95" i="2159"/>
  <c r="AG101" i="2159"/>
  <c r="T6" i="2159"/>
  <c r="CG118" i="2159" s="1"/>
  <c r="T10" i="2159"/>
  <c r="CG122" i="2159" s="1"/>
  <c r="T16" i="2159"/>
  <c r="CG128" i="2159" s="1"/>
  <c r="Q37" i="2159"/>
  <c r="Q40" i="2159"/>
  <c r="Q77" i="2159"/>
  <c r="AP162" i="2159"/>
  <c r="N59" i="2159" s="1"/>
  <c r="AP170" i="2159"/>
  <c r="N67" i="2159" s="1"/>
  <c r="AP201" i="2159"/>
  <c r="N98" i="2159" s="1"/>
  <c r="Q100" i="2159"/>
  <c r="T4" i="2159"/>
  <c r="CG116" i="2159" s="1"/>
  <c r="Q74" i="2159"/>
  <c r="Q75" i="2159"/>
  <c r="D32" i="2159"/>
  <c r="AP32" i="2159"/>
  <c r="A32" i="2159" s="1"/>
  <c r="G33" i="2159"/>
  <c r="D44" i="2159"/>
  <c r="AP44" i="2159"/>
  <c r="A44" i="2159" s="1"/>
  <c r="AG45" i="2159"/>
  <c r="G45" i="2159"/>
  <c r="G52" i="2159"/>
  <c r="AG52" i="2159"/>
  <c r="AP55" i="2159"/>
  <c r="D55" i="2159"/>
  <c r="D57" i="2159"/>
  <c r="AP57" i="2159"/>
  <c r="A57" i="2159" s="1"/>
  <c r="AO93" i="2159"/>
  <c r="AO89" i="2159"/>
  <c r="AO105" i="2159"/>
  <c r="AO104" i="2159"/>
  <c r="AO103" i="2159"/>
  <c r="AO102" i="2159"/>
  <c r="AO101" i="2159"/>
  <c r="AO100" i="2159"/>
  <c r="AO99" i="2159"/>
  <c r="AO98" i="2159"/>
  <c r="AO97" i="2159"/>
  <c r="AO96" i="2159"/>
  <c r="AO95" i="2159"/>
  <c r="AO94" i="2159"/>
  <c r="AO90" i="2159"/>
  <c r="AO86" i="2159"/>
  <c r="AO85" i="2159"/>
  <c r="AO87" i="2159"/>
  <c r="AO84" i="2159"/>
  <c r="AO83" i="2159"/>
  <c r="AO82" i="2159"/>
  <c r="AO81" i="2159"/>
  <c r="AO80" i="2159"/>
  <c r="AO67" i="2159"/>
  <c r="AO63" i="2159"/>
  <c r="AO61" i="2159"/>
  <c r="AO68" i="2159"/>
  <c r="AO64" i="2159"/>
  <c r="AO58" i="2159"/>
  <c r="AO52" i="2159"/>
  <c r="AO92" i="2159"/>
  <c r="AO91" i="2159"/>
  <c r="AO88" i="2159"/>
  <c r="AO78" i="2159"/>
  <c r="AO77" i="2159"/>
  <c r="AO76" i="2159"/>
  <c r="AO75" i="2159"/>
  <c r="AO74" i="2159"/>
  <c r="AO73" i="2159"/>
  <c r="AO72" i="2159"/>
  <c r="AO71" i="2159"/>
  <c r="AO70" i="2159"/>
  <c r="AO69" i="2159"/>
  <c r="AO65" i="2159"/>
  <c r="AO59" i="2159"/>
  <c r="AO66" i="2159"/>
  <c r="AO51" i="2159"/>
  <c r="AO47" i="2159"/>
  <c r="AO43" i="2159"/>
  <c r="AO41" i="2159"/>
  <c r="AO33" i="2159"/>
  <c r="AO46" i="2159"/>
  <c r="AO42" i="2159"/>
  <c r="AO22" i="2159"/>
  <c r="AO20" i="2159"/>
  <c r="AO19" i="2159"/>
  <c r="AO62" i="2159"/>
  <c r="AO60" i="2159"/>
  <c r="AO56" i="2159"/>
  <c r="AO54" i="2159"/>
  <c r="AO53" i="2159"/>
  <c r="AO49" i="2159"/>
  <c r="AO45" i="2159"/>
  <c r="AO31" i="2159"/>
  <c r="AO30" i="2159"/>
  <c r="AO29" i="2159"/>
  <c r="AO28" i="2159"/>
  <c r="AO24" i="2159"/>
  <c r="AO21" i="2159"/>
  <c r="AO79" i="2159"/>
  <c r="BA14" i="2159"/>
  <c r="G5" i="2159"/>
  <c r="AL11" i="2159"/>
  <c r="T11" i="2159"/>
  <c r="G13" i="2159"/>
  <c r="G15" i="2159"/>
  <c r="T19" i="2159"/>
  <c r="T21" i="2159"/>
  <c r="AO23" i="2159"/>
  <c r="G25" i="2159"/>
  <c r="AO40" i="2159"/>
  <c r="G41" i="2159"/>
  <c r="AL48" i="2159"/>
  <c r="T48" i="2159"/>
  <c r="AO50" i="2159"/>
  <c r="AL68" i="2159"/>
  <c r="T68" i="2159"/>
  <c r="AL15" i="2159"/>
  <c r="T15" i="2159"/>
  <c r="AP17" i="2159"/>
  <c r="A17" i="2159" s="1"/>
  <c r="AP26" i="2159"/>
  <c r="A26" i="2159" s="1"/>
  <c r="AP27" i="2159"/>
  <c r="AG17" i="2159"/>
  <c r="G17" i="2159"/>
  <c r="CG27" i="2159"/>
  <c r="BO22" i="2159"/>
  <c r="AL25" i="2159"/>
  <c r="D26" i="2159"/>
  <c r="D27" i="2159"/>
  <c r="AO34" i="2159"/>
  <c r="AG35" i="2159"/>
  <c r="G35" i="2159"/>
  <c r="AO39" i="2159"/>
  <c r="AG40" i="2159"/>
  <c r="G40" i="2159"/>
  <c r="AL42" i="2159"/>
  <c r="T42" i="2159"/>
  <c r="AO48" i="2159"/>
  <c r="AG49" i="2159"/>
  <c r="G49" i="2159"/>
  <c r="AL13" i="2159"/>
  <c r="T13" i="2159"/>
  <c r="CG28" i="2159"/>
  <c r="BA9" i="2159"/>
  <c r="AQ17" i="2159"/>
  <c r="AL3" i="2159"/>
  <c r="G4" i="2159"/>
  <c r="G6" i="2159"/>
  <c r="AL8" i="2159"/>
  <c r="T8" i="2159"/>
  <c r="AG3" i="2159"/>
  <c r="AI22" i="2159" s="1"/>
  <c r="BZ23" i="2159" s="1"/>
  <c r="AQ16" i="2159"/>
  <c r="T3" i="2159"/>
  <c r="AG6" i="2159"/>
  <c r="G8" i="2159"/>
  <c r="BA8" i="2159"/>
  <c r="T9" i="2159"/>
  <c r="CG29" i="2159"/>
  <c r="G23" i="2159"/>
  <c r="AO25" i="2159"/>
  <c r="AG26" i="2159"/>
  <c r="G26" i="2159"/>
  <c r="AG27" i="2159"/>
  <c r="G27" i="2159"/>
  <c r="AG32" i="2159"/>
  <c r="G32" i="2159"/>
  <c r="AG33" i="2159"/>
  <c r="AO35" i="2159"/>
  <c r="AG36" i="2159"/>
  <c r="G36" i="2159"/>
  <c r="AO36" i="2159"/>
  <c r="AG37" i="2159"/>
  <c r="G37" i="2159"/>
  <c r="AO37" i="2159"/>
  <c r="AG38" i="2159"/>
  <c r="G38" i="2159"/>
  <c r="AO38" i="2159"/>
  <c r="AG39" i="2159"/>
  <c r="G39" i="2159"/>
  <c r="AH44" i="2159"/>
  <c r="BY45" i="2159" s="1"/>
  <c r="AL44" i="2159"/>
  <c r="T44" i="2159"/>
  <c r="CG55" i="2159"/>
  <c r="AN47" i="2159"/>
  <c r="BZ151" i="2159" s="1"/>
  <c r="AI56" i="2159"/>
  <c r="BZ57" i="2159" s="1"/>
  <c r="G80" i="2159"/>
  <c r="CG92" i="2159"/>
  <c r="BO125" i="2159"/>
  <c r="BA7" i="2159"/>
  <c r="AL37" i="2159"/>
  <c r="AL38" i="2159"/>
  <c r="AL39" i="2159"/>
  <c r="AL40" i="2159"/>
  <c r="G56" i="2159"/>
  <c r="G63" i="2159"/>
  <c r="AH65" i="2159"/>
  <c r="BY66" i="2159" s="1"/>
  <c r="CG75" i="2159"/>
  <c r="AG80" i="2159"/>
  <c r="AL82" i="2159"/>
  <c r="G88" i="2159"/>
  <c r="AG88" i="2159"/>
  <c r="T89" i="2159"/>
  <c r="AL89" i="2159"/>
  <c r="G92" i="2159"/>
  <c r="AG92" i="2159"/>
  <c r="T93" i="2159"/>
  <c r="AL93" i="2159"/>
  <c r="AH72" i="2159"/>
  <c r="BY73" i="2159" s="1"/>
  <c r="T45" i="2159"/>
  <c r="T49" i="2159"/>
  <c r="AL51" i="2159"/>
  <c r="T51" i="2159"/>
  <c r="CG69" i="2159"/>
  <c r="G61" i="2159"/>
  <c r="AL62" i="2159"/>
  <c r="T62" i="2159"/>
  <c r="BO62" i="2159"/>
  <c r="AG63" i="2159"/>
  <c r="AL64" i="2159"/>
  <c r="T64" i="2159"/>
  <c r="AI69" i="2159"/>
  <c r="BZ70" i="2159" s="1"/>
  <c r="AL81" i="2159"/>
  <c r="AL85" i="2159"/>
  <c r="AG89" i="2159"/>
  <c r="G89" i="2159"/>
  <c r="AG93" i="2159"/>
  <c r="G93" i="2159"/>
  <c r="AI94" i="2159"/>
  <c r="BZ95" i="2159" s="1"/>
  <c r="AP165" i="2159"/>
  <c r="N62" i="2159" s="1"/>
  <c r="Q62" i="2159"/>
  <c r="AL55" i="2159"/>
  <c r="T55" i="2159"/>
  <c r="AL57" i="2159"/>
  <c r="AH61" i="2159"/>
  <c r="BY62" i="2159" s="1"/>
  <c r="G67" i="2159"/>
  <c r="CG88" i="2159"/>
  <c r="CG192" i="2159"/>
  <c r="CG93" i="2159"/>
  <c r="AG60" i="2159"/>
  <c r="AG66" i="2159"/>
  <c r="AG79" i="2159"/>
  <c r="G70" i="2159"/>
  <c r="G71" i="2159"/>
  <c r="G72" i="2159"/>
  <c r="G73" i="2159"/>
  <c r="G74" i="2159"/>
  <c r="G75" i="2159"/>
  <c r="G76" i="2159"/>
  <c r="G77" i="2159"/>
  <c r="G78" i="2159"/>
  <c r="AH94" i="2159"/>
  <c r="BY95" i="2159" s="1"/>
  <c r="BO157" i="2159"/>
  <c r="BO141" i="2159"/>
  <c r="BO161" i="2159"/>
  <c r="BO169" i="2159"/>
  <c r="AL105" i="2159"/>
  <c r="BO152" i="2159"/>
  <c r="BO167" i="2159"/>
  <c r="BO178" i="2159"/>
  <c r="BO184" i="2159"/>
  <c r="BO198" i="2159"/>
  <c r="BO165" i="2159"/>
  <c r="BO173" i="2159"/>
  <c r="BO188" i="2159"/>
  <c r="BO163" i="2159"/>
  <c r="BO171" i="2159"/>
  <c r="BO176" i="2159"/>
  <c r="BO181" i="2159"/>
  <c r="BO194" i="2159"/>
  <c r="BO224" i="2159"/>
  <c r="BO195" i="2159"/>
  <c r="BO202" i="2159"/>
  <c r="BO208" i="2159"/>
  <c r="BO211" i="2159"/>
  <c r="BO218" i="2159"/>
  <c r="BO207" i="2159"/>
  <c r="BO229" i="2159"/>
  <c r="BO204" i="2159"/>
  <c r="BO216" i="2159"/>
  <c r="BO226" i="2159"/>
  <c r="BO237" i="2159"/>
  <c r="BO231" i="2159"/>
  <c r="BO223" i="2159"/>
  <c r="BO235" i="2159"/>
  <c r="BO247" i="2159"/>
  <c r="BO243" i="2159"/>
  <c r="CE104" i="2159" l="1"/>
  <c r="AM98" i="2159"/>
  <c r="BY202" i="2159" s="1"/>
  <c r="AN26" i="2159"/>
  <c r="BZ130" i="2159" s="1"/>
  <c r="AM97" i="2159"/>
  <c r="BY201" i="2159" s="1"/>
  <c r="AN104" i="2159"/>
  <c r="BZ208" i="2159" s="1"/>
  <c r="AN77" i="2159"/>
  <c r="BZ181" i="2159" s="1"/>
  <c r="AN56" i="2159"/>
  <c r="BZ160" i="2159" s="1"/>
  <c r="AN33" i="2159"/>
  <c r="BZ137" i="2159" s="1"/>
  <c r="AM29" i="2159"/>
  <c r="BY133" i="2159" s="1"/>
  <c r="AN71" i="2159"/>
  <c r="BZ175" i="2159" s="1"/>
  <c r="AN30" i="2159"/>
  <c r="BZ134" i="2159" s="1"/>
  <c r="AM50" i="2159"/>
  <c r="BY154" i="2159" s="1"/>
  <c r="AN101" i="2159"/>
  <c r="BZ205" i="2159" s="1"/>
  <c r="AN65" i="2159"/>
  <c r="BZ169" i="2159" s="1"/>
  <c r="AM6" i="2159"/>
  <c r="BY110" i="2159" s="1"/>
  <c r="AN75" i="2159"/>
  <c r="BZ179" i="2159" s="1"/>
  <c r="AN34" i="2159"/>
  <c r="BZ138" i="2159" s="1"/>
  <c r="AN100" i="2159"/>
  <c r="BZ204" i="2159" s="1"/>
  <c r="AN27" i="2159"/>
  <c r="BZ131" i="2159" s="1"/>
  <c r="AM79" i="2159"/>
  <c r="BY183" i="2159" s="1"/>
  <c r="AN76" i="2159"/>
  <c r="BZ180" i="2159" s="1"/>
  <c r="AM32" i="2159"/>
  <c r="BY136" i="2159" s="1"/>
  <c r="AN70" i="2159"/>
  <c r="BZ174" i="2159" s="1"/>
  <c r="AM59" i="2159"/>
  <c r="BY163" i="2159" s="1"/>
  <c r="AN72" i="2159"/>
  <c r="BZ176" i="2159" s="1"/>
  <c r="AN61" i="2159"/>
  <c r="BZ165" i="2159" s="1"/>
  <c r="AM53" i="2159"/>
  <c r="BY157" i="2159" s="1"/>
  <c r="AN74" i="2159"/>
  <c r="BZ178" i="2159" s="1"/>
  <c r="AM19" i="2159"/>
  <c r="BY123" i="2159" s="1"/>
  <c r="AM36" i="2159"/>
  <c r="BY140" i="2159" s="1"/>
  <c r="AN54" i="2159"/>
  <c r="BZ158" i="2159" s="1"/>
  <c r="AN49" i="2159"/>
  <c r="BZ153" i="2159" s="1"/>
  <c r="AM90" i="2159"/>
  <c r="BY194" i="2159" s="1"/>
  <c r="AM94" i="2159"/>
  <c r="BY198" i="2159" s="1"/>
  <c r="AN73" i="2159"/>
  <c r="BZ177" i="2159" s="1"/>
  <c r="AN52" i="2159"/>
  <c r="BZ156" i="2159" s="1"/>
  <c r="AN45" i="2159"/>
  <c r="BZ149" i="2159" s="1"/>
  <c r="AM24" i="2159"/>
  <c r="BY128" i="2159" s="1"/>
  <c r="AN28" i="2159"/>
  <c r="BZ132" i="2159" s="1"/>
  <c r="AN96" i="2159"/>
  <c r="BZ200" i="2159" s="1"/>
  <c r="BF19" i="2159"/>
  <c r="BE19" i="2159"/>
  <c r="AY2" i="2159"/>
  <c r="AN20" i="2159"/>
  <c r="BZ124" i="2159" s="1"/>
  <c r="AW2" i="2159"/>
  <c r="AN21" i="2159"/>
  <c r="BZ125" i="2159" s="1"/>
  <c r="A55" i="2159"/>
  <c r="CD56" i="2159" s="1"/>
  <c r="A27" i="2159"/>
  <c r="CD28" i="2159" s="1"/>
  <c r="A18" i="2159"/>
  <c r="BO25" i="2159"/>
  <c r="AN80" i="2159"/>
  <c r="BZ184" i="2159" s="1"/>
  <c r="AM63" i="2159"/>
  <c r="BY167" i="2159" s="1"/>
  <c r="AN103" i="2159"/>
  <c r="BZ207" i="2159" s="1"/>
  <c r="AN99" i="2159"/>
  <c r="BZ203" i="2159" s="1"/>
  <c r="AN91" i="2159"/>
  <c r="BZ195" i="2159" s="1"/>
  <c r="CE105" i="2159"/>
  <c r="AM87" i="2159"/>
  <c r="BY191" i="2159" s="1"/>
  <c r="AN69" i="2159"/>
  <c r="BZ173" i="2159" s="1"/>
  <c r="AN92" i="2159"/>
  <c r="BZ196" i="2159" s="1"/>
  <c r="AM21" i="2159"/>
  <c r="BY125" i="2159" s="1"/>
  <c r="AU17" i="2159"/>
  <c r="AN31" i="2159"/>
  <c r="BZ135" i="2159" s="1"/>
  <c r="AN78" i="2159"/>
  <c r="BZ182" i="2159" s="1"/>
  <c r="AM88" i="2159"/>
  <c r="BY192" i="2159" s="1"/>
  <c r="AN102" i="2159"/>
  <c r="BZ206" i="2159" s="1"/>
  <c r="AM23" i="2159"/>
  <c r="BY127" i="2159" s="1"/>
  <c r="BG15" i="2159"/>
  <c r="AM86" i="2159"/>
  <c r="BY190" i="2159" s="1"/>
  <c r="AN95" i="2159"/>
  <c r="BZ199" i="2159" s="1"/>
  <c r="AM41" i="2159"/>
  <c r="BY145" i="2159" s="1"/>
  <c r="CD163" i="2159"/>
  <c r="CD202" i="2159"/>
  <c r="CE101" i="2159"/>
  <c r="CD171" i="2159"/>
  <c r="CD166" i="2159"/>
  <c r="BG10" i="2159"/>
  <c r="AM35" i="2159"/>
  <c r="BY139" i="2159" s="1"/>
  <c r="AN83" i="2159"/>
  <c r="BZ187" i="2159" s="1"/>
  <c r="AM22" i="2159"/>
  <c r="BY126" i="2159" s="1"/>
  <c r="CE106" i="2159"/>
  <c r="AM67" i="2159"/>
  <c r="BY171" i="2159" s="1"/>
  <c r="BG11" i="2159"/>
  <c r="AM58" i="2159"/>
  <c r="BY162" i="2159" s="1"/>
  <c r="AM43" i="2159"/>
  <c r="BY147" i="2159" s="1"/>
  <c r="CE102" i="2159"/>
  <c r="AM84" i="2159"/>
  <c r="BY188" i="2159" s="1"/>
  <c r="CE100" i="2159"/>
  <c r="CE186" i="2159"/>
  <c r="CE103" i="2159"/>
  <c r="CE181" i="2159"/>
  <c r="CE203" i="2159"/>
  <c r="CE191" i="2159"/>
  <c r="CE87" i="2159"/>
  <c r="CE88" i="2159"/>
  <c r="CE178" i="2159"/>
  <c r="CE165" i="2159"/>
  <c r="BG16" i="2159"/>
  <c r="CE187" i="2159"/>
  <c r="CE137" i="2159"/>
  <c r="CE135" i="2159"/>
  <c r="CE145" i="2159"/>
  <c r="AN46" i="2159"/>
  <c r="BZ150" i="2159" s="1"/>
  <c r="AM46" i="2159"/>
  <c r="BY150" i="2159" s="1"/>
  <c r="CE206" i="2159"/>
  <c r="CE182" i="2159"/>
  <c r="CE179" i="2159"/>
  <c r="CE138" i="2159"/>
  <c r="CE142" i="2159"/>
  <c r="CE144" i="2159"/>
  <c r="AM66" i="2159"/>
  <c r="BY170" i="2159" s="1"/>
  <c r="AN66" i="2159"/>
  <c r="BZ170" i="2159" s="1"/>
  <c r="CE208" i="2159"/>
  <c r="CE205" i="2159"/>
  <c r="CE209" i="2159"/>
  <c r="CE185" i="2159"/>
  <c r="CE143" i="2159"/>
  <c r="CE192" i="2159"/>
  <c r="CE207" i="2159"/>
  <c r="CE204" i="2159"/>
  <c r="CE190" i="2159"/>
  <c r="CE184" i="2159"/>
  <c r="CE134" i="2159"/>
  <c r="CE139" i="2159"/>
  <c r="CE132" i="2159"/>
  <c r="BG12" i="2159"/>
  <c r="AM60" i="2159"/>
  <c r="BY164" i="2159" s="1"/>
  <c r="AN60" i="2159"/>
  <c r="BZ164" i="2159" s="1"/>
  <c r="BG14" i="2159"/>
  <c r="BA17" i="2159"/>
  <c r="BO27" i="2159"/>
  <c r="CD18" i="2159"/>
  <c r="AN93" i="2159"/>
  <c r="BZ197" i="2159" s="1"/>
  <c r="AM93" i="2159"/>
  <c r="BY197" i="2159" s="1"/>
  <c r="CG65" i="2159"/>
  <c r="CE61" i="2159" s="1"/>
  <c r="AN38" i="2159"/>
  <c r="BZ142" i="2159" s="1"/>
  <c r="AM38" i="2159"/>
  <c r="BY142" i="2159" s="1"/>
  <c r="CG115" i="2159"/>
  <c r="CE107" i="2159" s="1"/>
  <c r="CG125" i="2159"/>
  <c r="D39" i="2159"/>
  <c r="AP39" i="2159"/>
  <c r="A39" i="2159" s="1"/>
  <c r="AI4" i="2159"/>
  <c r="BZ5" i="2159" s="1"/>
  <c r="AI34" i="2159"/>
  <c r="BZ35" i="2159" s="1"/>
  <c r="CG34" i="2159"/>
  <c r="AH16" i="2159"/>
  <c r="BY17" i="2159" s="1"/>
  <c r="AH14" i="2159"/>
  <c r="BY15" i="2159" s="1"/>
  <c r="AP31" i="2159"/>
  <c r="A31" i="2159" s="1"/>
  <c r="D31" i="2159"/>
  <c r="D43" i="2159"/>
  <c r="AP43" i="2159"/>
  <c r="A43" i="2159" s="1"/>
  <c r="AP71" i="2159"/>
  <c r="A71" i="2159" s="1"/>
  <c r="D71" i="2159"/>
  <c r="AP75" i="2159"/>
  <c r="A75" i="2159" s="1"/>
  <c r="D75" i="2159"/>
  <c r="D58" i="2159"/>
  <c r="AP58" i="2159"/>
  <c r="A58" i="2159" s="1"/>
  <c r="D63" i="2159"/>
  <c r="AP63" i="2159"/>
  <c r="A63" i="2159" s="1"/>
  <c r="D82" i="2159"/>
  <c r="AP82" i="2159"/>
  <c r="A82" i="2159" s="1"/>
  <c r="AP95" i="2159"/>
  <c r="A95" i="2159" s="1"/>
  <c r="D95" i="2159"/>
  <c r="AP99" i="2159"/>
  <c r="A99" i="2159" s="1"/>
  <c r="D99" i="2159"/>
  <c r="AP103" i="2159"/>
  <c r="A103" i="2159" s="1"/>
  <c r="D103" i="2159"/>
  <c r="D93" i="2159"/>
  <c r="AP93" i="2159"/>
  <c r="A93" i="2159" s="1"/>
  <c r="AH59" i="2159"/>
  <c r="BY60" i="2159" s="1"/>
  <c r="AI52" i="2159"/>
  <c r="BZ53" i="2159" s="1"/>
  <c r="AH52" i="2159"/>
  <c r="BY53" i="2159" s="1"/>
  <c r="AI46" i="2159"/>
  <c r="BZ47" i="2159" s="1"/>
  <c r="CG54" i="2159"/>
  <c r="CE49" i="2159" s="1"/>
  <c r="AN7" i="2159"/>
  <c r="BZ111" i="2159" s="1"/>
  <c r="AH25" i="2159"/>
  <c r="BY26" i="2159" s="1"/>
  <c r="BA15" i="2159"/>
  <c r="AH22" i="2159"/>
  <c r="BY23" i="2159" s="1"/>
  <c r="CE180" i="2159"/>
  <c r="AI91" i="2159"/>
  <c r="BZ92" i="2159" s="1"/>
  <c r="AH86" i="2159"/>
  <c r="BY87" i="2159" s="1"/>
  <c r="CG87" i="2159"/>
  <c r="CG85" i="2159"/>
  <c r="CG83" i="2159"/>
  <c r="CG81" i="2159"/>
  <c r="CG79" i="2159"/>
  <c r="AI66" i="2159"/>
  <c r="BZ67" i="2159" s="1"/>
  <c r="AH66" i="2159"/>
  <c r="BY67" i="2159" s="1"/>
  <c r="AH105" i="2159"/>
  <c r="BY106" i="2159" s="1"/>
  <c r="AH75" i="2159"/>
  <c r="BY76" i="2159" s="1"/>
  <c r="AH71" i="2159"/>
  <c r="BY72" i="2159" s="1"/>
  <c r="AH62" i="2159"/>
  <c r="BY63" i="2159" s="1"/>
  <c r="AI61" i="2159"/>
  <c r="BZ62" i="2159" s="1"/>
  <c r="CG102" i="2159"/>
  <c r="AH90" i="2159"/>
  <c r="BY91" i="2159" s="1"/>
  <c r="AI86" i="2159"/>
  <c r="BZ87" i="2159" s="1"/>
  <c r="AI83" i="2159"/>
  <c r="BZ84" i="2159" s="1"/>
  <c r="AH78" i="2159"/>
  <c r="BY79" i="2159" s="1"/>
  <c r="AH69" i="2159"/>
  <c r="BY70" i="2159" s="1"/>
  <c r="CG176" i="2159"/>
  <c r="AI63" i="2159"/>
  <c r="BZ64" i="2159" s="1"/>
  <c r="AH63" i="2159"/>
  <c r="BY64" i="2159" s="1"/>
  <c r="CG174" i="2159"/>
  <c r="CE167" i="2159" s="1"/>
  <c r="CG163" i="2159"/>
  <c r="CG205" i="2159"/>
  <c r="AN89" i="2159"/>
  <c r="BZ193" i="2159" s="1"/>
  <c r="AM89" i="2159"/>
  <c r="BY193" i="2159" s="1"/>
  <c r="AI88" i="2159"/>
  <c r="BZ89" i="2159" s="1"/>
  <c r="AH88" i="2159"/>
  <c r="BY89" i="2159" s="1"/>
  <c r="AH87" i="2159"/>
  <c r="BY88" i="2159" s="1"/>
  <c r="AH84" i="2159"/>
  <c r="BY85" i="2159" s="1"/>
  <c r="AI80" i="2159"/>
  <c r="BZ81" i="2159" s="1"/>
  <c r="AH80" i="2159"/>
  <c r="BY81" i="2159" s="1"/>
  <c r="AH77" i="2159"/>
  <c r="BY78" i="2159" s="1"/>
  <c r="AH73" i="2159"/>
  <c r="BY74" i="2159" s="1"/>
  <c r="AN37" i="2159"/>
  <c r="BZ141" i="2159" s="1"/>
  <c r="AM37" i="2159"/>
  <c r="BY141" i="2159" s="1"/>
  <c r="AH85" i="2159"/>
  <c r="BY86" i="2159" s="1"/>
  <c r="CG89" i="2159"/>
  <c r="CE85" i="2159" s="1"/>
  <c r="AH67" i="2159"/>
  <c r="BY68" i="2159" s="1"/>
  <c r="AH56" i="2159"/>
  <c r="BY57" i="2159" s="1"/>
  <c r="AI44" i="2159"/>
  <c r="BZ45" i="2159" s="1"/>
  <c r="AI39" i="2159"/>
  <c r="BZ40" i="2159" s="1"/>
  <c r="AH39" i="2159"/>
  <c r="BY40" i="2159" s="1"/>
  <c r="AI37" i="2159"/>
  <c r="BZ38" i="2159" s="1"/>
  <c r="AH37" i="2159"/>
  <c r="BY38" i="2159" s="1"/>
  <c r="AI36" i="2159"/>
  <c r="BZ37" i="2159" s="1"/>
  <c r="AH36" i="2159"/>
  <c r="BY37" i="2159" s="1"/>
  <c r="CD33" i="2159"/>
  <c r="BO50" i="2159"/>
  <c r="CE133" i="2159"/>
  <c r="AH27" i="2159"/>
  <c r="BY28" i="2159" s="1"/>
  <c r="AI27" i="2159"/>
  <c r="BZ28" i="2159" s="1"/>
  <c r="CG35" i="2159"/>
  <c r="AN16" i="2159"/>
  <c r="BZ120" i="2159" s="1"/>
  <c r="AM14" i="2159"/>
  <c r="BY118" i="2159" s="1"/>
  <c r="AI6" i="2159"/>
  <c r="BZ7" i="2159" s="1"/>
  <c r="AH6" i="2159"/>
  <c r="BY7" i="2159" s="1"/>
  <c r="BG18" i="2159"/>
  <c r="BG17" i="2159"/>
  <c r="BG9" i="2159"/>
  <c r="AN8" i="2159"/>
  <c r="BZ112" i="2159" s="1"/>
  <c r="AM8" i="2159"/>
  <c r="BY112" i="2159" s="1"/>
  <c r="AM4" i="2159"/>
  <c r="BY108" i="2159" s="1"/>
  <c r="AN3" i="2159"/>
  <c r="BZ107" i="2159" s="1"/>
  <c r="AM3" i="2159"/>
  <c r="BY107" i="2159" s="1"/>
  <c r="AM13" i="2159"/>
  <c r="BY117" i="2159" s="1"/>
  <c r="AN13" i="2159"/>
  <c r="BZ117" i="2159" s="1"/>
  <c r="AI58" i="2159"/>
  <c r="BZ59" i="2159" s="1"/>
  <c r="AH53" i="2159"/>
  <c r="BY54" i="2159" s="1"/>
  <c r="AH49" i="2159"/>
  <c r="BY50" i="2159" s="1"/>
  <c r="AI49" i="2159"/>
  <c r="BZ50" i="2159" s="1"/>
  <c r="AI43" i="2159"/>
  <c r="BZ44" i="2159" s="1"/>
  <c r="AN42" i="2159"/>
  <c r="BZ146" i="2159" s="1"/>
  <c r="AM42" i="2159"/>
  <c r="BY146" i="2159" s="1"/>
  <c r="AI41" i="2159"/>
  <c r="BZ42" i="2159" s="1"/>
  <c r="AI35" i="2159"/>
  <c r="BZ36" i="2159" s="1"/>
  <c r="AH35" i="2159"/>
  <c r="BY36" i="2159" s="1"/>
  <c r="AN25" i="2159"/>
  <c r="BZ129" i="2159" s="1"/>
  <c r="AM25" i="2159"/>
  <c r="BY129" i="2159" s="1"/>
  <c r="AM18" i="2159"/>
  <c r="BY122" i="2159" s="1"/>
  <c r="AH9" i="2159"/>
  <c r="BY10" i="2159" s="1"/>
  <c r="AI19" i="2159"/>
  <c r="BZ20" i="2159" s="1"/>
  <c r="BA12" i="2159"/>
  <c r="CG180" i="2159"/>
  <c r="CE175" i="2159" s="1"/>
  <c r="AI54" i="2159"/>
  <c r="BZ55" i="2159" s="1"/>
  <c r="AP50" i="2159"/>
  <c r="A50" i="2159" s="1"/>
  <c r="D50" i="2159"/>
  <c r="CG160" i="2159"/>
  <c r="CG133" i="2159"/>
  <c r="CE129" i="2159" s="1"/>
  <c r="AM17" i="2159"/>
  <c r="BY121" i="2159" s="1"/>
  <c r="AI16" i="2159"/>
  <c r="BZ17" i="2159" s="1"/>
  <c r="AI15" i="2159"/>
  <c r="BZ16" i="2159" s="1"/>
  <c r="AI14" i="2159"/>
  <c r="BZ15" i="2159" s="1"/>
  <c r="AI13" i="2159"/>
  <c r="BZ14" i="2159" s="1"/>
  <c r="AH12" i="2159"/>
  <c r="BY13" i="2159" s="1"/>
  <c r="BO29" i="2159"/>
  <c r="AP79" i="2159"/>
  <c r="A79" i="2159" s="1"/>
  <c r="D79" i="2159"/>
  <c r="AP28" i="2159"/>
  <c r="A28" i="2159" s="1"/>
  <c r="D28" i="2159"/>
  <c r="D45" i="2159"/>
  <c r="AP45" i="2159"/>
  <c r="A45" i="2159" s="1"/>
  <c r="AP56" i="2159"/>
  <c r="A56" i="2159" s="1"/>
  <c r="D56" i="2159"/>
  <c r="D19" i="2159"/>
  <c r="AP19" i="2159"/>
  <c r="A19" i="2159" s="1"/>
  <c r="AP46" i="2159"/>
  <c r="A46" i="2159" s="1"/>
  <c r="D46" i="2159"/>
  <c r="D47" i="2159"/>
  <c r="AP47" i="2159"/>
  <c r="A47" i="2159" s="1"/>
  <c r="AP65" i="2159"/>
  <c r="A65" i="2159" s="1"/>
  <c r="D65" i="2159"/>
  <c r="AP72" i="2159"/>
  <c r="A72" i="2159" s="1"/>
  <c r="D72" i="2159"/>
  <c r="AP76" i="2159"/>
  <c r="A76" i="2159" s="1"/>
  <c r="D76" i="2159"/>
  <c r="AP91" i="2159"/>
  <c r="A91" i="2159" s="1"/>
  <c r="D91" i="2159"/>
  <c r="AP64" i="2159"/>
  <c r="A64" i="2159" s="1"/>
  <c r="D64" i="2159"/>
  <c r="D67" i="2159"/>
  <c r="AP67" i="2159"/>
  <c r="A67" i="2159" s="1"/>
  <c r="D83" i="2159"/>
  <c r="AP83" i="2159"/>
  <c r="A83" i="2159" s="1"/>
  <c r="AP86" i="2159"/>
  <c r="A86" i="2159" s="1"/>
  <c r="D86" i="2159"/>
  <c r="AP96" i="2159"/>
  <c r="A96" i="2159" s="1"/>
  <c r="D96" i="2159"/>
  <c r="AP100" i="2159"/>
  <c r="A100" i="2159" s="1"/>
  <c r="D100" i="2159"/>
  <c r="AP104" i="2159"/>
  <c r="A104" i="2159" s="1"/>
  <c r="D104" i="2159"/>
  <c r="CD58" i="2159"/>
  <c r="BO82" i="2159"/>
  <c r="AH45" i="2159"/>
  <c r="BY46" i="2159" s="1"/>
  <c r="AI45" i="2159"/>
  <c r="BZ46" i="2159" s="1"/>
  <c r="AI25" i="2159"/>
  <c r="BZ26" i="2159" s="1"/>
  <c r="AH23" i="2159"/>
  <c r="BY24" i="2159" s="1"/>
  <c r="AI89" i="2159"/>
  <c r="BZ90" i="2159" s="1"/>
  <c r="AH89" i="2159"/>
  <c r="BY90" i="2159" s="1"/>
  <c r="CG161" i="2159"/>
  <c r="CE136" i="2159"/>
  <c r="AI92" i="2159"/>
  <c r="BZ93" i="2159" s="1"/>
  <c r="AH92" i="2159"/>
  <c r="BY93" i="2159" s="1"/>
  <c r="CG46" i="2159"/>
  <c r="CG45" i="2159"/>
  <c r="BO8" i="2159"/>
  <c r="CD27" i="2159"/>
  <c r="D25" i="2159"/>
  <c r="AP25" i="2159"/>
  <c r="A25" i="2159" s="1"/>
  <c r="CG32" i="2159"/>
  <c r="AH104" i="2159"/>
  <c r="BY105" i="2159" s="1"/>
  <c r="AH103" i="2159"/>
  <c r="BY104" i="2159" s="1"/>
  <c r="AH102" i="2159"/>
  <c r="BY103" i="2159" s="1"/>
  <c r="AH101" i="2159"/>
  <c r="BY102" i="2159" s="1"/>
  <c r="AH100" i="2159"/>
  <c r="BY101" i="2159" s="1"/>
  <c r="AH99" i="2159"/>
  <c r="BY100" i="2159" s="1"/>
  <c r="AI102" i="2159"/>
  <c r="BZ103" i="2159" s="1"/>
  <c r="AH98" i="2159"/>
  <c r="BY99" i="2159" s="1"/>
  <c r="AH97" i="2159"/>
  <c r="BY98" i="2159" s="1"/>
  <c r="AI96" i="2159"/>
  <c r="BZ97" i="2159" s="1"/>
  <c r="AI95" i="2159"/>
  <c r="BZ96" i="2159" s="1"/>
  <c r="AI90" i="2159"/>
  <c r="BZ91" i="2159" s="1"/>
  <c r="AI87" i="2159"/>
  <c r="BZ88" i="2159" s="1"/>
  <c r="AI104" i="2159"/>
  <c r="BZ105" i="2159" s="1"/>
  <c r="AI103" i="2159"/>
  <c r="BZ104" i="2159" s="1"/>
  <c r="AI99" i="2159"/>
  <c r="BZ100" i="2159" s="1"/>
  <c r="AH96" i="2159"/>
  <c r="BY97" i="2159" s="1"/>
  <c r="AH95" i="2159"/>
  <c r="BY96" i="2159" s="1"/>
  <c r="AI105" i="2159"/>
  <c r="BZ106" i="2159" s="1"/>
  <c r="AI100" i="2159"/>
  <c r="BZ101" i="2159" s="1"/>
  <c r="AI78" i="2159"/>
  <c r="BZ79" i="2159" s="1"/>
  <c r="AI74" i="2159"/>
  <c r="BZ75" i="2159" s="1"/>
  <c r="AI70" i="2159"/>
  <c r="BZ71" i="2159" s="1"/>
  <c r="AI59" i="2159"/>
  <c r="BZ60" i="2159" s="1"/>
  <c r="AI51" i="2159"/>
  <c r="BZ52" i="2159" s="1"/>
  <c r="AH31" i="2159"/>
  <c r="BY32" i="2159" s="1"/>
  <c r="AH30" i="2159"/>
  <c r="BY31" i="2159" s="1"/>
  <c r="AI97" i="2159"/>
  <c r="BZ98" i="2159" s="1"/>
  <c r="AI71" i="2159"/>
  <c r="BZ72" i="2159" s="1"/>
  <c r="AI101" i="2159"/>
  <c r="BZ102" i="2159" s="1"/>
  <c r="AH64" i="2159"/>
  <c r="BY65" i="2159" s="1"/>
  <c r="AI98" i="2159"/>
  <c r="BZ99" i="2159" s="1"/>
  <c r="AI75" i="2159"/>
  <c r="BZ76" i="2159" s="1"/>
  <c r="AI50" i="2159"/>
  <c r="BZ51" i="2159" s="1"/>
  <c r="AN17" i="2159"/>
  <c r="BZ121" i="2159" s="1"/>
  <c r="AI3" i="2159"/>
  <c r="BZ4" i="2159" s="1"/>
  <c r="AI30" i="2159"/>
  <c r="BZ31" i="2159" s="1"/>
  <c r="AH24" i="2159"/>
  <c r="BY25" i="2159" s="1"/>
  <c r="AI55" i="2159"/>
  <c r="BZ56" i="2159" s="1"/>
  <c r="AI29" i="2159"/>
  <c r="BZ30" i="2159" s="1"/>
  <c r="AI11" i="2159"/>
  <c r="BZ12" i="2159" s="1"/>
  <c r="AH28" i="2159"/>
  <c r="BY29" i="2159" s="1"/>
  <c r="AI21" i="2159"/>
  <c r="BZ22" i="2159" s="1"/>
  <c r="AH20" i="2159"/>
  <c r="BY21" i="2159" s="1"/>
  <c r="AH46" i="2159"/>
  <c r="BY47" i="2159" s="1"/>
  <c r="AH29" i="2159"/>
  <c r="BY30" i="2159" s="1"/>
  <c r="AI28" i="2159"/>
  <c r="BZ29" i="2159" s="1"/>
  <c r="AI24" i="2159"/>
  <c r="BZ25" i="2159" s="1"/>
  <c r="AH3" i="2159"/>
  <c r="BY4" i="2159" s="1"/>
  <c r="AH42" i="2159"/>
  <c r="BY43" i="2159" s="1"/>
  <c r="AI31" i="2159"/>
  <c r="BZ32" i="2159" s="1"/>
  <c r="AN9" i="2159"/>
  <c r="BZ113" i="2159" s="1"/>
  <c r="CG15" i="2159"/>
  <c r="CG154" i="2159"/>
  <c r="CE146" i="2159" s="1"/>
  <c r="AI9" i="2159"/>
  <c r="BZ10" i="2159" s="1"/>
  <c r="AM15" i="2159"/>
  <c r="BY119" i="2159" s="1"/>
  <c r="AN15" i="2159"/>
  <c r="BZ119" i="2159" s="1"/>
  <c r="AI72" i="2159"/>
  <c r="BZ73" i="2159" s="1"/>
  <c r="AI68" i="2159"/>
  <c r="BZ69" i="2159" s="1"/>
  <c r="BA13" i="2159"/>
  <c r="AN5" i="2159"/>
  <c r="BZ109" i="2159" s="1"/>
  <c r="AP24" i="2159"/>
  <c r="A24" i="2159" s="1"/>
  <c r="D24" i="2159"/>
  <c r="D54" i="2159"/>
  <c r="AP54" i="2159"/>
  <c r="A54" i="2159" s="1"/>
  <c r="AP42" i="2159"/>
  <c r="A42" i="2159" s="1"/>
  <c r="D42" i="2159"/>
  <c r="AP59" i="2159"/>
  <c r="A59" i="2159" s="1"/>
  <c r="D59" i="2159"/>
  <c r="D88" i="2159"/>
  <c r="AP88" i="2159"/>
  <c r="A88" i="2159" s="1"/>
  <c r="AP85" i="2159"/>
  <c r="A85" i="2159" s="1"/>
  <c r="D85" i="2159"/>
  <c r="CE183" i="2159"/>
  <c r="AH91" i="2159"/>
  <c r="BY92" i="2159" s="1"/>
  <c r="AH60" i="2159"/>
  <c r="BY61" i="2159" s="1"/>
  <c r="AI60" i="2159"/>
  <c r="BZ61" i="2159" s="1"/>
  <c r="AH82" i="2159"/>
  <c r="BY83" i="2159" s="1"/>
  <c r="CG76" i="2159"/>
  <c r="AI62" i="2159"/>
  <c r="BZ63" i="2159" s="1"/>
  <c r="AN57" i="2159"/>
  <c r="BZ161" i="2159" s="1"/>
  <c r="AM57" i="2159"/>
  <c r="BY161" i="2159" s="1"/>
  <c r="CG167" i="2159"/>
  <c r="CG98" i="2159"/>
  <c r="AN85" i="2159"/>
  <c r="BZ189" i="2159" s="1"/>
  <c r="AM85" i="2159"/>
  <c r="BY189" i="2159" s="1"/>
  <c r="CE188" i="2159"/>
  <c r="AN81" i="2159"/>
  <c r="BZ185" i="2159" s="1"/>
  <c r="AM81" i="2159"/>
  <c r="BY185" i="2159" s="1"/>
  <c r="AH74" i="2159"/>
  <c r="BY75" i="2159" s="1"/>
  <c r="AH70" i="2159"/>
  <c r="BY71" i="2159" s="1"/>
  <c r="AN64" i="2159"/>
  <c r="BZ168" i="2159" s="1"/>
  <c r="AM64" i="2159"/>
  <c r="BY168" i="2159" s="1"/>
  <c r="AN62" i="2159"/>
  <c r="BZ166" i="2159" s="1"/>
  <c r="AM62" i="2159"/>
  <c r="BY166" i="2159" s="1"/>
  <c r="AN51" i="2159"/>
  <c r="BZ155" i="2159" s="1"/>
  <c r="AM51" i="2159"/>
  <c r="BY155" i="2159" s="1"/>
  <c r="CE140" i="2159"/>
  <c r="CE131" i="2159"/>
  <c r="CG101" i="2159"/>
  <c r="CG201" i="2159"/>
  <c r="CE196" i="2159" s="1"/>
  <c r="CE189" i="2159"/>
  <c r="AI84" i="2159"/>
  <c r="BZ85" i="2159" s="1"/>
  <c r="BO76" i="2159"/>
  <c r="CG72" i="2159"/>
  <c r="AN40" i="2159"/>
  <c r="BZ144" i="2159" s="1"/>
  <c r="AM40" i="2159"/>
  <c r="BY144" i="2159" s="1"/>
  <c r="AI85" i="2159"/>
  <c r="BZ86" i="2159" s="1"/>
  <c r="AH81" i="2159"/>
  <c r="BY82" i="2159" s="1"/>
  <c r="AI67" i="2159"/>
  <c r="BZ68" i="2159" s="1"/>
  <c r="CG156" i="2159"/>
  <c r="D38" i="2159"/>
  <c r="AP38" i="2159"/>
  <c r="A38" i="2159" s="1"/>
  <c r="CG47" i="2159"/>
  <c r="CE141" i="2159"/>
  <c r="D36" i="2159"/>
  <c r="AP36" i="2159"/>
  <c r="A36" i="2159" s="1"/>
  <c r="D35" i="2159"/>
  <c r="AP35" i="2159"/>
  <c r="A35" i="2159" s="1"/>
  <c r="AI33" i="2159"/>
  <c r="BZ34" i="2159" s="1"/>
  <c r="AH33" i="2159"/>
  <c r="BY34" i="2159" s="1"/>
  <c r="CG41" i="2159"/>
  <c r="AH26" i="2159"/>
  <c r="BY27" i="2159" s="1"/>
  <c r="AI26" i="2159"/>
  <c r="BZ27" i="2159" s="1"/>
  <c r="AN14" i="2159"/>
  <c r="BZ118" i="2159" s="1"/>
  <c r="AM12" i="2159"/>
  <c r="BY116" i="2159" s="1"/>
  <c r="AM10" i="2159"/>
  <c r="BY114" i="2159" s="1"/>
  <c r="CG121" i="2159"/>
  <c r="CG17" i="2159"/>
  <c r="AH5" i="2159"/>
  <c r="BY6" i="2159" s="1"/>
  <c r="AM9" i="2159"/>
  <c r="BY113" i="2159" s="1"/>
  <c r="AH7" i="2159"/>
  <c r="BY8" i="2159" s="1"/>
  <c r="AN6" i="2159"/>
  <c r="BZ110" i="2159" s="1"/>
  <c r="AN4" i="2159"/>
  <c r="BZ108" i="2159" s="1"/>
  <c r="BG8" i="2159"/>
  <c r="AI53" i="2159"/>
  <c r="BZ54" i="2159" s="1"/>
  <c r="D48" i="2159"/>
  <c r="AP48" i="2159"/>
  <c r="A48" i="2159" s="1"/>
  <c r="AI42" i="2159"/>
  <c r="BZ43" i="2159" s="1"/>
  <c r="CG49" i="2159"/>
  <c r="AP34" i="2159"/>
  <c r="A34" i="2159" s="1"/>
  <c r="D34" i="2159"/>
  <c r="AN18" i="2159"/>
  <c r="BZ122" i="2159" s="1"/>
  <c r="CG26" i="2159"/>
  <c r="AH18" i="2159"/>
  <c r="BY19" i="2159" s="1"/>
  <c r="AN68" i="2159"/>
  <c r="BZ172" i="2159" s="1"/>
  <c r="AM68" i="2159"/>
  <c r="BY172" i="2159" s="1"/>
  <c r="AH57" i="2159"/>
  <c r="BY58" i="2159" s="1"/>
  <c r="AH54" i="2159"/>
  <c r="BY55" i="2159" s="1"/>
  <c r="AN48" i="2159"/>
  <c r="BZ152" i="2159" s="1"/>
  <c r="AM48" i="2159"/>
  <c r="BY152" i="2159" s="1"/>
  <c r="AH47" i="2159"/>
  <c r="BY48" i="2159" s="1"/>
  <c r="AP23" i="2159"/>
  <c r="A23" i="2159" s="1"/>
  <c r="D23" i="2159"/>
  <c r="CG131" i="2159"/>
  <c r="CG24" i="2159"/>
  <c r="CG22" i="2159"/>
  <c r="AI12" i="2159"/>
  <c r="BZ13" i="2159" s="1"/>
  <c r="AH10" i="2159"/>
  <c r="BY11" i="2159" s="1"/>
  <c r="CG14" i="2159"/>
  <c r="AP29" i="2159"/>
  <c r="A29" i="2159" s="1"/>
  <c r="D29" i="2159"/>
  <c r="D49" i="2159"/>
  <c r="AP49" i="2159"/>
  <c r="A49" i="2159" s="1"/>
  <c r="AP60" i="2159"/>
  <c r="A60" i="2159" s="1"/>
  <c r="D60" i="2159"/>
  <c r="D20" i="2159"/>
  <c r="AP20" i="2159"/>
  <c r="A20" i="2159" s="1"/>
  <c r="D33" i="2159"/>
  <c r="AP33" i="2159"/>
  <c r="A33" i="2159" s="1"/>
  <c r="AP51" i="2159"/>
  <c r="A51" i="2159" s="1"/>
  <c r="D51" i="2159"/>
  <c r="AP69" i="2159"/>
  <c r="A69" i="2159" s="1"/>
  <c r="D69" i="2159"/>
  <c r="AP73" i="2159"/>
  <c r="A73" i="2159" s="1"/>
  <c r="D73" i="2159"/>
  <c r="AP77" i="2159"/>
  <c r="A77" i="2159" s="1"/>
  <c r="D77" i="2159"/>
  <c r="D92" i="2159"/>
  <c r="AP92" i="2159"/>
  <c r="A92" i="2159" s="1"/>
  <c r="AP68" i="2159"/>
  <c r="A68" i="2159" s="1"/>
  <c r="D68" i="2159"/>
  <c r="D80" i="2159"/>
  <c r="AP80" i="2159"/>
  <c r="A80" i="2159" s="1"/>
  <c r="D84" i="2159"/>
  <c r="AP84" i="2159"/>
  <c r="A84" i="2159" s="1"/>
  <c r="AP90" i="2159"/>
  <c r="A90" i="2159" s="1"/>
  <c r="D90" i="2159"/>
  <c r="AP97" i="2159"/>
  <c r="A97" i="2159" s="1"/>
  <c r="D97" i="2159"/>
  <c r="AP101" i="2159"/>
  <c r="A101" i="2159" s="1"/>
  <c r="D101" i="2159"/>
  <c r="AO119" i="2159"/>
  <c r="AO115" i="2159"/>
  <c r="AO111" i="2159"/>
  <c r="AO107" i="2159"/>
  <c r="AO118" i="2159"/>
  <c r="AO114" i="2159"/>
  <c r="AO110" i="2159"/>
  <c r="AO106" i="2159"/>
  <c r="AP105" i="2159"/>
  <c r="A105" i="2159" s="1"/>
  <c r="AO120" i="2159"/>
  <c r="AO116" i="2159"/>
  <c r="AO112" i="2159"/>
  <c r="AO108" i="2159"/>
  <c r="AO117" i="2159"/>
  <c r="AO109" i="2159"/>
  <c r="AO121" i="2159"/>
  <c r="D105" i="2159"/>
  <c r="AO113" i="2159"/>
  <c r="CG61" i="2159"/>
  <c r="CD45" i="2159"/>
  <c r="BO61" i="2159"/>
  <c r="CG42" i="2159"/>
  <c r="AH15" i="2159"/>
  <c r="BY16" i="2159" s="1"/>
  <c r="AI23" i="2159"/>
  <c r="BZ24" i="2159" s="1"/>
  <c r="AH21" i="2159"/>
  <c r="BY22" i="2159" s="1"/>
  <c r="AM105" i="2159"/>
  <c r="BY209" i="2159" s="1"/>
  <c r="AN105" i="2159"/>
  <c r="BZ209" i="2159" s="1"/>
  <c r="CG70" i="2159"/>
  <c r="CG48" i="2159"/>
  <c r="D37" i="2159"/>
  <c r="AP37" i="2159"/>
  <c r="A37" i="2159" s="1"/>
  <c r="CG36" i="2159"/>
  <c r="AM16" i="2159"/>
  <c r="BY120" i="2159" s="1"/>
  <c r="CG120" i="2159"/>
  <c r="CG13" i="2159"/>
  <c r="AH58" i="2159"/>
  <c r="BY59" i="2159" s="1"/>
  <c r="AH55" i="2159"/>
  <c r="BY56" i="2159" s="1"/>
  <c r="CG58" i="2159"/>
  <c r="AH43" i="2159"/>
  <c r="BY44" i="2159" s="1"/>
  <c r="AH41" i="2159"/>
  <c r="BY42" i="2159" s="1"/>
  <c r="CG44" i="2159"/>
  <c r="AI48" i="2159"/>
  <c r="BZ49" i="2159" s="1"/>
  <c r="D40" i="2159"/>
  <c r="AP40" i="2159"/>
  <c r="A40" i="2159" s="1"/>
  <c r="AM11" i="2159"/>
  <c r="BY115" i="2159" s="1"/>
  <c r="AN11" i="2159"/>
  <c r="BZ115" i="2159" s="1"/>
  <c r="CG86" i="2159"/>
  <c r="CG84" i="2159"/>
  <c r="CG82" i="2159"/>
  <c r="CG80" i="2159"/>
  <c r="AI79" i="2159"/>
  <c r="BZ80" i="2159" s="1"/>
  <c r="AH79" i="2159"/>
  <c r="BY80" i="2159" s="1"/>
  <c r="AI82" i="2159"/>
  <c r="BZ83" i="2159" s="1"/>
  <c r="AN55" i="2159"/>
  <c r="BZ159" i="2159" s="1"/>
  <c r="AM55" i="2159"/>
  <c r="BY159" i="2159" s="1"/>
  <c r="AI93" i="2159"/>
  <c r="BZ94" i="2159" s="1"/>
  <c r="AH93" i="2159"/>
  <c r="BY94" i="2159" s="1"/>
  <c r="AI77" i="2159"/>
  <c r="BZ78" i="2159" s="1"/>
  <c r="AI73" i="2159"/>
  <c r="BZ74" i="2159" s="1"/>
  <c r="AI64" i="2159"/>
  <c r="BZ65" i="2159" s="1"/>
  <c r="CG157" i="2159"/>
  <c r="CG97" i="2159"/>
  <c r="AN82" i="2159"/>
  <c r="BZ186" i="2159" s="1"/>
  <c r="AM82" i="2159"/>
  <c r="BY186" i="2159" s="1"/>
  <c r="AI76" i="2159"/>
  <c r="BZ77" i="2159" s="1"/>
  <c r="AI65" i="2159"/>
  <c r="BZ66" i="2159" s="1"/>
  <c r="AN39" i="2159"/>
  <c r="BZ143" i="2159" s="1"/>
  <c r="AM39" i="2159"/>
  <c r="BY143" i="2159" s="1"/>
  <c r="AI81" i="2159"/>
  <c r="BZ82" i="2159" s="1"/>
  <c r="AH76" i="2159"/>
  <c r="BY77" i="2159" s="1"/>
  <c r="AN44" i="2159"/>
  <c r="BZ148" i="2159" s="1"/>
  <c r="AM44" i="2159"/>
  <c r="BY148" i="2159" s="1"/>
  <c r="AI38" i="2159"/>
  <c r="BZ39" i="2159" s="1"/>
  <c r="AH38" i="2159"/>
  <c r="BY39" i="2159" s="1"/>
  <c r="AI32" i="2159"/>
  <c r="BZ33" i="2159" s="1"/>
  <c r="AH32" i="2159"/>
  <c r="BY33" i="2159" s="1"/>
  <c r="AI20" i="2159"/>
  <c r="BZ21" i="2159" s="1"/>
  <c r="AN12" i="2159"/>
  <c r="BZ116" i="2159" s="1"/>
  <c r="AN10" i="2159"/>
  <c r="BZ114" i="2159" s="1"/>
  <c r="AI5" i="2159"/>
  <c r="BZ6" i="2159" s="1"/>
  <c r="AU16" i="2159"/>
  <c r="AH8" i="2159"/>
  <c r="BY9" i="2159" s="1"/>
  <c r="AI7" i="2159"/>
  <c r="BZ8" i="2159" s="1"/>
  <c r="BO37" i="2159"/>
  <c r="AI40" i="2159"/>
  <c r="BZ41" i="2159" s="1"/>
  <c r="AH40" i="2159"/>
  <c r="BY41" i="2159" s="1"/>
  <c r="AH17" i="2159"/>
  <c r="BY18" i="2159" s="1"/>
  <c r="AI17" i="2159"/>
  <c r="BZ18" i="2159" s="1"/>
  <c r="BG13" i="2159"/>
  <c r="AI18" i="2159"/>
  <c r="BZ19" i="2159" s="1"/>
  <c r="CG127" i="2159"/>
  <c r="AH4" i="2159"/>
  <c r="BY5" i="2159" s="1"/>
  <c r="AH68" i="2159"/>
  <c r="BY69" i="2159" s="1"/>
  <c r="AI57" i="2159"/>
  <c r="BZ58" i="2159" s="1"/>
  <c r="AH48" i="2159"/>
  <c r="BY49" i="2159" s="1"/>
  <c r="AI47" i="2159"/>
  <c r="BZ48" i="2159" s="1"/>
  <c r="CG50" i="2159"/>
  <c r="AH34" i="2159"/>
  <c r="BY35" i="2159" s="1"/>
  <c r="CG123" i="2159"/>
  <c r="AI10" i="2159"/>
  <c r="BZ11" i="2159" s="1"/>
  <c r="AM5" i="2159"/>
  <c r="BY109" i="2159" s="1"/>
  <c r="AP21" i="2159"/>
  <c r="A21" i="2159" s="1"/>
  <c r="D21" i="2159"/>
  <c r="AP30" i="2159"/>
  <c r="A30" i="2159" s="1"/>
  <c r="D30" i="2159"/>
  <c r="AP53" i="2159"/>
  <c r="A53" i="2159" s="1"/>
  <c r="D53" i="2159"/>
  <c r="D62" i="2159"/>
  <c r="AP62" i="2159"/>
  <c r="A62" i="2159" s="1"/>
  <c r="D22" i="2159"/>
  <c r="AP22" i="2159"/>
  <c r="A22" i="2159" s="1"/>
  <c r="D41" i="2159"/>
  <c r="AP41" i="2159"/>
  <c r="A41" i="2159" s="1"/>
  <c r="AP66" i="2159"/>
  <c r="A66" i="2159" s="1"/>
  <c r="D66" i="2159"/>
  <c r="AP70" i="2159"/>
  <c r="A70" i="2159" s="1"/>
  <c r="D70" i="2159"/>
  <c r="AP74" i="2159"/>
  <c r="A74" i="2159" s="1"/>
  <c r="D74" i="2159"/>
  <c r="AP78" i="2159"/>
  <c r="A78" i="2159" s="1"/>
  <c r="D78" i="2159"/>
  <c r="D52" i="2159"/>
  <c r="AP52" i="2159"/>
  <c r="A52" i="2159" s="1"/>
  <c r="D61" i="2159"/>
  <c r="AP61" i="2159"/>
  <c r="A61" i="2159" s="1"/>
  <c r="D81" i="2159"/>
  <c r="AP81" i="2159"/>
  <c r="A81" i="2159" s="1"/>
  <c r="AP87" i="2159"/>
  <c r="A87" i="2159" s="1"/>
  <c r="D87" i="2159"/>
  <c r="AP94" i="2159"/>
  <c r="A94" i="2159" s="1"/>
  <c r="D94" i="2159"/>
  <c r="AP98" i="2159"/>
  <c r="A98" i="2159" s="1"/>
  <c r="D98" i="2159"/>
  <c r="AP102" i="2159"/>
  <c r="A102" i="2159" s="1"/>
  <c r="D102" i="2159"/>
  <c r="D89" i="2159"/>
  <c r="AP89" i="2159"/>
  <c r="A89" i="2159" s="1"/>
  <c r="AH51" i="2159"/>
  <c r="BY52" i="2159" s="1"/>
  <c r="AM7" i="2159"/>
  <c r="BY111" i="2159" s="1"/>
  <c r="AH11" i="2159"/>
  <c r="BY12" i="2159" s="1"/>
  <c r="AH13" i="2159"/>
  <c r="BY14" i="2159" s="1"/>
  <c r="AH19" i="2159"/>
  <c r="BY20" i="2159" s="1"/>
  <c r="AI8" i="2159"/>
  <c r="BZ9" i="2159" s="1"/>
  <c r="CE18" i="2159" l="1"/>
  <c r="BO44" i="2159"/>
  <c r="CE108" i="2159"/>
  <c r="CE112" i="2159"/>
  <c r="BG19" i="2159"/>
  <c r="BH15" i="2159" s="1"/>
  <c r="CE121" i="2159"/>
  <c r="BO12" i="2159"/>
  <c r="CD19" i="2159"/>
  <c r="BO39" i="2159"/>
  <c r="BO45" i="2159"/>
  <c r="BO5" i="2159"/>
  <c r="CE147" i="2159"/>
  <c r="CE149" i="2159"/>
  <c r="CE48" i="2159"/>
  <c r="CE156" i="2159"/>
  <c r="CE50" i="2159"/>
  <c r="CE195" i="2159"/>
  <c r="CE72" i="2159"/>
  <c r="CE126" i="2159"/>
  <c r="BA16" i="2159"/>
  <c r="CE26" i="2159"/>
  <c r="CE59" i="2159"/>
  <c r="CE58" i="2159"/>
  <c r="CE31" i="2159"/>
  <c r="CE98" i="2159"/>
  <c r="CE118" i="2159"/>
  <c r="CE65" i="2159"/>
  <c r="CE47" i="2159"/>
  <c r="CE90" i="2159"/>
  <c r="CE114" i="2159"/>
  <c r="CE42" i="2159"/>
  <c r="CE169" i="2159"/>
  <c r="CE81" i="2159"/>
  <c r="CE43" i="2159"/>
  <c r="CE37" i="2159"/>
  <c r="CE19" i="2159"/>
  <c r="CE12" i="2159"/>
  <c r="CE151" i="2159"/>
  <c r="CE158" i="2159"/>
  <c r="CE60" i="2159"/>
  <c r="CE40" i="2159"/>
  <c r="CE148" i="2159"/>
  <c r="CE154" i="2159"/>
  <c r="CE197" i="2159"/>
  <c r="CE153" i="2159"/>
  <c r="CE76" i="2159"/>
  <c r="CE36" i="2159"/>
  <c r="CE29" i="2159"/>
  <c r="CE17" i="2159"/>
  <c r="CE41" i="2159"/>
  <c r="CE30" i="2159"/>
  <c r="CE33" i="2159"/>
  <c r="CE64" i="2159"/>
  <c r="CE80" i="2159"/>
  <c r="CE67" i="2159"/>
  <c r="CE68" i="2159"/>
  <c r="CE25" i="2159"/>
  <c r="CE27" i="2159"/>
  <c r="CE82" i="2159"/>
  <c r="CE57" i="2159"/>
  <c r="CE86" i="2159"/>
  <c r="CE45" i="2159"/>
  <c r="CE89" i="2159"/>
  <c r="CE77" i="2159"/>
  <c r="CE28" i="2159"/>
  <c r="CE62" i="2159"/>
  <c r="CE20" i="2159"/>
  <c r="CE115" i="2159"/>
  <c r="CE119" i="2159"/>
  <c r="CE113" i="2159"/>
  <c r="CE117" i="2159"/>
  <c r="CE124" i="2159"/>
  <c r="CE120" i="2159"/>
  <c r="CD62" i="2159"/>
  <c r="BO75" i="2159"/>
  <c r="AP109" i="2159"/>
  <c r="N6" i="2159" s="1"/>
  <c r="Q6" i="2159"/>
  <c r="CD91" i="2159"/>
  <c r="BO117" i="2159"/>
  <c r="BO6" i="2159"/>
  <c r="CD25" i="2159"/>
  <c r="BO51" i="2159"/>
  <c r="CD48" i="2159"/>
  <c r="BO71" i="2159"/>
  <c r="CE23" i="2159"/>
  <c r="CE152" i="2159"/>
  <c r="CE71" i="2159"/>
  <c r="CE75" i="2159"/>
  <c r="CD100" i="2159"/>
  <c r="BO124" i="2159"/>
  <c r="CD72" i="2159"/>
  <c r="BO88" i="2159"/>
  <c r="CE83" i="2159"/>
  <c r="CD99" i="2159"/>
  <c r="BO43" i="2159"/>
  <c r="CD88" i="2159"/>
  <c r="BO118" i="2159"/>
  <c r="BO104" i="2159"/>
  <c r="CD79" i="2159"/>
  <c r="BO97" i="2159"/>
  <c r="CD71" i="2159"/>
  <c r="CD31" i="2159"/>
  <c r="BO47" i="2159"/>
  <c r="BO34" i="2159"/>
  <c r="CE10" i="2159"/>
  <c r="CE74" i="2159"/>
  <c r="CE78" i="2159"/>
  <c r="CE95" i="2159"/>
  <c r="BO31" i="2159"/>
  <c r="CD38" i="2159"/>
  <c r="BO58" i="2159"/>
  <c r="CE34" i="2159"/>
  <c r="AP113" i="2159"/>
  <c r="N10" i="2159" s="1"/>
  <c r="Q10" i="2159"/>
  <c r="AP117" i="2159"/>
  <c r="N14" i="2159" s="1"/>
  <c r="Q14" i="2159"/>
  <c r="AP120" i="2159"/>
  <c r="N17" i="2159" s="1"/>
  <c r="Q17" i="2159"/>
  <c r="AP114" i="2159"/>
  <c r="N11" i="2159" s="1"/>
  <c r="Q11" i="2159"/>
  <c r="AP115" i="2159"/>
  <c r="N12" i="2159" s="1"/>
  <c r="Q12" i="2159"/>
  <c r="CD85" i="2159"/>
  <c r="BO110" i="2159"/>
  <c r="CD34" i="2159"/>
  <c r="BO7" i="2159"/>
  <c r="CE15" i="2159"/>
  <c r="CE16" i="2159"/>
  <c r="CD24" i="2159"/>
  <c r="BO21" i="2159"/>
  <c r="CE44" i="2159"/>
  <c r="CD36" i="2159"/>
  <c r="BO53" i="2159"/>
  <c r="CE193" i="2159"/>
  <c r="CE91" i="2159"/>
  <c r="CE164" i="2159"/>
  <c r="CE161" i="2159"/>
  <c r="CE162" i="2159"/>
  <c r="BO80" i="2159"/>
  <c r="CD55" i="2159"/>
  <c r="BX209" i="2159"/>
  <c r="BX205" i="2159"/>
  <c r="BX207" i="2159"/>
  <c r="BX201" i="2159"/>
  <c r="BX197" i="2159"/>
  <c r="BX193" i="2159"/>
  <c r="BX189" i="2159"/>
  <c r="BX185" i="2159"/>
  <c r="BX206" i="2159"/>
  <c r="BX208" i="2159"/>
  <c r="BX202" i="2159"/>
  <c r="BX196" i="2159"/>
  <c r="BX200" i="2159"/>
  <c r="BX198" i="2159"/>
  <c r="BX192" i="2159"/>
  <c r="BX187" i="2159"/>
  <c r="BX194" i="2159"/>
  <c r="BX188" i="2159"/>
  <c r="BX183" i="2159"/>
  <c r="BX179" i="2159"/>
  <c r="BX175" i="2159"/>
  <c r="BX195" i="2159"/>
  <c r="BX181" i="2159"/>
  <c r="BX176" i="2159"/>
  <c r="BX168" i="2159"/>
  <c r="BX164" i="2159"/>
  <c r="BX160" i="2159"/>
  <c r="BX204" i="2159"/>
  <c r="BX203" i="2159"/>
  <c r="BX190" i="2159"/>
  <c r="BX199" i="2159"/>
  <c r="BX184" i="2159"/>
  <c r="BX178" i="2159"/>
  <c r="BX173" i="2159"/>
  <c r="BX170" i="2159"/>
  <c r="BX166" i="2159"/>
  <c r="BX162" i="2159"/>
  <c r="BX158" i="2159"/>
  <c r="BX154" i="2159"/>
  <c r="BX150" i="2159"/>
  <c r="BX146" i="2159"/>
  <c r="BX142" i="2159"/>
  <c r="BX138" i="2159"/>
  <c r="BX134" i="2159"/>
  <c r="BX182" i="2159"/>
  <c r="BX177" i="2159"/>
  <c r="BX167" i="2159"/>
  <c r="BX159" i="2159"/>
  <c r="BX155" i="2159"/>
  <c r="BX149" i="2159"/>
  <c r="BX144" i="2159"/>
  <c r="BX169" i="2159"/>
  <c r="BX161" i="2159"/>
  <c r="BX156" i="2159"/>
  <c r="BX151" i="2159"/>
  <c r="BX145" i="2159"/>
  <c r="BX140" i="2159"/>
  <c r="BX180" i="2159"/>
  <c r="BX174" i="2159"/>
  <c r="BX171" i="2159"/>
  <c r="BX163" i="2159"/>
  <c r="BX157" i="2159"/>
  <c r="BX152" i="2159"/>
  <c r="BX147" i="2159"/>
  <c r="BX141" i="2159"/>
  <c r="BX136" i="2159"/>
  <c r="BX131" i="2159"/>
  <c r="BX127" i="2159"/>
  <c r="BX123" i="2159"/>
  <c r="BX119" i="2159"/>
  <c r="BX115" i="2159"/>
  <c r="BX111" i="2159"/>
  <c r="BX107" i="2159"/>
  <c r="BX191" i="2159"/>
  <c r="BX172" i="2159"/>
  <c r="BX165" i="2159"/>
  <c r="BX153" i="2159"/>
  <c r="BX133" i="2159"/>
  <c r="BX128" i="2159"/>
  <c r="BX122" i="2159"/>
  <c r="BX118" i="2159"/>
  <c r="BX114" i="2159"/>
  <c r="BX110" i="2159"/>
  <c r="BX106" i="2159"/>
  <c r="BX139" i="2159"/>
  <c r="BX137" i="2159"/>
  <c r="BX129" i="2159"/>
  <c r="BX124" i="2159"/>
  <c r="BX93" i="2159"/>
  <c r="BX89" i="2159"/>
  <c r="BX186" i="2159"/>
  <c r="BX148" i="2159"/>
  <c r="BX143" i="2159"/>
  <c r="BX130" i="2159"/>
  <c r="BX125" i="2159"/>
  <c r="BX120" i="2159"/>
  <c r="BX116" i="2159"/>
  <c r="BX112" i="2159"/>
  <c r="BX108" i="2159"/>
  <c r="BX104" i="2159"/>
  <c r="BX103" i="2159"/>
  <c r="BX102" i="2159"/>
  <c r="BX101" i="2159"/>
  <c r="BX100" i="2159"/>
  <c r="BX99" i="2159"/>
  <c r="BX98" i="2159"/>
  <c r="BX97" i="2159"/>
  <c r="BX96" i="2159"/>
  <c r="BX95" i="2159"/>
  <c r="BX94" i="2159"/>
  <c r="BX90" i="2159"/>
  <c r="BX86" i="2159"/>
  <c r="BX85" i="2159"/>
  <c r="BX135" i="2159"/>
  <c r="BX132" i="2159"/>
  <c r="BX117" i="2159"/>
  <c r="BX84" i="2159"/>
  <c r="BX83" i="2159"/>
  <c r="BX82" i="2159"/>
  <c r="BX81" i="2159"/>
  <c r="BX80" i="2159"/>
  <c r="BX67" i="2159"/>
  <c r="BX63" i="2159"/>
  <c r="BX61" i="2159"/>
  <c r="BX109" i="2159"/>
  <c r="BX68" i="2159"/>
  <c r="BX64" i="2159"/>
  <c r="BX58" i="2159"/>
  <c r="BX52" i="2159"/>
  <c r="BX121" i="2159"/>
  <c r="BX92" i="2159"/>
  <c r="BX91" i="2159"/>
  <c r="BX88" i="2159"/>
  <c r="BX87" i="2159"/>
  <c r="BX78" i="2159"/>
  <c r="BX77" i="2159"/>
  <c r="BX76" i="2159"/>
  <c r="BX75" i="2159"/>
  <c r="BX74" i="2159"/>
  <c r="BX73" i="2159"/>
  <c r="BX72" i="2159"/>
  <c r="BX71" i="2159"/>
  <c r="BX70" i="2159"/>
  <c r="BX69" i="2159"/>
  <c r="BX65" i="2159"/>
  <c r="BX59" i="2159"/>
  <c r="BX126" i="2159"/>
  <c r="BX66" i="2159"/>
  <c r="BX51" i="2159"/>
  <c r="BX47" i="2159"/>
  <c r="BX43" i="2159"/>
  <c r="BX41" i="2159"/>
  <c r="BX60" i="2159"/>
  <c r="BX46" i="2159"/>
  <c r="BX42" i="2159"/>
  <c r="BX20" i="2159"/>
  <c r="BX19" i="2159"/>
  <c r="BX18" i="2159"/>
  <c r="BX10" i="2159"/>
  <c r="BX7" i="2159"/>
  <c r="BX113" i="2159"/>
  <c r="BX62" i="2159"/>
  <c r="BX56" i="2159"/>
  <c r="BX54" i="2159"/>
  <c r="BX53" i="2159"/>
  <c r="BX49" i="2159"/>
  <c r="BX45" i="2159"/>
  <c r="BX33" i="2159"/>
  <c r="BX30" i="2159"/>
  <c r="BX29" i="2159"/>
  <c r="BX28" i="2159"/>
  <c r="BX27" i="2159"/>
  <c r="BX23" i="2159"/>
  <c r="BX15" i="2159"/>
  <c r="BX13" i="2159"/>
  <c r="BX8" i="2159"/>
  <c r="BX105" i="2159"/>
  <c r="BX79" i="2159"/>
  <c r="BX57" i="2159"/>
  <c r="BX38" i="2159"/>
  <c r="BX37" i="2159"/>
  <c r="BX36" i="2159"/>
  <c r="BX35" i="2159"/>
  <c r="BX31" i="2159"/>
  <c r="BX16" i="2159"/>
  <c r="BX6" i="2159"/>
  <c r="BX5" i="2159"/>
  <c r="BX22" i="2159"/>
  <c r="BX48" i="2159"/>
  <c r="BX39" i="2159"/>
  <c r="BX34" i="2159"/>
  <c r="BX17" i="2159"/>
  <c r="BX26" i="2159"/>
  <c r="BX25" i="2159"/>
  <c r="BX50" i="2159"/>
  <c r="BX40" i="2159"/>
  <c r="BX24" i="2159"/>
  <c r="BX14" i="2159"/>
  <c r="BX12" i="2159"/>
  <c r="BX11" i="2159"/>
  <c r="BX9" i="2159"/>
  <c r="BX4" i="2159"/>
  <c r="BX55" i="2159"/>
  <c r="BX44" i="2159"/>
  <c r="BX32" i="2159"/>
  <c r="BX21" i="2159"/>
  <c r="CE24" i="2159"/>
  <c r="CE38" i="2159"/>
  <c r="CD101" i="2159"/>
  <c r="BO133" i="2159"/>
  <c r="BO111" i="2159"/>
  <c r="CD87" i="2159"/>
  <c r="BO101" i="2159"/>
  <c r="CD92" i="2159"/>
  <c r="BO99" i="2159"/>
  <c r="CD73" i="2159"/>
  <c r="BO38" i="2159"/>
  <c r="CE32" i="2159"/>
  <c r="CE200" i="2159"/>
  <c r="CE202" i="2159"/>
  <c r="CE198" i="2159"/>
  <c r="CE155" i="2159"/>
  <c r="CE96" i="2159"/>
  <c r="CE79" i="2159"/>
  <c r="CE46" i="2159"/>
  <c r="CD64" i="2159"/>
  <c r="BO55" i="2159"/>
  <c r="BO63" i="2159"/>
  <c r="CD44" i="2159"/>
  <c r="BO64" i="2159"/>
  <c r="CD40" i="2159"/>
  <c r="CE22" i="2159"/>
  <c r="CE173" i="2159"/>
  <c r="CE163" i="2159"/>
  <c r="CE92" i="2159"/>
  <c r="CE199" i="2159"/>
  <c r="CE177" i="2159"/>
  <c r="CD42" i="2159"/>
  <c r="BO66" i="2159"/>
  <c r="BA2" i="2159"/>
  <c r="AZ2" i="2159" s="1"/>
  <c r="AT16" i="2159"/>
  <c r="CD102" i="2159"/>
  <c r="BO127" i="2159"/>
  <c r="CD74" i="2159"/>
  <c r="BO13" i="2159"/>
  <c r="CD35" i="2159"/>
  <c r="BO48" i="2159"/>
  <c r="BO68" i="2159"/>
  <c r="CD49" i="2159"/>
  <c r="BO57" i="2159"/>
  <c r="CD39" i="2159"/>
  <c r="BO67" i="2159"/>
  <c r="CD43" i="2159"/>
  <c r="CD20" i="2159"/>
  <c r="BO49" i="2159"/>
  <c r="CD82" i="2159"/>
  <c r="BO106" i="2159"/>
  <c r="AR16" i="2159"/>
  <c r="CE51" i="2159"/>
  <c r="CE35" i="2159"/>
  <c r="CE53" i="2159"/>
  <c r="AP108" i="2159"/>
  <c r="N5" i="2159" s="1"/>
  <c r="Q5" i="2159"/>
  <c r="CD106" i="2159"/>
  <c r="BO130" i="2159"/>
  <c r="AP118" i="2159"/>
  <c r="N15" i="2159" s="1"/>
  <c r="Q15" i="2159"/>
  <c r="AP119" i="2159"/>
  <c r="N16" i="2159" s="1"/>
  <c r="Q16" i="2159"/>
  <c r="BO121" i="2159"/>
  <c r="CD98" i="2159"/>
  <c r="CD69" i="2159"/>
  <c r="BO86" i="2159"/>
  <c r="BO100" i="2159"/>
  <c r="CD78" i="2159"/>
  <c r="CD70" i="2159"/>
  <c r="BO72" i="2159"/>
  <c r="CD61" i="2159"/>
  <c r="BO83" i="2159"/>
  <c r="CD30" i="2159"/>
  <c r="BO56" i="2159"/>
  <c r="CE14" i="2159"/>
  <c r="CE123" i="2159"/>
  <c r="CE9" i="2159"/>
  <c r="CE116" i="2159"/>
  <c r="CE39" i="2159"/>
  <c r="CE159" i="2159"/>
  <c r="CE70" i="2159"/>
  <c r="BO105" i="2159"/>
  <c r="CD86" i="2159"/>
  <c r="CD60" i="2159"/>
  <c r="BO84" i="2159"/>
  <c r="CD26" i="2159"/>
  <c r="BO35" i="2159"/>
  <c r="CD84" i="2159"/>
  <c r="BO109" i="2159"/>
  <c r="CE128" i="2159"/>
  <c r="CE130" i="2159"/>
  <c r="CE168" i="2159"/>
  <c r="CE94" i="2159"/>
  <c r="CE73" i="2159"/>
  <c r="CE176" i="2159"/>
  <c r="CD104" i="2159"/>
  <c r="BO24" i="2159"/>
  <c r="BO128" i="2159"/>
  <c r="CD96" i="2159"/>
  <c r="CD76" i="2159"/>
  <c r="BO23" i="2159"/>
  <c r="CD32" i="2159"/>
  <c r="BO59" i="2159"/>
  <c r="CE127" i="2159"/>
  <c r="CE66" i="2159"/>
  <c r="CE52" i="2159"/>
  <c r="CE63" i="2159"/>
  <c r="CE122" i="2159"/>
  <c r="CE160" i="2159"/>
  <c r="CD90" i="2159"/>
  <c r="BO120" i="2159"/>
  <c r="BO89" i="2159"/>
  <c r="CD63" i="2159"/>
  <c r="AP116" i="2159"/>
  <c r="N13" i="2159" s="1"/>
  <c r="Q13" i="2159"/>
  <c r="AP110" i="2159"/>
  <c r="N7" i="2159" s="1"/>
  <c r="Q7" i="2159"/>
  <c r="AP111" i="2159"/>
  <c r="N8" i="2159" s="1"/>
  <c r="Q8" i="2159"/>
  <c r="CD52" i="2159"/>
  <c r="BO74" i="2159"/>
  <c r="BO95" i="2159"/>
  <c r="CD68" i="2159"/>
  <c r="CD46" i="2159"/>
  <c r="BO65" i="2159"/>
  <c r="CE157" i="2159"/>
  <c r="CD53" i="2159"/>
  <c r="BO77" i="2159"/>
  <c r="CD23" i="2159"/>
  <c r="BO40" i="2159"/>
  <c r="CD103" i="2159"/>
  <c r="BO135" i="2159"/>
  <c r="CD95" i="2159"/>
  <c r="BO114" i="2159"/>
  <c r="BO94" i="2159"/>
  <c r="CD75" i="2159"/>
  <c r="CD67" i="2159"/>
  <c r="BO9" i="2159"/>
  <c r="CD54" i="2159"/>
  <c r="BO78" i="2159"/>
  <c r="CD22" i="2159"/>
  <c r="BO41" i="2159"/>
  <c r="CE69" i="2159"/>
  <c r="CD41" i="2159"/>
  <c r="BO60" i="2159"/>
  <c r="CE54" i="2159"/>
  <c r="CE56" i="2159"/>
  <c r="CE55" i="2159"/>
  <c r="AP121" i="2159"/>
  <c r="N18" i="2159" s="1"/>
  <c r="Q18" i="2159"/>
  <c r="AP112" i="2159"/>
  <c r="N9" i="2159" s="1"/>
  <c r="Q9" i="2159"/>
  <c r="AP106" i="2159"/>
  <c r="N3" i="2159" s="1"/>
  <c r="Q3" i="2159"/>
  <c r="AP107" i="2159"/>
  <c r="N4" i="2159" s="1"/>
  <c r="Q4" i="2159"/>
  <c r="BO102" i="2159"/>
  <c r="CD81" i="2159"/>
  <c r="BO103" i="2159"/>
  <c r="CD93" i="2159"/>
  <c r="BO15" i="2159"/>
  <c r="CD21" i="2159"/>
  <c r="CD50" i="2159"/>
  <c r="BO11" i="2159"/>
  <c r="BO20" i="2159"/>
  <c r="CE11" i="2159"/>
  <c r="CD37" i="2159"/>
  <c r="BO54" i="2159"/>
  <c r="CE150" i="2159"/>
  <c r="CE194" i="2159"/>
  <c r="CE93" i="2159"/>
  <c r="BO98" i="2159"/>
  <c r="CD89" i="2159"/>
  <c r="CD105" i="2159"/>
  <c r="BO119" i="2159"/>
  <c r="CD97" i="2159"/>
  <c r="BO116" i="2159"/>
  <c r="BO90" i="2159"/>
  <c r="CD65" i="2159"/>
  <c r="CD77" i="2159"/>
  <c r="BO93" i="2159"/>
  <c r="CD66" i="2159"/>
  <c r="BO87" i="2159"/>
  <c r="CD47" i="2159"/>
  <c r="BO69" i="2159"/>
  <c r="CD57" i="2159"/>
  <c r="BO79" i="2159"/>
  <c r="BO52" i="2159"/>
  <c r="CD29" i="2159"/>
  <c r="CD80" i="2159"/>
  <c r="BO92" i="2159"/>
  <c r="BO32" i="2159"/>
  <c r="CE125" i="2159"/>
  <c r="CD51" i="2159"/>
  <c r="BO70" i="2159"/>
  <c r="CE172" i="2159"/>
  <c r="CE84" i="2159"/>
  <c r="CE166" i="2159"/>
  <c r="CE171" i="2159"/>
  <c r="CE170" i="2159"/>
  <c r="CE97" i="2159"/>
  <c r="CE99" i="2159"/>
  <c r="CD94" i="2159"/>
  <c r="BO126" i="2159"/>
  <c r="CD83" i="2159"/>
  <c r="BO108" i="2159"/>
  <c r="CD59" i="2159"/>
  <c r="BO81" i="2159"/>
  <c r="BO33" i="2159"/>
  <c r="CE110" i="2159"/>
  <c r="CE111" i="2159"/>
  <c r="CE109" i="2159"/>
  <c r="CE13" i="2159"/>
  <c r="CE174" i="2159"/>
  <c r="CE21" i="2159"/>
  <c r="CE201" i="2159"/>
  <c r="CD107" i="2159" l="1"/>
  <c r="BO129" i="2159"/>
  <c r="CD122" i="2159"/>
  <c r="BO107" i="2159"/>
  <c r="BO123" i="2159"/>
  <c r="CD119" i="2159"/>
  <c r="CD109" i="2159"/>
  <c r="BO138" i="2159"/>
  <c r="CB209" i="2159"/>
  <c r="CA206" i="2159"/>
  <c r="CB205" i="2159"/>
  <c r="CB206" i="2159"/>
  <c r="CA204" i="2159"/>
  <c r="CA202" i="2159"/>
  <c r="CB201" i="2159"/>
  <c r="CA198" i="2159"/>
  <c r="CB197" i="2159"/>
  <c r="CA194" i="2159"/>
  <c r="CB193" i="2159"/>
  <c r="CA190" i="2159"/>
  <c r="CB189" i="2159"/>
  <c r="CA186" i="2159"/>
  <c r="CB185" i="2159"/>
  <c r="CB208" i="2159"/>
  <c r="CB207" i="2159"/>
  <c r="CA201" i="2159"/>
  <c r="CB200" i="2159"/>
  <c r="CA199" i="2159"/>
  <c r="CC199" i="2159" s="1"/>
  <c r="CA207" i="2159"/>
  <c r="CB203" i="2159"/>
  <c r="CB202" i="2159"/>
  <c r="CB199" i="2159"/>
  <c r="CA197" i="2159"/>
  <c r="CA195" i="2159"/>
  <c r="CC195" i="2159" s="1"/>
  <c r="CB191" i="2159"/>
  <c r="CA208" i="2159"/>
  <c r="CB204" i="2159"/>
  <c r="CA203" i="2159"/>
  <c r="CA200" i="2159"/>
  <c r="CB196" i="2159"/>
  <c r="CA193" i="2159"/>
  <c r="CB192" i="2159"/>
  <c r="CA191" i="2159"/>
  <c r="CB187" i="2159"/>
  <c r="CA184" i="2159"/>
  <c r="CB183" i="2159"/>
  <c r="CA180" i="2159"/>
  <c r="CB179" i="2159"/>
  <c r="CA176" i="2159"/>
  <c r="CB175" i="2159"/>
  <c r="CA172" i="2159"/>
  <c r="CB194" i="2159"/>
  <c r="CB190" i="2159"/>
  <c r="CA187" i="2159"/>
  <c r="CC187" i="2159" s="1"/>
  <c r="CB180" i="2159"/>
  <c r="CA178" i="2159"/>
  <c r="CA175" i="2159"/>
  <c r="CB174" i="2159"/>
  <c r="CA173" i="2159"/>
  <c r="CC173" i="2159" s="1"/>
  <c r="CA169" i="2159"/>
  <c r="CB168" i="2159"/>
  <c r="CA165" i="2159"/>
  <c r="CB164" i="2159"/>
  <c r="CA161" i="2159"/>
  <c r="CB160" i="2159"/>
  <c r="CA209" i="2159"/>
  <c r="CA196" i="2159"/>
  <c r="CA189" i="2159"/>
  <c r="CB188" i="2159"/>
  <c r="CB186" i="2159"/>
  <c r="CB198" i="2159"/>
  <c r="CA192" i="2159"/>
  <c r="CA188" i="2159"/>
  <c r="CA183" i="2159"/>
  <c r="CB182" i="2159"/>
  <c r="CA181" i="2159"/>
  <c r="CB177" i="2159"/>
  <c r="CB172" i="2159"/>
  <c r="CA171" i="2159"/>
  <c r="CB170" i="2159"/>
  <c r="CA167" i="2159"/>
  <c r="CB166" i="2159"/>
  <c r="CA163" i="2159"/>
  <c r="CB162" i="2159"/>
  <c r="CA159" i="2159"/>
  <c r="CB158" i="2159"/>
  <c r="CA155" i="2159"/>
  <c r="CB154" i="2159"/>
  <c r="CA151" i="2159"/>
  <c r="CB150" i="2159"/>
  <c r="CA147" i="2159"/>
  <c r="CB146" i="2159"/>
  <c r="CA143" i="2159"/>
  <c r="CB142" i="2159"/>
  <c r="CA139" i="2159"/>
  <c r="CB138" i="2159"/>
  <c r="CA135" i="2159"/>
  <c r="CB134" i="2159"/>
  <c r="CB184" i="2159"/>
  <c r="CB178" i="2159"/>
  <c r="CB171" i="2159"/>
  <c r="CA168" i="2159"/>
  <c r="CB163" i="2159"/>
  <c r="CA160" i="2159"/>
  <c r="CA157" i="2159"/>
  <c r="CA154" i="2159"/>
  <c r="CB153" i="2159"/>
  <c r="CA152" i="2159"/>
  <c r="CB148" i="2159"/>
  <c r="CB143" i="2159"/>
  <c r="CA185" i="2159"/>
  <c r="CA174" i="2159"/>
  <c r="CA170" i="2159"/>
  <c r="CB165" i="2159"/>
  <c r="CA162" i="2159"/>
  <c r="CB155" i="2159"/>
  <c r="CA153" i="2159"/>
  <c r="CA150" i="2159"/>
  <c r="CB149" i="2159"/>
  <c r="CA148" i="2159"/>
  <c r="CB144" i="2159"/>
  <c r="CB139" i="2159"/>
  <c r="CB195" i="2159"/>
  <c r="CB181" i="2159"/>
  <c r="CB176" i="2159"/>
  <c r="CB167" i="2159"/>
  <c r="CA164" i="2159"/>
  <c r="CC164" i="2159" s="1"/>
  <c r="CB159" i="2159"/>
  <c r="CB156" i="2159"/>
  <c r="CB151" i="2159"/>
  <c r="CA149" i="2159"/>
  <c r="CA146" i="2159"/>
  <c r="CB145" i="2159"/>
  <c r="CA144" i="2159"/>
  <c r="CB140" i="2159"/>
  <c r="CB135" i="2159"/>
  <c r="CA132" i="2159"/>
  <c r="CB131" i="2159"/>
  <c r="CA128" i="2159"/>
  <c r="CB127" i="2159"/>
  <c r="CA124" i="2159"/>
  <c r="CB123" i="2159"/>
  <c r="CA120" i="2159"/>
  <c r="CB119" i="2159"/>
  <c r="CA116" i="2159"/>
  <c r="CB115" i="2159"/>
  <c r="CA112" i="2159"/>
  <c r="CB111" i="2159"/>
  <c r="CA108" i="2159"/>
  <c r="CB107" i="2159"/>
  <c r="CB169" i="2159"/>
  <c r="CA166" i="2159"/>
  <c r="CB161" i="2159"/>
  <c r="CA158" i="2159"/>
  <c r="CB157" i="2159"/>
  <c r="CB141" i="2159"/>
  <c r="CA137" i="2159"/>
  <c r="CA134" i="2159"/>
  <c r="CB132" i="2159"/>
  <c r="CA130" i="2159"/>
  <c r="CA127" i="2159"/>
  <c r="CB126" i="2159"/>
  <c r="CA125" i="2159"/>
  <c r="CB121" i="2159"/>
  <c r="CB117" i="2159"/>
  <c r="CB113" i="2159"/>
  <c r="CB109" i="2159"/>
  <c r="CB105" i="2159"/>
  <c r="CB152" i="2159"/>
  <c r="CA141" i="2159"/>
  <c r="CB136" i="2159"/>
  <c r="CB133" i="2159"/>
  <c r="CB128" i="2159"/>
  <c r="CA126" i="2159"/>
  <c r="CA123" i="2159"/>
  <c r="CB122" i="2159"/>
  <c r="CA121" i="2159"/>
  <c r="CB118" i="2159"/>
  <c r="CA117" i="2159"/>
  <c r="CB114" i="2159"/>
  <c r="CA113" i="2159"/>
  <c r="CB110" i="2159"/>
  <c r="CA109" i="2159"/>
  <c r="CB106" i="2159"/>
  <c r="CA105" i="2159"/>
  <c r="CB93" i="2159"/>
  <c r="CA92" i="2159"/>
  <c r="CB89" i="2159"/>
  <c r="CA88" i="2159"/>
  <c r="CA205" i="2159"/>
  <c r="CA182" i="2159"/>
  <c r="CA179" i="2159"/>
  <c r="CC179" i="2159" s="1"/>
  <c r="CB173" i="2159"/>
  <c r="CA156" i="2159"/>
  <c r="CA145" i="2159"/>
  <c r="CA138" i="2159"/>
  <c r="CA136" i="2159"/>
  <c r="CC136" i="2159" s="1"/>
  <c r="CA133" i="2159"/>
  <c r="CB129" i="2159"/>
  <c r="CB124" i="2159"/>
  <c r="CA122" i="2159"/>
  <c r="CC122" i="2159" s="1"/>
  <c r="CA119" i="2159"/>
  <c r="CA118" i="2159"/>
  <c r="CC118" i="2159" s="1"/>
  <c r="CA115" i="2159"/>
  <c r="CA114" i="2159"/>
  <c r="CC114" i="2159" s="1"/>
  <c r="CA111" i="2159"/>
  <c r="CA110" i="2159"/>
  <c r="CC110" i="2159" s="1"/>
  <c r="CA107" i="2159"/>
  <c r="CA106" i="2159"/>
  <c r="CB104" i="2159"/>
  <c r="CB103" i="2159"/>
  <c r="CB102" i="2159"/>
  <c r="CB101" i="2159"/>
  <c r="CB100" i="2159"/>
  <c r="CB99" i="2159"/>
  <c r="CB98" i="2159"/>
  <c r="CB97" i="2159"/>
  <c r="CB96" i="2159"/>
  <c r="CB95" i="2159"/>
  <c r="CB94" i="2159"/>
  <c r="CA93" i="2159"/>
  <c r="CB90" i="2159"/>
  <c r="CA89" i="2159"/>
  <c r="CB86" i="2159"/>
  <c r="CB85" i="2159"/>
  <c r="CA140" i="2159"/>
  <c r="CB125" i="2159"/>
  <c r="CB112" i="2159"/>
  <c r="CA102" i="2159"/>
  <c r="CB92" i="2159"/>
  <c r="CB91" i="2159"/>
  <c r="CB88" i="2159"/>
  <c r="CB87" i="2159"/>
  <c r="CA86" i="2159"/>
  <c r="CB84" i="2159"/>
  <c r="CB83" i="2159"/>
  <c r="CB82" i="2159"/>
  <c r="CB81" i="2159"/>
  <c r="CB80" i="2159"/>
  <c r="CA79" i="2159"/>
  <c r="CB67" i="2159"/>
  <c r="CA66" i="2159"/>
  <c r="CB63" i="2159"/>
  <c r="CA62" i="2159"/>
  <c r="CB61" i="2159"/>
  <c r="CA60" i="2159"/>
  <c r="CA177" i="2159"/>
  <c r="CA142" i="2159"/>
  <c r="CA131" i="2159"/>
  <c r="CB130" i="2159"/>
  <c r="CB116" i="2159"/>
  <c r="CA104" i="2159"/>
  <c r="CA103" i="2159"/>
  <c r="CC103" i="2159" s="1"/>
  <c r="CA99" i="2159"/>
  <c r="CA98" i="2159"/>
  <c r="CA97" i="2159"/>
  <c r="CA96" i="2159"/>
  <c r="CA91" i="2159"/>
  <c r="CA87" i="2159"/>
  <c r="CA85" i="2159"/>
  <c r="CA84" i="2159"/>
  <c r="CA83" i="2159"/>
  <c r="CA82" i="2159"/>
  <c r="CA81" i="2159"/>
  <c r="CA80" i="2159"/>
  <c r="CB68" i="2159"/>
  <c r="CA67" i="2159"/>
  <c r="CB64" i="2159"/>
  <c r="CA63" i="2159"/>
  <c r="CA61" i="2159"/>
  <c r="CC61" i="2159" s="1"/>
  <c r="CB58" i="2159"/>
  <c r="CA57" i="2159"/>
  <c r="CA53" i="2159"/>
  <c r="CB52" i="2159"/>
  <c r="CB147" i="2159"/>
  <c r="CB137" i="2159"/>
  <c r="CB108" i="2159"/>
  <c r="CA100" i="2159"/>
  <c r="CC100" i="2159" s="1"/>
  <c r="CA95" i="2159"/>
  <c r="CA94" i="2159"/>
  <c r="CA90" i="2159"/>
  <c r="CB78" i="2159"/>
  <c r="CB77" i="2159"/>
  <c r="CB76" i="2159"/>
  <c r="CB75" i="2159"/>
  <c r="CB74" i="2159"/>
  <c r="CB73" i="2159"/>
  <c r="CB72" i="2159"/>
  <c r="CB71" i="2159"/>
  <c r="CB70" i="2159"/>
  <c r="CB69" i="2159"/>
  <c r="CA68" i="2159"/>
  <c r="CB65" i="2159"/>
  <c r="CA64" i="2159"/>
  <c r="CB59" i="2159"/>
  <c r="CA58" i="2159"/>
  <c r="CC58" i="2159" s="1"/>
  <c r="CA78" i="2159"/>
  <c r="CA74" i="2159"/>
  <c r="CA70" i="2159"/>
  <c r="CB60" i="2159"/>
  <c r="CA56" i="2159"/>
  <c r="CB55" i="2159"/>
  <c r="CA54" i="2159"/>
  <c r="CA52" i="2159"/>
  <c r="CB50" i="2159"/>
  <c r="CA48" i="2159"/>
  <c r="CB47" i="2159"/>
  <c r="CA44" i="2159"/>
  <c r="CB43" i="2159"/>
  <c r="CB41" i="2159"/>
  <c r="CA40" i="2159"/>
  <c r="CA39" i="2159"/>
  <c r="CA38" i="2159"/>
  <c r="CA37" i="2159"/>
  <c r="CA36" i="2159"/>
  <c r="CA35" i="2159"/>
  <c r="CA34" i="2159"/>
  <c r="CA32" i="2159"/>
  <c r="CA31" i="2159"/>
  <c r="CA77" i="2159"/>
  <c r="CA73" i="2159"/>
  <c r="CA69" i="2159"/>
  <c r="CB62" i="2159"/>
  <c r="CB57" i="2159"/>
  <c r="CA55" i="2159"/>
  <c r="CB51" i="2159"/>
  <c r="CA50" i="2159"/>
  <c r="CA47" i="2159"/>
  <c r="CB46" i="2159"/>
  <c r="CA43" i="2159"/>
  <c r="CB42" i="2159"/>
  <c r="CA41" i="2159"/>
  <c r="CA24" i="2159"/>
  <c r="CA21" i="2159"/>
  <c r="CB20" i="2159"/>
  <c r="CB19" i="2159"/>
  <c r="CB18" i="2159"/>
  <c r="CA17" i="2159"/>
  <c r="CA14" i="2159"/>
  <c r="CA12" i="2159"/>
  <c r="CB10" i="2159"/>
  <c r="CB7" i="2159"/>
  <c r="CA5" i="2159"/>
  <c r="CA4" i="2159"/>
  <c r="CC4" i="2159" s="1"/>
  <c r="CA71" i="2159"/>
  <c r="CA129" i="2159"/>
  <c r="CA101" i="2159"/>
  <c r="CB79" i="2159"/>
  <c r="CA76" i="2159"/>
  <c r="CA72" i="2159"/>
  <c r="CA65" i="2159"/>
  <c r="CA59" i="2159"/>
  <c r="CC59" i="2159" s="1"/>
  <c r="CA51" i="2159"/>
  <c r="CB49" i="2159"/>
  <c r="CA46" i="2159"/>
  <c r="CB45" i="2159"/>
  <c r="CA42" i="2159"/>
  <c r="CB33" i="2159"/>
  <c r="CB30" i="2159"/>
  <c r="CB29" i="2159"/>
  <c r="CB28" i="2159"/>
  <c r="CB27" i="2159"/>
  <c r="CB23" i="2159"/>
  <c r="CA20" i="2159"/>
  <c r="CA19" i="2159"/>
  <c r="CA18" i="2159"/>
  <c r="CC18" i="2159" s="1"/>
  <c r="CB15" i="2159"/>
  <c r="CB13" i="2159"/>
  <c r="CA10" i="2159"/>
  <c r="CB8" i="2159"/>
  <c r="CA7" i="2159"/>
  <c r="CB120" i="2159"/>
  <c r="CA75" i="2159"/>
  <c r="CB54" i="2159"/>
  <c r="CB48" i="2159"/>
  <c r="CA45" i="2159"/>
  <c r="CC45" i="2159" s="1"/>
  <c r="CB39" i="2159"/>
  <c r="CB34" i="2159"/>
  <c r="CA27" i="2159"/>
  <c r="CB24" i="2159"/>
  <c r="CA23" i="2159"/>
  <c r="CA15" i="2159"/>
  <c r="CB14" i="2159"/>
  <c r="CA13" i="2159"/>
  <c r="CC13" i="2159" s="1"/>
  <c r="CB12" i="2159"/>
  <c r="CB11" i="2159"/>
  <c r="CB9" i="2159"/>
  <c r="CA6" i="2159"/>
  <c r="CB4" i="2159"/>
  <c r="CB38" i="2159"/>
  <c r="CB35" i="2159"/>
  <c r="CB56" i="2159"/>
  <c r="CB40" i="2159"/>
  <c r="CB26" i="2159"/>
  <c r="CB25" i="2159"/>
  <c r="CB22" i="2159"/>
  <c r="CB21" i="2159"/>
  <c r="CA11" i="2159"/>
  <c r="CA9" i="2159"/>
  <c r="CA29" i="2159"/>
  <c r="CA28" i="2159"/>
  <c r="CB17" i="2159"/>
  <c r="CA16" i="2159"/>
  <c r="CA49" i="2159"/>
  <c r="CB44" i="2159"/>
  <c r="CA33" i="2159"/>
  <c r="CC33" i="2159" s="1"/>
  <c r="CB32" i="2159"/>
  <c r="CA30" i="2159"/>
  <c r="CA26" i="2159"/>
  <c r="CA25" i="2159"/>
  <c r="CA22" i="2159"/>
  <c r="CB16" i="2159"/>
  <c r="CA8" i="2159"/>
  <c r="CB66" i="2159"/>
  <c r="CB53" i="2159"/>
  <c r="CB37" i="2159"/>
  <c r="CB36" i="2159"/>
  <c r="CB31" i="2159"/>
  <c r="CB6" i="2159"/>
  <c r="CB5" i="2159"/>
  <c r="CD115" i="2159"/>
  <c r="BO137" i="2159"/>
  <c r="CD118" i="2159"/>
  <c r="BO139" i="2159"/>
  <c r="AX2" i="2159"/>
  <c r="CD110" i="2159"/>
  <c r="BO91" i="2159"/>
  <c r="CD112" i="2159"/>
  <c r="BO134" i="2159"/>
  <c r="CD117" i="2159"/>
  <c r="BO145" i="2159"/>
  <c r="CD111" i="2159"/>
  <c r="BO17" i="2159"/>
  <c r="CD108" i="2159"/>
  <c r="BO136" i="2159"/>
  <c r="CD113" i="2159"/>
  <c r="BO112" i="2159"/>
  <c r="CD120" i="2159"/>
  <c r="BO147" i="2159"/>
  <c r="BO143" i="2159"/>
  <c r="CD116" i="2159"/>
  <c r="BO146" i="2159"/>
  <c r="CD121" i="2159"/>
  <c r="CD114" i="2159"/>
  <c r="BO10" i="2159"/>
  <c r="CC177" i="2159" l="1"/>
  <c r="CC205" i="2159"/>
  <c r="CC30" i="2159"/>
  <c r="CC182" i="2159"/>
  <c r="CC131" i="2159"/>
  <c r="CC106" i="2159"/>
  <c r="CC203" i="2159"/>
  <c r="CC162" i="2159"/>
  <c r="CC75" i="2159"/>
  <c r="CC142" i="2159"/>
  <c r="CC166" i="2159"/>
  <c r="CC49" i="2159"/>
  <c r="CC22" i="2159"/>
  <c r="CC65" i="2159"/>
  <c r="CC101" i="2159"/>
  <c r="CC145" i="2159"/>
  <c r="CC185" i="2159"/>
  <c r="CC207" i="2159"/>
  <c r="CC170" i="2159"/>
  <c r="CC26" i="2159"/>
  <c r="CC19" i="2159"/>
  <c r="CC38" i="2159"/>
  <c r="CC84" i="2159"/>
  <c r="CC127" i="2159"/>
  <c r="CC188" i="2159"/>
  <c r="CC16" i="2159"/>
  <c r="CC5" i="2159"/>
  <c r="CC36" i="2159"/>
  <c r="CC40" i="2159"/>
  <c r="CC95" i="2159"/>
  <c r="CC67" i="2159"/>
  <c r="CC82" i="2159"/>
  <c r="CC87" i="2159"/>
  <c r="CC98" i="2159"/>
  <c r="CC196" i="2159"/>
  <c r="CC191" i="2159"/>
  <c r="CC73" i="2159"/>
  <c r="CC34" i="2159"/>
  <c r="CC12" i="2159"/>
  <c r="CC44" i="2159"/>
  <c r="CC94" i="2159"/>
  <c r="CC62" i="2159"/>
  <c r="CC138" i="2159"/>
  <c r="CC152" i="2159"/>
  <c r="CC160" i="2159"/>
  <c r="CC169" i="2159"/>
  <c r="CC208" i="2159"/>
  <c r="CC9" i="2159"/>
  <c r="CC27" i="2159"/>
  <c r="CC54" i="2159"/>
  <c r="CC70" i="2159"/>
  <c r="CC89" i="2159"/>
  <c r="CC109" i="2159"/>
  <c r="CC117" i="2159"/>
  <c r="CC125" i="2159"/>
  <c r="CC155" i="2159"/>
  <c r="CC42" i="2159"/>
  <c r="CC63" i="2159"/>
  <c r="CC80" i="2159"/>
  <c r="CC153" i="2159"/>
  <c r="CC135" i="2159"/>
  <c r="CC151" i="2159"/>
  <c r="CC184" i="2159"/>
  <c r="CC204" i="2159"/>
  <c r="CC7" i="2159"/>
  <c r="CC46" i="2159"/>
  <c r="CC14" i="2159"/>
  <c r="CC50" i="2159"/>
  <c r="CC31" i="2159"/>
  <c r="CC92" i="2159"/>
  <c r="CC123" i="2159"/>
  <c r="CC112" i="2159"/>
  <c r="CC120" i="2159"/>
  <c r="CC128" i="2159"/>
  <c r="CC149" i="2159"/>
  <c r="CC139" i="2159"/>
  <c r="CC147" i="2159"/>
  <c r="CC171" i="2159"/>
  <c r="CC180" i="2159"/>
  <c r="CC200" i="2159"/>
  <c r="CC163" i="2159"/>
  <c r="CC172" i="2159"/>
  <c r="CC25" i="2159"/>
  <c r="CC11" i="2159"/>
  <c r="CC15" i="2159"/>
  <c r="CC72" i="2159"/>
  <c r="CC129" i="2159"/>
  <c r="CC17" i="2159"/>
  <c r="CC21" i="2159"/>
  <c r="CC43" i="2159"/>
  <c r="CC69" i="2159"/>
  <c r="CC32" i="2159"/>
  <c r="CC37" i="2159"/>
  <c r="CC48" i="2159"/>
  <c r="CC74" i="2159"/>
  <c r="CC64" i="2159"/>
  <c r="CC83" i="2159"/>
  <c r="CC91" i="2159"/>
  <c r="CC99" i="2159"/>
  <c r="CC60" i="2159"/>
  <c r="CC66" i="2159"/>
  <c r="CC86" i="2159"/>
  <c r="CC140" i="2159"/>
  <c r="CC111" i="2159"/>
  <c r="CC119" i="2159"/>
  <c r="CC133" i="2159"/>
  <c r="CC156" i="2159"/>
  <c r="CC126" i="2159"/>
  <c r="CC141" i="2159"/>
  <c r="CC134" i="2159"/>
  <c r="CC158" i="2159"/>
  <c r="CC144" i="2159"/>
  <c r="CC150" i="2159"/>
  <c r="CC154" i="2159"/>
  <c r="CC168" i="2159"/>
  <c r="CC183" i="2159"/>
  <c r="CC209" i="2159"/>
  <c r="CC165" i="2159"/>
  <c r="CC201" i="2159"/>
  <c r="CC186" i="2159"/>
  <c r="CC194" i="2159"/>
  <c r="CC202" i="2159"/>
  <c r="CC206" i="2159"/>
  <c r="CC8" i="2159"/>
  <c r="CC28" i="2159"/>
  <c r="CC23" i="2159"/>
  <c r="CC10" i="2159"/>
  <c r="CC51" i="2159"/>
  <c r="CC76" i="2159"/>
  <c r="CC71" i="2159"/>
  <c r="CC24" i="2159"/>
  <c r="CC55" i="2159"/>
  <c r="CC56" i="2159"/>
  <c r="CC78" i="2159"/>
  <c r="CC90" i="2159"/>
  <c r="CC53" i="2159"/>
  <c r="CC96" i="2159"/>
  <c r="CC102" i="2159"/>
  <c r="CC93" i="2159"/>
  <c r="CC88" i="2159"/>
  <c r="CC105" i="2159"/>
  <c r="CC113" i="2159"/>
  <c r="CC121" i="2159"/>
  <c r="CC137" i="2159"/>
  <c r="CC108" i="2159"/>
  <c r="CC116" i="2159"/>
  <c r="CC124" i="2159"/>
  <c r="CC132" i="2159"/>
  <c r="CC157" i="2159"/>
  <c r="CC143" i="2159"/>
  <c r="CC159" i="2159"/>
  <c r="CC167" i="2159"/>
  <c r="CC175" i="2159"/>
  <c r="CC176" i="2159"/>
  <c r="CC193" i="2159"/>
  <c r="CC197" i="2159"/>
  <c r="CC29" i="2159"/>
  <c r="CC6" i="2159"/>
  <c r="CC20" i="2159"/>
  <c r="CC41" i="2159"/>
  <c r="CC47" i="2159"/>
  <c r="CC77" i="2159"/>
  <c r="CC35" i="2159"/>
  <c r="CC39" i="2159"/>
  <c r="CC52" i="2159"/>
  <c r="CC68" i="2159"/>
  <c r="CC57" i="2159"/>
  <c r="CC81" i="2159"/>
  <c r="CC85" i="2159"/>
  <c r="CC97" i="2159"/>
  <c r="CC104" i="2159"/>
  <c r="CC79" i="2159"/>
  <c r="CC107" i="2159"/>
  <c r="CC115" i="2159"/>
  <c r="CC130" i="2159"/>
  <c r="CC146" i="2159"/>
  <c r="CC148" i="2159"/>
  <c r="CC174" i="2159"/>
  <c r="CC181" i="2159"/>
  <c r="CC192" i="2159"/>
  <c r="CC189" i="2159"/>
  <c r="CC161" i="2159"/>
  <c r="CC178" i="2159"/>
  <c r="CC190" i="2159"/>
  <c r="CC198" i="2159"/>
  <c r="AC64" i="2159" l="1"/>
  <c r="AC62" i="2159"/>
  <c r="Q336" i="18" l="1"/>
  <c r="R336" i="18"/>
  <c r="S336" i="18"/>
  <c r="U336" i="18" s="1"/>
  <c r="Q337" i="18"/>
  <c r="R337" i="18"/>
  <c r="S337" i="18"/>
  <c r="T337" i="18" s="1"/>
  <c r="Q338" i="18"/>
  <c r="R338" i="18"/>
  <c r="S338" i="18"/>
  <c r="U338" i="18" s="1"/>
  <c r="Q339" i="18"/>
  <c r="R339" i="18"/>
  <c r="S339" i="18"/>
  <c r="T339" i="18" s="1"/>
  <c r="Q340" i="18"/>
  <c r="R340" i="18"/>
  <c r="S340" i="18"/>
  <c r="U340" i="18" s="1"/>
  <c r="Q341" i="18"/>
  <c r="R341" i="18"/>
  <c r="S341" i="18"/>
  <c r="V341" i="18" s="1"/>
  <c r="Q342" i="18"/>
  <c r="R342" i="18"/>
  <c r="S342" i="18"/>
  <c r="U342" i="18" s="1"/>
  <c r="Q343" i="18"/>
  <c r="R343" i="18"/>
  <c r="S343" i="18"/>
  <c r="T343" i="18" s="1"/>
  <c r="Q344" i="18"/>
  <c r="R344" i="18"/>
  <c r="S344" i="18"/>
  <c r="U344" i="18" s="1"/>
  <c r="Q345" i="18"/>
  <c r="R345" i="18"/>
  <c r="S345" i="18"/>
  <c r="T345" i="18" s="1"/>
  <c r="Q346" i="18"/>
  <c r="R346" i="18"/>
  <c r="S346" i="18"/>
  <c r="U346" i="18" s="1"/>
  <c r="Q347" i="18"/>
  <c r="R347" i="18"/>
  <c r="S347" i="18"/>
  <c r="T347" i="18" s="1"/>
  <c r="Q348" i="18"/>
  <c r="R348" i="18"/>
  <c r="S348" i="18"/>
  <c r="U348" i="18" s="1"/>
  <c r="Q349" i="18"/>
  <c r="R349" i="18"/>
  <c r="S349" i="18"/>
  <c r="T349" i="18" s="1"/>
  <c r="T341" i="18" l="1"/>
  <c r="T340" i="18"/>
  <c r="U347" i="18"/>
  <c r="T346" i="18"/>
  <c r="U341" i="18"/>
  <c r="V345" i="18"/>
  <c r="U345" i="18"/>
  <c r="T344" i="18"/>
  <c r="U337" i="18"/>
  <c r="T336" i="18"/>
  <c r="V339" i="18"/>
  <c r="V343" i="18"/>
  <c r="V349" i="18"/>
  <c r="U343" i="18"/>
  <c r="U339" i="18"/>
  <c r="U349" i="18"/>
  <c r="T348" i="18"/>
  <c r="V347" i="18"/>
  <c r="T342" i="18"/>
  <c r="T338" i="18"/>
  <c r="V337" i="18"/>
  <c r="V348" i="18"/>
  <c r="V346" i="18"/>
  <c r="V344" i="18"/>
  <c r="V342" i="18"/>
  <c r="V340" i="18"/>
  <c r="V338" i="18"/>
  <c r="V336" i="18"/>
  <c r="Q3" i="18" l="1"/>
  <c r="Q4" i="18"/>
  <c r="Q5" i="18"/>
  <c r="G13" i="2194" s="1"/>
  <c r="CG22" i="2194" s="1"/>
  <c r="Q6" i="18"/>
  <c r="Q7" i="18"/>
  <c r="Q8" i="18"/>
  <c r="Q9" i="18"/>
  <c r="Q10" i="18"/>
  <c r="Q11" i="18"/>
  <c r="Q12" i="18"/>
  <c r="Q13" i="18"/>
  <c r="G49" i="2194" s="1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G4" i="2194" s="1"/>
  <c r="CG13" i="2194" s="1"/>
  <c r="Q32" i="18"/>
  <c r="Q33" i="18"/>
  <c r="G8" i="2194" s="1"/>
  <c r="Q34" i="18"/>
  <c r="Q35" i="18"/>
  <c r="G11" i="2194" s="1"/>
  <c r="CG20" i="2194" s="1"/>
  <c r="Q36" i="18"/>
  <c r="Q37" i="18"/>
  <c r="Q38" i="18"/>
  <c r="G15" i="2194" s="1"/>
  <c r="Q39" i="18"/>
  <c r="Q40" i="18"/>
  <c r="Q41" i="18"/>
  <c r="Q42" i="18"/>
  <c r="G6" i="2194" s="1"/>
  <c r="CG15" i="2194" s="1"/>
  <c r="Q43" i="18"/>
  <c r="Q44" i="18"/>
  <c r="Q45" i="18"/>
  <c r="Q46" i="18"/>
  <c r="Q47" i="18"/>
  <c r="G20" i="2194" s="1"/>
  <c r="CG29" i="2194" s="1"/>
  <c r="Q48" i="18"/>
  <c r="Q49" i="18"/>
  <c r="G43" i="2194" s="1"/>
  <c r="CG52" i="2194" s="1"/>
  <c r="Q50" i="18"/>
  <c r="Q51" i="18"/>
  <c r="G27" i="2194" s="1"/>
  <c r="Q52" i="18"/>
  <c r="Q53" i="18"/>
  <c r="Q54" i="18"/>
  <c r="Q55" i="18"/>
  <c r="Q56" i="18"/>
  <c r="G31" i="2194" s="1"/>
  <c r="Q57" i="18"/>
  <c r="Q58" i="18"/>
  <c r="G24" i="2194" s="1"/>
  <c r="Q59" i="18"/>
  <c r="Q60" i="18"/>
  <c r="Q61" i="18"/>
  <c r="Q62" i="18"/>
  <c r="Q63" i="18"/>
  <c r="G45" i="2194" s="1"/>
  <c r="Q64" i="18"/>
  <c r="Q65" i="18"/>
  <c r="G33" i="2194" s="1"/>
  <c r="CG42" i="2194" s="1"/>
  <c r="Q66" i="18"/>
  <c r="Q67" i="18"/>
  <c r="G59" i="2194" s="1"/>
  <c r="Q68" i="18"/>
  <c r="Q69" i="18"/>
  <c r="Q70" i="18"/>
  <c r="G36" i="2194" s="1"/>
  <c r="CG45" i="2194" s="1"/>
  <c r="Q71" i="18"/>
  <c r="Q72" i="18"/>
  <c r="G38" i="2194" s="1"/>
  <c r="Q73" i="18"/>
  <c r="Q74" i="18"/>
  <c r="Q75" i="18"/>
  <c r="Q76" i="18"/>
  <c r="Q77" i="18"/>
  <c r="G61" i="2194" s="1"/>
  <c r="Q78" i="18"/>
  <c r="Q79" i="18"/>
  <c r="G40" i="2194" s="1"/>
  <c r="CG49" i="2194" s="1"/>
  <c r="Q80" i="18"/>
  <c r="Q81" i="18"/>
  <c r="G47" i="2194" s="1"/>
  <c r="Q82" i="18"/>
  <c r="Q83" i="18"/>
  <c r="Q84" i="18"/>
  <c r="Q85" i="18"/>
  <c r="Q86" i="18"/>
  <c r="G54" i="2194" s="1"/>
  <c r="CG63" i="2194" s="1"/>
  <c r="Q87" i="18"/>
  <c r="Q88" i="18"/>
  <c r="G52" i="2194" s="1"/>
  <c r="Q89" i="18"/>
  <c r="Q90" i="18"/>
  <c r="G56" i="2194" s="1"/>
  <c r="Q91" i="18"/>
  <c r="Q92" i="18"/>
  <c r="Q93" i="18"/>
  <c r="Q94" i="18"/>
  <c r="Q95" i="18"/>
  <c r="Q96" i="18"/>
  <c r="Q97" i="18"/>
  <c r="Q98" i="18"/>
  <c r="Q99" i="18"/>
  <c r="Q100" i="18"/>
  <c r="Q101" i="18"/>
  <c r="Q102" i="18"/>
  <c r="Q103" i="18"/>
  <c r="Q104" i="18"/>
  <c r="Q105" i="18"/>
  <c r="Q106" i="18"/>
  <c r="Q107" i="18"/>
  <c r="Q108" i="18"/>
  <c r="Q109" i="18"/>
  <c r="Q110" i="18"/>
  <c r="Q111" i="18"/>
  <c r="Q112" i="18"/>
  <c r="Q113" i="18"/>
  <c r="Q114" i="18"/>
  <c r="Q115" i="18"/>
  <c r="Q116" i="18"/>
  <c r="Q117" i="18"/>
  <c r="Q118" i="18"/>
  <c r="Q119" i="18"/>
  <c r="Q120" i="18"/>
  <c r="Q121" i="18"/>
  <c r="Q122" i="18"/>
  <c r="Q123" i="18"/>
  <c r="Q124" i="18"/>
  <c r="Q125" i="18"/>
  <c r="Q126" i="18"/>
  <c r="Q127" i="18"/>
  <c r="Q128" i="18"/>
  <c r="Q129" i="18"/>
  <c r="Q130" i="18"/>
  <c r="Q131" i="18"/>
  <c r="Q132" i="18"/>
  <c r="Q133" i="18"/>
  <c r="Q134" i="18"/>
  <c r="Q135" i="18"/>
  <c r="Q136" i="18"/>
  <c r="Q137" i="18"/>
  <c r="Q138" i="18"/>
  <c r="Q139" i="18"/>
  <c r="Q140" i="18"/>
  <c r="Q141" i="18"/>
  <c r="Q142" i="18"/>
  <c r="Q143" i="18"/>
  <c r="Q144" i="18"/>
  <c r="Q145" i="18"/>
  <c r="Q146" i="18"/>
  <c r="Q147" i="18"/>
  <c r="Q148" i="18"/>
  <c r="Q149" i="18"/>
  <c r="Q150" i="18"/>
  <c r="Q151" i="18"/>
  <c r="Q152" i="18"/>
  <c r="Q153" i="18"/>
  <c r="Q154" i="18"/>
  <c r="Q155" i="18"/>
  <c r="Q156" i="18"/>
  <c r="Q157" i="18"/>
  <c r="Q158" i="18"/>
  <c r="Q159" i="18"/>
  <c r="Q160" i="18"/>
  <c r="Q161" i="18"/>
  <c r="Q162" i="18"/>
  <c r="Q163" i="18"/>
  <c r="Q164" i="18"/>
  <c r="Q165" i="18"/>
  <c r="Q166" i="18"/>
  <c r="Q167" i="18"/>
  <c r="Q168" i="18"/>
  <c r="Q169" i="18"/>
  <c r="Q170" i="18"/>
  <c r="Q171" i="18"/>
  <c r="Q172" i="18"/>
  <c r="Q173" i="18"/>
  <c r="Q174" i="18"/>
  <c r="Q175" i="18"/>
  <c r="Q176" i="18"/>
  <c r="Q177" i="18"/>
  <c r="Q178" i="18"/>
  <c r="Q179" i="18"/>
  <c r="Q180" i="18"/>
  <c r="Q181" i="18"/>
  <c r="Q182" i="18"/>
  <c r="Q183" i="18"/>
  <c r="Q184" i="18"/>
  <c r="Q185" i="18"/>
  <c r="Q186" i="18"/>
  <c r="Q187" i="18"/>
  <c r="Q188" i="18"/>
  <c r="Q189" i="18"/>
  <c r="Q190" i="18"/>
  <c r="Q191" i="18"/>
  <c r="Q192" i="18"/>
  <c r="Q193" i="18"/>
  <c r="Q194" i="18"/>
  <c r="Q195" i="18"/>
  <c r="Q196" i="18"/>
  <c r="Q197" i="18"/>
  <c r="Q198" i="18"/>
  <c r="Q199" i="18"/>
  <c r="Q200" i="18"/>
  <c r="Q201" i="18"/>
  <c r="Q202" i="18"/>
  <c r="Q203" i="18"/>
  <c r="Q204" i="18"/>
  <c r="Q205" i="18"/>
  <c r="Q206" i="18"/>
  <c r="Q207" i="18"/>
  <c r="Q208" i="18"/>
  <c r="Q209" i="18"/>
  <c r="Q210" i="18"/>
  <c r="Q211" i="18"/>
  <c r="Q212" i="18"/>
  <c r="Q213" i="18"/>
  <c r="Q214" i="18"/>
  <c r="Q215" i="18"/>
  <c r="Q216" i="18"/>
  <c r="Q217" i="18"/>
  <c r="Q218" i="18"/>
  <c r="Q219" i="18"/>
  <c r="Q220" i="18"/>
  <c r="Q221" i="18"/>
  <c r="Q222" i="18"/>
  <c r="Q223" i="18"/>
  <c r="Q224" i="18"/>
  <c r="Q225" i="18"/>
  <c r="Q226" i="18"/>
  <c r="Q227" i="18"/>
  <c r="Q228" i="18"/>
  <c r="Q229" i="18"/>
  <c r="Q230" i="18"/>
  <c r="Q231" i="18"/>
  <c r="Q232" i="18"/>
  <c r="Q233" i="18"/>
  <c r="Q234" i="18"/>
  <c r="Q235" i="18"/>
  <c r="Q236" i="18"/>
  <c r="Q237" i="18"/>
  <c r="Q238" i="18"/>
  <c r="Q239" i="18"/>
  <c r="Q240" i="18"/>
  <c r="Q241" i="18"/>
  <c r="Q242" i="18"/>
  <c r="Q243" i="18"/>
  <c r="Q244" i="18"/>
  <c r="Q245" i="18"/>
  <c r="Q246" i="18"/>
  <c r="Q247" i="18"/>
  <c r="Q248" i="18"/>
  <c r="Q249" i="18"/>
  <c r="Q250" i="18"/>
  <c r="Q251" i="18"/>
  <c r="Q252" i="18"/>
  <c r="Q253" i="18"/>
  <c r="Q254" i="18"/>
  <c r="Q255" i="18"/>
  <c r="Q256" i="18"/>
  <c r="Q257" i="18"/>
  <c r="Q258" i="18"/>
  <c r="Q259" i="18"/>
  <c r="Q260" i="18"/>
  <c r="Q261" i="18"/>
  <c r="Q262" i="18"/>
  <c r="Q263" i="18"/>
  <c r="Q264" i="18"/>
  <c r="Q265" i="18"/>
  <c r="Q266" i="18"/>
  <c r="Q267" i="18"/>
  <c r="Q268" i="18"/>
  <c r="Q269" i="18"/>
  <c r="Q270" i="18"/>
  <c r="Q271" i="18"/>
  <c r="Q272" i="18"/>
  <c r="Q273" i="18"/>
  <c r="Q274" i="18"/>
  <c r="Q275" i="18"/>
  <c r="Q276" i="18"/>
  <c r="Q277" i="18"/>
  <c r="Q278" i="18"/>
  <c r="Q279" i="18"/>
  <c r="Q280" i="18"/>
  <c r="Q281" i="18"/>
  <c r="Q282" i="18"/>
  <c r="Q283" i="18"/>
  <c r="Q284" i="18"/>
  <c r="Q285" i="18"/>
  <c r="Q286" i="18"/>
  <c r="Q287" i="18"/>
  <c r="Q288" i="18"/>
  <c r="Q289" i="18"/>
  <c r="Q290" i="18"/>
  <c r="Q291" i="18"/>
  <c r="Q292" i="18"/>
  <c r="Q293" i="18"/>
  <c r="Q294" i="18"/>
  <c r="Q295" i="18"/>
  <c r="Q296" i="18"/>
  <c r="Q297" i="18"/>
  <c r="Q298" i="18"/>
  <c r="Q299" i="18"/>
  <c r="Q300" i="18"/>
  <c r="Q301" i="18"/>
  <c r="Q302" i="18"/>
  <c r="Q303" i="18"/>
  <c r="Q304" i="18"/>
  <c r="Q305" i="18"/>
  <c r="Q306" i="18"/>
  <c r="Q307" i="18"/>
  <c r="Q308" i="18"/>
  <c r="Q309" i="18"/>
  <c r="Q310" i="18"/>
  <c r="Q311" i="18"/>
  <c r="Q312" i="18"/>
  <c r="Q313" i="18"/>
  <c r="Q314" i="18"/>
  <c r="Q315" i="18"/>
  <c r="Q316" i="18"/>
  <c r="Q317" i="18"/>
  <c r="Q318" i="18"/>
  <c r="Q319" i="18"/>
  <c r="Q320" i="18"/>
  <c r="Q321" i="18"/>
  <c r="Q322" i="18"/>
  <c r="Q323" i="18"/>
  <c r="Q324" i="18"/>
  <c r="Q325" i="18"/>
  <c r="Q326" i="18"/>
  <c r="Q327" i="18"/>
  <c r="Q328" i="18"/>
  <c r="Q329" i="18"/>
  <c r="Q330" i="18"/>
  <c r="Q331" i="18"/>
  <c r="Q332" i="18"/>
  <c r="Q333" i="18"/>
  <c r="Q334" i="18"/>
  <c r="Q335" i="18"/>
  <c r="Q2" i="18"/>
  <c r="G29" i="2194" s="1"/>
  <c r="CG65" i="2194" l="1"/>
  <c r="CG56" i="2194"/>
  <c r="CG70" i="2194"/>
  <c r="CG58" i="2194"/>
  <c r="CG61" i="2194"/>
  <c r="CG68" i="2194"/>
  <c r="CG54" i="2194"/>
  <c r="CG47" i="2194"/>
  <c r="CG33" i="2194"/>
  <c r="G17" i="2194"/>
  <c r="CG26" i="2194" s="1"/>
  <c r="G22" i="2194"/>
  <c r="CG31" i="2194" s="1"/>
  <c r="CG38" i="2194"/>
  <c r="CG40" i="2194"/>
  <c r="CG36" i="2194"/>
  <c r="CG24" i="2194"/>
  <c r="CG17" i="2194"/>
  <c r="AY52" i="1682"/>
  <c r="AX52" i="1682"/>
  <c r="AW52" i="1682"/>
  <c r="AX51" i="1682"/>
  <c r="AW51" i="1682"/>
  <c r="CE67" i="2194" l="1"/>
  <c r="R5" i="18"/>
  <c r="A2" i="1682" l="1"/>
  <c r="BT3" i="1682" l="1"/>
  <c r="BM3" i="1682" l="1"/>
  <c r="AM43" i="1682" l="1"/>
  <c r="BH12" i="1682"/>
  <c r="AM12" i="1682"/>
  <c r="R8" i="18" l="1"/>
  <c r="G3" i="2194" s="1"/>
  <c r="CG12" i="2194" l="1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K568" i="18"/>
  <c r="K569" i="18"/>
  <c r="K570" i="18"/>
  <c r="K571" i="18"/>
  <c r="K572" i="18"/>
  <c r="K573" i="18"/>
  <c r="K574" i="18"/>
  <c r="K575" i="18"/>
  <c r="K576" i="18"/>
  <c r="K577" i="18"/>
  <c r="K578" i="18"/>
  <c r="K579" i="18"/>
  <c r="K580" i="18"/>
  <c r="K581" i="18"/>
  <c r="K582" i="18"/>
  <c r="K583" i="18"/>
  <c r="K584" i="18"/>
  <c r="K585" i="18"/>
  <c r="K586" i="18"/>
  <c r="K587" i="18"/>
  <c r="K588" i="18"/>
  <c r="K589" i="18"/>
  <c r="K590" i="18"/>
  <c r="K591" i="18"/>
  <c r="K592" i="18"/>
  <c r="K593" i="18"/>
  <c r="K594" i="18"/>
  <c r="K595" i="18"/>
  <c r="K596" i="18"/>
  <c r="K597" i="18"/>
  <c r="K598" i="18"/>
  <c r="K599" i="18"/>
  <c r="K600" i="18"/>
  <c r="K601" i="18"/>
  <c r="K602" i="18"/>
  <c r="K603" i="18"/>
  <c r="K604" i="18"/>
  <c r="K605" i="18"/>
  <c r="K606" i="18"/>
  <c r="K607" i="18"/>
  <c r="K608" i="18"/>
  <c r="K609" i="18"/>
  <c r="K610" i="18"/>
  <c r="K611" i="18"/>
  <c r="K612" i="18"/>
  <c r="K613" i="18"/>
  <c r="K614" i="18"/>
  <c r="K615" i="18"/>
  <c r="K616" i="18"/>
  <c r="K617" i="18"/>
  <c r="K618" i="18"/>
  <c r="K619" i="18"/>
  <c r="K620" i="18"/>
  <c r="K621" i="18"/>
  <c r="K622" i="18"/>
  <c r="K623" i="18"/>
  <c r="K624" i="18"/>
  <c r="K625" i="18"/>
  <c r="K626" i="18"/>
  <c r="K627" i="18"/>
  <c r="K628" i="18"/>
  <c r="K629" i="18"/>
  <c r="K630" i="18"/>
  <c r="K631" i="18"/>
  <c r="K632" i="18"/>
  <c r="K633" i="18"/>
  <c r="K634" i="18"/>
  <c r="K635" i="18"/>
  <c r="K636" i="18"/>
  <c r="K637" i="18"/>
  <c r="K638" i="18"/>
  <c r="K639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K660" i="18"/>
  <c r="K661" i="18"/>
  <c r="K662" i="18"/>
  <c r="K663" i="18"/>
  <c r="K664" i="18"/>
  <c r="K665" i="18"/>
  <c r="K666" i="18"/>
  <c r="K667" i="18"/>
  <c r="K668" i="18"/>
  <c r="K669" i="18"/>
  <c r="K670" i="18"/>
  <c r="K671" i="18"/>
  <c r="K672" i="18"/>
  <c r="K673" i="18"/>
  <c r="K674" i="18"/>
  <c r="K675" i="18"/>
  <c r="K676" i="18"/>
  <c r="K677" i="18"/>
  <c r="K678" i="18"/>
  <c r="K679" i="18"/>
  <c r="K680" i="18"/>
  <c r="K681" i="18"/>
  <c r="K682" i="18"/>
  <c r="K683" i="18"/>
  <c r="K684" i="18"/>
  <c r="K685" i="18"/>
  <c r="K686" i="18"/>
  <c r="K687" i="18"/>
  <c r="K688" i="18"/>
  <c r="K689" i="18"/>
  <c r="K690" i="18"/>
  <c r="K691" i="18"/>
  <c r="K692" i="18"/>
  <c r="K693" i="18"/>
  <c r="K694" i="18"/>
  <c r="K695" i="18"/>
  <c r="K696" i="18"/>
  <c r="K697" i="18"/>
  <c r="K698" i="18"/>
  <c r="K699" i="18"/>
  <c r="K700" i="18"/>
  <c r="K701" i="18"/>
  <c r="K702" i="18"/>
  <c r="K703" i="18"/>
  <c r="K704" i="18"/>
  <c r="K705" i="18"/>
  <c r="K706" i="18"/>
  <c r="K707" i="18"/>
  <c r="K708" i="18"/>
  <c r="K709" i="18"/>
  <c r="K710" i="18"/>
  <c r="K711" i="18"/>
  <c r="K2" i="18"/>
  <c r="AG53" i="18" l="1"/>
  <c r="R3" i="18" l="1"/>
  <c r="R4" i="18"/>
  <c r="G10" i="2194" s="1"/>
  <c r="CG19" i="2194" s="1"/>
  <c r="R6" i="18"/>
  <c r="R7" i="18"/>
  <c r="G7" i="2194" s="1"/>
  <c r="R9" i="18"/>
  <c r="G16" i="2194" s="1"/>
  <c r="CG25" i="2194" s="1"/>
  <c r="R10" i="18"/>
  <c r="R11" i="18"/>
  <c r="G37" i="2194" s="1"/>
  <c r="R12" i="18"/>
  <c r="G32" i="2194" s="1"/>
  <c r="CG41" i="2194" s="1"/>
  <c r="R13" i="18"/>
  <c r="R14" i="18"/>
  <c r="G50" i="2194" s="1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G5" i="2194" s="1"/>
  <c r="R45" i="18"/>
  <c r="R46" i="18"/>
  <c r="G12" i="2194" s="1"/>
  <c r="CG21" i="2194" s="1"/>
  <c r="R47" i="18"/>
  <c r="R48" i="18"/>
  <c r="G9" i="2194" s="1"/>
  <c r="R49" i="18"/>
  <c r="R50" i="18"/>
  <c r="G35" i="2194" s="1"/>
  <c r="R51" i="18"/>
  <c r="R52" i="18"/>
  <c r="G14" i="2194" s="1"/>
  <c r="R53" i="18"/>
  <c r="G19" i="2194" s="1"/>
  <c r="CG28" i="2194" s="1"/>
  <c r="R54" i="18"/>
  <c r="R55" i="18"/>
  <c r="G25" i="2194" s="1"/>
  <c r="R56" i="18"/>
  <c r="R57" i="18"/>
  <c r="G18" i="2194" s="1"/>
  <c r="CG27" i="2194" s="1"/>
  <c r="R58" i="18"/>
  <c r="R59" i="18"/>
  <c r="G21" i="2194" s="1"/>
  <c r="R60" i="18"/>
  <c r="G23" i="2194" s="1"/>
  <c r="R61" i="18"/>
  <c r="R62" i="18"/>
  <c r="G48" i="2194" s="1"/>
  <c r="R63" i="18"/>
  <c r="R64" i="18"/>
  <c r="R65" i="18"/>
  <c r="R66" i="18"/>
  <c r="R67" i="18"/>
  <c r="R68" i="18"/>
  <c r="G26" i="2194" s="1"/>
  <c r="R69" i="18"/>
  <c r="G28" i="2194" s="1"/>
  <c r="R70" i="18"/>
  <c r="R71" i="18"/>
  <c r="G30" i="2194" s="1"/>
  <c r="R72" i="18"/>
  <c r="R73" i="18"/>
  <c r="G39" i="2194" s="1"/>
  <c r="R74" i="18"/>
  <c r="R75" i="18"/>
  <c r="G34" i="2194" s="1"/>
  <c r="CG43" i="2194" s="1"/>
  <c r="R76" i="18"/>
  <c r="G41" i="2194" s="1"/>
  <c r="CG50" i="2194" s="1"/>
  <c r="R77" i="18"/>
  <c r="R78" i="18"/>
  <c r="G42" i="2194" s="1"/>
  <c r="CG51" i="2194" s="1"/>
  <c r="R79" i="18"/>
  <c r="R80" i="18"/>
  <c r="G44" i="2194" s="1"/>
  <c r="R81" i="18"/>
  <c r="R82" i="18"/>
  <c r="R83" i="18"/>
  <c r="R84" i="18"/>
  <c r="R85" i="18"/>
  <c r="G46" i="2194" s="1"/>
  <c r="R86" i="18"/>
  <c r="R87" i="18"/>
  <c r="G55" i="2194" s="1"/>
  <c r="R88" i="18"/>
  <c r="R89" i="18"/>
  <c r="G51" i="2194" s="1"/>
  <c r="R90" i="18"/>
  <c r="R91" i="18"/>
  <c r="G53" i="2194" s="1"/>
  <c r="R92" i="18"/>
  <c r="R93" i="18"/>
  <c r="R94" i="18"/>
  <c r="R95" i="18"/>
  <c r="R96" i="18"/>
  <c r="G57" i="2194" s="1"/>
  <c r="R97" i="18"/>
  <c r="R98" i="18"/>
  <c r="G60" i="2194" s="1"/>
  <c r="R99" i="18"/>
  <c r="R100" i="18"/>
  <c r="G58" i="2194" s="1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R228" i="18"/>
  <c r="R229" i="18"/>
  <c r="R230" i="18"/>
  <c r="R231" i="18"/>
  <c r="R232" i="18"/>
  <c r="R233" i="18"/>
  <c r="R234" i="18"/>
  <c r="R235" i="18"/>
  <c r="R236" i="18"/>
  <c r="R237" i="18"/>
  <c r="R238" i="18"/>
  <c r="R239" i="18"/>
  <c r="R240" i="18"/>
  <c r="R241" i="18"/>
  <c r="R242" i="18"/>
  <c r="R243" i="18"/>
  <c r="R244" i="18"/>
  <c r="R245" i="18"/>
  <c r="R246" i="18"/>
  <c r="R247" i="18"/>
  <c r="R248" i="18"/>
  <c r="R249" i="18"/>
  <c r="R250" i="18"/>
  <c r="R251" i="18"/>
  <c r="R252" i="18"/>
  <c r="R253" i="18"/>
  <c r="R254" i="18"/>
  <c r="R255" i="18"/>
  <c r="R256" i="18"/>
  <c r="R257" i="18"/>
  <c r="R258" i="18"/>
  <c r="R259" i="18"/>
  <c r="R260" i="18"/>
  <c r="R261" i="18"/>
  <c r="R262" i="18"/>
  <c r="R263" i="18"/>
  <c r="R264" i="18"/>
  <c r="R265" i="18"/>
  <c r="R266" i="18"/>
  <c r="R267" i="18"/>
  <c r="R268" i="18"/>
  <c r="R269" i="18"/>
  <c r="R270" i="18"/>
  <c r="R271" i="18"/>
  <c r="R272" i="18"/>
  <c r="R273" i="18"/>
  <c r="R274" i="18"/>
  <c r="R275" i="18"/>
  <c r="R276" i="18"/>
  <c r="R277" i="18"/>
  <c r="R278" i="18"/>
  <c r="R279" i="18"/>
  <c r="R280" i="18"/>
  <c r="R281" i="18"/>
  <c r="R282" i="18"/>
  <c r="R283" i="18"/>
  <c r="R284" i="18"/>
  <c r="R285" i="18"/>
  <c r="R286" i="18"/>
  <c r="R287" i="18"/>
  <c r="R288" i="18"/>
  <c r="R289" i="18"/>
  <c r="R290" i="18"/>
  <c r="R291" i="18"/>
  <c r="R292" i="18"/>
  <c r="R293" i="18"/>
  <c r="R294" i="18"/>
  <c r="R295" i="18"/>
  <c r="R296" i="18"/>
  <c r="R297" i="18"/>
  <c r="R298" i="18"/>
  <c r="R299" i="18"/>
  <c r="R300" i="18"/>
  <c r="R301" i="18"/>
  <c r="R302" i="18"/>
  <c r="R303" i="18"/>
  <c r="R304" i="18"/>
  <c r="R305" i="18"/>
  <c r="R306" i="18"/>
  <c r="R307" i="18"/>
  <c r="R308" i="18"/>
  <c r="R309" i="18"/>
  <c r="R310" i="18"/>
  <c r="R311" i="18"/>
  <c r="R312" i="18"/>
  <c r="R313" i="18"/>
  <c r="R314" i="18"/>
  <c r="R315" i="18"/>
  <c r="R316" i="18"/>
  <c r="R317" i="18"/>
  <c r="R318" i="18"/>
  <c r="R319" i="18"/>
  <c r="R320" i="18"/>
  <c r="R321" i="18"/>
  <c r="R322" i="18"/>
  <c r="R323" i="18"/>
  <c r="R324" i="18"/>
  <c r="R325" i="18"/>
  <c r="R326" i="18"/>
  <c r="R327" i="18"/>
  <c r="R328" i="18"/>
  <c r="R329" i="18"/>
  <c r="R330" i="18"/>
  <c r="R331" i="18"/>
  <c r="R332" i="18"/>
  <c r="R333" i="18"/>
  <c r="R334" i="18"/>
  <c r="R335" i="18"/>
  <c r="R2" i="18"/>
  <c r="CG67" i="2194" l="1"/>
  <c r="CG66" i="2194"/>
  <c r="CE60" i="2194" s="1"/>
  <c r="CG53" i="2194"/>
  <c r="CE46" i="2194"/>
  <c r="CG62" i="2194"/>
  <c r="CE54" i="2194" s="1"/>
  <c r="CG64" i="2194"/>
  <c r="CE56" i="2194"/>
  <c r="CG69" i="2194"/>
  <c r="CE62" i="2194"/>
  <c r="CG57" i="2194"/>
  <c r="CE49" i="2194"/>
  <c r="CE50" i="2194"/>
  <c r="CG59" i="2194"/>
  <c r="CE51" i="2194" s="1"/>
  <c r="CG60" i="2194"/>
  <c r="CE55" i="2194" s="1"/>
  <c r="CE52" i="2194"/>
  <c r="CG55" i="2194"/>
  <c r="CE47" i="2194"/>
  <c r="CE48" i="2194"/>
  <c r="CG46" i="2194"/>
  <c r="CG44" i="2194"/>
  <c r="CE39" i="2194" s="1"/>
  <c r="CG48" i="2194"/>
  <c r="CG35" i="2194"/>
  <c r="CG32" i="2194"/>
  <c r="CG39" i="2194"/>
  <c r="CG30" i="2194"/>
  <c r="CG34" i="2194"/>
  <c r="CG37" i="2194"/>
  <c r="CE21" i="2194"/>
  <c r="CG23" i="2194"/>
  <c r="CE17" i="2194" s="1"/>
  <c r="CG18" i="2194"/>
  <c r="CG14" i="2194"/>
  <c r="BA13" i="2194"/>
  <c r="BA12" i="2194"/>
  <c r="BA15" i="2194"/>
  <c r="BA17" i="2194"/>
  <c r="CG16" i="2194"/>
  <c r="S2" i="18"/>
  <c r="T2" i="18" s="1"/>
  <c r="CE37" i="2194" l="1"/>
  <c r="CE41" i="2194"/>
  <c r="CE53" i="2194"/>
  <c r="CE63" i="2194"/>
  <c r="CE57" i="2194"/>
  <c r="CE58" i="2194"/>
  <c r="CE28" i="2194"/>
  <c r="CE61" i="2194"/>
  <c r="CE24" i="2194"/>
  <c r="CE42" i="2194"/>
  <c r="CE38" i="2194"/>
  <c r="CE66" i="2194"/>
  <c r="CE64" i="2194"/>
  <c r="CE65" i="2194"/>
  <c r="CE59" i="2194"/>
  <c r="CE30" i="2194"/>
  <c r="CE16" i="2194"/>
  <c r="CE45" i="2194"/>
  <c r="CE43" i="2194"/>
  <c r="CE44" i="2194"/>
  <c r="CE40" i="2194"/>
  <c r="CE26" i="2194"/>
  <c r="CE27" i="2194"/>
  <c r="CE29" i="2194"/>
  <c r="CE23" i="2194"/>
  <c r="CE31" i="2194"/>
  <c r="CE36" i="2194"/>
  <c r="CE34" i="2194"/>
  <c r="CE35" i="2194"/>
  <c r="CE22" i="2194"/>
  <c r="CE32" i="2194"/>
  <c r="CE25" i="2194"/>
  <c r="CE11" i="2194"/>
  <c r="CE33" i="2194"/>
  <c r="CE9" i="2194"/>
  <c r="CE20" i="2194"/>
  <c r="CE18" i="2194"/>
  <c r="CE19" i="2194"/>
  <c r="BA16" i="2194"/>
  <c r="CE12" i="2194"/>
  <c r="CE10" i="2194"/>
  <c r="CE13" i="2194"/>
  <c r="CE15" i="2194"/>
  <c r="CE14" i="2194"/>
  <c r="AD2" i="18"/>
  <c r="AD3" i="18"/>
  <c r="AD4" i="18"/>
  <c r="AD5" i="18"/>
  <c r="AD6" i="18"/>
  <c r="AD7" i="18"/>
  <c r="AD8" i="18"/>
  <c r="AD9" i="18"/>
  <c r="AD10" i="18"/>
  <c r="AD11" i="18"/>
  <c r="AD12" i="18"/>
  <c r="AD13" i="18"/>
  <c r="AD14" i="18"/>
  <c r="AD15" i="18"/>
  <c r="AD16" i="18"/>
  <c r="AD17" i="18"/>
  <c r="AD18" i="18"/>
  <c r="AD19" i="18"/>
  <c r="AD20" i="18"/>
  <c r="AD21" i="18"/>
  <c r="AD22" i="18"/>
  <c r="AD23" i="18"/>
  <c r="AD24" i="18"/>
  <c r="AD25" i="18"/>
  <c r="AD26" i="18"/>
  <c r="AD27" i="18"/>
  <c r="AD28" i="18"/>
  <c r="AD29" i="18"/>
  <c r="AD30" i="18"/>
  <c r="AD31" i="18"/>
  <c r="AD32" i="18"/>
  <c r="AD33" i="18"/>
  <c r="AD34" i="18"/>
  <c r="AD35" i="18"/>
  <c r="AD36" i="18"/>
  <c r="AD37" i="18"/>
  <c r="AD38" i="18"/>
  <c r="AD39" i="18"/>
  <c r="AD40" i="18"/>
  <c r="AD41" i="18"/>
  <c r="AD42" i="18"/>
  <c r="AD43" i="18"/>
  <c r="AD44" i="18"/>
  <c r="AD45" i="18"/>
  <c r="AD46" i="18"/>
  <c r="AD47" i="18"/>
  <c r="AD48" i="18"/>
  <c r="AD49" i="18"/>
  <c r="AD50" i="18"/>
  <c r="AD51" i="18"/>
  <c r="AD52" i="18"/>
  <c r="AD53" i="18"/>
  <c r="AD54" i="18"/>
  <c r="AD55" i="18"/>
  <c r="AD56" i="18"/>
  <c r="AD57" i="18"/>
  <c r="AD58" i="18"/>
  <c r="AD59" i="18"/>
  <c r="AD60" i="18"/>
  <c r="AD61" i="18"/>
  <c r="AD62" i="18"/>
  <c r="AD63" i="18"/>
  <c r="AD64" i="18"/>
  <c r="AD65" i="18"/>
  <c r="AD66" i="18"/>
  <c r="AD67" i="18"/>
  <c r="AD68" i="18"/>
  <c r="AD69" i="18"/>
  <c r="AD70" i="18"/>
  <c r="AD71" i="18"/>
  <c r="AD72" i="18"/>
  <c r="AD73" i="18"/>
  <c r="AD74" i="18"/>
  <c r="AD75" i="18"/>
  <c r="AD76" i="18"/>
  <c r="AD77" i="18"/>
  <c r="AD78" i="18"/>
  <c r="AD79" i="18"/>
  <c r="AD80" i="18"/>
  <c r="AD81" i="18"/>
  <c r="AD82" i="18"/>
  <c r="AD83" i="18"/>
  <c r="AD84" i="18"/>
  <c r="AD85" i="18"/>
  <c r="AD86" i="18"/>
  <c r="AD87" i="18"/>
  <c r="AD88" i="18"/>
  <c r="AD89" i="18"/>
  <c r="AD90" i="18"/>
  <c r="AD91" i="18"/>
  <c r="AD92" i="18"/>
  <c r="AD93" i="18"/>
  <c r="AD94" i="18"/>
  <c r="AD95" i="18"/>
  <c r="AD96" i="18"/>
  <c r="AD97" i="18"/>
  <c r="AD98" i="18"/>
  <c r="AD99" i="18"/>
  <c r="AD100" i="18"/>
  <c r="AD101" i="18"/>
  <c r="AD102" i="18"/>
  <c r="AD103" i="18"/>
  <c r="AD104" i="18"/>
  <c r="AD105" i="18"/>
  <c r="AD106" i="18"/>
  <c r="AD107" i="18"/>
  <c r="AD108" i="18"/>
  <c r="AD109" i="18"/>
  <c r="AD110" i="18"/>
  <c r="AD111" i="18"/>
  <c r="AD112" i="18"/>
  <c r="AD113" i="18"/>
  <c r="AD114" i="18"/>
  <c r="AD115" i="18"/>
  <c r="AD116" i="18"/>
  <c r="AD117" i="18"/>
  <c r="AD118" i="18"/>
  <c r="AD119" i="18"/>
  <c r="AD120" i="18"/>
  <c r="AD121" i="18"/>
  <c r="AD122" i="18"/>
  <c r="AD123" i="18"/>
  <c r="AD124" i="18"/>
  <c r="AD125" i="18"/>
  <c r="AD126" i="18"/>
  <c r="AD127" i="18"/>
  <c r="AD128" i="18"/>
  <c r="AD129" i="18"/>
  <c r="AD130" i="18"/>
  <c r="AD131" i="18"/>
  <c r="AD132" i="18"/>
  <c r="AD133" i="18"/>
  <c r="AD134" i="18"/>
  <c r="AD135" i="18"/>
  <c r="AD136" i="18"/>
  <c r="AD137" i="18"/>
  <c r="AD138" i="18"/>
  <c r="AD139" i="18"/>
  <c r="AD140" i="18"/>
  <c r="AD141" i="18"/>
  <c r="AD142" i="18"/>
  <c r="AD143" i="18"/>
  <c r="AD144" i="18"/>
  <c r="AD145" i="18"/>
  <c r="AD146" i="18"/>
  <c r="AD147" i="18"/>
  <c r="AD148" i="18"/>
  <c r="AD149" i="18"/>
  <c r="AD150" i="18"/>
  <c r="AD151" i="18"/>
  <c r="AD152" i="18"/>
  <c r="AD153" i="18"/>
  <c r="AD154" i="18"/>
  <c r="AD155" i="18"/>
  <c r="AD156" i="18"/>
  <c r="AD157" i="18"/>
  <c r="AD158" i="18"/>
  <c r="AD159" i="18"/>
  <c r="AD160" i="18"/>
  <c r="AD161" i="18"/>
  <c r="AD162" i="18"/>
  <c r="AD163" i="18"/>
  <c r="AD164" i="18"/>
  <c r="AD165" i="18"/>
  <c r="AD166" i="18"/>
  <c r="AD167" i="18"/>
  <c r="AD168" i="18"/>
  <c r="AD169" i="18"/>
  <c r="AD170" i="18"/>
  <c r="AD171" i="18"/>
  <c r="AD172" i="18"/>
  <c r="AD173" i="18"/>
  <c r="AD174" i="18"/>
  <c r="AD175" i="18"/>
  <c r="AD176" i="18"/>
  <c r="AD177" i="18"/>
  <c r="AD178" i="18"/>
  <c r="AD179" i="18"/>
  <c r="AD180" i="18"/>
  <c r="AD181" i="18"/>
  <c r="AD182" i="18"/>
  <c r="AD183" i="18"/>
  <c r="AD184" i="18"/>
  <c r="AD185" i="18"/>
  <c r="AD186" i="18"/>
  <c r="AD187" i="18"/>
  <c r="AD188" i="18"/>
  <c r="AD189" i="18"/>
  <c r="AD190" i="18"/>
  <c r="AD191" i="18"/>
  <c r="AD192" i="18"/>
  <c r="AD193" i="18"/>
  <c r="AD194" i="18"/>
  <c r="AD195" i="18"/>
  <c r="AD196" i="18"/>
  <c r="AD197" i="18"/>
  <c r="AD198" i="18"/>
  <c r="AD199" i="18"/>
  <c r="AD200" i="18"/>
  <c r="AD201" i="18"/>
  <c r="AD202" i="18"/>
  <c r="AD203" i="18"/>
  <c r="AD204" i="18"/>
  <c r="AD205" i="18"/>
  <c r="AD206" i="18"/>
  <c r="AD207" i="18"/>
  <c r="AD208" i="18"/>
  <c r="AD209" i="18"/>
  <c r="AD210" i="18"/>
  <c r="AD211" i="18"/>
  <c r="AD212" i="18"/>
  <c r="AD213" i="18"/>
  <c r="AD214" i="18"/>
  <c r="AD215" i="18"/>
  <c r="AD216" i="18"/>
  <c r="AD217" i="18"/>
  <c r="AD218" i="18"/>
  <c r="AD219" i="18"/>
  <c r="AD220" i="18"/>
  <c r="AD221" i="18"/>
  <c r="AD222" i="18"/>
  <c r="AD223" i="18"/>
  <c r="AD224" i="18"/>
  <c r="AD225" i="18"/>
  <c r="AD226" i="18"/>
  <c r="AD227" i="18"/>
  <c r="AD228" i="18"/>
  <c r="AD229" i="18"/>
  <c r="AD230" i="18"/>
  <c r="AD231" i="18"/>
  <c r="AD232" i="18"/>
  <c r="AD233" i="18"/>
  <c r="AD234" i="18"/>
  <c r="AD235" i="18"/>
  <c r="AD236" i="18"/>
  <c r="AD237" i="18"/>
  <c r="AD238" i="18"/>
  <c r="AD239" i="18"/>
  <c r="AD240" i="18"/>
  <c r="AD241" i="18"/>
  <c r="AD242" i="18"/>
  <c r="AD243" i="18"/>
  <c r="AD244" i="18"/>
  <c r="AD245" i="18"/>
  <c r="AD246" i="18"/>
  <c r="AD247" i="18"/>
  <c r="AD248" i="18"/>
  <c r="AD249" i="18"/>
  <c r="AD250" i="18"/>
  <c r="AD251" i="18"/>
  <c r="AD252" i="18"/>
  <c r="AD253" i="18"/>
  <c r="AD254" i="18"/>
  <c r="AD255" i="18"/>
  <c r="AD256" i="18"/>
  <c r="AD257" i="18"/>
  <c r="AD258" i="18"/>
  <c r="AD259" i="18"/>
  <c r="AD260" i="18"/>
  <c r="AD261" i="18"/>
  <c r="AD262" i="18"/>
  <c r="AD263" i="18"/>
  <c r="AD264" i="18"/>
  <c r="AD265" i="18"/>
  <c r="AD266" i="18"/>
  <c r="AD267" i="18"/>
  <c r="AD268" i="18"/>
  <c r="AD269" i="18"/>
  <c r="AD270" i="18"/>
  <c r="AD271" i="18"/>
  <c r="AD272" i="18"/>
  <c r="AD273" i="18"/>
  <c r="AD274" i="18"/>
  <c r="AD275" i="18"/>
  <c r="AD276" i="18"/>
  <c r="AD277" i="18"/>
  <c r="AD278" i="18"/>
  <c r="AD279" i="18"/>
  <c r="AD280" i="18"/>
  <c r="AD281" i="18"/>
  <c r="AD282" i="18"/>
  <c r="AD283" i="18"/>
  <c r="AD284" i="18"/>
  <c r="AD285" i="18"/>
  <c r="AD286" i="18"/>
  <c r="AD287" i="18"/>
  <c r="AD288" i="18"/>
  <c r="AD289" i="18"/>
  <c r="AD290" i="18"/>
  <c r="AD291" i="18"/>
  <c r="AD292" i="18"/>
  <c r="AD293" i="18"/>
  <c r="AD294" i="18"/>
  <c r="AD295" i="18"/>
  <c r="AD296" i="18"/>
  <c r="AD297" i="18"/>
  <c r="AD298" i="18"/>
  <c r="AD299" i="18"/>
  <c r="AD300" i="18"/>
  <c r="AD301" i="18"/>
  <c r="AD302" i="18"/>
  <c r="AD303" i="18"/>
  <c r="AD304" i="18"/>
  <c r="AD305" i="18"/>
  <c r="AD306" i="18"/>
  <c r="AD307" i="18"/>
  <c r="AD308" i="18"/>
  <c r="AD309" i="18"/>
  <c r="AD310" i="18"/>
  <c r="AD311" i="18"/>
  <c r="AD312" i="18"/>
  <c r="AD313" i="18"/>
  <c r="AD314" i="18"/>
  <c r="AD315" i="18"/>
  <c r="AD316" i="18"/>
  <c r="AD317" i="18"/>
  <c r="AD318" i="18"/>
  <c r="AD319" i="18"/>
  <c r="AD320" i="18"/>
  <c r="AD321" i="18"/>
  <c r="AD322" i="18"/>
  <c r="AD323" i="18"/>
  <c r="AD324" i="18"/>
  <c r="AD325" i="18"/>
  <c r="AD326" i="18"/>
  <c r="AD327" i="18"/>
  <c r="AD328" i="18"/>
  <c r="AD329" i="18"/>
  <c r="AD330" i="18"/>
  <c r="AD331" i="18"/>
  <c r="AD332" i="18"/>
  <c r="AD333" i="18"/>
  <c r="AD334" i="18"/>
  <c r="AD335" i="18"/>
  <c r="AD336" i="18"/>
  <c r="AD337" i="18"/>
  <c r="AD338" i="18"/>
  <c r="AD339" i="18"/>
  <c r="AD340" i="18"/>
  <c r="AD341" i="18"/>
  <c r="AD342" i="18"/>
  <c r="AD343" i="18"/>
  <c r="AD344" i="18"/>
  <c r="AD345" i="18"/>
  <c r="AD346" i="18"/>
  <c r="AD347" i="18"/>
  <c r="AD348" i="18"/>
  <c r="AD349" i="18"/>
  <c r="AD350" i="18"/>
  <c r="AD351" i="18"/>
  <c r="AD352" i="18"/>
  <c r="AD353" i="18"/>
  <c r="AD354" i="18"/>
  <c r="AD355" i="18"/>
  <c r="AD356" i="18"/>
  <c r="AD357" i="18"/>
  <c r="AD358" i="18"/>
  <c r="AD359" i="18"/>
  <c r="AD360" i="18"/>
  <c r="AD361" i="18"/>
  <c r="AD362" i="18"/>
  <c r="AD363" i="18"/>
  <c r="AD364" i="18"/>
  <c r="AD365" i="18"/>
  <c r="AD366" i="18"/>
  <c r="AD367" i="18"/>
  <c r="AD368" i="18"/>
  <c r="AD369" i="18"/>
  <c r="AD370" i="18"/>
  <c r="AD371" i="18"/>
  <c r="AD372" i="18"/>
  <c r="AD373" i="18"/>
  <c r="AD374" i="18"/>
  <c r="AD375" i="18"/>
  <c r="AD376" i="18"/>
  <c r="AD377" i="18"/>
  <c r="AD378" i="18"/>
  <c r="AD379" i="18"/>
  <c r="AD380" i="18"/>
  <c r="AD381" i="18"/>
  <c r="AD382" i="18"/>
  <c r="AD383" i="18"/>
  <c r="AD384" i="18"/>
  <c r="AD385" i="18"/>
  <c r="AD386" i="18"/>
  <c r="AD387" i="18"/>
  <c r="AD388" i="18"/>
  <c r="AD389" i="18"/>
  <c r="AD390" i="18"/>
  <c r="AD391" i="18"/>
  <c r="AD392" i="18"/>
  <c r="AD393" i="18"/>
  <c r="AD394" i="18"/>
  <c r="AD395" i="18"/>
  <c r="AD396" i="18"/>
  <c r="AD397" i="18"/>
  <c r="AD398" i="18"/>
  <c r="AD399" i="18"/>
  <c r="AD400" i="18"/>
  <c r="AD401" i="18"/>
  <c r="AD402" i="18"/>
  <c r="AD403" i="18"/>
  <c r="AD404" i="18"/>
  <c r="AD405" i="18"/>
  <c r="AD406" i="18"/>
  <c r="AD407" i="18"/>
  <c r="AD408" i="18"/>
  <c r="AD409" i="18"/>
  <c r="AD410" i="18"/>
  <c r="AD411" i="18"/>
  <c r="AD412" i="18"/>
  <c r="AD413" i="18"/>
  <c r="AD414" i="18"/>
  <c r="AD415" i="18"/>
  <c r="AD416" i="18"/>
  <c r="AD417" i="18"/>
  <c r="AD418" i="18"/>
  <c r="AD419" i="18"/>
  <c r="BD36" i="2194" l="1"/>
  <c r="BD34" i="2194"/>
  <c r="BF34" i="2194" s="1"/>
  <c r="BD34" i="2159"/>
  <c r="BD36" i="2159"/>
  <c r="AZ34" i="2194" l="1"/>
  <c r="BF28" i="2194" s="1"/>
  <c r="AZ36" i="2194"/>
  <c r="BF30" i="2194" s="1"/>
  <c r="BF34" i="2159"/>
  <c r="AZ34" i="2159" s="1"/>
  <c r="AZ36" i="2159" l="1"/>
  <c r="BF30" i="2159" s="1"/>
  <c r="BF28" i="2159"/>
  <c r="AX402" i="18"/>
  <c r="AX403" i="18"/>
  <c r="AX404" i="18"/>
  <c r="AX405" i="18"/>
  <c r="AX406" i="18"/>
  <c r="AX407" i="18"/>
  <c r="AX408" i="18"/>
  <c r="AX409" i="18"/>
  <c r="AX410" i="18"/>
  <c r="AX411" i="18"/>
  <c r="AX412" i="18"/>
  <c r="AX413" i="18"/>
  <c r="AX414" i="18"/>
  <c r="AX415" i="18"/>
  <c r="AX416" i="18"/>
  <c r="AX417" i="18"/>
  <c r="AX418" i="18"/>
  <c r="AX419" i="18"/>
  <c r="AX420" i="18"/>
  <c r="AX421" i="18"/>
  <c r="AX422" i="18"/>
  <c r="AX423" i="18"/>
  <c r="AX424" i="18"/>
  <c r="AX425" i="18"/>
  <c r="AX426" i="18"/>
  <c r="AX427" i="18"/>
  <c r="AX428" i="18"/>
  <c r="AX429" i="18"/>
  <c r="AX430" i="18"/>
  <c r="AX431" i="18"/>
  <c r="AX432" i="18"/>
  <c r="AX433" i="18"/>
  <c r="AX434" i="18"/>
  <c r="AX435" i="18"/>
  <c r="AX436" i="18"/>
  <c r="AX437" i="18"/>
  <c r="AX438" i="18"/>
  <c r="AX439" i="18"/>
  <c r="AX440" i="18"/>
  <c r="AX441" i="18"/>
  <c r="AX442" i="18"/>
  <c r="AX443" i="18"/>
  <c r="AX444" i="18"/>
  <c r="AX445" i="18"/>
  <c r="AX446" i="18"/>
  <c r="AX447" i="18"/>
  <c r="AX448" i="18"/>
  <c r="AX449" i="18"/>
  <c r="AX450" i="18"/>
  <c r="AX451" i="18"/>
  <c r="AX452" i="18"/>
  <c r="AX453" i="18"/>
  <c r="AX454" i="18"/>
  <c r="AX455" i="18"/>
  <c r="AX456" i="18"/>
  <c r="AX457" i="18"/>
  <c r="AX458" i="18"/>
  <c r="AX459" i="18"/>
  <c r="AX460" i="18"/>
  <c r="AX461" i="18"/>
  <c r="AX462" i="18"/>
  <c r="AX463" i="18"/>
  <c r="AX464" i="18"/>
  <c r="AX465" i="18"/>
  <c r="AX466" i="18"/>
  <c r="AX467" i="18"/>
  <c r="AX468" i="18"/>
  <c r="AX469" i="18"/>
  <c r="AX470" i="18"/>
  <c r="AX471" i="18"/>
  <c r="AX472" i="18"/>
  <c r="AX473" i="18"/>
  <c r="AX474" i="18"/>
  <c r="AX475" i="18"/>
  <c r="AX476" i="18"/>
  <c r="AX477" i="18"/>
  <c r="AX478" i="18"/>
  <c r="AX479" i="18"/>
  <c r="AX480" i="18"/>
  <c r="AX481" i="18"/>
  <c r="AX482" i="18"/>
  <c r="AX483" i="18"/>
  <c r="AX484" i="18"/>
  <c r="AX485" i="18"/>
  <c r="AX486" i="18"/>
  <c r="AX487" i="18"/>
  <c r="AX488" i="18"/>
  <c r="AX489" i="18"/>
  <c r="AX490" i="18"/>
  <c r="AX491" i="18"/>
  <c r="AX492" i="18"/>
  <c r="AX493" i="18"/>
  <c r="AX494" i="18"/>
  <c r="AX495" i="18"/>
  <c r="AX496" i="18"/>
  <c r="AX497" i="18"/>
  <c r="AX498" i="18"/>
  <c r="AX499" i="18"/>
  <c r="AX500" i="18"/>
  <c r="AX501" i="18"/>
  <c r="AX502" i="18"/>
  <c r="AX503" i="18"/>
  <c r="AX504" i="18"/>
  <c r="AX505" i="18"/>
  <c r="AX506" i="18"/>
  <c r="AX507" i="18"/>
  <c r="AX508" i="18"/>
  <c r="AX509" i="18"/>
  <c r="AX510" i="18"/>
  <c r="AX511" i="18"/>
  <c r="AX512" i="18"/>
  <c r="AX513" i="18"/>
  <c r="AX514" i="18"/>
  <c r="AX515" i="18"/>
  <c r="AX516" i="18"/>
  <c r="AX517" i="18"/>
  <c r="AX518" i="18"/>
  <c r="AX519" i="18"/>
  <c r="AX520" i="18"/>
  <c r="AX521" i="18"/>
  <c r="AX522" i="18"/>
  <c r="AX523" i="18"/>
  <c r="AX524" i="18"/>
  <c r="AX525" i="18"/>
  <c r="AX526" i="18"/>
  <c r="AX527" i="18"/>
  <c r="AX528" i="18"/>
  <c r="AX529" i="18"/>
  <c r="AX530" i="18"/>
  <c r="AX531" i="18"/>
  <c r="AX532" i="18"/>
  <c r="AX533" i="18"/>
  <c r="AX534" i="18"/>
  <c r="AX535" i="18"/>
  <c r="AX536" i="18"/>
  <c r="AX537" i="18"/>
  <c r="AX538" i="18"/>
  <c r="AX539" i="18"/>
  <c r="AX540" i="18"/>
  <c r="AX541" i="18"/>
  <c r="AX542" i="18"/>
  <c r="AX543" i="18"/>
  <c r="AX544" i="18"/>
  <c r="AX545" i="18"/>
  <c r="AX546" i="18"/>
  <c r="AX547" i="18"/>
  <c r="AX548" i="18"/>
  <c r="AX549" i="18"/>
  <c r="AX550" i="18"/>
  <c r="AX551" i="18"/>
  <c r="AX552" i="18"/>
  <c r="AX553" i="18"/>
  <c r="AX554" i="18"/>
  <c r="AX555" i="18"/>
  <c r="AX556" i="18"/>
  <c r="AX557" i="18"/>
  <c r="AX558" i="18"/>
  <c r="AX559" i="18"/>
  <c r="AX560" i="18"/>
  <c r="AX561" i="18"/>
  <c r="AX562" i="18"/>
  <c r="AX563" i="18"/>
  <c r="AX564" i="18"/>
  <c r="AX565" i="18"/>
  <c r="AX566" i="18"/>
  <c r="AX567" i="18"/>
  <c r="AX568" i="18"/>
  <c r="AX569" i="18"/>
  <c r="AX570" i="18"/>
  <c r="AX571" i="18"/>
  <c r="AX572" i="18"/>
  <c r="AX573" i="18"/>
  <c r="AX574" i="18"/>
  <c r="AX575" i="18"/>
  <c r="AX576" i="18"/>
  <c r="AX577" i="18"/>
  <c r="AX578" i="18"/>
  <c r="AX579" i="18"/>
  <c r="AX580" i="18"/>
  <c r="AX581" i="18"/>
  <c r="AX582" i="18"/>
  <c r="AX583" i="18"/>
  <c r="AX584" i="18"/>
  <c r="AX585" i="18"/>
  <c r="AX586" i="18"/>
  <c r="AX587" i="18"/>
  <c r="AX588" i="18"/>
  <c r="AX251" i="18"/>
  <c r="AX252" i="18"/>
  <c r="AX253" i="18"/>
  <c r="AX254" i="18"/>
  <c r="AX255" i="18"/>
  <c r="AX256" i="18"/>
  <c r="AX257" i="18"/>
  <c r="AX258" i="18"/>
  <c r="AX259" i="18"/>
  <c r="AX260" i="18"/>
  <c r="AX261" i="18"/>
  <c r="AX262" i="18"/>
  <c r="AX263" i="18"/>
  <c r="AX264" i="18"/>
  <c r="AX265" i="18"/>
  <c r="AX266" i="18"/>
  <c r="AX267" i="18"/>
  <c r="AX268" i="18"/>
  <c r="AX269" i="18"/>
  <c r="AX270" i="18"/>
  <c r="AX271" i="18"/>
  <c r="AX272" i="18"/>
  <c r="AX273" i="18"/>
  <c r="AX274" i="18"/>
  <c r="AX275" i="18"/>
  <c r="AX276" i="18"/>
  <c r="AX277" i="18"/>
  <c r="AX278" i="18"/>
  <c r="AX279" i="18"/>
  <c r="AX280" i="18"/>
  <c r="AX281" i="18"/>
  <c r="AX282" i="18"/>
  <c r="AX283" i="18"/>
  <c r="AX284" i="18"/>
  <c r="AX285" i="18"/>
  <c r="AX286" i="18"/>
  <c r="AX287" i="18"/>
  <c r="AX288" i="18"/>
  <c r="AX289" i="18"/>
  <c r="AX290" i="18"/>
  <c r="AX291" i="18"/>
  <c r="AX292" i="18"/>
  <c r="AX293" i="18"/>
  <c r="AX294" i="18"/>
  <c r="AX295" i="18"/>
  <c r="AX296" i="18"/>
  <c r="AX297" i="18"/>
  <c r="AX298" i="18"/>
  <c r="AX299" i="18"/>
  <c r="AX300" i="18"/>
  <c r="AX301" i="18"/>
  <c r="AX302" i="18"/>
  <c r="AX303" i="18"/>
  <c r="AX304" i="18"/>
  <c r="AX305" i="18"/>
  <c r="AX306" i="18"/>
  <c r="AX307" i="18"/>
  <c r="AX308" i="18"/>
  <c r="AX309" i="18"/>
  <c r="AX310" i="18"/>
  <c r="AX311" i="18"/>
  <c r="AX312" i="18"/>
  <c r="AX313" i="18"/>
  <c r="AX314" i="18"/>
  <c r="AX315" i="18"/>
  <c r="AX316" i="18"/>
  <c r="AX317" i="18"/>
  <c r="AX318" i="18"/>
  <c r="AX319" i="18"/>
  <c r="AX320" i="18"/>
  <c r="AX321" i="18"/>
  <c r="AX322" i="18"/>
  <c r="AX323" i="18"/>
  <c r="AX324" i="18"/>
  <c r="AX325" i="18"/>
  <c r="AX326" i="18"/>
  <c r="AX327" i="18"/>
  <c r="AX328" i="18"/>
  <c r="AX329" i="18"/>
  <c r="AX330" i="18"/>
  <c r="AX331" i="18"/>
  <c r="AX332" i="18"/>
  <c r="AX333" i="18"/>
  <c r="AX334" i="18"/>
  <c r="AX335" i="18"/>
  <c r="AX336" i="18"/>
  <c r="AX337" i="18"/>
  <c r="AX338" i="18"/>
  <c r="AX339" i="18"/>
  <c r="AX340" i="18"/>
  <c r="AX341" i="18"/>
  <c r="AX342" i="18"/>
  <c r="AX343" i="18"/>
  <c r="AX344" i="18"/>
  <c r="AX345" i="18"/>
  <c r="AX346" i="18"/>
  <c r="AX347" i="18"/>
  <c r="AX348" i="18"/>
  <c r="AX349" i="18"/>
  <c r="AX350" i="18"/>
  <c r="AX351" i="18"/>
  <c r="AX352" i="18"/>
  <c r="AX353" i="18"/>
  <c r="AX354" i="18"/>
  <c r="AX355" i="18"/>
  <c r="AX356" i="18"/>
  <c r="AX357" i="18"/>
  <c r="AX358" i="18"/>
  <c r="AX359" i="18"/>
  <c r="AX360" i="18"/>
  <c r="AX361" i="18"/>
  <c r="AX362" i="18"/>
  <c r="AX363" i="18"/>
  <c r="AX364" i="18"/>
  <c r="AX365" i="18"/>
  <c r="AX366" i="18"/>
  <c r="AX367" i="18"/>
  <c r="AX368" i="18"/>
  <c r="AX369" i="18"/>
  <c r="AX370" i="18"/>
  <c r="AX371" i="18"/>
  <c r="AX372" i="18"/>
  <c r="AX373" i="18"/>
  <c r="AX374" i="18"/>
  <c r="AX375" i="18"/>
  <c r="AX376" i="18"/>
  <c r="AX377" i="18"/>
  <c r="AX378" i="18"/>
  <c r="AX379" i="18"/>
  <c r="AX380" i="18"/>
  <c r="AX381" i="18"/>
  <c r="AX382" i="18"/>
  <c r="AX383" i="18"/>
  <c r="AX384" i="18"/>
  <c r="AX385" i="18"/>
  <c r="AX386" i="18"/>
  <c r="AX387" i="18"/>
  <c r="AX388" i="18"/>
  <c r="AX389" i="18"/>
  <c r="AX390" i="18"/>
  <c r="AX391" i="18"/>
  <c r="AX392" i="18"/>
  <c r="AX393" i="18"/>
  <c r="AX394" i="18"/>
  <c r="AX395" i="18"/>
  <c r="AX396" i="18"/>
  <c r="AX397" i="18"/>
  <c r="AX398" i="18"/>
  <c r="AX399" i="18"/>
  <c r="AX400" i="18"/>
  <c r="AX401" i="18"/>
  <c r="AX5" i="18" l="1"/>
  <c r="AX4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AX34" i="18"/>
  <c r="AX35" i="18"/>
  <c r="AX36" i="18"/>
  <c r="AX37" i="18"/>
  <c r="AX38" i="18"/>
  <c r="AX39" i="18"/>
  <c r="AX40" i="18"/>
  <c r="AX41" i="18"/>
  <c r="AX42" i="18"/>
  <c r="AX43" i="18"/>
  <c r="AX44" i="18"/>
  <c r="AX45" i="18"/>
  <c r="AX46" i="18"/>
  <c r="AX47" i="18"/>
  <c r="AX48" i="18"/>
  <c r="AX49" i="18"/>
  <c r="AX50" i="18"/>
  <c r="AX51" i="18"/>
  <c r="AX52" i="18"/>
  <c r="AX53" i="18"/>
  <c r="AX54" i="18"/>
  <c r="AX55" i="18"/>
  <c r="AX56" i="18"/>
  <c r="AX57" i="18"/>
  <c r="AX58" i="18"/>
  <c r="AX59" i="18"/>
  <c r="AX60" i="18"/>
  <c r="AX61" i="18"/>
  <c r="AX62" i="18"/>
  <c r="AX63" i="18"/>
  <c r="AX64" i="18"/>
  <c r="AX65" i="18"/>
  <c r="AX66" i="18"/>
  <c r="AX67" i="18"/>
  <c r="AX68" i="18"/>
  <c r="AX69" i="18"/>
  <c r="AX70" i="18"/>
  <c r="AX71" i="18"/>
  <c r="AX72" i="18"/>
  <c r="AX73" i="18"/>
  <c r="AX74" i="18"/>
  <c r="AX75" i="18"/>
  <c r="AX76" i="18"/>
  <c r="AX77" i="18"/>
  <c r="AX78" i="18"/>
  <c r="AX79" i="18"/>
  <c r="AX80" i="18"/>
  <c r="AX81" i="18"/>
  <c r="AX82" i="18"/>
  <c r="AX83" i="18"/>
  <c r="AX84" i="18"/>
  <c r="AX85" i="18"/>
  <c r="AX86" i="18"/>
  <c r="AX87" i="18"/>
  <c r="AX88" i="18"/>
  <c r="AX89" i="18"/>
  <c r="AX90" i="18"/>
  <c r="AX91" i="18"/>
  <c r="AX92" i="18"/>
  <c r="AX93" i="18"/>
  <c r="AX94" i="18"/>
  <c r="AX95" i="18"/>
  <c r="AX96" i="18"/>
  <c r="AX97" i="18"/>
  <c r="AX98" i="18"/>
  <c r="AX99" i="18"/>
  <c r="AX100" i="18"/>
  <c r="AX101" i="18"/>
  <c r="AX102" i="18"/>
  <c r="AX103" i="18"/>
  <c r="AX104" i="18"/>
  <c r="AX105" i="18"/>
  <c r="AX106" i="18"/>
  <c r="AX107" i="18"/>
  <c r="AX108" i="18"/>
  <c r="AX109" i="18"/>
  <c r="AX110" i="18"/>
  <c r="AX111" i="18"/>
  <c r="AX112" i="18"/>
  <c r="AX113" i="18"/>
  <c r="AX114" i="18"/>
  <c r="AX115" i="18"/>
  <c r="AX116" i="18"/>
  <c r="AX117" i="18"/>
  <c r="AX118" i="18"/>
  <c r="AX119" i="18"/>
  <c r="AX120" i="18"/>
  <c r="AX121" i="18"/>
  <c r="AX122" i="18"/>
  <c r="AX123" i="18"/>
  <c r="AX124" i="18"/>
  <c r="AX125" i="18"/>
  <c r="AX126" i="18"/>
  <c r="AX127" i="18"/>
  <c r="AX128" i="18"/>
  <c r="AX129" i="18"/>
  <c r="AX130" i="18"/>
  <c r="AX131" i="18"/>
  <c r="AX132" i="18"/>
  <c r="AX133" i="18"/>
  <c r="AX134" i="18"/>
  <c r="AX135" i="18"/>
  <c r="AX136" i="18"/>
  <c r="AX137" i="18"/>
  <c r="AX138" i="18"/>
  <c r="AX139" i="18"/>
  <c r="AX140" i="18"/>
  <c r="AX141" i="18"/>
  <c r="AX142" i="18"/>
  <c r="AX143" i="18"/>
  <c r="AX144" i="18"/>
  <c r="AX145" i="18"/>
  <c r="AX146" i="18"/>
  <c r="AX147" i="18"/>
  <c r="AX148" i="18"/>
  <c r="AX149" i="18"/>
  <c r="AX150" i="18"/>
  <c r="AX151" i="18"/>
  <c r="AX152" i="18"/>
  <c r="AX153" i="18"/>
  <c r="AX154" i="18"/>
  <c r="AX155" i="18"/>
  <c r="AX156" i="18"/>
  <c r="AX157" i="18"/>
  <c r="AX158" i="18"/>
  <c r="AX159" i="18"/>
  <c r="AX160" i="18"/>
  <c r="AX161" i="18"/>
  <c r="AX162" i="18"/>
  <c r="AX163" i="18"/>
  <c r="AX164" i="18"/>
  <c r="AX165" i="18"/>
  <c r="AX166" i="18"/>
  <c r="AX167" i="18"/>
  <c r="AX168" i="18"/>
  <c r="AX169" i="18"/>
  <c r="AX170" i="18"/>
  <c r="AX171" i="18"/>
  <c r="AX172" i="18"/>
  <c r="AX173" i="18"/>
  <c r="AX174" i="18"/>
  <c r="AX175" i="18"/>
  <c r="AX176" i="18"/>
  <c r="AX177" i="18"/>
  <c r="AX178" i="18"/>
  <c r="AX179" i="18"/>
  <c r="AX180" i="18"/>
  <c r="AX181" i="18"/>
  <c r="AX182" i="18"/>
  <c r="AX183" i="18"/>
  <c r="AX184" i="18"/>
  <c r="AX185" i="18"/>
  <c r="AX186" i="18"/>
  <c r="AX187" i="18"/>
  <c r="AX188" i="18"/>
  <c r="AX189" i="18"/>
  <c r="AX190" i="18"/>
  <c r="AX191" i="18"/>
  <c r="AX192" i="18"/>
  <c r="AX193" i="18"/>
  <c r="AX194" i="18"/>
  <c r="AX195" i="18"/>
  <c r="AX196" i="18"/>
  <c r="AX197" i="18"/>
  <c r="AX198" i="18"/>
  <c r="AX199" i="18"/>
  <c r="AX200" i="18"/>
  <c r="AX201" i="18"/>
  <c r="AX202" i="18"/>
  <c r="AX203" i="18"/>
  <c r="AX204" i="18"/>
  <c r="AX205" i="18"/>
  <c r="AX206" i="18"/>
  <c r="AX207" i="18"/>
  <c r="AX208" i="18"/>
  <c r="AX209" i="18"/>
  <c r="AX210" i="18"/>
  <c r="AX211" i="18"/>
  <c r="AX212" i="18"/>
  <c r="AX213" i="18"/>
  <c r="AX214" i="18"/>
  <c r="AX215" i="18"/>
  <c r="AX216" i="18"/>
  <c r="AX217" i="18"/>
  <c r="AX218" i="18"/>
  <c r="AX219" i="18"/>
  <c r="AX220" i="18"/>
  <c r="AX221" i="18"/>
  <c r="AX222" i="18"/>
  <c r="AX223" i="18"/>
  <c r="AX224" i="18"/>
  <c r="AX225" i="18"/>
  <c r="AX226" i="18"/>
  <c r="AX227" i="18"/>
  <c r="AX228" i="18"/>
  <c r="AX229" i="18"/>
  <c r="AX230" i="18"/>
  <c r="AX231" i="18"/>
  <c r="AX232" i="18"/>
  <c r="AX233" i="18"/>
  <c r="AX234" i="18"/>
  <c r="AX235" i="18"/>
  <c r="AX236" i="18"/>
  <c r="AX237" i="18"/>
  <c r="AX238" i="18"/>
  <c r="AX239" i="18"/>
  <c r="AX240" i="18"/>
  <c r="AX241" i="18"/>
  <c r="AX242" i="18"/>
  <c r="AX243" i="18"/>
  <c r="AX244" i="18"/>
  <c r="AX245" i="18"/>
  <c r="AX246" i="18"/>
  <c r="AX247" i="18"/>
  <c r="AX248" i="18"/>
  <c r="AX249" i="18"/>
  <c r="AX250" i="18"/>
  <c r="AF32" i="18" l="1"/>
  <c r="AG32" i="18" s="1"/>
  <c r="BN3" i="18" l="1"/>
  <c r="BN4" i="18"/>
  <c r="BN5" i="18"/>
  <c r="BN6" i="18"/>
  <c r="BN7" i="18"/>
  <c r="BN8" i="18"/>
  <c r="BN9" i="18"/>
  <c r="BN10" i="18"/>
  <c r="BN11" i="18"/>
  <c r="BN12" i="18"/>
  <c r="BN13" i="18"/>
  <c r="BN14" i="18"/>
  <c r="BN15" i="18"/>
  <c r="BN16" i="18"/>
  <c r="BN17" i="18"/>
  <c r="BN18" i="18"/>
  <c r="BN19" i="18"/>
  <c r="BN20" i="18"/>
  <c r="BN21" i="18"/>
  <c r="BN22" i="18"/>
  <c r="BN23" i="18"/>
  <c r="BN24" i="18"/>
  <c r="BN25" i="18"/>
  <c r="BN26" i="18"/>
  <c r="BN27" i="18"/>
  <c r="BN28" i="18"/>
  <c r="BN29" i="18"/>
  <c r="BN30" i="18"/>
  <c r="BN31" i="18"/>
  <c r="BN32" i="18"/>
  <c r="BN33" i="18"/>
  <c r="BN34" i="18"/>
  <c r="BN35" i="18"/>
  <c r="BN36" i="18"/>
  <c r="BN37" i="18"/>
  <c r="BN38" i="18"/>
  <c r="BN39" i="18"/>
  <c r="BN40" i="18"/>
  <c r="BN41" i="18"/>
  <c r="BN42" i="18"/>
  <c r="BN43" i="18"/>
  <c r="BN44" i="18"/>
  <c r="BN45" i="18"/>
  <c r="BN46" i="18"/>
  <c r="BN47" i="18"/>
  <c r="BN48" i="18"/>
  <c r="BN49" i="18"/>
  <c r="BN50" i="18"/>
  <c r="BN51" i="18"/>
  <c r="BN52" i="18"/>
  <c r="BN53" i="18"/>
  <c r="BN54" i="18"/>
  <c r="BN55" i="18"/>
  <c r="BN56" i="18"/>
  <c r="BN57" i="18"/>
  <c r="BN58" i="18"/>
  <c r="BN59" i="18"/>
  <c r="BN60" i="18"/>
  <c r="BN61" i="18"/>
  <c r="BN62" i="18"/>
  <c r="BN63" i="18"/>
  <c r="BN64" i="18"/>
  <c r="BN65" i="18"/>
  <c r="BN66" i="18"/>
  <c r="BN67" i="18"/>
  <c r="BN68" i="18"/>
  <c r="BN69" i="18"/>
  <c r="BN70" i="18"/>
  <c r="BN71" i="18"/>
  <c r="BN72" i="18"/>
  <c r="BN73" i="18"/>
  <c r="BN74" i="18"/>
  <c r="BN75" i="18"/>
  <c r="BN76" i="18"/>
  <c r="BN77" i="18"/>
  <c r="BN78" i="18"/>
  <c r="BN79" i="18"/>
  <c r="BN80" i="18"/>
  <c r="BN81" i="18"/>
  <c r="BN82" i="18"/>
  <c r="BN83" i="18"/>
  <c r="BN84" i="18"/>
  <c r="BN85" i="18"/>
  <c r="BN86" i="18"/>
  <c r="BN87" i="18"/>
  <c r="BN88" i="18"/>
  <c r="BN89" i="18"/>
  <c r="BN90" i="18"/>
  <c r="BN91" i="18"/>
  <c r="BN92" i="18"/>
  <c r="BN93" i="18"/>
  <c r="BN94" i="18"/>
  <c r="BN95" i="18"/>
  <c r="BN96" i="18"/>
  <c r="BN97" i="18"/>
  <c r="BN98" i="18"/>
  <c r="BN99" i="18"/>
  <c r="BN100" i="18"/>
  <c r="BN101" i="18"/>
  <c r="BN102" i="18"/>
  <c r="BN103" i="18"/>
  <c r="BN104" i="18"/>
  <c r="BN105" i="18"/>
  <c r="BN106" i="18"/>
  <c r="BN107" i="18"/>
  <c r="BN108" i="18"/>
  <c r="BN109" i="18"/>
  <c r="BN110" i="18"/>
  <c r="BN111" i="18"/>
  <c r="BN112" i="18"/>
  <c r="BN113" i="18"/>
  <c r="BN114" i="18"/>
  <c r="BN115" i="18"/>
  <c r="BN116" i="18"/>
  <c r="BN117" i="18"/>
  <c r="BN118" i="18"/>
  <c r="BN119" i="18"/>
  <c r="BN120" i="18"/>
  <c r="BN121" i="18"/>
  <c r="BN122" i="18"/>
  <c r="BN123" i="18"/>
  <c r="BN124" i="18"/>
  <c r="BN125" i="18"/>
  <c r="BN126" i="18"/>
  <c r="BN127" i="18"/>
  <c r="BN128" i="18"/>
  <c r="BN129" i="18"/>
  <c r="BN130" i="18"/>
  <c r="BN131" i="18"/>
  <c r="BN132" i="18"/>
  <c r="BN133" i="18"/>
  <c r="BN134" i="18"/>
  <c r="BN135" i="18"/>
  <c r="BN136" i="18"/>
  <c r="BN137" i="18"/>
  <c r="BN138" i="18"/>
  <c r="BN139" i="18"/>
  <c r="BN140" i="18"/>
  <c r="BN141" i="18"/>
  <c r="BN142" i="18"/>
  <c r="BN143" i="18"/>
  <c r="BN144" i="18"/>
  <c r="BN145" i="18"/>
  <c r="BN146" i="18"/>
  <c r="BN147" i="18"/>
  <c r="BN148" i="18"/>
  <c r="BN149" i="18"/>
  <c r="BN150" i="18"/>
  <c r="BN151" i="18"/>
  <c r="BN152" i="18"/>
  <c r="BN153" i="18"/>
  <c r="BN154" i="18"/>
  <c r="BN155" i="18"/>
  <c r="BN156" i="18"/>
  <c r="BN157" i="18"/>
  <c r="BN158" i="18"/>
  <c r="BN159" i="18"/>
  <c r="BN160" i="18"/>
  <c r="BN161" i="18"/>
  <c r="BN162" i="18"/>
  <c r="BN163" i="18"/>
  <c r="BN164" i="18"/>
  <c r="BN165" i="18"/>
  <c r="BN166" i="18"/>
  <c r="BN167" i="18"/>
  <c r="BN168" i="18"/>
  <c r="BN169" i="18"/>
  <c r="BN170" i="18"/>
  <c r="BN171" i="18"/>
  <c r="BN172" i="18"/>
  <c r="BN173" i="18"/>
  <c r="BN174" i="18"/>
  <c r="BN175" i="18"/>
  <c r="BN176" i="18"/>
  <c r="BN177" i="18"/>
  <c r="BN178" i="18"/>
  <c r="BN179" i="18"/>
  <c r="BN180" i="18"/>
  <c r="BN181" i="18"/>
  <c r="BN182" i="18"/>
  <c r="BN183" i="18"/>
  <c r="BN184" i="18"/>
  <c r="BN185" i="18"/>
  <c r="BN186" i="18"/>
  <c r="BN187" i="18"/>
  <c r="BN188" i="18"/>
  <c r="BN189" i="18"/>
  <c r="BN190" i="18"/>
  <c r="BN191" i="18"/>
  <c r="BN192" i="18"/>
  <c r="BN193" i="18"/>
  <c r="BN194" i="18"/>
  <c r="BN195" i="18"/>
  <c r="BN196" i="18"/>
  <c r="BN197" i="18"/>
  <c r="BN198" i="18"/>
  <c r="BN199" i="18"/>
  <c r="BN200" i="18"/>
  <c r="BN201" i="18"/>
  <c r="BN202" i="18"/>
  <c r="BN203" i="18"/>
  <c r="BN204" i="18"/>
  <c r="BN205" i="18"/>
  <c r="BN206" i="18"/>
  <c r="BN207" i="18"/>
  <c r="BN208" i="18"/>
  <c r="BN209" i="18"/>
  <c r="BN210" i="18"/>
  <c r="BN211" i="18"/>
  <c r="BN212" i="18"/>
  <c r="BN213" i="18"/>
  <c r="BN214" i="18"/>
  <c r="BN215" i="18"/>
  <c r="BN216" i="18"/>
  <c r="BN217" i="18"/>
  <c r="BN218" i="18"/>
  <c r="BN219" i="18"/>
  <c r="BN220" i="18"/>
  <c r="BN221" i="18"/>
  <c r="BN222" i="18"/>
  <c r="BN223" i="18"/>
  <c r="BN224" i="18"/>
  <c r="BN225" i="18"/>
  <c r="BN226" i="18"/>
  <c r="BN227" i="18"/>
  <c r="BN228" i="18"/>
  <c r="BN229" i="18"/>
  <c r="BN230" i="18"/>
  <c r="BN231" i="18"/>
  <c r="BN232" i="18"/>
  <c r="BN233" i="18"/>
  <c r="BN234" i="18"/>
  <c r="BN235" i="18"/>
  <c r="BN236" i="18"/>
  <c r="BN237" i="18"/>
  <c r="BN238" i="18"/>
  <c r="BN239" i="18"/>
  <c r="BN240" i="18"/>
  <c r="BN241" i="18"/>
  <c r="BN242" i="18"/>
  <c r="BN243" i="18"/>
  <c r="BN244" i="18"/>
  <c r="BN245" i="18"/>
  <c r="BN246" i="18"/>
  <c r="BN247" i="18"/>
  <c r="BN248" i="18"/>
  <c r="BN249" i="18"/>
  <c r="BN250" i="18"/>
  <c r="BN251" i="18"/>
  <c r="BN252" i="18"/>
  <c r="BN253" i="18"/>
  <c r="BN254" i="18"/>
  <c r="BN255" i="18"/>
  <c r="BN256" i="18"/>
  <c r="BN257" i="18"/>
  <c r="BN258" i="18"/>
  <c r="BN259" i="18"/>
  <c r="BN260" i="18"/>
  <c r="BN261" i="18"/>
  <c r="BN262" i="18"/>
  <c r="BN263" i="18"/>
  <c r="BN264" i="18"/>
  <c r="BN265" i="18"/>
  <c r="BN266" i="18"/>
  <c r="BN267" i="18"/>
  <c r="BN268" i="18"/>
  <c r="BN269" i="18"/>
  <c r="BN270" i="18"/>
  <c r="BN271" i="18"/>
  <c r="BN272" i="18"/>
  <c r="BN273" i="18"/>
  <c r="BN274" i="18"/>
  <c r="BN275" i="18"/>
  <c r="BN276" i="18"/>
  <c r="BN277" i="18"/>
  <c r="BN278" i="18"/>
  <c r="BN279" i="18"/>
  <c r="BN280" i="18"/>
  <c r="BN281" i="18"/>
  <c r="BN282" i="18"/>
  <c r="BN283" i="18"/>
  <c r="BN284" i="18"/>
  <c r="BN285" i="18"/>
  <c r="BN286" i="18"/>
  <c r="BN287" i="18"/>
  <c r="BN288" i="18"/>
  <c r="BN289" i="18"/>
  <c r="BN290" i="18"/>
  <c r="BN291" i="18"/>
  <c r="BN292" i="18"/>
  <c r="BN293" i="18"/>
  <c r="BN294" i="18"/>
  <c r="BN295" i="18"/>
  <c r="BN296" i="18"/>
  <c r="BN297" i="18"/>
  <c r="BN298" i="18"/>
  <c r="BN299" i="18"/>
  <c r="BN300" i="18"/>
  <c r="BN301" i="18"/>
  <c r="BN302" i="18"/>
  <c r="BN303" i="18"/>
  <c r="BN304" i="18"/>
  <c r="BN305" i="18"/>
  <c r="BN306" i="18"/>
  <c r="BN307" i="18"/>
  <c r="BN308" i="18"/>
  <c r="BN309" i="18"/>
  <c r="BN310" i="18"/>
  <c r="BN311" i="18"/>
  <c r="BN312" i="18"/>
  <c r="BN313" i="18"/>
  <c r="BN314" i="18"/>
  <c r="BN315" i="18"/>
  <c r="BN316" i="18"/>
  <c r="BN317" i="18"/>
  <c r="BN318" i="18"/>
  <c r="BN319" i="18"/>
  <c r="BN320" i="18"/>
  <c r="BN321" i="18"/>
  <c r="BN322" i="18"/>
  <c r="BN323" i="18"/>
  <c r="BN324" i="18"/>
  <c r="BN325" i="18"/>
  <c r="BN326" i="18"/>
  <c r="BN327" i="18"/>
  <c r="BN328" i="18"/>
  <c r="BN329" i="18"/>
  <c r="BN330" i="18"/>
  <c r="BN331" i="18"/>
  <c r="BN332" i="18"/>
  <c r="BN333" i="18"/>
  <c r="BN334" i="18"/>
  <c r="BN335" i="18"/>
  <c r="BN336" i="18"/>
  <c r="BN337" i="18"/>
  <c r="BN338" i="18"/>
  <c r="BN339" i="18"/>
  <c r="BN340" i="18"/>
  <c r="BN341" i="18"/>
  <c r="BN342" i="18"/>
  <c r="BN343" i="18"/>
  <c r="BN344" i="18"/>
  <c r="BN345" i="18"/>
  <c r="BN346" i="18"/>
  <c r="BN347" i="18"/>
  <c r="BN348" i="18"/>
  <c r="BN349" i="18"/>
  <c r="BN350" i="18"/>
  <c r="BN351" i="18"/>
  <c r="BN352" i="18"/>
  <c r="BN353" i="18"/>
  <c r="BN354" i="18"/>
  <c r="BN355" i="18"/>
  <c r="BN356" i="18"/>
  <c r="BN357" i="18"/>
  <c r="BN358" i="18"/>
  <c r="BN359" i="18"/>
  <c r="BN360" i="18"/>
  <c r="BN361" i="18"/>
  <c r="BN362" i="18"/>
  <c r="BN363" i="18"/>
  <c r="BN364" i="18"/>
  <c r="BN365" i="18"/>
  <c r="BN366" i="18"/>
  <c r="BN367" i="18"/>
  <c r="BN368" i="18"/>
  <c r="BN369" i="18"/>
  <c r="BN370" i="18"/>
  <c r="BN371" i="18"/>
  <c r="BN372" i="18"/>
  <c r="BN373" i="18"/>
  <c r="BN374" i="18"/>
  <c r="BN375" i="18"/>
  <c r="BN376" i="18"/>
  <c r="BN377" i="18"/>
  <c r="BN378" i="18"/>
  <c r="BN379" i="18"/>
  <c r="BN380" i="18"/>
  <c r="BN381" i="18"/>
  <c r="BN382" i="18"/>
  <c r="BN383" i="18"/>
  <c r="BN384" i="18"/>
  <c r="BN385" i="18"/>
  <c r="BN386" i="18"/>
  <c r="BN387" i="18"/>
  <c r="BN388" i="18"/>
  <c r="BN389" i="18"/>
  <c r="BN390" i="18"/>
  <c r="BN391" i="18"/>
  <c r="BN392" i="18"/>
  <c r="BN393" i="18"/>
  <c r="BN394" i="18"/>
  <c r="BN395" i="18"/>
  <c r="BN396" i="18"/>
  <c r="BN397" i="18"/>
  <c r="BN398" i="18"/>
  <c r="BN399" i="18"/>
  <c r="BN400" i="18"/>
  <c r="BN401" i="18"/>
  <c r="BN402" i="18"/>
  <c r="BN403" i="18"/>
  <c r="BN404" i="18"/>
  <c r="BN405" i="18"/>
  <c r="BN406" i="18"/>
  <c r="BN407" i="18"/>
  <c r="BN408" i="18"/>
  <c r="BN409" i="18"/>
  <c r="BN410" i="18"/>
  <c r="BN411" i="18"/>
  <c r="BN412" i="18"/>
  <c r="BN413" i="18"/>
  <c r="BN414" i="18"/>
  <c r="BN415" i="18"/>
  <c r="BN416" i="18"/>
  <c r="BN417" i="18"/>
  <c r="BN418" i="18"/>
  <c r="BN419" i="18"/>
  <c r="BN420" i="18"/>
  <c r="BN421" i="18"/>
  <c r="BN422" i="18"/>
  <c r="BN423" i="18"/>
  <c r="BN424" i="18"/>
  <c r="BN425" i="18"/>
  <c r="BN426" i="18"/>
  <c r="BN427" i="18"/>
  <c r="BN428" i="18"/>
  <c r="BN429" i="18"/>
  <c r="BN430" i="18"/>
  <c r="BN431" i="18"/>
  <c r="BN432" i="18"/>
  <c r="BN433" i="18"/>
  <c r="BN434" i="18"/>
  <c r="BN435" i="18"/>
  <c r="BN436" i="18"/>
  <c r="BN437" i="18"/>
  <c r="BN438" i="18"/>
  <c r="BN439" i="18"/>
  <c r="BN440" i="18"/>
  <c r="BN441" i="18"/>
  <c r="BN442" i="18"/>
  <c r="BN443" i="18"/>
  <c r="BN444" i="18"/>
  <c r="BN445" i="18"/>
  <c r="BN446" i="18"/>
  <c r="BN447" i="18"/>
  <c r="BN448" i="18"/>
  <c r="BN449" i="18"/>
  <c r="BN450" i="18"/>
  <c r="BN451" i="18"/>
  <c r="BN452" i="18"/>
  <c r="BN453" i="18"/>
  <c r="BN454" i="18"/>
  <c r="BN455" i="18"/>
  <c r="BN456" i="18"/>
  <c r="BN457" i="18"/>
  <c r="BN458" i="18"/>
  <c r="BN459" i="18"/>
  <c r="BN460" i="18"/>
  <c r="BN461" i="18"/>
  <c r="BN462" i="18"/>
  <c r="BN463" i="18"/>
  <c r="BN464" i="18"/>
  <c r="BN465" i="18"/>
  <c r="BN466" i="18"/>
  <c r="BN467" i="18"/>
  <c r="BN468" i="18"/>
  <c r="BN469" i="18"/>
  <c r="BN470" i="18"/>
  <c r="BN471" i="18"/>
  <c r="BN472" i="18"/>
  <c r="BN473" i="18"/>
  <c r="BN474" i="18"/>
  <c r="BN475" i="18"/>
  <c r="BN476" i="18"/>
  <c r="BN477" i="18"/>
  <c r="BN478" i="18"/>
  <c r="BN479" i="18"/>
  <c r="BN480" i="18"/>
  <c r="BN481" i="18"/>
  <c r="BN482" i="18"/>
  <c r="BN483" i="18"/>
  <c r="BN484" i="18"/>
  <c r="BN485" i="18"/>
  <c r="BN486" i="18"/>
  <c r="BN487" i="18"/>
  <c r="BN488" i="18"/>
  <c r="BN489" i="18"/>
  <c r="BN490" i="18"/>
  <c r="BN491" i="18"/>
  <c r="BN492" i="18"/>
  <c r="BN493" i="18"/>
  <c r="BN494" i="18"/>
  <c r="BN495" i="18"/>
  <c r="BN496" i="18"/>
  <c r="BN497" i="18"/>
  <c r="BN498" i="18"/>
  <c r="BN499" i="18"/>
  <c r="BN500" i="18"/>
  <c r="BN501" i="18"/>
  <c r="BN502" i="18"/>
  <c r="BN503" i="18"/>
  <c r="BN504" i="18"/>
  <c r="BN505" i="18"/>
  <c r="BN506" i="18"/>
  <c r="BN507" i="18"/>
  <c r="BN508" i="18"/>
  <c r="BN509" i="18"/>
  <c r="BN510" i="18"/>
  <c r="BN511" i="18"/>
  <c r="BN512" i="18"/>
  <c r="BN513" i="18"/>
  <c r="BN514" i="18"/>
  <c r="BN515" i="18"/>
  <c r="BN516" i="18"/>
  <c r="BN517" i="18"/>
  <c r="BN518" i="18"/>
  <c r="BN519" i="18"/>
  <c r="BN520" i="18"/>
  <c r="BN521" i="18"/>
  <c r="BN522" i="18"/>
  <c r="BN523" i="18"/>
  <c r="BN524" i="18"/>
  <c r="BN525" i="18"/>
  <c r="BN526" i="18"/>
  <c r="BN527" i="18"/>
  <c r="BN528" i="18"/>
  <c r="BN529" i="18"/>
  <c r="BN530" i="18"/>
  <c r="BN531" i="18"/>
  <c r="BN532" i="18"/>
  <c r="BN533" i="18"/>
  <c r="BN534" i="18"/>
  <c r="BN535" i="18"/>
  <c r="BN536" i="18"/>
  <c r="BN537" i="18"/>
  <c r="BN538" i="18"/>
  <c r="BN539" i="18"/>
  <c r="BN540" i="18"/>
  <c r="BN541" i="18"/>
  <c r="BN542" i="18"/>
  <c r="BN543" i="18"/>
  <c r="BN544" i="18"/>
  <c r="BN545" i="18"/>
  <c r="BN546" i="18"/>
  <c r="BN547" i="18"/>
  <c r="BN548" i="18"/>
  <c r="BN549" i="18"/>
  <c r="BN550" i="18"/>
  <c r="BN551" i="18"/>
  <c r="BN552" i="18"/>
  <c r="BN553" i="18"/>
  <c r="BN554" i="18"/>
  <c r="BN555" i="18"/>
  <c r="BN556" i="18"/>
  <c r="BN557" i="18"/>
  <c r="BN558" i="18"/>
  <c r="BN559" i="18"/>
  <c r="BN560" i="18"/>
  <c r="BN561" i="18"/>
  <c r="BN562" i="18"/>
  <c r="BN563" i="18"/>
  <c r="BN564" i="18"/>
  <c r="BN565" i="18"/>
  <c r="BN566" i="18"/>
  <c r="BN567" i="18"/>
  <c r="BN568" i="18"/>
  <c r="BN569" i="18"/>
  <c r="BN570" i="18"/>
  <c r="BN571" i="18"/>
  <c r="BN572" i="18"/>
  <c r="BN573" i="18"/>
  <c r="BN574" i="18"/>
  <c r="BN575" i="18"/>
  <c r="BN576" i="18"/>
  <c r="BN577" i="18"/>
  <c r="BN578" i="18"/>
  <c r="BN579" i="18"/>
  <c r="BN580" i="18"/>
  <c r="BN581" i="18"/>
  <c r="BN582" i="18"/>
  <c r="BN583" i="18"/>
  <c r="BN584" i="18"/>
  <c r="BN585" i="18"/>
  <c r="BN586" i="18"/>
  <c r="BN587" i="18"/>
  <c r="BN588" i="18"/>
  <c r="BN589" i="18"/>
  <c r="BN590" i="18"/>
  <c r="BN591" i="18"/>
  <c r="BN592" i="18"/>
  <c r="BN593" i="18"/>
  <c r="BN594" i="18"/>
  <c r="BN595" i="18"/>
  <c r="BN596" i="18"/>
  <c r="BN597" i="18"/>
  <c r="BN598" i="18"/>
  <c r="BN599" i="18"/>
  <c r="BN600" i="18"/>
  <c r="BN601" i="18"/>
  <c r="BN602" i="18"/>
  <c r="BN603" i="18"/>
  <c r="BN604" i="18"/>
  <c r="BN605" i="18"/>
  <c r="BN606" i="18"/>
  <c r="BN607" i="18"/>
  <c r="BN608" i="18"/>
  <c r="BN609" i="18"/>
  <c r="BN610" i="18"/>
  <c r="BN611" i="18"/>
  <c r="BN612" i="18"/>
  <c r="BN613" i="18"/>
  <c r="BN614" i="18"/>
  <c r="BN615" i="18"/>
  <c r="BN616" i="18"/>
  <c r="BN617" i="18"/>
  <c r="BN618" i="18"/>
  <c r="BN619" i="18"/>
  <c r="BN620" i="18"/>
  <c r="BN621" i="18"/>
  <c r="BN622" i="18"/>
  <c r="BN623" i="18"/>
  <c r="BN624" i="18"/>
  <c r="BN625" i="18"/>
  <c r="BN626" i="18"/>
  <c r="BN627" i="18"/>
  <c r="BN628" i="18"/>
  <c r="BN629" i="18"/>
  <c r="BN630" i="18"/>
  <c r="BN631" i="18"/>
  <c r="BN632" i="18"/>
  <c r="BN633" i="18"/>
  <c r="BN634" i="18"/>
  <c r="BN635" i="18"/>
  <c r="BN636" i="18"/>
  <c r="BN637" i="18"/>
  <c r="BN638" i="18"/>
  <c r="BN639" i="18"/>
  <c r="BN640" i="18"/>
  <c r="BN641" i="18"/>
  <c r="BN642" i="18"/>
  <c r="BN643" i="18"/>
  <c r="BN644" i="18"/>
  <c r="BN645" i="18"/>
  <c r="BN646" i="18"/>
  <c r="BN647" i="18"/>
  <c r="BN648" i="18"/>
  <c r="BN649" i="18"/>
  <c r="BN650" i="18"/>
  <c r="BN651" i="18"/>
  <c r="BN652" i="18"/>
  <c r="BN653" i="18"/>
  <c r="BN654" i="18"/>
  <c r="BN655" i="18"/>
  <c r="BN656" i="18"/>
  <c r="BN657" i="18"/>
  <c r="BN658" i="18"/>
  <c r="BN659" i="18"/>
  <c r="BN660" i="18"/>
  <c r="BN661" i="18"/>
  <c r="BN662" i="18"/>
  <c r="BN663" i="18"/>
  <c r="BN664" i="18"/>
  <c r="BN665" i="18"/>
  <c r="BN666" i="18"/>
  <c r="BN667" i="18"/>
  <c r="BN668" i="18"/>
  <c r="BN669" i="18"/>
  <c r="BN670" i="18"/>
  <c r="BN671" i="18"/>
  <c r="BN672" i="18"/>
  <c r="BN673" i="18"/>
  <c r="BN674" i="18"/>
  <c r="BN675" i="18"/>
  <c r="BN676" i="18"/>
  <c r="BN677" i="18"/>
  <c r="BN678" i="18"/>
  <c r="BN679" i="18"/>
  <c r="BN680" i="18"/>
  <c r="BN681" i="18"/>
  <c r="BN682" i="18"/>
  <c r="BN683" i="18"/>
  <c r="BN684" i="18"/>
  <c r="BN685" i="18"/>
  <c r="BN686" i="18"/>
  <c r="BN687" i="18"/>
  <c r="BN688" i="18"/>
  <c r="BN689" i="18"/>
  <c r="BN690" i="18"/>
  <c r="BN691" i="18"/>
  <c r="BN692" i="18"/>
  <c r="BN693" i="18"/>
  <c r="BN694" i="18"/>
  <c r="BN695" i="18"/>
  <c r="BN696" i="18"/>
  <c r="BN697" i="18"/>
  <c r="BN698" i="18"/>
  <c r="BN699" i="18"/>
  <c r="BN700" i="18"/>
  <c r="BN701" i="18"/>
  <c r="BN702" i="18"/>
  <c r="BN703" i="18"/>
  <c r="BN704" i="18"/>
  <c r="BN705" i="18"/>
  <c r="BN706" i="18"/>
  <c r="BN707" i="18"/>
  <c r="BN708" i="18"/>
  <c r="BN709" i="18"/>
  <c r="BN710" i="18"/>
  <c r="BN711" i="18"/>
  <c r="BN712" i="18"/>
  <c r="BN713" i="18"/>
  <c r="BN714" i="18"/>
  <c r="BN715" i="18"/>
  <c r="BN716" i="18"/>
  <c r="BN717" i="18"/>
  <c r="BN718" i="18"/>
  <c r="BN719" i="18"/>
  <c r="BN720" i="18"/>
  <c r="BN721" i="18"/>
  <c r="BN722" i="18"/>
  <c r="BN723" i="18"/>
  <c r="BN724" i="18"/>
  <c r="BN725" i="18"/>
  <c r="BN726" i="18"/>
  <c r="BN727" i="18"/>
  <c r="BN728" i="18"/>
  <c r="BN729" i="18"/>
  <c r="BN730" i="18"/>
  <c r="BN731" i="18"/>
  <c r="BN732" i="18"/>
  <c r="BN733" i="18"/>
  <c r="BN734" i="18"/>
  <c r="BN735" i="18"/>
  <c r="BN736" i="18"/>
  <c r="BN737" i="18"/>
  <c r="BN738" i="18"/>
  <c r="BN739" i="18"/>
  <c r="BN740" i="18"/>
  <c r="BN741" i="18"/>
  <c r="BN742" i="18"/>
  <c r="BN743" i="18"/>
  <c r="BN744" i="18"/>
  <c r="BN745" i="18"/>
  <c r="BN746" i="18"/>
  <c r="BN747" i="18"/>
  <c r="BN748" i="18"/>
  <c r="BN749" i="18"/>
  <c r="BN750" i="18"/>
  <c r="BN751" i="18"/>
  <c r="BN752" i="18"/>
  <c r="BN753" i="18"/>
  <c r="BN754" i="18"/>
  <c r="BN755" i="18"/>
  <c r="BN756" i="18"/>
  <c r="BN757" i="18"/>
  <c r="BN758" i="18"/>
  <c r="BN759" i="18"/>
  <c r="BN760" i="18"/>
  <c r="BN761" i="18"/>
  <c r="BN762" i="18"/>
  <c r="BN763" i="18"/>
  <c r="BN764" i="18"/>
  <c r="BN765" i="18"/>
  <c r="BN766" i="18"/>
  <c r="BN767" i="18"/>
  <c r="BN768" i="18"/>
  <c r="BN769" i="18"/>
  <c r="BN770" i="18"/>
  <c r="BN771" i="18"/>
  <c r="BN772" i="18"/>
  <c r="BN773" i="18"/>
  <c r="BN774" i="18"/>
  <c r="BN775" i="18"/>
  <c r="BN776" i="18"/>
  <c r="BN777" i="18"/>
  <c r="BN778" i="18"/>
  <c r="BN779" i="18"/>
  <c r="BN780" i="18"/>
  <c r="BN781" i="18"/>
  <c r="BN782" i="18"/>
  <c r="BN783" i="18"/>
  <c r="BN784" i="18"/>
  <c r="BN785" i="18"/>
  <c r="BN786" i="18"/>
  <c r="BN787" i="18"/>
  <c r="BN788" i="18"/>
  <c r="BN789" i="18"/>
  <c r="BN790" i="18"/>
  <c r="BN791" i="18"/>
  <c r="BN792" i="18"/>
  <c r="BN793" i="18"/>
  <c r="BN794" i="18"/>
  <c r="BN795" i="18"/>
  <c r="BN796" i="18"/>
  <c r="BN797" i="18"/>
  <c r="BN798" i="18"/>
  <c r="BN799" i="18"/>
  <c r="BN800" i="18"/>
  <c r="BN801" i="18"/>
  <c r="BN802" i="18"/>
  <c r="BN803" i="18"/>
  <c r="BN804" i="18"/>
  <c r="BN805" i="18"/>
  <c r="BN806" i="18"/>
  <c r="BN807" i="18"/>
  <c r="BN808" i="18"/>
  <c r="BN809" i="18"/>
  <c r="BN810" i="18"/>
  <c r="BN811" i="18"/>
  <c r="BN812" i="18"/>
  <c r="BN813" i="18"/>
  <c r="BN814" i="18"/>
  <c r="BN815" i="18"/>
  <c r="BN816" i="18"/>
  <c r="BN817" i="18"/>
  <c r="BN818" i="18"/>
  <c r="BN819" i="18"/>
  <c r="BN820" i="18"/>
  <c r="BN821" i="18"/>
  <c r="BN822" i="18"/>
  <c r="BN823" i="18"/>
  <c r="BN824" i="18"/>
  <c r="BN825" i="18"/>
  <c r="BN826" i="18"/>
  <c r="BN827" i="18"/>
  <c r="BN828" i="18"/>
  <c r="BN829" i="18"/>
  <c r="BN830" i="18"/>
  <c r="BN831" i="18"/>
  <c r="BN832" i="18"/>
  <c r="BN833" i="18"/>
  <c r="BN834" i="18"/>
  <c r="BN835" i="18"/>
  <c r="BN836" i="18"/>
  <c r="BN837" i="18"/>
  <c r="BN838" i="18"/>
  <c r="BN839" i="18"/>
  <c r="BN840" i="18"/>
  <c r="BN841" i="18"/>
  <c r="BN842" i="18"/>
  <c r="BN843" i="18"/>
  <c r="BN844" i="18"/>
  <c r="BN845" i="18"/>
  <c r="BN846" i="18"/>
  <c r="BN847" i="18"/>
  <c r="BN848" i="18"/>
  <c r="BN849" i="18"/>
  <c r="BN850" i="18"/>
  <c r="BN851" i="18"/>
  <c r="BN852" i="18"/>
  <c r="BN853" i="18"/>
  <c r="BN854" i="18"/>
  <c r="BN855" i="18"/>
  <c r="BN856" i="18"/>
  <c r="BN857" i="18"/>
  <c r="BN858" i="18"/>
  <c r="BN859" i="18"/>
  <c r="BN860" i="18"/>
  <c r="BN861" i="18"/>
  <c r="BN862" i="18"/>
  <c r="BN863" i="18"/>
  <c r="BN864" i="18"/>
  <c r="BN865" i="18"/>
  <c r="BN866" i="18"/>
  <c r="BN867" i="18"/>
  <c r="BN868" i="18"/>
  <c r="BN869" i="18"/>
  <c r="BN870" i="18"/>
  <c r="BN871" i="18"/>
  <c r="BN872" i="18"/>
  <c r="BN873" i="18"/>
  <c r="BN874" i="18"/>
  <c r="BN875" i="18"/>
  <c r="BN876" i="18"/>
  <c r="BN877" i="18"/>
  <c r="BN878" i="18"/>
  <c r="BN879" i="18"/>
  <c r="BN880" i="18"/>
  <c r="BN881" i="18"/>
  <c r="BN882" i="18"/>
  <c r="BN883" i="18"/>
  <c r="BN884" i="18"/>
  <c r="BN885" i="18"/>
  <c r="BN886" i="18"/>
  <c r="BN887" i="18"/>
  <c r="BN888" i="18"/>
  <c r="BN889" i="18"/>
  <c r="BN890" i="18"/>
  <c r="BN891" i="18"/>
  <c r="BN892" i="18"/>
  <c r="BN893" i="18"/>
  <c r="BN894" i="18"/>
  <c r="BN895" i="18"/>
  <c r="BN2" i="18"/>
  <c r="BM3" i="18"/>
  <c r="BM4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M34" i="18"/>
  <c r="BM35" i="18"/>
  <c r="BM36" i="18"/>
  <c r="BM37" i="18"/>
  <c r="BM38" i="18"/>
  <c r="BM39" i="18"/>
  <c r="BM40" i="18"/>
  <c r="BM41" i="18"/>
  <c r="BM42" i="18"/>
  <c r="BM43" i="18"/>
  <c r="BM44" i="18"/>
  <c r="BM45" i="18"/>
  <c r="BM46" i="18"/>
  <c r="BM47" i="18"/>
  <c r="BM48" i="18"/>
  <c r="BM49" i="18"/>
  <c r="BM50" i="18"/>
  <c r="BM51" i="18"/>
  <c r="BM52" i="18"/>
  <c r="BM53" i="18"/>
  <c r="BM54" i="18"/>
  <c r="BM55" i="18"/>
  <c r="BM56" i="18"/>
  <c r="BM57" i="18"/>
  <c r="BM58" i="18"/>
  <c r="BM59" i="18"/>
  <c r="BM60" i="18"/>
  <c r="BM61" i="18"/>
  <c r="BM62" i="18"/>
  <c r="BM63" i="18"/>
  <c r="BM64" i="18"/>
  <c r="BM65" i="18"/>
  <c r="BM66" i="18"/>
  <c r="BM67" i="18"/>
  <c r="BM68" i="18"/>
  <c r="BM69" i="18"/>
  <c r="BM70" i="18"/>
  <c r="BM71" i="18"/>
  <c r="BM72" i="18"/>
  <c r="BM73" i="18"/>
  <c r="BM74" i="18"/>
  <c r="BM75" i="18"/>
  <c r="BM76" i="18"/>
  <c r="BM77" i="18"/>
  <c r="BM78" i="18"/>
  <c r="BM79" i="18"/>
  <c r="BM80" i="18"/>
  <c r="BM81" i="18"/>
  <c r="BM82" i="18"/>
  <c r="BM83" i="18"/>
  <c r="BM84" i="18"/>
  <c r="BM85" i="18"/>
  <c r="BM86" i="18"/>
  <c r="BM87" i="18"/>
  <c r="BM88" i="18"/>
  <c r="BM89" i="18"/>
  <c r="BM90" i="18"/>
  <c r="BM91" i="18"/>
  <c r="BM92" i="18"/>
  <c r="BM93" i="18"/>
  <c r="BM94" i="18"/>
  <c r="BM95" i="18"/>
  <c r="BM96" i="18"/>
  <c r="BM97" i="18"/>
  <c r="BM98" i="18"/>
  <c r="BM99" i="18"/>
  <c r="BM100" i="18"/>
  <c r="BM101" i="18"/>
  <c r="BM102" i="18"/>
  <c r="BM103" i="18"/>
  <c r="BM104" i="18"/>
  <c r="BM105" i="18"/>
  <c r="BM106" i="18"/>
  <c r="BM107" i="18"/>
  <c r="BM108" i="18"/>
  <c r="BM109" i="18"/>
  <c r="BM110" i="18"/>
  <c r="BM111" i="18"/>
  <c r="BM112" i="18"/>
  <c r="BM113" i="18"/>
  <c r="BM114" i="18"/>
  <c r="BM115" i="18"/>
  <c r="BM116" i="18"/>
  <c r="BM117" i="18"/>
  <c r="BM118" i="18"/>
  <c r="BM119" i="18"/>
  <c r="BM120" i="18"/>
  <c r="BM121" i="18"/>
  <c r="BM122" i="18"/>
  <c r="BM123" i="18"/>
  <c r="BM124" i="18"/>
  <c r="BM125" i="18"/>
  <c r="BM126" i="18"/>
  <c r="BM127" i="18"/>
  <c r="BM128" i="18"/>
  <c r="BM129" i="18"/>
  <c r="BM130" i="18"/>
  <c r="BM131" i="18"/>
  <c r="BM132" i="18"/>
  <c r="BM133" i="18"/>
  <c r="BM134" i="18"/>
  <c r="BM135" i="18"/>
  <c r="BM136" i="18"/>
  <c r="BM137" i="18"/>
  <c r="BM138" i="18"/>
  <c r="BM139" i="18"/>
  <c r="BM140" i="18"/>
  <c r="BM141" i="18"/>
  <c r="BM142" i="18"/>
  <c r="BM143" i="18"/>
  <c r="BM144" i="18"/>
  <c r="BM145" i="18"/>
  <c r="BM146" i="18"/>
  <c r="BM147" i="18"/>
  <c r="BM148" i="18"/>
  <c r="BM149" i="18"/>
  <c r="BM150" i="18"/>
  <c r="BM151" i="18"/>
  <c r="BM152" i="18"/>
  <c r="BM153" i="18"/>
  <c r="BM154" i="18"/>
  <c r="BM155" i="18"/>
  <c r="BM156" i="18"/>
  <c r="BM157" i="18"/>
  <c r="BM158" i="18"/>
  <c r="BM159" i="18"/>
  <c r="BM160" i="18"/>
  <c r="BM161" i="18"/>
  <c r="BM162" i="18"/>
  <c r="BM163" i="18"/>
  <c r="BM164" i="18"/>
  <c r="BM165" i="18"/>
  <c r="BM166" i="18"/>
  <c r="BM167" i="18"/>
  <c r="BM168" i="18"/>
  <c r="BM169" i="18"/>
  <c r="BM170" i="18"/>
  <c r="BM171" i="18"/>
  <c r="BM172" i="18"/>
  <c r="BM173" i="18"/>
  <c r="BM174" i="18"/>
  <c r="BM175" i="18"/>
  <c r="BM176" i="18"/>
  <c r="BM177" i="18"/>
  <c r="BM178" i="18"/>
  <c r="BM179" i="18"/>
  <c r="BM180" i="18"/>
  <c r="BM181" i="18"/>
  <c r="BM182" i="18"/>
  <c r="BM183" i="18"/>
  <c r="BM184" i="18"/>
  <c r="BM185" i="18"/>
  <c r="BM186" i="18"/>
  <c r="BM187" i="18"/>
  <c r="BM188" i="18"/>
  <c r="BM189" i="18"/>
  <c r="BM190" i="18"/>
  <c r="BM191" i="18"/>
  <c r="BM192" i="18"/>
  <c r="BM193" i="18"/>
  <c r="BM194" i="18"/>
  <c r="BM195" i="18"/>
  <c r="BM196" i="18"/>
  <c r="BM197" i="18"/>
  <c r="BM198" i="18"/>
  <c r="BM199" i="18"/>
  <c r="BM200" i="18"/>
  <c r="BM201" i="18"/>
  <c r="BM202" i="18"/>
  <c r="BM203" i="18"/>
  <c r="BM204" i="18"/>
  <c r="BM205" i="18"/>
  <c r="BM206" i="18"/>
  <c r="BM207" i="18"/>
  <c r="BM208" i="18"/>
  <c r="BM209" i="18"/>
  <c r="BM210" i="18"/>
  <c r="BM211" i="18"/>
  <c r="BM212" i="18"/>
  <c r="BM213" i="18"/>
  <c r="BM214" i="18"/>
  <c r="BM215" i="18"/>
  <c r="BM216" i="18"/>
  <c r="BM217" i="18"/>
  <c r="BM218" i="18"/>
  <c r="BM219" i="18"/>
  <c r="BM220" i="18"/>
  <c r="BM221" i="18"/>
  <c r="BM222" i="18"/>
  <c r="BM223" i="18"/>
  <c r="BM224" i="18"/>
  <c r="BM225" i="18"/>
  <c r="BM226" i="18"/>
  <c r="BM227" i="18"/>
  <c r="BM228" i="18"/>
  <c r="BM229" i="18"/>
  <c r="BM230" i="18"/>
  <c r="BM231" i="18"/>
  <c r="BM232" i="18"/>
  <c r="BM233" i="18"/>
  <c r="BM234" i="18"/>
  <c r="BM235" i="18"/>
  <c r="BM236" i="18"/>
  <c r="BM237" i="18"/>
  <c r="BM238" i="18"/>
  <c r="BM239" i="18"/>
  <c r="BM240" i="18"/>
  <c r="BM241" i="18"/>
  <c r="BM242" i="18"/>
  <c r="BM243" i="18"/>
  <c r="BM244" i="18"/>
  <c r="BM245" i="18"/>
  <c r="BM246" i="18"/>
  <c r="BM247" i="18"/>
  <c r="BM248" i="18"/>
  <c r="BM249" i="18"/>
  <c r="BM250" i="18"/>
  <c r="BM251" i="18"/>
  <c r="BM252" i="18"/>
  <c r="BM253" i="18"/>
  <c r="BM254" i="18"/>
  <c r="BM255" i="18"/>
  <c r="BM256" i="18"/>
  <c r="BM257" i="18"/>
  <c r="BM258" i="18"/>
  <c r="BM259" i="18"/>
  <c r="BM260" i="18"/>
  <c r="BM261" i="18"/>
  <c r="BM262" i="18"/>
  <c r="BM263" i="18"/>
  <c r="BM264" i="18"/>
  <c r="BM265" i="18"/>
  <c r="BM266" i="18"/>
  <c r="BM267" i="18"/>
  <c r="BM268" i="18"/>
  <c r="BM269" i="18"/>
  <c r="BM270" i="18"/>
  <c r="BM271" i="18"/>
  <c r="BM272" i="18"/>
  <c r="BM273" i="18"/>
  <c r="BM274" i="18"/>
  <c r="BM275" i="18"/>
  <c r="BM276" i="18"/>
  <c r="BM277" i="18"/>
  <c r="BM278" i="18"/>
  <c r="BM279" i="18"/>
  <c r="BM280" i="18"/>
  <c r="BM281" i="18"/>
  <c r="BM282" i="18"/>
  <c r="BM283" i="18"/>
  <c r="BM284" i="18"/>
  <c r="BM285" i="18"/>
  <c r="BM286" i="18"/>
  <c r="BM287" i="18"/>
  <c r="BM288" i="18"/>
  <c r="BM289" i="18"/>
  <c r="BM290" i="18"/>
  <c r="BM291" i="18"/>
  <c r="BM292" i="18"/>
  <c r="BM293" i="18"/>
  <c r="BM294" i="18"/>
  <c r="BM295" i="18"/>
  <c r="BM296" i="18"/>
  <c r="BM297" i="18"/>
  <c r="BM298" i="18"/>
  <c r="BM299" i="18"/>
  <c r="BM300" i="18"/>
  <c r="BM301" i="18"/>
  <c r="BM302" i="18"/>
  <c r="BM303" i="18"/>
  <c r="BM304" i="18"/>
  <c r="BM305" i="18"/>
  <c r="BM306" i="18"/>
  <c r="BM307" i="18"/>
  <c r="BM308" i="18"/>
  <c r="BM309" i="18"/>
  <c r="BM310" i="18"/>
  <c r="BM311" i="18"/>
  <c r="BM312" i="18"/>
  <c r="BM313" i="18"/>
  <c r="BM314" i="18"/>
  <c r="BM315" i="18"/>
  <c r="BM316" i="18"/>
  <c r="BM317" i="18"/>
  <c r="BM318" i="18"/>
  <c r="BM319" i="18"/>
  <c r="BM320" i="18"/>
  <c r="BM321" i="18"/>
  <c r="BM322" i="18"/>
  <c r="BM323" i="18"/>
  <c r="BM324" i="18"/>
  <c r="BM325" i="18"/>
  <c r="BM326" i="18"/>
  <c r="BM327" i="18"/>
  <c r="BM328" i="18"/>
  <c r="BM329" i="18"/>
  <c r="BM330" i="18"/>
  <c r="BM331" i="18"/>
  <c r="BM332" i="18"/>
  <c r="BM333" i="18"/>
  <c r="BM334" i="18"/>
  <c r="BM335" i="18"/>
  <c r="BM336" i="18"/>
  <c r="BM337" i="18"/>
  <c r="BM338" i="18"/>
  <c r="BM339" i="18"/>
  <c r="BM340" i="18"/>
  <c r="BM341" i="18"/>
  <c r="BM342" i="18"/>
  <c r="BM343" i="18"/>
  <c r="BM344" i="18"/>
  <c r="BM345" i="18"/>
  <c r="BM346" i="18"/>
  <c r="BM347" i="18"/>
  <c r="BM348" i="18"/>
  <c r="BM349" i="18"/>
  <c r="BM350" i="18"/>
  <c r="BM351" i="18"/>
  <c r="BM352" i="18"/>
  <c r="BM353" i="18"/>
  <c r="BM354" i="18"/>
  <c r="BM355" i="18"/>
  <c r="BM356" i="18"/>
  <c r="BM357" i="18"/>
  <c r="BM358" i="18"/>
  <c r="BM359" i="18"/>
  <c r="BM360" i="18"/>
  <c r="BM361" i="18"/>
  <c r="BM362" i="18"/>
  <c r="BM363" i="18"/>
  <c r="BM364" i="18"/>
  <c r="BM365" i="18"/>
  <c r="BM366" i="18"/>
  <c r="BM367" i="18"/>
  <c r="BM368" i="18"/>
  <c r="BM369" i="18"/>
  <c r="BM370" i="18"/>
  <c r="BM371" i="18"/>
  <c r="BM372" i="18"/>
  <c r="BM373" i="18"/>
  <c r="BM374" i="18"/>
  <c r="BM375" i="18"/>
  <c r="BM376" i="18"/>
  <c r="BM377" i="18"/>
  <c r="BM378" i="18"/>
  <c r="BM379" i="18"/>
  <c r="BM380" i="18"/>
  <c r="BM381" i="18"/>
  <c r="BM382" i="18"/>
  <c r="BM383" i="18"/>
  <c r="BM384" i="18"/>
  <c r="BM385" i="18"/>
  <c r="BM386" i="18"/>
  <c r="BM387" i="18"/>
  <c r="BM388" i="18"/>
  <c r="BM389" i="18"/>
  <c r="BM390" i="18"/>
  <c r="BM391" i="18"/>
  <c r="BM392" i="18"/>
  <c r="BM393" i="18"/>
  <c r="BM394" i="18"/>
  <c r="BM395" i="18"/>
  <c r="BM396" i="18"/>
  <c r="BM397" i="18"/>
  <c r="BM398" i="18"/>
  <c r="BM399" i="18"/>
  <c r="BM400" i="18"/>
  <c r="BM401" i="18"/>
  <c r="BM402" i="18"/>
  <c r="BM403" i="18"/>
  <c r="BM404" i="18"/>
  <c r="BM405" i="18"/>
  <c r="BM406" i="18"/>
  <c r="BM407" i="18"/>
  <c r="BM408" i="18"/>
  <c r="BM409" i="18"/>
  <c r="BM410" i="18"/>
  <c r="BM411" i="18"/>
  <c r="BM412" i="18"/>
  <c r="BM413" i="18"/>
  <c r="BM414" i="18"/>
  <c r="BM415" i="18"/>
  <c r="BM416" i="18"/>
  <c r="BM417" i="18"/>
  <c r="BM418" i="18"/>
  <c r="BM419" i="18"/>
  <c r="BM420" i="18"/>
  <c r="BM421" i="18"/>
  <c r="BM422" i="18"/>
  <c r="BM423" i="18"/>
  <c r="BM424" i="18"/>
  <c r="BM425" i="18"/>
  <c r="BM426" i="18"/>
  <c r="BM427" i="18"/>
  <c r="BM428" i="18"/>
  <c r="BM429" i="18"/>
  <c r="BM430" i="18"/>
  <c r="BM431" i="18"/>
  <c r="BM432" i="18"/>
  <c r="BM433" i="18"/>
  <c r="BM434" i="18"/>
  <c r="BM435" i="18"/>
  <c r="BM436" i="18"/>
  <c r="BM437" i="18"/>
  <c r="BM438" i="18"/>
  <c r="BM439" i="18"/>
  <c r="BM440" i="18"/>
  <c r="BM441" i="18"/>
  <c r="BM442" i="18"/>
  <c r="BM443" i="18"/>
  <c r="BM444" i="18"/>
  <c r="BM445" i="18"/>
  <c r="BM446" i="18"/>
  <c r="BM447" i="18"/>
  <c r="BM448" i="18"/>
  <c r="BM449" i="18"/>
  <c r="BM450" i="18"/>
  <c r="BM451" i="18"/>
  <c r="BM452" i="18"/>
  <c r="BM453" i="18"/>
  <c r="BM454" i="18"/>
  <c r="BM455" i="18"/>
  <c r="BM456" i="18"/>
  <c r="BM457" i="18"/>
  <c r="BM458" i="18"/>
  <c r="BM459" i="18"/>
  <c r="BM460" i="18"/>
  <c r="BM461" i="18"/>
  <c r="BM462" i="18"/>
  <c r="BM463" i="18"/>
  <c r="BM464" i="18"/>
  <c r="BM465" i="18"/>
  <c r="BM466" i="18"/>
  <c r="BM467" i="18"/>
  <c r="BM468" i="18"/>
  <c r="BM469" i="18"/>
  <c r="BM470" i="18"/>
  <c r="BM471" i="18"/>
  <c r="BM472" i="18"/>
  <c r="BM473" i="18"/>
  <c r="BM474" i="18"/>
  <c r="BM475" i="18"/>
  <c r="BM476" i="18"/>
  <c r="BM477" i="18"/>
  <c r="BM478" i="18"/>
  <c r="BM479" i="18"/>
  <c r="BM480" i="18"/>
  <c r="BM481" i="18"/>
  <c r="BM482" i="18"/>
  <c r="BM483" i="18"/>
  <c r="BM484" i="18"/>
  <c r="BM485" i="18"/>
  <c r="BM486" i="18"/>
  <c r="BM487" i="18"/>
  <c r="BM488" i="18"/>
  <c r="BM489" i="18"/>
  <c r="BM490" i="18"/>
  <c r="BM491" i="18"/>
  <c r="BM492" i="18"/>
  <c r="BM493" i="18"/>
  <c r="BM494" i="18"/>
  <c r="BM495" i="18"/>
  <c r="BM496" i="18"/>
  <c r="BM497" i="18"/>
  <c r="BM498" i="18"/>
  <c r="BM499" i="18"/>
  <c r="BM500" i="18"/>
  <c r="BM501" i="18"/>
  <c r="BM502" i="18"/>
  <c r="BM503" i="18"/>
  <c r="BM504" i="18"/>
  <c r="BM505" i="18"/>
  <c r="BM506" i="18"/>
  <c r="BM507" i="18"/>
  <c r="BM508" i="18"/>
  <c r="BM509" i="18"/>
  <c r="BM510" i="18"/>
  <c r="BM511" i="18"/>
  <c r="BM512" i="18"/>
  <c r="BM513" i="18"/>
  <c r="BM514" i="18"/>
  <c r="BM515" i="18"/>
  <c r="BM516" i="18"/>
  <c r="BM517" i="18"/>
  <c r="BM518" i="18"/>
  <c r="BM519" i="18"/>
  <c r="BM520" i="18"/>
  <c r="BM521" i="18"/>
  <c r="BM522" i="18"/>
  <c r="BM523" i="18"/>
  <c r="BM524" i="18"/>
  <c r="BM525" i="18"/>
  <c r="BM526" i="18"/>
  <c r="BM527" i="18"/>
  <c r="BM528" i="18"/>
  <c r="BM529" i="18"/>
  <c r="BM530" i="18"/>
  <c r="BM531" i="18"/>
  <c r="BM532" i="18"/>
  <c r="BM533" i="18"/>
  <c r="BM534" i="18"/>
  <c r="BM535" i="18"/>
  <c r="BM536" i="18"/>
  <c r="BM537" i="18"/>
  <c r="BM538" i="18"/>
  <c r="BM539" i="18"/>
  <c r="BM540" i="18"/>
  <c r="BM541" i="18"/>
  <c r="BM542" i="18"/>
  <c r="BM543" i="18"/>
  <c r="BM544" i="18"/>
  <c r="BM545" i="18"/>
  <c r="BM546" i="18"/>
  <c r="BM547" i="18"/>
  <c r="BM548" i="18"/>
  <c r="BM549" i="18"/>
  <c r="BM550" i="18"/>
  <c r="BM551" i="18"/>
  <c r="BM552" i="18"/>
  <c r="BM553" i="18"/>
  <c r="BM554" i="18"/>
  <c r="BM555" i="18"/>
  <c r="BM556" i="18"/>
  <c r="BM557" i="18"/>
  <c r="BM558" i="18"/>
  <c r="BM559" i="18"/>
  <c r="BM560" i="18"/>
  <c r="BM561" i="18"/>
  <c r="BM562" i="18"/>
  <c r="BM563" i="18"/>
  <c r="BM564" i="18"/>
  <c r="BM565" i="18"/>
  <c r="BM566" i="18"/>
  <c r="BM567" i="18"/>
  <c r="BM568" i="18"/>
  <c r="BM569" i="18"/>
  <c r="BM570" i="18"/>
  <c r="BM571" i="18"/>
  <c r="BM572" i="18"/>
  <c r="BM573" i="18"/>
  <c r="BM574" i="18"/>
  <c r="BM575" i="18"/>
  <c r="BM576" i="18"/>
  <c r="BM577" i="18"/>
  <c r="BM578" i="18"/>
  <c r="BM579" i="18"/>
  <c r="BM580" i="18"/>
  <c r="BM581" i="18"/>
  <c r="BM582" i="18"/>
  <c r="BM583" i="18"/>
  <c r="BM584" i="18"/>
  <c r="BM585" i="18"/>
  <c r="BM586" i="18"/>
  <c r="BM587" i="18"/>
  <c r="BM588" i="18"/>
  <c r="BM589" i="18"/>
  <c r="BM590" i="18"/>
  <c r="BM591" i="18"/>
  <c r="BM592" i="18"/>
  <c r="BM593" i="18"/>
  <c r="BM594" i="18"/>
  <c r="BM595" i="18"/>
  <c r="BM596" i="18"/>
  <c r="BM597" i="18"/>
  <c r="BM598" i="18"/>
  <c r="BM599" i="18"/>
  <c r="BM600" i="18"/>
  <c r="BM601" i="18"/>
  <c r="BM602" i="18"/>
  <c r="BM603" i="18"/>
  <c r="BM604" i="18"/>
  <c r="BM605" i="18"/>
  <c r="BM606" i="18"/>
  <c r="BM607" i="18"/>
  <c r="BM608" i="18"/>
  <c r="BM609" i="18"/>
  <c r="BM610" i="18"/>
  <c r="BM611" i="18"/>
  <c r="BM612" i="18"/>
  <c r="BM613" i="18"/>
  <c r="BM614" i="18"/>
  <c r="BM615" i="18"/>
  <c r="BM616" i="18"/>
  <c r="BM617" i="18"/>
  <c r="BM618" i="18"/>
  <c r="BM619" i="18"/>
  <c r="BM620" i="18"/>
  <c r="BM621" i="18"/>
  <c r="BM622" i="18"/>
  <c r="BM623" i="18"/>
  <c r="BM624" i="18"/>
  <c r="BM625" i="18"/>
  <c r="BM626" i="18"/>
  <c r="BM627" i="18"/>
  <c r="BM628" i="18"/>
  <c r="BM629" i="18"/>
  <c r="BM630" i="18"/>
  <c r="BM631" i="18"/>
  <c r="BM632" i="18"/>
  <c r="BM633" i="18"/>
  <c r="BM634" i="18"/>
  <c r="BM635" i="18"/>
  <c r="BM636" i="18"/>
  <c r="BM637" i="18"/>
  <c r="BM638" i="18"/>
  <c r="BM639" i="18"/>
  <c r="BM640" i="18"/>
  <c r="BM641" i="18"/>
  <c r="BM642" i="18"/>
  <c r="BM643" i="18"/>
  <c r="BM644" i="18"/>
  <c r="BM645" i="18"/>
  <c r="BM646" i="18"/>
  <c r="BM647" i="18"/>
  <c r="BM648" i="18"/>
  <c r="BM649" i="18"/>
  <c r="BM650" i="18"/>
  <c r="BM651" i="18"/>
  <c r="BM652" i="18"/>
  <c r="BM653" i="18"/>
  <c r="BM654" i="18"/>
  <c r="BM655" i="18"/>
  <c r="BM656" i="18"/>
  <c r="BM657" i="18"/>
  <c r="BM658" i="18"/>
  <c r="BM659" i="18"/>
  <c r="BM660" i="18"/>
  <c r="BM661" i="18"/>
  <c r="BM662" i="18"/>
  <c r="BM663" i="18"/>
  <c r="BM664" i="18"/>
  <c r="BM665" i="18"/>
  <c r="BM666" i="18"/>
  <c r="BM667" i="18"/>
  <c r="BM668" i="18"/>
  <c r="BM669" i="18"/>
  <c r="BM670" i="18"/>
  <c r="BM671" i="18"/>
  <c r="BM672" i="18"/>
  <c r="BM673" i="18"/>
  <c r="BM674" i="18"/>
  <c r="BM675" i="18"/>
  <c r="BM676" i="18"/>
  <c r="BM677" i="18"/>
  <c r="BM678" i="18"/>
  <c r="BM679" i="18"/>
  <c r="BM680" i="18"/>
  <c r="BM681" i="18"/>
  <c r="BM682" i="18"/>
  <c r="BM683" i="18"/>
  <c r="BM684" i="18"/>
  <c r="BM685" i="18"/>
  <c r="BM686" i="18"/>
  <c r="BM687" i="18"/>
  <c r="BM688" i="18"/>
  <c r="BM689" i="18"/>
  <c r="BM690" i="18"/>
  <c r="BM691" i="18"/>
  <c r="BM692" i="18"/>
  <c r="BM693" i="18"/>
  <c r="BM694" i="18"/>
  <c r="BM695" i="18"/>
  <c r="BM696" i="18"/>
  <c r="BM697" i="18"/>
  <c r="BM698" i="18"/>
  <c r="BM699" i="18"/>
  <c r="BM700" i="18"/>
  <c r="BM701" i="18"/>
  <c r="BM702" i="18"/>
  <c r="BM703" i="18"/>
  <c r="BM704" i="18"/>
  <c r="BM705" i="18"/>
  <c r="BM706" i="18"/>
  <c r="BM707" i="18"/>
  <c r="BM708" i="18"/>
  <c r="BM709" i="18"/>
  <c r="BM710" i="18"/>
  <c r="BM711" i="18"/>
  <c r="BM712" i="18"/>
  <c r="BM713" i="18"/>
  <c r="BM714" i="18"/>
  <c r="BM715" i="18"/>
  <c r="BM716" i="18"/>
  <c r="BM717" i="18"/>
  <c r="BM718" i="18"/>
  <c r="BM719" i="18"/>
  <c r="BM720" i="18"/>
  <c r="BM721" i="18"/>
  <c r="BM722" i="18"/>
  <c r="BM723" i="18"/>
  <c r="BM724" i="18"/>
  <c r="BM725" i="18"/>
  <c r="BM726" i="18"/>
  <c r="BM727" i="18"/>
  <c r="BM728" i="18"/>
  <c r="BM729" i="18"/>
  <c r="BM730" i="18"/>
  <c r="BM731" i="18"/>
  <c r="BM732" i="18"/>
  <c r="BM733" i="18"/>
  <c r="BM734" i="18"/>
  <c r="BM735" i="18"/>
  <c r="BM736" i="18"/>
  <c r="BM737" i="18"/>
  <c r="BM738" i="18"/>
  <c r="BM739" i="18"/>
  <c r="BM740" i="18"/>
  <c r="BM741" i="18"/>
  <c r="BM742" i="18"/>
  <c r="BM743" i="18"/>
  <c r="BM744" i="18"/>
  <c r="BM745" i="18"/>
  <c r="BM746" i="18"/>
  <c r="BM747" i="18"/>
  <c r="BM748" i="18"/>
  <c r="BM749" i="18"/>
  <c r="BM750" i="18"/>
  <c r="BM751" i="18"/>
  <c r="BM752" i="18"/>
  <c r="BM753" i="18"/>
  <c r="BM754" i="18"/>
  <c r="BM755" i="18"/>
  <c r="BM756" i="18"/>
  <c r="BM757" i="18"/>
  <c r="BM758" i="18"/>
  <c r="BM759" i="18"/>
  <c r="BM760" i="18"/>
  <c r="BM761" i="18"/>
  <c r="BM762" i="18"/>
  <c r="BM763" i="18"/>
  <c r="BM764" i="18"/>
  <c r="BM765" i="18"/>
  <c r="BM766" i="18"/>
  <c r="BM767" i="18"/>
  <c r="BM768" i="18"/>
  <c r="BM769" i="18"/>
  <c r="BM770" i="18"/>
  <c r="BM771" i="18"/>
  <c r="BM772" i="18"/>
  <c r="BM773" i="18"/>
  <c r="BM774" i="18"/>
  <c r="BM775" i="18"/>
  <c r="BM776" i="18"/>
  <c r="BM777" i="18"/>
  <c r="BM778" i="18"/>
  <c r="BM779" i="18"/>
  <c r="BM780" i="18"/>
  <c r="BM781" i="18"/>
  <c r="BM782" i="18"/>
  <c r="BM783" i="18"/>
  <c r="BM784" i="18"/>
  <c r="BM785" i="18"/>
  <c r="BM786" i="18"/>
  <c r="BM787" i="18"/>
  <c r="BM788" i="18"/>
  <c r="BM789" i="18"/>
  <c r="BM790" i="18"/>
  <c r="BM791" i="18"/>
  <c r="BM792" i="18"/>
  <c r="BM793" i="18"/>
  <c r="BM794" i="18"/>
  <c r="BM795" i="18"/>
  <c r="BM796" i="18"/>
  <c r="BM797" i="18"/>
  <c r="BM798" i="18"/>
  <c r="BM799" i="18"/>
  <c r="BM800" i="18"/>
  <c r="BM801" i="18"/>
  <c r="BM802" i="18"/>
  <c r="BM803" i="18"/>
  <c r="BM804" i="18"/>
  <c r="BM805" i="18"/>
  <c r="BM806" i="18"/>
  <c r="BM807" i="18"/>
  <c r="BM808" i="18"/>
  <c r="BM809" i="18"/>
  <c r="BM810" i="18"/>
  <c r="BM811" i="18"/>
  <c r="BM812" i="18"/>
  <c r="BM813" i="18"/>
  <c r="BM814" i="18"/>
  <c r="BM815" i="18"/>
  <c r="BM816" i="18"/>
  <c r="BM817" i="18"/>
  <c r="BM818" i="18"/>
  <c r="BM819" i="18"/>
  <c r="BM820" i="18"/>
  <c r="BM821" i="18"/>
  <c r="BM822" i="18"/>
  <c r="BM823" i="18"/>
  <c r="BM824" i="18"/>
  <c r="BM825" i="18"/>
  <c r="BM826" i="18"/>
  <c r="BM827" i="18"/>
  <c r="BM828" i="18"/>
  <c r="BM829" i="18"/>
  <c r="BM830" i="18"/>
  <c r="BM831" i="18"/>
  <c r="BM832" i="18"/>
  <c r="BM833" i="18"/>
  <c r="BM834" i="18"/>
  <c r="BM835" i="18"/>
  <c r="BM836" i="18"/>
  <c r="BM837" i="18"/>
  <c r="BM838" i="18"/>
  <c r="BM839" i="18"/>
  <c r="BM840" i="18"/>
  <c r="BM841" i="18"/>
  <c r="BM842" i="18"/>
  <c r="BM843" i="18"/>
  <c r="BM844" i="18"/>
  <c r="BM845" i="18"/>
  <c r="BM846" i="18"/>
  <c r="BM847" i="18"/>
  <c r="BM848" i="18"/>
  <c r="BM849" i="18"/>
  <c r="BM850" i="18"/>
  <c r="BM851" i="18"/>
  <c r="BM852" i="18"/>
  <c r="BM853" i="18"/>
  <c r="BM854" i="18"/>
  <c r="BM855" i="18"/>
  <c r="BM856" i="18"/>
  <c r="BM857" i="18"/>
  <c r="BM858" i="18"/>
  <c r="BM859" i="18"/>
  <c r="BM860" i="18"/>
  <c r="BM861" i="18"/>
  <c r="BM862" i="18"/>
  <c r="BM863" i="18"/>
  <c r="BM864" i="18"/>
  <c r="BM865" i="18"/>
  <c r="BM866" i="18"/>
  <c r="BM867" i="18"/>
  <c r="BM868" i="18"/>
  <c r="BM869" i="18"/>
  <c r="BM870" i="18"/>
  <c r="BM871" i="18"/>
  <c r="BM872" i="18"/>
  <c r="BM873" i="18"/>
  <c r="BM874" i="18"/>
  <c r="BM875" i="18"/>
  <c r="BM876" i="18"/>
  <c r="BM877" i="18"/>
  <c r="BM878" i="18"/>
  <c r="BM879" i="18"/>
  <c r="BM880" i="18"/>
  <c r="BM881" i="18"/>
  <c r="BM882" i="18"/>
  <c r="BM883" i="18"/>
  <c r="BM884" i="18"/>
  <c r="BM885" i="18"/>
  <c r="BM886" i="18"/>
  <c r="BM887" i="18"/>
  <c r="BM888" i="18"/>
  <c r="BM889" i="18"/>
  <c r="BM890" i="18"/>
  <c r="BM891" i="18"/>
  <c r="BM892" i="18"/>
  <c r="BM893" i="18"/>
  <c r="BM894" i="18"/>
  <c r="BM895" i="18"/>
  <c r="BM2" i="18"/>
  <c r="AZ2" i="18" l="1"/>
  <c r="BC2" i="18" s="1"/>
  <c r="BA2" i="18"/>
  <c r="BF56" i="18" l="1"/>
  <c r="BF55" i="18"/>
  <c r="BF54" i="18"/>
  <c r="BF53" i="18"/>
  <c r="BF52" i="18"/>
  <c r="BF51" i="18"/>
  <c r="BF50" i="18"/>
  <c r="BF49" i="18"/>
  <c r="BF48" i="18"/>
  <c r="BF4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F26" i="18"/>
  <c r="BF25" i="18"/>
  <c r="BF24" i="18"/>
  <c r="BF23" i="18"/>
  <c r="BF22" i="18"/>
  <c r="BF21" i="18"/>
  <c r="BF20" i="18"/>
  <c r="BF19" i="18"/>
  <c r="BF18" i="18"/>
  <c r="BF17" i="18"/>
  <c r="BF16" i="18"/>
  <c r="BD11" i="18" l="1"/>
  <c r="X57" i="18" l="1"/>
  <c r="Y57" i="18" s="1"/>
  <c r="AX3" i="18" l="1"/>
  <c r="AX2" i="18"/>
  <c r="AY402" i="18" l="1"/>
  <c r="AY416" i="18"/>
  <c r="AY448" i="18"/>
  <c r="AY480" i="18"/>
  <c r="AY512" i="18"/>
  <c r="AY544" i="18"/>
  <c r="AY568" i="18"/>
  <c r="AY577" i="18"/>
  <c r="AY585" i="18"/>
  <c r="AY301" i="18"/>
  <c r="AY333" i="18"/>
  <c r="AY365" i="18"/>
  <c r="AY397" i="18"/>
  <c r="AY424" i="18"/>
  <c r="AY456" i="18"/>
  <c r="AY488" i="18"/>
  <c r="AY575" i="18"/>
  <c r="AY583" i="18"/>
  <c r="AY309" i="18"/>
  <c r="AY341" i="18"/>
  <c r="AY373" i="18"/>
  <c r="AY520" i="18"/>
  <c r="AY277" i="18"/>
  <c r="AY432" i="18"/>
  <c r="AY496" i="18"/>
  <c r="AY573" i="18"/>
  <c r="AY251" i="18"/>
  <c r="AY293" i="18"/>
  <c r="AY440" i="18"/>
  <c r="AY504" i="18"/>
  <c r="AY552" i="18"/>
  <c r="AY317" i="18"/>
  <c r="AY381" i="18"/>
  <c r="AY325" i="18"/>
  <c r="AY408" i="18"/>
  <c r="AY472" i="18"/>
  <c r="AY536" i="18"/>
  <c r="AY579" i="18"/>
  <c r="AY285" i="18"/>
  <c r="AY349" i="18"/>
  <c r="AY357" i="18"/>
  <c r="AY587" i="18"/>
  <c r="AY464" i="18"/>
  <c r="AY528" i="18"/>
  <c r="AY546" i="18"/>
  <c r="AY560" i="18"/>
  <c r="AY581" i="18"/>
  <c r="AY389" i="18"/>
  <c r="AY556" i="18"/>
  <c r="AY538" i="18"/>
  <c r="AY482" i="18"/>
  <c r="AY418" i="18"/>
  <c r="AY580" i="18"/>
  <c r="AY548" i="18"/>
  <c r="AY516" i="18"/>
  <c r="AY484" i="18"/>
  <c r="AY452" i="18"/>
  <c r="AY420" i="18"/>
  <c r="AY405" i="18"/>
  <c r="AY413" i="18"/>
  <c r="AY421" i="18"/>
  <c r="AY429" i="18"/>
  <c r="AY437" i="18"/>
  <c r="AY445" i="18"/>
  <c r="AY453" i="18"/>
  <c r="AY461" i="18"/>
  <c r="AY469" i="18"/>
  <c r="AY477" i="18"/>
  <c r="AY485" i="18"/>
  <c r="AY493" i="18"/>
  <c r="AY501" i="18"/>
  <c r="AY509" i="18"/>
  <c r="AY517" i="18"/>
  <c r="AY525" i="18"/>
  <c r="AY533" i="18"/>
  <c r="AY541" i="18"/>
  <c r="AY549" i="18"/>
  <c r="AY557" i="18"/>
  <c r="AY565" i="18"/>
  <c r="AY566" i="18"/>
  <c r="AY534" i="18"/>
  <c r="AY502" i="18"/>
  <c r="AY470" i="18"/>
  <c r="AY438" i="18"/>
  <c r="AY406" i="18"/>
  <c r="AY474" i="18"/>
  <c r="AY586" i="18"/>
  <c r="AY253" i="18"/>
  <c r="AY261" i="18"/>
  <c r="AY269" i="18"/>
  <c r="AY383" i="18"/>
  <c r="AY351" i="18"/>
  <c r="AY319" i="18"/>
  <c r="AY287" i="18"/>
  <c r="AY385" i="18"/>
  <c r="AY353" i="18"/>
  <c r="AY321" i="18"/>
  <c r="AY289" i="18"/>
  <c r="AY395" i="18"/>
  <c r="AY363" i="18"/>
  <c r="AY331" i="18"/>
  <c r="AY299" i="18"/>
  <c r="AY400" i="18"/>
  <c r="AY392" i="18"/>
  <c r="AY384" i="18"/>
  <c r="AY376" i="18"/>
  <c r="AY368" i="18"/>
  <c r="AY360" i="18"/>
  <c r="AY352" i="18"/>
  <c r="AY344" i="18"/>
  <c r="AY336" i="18"/>
  <c r="AY328" i="18"/>
  <c r="AY320" i="18"/>
  <c r="AY312" i="18"/>
  <c r="AY304" i="18"/>
  <c r="AY296" i="18"/>
  <c r="AY288" i="18"/>
  <c r="AY280" i="18"/>
  <c r="AY272" i="18"/>
  <c r="AY264" i="18"/>
  <c r="AY256" i="18"/>
  <c r="AY334" i="18"/>
  <c r="AY318" i="18"/>
  <c r="AY302" i="18"/>
  <c r="AY294" i="18"/>
  <c r="AY278" i="18"/>
  <c r="AY270" i="18"/>
  <c r="AY254" i="18"/>
  <c r="AY562" i="18"/>
  <c r="AY500" i="18"/>
  <c r="AY436" i="18"/>
  <c r="AY409" i="18"/>
  <c r="AY425" i="18"/>
  <c r="AY441" i="18"/>
  <c r="AY457" i="18"/>
  <c r="AY473" i="18"/>
  <c r="AY489" i="18"/>
  <c r="AY505" i="18"/>
  <c r="AY521" i="18"/>
  <c r="AY537" i="18"/>
  <c r="AY553" i="18"/>
  <c r="AY550" i="18"/>
  <c r="AY486" i="18"/>
  <c r="AY570" i="18"/>
  <c r="AY530" i="18"/>
  <c r="AY466" i="18"/>
  <c r="AY410" i="18"/>
  <c r="AY576" i="18"/>
  <c r="AY540" i="18"/>
  <c r="AY508" i="18"/>
  <c r="AY476" i="18"/>
  <c r="AY444" i="18"/>
  <c r="AY412" i="18"/>
  <c r="AY407" i="18"/>
  <c r="AY415" i="18"/>
  <c r="AY423" i="18"/>
  <c r="AY431" i="18"/>
  <c r="AY439" i="18"/>
  <c r="AY447" i="18"/>
  <c r="AY455" i="18"/>
  <c r="AY463" i="18"/>
  <c r="AY471" i="18"/>
  <c r="AY479" i="18"/>
  <c r="AY487" i="18"/>
  <c r="AY495" i="18"/>
  <c r="AY503" i="18"/>
  <c r="AY511" i="18"/>
  <c r="AY519" i="18"/>
  <c r="AY527" i="18"/>
  <c r="AY535" i="18"/>
  <c r="AY543" i="18"/>
  <c r="AY551" i="18"/>
  <c r="AY559" i="18"/>
  <c r="AY567" i="18"/>
  <c r="AY558" i="18"/>
  <c r="AY526" i="18"/>
  <c r="AY494" i="18"/>
  <c r="AY462" i="18"/>
  <c r="AY430" i="18"/>
  <c r="AY522" i="18"/>
  <c r="AY458" i="18"/>
  <c r="AY582" i="18"/>
  <c r="AY255" i="18"/>
  <c r="AY263" i="18"/>
  <c r="AY271" i="18"/>
  <c r="AY375" i="18"/>
  <c r="AY343" i="18"/>
  <c r="AY311" i="18"/>
  <c r="AY279" i="18"/>
  <c r="AY377" i="18"/>
  <c r="AY345" i="18"/>
  <c r="AY313" i="18"/>
  <c r="AY281" i="18"/>
  <c r="AY387" i="18"/>
  <c r="AY355" i="18"/>
  <c r="AY323" i="18"/>
  <c r="AY291" i="18"/>
  <c r="AY398" i="18"/>
  <c r="AY390" i="18"/>
  <c r="AY382" i="18"/>
  <c r="AY374" i="18"/>
  <c r="AY366" i="18"/>
  <c r="AY358" i="18"/>
  <c r="AY350" i="18"/>
  <c r="AY342" i="18"/>
  <c r="AY326" i="18"/>
  <c r="AY310" i="18"/>
  <c r="AY286" i="18"/>
  <c r="AY262" i="18"/>
  <c r="AY514" i="18"/>
  <c r="AY450" i="18"/>
  <c r="AY588" i="18"/>
  <c r="AY572" i="18"/>
  <c r="AY532" i="18"/>
  <c r="AY468" i="18"/>
  <c r="AY404" i="18"/>
  <c r="AY417" i="18"/>
  <c r="AY433" i="18"/>
  <c r="AY449" i="18"/>
  <c r="AY465" i="18"/>
  <c r="AY481" i="18"/>
  <c r="AY497" i="18"/>
  <c r="AY513" i="18"/>
  <c r="AY529" i="18"/>
  <c r="AY545" i="18"/>
  <c r="AY561" i="18"/>
  <c r="AY569" i="18"/>
  <c r="AY518" i="18"/>
  <c r="AY391" i="18"/>
  <c r="AY354" i="18"/>
  <c r="AY322" i="18"/>
  <c r="AY290" i="18"/>
  <c r="AY258" i="18"/>
  <c r="AY492" i="18"/>
  <c r="AY475" i="18"/>
  <c r="AY539" i="18"/>
  <c r="AY454" i="18"/>
  <c r="AY578" i="18"/>
  <c r="AY367" i="18"/>
  <c r="AY369" i="18"/>
  <c r="AY315" i="18"/>
  <c r="AY380" i="18"/>
  <c r="AY348" i="18"/>
  <c r="AY316" i="18"/>
  <c r="AY284" i="18"/>
  <c r="AY584" i="18"/>
  <c r="AY460" i="18"/>
  <c r="AY419" i="18"/>
  <c r="AY451" i="18"/>
  <c r="AY483" i="18"/>
  <c r="AY515" i="18"/>
  <c r="AY547" i="18"/>
  <c r="AY542" i="18"/>
  <c r="AY446" i="18"/>
  <c r="AY490" i="18"/>
  <c r="AY574" i="18"/>
  <c r="AY267" i="18"/>
  <c r="AY359" i="18"/>
  <c r="AY295" i="18"/>
  <c r="AY361" i="18"/>
  <c r="AY297" i="18"/>
  <c r="AY371" i="18"/>
  <c r="AY307" i="18"/>
  <c r="AY394" i="18"/>
  <c r="AY378" i="18"/>
  <c r="AY362" i="18"/>
  <c r="AY346" i="18"/>
  <c r="AY330" i="18"/>
  <c r="AY314" i="18"/>
  <c r="AY298" i="18"/>
  <c r="AY282" i="18"/>
  <c r="AY266" i="18"/>
  <c r="AY554" i="18"/>
  <c r="AY564" i="18"/>
  <c r="AY428" i="18"/>
  <c r="AY427" i="18"/>
  <c r="AY459" i="18"/>
  <c r="AY491" i="18"/>
  <c r="AY523" i="18"/>
  <c r="AY555" i="18"/>
  <c r="AY510" i="18"/>
  <c r="AY422" i="18"/>
  <c r="AY442" i="18"/>
  <c r="AY257" i="18"/>
  <c r="AY399" i="18"/>
  <c r="AY335" i="18"/>
  <c r="AY401" i="18"/>
  <c r="AY337" i="18"/>
  <c r="AY273" i="18"/>
  <c r="AY347" i="18"/>
  <c r="AY283" i="18"/>
  <c r="AY388" i="18"/>
  <c r="AY372" i="18"/>
  <c r="AY356" i="18"/>
  <c r="AY340" i="18"/>
  <c r="AY324" i="18"/>
  <c r="AY308" i="18"/>
  <c r="AY292" i="18"/>
  <c r="AY276" i="18"/>
  <c r="AY260" i="18"/>
  <c r="AY498" i="18"/>
  <c r="AY524" i="18"/>
  <c r="AY403" i="18"/>
  <c r="AY435" i="18"/>
  <c r="AY467" i="18"/>
  <c r="AY499" i="18"/>
  <c r="AY531" i="18"/>
  <c r="AY563" i="18"/>
  <c r="AY478" i="18"/>
  <c r="AY414" i="18"/>
  <c r="AY426" i="18"/>
  <c r="AY259" i="18"/>
  <c r="AY327" i="18"/>
  <c r="AY393" i="18"/>
  <c r="AY329" i="18"/>
  <c r="AY252" i="18"/>
  <c r="AY339" i="18"/>
  <c r="AY275" i="18"/>
  <c r="AY386" i="18"/>
  <c r="AY370" i="18"/>
  <c r="AY338" i="18"/>
  <c r="AY306" i="18"/>
  <c r="AY274" i="18"/>
  <c r="AY434" i="18"/>
  <c r="AY411" i="18"/>
  <c r="AY443" i="18"/>
  <c r="AY507" i="18"/>
  <c r="AY571" i="18"/>
  <c r="AY506" i="18"/>
  <c r="AY265" i="18"/>
  <c r="AY303" i="18"/>
  <c r="AY305" i="18"/>
  <c r="AY379" i="18"/>
  <c r="AY396" i="18"/>
  <c r="AY364" i="18"/>
  <c r="AY332" i="18"/>
  <c r="AY300" i="18"/>
  <c r="AY268" i="18"/>
  <c r="AY22" i="18"/>
  <c r="AY86" i="18"/>
  <c r="AY150" i="18"/>
  <c r="AY194" i="18"/>
  <c r="AY226" i="18"/>
  <c r="AY38" i="18"/>
  <c r="AY102" i="18"/>
  <c r="AY166" i="18"/>
  <c r="AY202" i="18"/>
  <c r="AY5" i="18"/>
  <c r="AY118" i="18"/>
  <c r="AY178" i="18"/>
  <c r="AY242" i="18"/>
  <c r="AY6" i="18"/>
  <c r="AY70" i="18"/>
  <c r="AY186" i="18"/>
  <c r="AY218" i="18"/>
  <c r="AY4" i="18"/>
  <c r="AY234" i="18"/>
  <c r="AY54" i="18"/>
  <c r="AY210" i="18"/>
  <c r="AY134" i="18"/>
  <c r="AY250" i="18"/>
  <c r="AY29" i="18"/>
  <c r="AY61" i="18"/>
  <c r="AY93" i="18"/>
  <c r="AY125" i="18"/>
  <c r="AY157" i="18"/>
  <c r="AY13" i="18"/>
  <c r="AY33" i="18"/>
  <c r="AY65" i="18"/>
  <c r="AY97" i="18"/>
  <c r="AY129" i="18"/>
  <c r="AY161" i="18"/>
  <c r="AY217" i="18"/>
  <c r="AY114" i="18"/>
  <c r="AY18" i="18"/>
  <c r="AY230" i="18"/>
  <c r="AY198" i="18"/>
  <c r="AY158" i="18"/>
  <c r="AY94" i="18"/>
  <c r="AY30" i="18"/>
  <c r="AY209" i="18"/>
  <c r="AY130" i="18"/>
  <c r="AY237" i="18"/>
  <c r="AY205" i="18"/>
  <c r="AY170" i="18"/>
  <c r="AY106" i="18"/>
  <c r="AY42" i="18"/>
  <c r="AY248" i="18"/>
  <c r="AY232" i="18"/>
  <c r="AY216" i="18"/>
  <c r="AY200" i="18"/>
  <c r="AY184" i="18"/>
  <c r="AY168" i="18"/>
  <c r="AY152" i="18"/>
  <c r="AY136" i="18"/>
  <c r="AY120" i="18"/>
  <c r="AY104" i="18"/>
  <c r="AY72" i="18"/>
  <c r="AY40" i="18"/>
  <c r="AY239" i="18"/>
  <c r="AY191" i="18"/>
  <c r="AY127" i="18"/>
  <c r="AY79" i="18"/>
  <c r="AY31" i="18"/>
  <c r="AY69" i="18"/>
  <c r="AY101" i="18"/>
  <c r="AY133" i="18"/>
  <c r="AY41" i="18"/>
  <c r="AY137" i="18"/>
  <c r="AY82" i="18"/>
  <c r="AY190" i="18"/>
  <c r="AY78" i="18"/>
  <c r="AY98" i="18"/>
  <c r="AY154" i="18"/>
  <c r="AY26" i="18"/>
  <c r="AY196" i="18"/>
  <c r="AY132" i="18"/>
  <c r="AY68" i="18"/>
  <c r="AY20" i="18"/>
  <c r="AY203" i="18"/>
  <c r="AY155" i="18"/>
  <c r="AY107" i="18"/>
  <c r="AY43" i="18"/>
  <c r="AY45" i="18"/>
  <c r="AY77" i="18"/>
  <c r="AY109" i="18"/>
  <c r="AY141" i="18"/>
  <c r="AY173" i="18"/>
  <c r="AY21" i="18"/>
  <c r="AY49" i="18"/>
  <c r="AY81" i="18"/>
  <c r="AY113" i="18"/>
  <c r="AY145" i="18"/>
  <c r="AY249" i="18"/>
  <c r="AY185" i="18"/>
  <c r="AY66" i="18"/>
  <c r="AY246" i="18"/>
  <c r="AY214" i="18"/>
  <c r="AY182" i="18"/>
  <c r="AY126" i="18"/>
  <c r="AY62" i="18"/>
  <c r="AY241" i="18"/>
  <c r="AY177" i="18"/>
  <c r="AY50" i="18"/>
  <c r="AY221" i="18"/>
  <c r="AY189" i="18"/>
  <c r="AY138" i="18"/>
  <c r="AY74" i="18"/>
  <c r="AY10" i="18"/>
  <c r="AY240" i="18"/>
  <c r="AY224" i="18"/>
  <c r="AY208" i="18"/>
  <c r="AY192" i="18"/>
  <c r="AY176" i="18"/>
  <c r="AY160" i="18"/>
  <c r="AY144" i="18"/>
  <c r="AY128" i="18"/>
  <c r="AY112" i="18"/>
  <c r="AY96" i="18"/>
  <c r="AY80" i="18"/>
  <c r="AY64" i="18"/>
  <c r="AY48" i="18"/>
  <c r="AY32" i="18"/>
  <c r="AY16" i="18"/>
  <c r="AY247" i="18"/>
  <c r="AY231" i="18"/>
  <c r="AY215" i="18"/>
  <c r="AY199" i="18"/>
  <c r="AY183" i="18"/>
  <c r="AY167" i="18"/>
  <c r="AY151" i="18"/>
  <c r="AY135" i="18"/>
  <c r="AY119" i="18"/>
  <c r="AY103" i="18"/>
  <c r="AY87" i="18"/>
  <c r="AY71" i="18"/>
  <c r="AY55" i="18"/>
  <c r="AY39" i="18"/>
  <c r="AY23" i="18"/>
  <c r="AY228" i="18"/>
  <c r="AY148" i="18"/>
  <c r="AY84" i="18"/>
  <c r="AY187" i="18"/>
  <c r="AY139" i="18"/>
  <c r="AY75" i="18"/>
  <c r="AY11" i="18"/>
  <c r="AY53" i="18"/>
  <c r="AY85" i="18"/>
  <c r="AY117" i="18"/>
  <c r="AY149" i="18"/>
  <c r="AY9" i="18"/>
  <c r="AY25" i="18"/>
  <c r="AY57" i="18"/>
  <c r="AY89" i="18"/>
  <c r="AY121" i="18"/>
  <c r="AY153" i="18"/>
  <c r="AY233" i="18"/>
  <c r="AY146" i="18"/>
  <c r="AY34" i="18"/>
  <c r="AY238" i="18"/>
  <c r="AY206" i="18"/>
  <c r="AY174" i="18"/>
  <c r="AY110" i="18"/>
  <c r="AY46" i="18"/>
  <c r="AY225" i="18"/>
  <c r="AY162" i="18"/>
  <c r="AY245" i="18"/>
  <c r="AY213" i="18"/>
  <c r="AY181" i="18"/>
  <c r="AY122" i="18"/>
  <c r="AY58" i="18"/>
  <c r="AY236" i="18"/>
  <c r="AY220" i="18"/>
  <c r="AY204" i="18"/>
  <c r="AY188" i="18"/>
  <c r="AY172" i="18"/>
  <c r="AY156" i="18"/>
  <c r="AY140" i="18"/>
  <c r="AY124" i="18"/>
  <c r="AY108" i="18"/>
  <c r="AY92" i="18"/>
  <c r="AY76" i="18"/>
  <c r="AY60" i="18"/>
  <c r="AY44" i="18"/>
  <c r="AY28" i="18"/>
  <c r="AY12" i="18"/>
  <c r="AY243" i="18"/>
  <c r="AY227" i="18"/>
  <c r="AY211" i="18"/>
  <c r="AY195" i="18"/>
  <c r="AY179" i="18"/>
  <c r="AY163" i="18"/>
  <c r="AY147" i="18"/>
  <c r="AY131" i="18"/>
  <c r="AY115" i="18"/>
  <c r="AY99" i="18"/>
  <c r="AY83" i="18"/>
  <c r="AY67" i="18"/>
  <c r="AY51" i="18"/>
  <c r="AY35" i="18"/>
  <c r="AY19" i="18"/>
  <c r="AY88" i="18"/>
  <c r="AY56" i="18"/>
  <c r="AY24" i="18"/>
  <c r="AY8" i="18"/>
  <c r="AY223" i="18"/>
  <c r="AY207" i="18"/>
  <c r="AY175" i="18"/>
  <c r="AY159" i="18"/>
  <c r="AY143" i="18"/>
  <c r="AY111" i="18"/>
  <c r="AY95" i="18"/>
  <c r="AY63" i="18"/>
  <c r="AY47" i="18"/>
  <c r="AY15" i="18"/>
  <c r="AY37" i="18"/>
  <c r="AY165" i="18"/>
  <c r="AY17" i="18"/>
  <c r="AY73" i="18"/>
  <c r="AY105" i="18"/>
  <c r="AY169" i="18"/>
  <c r="AY201" i="18"/>
  <c r="AY7" i="18"/>
  <c r="AY222" i="18"/>
  <c r="AY142" i="18"/>
  <c r="AY14" i="18"/>
  <c r="AY193" i="18"/>
  <c r="AY229" i="18"/>
  <c r="AY197" i="18"/>
  <c r="AY90" i="18"/>
  <c r="AY244" i="18"/>
  <c r="AY212" i="18"/>
  <c r="AY180" i="18"/>
  <c r="AY164" i="18"/>
  <c r="AY116" i="18"/>
  <c r="AY100" i="18"/>
  <c r="AY52" i="18"/>
  <c r="AY36" i="18"/>
  <c r="AY235" i="18"/>
  <c r="AY219" i="18"/>
  <c r="AY171" i="18"/>
  <c r="AY123" i="18"/>
  <c r="AY91" i="18"/>
  <c r="AY59" i="18"/>
  <c r="AY27" i="18"/>
  <c r="AY2" i="18"/>
  <c r="AY3" i="18"/>
  <c r="BI18" i="2194" l="1"/>
  <c r="BI14" i="2194"/>
  <c r="BI12" i="2194"/>
  <c r="BI9" i="2194"/>
  <c r="BI8" i="2194"/>
  <c r="BI17" i="2194"/>
  <c r="BI11" i="2194"/>
  <c r="BI13" i="2194"/>
  <c r="BI16" i="2194"/>
  <c r="BI15" i="2194"/>
  <c r="BI10" i="2194"/>
  <c r="BI10" i="2159"/>
  <c r="BI14" i="2159"/>
  <c r="BI18" i="2159"/>
  <c r="BI16" i="2159"/>
  <c r="BI9" i="2159"/>
  <c r="BI17" i="2159"/>
  <c r="BI11" i="2159"/>
  <c r="BI15" i="2159"/>
  <c r="BI8" i="2159"/>
  <c r="BI12" i="2159"/>
  <c r="BI13" i="2159"/>
  <c r="L2438" i="18"/>
  <c r="L2437" i="18"/>
  <c r="L2436" i="18"/>
  <c r="L2435" i="18"/>
  <c r="L2434" i="18"/>
  <c r="L2433" i="18"/>
  <c r="L2432" i="18"/>
  <c r="L2431" i="18"/>
  <c r="L2430" i="18"/>
  <c r="L2429" i="18"/>
  <c r="L2428" i="18"/>
  <c r="L2427" i="18"/>
  <c r="L2426" i="18"/>
  <c r="L2425" i="18"/>
  <c r="L2424" i="18"/>
  <c r="L2423" i="18"/>
  <c r="L2422" i="18"/>
  <c r="L2421" i="18"/>
  <c r="L2420" i="18"/>
  <c r="L2419" i="18"/>
  <c r="L2418" i="18"/>
  <c r="L2417" i="18"/>
  <c r="L2416" i="18"/>
  <c r="L2415" i="18"/>
  <c r="L2414" i="18"/>
  <c r="L2413" i="18"/>
  <c r="L2412" i="18"/>
  <c r="L2411" i="18"/>
  <c r="L2410" i="18"/>
  <c r="L2409" i="18"/>
  <c r="L2408" i="18"/>
  <c r="L2407" i="18"/>
  <c r="L2406" i="18"/>
  <c r="L2405" i="18"/>
  <c r="L2404" i="18"/>
  <c r="L2403" i="18"/>
  <c r="L2402" i="18"/>
  <c r="L2401" i="18"/>
  <c r="L2400" i="18"/>
  <c r="L2399" i="18"/>
  <c r="L2398" i="18"/>
  <c r="L2397" i="18"/>
  <c r="L2396" i="18"/>
  <c r="L2395" i="18"/>
  <c r="L2394" i="18"/>
  <c r="L2393" i="18"/>
  <c r="L2392" i="18"/>
  <c r="L2391" i="18"/>
  <c r="L2390" i="18"/>
  <c r="L2389" i="18"/>
  <c r="L2388" i="18"/>
  <c r="L2387" i="18"/>
  <c r="L2386" i="18"/>
  <c r="L2385" i="18"/>
  <c r="L2384" i="18"/>
  <c r="L2383" i="18"/>
  <c r="L2382" i="18"/>
  <c r="L2381" i="18"/>
  <c r="L2380" i="18"/>
  <c r="L2379" i="18"/>
  <c r="L2378" i="18"/>
  <c r="L2377" i="18"/>
  <c r="L2376" i="18"/>
  <c r="L2375" i="18"/>
  <c r="L2374" i="18"/>
  <c r="L2373" i="18"/>
  <c r="L2372" i="18"/>
  <c r="L2371" i="18"/>
  <c r="L2370" i="18"/>
  <c r="L2369" i="18"/>
  <c r="L2368" i="18"/>
  <c r="L2367" i="18"/>
  <c r="L2366" i="18"/>
  <c r="L2365" i="18"/>
  <c r="L2364" i="18"/>
  <c r="L2363" i="18"/>
  <c r="L2362" i="18"/>
  <c r="L2361" i="18"/>
  <c r="L2360" i="18"/>
  <c r="L2359" i="18"/>
  <c r="L2358" i="18"/>
  <c r="L2357" i="18"/>
  <c r="L2356" i="18"/>
  <c r="L2355" i="18"/>
  <c r="L2354" i="18"/>
  <c r="L2353" i="18"/>
  <c r="L2352" i="18"/>
  <c r="L2351" i="18"/>
  <c r="L2350" i="18"/>
  <c r="L2349" i="18"/>
  <c r="L2348" i="18"/>
  <c r="L2347" i="18"/>
  <c r="L2346" i="18"/>
  <c r="L2345" i="18"/>
  <c r="L2344" i="18"/>
  <c r="L2343" i="18"/>
  <c r="L2342" i="18"/>
  <c r="L2341" i="18"/>
  <c r="L2340" i="18"/>
  <c r="L2339" i="18"/>
  <c r="L2338" i="18"/>
  <c r="L2337" i="18"/>
  <c r="L2336" i="18"/>
  <c r="L2335" i="18"/>
  <c r="L2334" i="18"/>
  <c r="L2333" i="18"/>
  <c r="L2332" i="18"/>
  <c r="L2331" i="18"/>
  <c r="L2330" i="18"/>
  <c r="L2329" i="18"/>
  <c r="L2328" i="18"/>
  <c r="L2327" i="18"/>
  <c r="L2326" i="18"/>
  <c r="L2325" i="18"/>
  <c r="L2324" i="18"/>
  <c r="L2323" i="18"/>
  <c r="L2322" i="18"/>
  <c r="L2321" i="18"/>
  <c r="L2320" i="18"/>
  <c r="L2319" i="18"/>
  <c r="L2318" i="18"/>
  <c r="L2317" i="18"/>
  <c r="L2316" i="18"/>
  <c r="L2315" i="18"/>
  <c r="L2314" i="18"/>
  <c r="L2313" i="18"/>
  <c r="L2312" i="18"/>
  <c r="L2311" i="18"/>
  <c r="L2310" i="18"/>
  <c r="L2309" i="18"/>
  <c r="L2308" i="18"/>
  <c r="L2307" i="18"/>
  <c r="L2306" i="18"/>
  <c r="L2305" i="18"/>
  <c r="L2304" i="18"/>
  <c r="L2303" i="18"/>
  <c r="L2302" i="18"/>
  <c r="L2301" i="18"/>
  <c r="L2300" i="18"/>
  <c r="L2299" i="18"/>
  <c r="L2298" i="18"/>
  <c r="L2297" i="18"/>
  <c r="L2296" i="18"/>
  <c r="L2295" i="18"/>
  <c r="L2294" i="18"/>
  <c r="L2293" i="18"/>
  <c r="L2292" i="18"/>
  <c r="L2291" i="18"/>
  <c r="L2290" i="18"/>
  <c r="L2289" i="18"/>
  <c r="L2288" i="18"/>
  <c r="L2287" i="18"/>
  <c r="L2286" i="18"/>
  <c r="L2285" i="18"/>
  <c r="L2284" i="18"/>
  <c r="L2283" i="18"/>
  <c r="L2282" i="18"/>
  <c r="L2281" i="18"/>
  <c r="L2280" i="18"/>
  <c r="L2279" i="18"/>
  <c r="L2278" i="18"/>
  <c r="L2277" i="18"/>
  <c r="L2276" i="18"/>
  <c r="L2275" i="18"/>
  <c r="L2274" i="18"/>
  <c r="L2273" i="18"/>
  <c r="L2272" i="18"/>
  <c r="L2271" i="18"/>
  <c r="L2270" i="18"/>
  <c r="L2269" i="18"/>
  <c r="L2268" i="18"/>
  <c r="L2267" i="18"/>
  <c r="L2266" i="18"/>
  <c r="L2265" i="18"/>
  <c r="L2264" i="18"/>
  <c r="L2263" i="18"/>
  <c r="L2262" i="18"/>
  <c r="L2261" i="18"/>
  <c r="L2260" i="18"/>
  <c r="L2259" i="18"/>
  <c r="L2258" i="18"/>
  <c r="L2257" i="18"/>
  <c r="L2256" i="18"/>
  <c r="L2255" i="18"/>
  <c r="L2254" i="18"/>
  <c r="L2253" i="18"/>
  <c r="L2252" i="18"/>
  <c r="L2251" i="18"/>
  <c r="L2250" i="18"/>
  <c r="L2249" i="18"/>
  <c r="L2248" i="18"/>
  <c r="L2247" i="18"/>
  <c r="L2246" i="18"/>
  <c r="L2245" i="18"/>
  <c r="L2244" i="18"/>
  <c r="L2243" i="18"/>
  <c r="L2242" i="18"/>
  <c r="L2241" i="18"/>
  <c r="L2240" i="18"/>
  <c r="L2239" i="18"/>
  <c r="L2238" i="18"/>
  <c r="L2237" i="18"/>
  <c r="L2236" i="18"/>
  <c r="L2235" i="18"/>
  <c r="L2234" i="18"/>
  <c r="L2233" i="18"/>
  <c r="L2232" i="18"/>
  <c r="L2231" i="18"/>
  <c r="L2230" i="18"/>
  <c r="L2229" i="18"/>
  <c r="L2228" i="18"/>
  <c r="L2227" i="18"/>
  <c r="L2226" i="18"/>
  <c r="L2225" i="18"/>
  <c r="L2224" i="18"/>
  <c r="L2223" i="18"/>
  <c r="L2222" i="18"/>
  <c r="L2221" i="18"/>
  <c r="L2220" i="18"/>
  <c r="L2219" i="18"/>
  <c r="L2218" i="18"/>
  <c r="L2217" i="18"/>
  <c r="L2216" i="18"/>
  <c r="L2215" i="18"/>
  <c r="L2214" i="18"/>
  <c r="L2213" i="18"/>
  <c r="L2212" i="18"/>
  <c r="L2211" i="18"/>
  <c r="L2210" i="18"/>
  <c r="L2209" i="18"/>
  <c r="L2208" i="18"/>
  <c r="L2207" i="18"/>
  <c r="L2206" i="18"/>
  <c r="L2205" i="18"/>
  <c r="L2204" i="18"/>
  <c r="L2203" i="18"/>
  <c r="L2202" i="18"/>
  <c r="L2201" i="18"/>
  <c r="L2200" i="18"/>
  <c r="L2199" i="18"/>
  <c r="L2198" i="18"/>
  <c r="L2197" i="18"/>
  <c r="L2196" i="18"/>
  <c r="L2195" i="18"/>
  <c r="L2194" i="18"/>
  <c r="L2193" i="18"/>
  <c r="L2192" i="18"/>
  <c r="L2191" i="18"/>
  <c r="L2190" i="18"/>
  <c r="L2189" i="18"/>
  <c r="L2188" i="18"/>
  <c r="L2187" i="18"/>
  <c r="L2186" i="18"/>
  <c r="L2185" i="18"/>
  <c r="L2184" i="18"/>
  <c r="L2183" i="18"/>
  <c r="L2182" i="18"/>
  <c r="L2181" i="18"/>
  <c r="L2180" i="18"/>
  <c r="L2179" i="18"/>
  <c r="L2178" i="18"/>
  <c r="L2177" i="18"/>
  <c r="L2176" i="18"/>
  <c r="L2175" i="18"/>
  <c r="L2174" i="18"/>
  <c r="L2173" i="18"/>
  <c r="L2172" i="18"/>
  <c r="L2171" i="18"/>
  <c r="L2170" i="18"/>
  <c r="L2169" i="18"/>
  <c r="L2168" i="18"/>
  <c r="L2167" i="18"/>
  <c r="L2166" i="18"/>
  <c r="L2165" i="18"/>
  <c r="L2164" i="18"/>
  <c r="L2163" i="18"/>
  <c r="L2162" i="18"/>
  <c r="L2161" i="18"/>
  <c r="L2160" i="18"/>
  <c r="L2159" i="18"/>
  <c r="L2158" i="18"/>
  <c r="L2157" i="18"/>
  <c r="L2156" i="18"/>
  <c r="L2155" i="18"/>
  <c r="L2154" i="18"/>
  <c r="L2153" i="18"/>
  <c r="L2152" i="18"/>
  <c r="L2151" i="18"/>
  <c r="L2150" i="18"/>
  <c r="L2149" i="18"/>
  <c r="L2148" i="18"/>
  <c r="L2147" i="18"/>
  <c r="L2146" i="18"/>
  <c r="L2145" i="18"/>
  <c r="L2144" i="18"/>
  <c r="L2143" i="18"/>
  <c r="L2142" i="18"/>
  <c r="L2141" i="18"/>
  <c r="L2140" i="18"/>
  <c r="L2139" i="18"/>
  <c r="L2138" i="18"/>
  <c r="L2137" i="18"/>
  <c r="L2136" i="18"/>
  <c r="L2135" i="18"/>
  <c r="L2134" i="18"/>
  <c r="L2133" i="18"/>
  <c r="L2132" i="18"/>
  <c r="L2131" i="18"/>
  <c r="L2130" i="18"/>
  <c r="L2129" i="18"/>
  <c r="L2128" i="18"/>
  <c r="L2127" i="18"/>
  <c r="L2126" i="18"/>
  <c r="L2125" i="18"/>
  <c r="L2124" i="18"/>
  <c r="L2123" i="18"/>
  <c r="L2122" i="18"/>
  <c r="L2121" i="18"/>
  <c r="L2120" i="18"/>
  <c r="L2119" i="18"/>
  <c r="L2118" i="18"/>
  <c r="L2117" i="18"/>
  <c r="L2116" i="18"/>
  <c r="L2115" i="18"/>
  <c r="L2114" i="18"/>
  <c r="L2113" i="18"/>
  <c r="L2112" i="18"/>
  <c r="L2111" i="18"/>
  <c r="L2110" i="18"/>
  <c r="L2109" i="18"/>
  <c r="L2108" i="18"/>
  <c r="L2107" i="18"/>
  <c r="L2106" i="18"/>
  <c r="L2105" i="18"/>
  <c r="L2104" i="18"/>
  <c r="L2103" i="18"/>
  <c r="L2102" i="18"/>
  <c r="L2101" i="18"/>
  <c r="L2100" i="18"/>
  <c r="L2099" i="18"/>
  <c r="L2098" i="18"/>
  <c r="L2097" i="18"/>
  <c r="L2096" i="18"/>
  <c r="L2095" i="18"/>
  <c r="L2094" i="18"/>
  <c r="L2093" i="18"/>
  <c r="L2092" i="18"/>
  <c r="L2091" i="18"/>
  <c r="L2090" i="18"/>
  <c r="L2089" i="18"/>
  <c r="L2088" i="18"/>
  <c r="L2087" i="18"/>
  <c r="L2086" i="18"/>
  <c r="L2085" i="18"/>
  <c r="L2084" i="18"/>
  <c r="L2083" i="18"/>
  <c r="L2082" i="18"/>
  <c r="L2081" i="18"/>
  <c r="L2080" i="18"/>
  <c r="L2079" i="18"/>
  <c r="L2078" i="18"/>
  <c r="L2077" i="18"/>
  <c r="L2076" i="18"/>
  <c r="L2075" i="18"/>
  <c r="L2074" i="18"/>
  <c r="L2073" i="18"/>
  <c r="L2072" i="18"/>
  <c r="L2071" i="18"/>
  <c r="L2070" i="18"/>
  <c r="L2069" i="18"/>
  <c r="L2068" i="18"/>
  <c r="L2067" i="18"/>
  <c r="L2066" i="18"/>
  <c r="L2065" i="18"/>
  <c r="L2064" i="18"/>
  <c r="L2063" i="18"/>
  <c r="L2062" i="18"/>
  <c r="L2061" i="18"/>
  <c r="L2060" i="18"/>
  <c r="L2059" i="18"/>
  <c r="L2058" i="18"/>
  <c r="L2057" i="18"/>
  <c r="L2056" i="18"/>
  <c r="L2055" i="18"/>
  <c r="L2054" i="18"/>
  <c r="L2053" i="18"/>
  <c r="L2052" i="18"/>
  <c r="L2051" i="18"/>
  <c r="L2050" i="18"/>
  <c r="L2049" i="18"/>
  <c r="L2048" i="18"/>
  <c r="L2047" i="18"/>
  <c r="L2046" i="18"/>
  <c r="L2045" i="18"/>
  <c r="L2044" i="18"/>
  <c r="L2043" i="18"/>
  <c r="L2042" i="18"/>
  <c r="L2041" i="18"/>
  <c r="L2040" i="18"/>
  <c r="L2039" i="18"/>
  <c r="L2038" i="18"/>
  <c r="L2037" i="18"/>
  <c r="L2036" i="18"/>
  <c r="L2035" i="18"/>
  <c r="L2034" i="18"/>
  <c r="L2033" i="18"/>
  <c r="L2032" i="18"/>
  <c r="L2031" i="18"/>
  <c r="L2030" i="18"/>
  <c r="L2029" i="18"/>
  <c r="L2028" i="18"/>
  <c r="L2027" i="18"/>
  <c r="L2026" i="18"/>
  <c r="L2025" i="18"/>
  <c r="L2024" i="18"/>
  <c r="L2023" i="18"/>
  <c r="L2022" i="18"/>
  <c r="L2021" i="18"/>
  <c r="L2020" i="18"/>
  <c r="L2019" i="18"/>
  <c r="L2018" i="18"/>
  <c r="L2017" i="18"/>
  <c r="L2016" i="18"/>
  <c r="L2015" i="18"/>
  <c r="L2014" i="18"/>
  <c r="L2013" i="18"/>
  <c r="L2012" i="18"/>
  <c r="L2011" i="18"/>
  <c r="L2010" i="18"/>
  <c r="L2009" i="18"/>
  <c r="L2008" i="18"/>
  <c r="L2007" i="18"/>
  <c r="L2006" i="18"/>
  <c r="L2005" i="18"/>
  <c r="L2004" i="18"/>
  <c r="L2003" i="18"/>
  <c r="L2002" i="18"/>
  <c r="L2001" i="18"/>
  <c r="L2000" i="18"/>
  <c r="L1999" i="18"/>
  <c r="L1998" i="18"/>
  <c r="L1997" i="18"/>
  <c r="L1996" i="18"/>
  <c r="L1995" i="18"/>
  <c r="L1994" i="18"/>
  <c r="L1993" i="18"/>
  <c r="L1992" i="18"/>
  <c r="L1991" i="18"/>
  <c r="L1990" i="18"/>
  <c r="L1989" i="18"/>
  <c r="L1988" i="18"/>
  <c r="L1987" i="18"/>
  <c r="L1986" i="18"/>
  <c r="L1985" i="18"/>
  <c r="L1984" i="18"/>
  <c r="L1983" i="18"/>
  <c r="L1982" i="18"/>
  <c r="L1981" i="18"/>
  <c r="L1980" i="18"/>
  <c r="L1979" i="18"/>
  <c r="L1978" i="18"/>
  <c r="L1977" i="18"/>
  <c r="L1976" i="18"/>
  <c r="L1975" i="18"/>
  <c r="L1974" i="18"/>
  <c r="L1973" i="18"/>
  <c r="L1972" i="18"/>
  <c r="L1971" i="18"/>
  <c r="L1970" i="18"/>
  <c r="L1969" i="18"/>
  <c r="L1968" i="18"/>
  <c r="L1967" i="18"/>
  <c r="L1966" i="18"/>
  <c r="L1965" i="18"/>
  <c r="L1964" i="18"/>
  <c r="L1963" i="18"/>
  <c r="L1962" i="18"/>
  <c r="L1961" i="18"/>
  <c r="L1960" i="18"/>
  <c r="L1959" i="18"/>
  <c r="L1958" i="18"/>
  <c r="L1957" i="18"/>
  <c r="L1956" i="18"/>
  <c r="L1955" i="18"/>
  <c r="L1954" i="18"/>
  <c r="L1953" i="18"/>
  <c r="L1952" i="18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3" i="18"/>
  <c r="L2" i="18"/>
  <c r="BI19" i="2194" l="1"/>
  <c r="BJ10" i="2194" s="1"/>
  <c r="BK10" i="2194" s="1"/>
  <c r="BI19" i="2159"/>
  <c r="BJ14" i="2159" s="1"/>
  <c r="AG10" i="18"/>
  <c r="BD2" i="18"/>
  <c r="BJ15" i="2194" l="1"/>
  <c r="BK15" i="2194" s="1"/>
  <c r="BH2" i="2194"/>
  <c r="Z1" i="2194"/>
  <c r="CF11" i="2194"/>
  <c r="BJ9" i="2194"/>
  <c r="BK9" i="2194" s="1"/>
  <c r="BJ16" i="2194"/>
  <c r="BK16" i="2194" s="1"/>
  <c r="BJ12" i="2194"/>
  <c r="BK12" i="2194" s="1"/>
  <c r="BJ13" i="2194"/>
  <c r="BK13" i="2194" s="1"/>
  <c r="BJ18" i="2194"/>
  <c r="BK18" i="2194" s="1"/>
  <c r="BJ14" i="2194"/>
  <c r="BK14" i="2194" s="1"/>
  <c r="BJ11" i="2194"/>
  <c r="BK11" i="2194" s="1"/>
  <c r="BJ8" i="2194"/>
  <c r="BK8" i="2194" s="1"/>
  <c r="BJ17" i="2194"/>
  <c r="BK17" i="2194" s="1"/>
  <c r="CF11" i="2159"/>
  <c r="BH2" i="2159"/>
  <c r="Z1" i="2159"/>
  <c r="BB2" i="18"/>
  <c r="AO61" i="2194" l="1"/>
  <c r="AO60" i="2194"/>
  <c r="AO59" i="2194"/>
  <c r="AO58" i="2194"/>
  <c r="AO57" i="2194"/>
  <c r="AO56" i="2194"/>
  <c r="AO55" i="2194"/>
  <c r="AO53" i="2194"/>
  <c r="AO51" i="2194"/>
  <c r="AO49" i="2194"/>
  <c r="AO47" i="2194"/>
  <c r="AO45" i="2194"/>
  <c r="AO43" i="2194"/>
  <c r="AO54" i="2194"/>
  <c r="AO52" i="2194"/>
  <c r="AO50" i="2194"/>
  <c r="AO48" i="2194"/>
  <c r="AO46" i="2194"/>
  <c r="AO44" i="2194"/>
  <c r="AO42" i="2194"/>
  <c r="AO41" i="2194"/>
  <c r="AO40" i="2194"/>
  <c r="AO39" i="2194"/>
  <c r="AO38" i="2194"/>
  <c r="AO37" i="2194"/>
  <c r="AO36" i="2194"/>
  <c r="AO35" i="2194"/>
  <c r="AO34" i="2194"/>
  <c r="AO33" i="2194"/>
  <c r="AO32" i="2194"/>
  <c r="AO20" i="2194"/>
  <c r="AO19" i="2194"/>
  <c r="AO29" i="2194"/>
  <c r="AO25" i="2194"/>
  <c r="AO18" i="2194"/>
  <c r="AO31" i="2194"/>
  <c r="AO30" i="2194"/>
  <c r="AO28" i="2194"/>
  <c r="AO27" i="2194"/>
  <c r="AO26" i="2194"/>
  <c r="AO24" i="2194"/>
  <c r="AO23" i="2194"/>
  <c r="AO22" i="2194"/>
  <c r="AO21" i="2194"/>
  <c r="AO17" i="2194"/>
  <c r="AO16" i="2194"/>
  <c r="AO13" i="2194"/>
  <c r="AO15" i="2194"/>
  <c r="AO10" i="2194"/>
  <c r="AO12" i="2194"/>
  <c r="AO14" i="2194"/>
  <c r="AO11" i="2194"/>
  <c r="AO6" i="2194"/>
  <c r="AO7" i="2194"/>
  <c r="AO5" i="2194"/>
  <c r="AO4" i="2194"/>
  <c r="AO3" i="2194"/>
  <c r="AO8" i="2194"/>
  <c r="AO9" i="2194"/>
  <c r="CG11" i="2194"/>
  <c r="CF10" i="2194"/>
  <c r="BI2" i="2194"/>
  <c r="BH1" i="2194"/>
  <c r="BI1" i="2194" s="1"/>
  <c r="AO16" i="2159"/>
  <c r="AO12" i="2159"/>
  <c r="AO14" i="2159"/>
  <c r="AO15" i="2159"/>
  <c r="AO13" i="2159"/>
  <c r="AO4" i="2159"/>
  <c r="AO10" i="2159"/>
  <c r="AO5" i="2159"/>
  <c r="AO8" i="2159"/>
  <c r="AO6" i="2159"/>
  <c r="AO11" i="2159"/>
  <c r="AO3" i="2159"/>
  <c r="AO7" i="2159"/>
  <c r="AO9" i="2159"/>
  <c r="BA7" i="18"/>
  <c r="BD6" i="18" s="1"/>
  <c r="AF6" i="18"/>
  <c r="BD2" i="2194" s="1"/>
  <c r="BH1" i="2159"/>
  <c r="BI1" i="2159" s="1"/>
  <c r="BI2" i="2159"/>
  <c r="CG11" i="2159"/>
  <c r="CF10" i="2159"/>
  <c r="AG15" i="18"/>
  <c r="AP42" i="2194" l="1"/>
  <c r="A42" i="2194" s="1"/>
  <c r="D42" i="2194"/>
  <c r="AP50" i="2194"/>
  <c r="A50" i="2194" s="1"/>
  <c r="D50" i="2194"/>
  <c r="D45" i="2194"/>
  <c r="AP45" i="2194"/>
  <c r="A45" i="2194" s="1"/>
  <c r="D53" i="2194"/>
  <c r="AP53" i="2194"/>
  <c r="A53" i="2194" s="1"/>
  <c r="AP58" i="2194"/>
  <c r="A58" i="2194" s="1"/>
  <c r="D58" i="2194"/>
  <c r="AP44" i="2194"/>
  <c r="A44" i="2194" s="1"/>
  <c r="D44" i="2194"/>
  <c r="AP47" i="2194"/>
  <c r="A47" i="2194" s="1"/>
  <c r="D47" i="2194"/>
  <c r="AP55" i="2194"/>
  <c r="A55" i="2194" s="1"/>
  <c r="D55" i="2194"/>
  <c r="AP59" i="2194"/>
  <c r="A59" i="2194" s="1"/>
  <c r="D59" i="2194"/>
  <c r="AP52" i="2194"/>
  <c r="A52" i="2194" s="1"/>
  <c r="D52" i="2194"/>
  <c r="AP40" i="2194"/>
  <c r="A40" i="2194" s="1"/>
  <c r="D40" i="2194"/>
  <c r="AP46" i="2194"/>
  <c r="A46" i="2194" s="1"/>
  <c r="D46" i="2194"/>
  <c r="D54" i="2194"/>
  <c r="AP54" i="2194"/>
  <c r="A54" i="2194" s="1"/>
  <c r="D49" i="2194"/>
  <c r="AP49" i="2194"/>
  <c r="A49" i="2194" s="1"/>
  <c r="AP56" i="2194"/>
  <c r="A56" i="2194" s="1"/>
  <c r="D56" i="2194"/>
  <c r="AP60" i="2194"/>
  <c r="A60" i="2194" s="1"/>
  <c r="D60" i="2194"/>
  <c r="AP41" i="2194"/>
  <c r="A41" i="2194" s="1"/>
  <c r="D41" i="2194"/>
  <c r="AP48" i="2194"/>
  <c r="A48" i="2194" s="1"/>
  <c r="D48" i="2194"/>
  <c r="AP43" i="2194"/>
  <c r="A43" i="2194" s="1"/>
  <c r="D43" i="2194"/>
  <c r="D51" i="2194"/>
  <c r="AP51" i="2194"/>
  <c r="A51" i="2194" s="1"/>
  <c r="AP57" i="2194"/>
  <c r="A57" i="2194" s="1"/>
  <c r="D57" i="2194"/>
  <c r="AP61" i="2194"/>
  <c r="A61" i="2194" s="1"/>
  <c r="D61" i="2194"/>
  <c r="AP32" i="2194"/>
  <c r="A32" i="2194" s="1"/>
  <c r="D32" i="2194"/>
  <c r="D36" i="2194"/>
  <c r="AP36" i="2194"/>
  <c r="A36" i="2194" s="1"/>
  <c r="AP33" i="2194"/>
  <c r="A33" i="2194" s="1"/>
  <c r="D33" i="2194"/>
  <c r="AP37" i="2194"/>
  <c r="A37" i="2194" s="1"/>
  <c r="D37" i="2194"/>
  <c r="D34" i="2194"/>
  <c r="AP34" i="2194"/>
  <c r="A34" i="2194" s="1"/>
  <c r="AP38" i="2194"/>
  <c r="A38" i="2194" s="1"/>
  <c r="D38" i="2194"/>
  <c r="AP35" i="2194"/>
  <c r="A35" i="2194" s="1"/>
  <c r="D35" i="2194"/>
  <c r="AP39" i="2194"/>
  <c r="A39" i="2194" s="1"/>
  <c r="D39" i="2194"/>
  <c r="AP24" i="2194"/>
  <c r="A24" i="2194" s="1"/>
  <c r="D24" i="2194"/>
  <c r="AP30" i="2194"/>
  <c r="A30" i="2194" s="1"/>
  <c r="D30" i="2194"/>
  <c r="D29" i="2194"/>
  <c r="AP29" i="2194"/>
  <c r="A29" i="2194" s="1"/>
  <c r="AP23" i="2194"/>
  <c r="A23" i="2194" s="1"/>
  <c r="D23" i="2194"/>
  <c r="D28" i="2194"/>
  <c r="AP28" i="2194"/>
  <c r="A28" i="2194" s="1"/>
  <c r="AP25" i="2194"/>
  <c r="A25" i="2194" s="1"/>
  <c r="D25" i="2194"/>
  <c r="AP21" i="2194"/>
  <c r="A21" i="2194" s="1"/>
  <c r="D21" i="2194"/>
  <c r="AP26" i="2194"/>
  <c r="A26" i="2194" s="1"/>
  <c r="D26" i="2194"/>
  <c r="D31" i="2194"/>
  <c r="AP31" i="2194"/>
  <c r="A31" i="2194" s="1"/>
  <c r="AP19" i="2194"/>
  <c r="A19" i="2194" s="1"/>
  <c r="D19" i="2194"/>
  <c r="AP22" i="2194"/>
  <c r="A22" i="2194" s="1"/>
  <c r="CD23" i="2194" s="1"/>
  <c r="D22" i="2194"/>
  <c r="AP27" i="2194"/>
  <c r="A27" i="2194" s="1"/>
  <c r="D27" i="2194"/>
  <c r="D18" i="2194"/>
  <c r="AP18" i="2194"/>
  <c r="A18" i="2194" s="1"/>
  <c r="AP20" i="2194"/>
  <c r="A20" i="2194" s="1"/>
  <c r="D20" i="2194"/>
  <c r="AP16" i="2194"/>
  <c r="A16" i="2194" s="1"/>
  <c r="D16" i="2194"/>
  <c r="AP17" i="2194"/>
  <c r="A17" i="2194" s="1"/>
  <c r="BO43" i="2194" s="1"/>
  <c r="D17" i="2194"/>
  <c r="AP12" i="2194"/>
  <c r="A12" i="2194" s="1"/>
  <c r="D12" i="2194"/>
  <c r="AP10" i="2194"/>
  <c r="A10" i="2194" s="1"/>
  <c r="D10" i="2194"/>
  <c r="AP11" i="2194"/>
  <c r="A11" i="2194" s="1"/>
  <c r="D11" i="2194"/>
  <c r="AP15" i="2194"/>
  <c r="A15" i="2194" s="1"/>
  <c r="D15" i="2194"/>
  <c r="AP14" i="2194"/>
  <c r="A14" i="2194" s="1"/>
  <c r="D14" i="2194"/>
  <c r="AP13" i="2194"/>
  <c r="A13" i="2194" s="1"/>
  <c r="D13" i="2194"/>
  <c r="AP4" i="2194"/>
  <c r="A4" i="2194" s="1"/>
  <c r="D4" i="2194"/>
  <c r="AP9" i="2194"/>
  <c r="A9" i="2194" s="1"/>
  <c r="D9" i="2194"/>
  <c r="AP5" i="2194"/>
  <c r="A5" i="2194" s="1"/>
  <c r="D5" i="2194"/>
  <c r="AP8" i="2194"/>
  <c r="A8" i="2194" s="1"/>
  <c r="D8" i="2194"/>
  <c r="AP7" i="2194"/>
  <c r="A7" i="2194" s="1"/>
  <c r="D7" i="2194"/>
  <c r="AP3" i="2194"/>
  <c r="A3" i="2194" s="1"/>
  <c r="D3" i="2194"/>
  <c r="BR7" i="2194"/>
  <c r="BS7" i="2194" s="1"/>
  <c r="AP6" i="2194"/>
  <c r="A6" i="2194" s="1"/>
  <c r="D6" i="2194"/>
  <c r="CE8" i="2194"/>
  <c r="BJ1" i="2194"/>
  <c r="BL1" i="2194"/>
  <c r="BP1" i="2194"/>
  <c r="BL2" i="2194"/>
  <c r="BP2" i="2194"/>
  <c r="BJ2" i="2194"/>
  <c r="CG10" i="2194"/>
  <c r="CE7" i="2194" s="1"/>
  <c r="CF9" i="2194"/>
  <c r="BJ2" i="2159"/>
  <c r="BP2" i="2159"/>
  <c r="D15" i="2159"/>
  <c r="D12" i="2159"/>
  <c r="BJ1" i="2159"/>
  <c r="BP1" i="2159"/>
  <c r="D13" i="2159"/>
  <c r="D14" i="2159"/>
  <c r="D16" i="2159"/>
  <c r="D7" i="2159"/>
  <c r="D11" i="2159"/>
  <c r="D8" i="2159"/>
  <c r="D10" i="2159"/>
  <c r="D9" i="2159"/>
  <c r="D3" i="2159"/>
  <c r="BR7" i="2159"/>
  <c r="D6" i="2159"/>
  <c r="D5" i="2159"/>
  <c r="D4" i="2159"/>
  <c r="CG10" i="2159"/>
  <c r="CE7" i="2159" s="1"/>
  <c r="CF9" i="2159"/>
  <c r="BD2" i="2159"/>
  <c r="AP7" i="2159" s="1"/>
  <c r="A7" i="2159" s="1"/>
  <c r="CE8" i="2159"/>
  <c r="BL2" i="2159"/>
  <c r="BL1" i="2159"/>
  <c r="S259" i="18"/>
  <c r="S260" i="18"/>
  <c r="S261" i="18"/>
  <c r="V261" i="18" s="1"/>
  <c r="S262" i="18"/>
  <c r="V262" i="18" s="1"/>
  <c r="S263" i="18"/>
  <c r="V263" i="18" s="1"/>
  <c r="S264" i="18"/>
  <c r="V264" i="18" s="1"/>
  <c r="S265" i="18"/>
  <c r="V265" i="18" s="1"/>
  <c r="S266" i="18"/>
  <c r="V266" i="18" s="1"/>
  <c r="S267" i="18"/>
  <c r="V267" i="18" s="1"/>
  <c r="S268" i="18"/>
  <c r="V268" i="18" s="1"/>
  <c r="S269" i="18"/>
  <c r="V269" i="18" s="1"/>
  <c r="S270" i="18"/>
  <c r="V270" i="18" s="1"/>
  <c r="S271" i="18"/>
  <c r="V271" i="18" s="1"/>
  <c r="S272" i="18"/>
  <c r="V272" i="18" s="1"/>
  <c r="S273" i="18"/>
  <c r="V273" i="18" s="1"/>
  <c r="S274" i="18"/>
  <c r="V274" i="18" s="1"/>
  <c r="S275" i="18"/>
  <c r="V275" i="18" s="1"/>
  <c r="S276" i="18"/>
  <c r="V276" i="18" s="1"/>
  <c r="S277" i="18"/>
  <c r="V277" i="18" s="1"/>
  <c r="S278" i="18"/>
  <c r="V278" i="18" s="1"/>
  <c r="S279" i="18"/>
  <c r="V279" i="18" s="1"/>
  <c r="S280" i="18"/>
  <c r="V280" i="18" s="1"/>
  <c r="S281" i="18"/>
  <c r="V281" i="18" s="1"/>
  <c r="S282" i="18"/>
  <c r="V282" i="18" s="1"/>
  <c r="S283" i="18"/>
  <c r="V283" i="18" s="1"/>
  <c r="S284" i="18"/>
  <c r="V284" i="18" s="1"/>
  <c r="S285" i="18"/>
  <c r="V285" i="18" s="1"/>
  <c r="S286" i="18"/>
  <c r="V286" i="18" s="1"/>
  <c r="S287" i="18"/>
  <c r="V287" i="18" s="1"/>
  <c r="S288" i="18"/>
  <c r="V288" i="18" s="1"/>
  <c r="S289" i="18"/>
  <c r="V289" i="18" s="1"/>
  <c r="S290" i="18"/>
  <c r="V290" i="18" s="1"/>
  <c r="S291" i="18"/>
  <c r="V291" i="18" s="1"/>
  <c r="S292" i="18"/>
  <c r="V292" i="18" s="1"/>
  <c r="S293" i="18"/>
  <c r="V293" i="18" s="1"/>
  <c r="S294" i="18"/>
  <c r="V294" i="18" s="1"/>
  <c r="S295" i="18"/>
  <c r="V295" i="18" s="1"/>
  <c r="S296" i="18"/>
  <c r="V296" i="18" s="1"/>
  <c r="S297" i="18"/>
  <c r="V297" i="18" s="1"/>
  <c r="S298" i="18"/>
  <c r="V298" i="18" s="1"/>
  <c r="S299" i="18"/>
  <c r="V299" i="18" s="1"/>
  <c r="S300" i="18"/>
  <c r="V300" i="18" s="1"/>
  <c r="S301" i="18"/>
  <c r="V301" i="18" s="1"/>
  <c r="S302" i="18"/>
  <c r="V302" i="18" s="1"/>
  <c r="S303" i="18"/>
  <c r="V303" i="18" s="1"/>
  <c r="S304" i="18"/>
  <c r="V304" i="18" s="1"/>
  <c r="S305" i="18"/>
  <c r="V305" i="18" s="1"/>
  <c r="S306" i="18"/>
  <c r="V306" i="18" s="1"/>
  <c r="S307" i="18"/>
  <c r="V307" i="18" s="1"/>
  <c r="S308" i="18"/>
  <c r="V308" i="18" s="1"/>
  <c r="S309" i="18"/>
  <c r="V309" i="18" s="1"/>
  <c r="S310" i="18"/>
  <c r="V310" i="18" s="1"/>
  <c r="S311" i="18"/>
  <c r="V311" i="18" s="1"/>
  <c r="S312" i="18"/>
  <c r="V312" i="18" s="1"/>
  <c r="S313" i="18"/>
  <c r="V313" i="18" s="1"/>
  <c r="S314" i="18"/>
  <c r="V314" i="18" s="1"/>
  <c r="S315" i="18"/>
  <c r="V315" i="18" s="1"/>
  <c r="S316" i="18"/>
  <c r="V316" i="18" s="1"/>
  <c r="S317" i="18"/>
  <c r="V317" i="18" s="1"/>
  <c r="S318" i="18"/>
  <c r="V318" i="18" s="1"/>
  <c r="S319" i="18"/>
  <c r="V319" i="18" s="1"/>
  <c r="S320" i="18"/>
  <c r="V320" i="18" s="1"/>
  <c r="S321" i="18"/>
  <c r="V321" i="18" s="1"/>
  <c r="S322" i="18"/>
  <c r="V322" i="18" s="1"/>
  <c r="S323" i="18"/>
  <c r="V323" i="18" s="1"/>
  <c r="S324" i="18"/>
  <c r="V324" i="18" s="1"/>
  <c r="S325" i="18"/>
  <c r="V325" i="18" s="1"/>
  <c r="S326" i="18"/>
  <c r="V326" i="18" s="1"/>
  <c r="S327" i="18"/>
  <c r="V327" i="18" s="1"/>
  <c r="S328" i="18"/>
  <c r="V328" i="18" s="1"/>
  <c r="S329" i="18"/>
  <c r="V329" i="18" s="1"/>
  <c r="S330" i="18"/>
  <c r="V330" i="18" s="1"/>
  <c r="S331" i="18"/>
  <c r="V331" i="18" s="1"/>
  <c r="S332" i="18"/>
  <c r="V332" i="18" s="1"/>
  <c r="S333" i="18"/>
  <c r="V333" i="18" s="1"/>
  <c r="S334" i="18"/>
  <c r="V334" i="18" s="1"/>
  <c r="S335" i="18"/>
  <c r="V335" i="18" s="1"/>
  <c r="S237" i="18"/>
  <c r="S238" i="18"/>
  <c r="S239" i="18"/>
  <c r="S240" i="18"/>
  <c r="S241" i="18"/>
  <c r="S242" i="18"/>
  <c r="S243" i="18"/>
  <c r="S244" i="18"/>
  <c r="S245" i="18"/>
  <c r="S246" i="18"/>
  <c r="S247" i="18"/>
  <c r="S248" i="18"/>
  <c r="S249" i="18"/>
  <c r="S250" i="18"/>
  <c r="S251" i="18"/>
  <c r="S252" i="18"/>
  <c r="S253" i="18"/>
  <c r="S254" i="18"/>
  <c r="S255" i="18"/>
  <c r="S256" i="18"/>
  <c r="S257" i="18"/>
  <c r="S258" i="18"/>
  <c r="S3" i="18"/>
  <c r="S4" i="18"/>
  <c r="U4" i="18" s="1"/>
  <c r="S5" i="18"/>
  <c r="V5" i="18" s="1"/>
  <c r="S6" i="18"/>
  <c r="V6" i="18" s="1"/>
  <c r="S7" i="18"/>
  <c r="V7" i="18" s="1"/>
  <c r="S8" i="18"/>
  <c r="V8" i="18" s="1"/>
  <c r="S9" i="18"/>
  <c r="V9" i="18" s="1"/>
  <c r="S10" i="18"/>
  <c r="V10" i="18" s="1"/>
  <c r="S11" i="18"/>
  <c r="V11" i="18" s="1"/>
  <c r="S12" i="18"/>
  <c r="V12" i="18" s="1"/>
  <c r="S13" i="18"/>
  <c r="V13" i="18" s="1"/>
  <c r="S14" i="18"/>
  <c r="V14" i="18" s="1"/>
  <c r="S15" i="18"/>
  <c r="V15" i="18" s="1"/>
  <c r="S16" i="18"/>
  <c r="V16" i="18" s="1"/>
  <c r="S17" i="18"/>
  <c r="V17" i="18" s="1"/>
  <c r="S18" i="18"/>
  <c r="V18" i="18" s="1"/>
  <c r="S19" i="18"/>
  <c r="V19" i="18" s="1"/>
  <c r="S20" i="18"/>
  <c r="V20" i="18" s="1"/>
  <c r="S21" i="18"/>
  <c r="V21" i="18" s="1"/>
  <c r="S22" i="18"/>
  <c r="V22" i="18" s="1"/>
  <c r="S23" i="18"/>
  <c r="V23" i="18" s="1"/>
  <c r="S24" i="18"/>
  <c r="V24" i="18" s="1"/>
  <c r="S25" i="18"/>
  <c r="V25" i="18" s="1"/>
  <c r="S26" i="18"/>
  <c r="V26" i="18" s="1"/>
  <c r="S27" i="18"/>
  <c r="V27" i="18" s="1"/>
  <c r="S28" i="18"/>
  <c r="V28" i="18" s="1"/>
  <c r="S29" i="18"/>
  <c r="V29" i="18" s="1"/>
  <c r="S30" i="18"/>
  <c r="V30" i="18" s="1"/>
  <c r="S31" i="18"/>
  <c r="V31" i="18" s="1"/>
  <c r="S32" i="18"/>
  <c r="V32" i="18" s="1"/>
  <c r="S33" i="18"/>
  <c r="V33" i="18" s="1"/>
  <c r="S34" i="18"/>
  <c r="V34" i="18" s="1"/>
  <c r="S35" i="18"/>
  <c r="V35" i="18" s="1"/>
  <c r="S36" i="18"/>
  <c r="V36" i="18" s="1"/>
  <c r="S37" i="18"/>
  <c r="V37" i="18" s="1"/>
  <c r="S38" i="18"/>
  <c r="V38" i="18" s="1"/>
  <c r="S39" i="18"/>
  <c r="V39" i="18" s="1"/>
  <c r="S40" i="18"/>
  <c r="V40" i="18" s="1"/>
  <c r="S41" i="18"/>
  <c r="V41" i="18" s="1"/>
  <c r="S42" i="18"/>
  <c r="V42" i="18" s="1"/>
  <c r="S43" i="18"/>
  <c r="V43" i="18" s="1"/>
  <c r="S44" i="18"/>
  <c r="V44" i="18" s="1"/>
  <c r="S45" i="18"/>
  <c r="V45" i="18" s="1"/>
  <c r="S46" i="18"/>
  <c r="V46" i="18" s="1"/>
  <c r="S47" i="18"/>
  <c r="V47" i="18" s="1"/>
  <c r="S48" i="18"/>
  <c r="V48" i="18" s="1"/>
  <c r="S49" i="18"/>
  <c r="V49" i="18" s="1"/>
  <c r="S50" i="18"/>
  <c r="V50" i="18" s="1"/>
  <c r="S51" i="18"/>
  <c r="V51" i="18" s="1"/>
  <c r="S52" i="18"/>
  <c r="V52" i="18" s="1"/>
  <c r="S53" i="18"/>
  <c r="V53" i="18" s="1"/>
  <c r="S54" i="18"/>
  <c r="V54" i="18" s="1"/>
  <c r="S55" i="18"/>
  <c r="V55" i="18" s="1"/>
  <c r="S56" i="18"/>
  <c r="V56" i="18" s="1"/>
  <c r="S57" i="18"/>
  <c r="V57" i="18" s="1"/>
  <c r="S58" i="18"/>
  <c r="V58" i="18" s="1"/>
  <c r="S59" i="18"/>
  <c r="V59" i="18" s="1"/>
  <c r="S60" i="18"/>
  <c r="V60" i="18" s="1"/>
  <c r="S61" i="18"/>
  <c r="V61" i="18" s="1"/>
  <c r="S62" i="18"/>
  <c r="V62" i="18" s="1"/>
  <c r="S63" i="18"/>
  <c r="V63" i="18" s="1"/>
  <c r="S64" i="18"/>
  <c r="V64" i="18" s="1"/>
  <c r="S65" i="18"/>
  <c r="V65" i="18" s="1"/>
  <c r="S66" i="18"/>
  <c r="V66" i="18" s="1"/>
  <c r="S67" i="18"/>
  <c r="V67" i="18" s="1"/>
  <c r="S68" i="18"/>
  <c r="V68" i="18" s="1"/>
  <c r="S69" i="18"/>
  <c r="V69" i="18" s="1"/>
  <c r="S70" i="18"/>
  <c r="V70" i="18" s="1"/>
  <c r="S71" i="18"/>
  <c r="V71" i="18" s="1"/>
  <c r="S72" i="18"/>
  <c r="V72" i="18" s="1"/>
  <c r="S73" i="18"/>
  <c r="V73" i="18" s="1"/>
  <c r="S74" i="18"/>
  <c r="V74" i="18" s="1"/>
  <c r="S75" i="18"/>
  <c r="V75" i="18" s="1"/>
  <c r="S76" i="18"/>
  <c r="V76" i="18" s="1"/>
  <c r="S77" i="18"/>
  <c r="V77" i="18" s="1"/>
  <c r="S78" i="18"/>
  <c r="V78" i="18" s="1"/>
  <c r="S79" i="18"/>
  <c r="V79" i="18" s="1"/>
  <c r="S80" i="18"/>
  <c r="V80" i="18" s="1"/>
  <c r="S81" i="18"/>
  <c r="V81" i="18" s="1"/>
  <c r="S82" i="18"/>
  <c r="V82" i="18" s="1"/>
  <c r="S83" i="18"/>
  <c r="V83" i="18" s="1"/>
  <c r="S84" i="18"/>
  <c r="V84" i="18" s="1"/>
  <c r="S85" i="18"/>
  <c r="V85" i="18" s="1"/>
  <c r="S86" i="18"/>
  <c r="V86" i="18" s="1"/>
  <c r="S87" i="18"/>
  <c r="V87" i="18" s="1"/>
  <c r="S88" i="18"/>
  <c r="V88" i="18" s="1"/>
  <c r="S89" i="18"/>
  <c r="V89" i="18" s="1"/>
  <c r="S90" i="18"/>
  <c r="V90" i="18" s="1"/>
  <c r="S91" i="18"/>
  <c r="V91" i="18" s="1"/>
  <c r="S92" i="18"/>
  <c r="V92" i="18" s="1"/>
  <c r="S93" i="18"/>
  <c r="V93" i="18" s="1"/>
  <c r="S94" i="18"/>
  <c r="V94" i="18" s="1"/>
  <c r="S95" i="18"/>
  <c r="V95" i="18" s="1"/>
  <c r="S96" i="18"/>
  <c r="V96" i="18" s="1"/>
  <c r="S97" i="18"/>
  <c r="V97" i="18" s="1"/>
  <c r="S98" i="18"/>
  <c r="V98" i="18" s="1"/>
  <c r="S99" i="18"/>
  <c r="V99" i="18" s="1"/>
  <c r="S100" i="18"/>
  <c r="V100" i="18" s="1"/>
  <c r="S101" i="18"/>
  <c r="V101" i="18" s="1"/>
  <c r="S102" i="18"/>
  <c r="V102" i="18" s="1"/>
  <c r="S103" i="18"/>
  <c r="V103" i="18" s="1"/>
  <c r="S104" i="18"/>
  <c r="V104" i="18" s="1"/>
  <c r="S105" i="18"/>
  <c r="V105" i="18" s="1"/>
  <c r="S106" i="18"/>
  <c r="V106" i="18" s="1"/>
  <c r="S107" i="18"/>
  <c r="V107" i="18" s="1"/>
  <c r="S108" i="18"/>
  <c r="V108" i="18" s="1"/>
  <c r="S109" i="18"/>
  <c r="V109" i="18" s="1"/>
  <c r="S110" i="18"/>
  <c r="V110" i="18" s="1"/>
  <c r="S111" i="18"/>
  <c r="V111" i="18" s="1"/>
  <c r="S112" i="18"/>
  <c r="V112" i="18" s="1"/>
  <c r="S113" i="18"/>
  <c r="V113" i="18" s="1"/>
  <c r="S114" i="18"/>
  <c r="V114" i="18" s="1"/>
  <c r="S115" i="18"/>
  <c r="V115" i="18" s="1"/>
  <c r="S116" i="18"/>
  <c r="V116" i="18" s="1"/>
  <c r="S117" i="18"/>
  <c r="V117" i="18" s="1"/>
  <c r="S118" i="18"/>
  <c r="V118" i="18" s="1"/>
  <c r="S119" i="18"/>
  <c r="V119" i="18" s="1"/>
  <c r="S120" i="18"/>
  <c r="V120" i="18" s="1"/>
  <c r="S121" i="18"/>
  <c r="V121" i="18" s="1"/>
  <c r="S122" i="18"/>
  <c r="V122" i="18" s="1"/>
  <c r="S123" i="18"/>
  <c r="V123" i="18" s="1"/>
  <c r="S124" i="18"/>
  <c r="V124" i="18" s="1"/>
  <c r="S125" i="18"/>
  <c r="V125" i="18" s="1"/>
  <c r="S126" i="18"/>
  <c r="V126" i="18" s="1"/>
  <c r="S127" i="18"/>
  <c r="V127" i="18" s="1"/>
  <c r="S128" i="18"/>
  <c r="V128" i="18" s="1"/>
  <c r="S129" i="18"/>
  <c r="V129" i="18" s="1"/>
  <c r="S130" i="18"/>
  <c r="V130" i="18" s="1"/>
  <c r="S131" i="18"/>
  <c r="V131" i="18" s="1"/>
  <c r="S132" i="18"/>
  <c r="V132" i="18" s="1"/>
  <c r="S133" i="18"/>
  <c r="V133" i="18" s="1"/>
  <c r="S134" i="18"/>
  <c r="V134" i="18" s="1"/>
  <c r="S135" i="18"/>
  <c r="V135" i="18" s="1"/>
  <c r="S136" i="18"/>
  <c r="V136" i="18" s="1"/>
  <c r="S137" i="18"/>
  <c r="V137" i="18" s="1"/>
  <c r="S138" i="18"/>
  <c r="V138" i="18" s="1"/>
  <c r="S139" i="18"/>
  <c r="V139" i="18" s="1"/>
  <c r="S140" i="18"/>
  <c r="V140" i="18" s="1"/>
  <c r="S141" i="18"/>
  <c r="V141" i="18" s="1"/>
  <c r="S142" i="18"/>
  <c r="V142" i="18" s="1"/>
  <c r="S143" i="18"/>
  <c r="V143" i="18" s="1"/>
  <c r="S144" i="18"/>
  <c r="V144" i="18" s="1"/>
  <c r="S145" i="18"/>
  <c r="V145" i="18" s="1"/>
  <c r="S146" i="18"/>
  <c r="V146" i="18" s="1"/>
  <c r="S147" i="18"/>
  <c r="V147" i="18" s="1"/>
  <c r="S148" i="18"/>
  <c r="V148" i="18" s="1"/>
  <c r="S149" i="18"/>
  <c r="V149" i="18" s="1"/>
  <c r="S150" i="18"/>
  <c r="V150" i="18" s="1"/>
  <c r="S151" i="18"/>
  <c r="V151" i="18" s="1"/>
  <c r="S152" i="18"/>
  <c r="V152" i="18" s="1"/>
  <c r="S153" i="18"/>
  <c r="V153" i="18" s="1"/>
  <c r="S154" i="18"/>
  <c r="V154" i="18" s="1"/>
  <c r="S155" i="18"/>
  <c r="V155" i="18" s="1"/>
  <c r="S156" i="18"/>
  <c r="V156" i="18" s="1"/>
  <c r="S157" i="18"/>
  <c r="V157" i="18" s="1"/>
  <c r="S158" i="18"/>
  <c r="V158" i="18" s="1"/>
  <c r="S159" i="18"/>
  <c r="V159" i="18" s="1"/>
  <c r="S160" i="18"/>
  <c r="V160" i="18" s="1"/>
  <c r="S161" i="18"/>
  <c r="V161" i="18" s="1"/>
  <c r="S162" i="18"/>
  <c r="V162" i="18" s="1"/>
  <c r="S163" i="18"/>
  <c r="V163" i="18" s="1"/>
  <c r="S164" i="18"/>
  <c r="V164" i="18" s="1"/>
  <c r="S165" i="18"/>
  <c r="V165" i="18" s="1"/>
  <c r="S166" i="18"/>
  <c r="V166" i="18" s="1"/>
  <c r="S167" i="18"/>
  <c r="V167" i="18" s="1"/>
  <c r="S168" i="18"/>
  <c r="V168" i="18" s="1"/>
  <c r="S169" i="18"/>
  <c r="V169" i="18" s="1"/>
  <c r="S170" i="18"/>
  <c r="V170" i="18" s="1"/>
  <c r="S171" i="18"/>
  <c r="V171" i="18" s="1"/>
  <c r="S172" i="18"/>
  <c r="V172" i="18" s="1"/>
  <c r="S173" i="18"/>
  <c r="V173" i="18" s="1"/>
  <c r="S174" i="18"/>
  <c r="V174" i="18" s="1"/>
  <c r="S175" i="18"/>
  <c r="V175" i="18" s="1"/>
  <c r="S176" i="18"/>
  <c r="V176" i="18" s="1"/>
  <c r="S177" i="18"/>
  <c r="V177" i="18" s="1"/>
  <c r="S178" i="18"/>
  <c r="V178" i="18" s="1"/>
  <c r="S179" i="18"/>
  <c r="V179" i="18" s="1"/>
  <c r="S180" i="18"/>
  <c r="V180" i="18" s="1"/>
  <c r="S181" i="18"/>
  <c r="V181" i="18" s="1"/>
  <c r="S182" i="18"/>
  <c r="V182" i="18" s="1"/>
  <c r="S183" i="18"/>
  <c r="V183" i="18" s="1"/>
  <c r="S184" i="18"/>
  <c r="V184" i="18" s="1"/>
  <c r="S185" i="18"/>
  <c r="V185" i="18" s="1"/>
  <c r="S186" i="18"/>
  <c r="V186" i="18" s="1"/>
  <c r="S187" i="18"/>
  <c r="V187" i="18" s="1"/>
  <c r="S188" i="18"/>
  <c r="V188" i="18" s="1"/>
  <c r="S189" i="18"/>
  <c r="V189" i="18" s="1"/>
  <c r="S190" i="18"/>
  <c r="V190" i="18" s="1"/>
  <c r="S191" i="18"/>
  <c r="V191" i="18" s="1"/>
  <c r="S192" i="18"/>
  <c r="V192" i="18" s="1"/>
  <c r="S193" i="18"/>
  <c r="V193" i="18" s="1"/>
  <c r="S194" i="18"/>
  <c r="V194" i="18" s="1"/>
  <c r="S195" i="18"/>
  <c r="V195" i="18" s="1"/>
  <c r="S196" i="18"/>
  <c r="V196" i="18" s="1"/>
  <c r="S197" i="18"/>
  <c r="V197" i="18" s="1"/>
  <c r="S198" i="18"/>
  <c r="V198" i="18" s="1"/>
  <c r="S199" i="18"/>
  <c r="V199" i="18" s="1"/>
  <c r="S200" i="18"/>
  <c r="V200" i="18" s="1"/>
  <c r="S201" i="18"/>
  <c r="V201" i="18" s="1"/>
  <c r="S202" i="18"/>
  <c r="V202" i="18" s="1"/>
  <c r="S203" i="18"/>
  <c r="V203" i="18" s="1"/>
  <c r="S204" i="18"/>
  <c r="V204" i="18" s="1"/>
  <c r="S205" i="18"/>
  <c r="V205" i="18" s="1"/>
  <c r="S206" i="18"/>
  <c r="V206" i="18" s="1"/>
  <c r="S207" i="18"/>
  <c r="V207" i="18" s="1"/>
  <c r="S208" i="18"/>
  <c r="V208" i="18" s="1"/>
  <c r="S209" i="18"/>
  <c r="V209" i="18" s="1"/>
  <c r="S210" i="18"/>
  <c r="V210" i="18" s="1"/>
  <c r="S211" i="18"/>
  <c r="V211" i="18" s="1"/>
  <c r="S212" i="18"/>
  <c r="V212" i="18" s="1"/>
  <c r="S213" i="18"/>
  <c r="V213" i="18" s="1"/>
  <c r="S214" i="18"/>
  <c r="V214" i="18" s="1"/>
  <c r="S215" i="18"/>
  <c r="V215" i="18" s="1"/>
  <c r="S216" i="18"/>
  <c r="V216" i="18" s="1"/>
  <c r="S217" i="18"/>
  <c r="V217" i="18" s="1"/>
  <c r="S218" i="18"/>
  <c r="V218" i="18" s="1"/>
  <c r="S219" i="18"/>
  <c r="V219" i="18" s="1"/>
  <c r="S220" i="18"/>
  <c r="V220" i="18" s="1"/>
  <c r="S221" i="18"/>
  <c r="V221" i="18" s="1"/>
  <c r="S222" i="18"/>
  <c r="V222" i="18" s="1"/>
  <c r="S223" i="18"/>
  <c r="V223" i="18" s="1"/>
  <c r="S224" i="18"/>
  <c r="V224" i="18" s="1"/>
  <c r="S225" i="18"/>
  <c r="V225" i="18" s="1"/>
  <c r="S226" i="18"/>
  <c r="V226" i="18" s="1"/>
  <c r="S227" i="18"/>
  <c r="V227" i="18" s="1"/>
  <c r="S228" i="18"/>
  <c r="V228" i="18" s="1"/>
  <c r="S229" i="18"/>
  <c r="V229" i="18" s="1"/>
  <c r="S230" i="18"/>
  <c r="V230" i="18" s="1"/>
  <c r="S231" i="18"/>
  <c r="V231" i="18" s="1"/>
  <c r="S232" i="18"/>
  <c r="V232" i="18" s="1"/>
  <c r="S233" i="18"/>
  <c r="V233" i="18" s="1"/>
  <c r="S234" i="18"/>
  <c r="V234" i="18" s="1"/>
  <c r="S235" i="18"/>
  <c r="V235" i="18" s="1"/>
  <c r="S236" i="18"/>
  <c r="V236" i="18" s="1"/>
  <c r="V2" i="18"/>
  <c r="T10" i="18"/>
  <c r="CD52" i="2194" l="1"/>
  <c r="BO92" i="2194"/>
  <c r="CD50" i="2194"/>
  <c r="BO16" i="2194"/>
  <c r="CD54" i="2194"/>
  <c r="BO94" i="2194"/>
  <c r="BM94" i="2194" s="1"/>
  <c r="CD62" i="2194"/>
  <c r="BO80" i="2194"/>
  <c r="CD49" i="2194"/>
  <c r="BO65" i="2194"/>
  <c r="CD61" i="2194"/>
  <c r="BO101" i="2194"/>
  <c r="CD47" i="2194"/>
  <c r="BO88" i="2194"/>
  <c r="CD53" i="2194"/>
  <c r="BO91" i="2194"/>
  <c r="CD56" i="2194"/>
  <c r="BO90" i="2194"/>
  <c r="CD45" i="2194"/>
  <c r="BO83" i="2194"/>
  <c r="CD51" i="2194"/>
  <c r="BO17" i="2194"/>
  <c r="CD55" i="2194"/>
  <c r="BO89" i="2194"/>
  <c r="CD46" i="2194"/>
  <c r="BO66" i="2194"/>
  <c r="CD58" i="2194"/>
  <c r="BO99" i="2194"/>
  <c r="CD44" i="2194"/>
  <c r="BO52" i="2194"/>
  <c r="CD42" i="2194"/>
  <c r="BO79" i="2194"/>
  <c r="CD57" i="2194"/>
  <c r="BO93" i="2194"/>
  <c r="CD41" i="2194"/>
  <c r="BO82" i="2194"/>
  <c r="CD60" i="2194"/>
  <c r="BO70" i="2194"/>
  <c r="CD48" i="2194"/>
  <c r="BO84" i="2194"/>
  <c r="CD59" i="2194"/>
  <c r="BO103" i="2194"/>
  <c r="CD43" i="2194"/>
  <c r="BO81" i="2194"/>
  <c r="CD37" i="2194"/>
  <c r="BO73" i="2194"/>
  <c r="CD40" i="2194"/>
  <c r="BO76" i="2194"/>
  <c r="BM76" i="2194" s="1"/>
  <c r="CD39" i="2194"/>
  <c r="BO75" i="2194"/>
  <c r="CD38" i="2194"/>
  <c r="BO14" i="2194"/>
  <c r="BM14" i="2194" s="1"/>
  <c r="CD35" i="2194"/>
  <c r="BO78" i="2194"/>
  <c r="CD36" i="2194"/>
  <c r="BO53" i="2194"/>
  <c r="BM53" i="2194" s="1"/>
  <c r="CD34" i="2194"/>
  <c r="BO68" i="2194"/>
  <c r="CD33" i="2194"/>
  <c r="BO15" i="2194"/>
  <c r="BM15" i="2194" s="1"/>
  <c r="CD21" i="2194"/>
  <c r="BO50" i="2194"/>
  <c r="CD28" i="2194"/>
  <c r="BO54" i="2194"/>
  <c r="BM54" i="2194" s="1"/>
  <c r="CD20" i="2194"/>
  <c r="BO56" i="2194"/>
  <c r="CD27" i="2194"/>
  <c r="BO71" i="2194"/>
  <c r="BM71" i="2194" s="1"/>
  <c r="CD26" i="2194"/>
  <c r="BO58" i="2194"/>
  <c r="CD24" i="2194"/>
  <c r="BO63" i="2194"/>
  <c r="BM63" i="2194" s="1"/>
  <c r="CD31" i="2194"/>
  <c r="BO74" i="2194"/>
  <c r="CD19" i="2194"/>
  <c r="BO60" i="2194"/>
  <c r="BM60" i="2194" s="1"/>
  <c r="CD32" i="2194"/>
  <c r="BO59" i="2194"/>
  <c r="CD29" i="2194"/>
  <c r="BO72" i="2194"/>
  <c r="BM72" i="2194" s="1"/>
  <c r="CD30" i="2194"/>
  <c r="BO5" i="2194"/>
  <c r="CD22" i="2194"/>
  <c r="BO62" i="2194"/>
  <c r="BM62" i="2194" s="1"/>
  <c r="CD25" i="2194"/>
  <c r="BO61" i="2194"/>
  <c r="CD18" i="2194"/>
  <c r="BO48" i="2194"/>
  <c r="BM48" i="2194" s="1"/>
  <c r="CD17" i="2194"/>
  <c r="BO12" i="2194"/>
  <c r="CD14" i="2194"/>
  <c r="BO8" i="2194"/>
  <c r="BM8" i="2194" s="1"/>
  <c r="CD16" i="2194"/>
  <c r="BO41" i="2194"/>
  <c r="CD11" i="2194"/>
  <c r="BO7" i="2194"/>
  <c r="BM7" i="2194" s="1"/>
  <c r="CD15" i="2194"/>
  <c r="BO55" i="2194"/>
  <c r="CD12" i="2194"/>
  <c r="BO38" i="2194"/>
  <c r="BM38" i="2194" s="1"/>
  <c r="CD13" i="2194"/>
  <c r="BO49" i="2194"/>
  <c r="BO11" i="2194"/>
  <c r="BM11" i="2194" s="1"/>
  <c r="BV6" i="2194"/>
  <c r="CD4" i="2194"/>
  <c r="BW4" i="2194"/>
  <c r="BV4" i="2194"/>
  <c r="BW6" i="2194"/>
  <c r="CD9" i="2194"/>
  <c r="BO36" i="2194"/>
  <c r="BM36" i="2194" s="1"/>
  <c r="CD10" i="2194"/>
  <c r="BO51" i="2194"/>
  <c r="BM51" i="2194" s="1"/>
  <c r="CD7" i="2194"/>
  <c r="BO45" i="2194"/>
  <c r="BM45" i="2194" s="1"/>
  <c r="BP11" i="2194"/>
  <c r="BU11" i="2194" s="1"/>
  <c r="BM122" i="2194"/>
  <c r="BM240" i="2194"/>
  <c r="BP48" i="2194"/>
  <c r="BM193" i="2194"/>
  <c r="BM134" i="2194"/>
  <c r="BM206" i="2194"/>
  <c r="BP143" i="2194"/>
  <c r="BM90" i="2194"/>
  <c r="BM189" i="2194"/>
  <c r="BM201" i="2194"/>
  <c r="BM236" i="2194"/>
  <c r="BM149" i="2194"/>
  <c r="BP74" i="2194"/>
  <c r="BM227" i="2194"/>
  <c r="BM168" i="2194"/>
  <c r="BM138" i="2194"/>
  <c r="BM79" i="2194"/>
  <c r="BP76" i="2194"/>
  <c r="BP67" i="2194"/>
  <c r="BM185" i="2194"/>
  <c r="BM140" i="2194"/>
  <c r="BM246" i="2194"/>
  <c r="BM230" i="2194"/>
  <c r="BM253" i="2194"/>
  <c r="BM221" i="2194"/>
  <c r="BM212" i="2194"/>
  <c r="BP169" i="2194"/>
  <c r="BM171" i="2194"/>
  <c r="BP151" i="2194"/>
  <c r="BM144" i="2194"/>
  <c r="BM98" i="2194"/>
  <c r="BM86" i="2194"/>
  <c r="BP58" i="2194"/>
  <c r="BP82" i="2194"/>
  <c r="BP91" i="2194"/>
  <c r="BM142" i="2194"/>
  <c r="BM239" i="2194"/>
  <c r="BP207" i="2194"/>
  <c r="BM187" i="2194"/>
  <c r="BM173" i="2194"/>
  <c r="BP137" i="2194"/>
  <c r="BP108" i="2194"/>
  <c r="BM113" i="2194"/>
  <c r="BP98" i="2194"/>
  <c r="BP52" i="2194"/>
  <c r="BP153" i="2194"/>
  <c r="BP202" i="2194"/>
  <c r="BP208" i="2194"/>
  <c r="BP186" i="2194"/>
  <c r="BM35" i="2194"/>
  <c r="BP75" i="2194"/>
  <c r="BM43" i="2194"/>
  <c r="BP241" i="2194"/>
  <c r="BP188" i="2194"/>
  <c r="BP258" i="2194"/>
  <c r="BP242" i="2194"/>
  <c r="BP226" i="2194"/>
  <c r="BP251" i="2194"/>
  <c r="BP219" i="2194"/>
  <c r="BP166" i="2194"/>
  <c r="BP156" i="2194"/>
  <c r="BP126" i="2194"/>
  <c r="BP105" i="2194"/>
  <c r="BP84" i="2194"/>
  <c r="BP38" i="2194"/>
  <c r="BP249" i="2194"/>
  <c r="BP185" i="2194"/>
  <c r="BP160" i="2194"/>
  <c r="BP61" i="2194"/>
  <c r="BP221" i="2194"/>
  <c r="BP152" i="2194"/>
  <c r="BP248" i="2194"/>
  <c r="BP232" i="2194"/>
  <c r="BM114" i="2194"/>
  <c r="BM256" i="2194"/>
  <c r="BM244" i="2194"/>
  <c r="BP129" i="2194"/>
  <c r="BM225" i="2194"/>
  <c r="BM248" i="2194"/>
  <c r="BP209" i="2194"/>
  <c r="BP103" i="2194"/>
  <c r="BP167" i="2194"/>
  <c r="BM220" i="2194"/>
  <c r="BM164" i="2194"/>
  <c r="BP17" i="2194"/>
  <c r="BM216" i="2194"/>
  <c r="BP159" i="2194"/>
  <c r="BM130" i="2194"/>
  <c r="BP102" i="2194"/>
  <c r="BM80" i="2194"/>
  <c r="BP163" i="2194"/>
  <c r="BM251" i="2194"/>
  <c r="BM197" i="2194"/>
  <c r="BM258" i="2194"/>
  <c r="BM242" i="2194"/>
  <c r="BM226" i="2194"/>
  <c r="BM245" i="2194"/>
  <c r="BP205" i="2194"/>
  <c r="BM181" i="2194"/>
  <c r="BP165" i="2194"/>
  <c r="BM160" i="2194"/>
  <c r="BM126" i="2194"/>
  <c r="BM121" i="2194"/>
  <c r="BM93" i="2194"/>
  <c r="BP100" i="2194"/>
  <c r="BM57" i="2194"/>
  <c r="BP72" i="2194"/>
  <c r="BM146" i="2194"/>
  <c r="BM231" i="2194"/>
  <c r="BM196" i="2194"/>
  <c r="BM166" i="2194"/>
  <c r="BP179" i="2194"/>
  <c r="BM110" i="2194"/>
  <c r="BM104" i="2194"/>
  <c r="BP93" i="2194"/>
  <c r="BP94" i="2194"/>
  <c r="BP87" i="2194"/>
  <c r="BP63" i="2194"/>
  <c r="BP215" i="2194"/>
  <c r="BP178" i="2194"/>
  <c r="BP125" i="2194"/>
  <c r="BP33" i="2194"/>
  <c r="BP77" i="2194"/>
  <c r="BM25" i="2194"/>
  <c r="BP233" i="2194"/>
  <c r="BP146" i="2194"/>
  <c r="BP254" i="2194"/>
  <c r="BP238" i="2194"/>
  <c r="BP222" i="2194"/>
  <c r="BP243" i="2194"/>
  <c r="BP183" i="2194"/>
  <c r="BP142" i="2194"/>
  <c r="BP109" i="2194"/>
  <c r="BP245" i="2194"/>
  <c r="BP189" i="2194"/>
  <c r="BP162" i="2194"/>
  <c r="BP225" i="2194"/>
  <c r="BP206" i="2194"/>
  <c r="BP244" i="2194"/>
  <c r="BP228" i="2194"/>
  <c r="BP247" i="2194"/>
  <c r="BM224" i="2194"/>
  <c r="BM214" i="2194"/>
  <c r="BM228" i="2194"/>
  <c r="BP70" i="2194"/>
  <c r="BP176" i="2194"/>
  <c r="BM232" i="2194"/>
  <c r="BP136" i="2194"/>
  <c r="BP89" i="2194"/>
  <c r="BM102" i="2194"/>
  <c r="BM241" i="2194"/>
  <c r="BM120" i="2194"/>
  <c r="BM259" i="2194"/>
  <c r="BP170" i="2194"/>
  <c r="BP145" i="2194"/>
  <c r="BM109" i="2194"/>
  <c r="BM66" i="2194"/>
  <c r="BP141" i="2194"/>
  <c r="BM235" i="2194"/>
  <c r="BM156" i="2194"/>
  <c r="BM254" i="2194"/>
  <c r="BM238" i="2194"/>
  <c r="BM222" i="2194"/>
  <c r="BM237" i="2194"/>
  <c r="BM208" i="2194"/>
  <c r="BM179" i="2194"/>
  <c r="BP157" i="2194"/>
  <c r="BM162" i="2194"/>
  <c r="BP121" i="2194"/>
  <c r="BP128" i="2194"/>
  <c r="BP117" i="2194"/>
  <c r="BP101" i="2194"/>
  <c r="BM49" i="2194"/>
  <c r="BM16" i="2194"/>
  <c r="BP111" i="2194"/>
  <c r="BM255" i="2194"/>
  <c r="BM223" i="2194"/>
  <c r="BM177" i="2194"/>
  <c r="BM158" i="2194"/>
  <c r="BM172" i="2194"/>
  <c r="BM137" i="2194"/>
  <c r="BM96" i="2194"/>
  <c r="BP104" i="2194"/>
  <c r="BP80" i="2194"/>
  <c r="BP78" i="2194"/>
  <c r="BP211" i="2194"/>
  <c r="BP127" i="2194"/>
  <c r="BP161" i="2194"/>
  <c r="BM5" i="2194"/>
  <c r="BP25" i="2194"/>
  <c r="BP43" i="2194"/>
  <c r="BP195" i="2194"/>
  <c r="BP140" i="2194"/>
  <c r="BP250" i="2194"/>
  <c r="BP234" i="2194"/>
  <c r="BP218" i="2194"/>
  <c r="BP235" i="2194"/>
  <c r="BP154" i="2194"/>
  <c r="BP168" i="2194"/>
  <c r="BP110" i="2194"/>
  <c r="BP62" i="2194"/>
  <c r="BP12" i="2194"/>
  <c r="BP229" i="2194"/>
  <c r="BP216" i="2194"/>
  <c r="BP118" i="2194"/>
  <c r="BP253" i="2194"/>
  <c r="BP199" i="2194"/>
  <c r="BP256" i="2194"/>
  <c r="BP240" i="2194"/>
  <c r="BP224" i="2194"/>
  <c r="BP239" i="2194"/>
  <c r="BM233" i="2194"/>
  <c r="BM153" i="2194"/>
  <c r="BM257" i="2194"/>
  <c r="BP194" i="2194"/>
  <c r="BP133" i="2194"/>
  <c r="BM249" i="2194"/>
  <c r="BM128" i="2194"/>
  <c r="BM252" i="2194"/>
  <c r="BM180" i="2194"/>
  <c r="BM112" i="2194"/>
  <c r="BM243" i="2194"/>
  <c r="BP180" i="2194"/>
  <c r="BM145" i="2194"/>
  <c r="BM100" i="2194"/>
  <c r="BM61" i="2194"/>
  <c r="BP196" i="2194"/>
  <c r="BP184" i="2194"/>
  <c r="BM219" i="2194"/>
  <c r="BM89" i="2194"/>
  <c r="BM250" i="2194"/>
  <c r="BM234" i="2194"/>
  <c r="BM218" i="2194"/>
  <c r="BM229" i="2194"/>
  <c r="BM195" i="2194"/>
  <c r="BM188" i="2194"/>
  <c r="BM154" i="2194"/>
  <c r="BM152" i="2194"/>
  <c r="BP144" i="2194"/>
  <c r="BP119" i="2194"/>
  <c r="BM105" i="2194"/>
  <c r="BM84" i="2194"/>
  <c r="BP79" i="2194"/>
  <c r="BP132" i="2194"/>
  <c r="BM210" i="2194"/>
  <c r="BM247" i="2194"/>
  <c r="BP213" i="2194"/>
  <c r="BP192" i="2194"/>
  <c r="BM150" i="2194"/>
  <c r="BP149" i="2194"/>
  <c r="BM118" i="2194"/>
  <c r="BM124" i="2194"/>
  <c r="BP96" i="2194"/>
  <c r="BM82" i="2194"/>
  <c r="BM33" i="2194"/>
  <c r="BP200" i="2194"/>
  <c r="BP8" i="2194"/>
  <c r="BP217" i="2194"/>
  <c r="BP81" i="2194"/>
  <c r="BM19" i="2194"/>
  <c r="BP15" i="2194"/>
  <c r="BP212" i="2194"/>
  <c r="BP246" i="2194"/>
  <c r="BP230" i="2194"/>
  <c r="BP259" i="2194"/>
  <c r="BP227" i="2194"/>
  <c r="BP187" i="2194"/>
  <c r="BP171" i="2194"/>
  <c r="BP134" i="2194"/>
  <c r="BP138" i="2194"/>
  <c r="BP66" i="2194"/>
  <c r="BP19" i="2194"/>
  <c r="BP13" i="2194"/>
  <c r="BP257" i="2194"/>
  <c r="BP204" i="2194"/>
  <c r="BP158" i="2194"/>
  <c r="BP237" i="2194"/>
  <c r="BP181" i="2194"/>
  <c r="BP252" i="2194"/>
  <c r="BP236" i="2194"/>
  <c r="BP223" i="2194"/>
  <c r="BP177" i="2194"/>
  <c r="BP16" i="2194"/>
  <c r="BM211" i="2194"/>
  <c r="BM182" i="2194"/>
  <c r="BM202" i="2194"/>
  <c r="BP191" i="2194"/>
  <c r="BM174" i="2194"/>
  <c r="BP190" i="2194"/>
  <c r="BM184" i="2194"/>
  <c r="BM147" i="2194"/>
  <c r="BM155" i="2194"/>
  <c r="BP155" i="2194"/>
  <c r="BP148" i="2194"/>
  <c r="BP147" i="2194"/>
  <c r="BM133" i="2194"/>
  <c r="BP131" i="2194"/>
  <c r="BM129" i="2194"/>
  <c r="BM123" i="2194"/>
  <c r="BP115" i="2194"/>
  <c r="BP95" i="2194"/>
  <c r="BM107" i="2194"/>
  <c r="BM103" i="2194"/>
  <c r="BM95" i="2194"/>
  <c r="BM83" i="2194"/>
  <c r="BM77" i="2194"/>
  <c r="BM69" i="2194"/>
  <c r="BP73" i="2194"/>
  <c r="BP65" i="2194"/>
  <c r="BP56" i="2194"/>
  <c r="BP50" i="2194"/>
  <c r="BM41" i="2194"/>
  <c r="BP68" i="2194"/>
  <c r="BP59" i="2194"/>
  <c r="BM91" i="2194"/>
  <c r="BP197" i="2194"/>
  <c r="BP220" i="2194"/>
  <c r="BP130" i="2194"/>
  <c r="BP113" i="2194"/>
  <c r="BM209" i="2194"/>
  <c r="BM213" i="2194"/>
  <c r="BM199" i="2194"/>
  <c r="BM217" i="2194"/>
  <c r="BM200" i="2194"/>
  <c r="BM186" i="2194"/>
  <c r="BM183" i="2194"/>
  <c r="BP175" i="2194"/>
  <c r="BM151" i="2194"/>
  <c r="BM175" i="2194"/>
  <c r="BM169" i="2194"/>
  <c r="BM141" i="2194"/>
  <c r="BM125" i="2194"/>
  <c r="BM127" i="2194"/>
  <c r="BM139" i="2194"/>
  <c r="BM115" i="2194"/>
  <c r="BM106" i="2194"/>
  <c r="BP92" i="2194"/>
  <c r="BP106" i="2194"/>
  <c r="BM101" i="2194"/>
  <c r="BM92" i="2194"/>
  <c r="BP88" i="2194"/>
  <c r="BM75" i="2194"/>
  <c r="BM65" i="2194"/>
  <c r="BM50" i="2194"/>
  <c r="BP71" i="2194"/>
  <c r="BM64" i="2194"/>
  <c r="BM55" i="2194"/>
  <c r="BM87" i="2194"/>
  <c r="BM74" i="2194"/>
  <c r="BM67" i="2194"/>
  <c r="BM58" i="2194"/>
  <c r="BP41" i="2194"/>
  <c r="BM13" i="2194"/>
  <c r="BP173" i="2194"/>
  <c r="BP210" i="2194"/>
  <c r="BP112" i="2194"/>
  <c r="BP14" i="2194"/>
  <c r="BP124" i="2194"/>
  <c r="BP255" i="2194"/>
  <c r="BP214" i="2194"/>
  <c r="BP122" i="2194"/>
  <c r="BP86" i="2194"/>
  <c r="BP53" i="2194"/>
  <c r="BM203" i="2194"/>
  <c r="BP203" i="2194"/>
  <c r="BM205" i="2194"/>
  <c r="BP198" i="2194"/>
  <c r="BM207" i="2194"/>
  <c r="BM194" i="2194"/>
  <c r="BM176" i="2194"/>
  <c r="BM178" i="2194"/>
  <c r="BP174" i="2194"/>
  <c r="BM161" i="2194"/>
  <c r="BM170" i="2194"/>
  <c r="BM165" i="2194"/>
  <c r="BP139" i="2194"/>
  <c r="BP123" i="2194"/>
  <c r="BM148" i="2194"/>
  <c r="BM135" i="2194"/>
  <c r="BM119" i="2194"/>
  <c r="BP99" i="2194"/>
  <c r="BM116" i="2194"/>
  <c r="BP116" i="2194"/>
  <c r="BM99" i="2194"/>
  <c r="BM88" i="2194"/>
  <c r="BP83" i="2194"/>
  <c r="BM73" i="2194"/>
  <c r="BM46" i="2194"/>
  <c r="BP69" i="2194"/>
  <c r="BP60" i="2194"/>
  <c r="BP54" i="2194"/>
  <c r="BP46" i="2194"/>
  <c r="BP85" i="2194"/>
  <c r="BP64" i="2194"/>
  <c r="BP55" i="2194"/>
  <c r="BM12" i="2194"/>
  <c r="BM18" i="2194"/>
  <c r="BP18" i="2194"/>
  <c r="BP172" i="2194"/>
  <c r="BP7" i="2194"/>
  <c r="BM17" i="2194"/>
  <c r="BP164" i="2194"/>
  <c r="BP90" i="2194"/>
  <c r="BP5" i="2194"/>
  <c r="BP231" i="2194"/>
  <c r="BP201" i="2194"/>
  <c r="BP193" i="2194"/>
  <c r="BP150" i="2194"/>
  <c r="BP120" i="2194"/>
  <c r="BP114" i="2194"/>
  <c r="BP57" i="2194"/>
  <c r="BP35" i="2194"/>
  <c r="BM215" i="2194"/>
  <c r="BM198" i="2194"/>
  <c r="BM204" i="2194"/>
  <c r="BM192" i="2194"/>
  <c r="BM190" i="2194"/>
  <c r="BM191" i="2194"/>
  <c r="BP182" i="2194"/>
  <c r="BM163" i="2194"/>
  <c r="BM167" i="2194"/>
  <c r="BM157" i="2194"/>
  <c r="BM159" i="2194"/>
  <c r="BM131" i="2194"/>
  <c r="BP135" i="2194"/>
  <c r="BM143" i="2194"/>
  <c r="BM136" i="2194"/>
  <c r="BM132" i="2194"/>
  <c r="BM117" i="2194"/>
  <c r="BP97" i="2194"/>
  <c r="BM111" i="2194"/>
  <c r="BM108" i="2194"/>
  <c r="BM97" i="2194"/>
  <c r="BM85" i="2194"/>
  <c r="BM81" i="2194"/>
  <c r="BM56" i="2194"/>
  <c r="BM68" i="2194"/>
  <c r="BM59" i="2194"/>
  <c r="BM78" i="2194"/>
  <c r="BM70" i="2194"/>
  <c r="BM52" i="2194"/>
  <c r="BP107" i="2194"/>
  <c r="BP49" i="2194"/>
  <c r="CD8" i="2194"/>
  <c r="BO10" i="2194"/>
  <c r="BM10" i="2194" s="1"/>
  <c r="CD6" i="2194"/>
  <c r="BO47" i="2194"/>
  <c r="BM47" i="2194" s="1"/>
  <c r="CD5" i="2194"/>
  <c r="BO34" i="2194"/>
  <c r="BM34" i="2194" s="1"/>
  <c r="BK2" i="2194"/>
  <c r="BO2" i="2194"/>
  <c r="BO1" i="2194"/>
  <c r="BK1" i="2194"/>
  <c r="CG9" i="2194"/>
  <c r="CE6" i="2194" s="1"/>
  <c r="CF8" i="2194"/>
  <c r="AP16" i="2159"/>
  <c r="A16" i="2159" s="1"/>
  <c r="CD17" i="2159" s="1"/>
  <c r="AP14" i="2159"/>
  <c r="A14" i="2159" s="1"/>
  <c r="CD15" i="2159" s="1"/>
  <c r="AP12" i="2159"/>
  <c r="A12" i="2159" s="1"/>
  <c r="CD13" i="2159" s="1"/>
  <c r="AP15" i="2159"/>
  <c r="A15" i="2159" s="1"/>
  <c r="CD16" i="2159" s="1"/>
  <c r="AP13" i="2159"/>
  <c r="A13" i="2159" s="1"/>
  <c r="CD14" i="2159" s="1"/>
  <c r="BO46" i="2159"/>
  <c r="CD8" i="2159"/>
  <c r="AP5" i="2159"/>
  <c r="A5" i="2159" s="1"/>
  <c r="CD6" i="2159" s="1"/>
  <c r="AP6" i="2159"/>
  <c r="A6" i="2159" s="1"/>
  <c r="CD7" i="2159" s="1"/>
  <c r="AP3" i="2159"/>
  <c r="A3" i="2159" s="1"/>
  <c r="AP10" i="2159"/>
  <c r="A10" i="2159" s="1"/>
  <c r="CD11" i="2159" s="1"/>
  <c r="AP8" i="2159"/>
  <c r="A8" i="2159" s="1"/>
  <c r="CD9" i="2159" s="1"/>
  <c r="AP11" i="2159"/>
  <c r="A11" i="2159" s="1"/>
  <c r="AP4" i="2159"/>
  <c r="A4" i="2159" s="1"/>
  <c r="CD5" i="2159" s="1"/>
  <c r="BS7" i="2159"/>
  <c r="AP9" i="2159"/>
  <c r="A9" i="2159" s="1"/>
  <c r="CD10" i="2159" s="1"/>
  <c r="BO1" i="2159"/>
  <c r="BK1" i="2159"/>
  <c r="CG9" i="2159"/>
  <c r="CE6" i="2159" s="1"/>
  <c r="CF8" i="2159"/>
  <c r="BO2" i="2159"/>
  <c r="BK2" i="2159"/>
  <c r="U256" i="18"/>
  <c r="V256" i="18"/>
  <c r="U248" i="18"/>
  <c r="V248" i="18"/>
  <c r="U244" i="18"/>
  <c r="V244" i="18"/>
  <c r="T260" i="18"/>
  <c r="V260" i="18"/>
  <c r="U257" i="18"/>
  <c r="V257" i="18"/>
  <c r="U249" i="18"/>
  <c r="V249" i="18"/>
  <c r="U241" i="18"/>
  <c r="V241" i="18"/>
  <c r="U258" i="18"/>
  <c r="V258" i="18"/>
  <c r="U250" i="18"/>
  <c r="V250" i="18"/>
  <c r="U238" i="18"/>
  <c r="V238" i="18"/>
  <c r="T4" i="18"/>
  <c r="V4" i="18"/>
  <c r="U252" i="18"/>
  <c r="V252" i="18"/>
  <c r="U240" i="18"/>
  <c r="V240" i="18"/>
  <c r="U253" i="18"/>
  <c r="V253" i="18"/>
  <c r="U245" i="18"/>
  <c r="V245" i="18"/>
  <c r="U237" i="18"/>
  <c r="V237" i="18"/>
  <c r="T259" i="18"/>
  <c r="V259" i="18"/>
  <c r="U254" i="18"/>
  <c r="V254" i="18"/>
  <c r="U246" i="18"/>
  <c r="V246" i="18"/>
  <c r="U242" i="18"/>
  <c r="V242" i="18"/>
  <c r="U3" i="18"/>
  <c r="V3" i="18"/>
  <c r="U255" i="18"/>
  <c r="V255" i="18"/>
  <c r="U251" i="18"/>
  <c r="V251" i="18"/>
  <c r="U247" i="18"/>
  <c r="V247" i="18"/>
  <c r="U243" i="18"/>
  <c r="V243" i="18"/>
  <c r="U239" i="18"/>
  <c r="V239" i="18"/>
  <c r="U2" i="18"/>
  <c r="T264" i="18"/>
  <c r="T263" i="18"/>
  <c r="U262" i="18"/>
  <c r="T261" i="18"/>
  <c r="U260" i="18"/>
  <c r="U259" i="18"/>
  <c r="T258" i="18"/>
  <c r="T256" i="18"/>
  <c r="T254" i="18"/>
  <c r="T252" i="18"/>
  <c r="T250" i="18"/>
  <c r="T248" i="18"/>
  <c r="T246" i="18"/>
  <c r="T244" i="18"/>
  <c r="T242" i="18"/>
  <c r="T240" i="18"/>
  <c r="T238" i="18"/>
  <c r="T292" i="18"/>
  <c r="T291" i="18"/>
  <c r="T290" i="18"/>
  <c r="T289" i="18"/>
  <c r="T288" i="18"/>
  <c r="T287" i="18"/>
  <c r="T286" i="18"/>
  <c r="T285" i="18"/>
  <c r="T284" i="18"/>
  <c r="T283" i="18"/>
  <c r="T282" i="18"/>
  <c r="T281" i="18"/>
  <c r="T280" i="18"/>
  <c r="T279" i="18"/>
  <c r="T278" i="18"/>
  <c r="T277" i="18"/>
  <c r="T276" i="18"/>
  <c r="T275" i="18"/>
  <c r="T274" i="18"/>
  <c r="T273" i="18"/>
  <c r="T272" i="18"/>
  <c r="T271" i="18"/>
  <c r="T270" i="18"/>
  <c r="T269" i="18"/>
  <c r="T268" i="18"/>
  <c r="T267" i="18"/>
  <c r="T266" i="18"/>
  <c r="T265" i="18"/>
  <c r="T257" i="18"/>
  <c r="T255" i="18"/>
  <c r="T253" i="18"/>
  <c r="T251" i="18"/>
  <c r="T249" i="18"/>
  <c r="T247" i="18"/>
  <c r="T245" i="18"/>
  <c r="T243" i="18"/>
  <c r="T241" i="18"/>
  <c r="T239" i="18"/>
  <c r="T237" i="18"/>
  <c r="T262" i="18"/>
  <c r="U261" i="18"/>
  <c r="T335" i="18"/>
  <c r="T333" i="18"/>
  <c r="T331" i="18"/>
  <c r="T329" i="18"/>
  <c r="T327" i="18"/>
  <c r="T325" i="18"/>
  <c r="T323" i="18"/>
  <c r="T321" i="18"/>
  <c r="T319" i="18"/>
  <c r="T317" i="18"/>
  <c r="T315" i="18"/>
  <c r="T313" i="18"/>
  <c r="T311" i="18"/>
  <c r="T309" i="18"/>
  <c r="T307" i="18"/>
  <c r="T305" i="18"/>
  <c r="T303" i="18"/>
  <c r="T301" i="18"/>
  <c r="T299" i="18"/>
  <c r="T297" i="18"/>
  <c r="T295" i="18"/>
  <c r="T334" i="18"/>
  <c r="T332" i="18"/>
  <c r="T330" i="18"/>
  <c r="T328" i="18"/>
  <c r="T326" i="18"/>
  <c r="T324" i="18"/>
  <c r="T322" i="18"/>
  <c r="T320" i="18"/>
  <c r="T318" i="18"/>
  <c r="T316" i="18"/>
  <c r="T314" i="18"/>
  <c r="T312" i="18"/>
  <c r="T310" i="18"/>
  <c r="T308" i="18"/>
  <c r="T306" i="18"/>
  <c r="T304" i="18"/>
  <c r="T302" i="18"/>
  <c r="T300" i="18"/>
  <c r="T298" i="18"/>
  <c r="T296" i="18"/>
  <c r="T294" i="18"/>
  <c r="T293" i="18"/>
  <c r="U335" i="18"/>
  <c r="U334" i="18"/>
  <c r="U333" i="18"/>
  <c r="U332" i="18"/>
  <c r="U331" i="18"/>
  <c r="U330" i="18"/>
  <c r="U329" i="18"/>
  <c r="U328" i="18"/>
  <c r="U327" i="18"/>
  <c r="U326" i="18"/>
  <c r="U325" i="18"/>
  <c r="U324" i="18"/>
  <c r="U323" i="18"/>
  <c r="U322" i="18"/>
  <c r="U321" i="18"/>
  <c r="U320" i="18"/>
  <c r="U319" i="18"/>
  <c r="U318" i="18"/>
  <c r="U317" i="18"/>
  <c r="U316" i="18"/>
  <c r="U315" i="18"/>
  <c r="U314" i="18"/>
  <c r="U313" i="18"/>
  <c r="U312" i="18"/>
  <c r="U311" i="18"/>
  <c r="U310" i="18"/>
  <c r="U309" i="18"/>
  <c r="U308" i="18"/>
  <c r="U307" i="18"/>
  <c r="U306" i="18"/>
  <c r="U305" i="18"/>
  <c r="U304" i="18"/>
  <c r="U303" i="18"/>
  <c r="U302" i="18"/>
  <c r="U301" i="18"/>
  <c r="U300" i="18"/>
  <c r="U299" i="18"/>
  <c r="U298" i="18"/>
  <c r="U297" i="18"/>
  <c r="U296" i="18"/>
  <c r="U295" i="18"/>
  <c r="U294" i="18"/>
  <c r="U293" i="18"/>
  <c r="U292" i="18"/>
  <c r="U291" i="18"/>
  <c r="U290" i="18"/>
  <c r="U289" i="18"/>
  <c r="U288" i="18"/>
  <c r="U287" i="18"/>
  <c r="U286" i="18"/>
  <c r="U285" i="18"/>
  <c r="U284" i="18"/>
  <c r="U283" i="18"/>
  <c r="U282" i="18"/>
  <c r="U281" i="18"/>
  <c r="U280" i="18"/>
  <c r="U279" i="18"/>
  <c r="U278" i="18"/>
  <c r="U277" i="18"/>
  <c r="U276" i="18"/>
  <c r="U275" i="18"/>
  <c r="U274" i="18"/>
  <c r="U273" i="18"/>
  <c r="U272" i="18"/>
  <c r="U271" i="18"/>
  <c r="U270" i="18"/>
  <c r="U269" i="18"/>
  <c r="U268" i="18"/>
  <c r="U267" i="18"/>
  <c r="U266" i="18"/>
  <c r="U265" i="18"/>
  <c r="U264" i="18"/>
  <c r="U263" i="18"/>
  <c r="AB62" i="2194" l="1"/>
  <c r="BT97" i="2194"/>
  <c r="BU97" i="2194"/>
  <c r="BU114" i="2194"/>
  <c r="BT114" i="2194"/>
  <c r="BU201" i="2194"/>
  <c r="BT201" i="2194"/>
  <c r="BU164" i="2194"/>
  <c r="BT164" i="2194"/>
  <c r="BT18" i="2194"/>
  <c r="BU18" i="2194"/>
  <c r="BT64" i="2194"/>
  <c r="BU64" i="2194"/>
  <c r="BU54" i="2194"/>
  <c r="BT54" i="2194"/>
  <c r="BU139" i="2194"/>
  <c r="BT139" i="2194"/>
  <c r="BT174" i="2194"/>
  <c r="BU174" i="2194"/>
  <c r="BU214" i="2194"/>
  <c r="BT214" i="2194"/>
  <c r="BU112" i="2194"/>
  <c r="BT112" i="2194"/>
  <c r="BT41" i="2194"/>
  <c r="BU41" i="2194"/>
  <c r="BT71" i="2194"/>
  <c r="BU71" i="2194"/>
  <c r="BT88" i="2194"/>
  <c r="BU88" i="2194"/>
  <c r="BT92" i="2194"/>
  <c r="BU92" i="2194"/>
  <c r="BU220" i="2194"/>
  <c r="BT220" i="2194"/>
  <c r="BU59" i="2194"/>
  <c r="BT59" i="2194"/>
  <c r="BU50" i="2194"/>
  <c r="BT50" i="2194"/>
  <c r="BT115" i="2194"/>
  <c r="BU115" i="2194"/>
  <c r="BU236" i="2194"/>
  <c r="BT236" i="2194"/>
  <c r="BU158" i="2194"/>
  <c r="BT158" i="2194"/>
  <c r="BU19" i="2194"/>
  <c r="BT19" i="2194"/>
  <c r="BU171" i="2194"/>
  <c r="BT171" i="2194"/>
  <c r="BU230" i="2194"/>
  <c r="BT230" i="2194"/>
  <c r="BU217" i="2194"/>
  <c r="BT217" i="2194"/>
  <c r="BU149" i="2194"/>
  <c r="BT149" i="2194"/>
  <c r="BU194" i="2194"/>
  <c r="BT194" i="2194"/>
  <c r="BU239" i="2194"/>
  <c r="BT239" i="2194"/>
  <c r="BU199" i="2194"/>
  <c r="BT199" i="2194"/>
  <c r="BU229" i="2194"/>
  <c r="BT229" i="2194"/>
  <c r="BU168" i="2194"/>
  <c r="BT168" i="2194"/>
  <c r="BU234" i="2194"/>
  <c r="BT234" i="2194"/>
  <c r="BU43" i="2194"/>
  <c r="BT43" i="2194"/>
  <c r="BU161" i="2194"/>
  <c r="BT161" i="2194"/>
  <c r="BU80" i="2194"/>
  <c r="BT80" i="2194"/>
  <c r="BU101" i="2194"/>
  <c r="BT101" i="2194"/>
  <c r="BU136" i="2194"/>
  <c r="BT136" i="2194"/>
  <c r="BU228" i="2194"/>
  <c r="BT228" i="2194"/>
  <c r="BU162" i="2194"/>
  <c r="BT162" i="2194"/>
  <c r="BU142" i="2194"/>
  <c r="BT142" i="2194"/>
  <c r="BU238" i="2194"/>
  <c r="BT238" i="2194"/>
  <c r="BU178" i="2194"/>
  <c r="BT178" i="2194"/>
  <c r="BU94" i="2194"/>
  <c r="BT94" i="2194"/>
  <c r="BU179" i="2194"/>
  <c r="BT179" i="2194"/>
  <c r="BU100" i="2194"/>
  <c r="BT100" i="2194"/>
  <c r="BU102" i="2194"/>
  <c r="BT102" i="2194"/>
  <c r="BU17" i="2194"/>
  <c r="BT17" i="2194"/>
  <c r="BU103" i="2194"/>
  <c r="BT103" i="2194"/>
  <c r="BU129" i="2194"/>
  <c r="BT129" i="2194"/>
  <c r="BU232" i="2194"/>
  <c r="BT232" i="2194"/>
  <c r="BU61" i="2194"/>
  <c r="BT61" i="2194"/>
  <c r="BU38" i="2194"/>
  <c r="BT38" i="2194"/>
  <c r="BU156" i="2194"/>
  <c r="BT156" i="2194"/>
  <c r="BU226" i="2194"/>
  <c r="BT226" i="2194"/>
  <c r="BU241" i="2194"/>
  <c r="BT241" i="2194"/>
  <c r="BU186" i="2194"/>
  <c r="BT186" i="2194"/>
  <c r="BU52" i="2194"/>
  <c r="BT52" i="2194"/>
  <c r="BU137" i="2194"/>
  <c r="BT137" i="2194"/>
  <c r="BU58" i="2194"/>
  <c r="BT58" i="2194"/>
  <c r="BU151" i="2194"/>
  <c r="BT151" i="2194"/>
  <c r="BU143" i="2194"/>
  <c r="BT143" i="2194"/>
  <c r="BU48" i="2194"/>
  <c r="BT48" i="2194"/>
  <c r="BU49" i="2194"/>
  <c r="BT49" i="2194"/>
  <c r="BT135" i="2194"/>
  <c r="BU135" i="2194"/>
  <c r="BU120" i="2194"/>
  <c r="BT120" i="2194"/>
  <c r="BU231" i="2194"/>
  <c r="BT231" i="2194"/>
  <c r="BT60" i="2194"/>
  <c r="BU60" i="2194"/>
  <c r="BT116" i="2194"/>
  <c r="BU116" i="2194"/>
  <c r="BU198" i="2194"/>
  <c r="BT198" i="2194"/>
  <c r="BU53" i="2194"/>
  <c r="BT53" i="2194"/>
  <c r="BU255" i="2194"/>
  <c r="BT255" i="2194"/>
  <c r="BU210" i="2194"/>
  <c r="BT210" i="2194"/>
  <c r="BU197" i="2194"/>
  <c r="BT197" i="2194"/>
  <c r="BT68" i="2194"/>
  <c r="BU68" i="2194"/>
  <c r="BT56" i="2194"/>
  <c r="BU56" i="2194"/>
  <c r="BT147" i="2194"/>
  <c r="BU147" i="2194"/>
  <c r="BT191" i="2194"/>
  <c r="BU191" i="2194"/>
  <c r="BU16" i="2194"/>
  <c r="BT16" i="2194"/>
  <c r="BU252" i="2194"/>
  <c r="BT252" i="2194"/>
  <c r="BU204" i="2194"/>
  <c r="BT204" i="2194"/>
  <c r="BU66" i="2194"/>
  <c r="BT66" i="2194"/>
  <c r="BU187" i="2194"/>
  <c r="BT187" i="2194"/>
  <c r="BU246" i="2194"/>
  <c r="BT246" i="2194"/>
  <c r="BU8" i="2194"/>
  <c r="BT8" i="2194"/>
  <c r="BU96" i="2194"/>
  <c r="BT96" i="2194"/>
  <c r="BU224" i="2194"/>
  <c r="BT224" i="2194"/>
  <c r="BU253" i="2194"/>
  <c r="BT253" i="2194"/>
  <c r="BU12" i="2194"/>
  <c r="BT12" i="2194"/>
  <c r="BU154" i="2194"/>
  <c r="BT154" i="2194"/>
  <c r="BU250" i="2194"/>
  <c r="BT250" i="2194"/>
  <c r="BU127" i="2194"/>
  <c r="BT127" i="2194"/>
  <c r="BU104" i="2194"/>
  <c r="BT104" i="2194"/>
  <c r="BU111" i="2194"/>
  <c r="BT111" i="2194"/>
  <c r="BU117" i="2194"/>
  <c r="BT117" i="2194"/>
  <c r="BU157" i="2194"/>
  <c r="BT157" i="2194"/>
  <c r="BU145" i="2194"/>
  <c r="BT145" i="2194"/>
  <c r="BU244" i="2194"/>
  <c r="BT244" i="2194"/>
  <c r="BU189" i="2194"/>
  <c r="BT189" i="2194"/>
  <c r="BU183" i="2194"/>
  <c r="BT183" i="2194"/>
  <c r="BU254" i="2194"/>
  <c r="BT254" i="2194"/>
  <c r="BT77" i="2194"/>
  <c r="BU77" i="2194"/>
  <c r="BU215" i="2194"/>
  <c r="BT215" i="2194"/>
  <c r="BU93" i="2194"/>
  <c r="BT93" i="2194"/>
  <c r="BU72" i="2194"/>
  <c r="BT72" i="2194"/>
  <c r="BU165" i="2194"/>
  <c r="BT165" i="2194"/>
  <c r="BU209" i="2194"/>
  <c r="BT209" i="2194"/>
  <c r="BU248" i="2194"/>
  <c r="BT248" i="2194"/>
  <c r="BU160" i="2194"/>
  <c r="BT160" i="2194"/>
  <c r="BU84" i="2194"/>
  <c r="BT84" i="2194"/>
  <c r="BU166" i="2194"/>
  <c r="BT166" i="2194"/>
  <c r="BU242" i="2194"/>
  <c r="BT242" i="2194"/>
  <c r="BU208" i="2194"/>
  <c r="BT208" i="2194"/>
  <c r="BU98" i="2194"/>
  <c r="BT98" i="2194"/>
  <c r="BU74" i="2194"/>
  <c r="BT74" i="2194"/>
  <c r="BU107" i="2194"/>
  <c r="BT107" i="2194"/>
  <c r="BU35" i="2194"/>
  <c r="BT35" i="2194"/>
  <c r="BU150" i="2194"/>
  <c r="BT150" i="2194"/>
  <c r="BU5" i="2194"/>
  <c r="BT5" i="2194"/>
  <c r="BU7" i="2194"/>
  <c r="BT7" i="2194"/>
  <c r="BU85" i="2194"/>
  <c r="BT85" i="2194"/>
  <c r="BU69" i="2194"/>
  <c r="BT69" i="2194"/>
  <c r="BT83" i="2194"/>
  <c r="BU83" i="2194"/>
  <c r="BU86" i="2194"/>
  <c r="BT86" i="2194"/>
  <c r="BU124" i="2194"/>
  <c r="BT124" i="2194"/>
  <c r="BU173" i="2194"/>
  <c r="BT173" i="2194"/>
  <c r="BT175" i="2194"/>
  <c r="BU175" i="2194"/>
  <c r="BU113" i="2194"/>
  <c r="BT113" i="2194"/>
  <c r="BU65" i="2194"/>
  <c r="BT65" i="2194"/>
  <c r="BU148" i="2194"/>
  <c r="BT148" i="2194"/>
  <c r="BU177" i="2194"/>
  <c r="BT177" i="2194"/>
  <c r="BU181" i="2194"/>
  <c r="BT181" i="2194"/>
  <c r="BU257" i="2194"/>
  <c r="BT257" i="2194"/>
  <c r="BU138" i="2194"/>
  <c r="BT138" i="2194"/>
  <c r="BU227" i="2194"/>
  <c r="BT227" i="2194"/>
  <c r="BU212" i="2194"/>
  <c r="BT212" i="2194"/>
  <c r="BU200" i="2194"/>
  <c r="BT200" i="2194"/>
  <c r="BU192" i="2194"/>
  <c r="BT192" i="2194"/>
  <c r="BU132" i="2194"/>
  <c r="BT132" i="2194"/>
  <c r="BU119" i="2194"/>
  <c r="BT119" i="2194"/>
  <c r="BU184" i="2194"/>
  <c r="BT184" i="2194"/>
  <c r="BU240" i="2194"/>
  <c r="BT240" i="2194"/>
  <c r="BU118" i="2194"/>
  <c r="BT118" i="2194"/>
  <c r="BU62" i="2194"/>
  <c r="BT62" i="2194"/>
  <c r="BU235" i="2194"/>
  <c r="BT235" i="2194"/>
  <c r="BU140" i="2194"/>
  <c r="BT140" i="2194"/>
  <c r="BU25" i="2194"/>
  <c r="BT25" i="2194"/>
  <c r="BU211" i="2194"/>
  <c r="BT211" i="2194"/>
  <c r="BU128" i="2194"/>
  <c r="BT128" i="2194"/>
  <c r="BU141" i="2194"/>
  <c r="BT141" i="2194"/>
  <c r="BU170" i="2194"/>
  <c r="BT170" i="2194"/>
  <c r="BU176" i="2194"/>
  <c r="BT176" i="2194"/>
  <c r="BU206" i="2194"/>
  <c r="BT206" i="2194"/>
  <c r="BU245" i="2194"/>
  <c r="BT245" i="2194"/>
  <c r="BU243" i="2194"/>
  <c r="BT243" i="2194"/>
  <c r="BU146" i="2194"/>
  <c r="BT146" i="2194"/>
  <c r="BU33" i="2194"/>
  <c r="BT33" i="2194"/>
  <c r="BU63" i="2194"/>
  <c r="BT63" i="2194"/>
  <c r="BU163" i="2194"/>
  <c r="BT163" i="2194"/>
  <c r="BU159" i="2194"/>
  <c r="BT159" i="2194"/>
  <c r="BU152" i="2194"/>
  <c r="BT152" i="2194"/>
  <c r="BU185" i="2194"/>
  <c r="BT185" i="2194"/>
  <c r="BU105" i="2194"/>
  <c r="BT105" i="2194"/>
  <c r="BU219" i="2194"/>
  <c r="BT219" i="2194"/>
  <c r="BU258" i="2194"/>
  <c r="BT258" i="2194"/>
  <c r="BU75" i="2194"/>
  <c r="BT75" i="2194"/>
  <c r="BU202" i="2194"/>
  <c r="BT202" i="2194"/>
  <c r="BU91" i="2194"/>
  <c r="BT91" i="2194"/>
  <c r="BU169" i="2194"/>
  <c r="BT169" i="2194"/>
  <c r="BU67" i="2194"/>
  <c r="BT67" i="2194"/>
  <c r="AB64" i="2194"/>
  <c r="BT182" i="2194"/>
  <c r="BU182" i="2194"/>
  <c r="BU57" i="2194"/>
  <c r="BT57" i="2194"/>
  <c r="BU193" i="2194"/>
  <c r="BT193" i="2194"/>
  <c r="BU90" i="2194"/>
  <c r="BT90" i="2194"/>
  <c r="BU172" i="2194"/>
  <c r="BT172" i="2194"/>
  <c r="BT55" i="2194"/>
  <c r="BU55" i="2194"/>
  <c r="BT46" i="2194"/>
  <c r="BU46" i="2194"/>
  <c r="BU99" i="2194"/>
  <c r="BT99" i="2194"/>
  <c r="BT123" i="2194"/>
  <c r="BU123" i="2194"/>
  <c r="BT203" i="2194"/>
  <c r="BU203" i="2194"/>
  <c r="BU122" i="2194"/>
  <c r="BT122" i="2194"/>
  <c r="BT14" i="2194"/>
  <c r="BU14" i="2194"/>
  <c r="BU106" i="2194"/>
  <c r="BT106" i="2194"/>
  <c r="BU130" i="2194"/>
  <c r="BT130" i="2194"/>
  <c r="BT73" i="2194"/>
  <c r="BU73" i="2194"/>
  <c r="BU95" i="2194"/>
  <c r="BT95" i="2194"/>
  <c r="BU131" i="2194"/>
  <c r="BT131" i="2194"/>
  <c r="BT155" i="2194"/>
  <c r="BU155" i="2194"/>
  <c r="BU190" i="2194"/>
  <c r="BT190" i="2194"/>
  <c r="BU223" i="2194"/>
  <c r="BT223" i="2194"/>
  <c r="BU237" i="2194"/>
  <c r="BT237" i="2194"/>
  <c r="BT13" i="2194"/>
  <c r="BU13" i="2194"/>
  <c r="BU134" i="2194"/>
  <c r="BT134" i="2194"/>
  <c r="BU259" i="2194"/>
  <c r="BT259" i="2194"/>
  <c r="BU15" i="2194"/>
  <c r="BT15" i="2194"/>
  <c r="BT81" i="2194"/>
  <c r="BU81" i="2194"/>
  <c r="BU213" i="2194"/>
  <c r="BT213" i="2194"/>
  <c r="BU79" i="2194"/>
  <c r="BT79" i="2194"/>
  <c r="BU144" i="2194"/>
  <c r="BT144" i="2194"/>
  <c r="BU196" i="2194"/>
  <c r="BT196" i="2194"/>
  <c r="BU180" i="2194"/>
  <c r="BT180" i="2194"/>
  <c r="BU133" i="2194"/>
  <c r="BT133" i="2194"/>
  <c r="BU256" i="2194"/>
  <c r="BT256" i="2194"/>
  <c r="BU216" i="2194"/>
  <c r="BT216" i="2194"/>
  <c r="BU110" i="2194"/>
  <c r="BT110" i="2194"/>
  <c r="BU218" i="2194"/>
  <c r="BT218" i="2194"/>
  <c r="BU195" i="2194"/>
  <c r="BT195" i="2194"/>
  <c r="BL5" i="2194"/>
  <c r="BL32" i="2194"/>
  <c r="BL35" i="2194"/>
  <c r="BL83" i="2194"/>
  <c r="BL69" i="2194"/>
  <c r="BL110" i="2194"/>
  <c r="BL91" i="2194"/>
  <c r="BL136" i="2194"/>
  <c r="BL124" i="2194"/>
  <c r="BL158" i="2194"/>
  <c r="BL125" i="2194"/>
  <c r="BL189" i="2194"/>
  <c r="BL172" i="2194"/>
  <c r="BL213" i="2194"/>
  <c r="BL246" i="2194"/>
  <c r="BL233" i="2194"/>
  <c r="BL33" i="2194"/>
  <c r="BL43" i="2194"/>
  <c r="BL88" i="2194"/>
  <c r="BL71" i="2194"/>
  <c r="BL115" i="2194"/>
  <c r="BL106" i="2194"/>
  <c r="BL142" i="2194"/>
  <c r="BL127" i="2194"/>
  <c r="BL162" i="2194"/>
  <c r="BL129" i="2194"/>
  <c r="BL199" i="2194"/>
  <c r="BL176" i="2194"/>
  <c r="BL217" i="2194"/>
  <c r="BL248" i="2194"/>
  <c r="BL235" i="2194"/>
  <c r="BL9" i="2194"/>
  <c r="BL29" i="2194"/>
  <c r="BL40" i="2194"/>
  <c r="BL55" i="2194"/>
  <c r="BL77" i="2194"/>
  <c r="BL82" i="2194"/>
  <c r="BL92" i="2194"/>
  <c r="BL116" i="2194"/>
  <c r="BL143" i="2194"/>
  <c r="BL160" i="2194"/>
  <c r="BL141" i="2194"/>
  <c r="BL198" i="2194"/>
  <c r="BL188" i="2194"/>
  <c r="BL222" i="2194"/>
  <c r="BL254" i="2194"/>
  <c r="BL241" i="2194"/>
  <c r="BL10" i="2194"/>
  <c r="BL8" i="2194"/>
  <c r="BL6" i="2194"/>
  <c r="BL255" i="2194"/>
  <c r="BL15" i="2194"/>
  <c r="BL58" i="2194"/>
  <c r="BL79" i="2194"/>
  <c r="BL49" i="2194"/>
  <c r="BL94" i="2194"/>
  <c r="BL101" i="2194"/>
  <c r="BL131" i="2194"/>
  <c r="BL166" i="2194"/>
  <c r="BL179" i="2194"/>
  <c r="BL157" i="2194"/>
  <c r="BL167" i="2194"/>
  <c r="BL204" i="2194"/>
  <c r="BL230" i="2194"/>
  <c r="BL215" i="2194"/>
  <c r="BL249" i="2194"/>
  <c r="BL11" i="2194"/>
  <c r="BL7" i="2194"/>
  <c r="BL25" i="2194"/>
  <c r="BL16" i="2194"/>
  <c r="BL72" i="2194"/>
  <c r="BL54" i="2194"/>
  <c r="BL62" i="2194"/>
  <c r="BL102" i="2194"/>
  <c r="BL118" i="2194"/>
  <c r="BL139" i="2194"/>
  <c r="BL151" i="2194"/>
  <c r="BL193" i="2194"/>
  <c r="BL170" i="2194"/>
  <c r="BL191" i="2194"/>
  <c r="BL212" i="2194"/>
  <c r="BL238" i="2194"/>
  <c r="BL225" i="2194"/>
  <c r="BL257" i="2194"/>
  <c r="BL39" i="2194"/>
  <c r="BL19" i="2194"/>
  <c r="BL74" i="2194"/>
  <c r="BL56" i="2194"/>
  <c r="BL66" i="2194"/>
  <c r="BL104" i="2194"/>
  <c r="BL108" i="2194"/>
  <c r="BL144" i="2194"/>
  <c r="BL154" i="2194"/>
  <c r="BL203" i="2194"/>
  <c r="BL173" i="2194"/>
  <c r="BL194" i="2194"/>
  <c r="BL216" i="2194"/>
  <c r="BL240" i="2194"/>
  <c r="BL227" i="2194"/>
  <c r="BL259" i="2194"/>
  <c r="BL12" i="2194"/>
  <c r="BL59" i="2194"/>
  <c r="BL84" i="2194"/>
  <c r="BL119" i="2194"/>
  <c r="BL168" i="2194"/>
  <c r="BL201" i="2194"/>
  <c r="BL224" i="2194"/>
  <c r="BL243" i="2194"/>
  <c r="BL34" i="2194"/>
  <c r="BL36" i="2194"/>
  <c r="BL47" i="2194"/>
  <c r="BL73" i="2194"/>
  <c r="BL109" i="2194"/>
  <c r="BL130" i="2194"/>
  <c r="BL133" i="2194"/>
  <c r="BL218" i="2194"/>
  <c r="BL237" i="2194"/>
  <c r="BL80" i="2194"/>
  <c r="BL140" i="2194"/>
  <c r="BL195" i="2194"/>
  <c r="BL220" i="2194"/>
  <c r="BL239" i="2194"/>
  <c r="BL24" i="2194"/>
  <c r="BL14" i="2194"/>
  <c r="BL52" i="2194"/>
  <c r="BL68" i="2194"/>
  <c r="BL90" i="2194"/>
  <c r="BL134" i="2194"/>
  <c r="BL153" i="2194"/>
  <c r="BL200" i="2194"/>
  <c r="BL21" i="2194"/>
  <c r="BL42" i="2194"/>
  <c r="BL96" i="2194"/>
  <c r="BL132" i="2194"/>
  <c r="BL185" i="2194"/>
  <c r="BL175" i="2194"/>
  <c r="BL232" i="2194"/>
  <c r="BL251" i="2194"/>
  <c r="BL23" i="2194"/>
  <c r="BL13" i="2194"/>
  <c r="BL48" i="2194"/>
  <c r="BL64" i="2194"/>
  <c r="BL85" i="2194"/>
  <c r="BL86" i="2194"/>
  <c r="BL97" i="2194"/>
  <c r="BL126" i="2194"/>
  <c r="BL150" i="2194"/>
  <c r="BL187" i="2194"/>
  <c r="BL149" i="2194"/>
  <c r="BL159" i="2194"/>
  <c r="BL196" i="2194"/>
  <c r="BL226" i="2194"/>
  <c r="BL258" i="2194"/>
  <c r="BL245" i="2194"/>
  <c r="BL190" i="2194"/>
  <c r="BL211" i="2194"/>
  <c r="BL70" i="2194"/>
  <c r="BL112" i="2194"/>
  <c r="BL182" i="2194"/>
  <c r="BL181" i="2194"/>
  <c r="BL223" i="2194"/>
  <c r="BL17" i="2194"/>
  <c r="BL44" i="2194"/>
  <c r="BL81" i="2194"/>
  <c r="BL95" i="2194"/>
  <c r="BL174" i="2194"/>
  <c r="BL145" i="2194"/>
  <c r="BL192" i="2194"/>
  <c r="BL256" i="2194"/>
  <c r="BL27" i="2194"/>
  <c r="BL31" i="2194"/>
  <c r="BL67" i="2194"/>
  <c r="BL46" i="2194"/>
  <c r="BL57" i="2194"/>
  <c r="BL98" i="2194"/>
  <c r="BL105" i="2194"/>
  <c r="BL135" i="2194"/>
  <c r="BL147" i="2194"/>
  <c r="BL177" i="2194"/>
  <c r="BL165" i="2194"/>
  <c r="BL178" i="2194"/>
  <c r="BL214" i="2194"/>
  <c r="BL234" i="2194"/>
  <c r="BL221" i="2194"/>
  <c r="BL253" i="2194"/>
  <c r="BL30" i="2194"/>
  <c r="BL50" i="2194"/>
  <c r="BL100" i="2194"/>
  <c r="BL148" i="2194"/>
  <c r="BL210" i="2194"/>
  <c r="BL26" i="2194"/>
  <c r="BL63" i="2194"/>
  <c r="BL53" i="2194"/>
  <c r="BL103" i="2194"/>
  <c r="BL171" i="2194"/>
  <c r="BL161" i="2194"/>
  <c r="BL207" i="2194"/>
  <c r="BL219" i="2194"/>
  <c r="BL18" i="2194"/>
  <c r="BL22" i="2194"/>
  <c r="BL76" i="2194"/>
  <c r="BL60" i="2194"/>
  <c r="BL89" i="2194"/>
  <c r="BL107" i="2194"/>
  <c r="BL111" i="2194"/>
  <c r="BL113" i="2194"/>
  <c r="BL155" i="2194"/>
  <c r="BL208" i="2194"/>
  <c r="BL183" i="2194"/>
  <c r="BL197" i="2194"/>
  <c r="BL205" i="2194"/>
  <c r="BL242" i="2194"/>
  <c r="BL229" i="2194"/>
  <c r="BL20" i="2194"/>
  <c r="BL28" i="2194"/>
  <c r="BL78" i="2194"/>
  <c r="BL65" i="2194"/>
  <c r="BL93" i="2194"/>
  <c r="BL87" i="2194"/>
  <c r="BL114" i="2194"/>
  <c r="BL117" i="2194"/>
  <c r="BL152" i="2194"/>
  <c r="BL121" i="2194"/>
  <c r="BL186" i="2194"/>
  <c r="BL206" i="2194"/>
  <c r="BL209" i="2194"/>
  <c r="BL244" i="2194"/>
  <c r="BL231" i="2194"/>
  <c r="BL123" i="2194"/>
  <c r="BL120" i="2194"/>
  <c r="BL164" i="2194"/>
  <c r="BL202" i="2194"/>
  <c r="BL180" i="2194"/>
  <c r="BL250" i="2194"/>
  <c r="BL41" i="2194"/>
  <c r="BL38" i="2194"/>
  <c r="BL51" i="2194"/>
  <c r="BL75" i="2194"/>
  <c r="BL122" i="2194"/>
  <c r="BL128" i="2194"/>
  <c r="BL146" i="2194"/>
  <c r="BL137" i="2194"/>
  <c r="BL184" i="2194"/>
  <c r="BL252" i="2194"/>
  <c r="BL45" i="2194"/>
  <c r="BL99" i="2194"/>
  <c r="BL156" i="2194"/>
  <c r="BL163" i="2194"/>
  <c r="BL228" i="2194"/>
  <c r="BL247" i="2194"/>
  <c r="BL37" i="2194"/>
  <c r="BL61" i="2194"/>
  <c r="BL138" i="2194"/>
  <c r="BL169" i="2194"/>
  <c r="BL236" i="2194"/>
  <c r="BU78" i="2194"/>
  <c r="BT78" i="2194"/>
  <c r="BU121" i="2194"/>
  <c r="BT121" i="2194"/>
  <c r="BU89" i="2194"/>
  <c r="BT89" i="2194"/>
  <c r="BU70" i="2194"/>
  <c r="BT70" i="2194"/>
  <c r="BU247" i="2194"/>
  <c r="BT247" i="2194"/>
  <c r="BU225" i="2194"/>
  <c r="BT225" i="2194"/>
  <c r="BU109" i="2194"/>
  <c r="BT109" i="2194"/>
  <c r="BU222" i="2194"/>
  <c r="BT222" i="2194"/>
  <c r="BU233" i="2194"/>
  <c r="BT233" i="2194"/>
  <c r="BU125" i="2194"/>
  <c r="BT125" i="2194"/>
  <c r="BU87" i="2194"/>
  <c r="BT87" i="2194"/>
  <c r="BT205" i="2194"/>
  <c r="BU205" i="2194"/>
  <c r="BU167" i="2194"/>
  <c r="BT167" i="2194"/>
  <c r="BU221" i="2194"/>
  <c r="BT221" i="2194"/>
  <c r="BU249" i="2194"/>
  <c r="BT249" i="2194"/>
  <c r="BU126" i="2194"/>
  <c r="BT126" i="2194"/>
  <c r="BU251" i="2194"/>
  <c r="BT251" i="2194"/>
  <c r="BU188" i="2194"/>
  <c r="BT188" i="2194"/>
  <c r="BU153" i="2194"/>
  <c r="BT153" i="2194"/>
  <c r="BU108" i="2194"/>
  <c r="BT108" i="2194"/>
  <c r="BU207" i="2194"/>
  <c r="BT207" i="2194"/>
  <c r="BU82" i="2194"/>
  <c r="BT82" i="2194"/>
  <c r="BU76" i="2194"/>
  <c r="BT76" i="2194"/>
  <c r="BP25" i="2159"/>
  <c r="BM25" i="2159"/>
  <c r="CG8" i="2194"/>
  <c r="CE5" i="2194" s="1"/>
  <c r="CF7" i="2194"/>
  <c r="BP21" i="2159"/>
  <c r="BM21" i="2159"/>
  <c r="BP30" i="2159"/>
  <c r="BM32" i="2159"/>
  <c r="BP32" i="2159"/>
  <c r="BM30" i="2159"/>
  <c r="BP6" i="2159"/>
  <c r="BM6" i="2159"/>
  <c r="BP31" i="2159"/>
  <c r="BM22" i="2159"/>
  <c r="BP22" i="2159"/>
  <c r="BM31" i="2159"/>
  <c r="BP29" i="2159"/>
  <c r="BP20" i="2159"/>
  <c r="BM20" i="2159"/>
  <c r="BM29" i="2159"/>
  <c r="BP7" i="2159"/>
  <c r="BM42" i="2159"/>
  <c r="BP33" i="2159"/>
  <c r="BP42" i="2159"/>
  <c r="BM33" i="2159"/>
  <c r="BM7" i="2159"/>
  <c r="BP19" i="2159"/>
  <c r="BP17" i="2159"/>
  <c r="BP28" i="2159"/>
  <c r="BM19" i="2159"/>
  <c r="BM37" i="2159"/>
  <c r="BM18" i="2159"/>
  <c r="BP37" i="2159"/>
  <c r="BP35" i="2159"/>
  <c r="BM26" i="2159"/>
  <c r="BM28" i="2159"/>
  <c r="BP18" i="2159"/>
  <c r="BP24" i="2159"/>
  <c r="BM17" i="2159"/>
  <c r="BM24" i="2159"/>
  <c r="BP27" i="2159"/>
  <c r="BP26" i="2159"/>
  <c r="BM35" i="2159"/>
  <c r="BM27" i="2159"/>
  <c r="BP5" i="2159"/>
  <c r="BP9" i="2159"/>
  <c r="BP12" i="2159"/>
  <c r="BT12" i="2159" s="1"/>
  <c r="BP53" i="2159"/>
  <c r="BT53" i="2159" s="1"/>
  <c r="BP62" i="2159"/>
  <c r="BT62" i="2159" s="1"/>
  <c r="BP92" i="2159"/>
  <c r="BP114" i="2159"/>
  <c r="BT114" i="2159" s="1"/>
  <c r="BP220" i="2159"/>
  <c r="BT220" i="2159" s="1"/>
  <c r="BP236" i="2159"/>
  <c r="BT236" i="2159" s="1"/>
  <c r="BP252" i="2159"/>
  <c r="BP41" i="2159"/>
  <c r="BT41" i="2159" s="1"/>
  <c r="BP55" i="2159"/>
  <c r="BP69" i="2159"/>
  <c r="BT69" i="2159" s="1"/>
  <c r="BP77" i="2159"/>
  <c r="BP93" i="2159"/>
  <c r="BP101" i="2159"/>
  <c r="BT101" i="2159" s="1"/>
  <c r="BP115" i="2159"/>
  <c r="BT115" i="2159" s="1"/>
  <c r="BP126" i="2159"/>
  <c r="BT126" i="2159" s="1"/>
  <c r="BP134" i="2159"/>
  <c r="BT134" i="2159" s="1"/>
  <c r="BP142" i="2159"/>
  <c r="BT142" i="2159" s="1"/>
  <c r="BP150" i="2159"/>
  <c r="BT150" i="2159" s="1"/>
  <c r="BP158" i="2159"/>
  <c r="BT158" i="2159" s="1"/>
  <c r="BP166" i="2159"/>
  <c r="BT166" i="2159" s="1"/>
  <c r="BP174" i="2159"/>
  <c r="BT174" i="2159" s="1"/>
  <c r="BP182" i="2159"/>
  <c r="BP190" i="2159"/>
  <c r="BP198" i="2159"/>
  <c r="BT198" i="2159" s="1"/>
  <c r="BP206" i="2159"/>
  <c r="BT206" i="2159" s="1"/>
  <c r="BP217" i="2159"/>
  <c r="BP233" i="2159"/>
  <c r="BP249" i="2159"/>
  <c r="BT249" i="2159" s="1"/>
  <c r="BP43" i="2159"/>
  <c r="BT43" i="2159" s="1"/>
  <c r="BP48" i="2159"/>
  <c r="BT48" i="2159" s="1"/>
  <c r="BP80" i="2159"/>
  <c r="BT80" i="2159" s="1"/>
  <c r="BP108" i="2159"/>
  <c r="BP214" i="2159"/>
  <c r="BT214" i="2159" s="1"/>
  <c r="BP230" i="2159"/>
  <c r="BT230" i="2159" s="1"/>
  <c r="BP246" i="2159"/>
  <c r="BT246" i="2159" s="1"/>
  <c r="BP36" i="2159"/>
  <c r="BP64" i="2159"/>
  <c r="BT64" i="2159" s="1"/>
  <c r="BP72" i="2159"/>
  <c r="BT72" i="2159" s="1"/>
  <c r="BP86" i="2159"/>
  <c r="BT86" i="2159" s="1"/>
  <c r="BP96" i="2159"/>
  <c r="BT96" i="2159" s="1"/>
  <c r="BP105" i="2159"/>
  <c r="BT105" i="2159" s="1"/>
  <c r="BP121" i="2159"/>
  <c r="BT121" i="2159" s="1"/>
  <c r="BP129" i="2159"/>
  <c r="BT129" i="2159" s="1"/>
  <c r="BP137" i="2159"/>
  <c r="BT137" i="2159" s="1"/>
  <c r="BP145" i="2159"/>
  <c r="BT145" i="2159" s="1"/>
  <c r="BP153" i="2159"/>
  <c r="BT153" i="2159" s="1"/>
  <c r="BP161" i="2159"/>
  <c r="BP169" i="2159"/>
  <c r="BT169" i="2159" s="1"/>
  <c r="BP177" i="2159"/>
  <c r="BT177" i="2159" s="1"/>
  <c r="BP185" i="2159"/>
  <c r="BP193" i="2159"/>
  <c r="BP201" i="2159"/>
  <c r="BT201" i="2159" s="1"/>
  <c r="BP209" i="2159"/>
  <c r="BT209" i="2159" s="1"/>
  <c r="BP223" i="2159"/>
  <c r="BT223" i="2159" s="1"/>
  <c r="BP239" i="2159"/>
  <c r="BP255" i="2159"/>
  <c r="BT255" i="2159" s="1"/>
  <c r="BP11" i="2159"/>
  <c r="BT11" i="2159" s="1"/>
  <c r="BP23" i="2159"/>
  <c r="BP16" i="2159"/>
  <c r="BP54" i="2159"/>
  <c r="BT54" i="2159" s="1"/>
  <c r="BP81" i="2159"/>
  <c r="BT81" i="2159" s="1"/>
  <c r="BP104" i="2159"/>
  <c r="BT104" i="2159" s="1"/>
  <c r="BP118" i="2159"/>
  <c r="BT118" i="2159" s="1"/>
  <c r="BP224" i="2159"/>
  <c r="BP240" i="2159"/>
  <c r="BT240" i="2159" s="1"/>
  <c r="BP256" i="2159"/>
  <c r="BT256" i="2159" s="1"/>
  <c r="BP49" i="2159"/>
  <c r="BT49" i="2159" s="1"/>
  <c r="BP63" i="2159"/>
  <c r="BT63" i="2159" s="1"/>
  <c r="BP71" i="2159"/>
  <c r="BT71" i="2159" s="1"/>
  <c r="BP79" i="2159"/>
  <c r="BP95" i="2159"/>
  <c r="BT95" i="2159" s="1"/>
  <c r="BP103" i="2159"/>
  <c r="BT103" i="2159" s="1"/>
  <c r="BP119" i="2159"/>
  <c r="BT119" i="2159" s="1"/>
  <c r="BP128" i="2159"/>
  <c r="BP136" i="2159"/>
  <c r="BP144" i="2159"/>
  <c r="BT144" i="2159" s="1"/>
  <c r="BP152" i="2159"/>
  <c r="BT152" i="2159" s="1"/>
  <c r="BP160" i="2159"/>
  <c r="BT160" i="2159" s="1"/>
  <c r="BP168" i="2159"/>
  <c r="BT168" i="2159" s="1"/>
  <c r="BP176" i="2159"/>
  <c r="BT176" i="2159" s="1"/>
  <c r="BP184" i="2159"/>
  <c r="BT184" i="2159" s="1"/>
  <c r="BP192" i="2159"/>
  <c r="BT192" i="2159" s="1"/>
  <c r="BP200" i="2159"/>
  <c r="BP208" i="2159"/>
  <c r="BT208" i="2159" s="1"/>
  <c r="BP221" i="2159"/>
  <c r="BT221" i="2159" s="1"/>
  <c r="BP237" i="2159"/>
  <c r="BT237" i="2159" s="1"/>
  <c r="BP253" i="2159"/>
  <c r="BP45" i="2159"/>
  <c r="BT45" i="2159" s="1"/>
  <c r="BP57" i="2159"/>
  <c r="BT57" i="2159" s="1"/>
  <c r="BP82" i="2159"/>
  <c r="BT82" i="2159" s="1"/>
  <c r="BP112" i="2159"/>
  <c r="BT112" i="2159" s="1"/>
  <c r="BP218" i="2159"/>
  <c r="BT218" i="2159" s="1"/>
  <c r="BP234" i="2159"/>
  <c r="BT234" i="2159" s="1"/>
  <c r="BP250" i="2159"/>
  <c r="BT250" i="2159" s="1"/>
  <c r="BP40" i="2159"/>
  <c r="BP66" i="2159"/>
  <c r="BT66" i="2159" s="1"/>
  <c r="BP74" i="2159"/>
  <c r="BT74" i="2159" s="1"/>
  <c r="BP89" i="2159"/>
  <c r="BT89" i="2159" s="1"/>
  <c r="BP98" i="2159"/>
  <c r="BT98" i="2159" s="1"/>
  <c r="BP109" i="2159"/>
  <c r="BT109" i="2159" s="1"/>
  <c r="BP123" i="2159"/>
  <c r="BT123" i="2159" s="1"/>
  <c r="BP131" i="2159"/>
  <c r="BT131" i="2159" s="1"/>
  <c r="BP139" i="2159"/>
  <c r="BP147" i="2159"/>
  <c r="BT147" i="2159" s="1"/>
  <c r="BP155" i="2159"/>
  <c r="BT155" i="2159" s="1"/>
  <c r="BP163" i="2159"/>
  <c r="BT163" i="2159" s="1"/>
  <c r="BP171" i="2159"/>
  <c r="BP179" i="2159"/>
  <c r="BT179" i="2159" s="1"/>
  <c r="BP187" i="2159"/>
  <c r="BT187" i="2159" s="1"/>
  <c r="BP195" i="2159"/>
  <c r="BP203" i="2159"/>
  <c r="BP211" i="2159"/>
  <c r="BP227" i="2159"/>
  <c r="BT227" i="2159" s="1"/>
  <c r="BP243" i="2159"/>
  <c r="BP259" i="2159"/>
  <c r="BT259" i="2159" s="1"/>
  <c r="BP10" i="2159"/>
  <c r="BT10" i="2159" s="1"/>
  <c r="BP13" i="2159"/>
  <c r="BT13" i="2159" s="1"/>
  <c r="BP15" i="2159"/>
  <c r="BT15" i="2159" s="1"/>
  <c r="BP58" i="2159"/>
  <c r="BT58" i="2159" s="1"/>
  <c r="BP83" i="2159"/>
  <c r="BT83" i="2159" s="1"/>
  <c r="BP106" i="2159"/>
  <c r="BT106" i="2159" s="1"/>
  <c r="BP212" i="2159"/>
  <c r="BT212" i="2159" s="1"/>
  <c r="BP228" i="2159"/>
  <c r="BT228" i="2159" s="1"/>
  <c r="BP244" i="2159"/>
  <c r="BT244" i="2159" s="1"/>
  <c r="BP34" i="2159"/>
  <c r="BT34" i="2159" s="1"/>
  <c r="BP50" i="2159"/>
  <c r="BT50" i="2159" s="1"/>
  <c r="BP65" i="2159"/>
  <c r="BT65" i="2159" s="1"/>
  <c r="BP73" i="2159"/>
  <c r="BT73" i="2159" s="1"/>
  <c r="BP87" i="2159"/>
  <c r="BT87" i="2159" s="1"/>
  <c r="BP97" i="2159"/>
  <c r="BT97" i="2159" s="1"/>
  <c r="BP107" i="2159"/>
  <c r="BT107" i="2159" s="1"/>
  <c r="BP122" i="2159"/>
  <c r="BT122" i="2159" s="1"/>
  <c r="BP130" i="2159"/>
  <c r="BT130" i="2159" s="1"/>
  <c r="BP138" i="2159"/>
  <c r="BT138" i="2159" s="1"/>
  <c r="BP146" i="2159"/>
  <c r="BP154" i="2159"/>
  <c r="BT154" i="2159" s="1"/>
  <c r="BP162" i="2159"/>
  <c r="BT162" i="2159" s="1"/>
  <c r="BP170" i="2159"/>
  <c r="BT170" i="2159" s="1"/>
  <c r="BP178" i="2159"/>
  <c r="BP186" i="2159"/>
  <c r="BT186" i="2159" s="1"/>
  <c r="BP194" i="2159"/>
  <c r="BT194" i="2159" s="1"/>
  <c r="BP202" i="2159"/>
  <c r="BT202" i="2159" s="1"/>
  <c r="BP210" i="2159"/>
  <c r="BT210" i="2159" s="1"/>
  <c r="BP225" i="2159"/>
  <c r="BT225" i="2159" s="1"/>
  <c r="BP241" i="2159"/>
  <c r="BT241" i="2159" s="1"/>
  <c r="BP257" i="2159"/>
  <c r="BT257" i="2159" s="1"/>
  <c r="BP46" i="2159"/>
  <c r="BT46" i="2159" s="1"/>
  <c r="BP59" i="2159"/>
  <c r="BT59" i="2159" s="1"/>
  <c r="BP84" i="2159"/>
  <c r="BT84" i="2159" s="1"/>
  <c r="BP116" i="2159"/>
  <c r="BP222" i="2159"/>
  <c r="BT222" i="2159" s="1"/>
  <c r="BP238" i="2159"/>
  <c r="BT238" i="2159" s="1"/>
  <c r="BP254" i="2159"/>
  <c r="BT254" i="2159" s="1"/>
  <c r="BP44" i="2159"/>
  <c r="BT44" i="2159" s="1"/>
  <c r="BP68" i="2159"/>
  <c r="BP76" i="2159"/>
  <c r="BT76" i="2159" s="1"/>
  <c r="BP91" i="2159"/>
  <c r="BT91" i="2159" s="1"/>
  <c r="BP100" i="2159"/>
  <c r="BT100" i="2159" s="1"/>
  <c r="BP113" i="2159"/>
  <c r="BT113" i="2159" s="1"/>
  <c r="BP125" i="2159"/>
  <c r="BT125" i="2159" s="1"/>
  <c r="BP133" i="2159"/>
  <c r="BT133" i="2159" s="1"/>
  <c r="BP141" i="2159"/>
  <c r="BT141" i="2159" s="1"/>
  <c r="BP149" i="2159"/>
  <c r="BT149" i="2159" s="1"/>
  <c r="BP157" i="2159"/>
  <c r="BT157" i="2159" s="1"/>
  <c r="BP165" i="2159"/>
  <c r="BT165" i="2159" s="1"/>
  <c r="BP173" i="2159"/>
  <c r="BP181" i="2159"/>
  <c r="BT181" i="2159" s="1"/>
  <c r="BP189" i="2159"/>
  <c r="BP197" i="2159"/>
  <c r="BT197" i="2159" s="1"/>
  <c r="BP205" i="2159"/>
  <c r="BT205" i="2159" s="1"/>
  <c r="BP215" i="2159"/>
  <c r="BP231" i="2159"/>
  <c r="BP247" i="2159"/>
  <c r="BT247" i="2159" s="1"/>
  <c r="BP14" i="2159"/>
  <c r="BT14" i="2159" s="1"/>
  <c r="BP8" i="2159"/>
  <c r="BT8" i="2159" s="1"/>
  <c r="BP52" i="2159"/>
  <c r="BT52" i="2159" s="1"/>
  <c r="BP60" i="2159"/>
  <c r="BT60" i="2159" s="1"/>
  <c r="BP85" i="2159"/>
  <c r="BT85" i="2159" s="1"/>
  <c r="BP110" i="2159"/>
  <c r="BT110" i="2159" s="1"/>
  <c r="BP216" i="2159"/>
  <c r="BT216" i="2159" s="1"/>
  <c r="BP232" i="2159"/>
  <c r="BT232" i="2159" s="1"/>
  <c r="BP248" i="2159"/>
  <c r="BT248" i="2159" s="1"/>
  <c r="BP38" i="2159"/>
  <c r="BP51" i="2159"/>
  <c r="BT51" i="2159" s="1"/>
  <c r="BP67" i="2159"/>
  <c r="BT67" i="2159" s="1"/>
  <c r="BP75" i="2159"/>
  <c r="BT75" i="2159" s="1"/>
  <c r="BP90" i="2159"/>
  <c r="BT90" i="2159" s="1"/>
  <c r="BP99" i="2159"/>
  <c r="BT99" i="2159" s="1"/>
  <c r="BP111" i="2159"/>
  <c r="BT111" i="2159" s="1"/>
  <c r="BP124" i="2159"/>
  <c r="BT124" i="2159" s="1"/>
  <c r="BP132" i="2159"/>
  <c r="BT132" i="2159" s="1"/>
  <c r="BP140" i="2159"/>
  <c r="BT140" i="2159" s="1"/>
  <c r="BP148" i="2159"/>
  <c r="BT148" i="2159" s="1"/>
  <c r="BP156" i="2159"/>
  <c r="BT156" i="2159" s="1"/>
  <c r="BP164" i="2159"/>
  <c r="BP172" i="2159"/>
  <c r="BT172" i="2159" s="1"/>
  <c r="BP180" i="2159"/>
  <c r="BT180" i="2159" s="1"/>
  <c r="BP188" i="2159"/>
  <c r="BT188" i="2159" s="1"/>
  <c r="BP196" i="2159"/>
  <c r="BT196" i="2159" s="1"/>
  <c r="BP204" i="2159"/>
  <c r="BP213" i="2159"/>
  <c r="BT213" i="2159" s="1"/>
  <c r="BP229" i="2159"/>
  <c r="BT229" i="2159" s="1"/>
  <c r="BP245" i="2159"/>
  <c r="BP39" i="2159"/>
  <c r="BT39" i="2159" s="1"/>
  <c r="BP47" i="2159"/>
  <c r="BT47" i="2159" s="1"/>
  <c r="BP61" i="2159"/>
  <c r="BT61" i="2159" s="1"/>
  <c r="BP88" i="2159"/>
  <c r="BT88" i="2159" s="1"/>
  <c r="BP120" i="2159"/>
  <c r="BT120" i="2159" s="1"/>
  <c r="BP226" i="2159"/>
  <c r="BT226" i="2159" s="1"/>
  <c r="BP242" i="2159"/>
  <c r="BT242" i="2159" s="1"/>
  <c r="BP258" i="2159"/>
  <c r="BT258" i="2159" s="1"/>
  <c r="BP56" i="2159"/>
  <c r="BT56" i="2159" s="1"/>
  <c r="BP70" i="2159"/>
  <c r="BT70" i="2159" s="1"/>
  <c r="BP78" i="2159"/>
  <c r="BT78" i="2159" s="1"/>
  <c r="BP94" i="2159"/>
  <c r="BT94" i="2159" s="1"/>
  <c r="BP102" i="2159"/>
  <c r="BT102" i="2159" s="1"/>
  <c r="BP117" i="2159"/>
  <c r="BT117" i="2159" s="1"/>
  <c r="BP127" i="2159"/>
  <c r="BT127" i="2159" s="1"/>
  <c r="BP135" i="2159"/>
  <c r="BT135" i="2159" s="1"/>
  <c r="BP143" i="2159"/>
  <c r="BT143" i="2159" s="1"/>
  <c r="BP151" i="2159"/>
  <c r="BT151" i="2159" s="1"/>
  <c r="BP159" i="2159"/>
  <c r="BT159" i="2159" s="1"/>
  <c r="BP167" i="2159"/>
  <c r="BT167" i="2159" s="1"/>
  <c r="BP175" i="2159"/>
  <c r="BT175" i="2159" s="1"/>
  <c r="BP183" i="2159"/>
  <c r="BT183" i="2159" s="1"/>
  <c r="BP191" i="2159"/>
  <c r="BP199" i="2159"/>
  <c r="BP207" i="2159"/>
  <c r="BP219" i="2159"/>
  <c r="BT219" i="2159" s="1"/>
  <c r="BP235" i="2159"/>
  <c r="BP251" i="2159"/>
  <c r="BT251" i="2159" s="1"/>
  <c r="BT36" i="2159"/>
  <c r="BT5" i="2159"/>
  <c r="BM12" i="2159"/>
  <c r="BM15" i="2159"/>
  <c r="BM16" i="2159"/>
  <c r="BM46" i="2159"/>
  <c r="BM58" i="2159"/>
  <c r="BM61" i="2159"/>
  <c r="BM62" i="2159"/>
  <c r="BM88" i="2159"/>
  <c r="BT92" i="2159"/>
  <c r="BM108" i="2159"/>
  <c r="BM110" i="2159"/>
  <c r="BM116" i="2159"/>
  <c r="BM118" i="2159"/>
  <c r="BM216" i="2159"/>
  <c r="BM224" i="2159"/>
  <c r="BT252" i="2159"/>
  <c r="BT9" i="2159"/>
  <c r="BT23" i="2159"/>
  <c r="BM34" i="2159"/>
  <c r="BT38" i="2159"/>
  <c r="BM40" i="2159"/>
  <c r="BM49" i="2159"/>
  <c r="BM50" i="2159"/>
  <c r="BM55" i="2159"/>
  <c r="BM56" i="2159"/>
  <c r="BM64" i="2159"/>
  <c r="BM67" i="2159"/>
  <c r="BT68" i="2159"/>
  <c r="BM69" i="2159"/>
  <c r="BM71" i="2159"/>
  <c r="BM73" i="2159"/>
  <c r="BM74" i="2159"/>
  <c r="BM75" i="2159"/>
  <c r="BM76" i="2159"/>
  <c r="BM77" i="2159"/>
  <c r="BM78" i="2159"/>
  <c r="BT79" i="2159"/>
  <c r="BT93" i="2159"/>
  <c r="BM124" i="2159"/>
  <c r="BM128" i="2159"/>
  <c r="BM129" i="2159"/>
  <c r="BM135" i="2159"/>
  <c r="BM136" i="2159"/>
  <c r="BM139" i="2159"/>
  <c r="BM140" i="2159"/>
  <c r="BM143" i="2159"/>
  <c r="BM144" i="2159"/>
  <c r="BM145" i="2159"/>
  <c r="BM146" i="2159"/>
  <c r="BM152" i="2159"/>
  <c r="BM153" i="2159"/>
  <c r="BM154" i="2159"/>
  <c r="BM155" i="2159"/>
  <c r="BM156" i="2159"/>
  <c r="BM161" i="2159"/>
  <c r="BM162" i="2159"/>
  <c r="BT164" i="2159"/>
  <c r="BM165" i="2159"/>
  <c r="BM166" i="2159"/>
  <c r="BM169" i="2159"/>
  <c r="BM170" i="2159"/>
  <c r="BM8" i="2159"/>
  <c r="BM11" i="2159"/>
  <c r="BT16" i="2159"/>
  <c r="BM39" i="2159"/>
  <c r="BM43" i="2159"/>
  <c r="BM45" i="2159"/>
  <c r="BM47" i="2159"/>
  <c r="BM48" i="2159"/>
  <c r="BM52" i="2159"/>
  <c r="BM53" i="2159"/>
  <c r="BM54" i="2159"/>
  <c r="BM57" i="2159"/>
  <c r="BM59" i="2159"/>
  <c r="BM60" i="2159"/>
  <c r="BM80" i="2159"/>
  <c r="BM81" i="2159"/>
  <c r="BM82" i="2159"/>
  <c r="BM83" i="2159"/>
  <c r="BM84" i="2159"/>
  <c r="BM85" i="2159"/>
  <c r="BM92" i="2159"/>
  <c r="BM104" i="2159"/>
  <c r="BM106" i="2159"/>
  <c r="BT108" i="2159"/>
  <c r="BM112" i="2159"/>
  <c r="BM114" i="2159"/>
  <c r="BT116" i="2159"/>
  <c r="BM120" i="2159"/>
  <c r="BM212" i="2159"/>
  <c r="BM214" i="2159"/>
  <c r="BM218" i="2159"/>
  <c r="BM220" i="2159"/>
  <c r="BM222" i="2159"/>
  <c r="BT224" i="2159"/>
  <c r="BM226" i="2159"/>
  <c r="BM228" i="2159"/>
  <c r="BM230" i="2159"/>
  <c r="BM232" i="2159"/>
  <c r="BM234" i="2159"/>
  <c r="BM236" i="2159"/>
  <c r="BM238" i="2159"/>
  <c r="BM240" i="2159"/>
  <c r="BM242" i="2159"/>
  <c r="BM244" i="2159"/>
  <c r="BM246" i="2159"/>
  <c r="BM248" i="2159"/>
  <c r="BM250" i="2159"/>
  <c r="BM252" i="2159"/>
  <c r="BM254" i="2159"/>
  <c r="BM256" i="2159"/>
  <c r="BM258" i="2159"/>
  <c r="BM5" i="2159"/>
  <c r="BM9" i="2159"/>
  <c r="BM10" i="2159"/>
  <c r="BM13" i="2159"/>
  <c r="BM14" i="2159"/>
  <c r="BM23" i="2159"/>
  <c r="BM38" i="2159"/>
  <c r="BT40" i="2159"/>
  <c r="BM41" i="2159"/>
  <c r="BM44" i="2159"/>
  <c r="BM51" i="2159"/>
  <c r="BT55" i="2159"/>
  <c r="BM63" i="2159"/>
  <c r="BM65" i="2159"/>
  <c r="BM66" i="2159"/>
  <c r="BM68" i="2159"/>
  <c r="BM70" i="2159"/>
  <c r="BM72" i="2159"/>
  <c r="BT77" i="2159"/>
  <c r="BM79" i="2159"/>
  <c r="BM86" i="2159"/>
  <c r="BM87" i="2159"/>
  <c r="BM89" i="2159"/>
  <c r="BM90" i="2159"/>
  <c r="BM91" i="2159"/>
  <c r="BM93" i="2159"/>
  <c r="BM94" i="2159"/>
  <c r="BM95" i="2159"/>
  <c r="BM96" i="2159"/>
  <c r="BM97" i="2159"/>
  <c r="BM99" i="2159"/>
  <c r="BM101" i="2159"/>
  <c r="BM103" i="2159"/>
  <c r="BM107" i="2159"/>
  <c r="BM111" i="2159"/>
  <c r="BM115" i="2159"/>
  <c r="BM119" i="2159"/>
  <c r="BM122" i="2159"/>
  <c r="BM126" i="2159"/>
  <c r="BM130" i="2159"/>
  <c r="BM132" i="2159"/>
  <c r="BM134" i="2159"/>
  <c r="BM138" i="2159"/>
  <c r="BT139" i="2159"/>
  <c r="BM142" i="2159"/>
  <c r="BM148" i="2159"/>
  <c r="BM150" i="2159"/>
  <c r="BM158" i="2159"/>
  <c r="BM160" i="2159"/>
  <c r="BT161" i="2159"/>
  <c r="BM164" i="2159"/>
  <c r="BM168" i="2159"/>
  <c r="BM171" i="2159"/>
  <c r="BM172" i="2159"/>
  <c r="BM173" i="2159"/>
  <c r="BM174" i="2159"/>
  <c r="BM175" i="2159"/>
  <c r="BT178" i="2159"/>
  <c r="BT182" i="2159"/>
  <c r="BM184" i="2159"/>
  <c r="BM185" i="2159"/>
  <c r="BM186" i="2159"/>
  <c r="BM187" i="2159"/>
  <c r="BT189" i="2159"/>
  <c r="BT190" i="2159"/>
  <c r="BT191" i="2159"/>
  <c r="BT193" i="2159"/>
  <c r="BM194" i="2159"/>
  <c r="BT195" i="2159"/>
  <c r="BM198" i="2159"/>
  <c r="BM199" i="2159"/>
  <c r="BM200" i="2159"/>
  <c r="BM201" i="2159"/>
  <c r="BT203" i="2159"/>
  <c r="BT204" i="2159"/>
  <c r="BM207" i="2159"/>
  <c r="BM211" i="2159"/>
  <c r="BM213" i="2159"/>
  <c r="BM215" i="2159"/>
  <c r="BM217" i="2159"/>
  <c r="BM219" i="2159"/>
  <c r="BM221" i="2159"/>
  <c r="BM229" i="2159"/>
  <c r="BT231" i="2159"/>
  <c r="BT233" i="2159"/>
  <c r="BM235" i="2159"/>
  <c r="BT239" i="2159"/>
  <c r="BM243" i="2159"/>
  <c r="BM245" i="2159"/>
  <c r="BT253" i="2159"/>
  <c r="BM98" i="2159"/>
  <c r="BM100" i="2159"/>
  <c r="BM102" i="2159"/>
  <c r="BM105" i="2159"/>
  <c r="BM109" i="2159"/>
  <c r="BM113" i="2159"/>
  <c r="BM117" i="2159"/>
  <c r="BM121" i="2159"/>
  <c r="BM123" i="2159"/>
  <c r="BM125" i="2159"/>
  <c r="BM127" i="2159"/>
  <c r="BT128" i="2159"/>
  <c r="BM131" i="2159"/>
  <c r="BM133" i="2159"/>
  <c r="BT136" i="2159"/>
  <c r="BM137" i="2159"/>
  <c r="BM141" i="2159"/>
  <c r="BT146" i="2159"/>
  <c r="BM147" i="2159"/>
  <c r="BM149" i="2159"/>
  <c r="BM151" i="2159"/>
  <c r="BM157" i="2159"/>
  <c r="BM159" i="2159"/>
  <c r="BM163" i="2159"/>
  <c r="BM167" i="2159"/>
  <c r="BT171" i="2159"/>
  <c r="BT173" i="2159"/>
  <c r="BM176" i="2159"/>
  <c r="BM177" i="2159"/>
  <c r="BM178" i="2159"/>
  <c r="BM179" i="2159"/>
  <c r="BM180" i="2159"/>
  <c r="BM181" i="2159"/>
  <c r="BM182" i="2159"/>
  <c r="BM183" i="2159"/>
  <c r="BT185" i="2159"/>
  <c r="BM188" i="2159"/>
  <c r="BM189" i="2159"/>
  <c r="BM190" i="2159"/>
  <c r="BM191" i="2159"/>
  <c r="BM192" i="2159"/>
  <c r="BM193" i="2159"/>
  <c r="BM195" i="2159"/>
  <c r="BM196" i="2159"/>
  <c r="BM197" i="2159"/>
  <c r="BT199" i="2159"/>
  <c r="BT200" i="2159"/>
  <c r="BM202" i="2159"/>
  <c r="BM203" i="2159"/>
  <c r="BM204" i="2159"/>
  <c r="BM205" i="2159"/>
  <c r="BM206" i="2159"/>
  <c r="BT207" i="2159"/>
  <c r="BM208" i="2159"/>
  <c r="BM209" i="2159"/>
  <c r="BM210" i="2159"/>
  <c r="BT211" i="2159"/>
  <c r="BT215" i="2159"/>
  <c r="BT217" i="2159"/>
  <c r="BM223" i="2159"/>
  <c r="BM225" i="2159"/>
  <c r="BM227" i="2159"/>
  <c r="BM231" i="2159"/>
  <c r="BM233" i="2159"/>
  <c r="BT235" i="2159"/>
  <c r="BM237" i="2159"/>
  <c r="BM239" i="2159"/>
  <c r="BM241" i="2159"/>
  <c r="BT243" i="2159"/>
  <c r="BT245" i="2159"/>
  <c r="BM247" i="2159"/>
  <c r="BM249" i="2159"/>
  <c r="BM251" i="2159"/>
  <c r="BM253" i="2159"/>
  <c r="BM255" i="2159"/>
  <c r="BM257" i="2159"/>
  <c r="BM259" i="2159"/>
  <c r="BO42" i="2159"/>
  <c r="CD12" i="2159"/>
  <c r="BO36" i="2159"/>
  <c r="BM36" i="2159" s="1"/>
  <c r="CD4" i="2159"/>
  <c r="BW6" i="2159"/>
  <c r="BV4" i="2159"/>
  <c r="BW4" i="2159"/>
  <c r="BV6" i="2159"/>
  <c r="CG8" i="2159"/>
  <c r="CE5" i="2159" s="1"/>
  <c r="CF7" i="2159"/>
  <c r="AD64" i="2194" l="1"/>
  <c r="AB103" i="2194"/>
  <c r="AB71" i="2194"/>
  <c r="AB97" i="2194"/>
  <c r="AB31" i="2194"/>
  <c r="AB104" i="2194"/>
  <c r="AB30" i="2194"/>
  <c r="AB105" i="2194"/>
  <c r="AB27" i="2194"/>
  <c r="AB100" i="2194"/>
  <c r="AB75" i="2194"/>
  <c r="AB101" i="2194"/>
  <c r="AB32" i="2194"/>
  <c r="AB74" i="2194"/>
  <c r="AB70" i="2194"/>
  <c r="AB73" i="2194"/>
  <c r="AB99" i="2194"/>
  <c r="AB95" i="2194"/>
  <c r="AB24" i="2194"/>
  <c r="AB78" i="2194"/>
  <c r="AB72" i="2194"/>
  <c r="AB28" i="2194"/>
  <c r="AB102" i="2194"/>
  <c r="AB25" i="2194"/>
  <c r="AB96" i="2194"/>
  <c r="AB26" i="2194"/>
  <c r="AB98" i="2194"/>
  <c r="AB29" i="2194"/>
  <c r="AB76" i="2194"/>
  <c r="AB77" i="2194"/>
  <c r="AB81" i="2194"/>
  <c r="AB38" i="2194"/>
  <c r="AB36" i="2194"/>
  <c r="AB83" i="2194"/>
  <c r="AB39" i="2194"/>
  <c r="AB40" i="2194"/>
  <c r="AB84" i="2194"/>
  <c r="AB82" i="2194"/>
  <c r="AB86" i="2194"/>
  <c r="AB35" i="2194"/>
  <c r="AB37" i="2194"/>
  <c r="AB85" i="2194"/>
  <c r="AA7" i="2194"/>
  <c r="Z7" i="2194" s="1"/>
  <c r="AA6" i="2194"/>
  <c r="Z6" i="2194" s="1"/>
  <c r="AA16" i="2194"/>
  <c r="Z16" i="2194" s="1"/>
  <c r="AA10" i="2194"/>
  <c r="Z10" i="2194" s="1"/>
  <c r="AA8" i="2194"/>
  <c r="Z8" i="2194" s="1"/>
  <c r="AA9" i="2194"/>
  <c r="Z9" i="2194" s="1"/>
  <c r="AA13" i="2194"/>
  <c r="Z13" i="2194" s="1"/>
  <c r="AA14" i="2194"/>
  <c r="Z14" i="2194" s="1"/>
  <c r="AA11" i="2194"/>
  <c r="Z11" i="2194" s="1"/>
  <c r="AA15" i="2194"/>
  <c r="Z15" i="2194" s="1"/>
  <c r="AA12" i="2194"/>
  <c r="Z12" i="2194" s="1"/>
  <c r="BT25" i="2159"/>
  <c r="BU25" i="2159"/>
  <c r="CF6" i="2194"/>
  <c r="CG7" i="2194"/>
  <c r="CE4" i="2194" s="1"/>
  <c r="BT21" i="2159"/>
  <c r="BU21" i="2159"/>
  <c r="BT32" i="2159"/>
  <c r="BU32" i="2159"/>
  <c r="BT30" i="2159"/>
  <c r="BU30" i="2159"/>
  <c r="BT31" i="2159"/>
  <c r="BU31" i="2159"/>
  <c r="BT22" i="2159"/>
  <c r="BU22" i="2159"/>
  <c r="BT6" i="2159"/>
  <c r="BU6" i="2159"/>
  <c r="BT20" i="2159"/>
  <c r="BU20" i="2159"/>
  <c r="BT29" i="2159"/>
  <c r="BU29" i="2159"/>
  <c r="BT42" i="2159"/>
  <c r="BU42" i="2159"/>
  <c r="BT33" i="2159"/>
  <c r="BU33" i="2159"/>
  <c r="BT7" i="2159"/>
  <c r="BU7" i="2159"/>
  <c r="BT26" i="2159"/>
  <c r="BU26" i="2159"/>
  <c r="BT24" i="2159"/>
  <c r="BU24" i="2159"/>
  <c r="BT35" i="2159"/>
  <c r="BU35" i="2159"/>
  <c r="BT27" i="2159"/>
  <c r="BU27" i="2159"/>
  <c r="BT18" i="2159"/>
  <c r="BU18" i="2159"/>
  <c r="BT37" i="2159"/>
  <c r="BU37" i="2159"/>
  <c r="BT28" i="2159"/>
  <c r="BU28" i="2159"/>
  <c r="BT17" i="2159"/>
  <c r="BU17" i="2159"/>
  <c r="BT19" i="2159"/>
  <c r="BU19" i="2159"/>
  <c r="AB64" i="2159"/>
  <c r="BU245" i="2159"/>
  <c r="BU229" i="2159"/>
  <c r="BU221" i="2159"/>
  <c r="BU217" i="2159"/>
  <c r="BU213" i="2159"/>
  <c r="BU200" i="2159"/>
  <c r="BU198" i="2159"/>
  <c r="BU194" i="2159"/>
  <c r="BU186" i="2159"/>
  <c r="BU184" i="2159"/>
  <c r="BU174" i="2159"/>
  <c r="BU172" i="2159"/>
  <c r="BU170" i="2159"/>
  <c r="BU166" i="2159"/>
  <c r="BU162" i="2159"/>
  <c r="BU154" i="2159"/>
  <c r="BU144" i="2159"/>
  <c r="BU140" i="2159"/>
  <c r="BU136" i="2159"/>
  <c r="BU124" i="2159"/>
  <c r="BU259" i="2159"/>
  <c r="BU255" i="2159"/>
  <c r="BU251" i="2159"/>
  <c r="BU247" i="2159"/>
  <c r="BU239" i="2159"/>
  <c r="BU231" i="2159"/>
  <c r="BU227" i="2159"/>
  <c r="BU223" i="2159"/>
  <c r="BU209" i="2159"/>
  <c r="BU205" i="2159"/>
  <c r="BU203" i="2159"/>
  <c r="BU197" i="2159"/>
  <c r="BU195" i="2159"/>
  <c r="BU193" i="2159"/>
  <c r="BU191" i="2159"/>
  <c r="BU189" i="2159"/>
  <c r="BU183" i="2159"/>
  <c r="BU181" i="2159"/>
  <c r="BU179" i="2159"/>
  <c r="BU177" i="2159"/>
  <c r="BU155" i="2159"/>
  <c r="BU145" i="2159"/>
  <c r="BU78" i="2159"/>
  <c r="BU76" i="2159"/>
  <c r="BU74" i="2159"/>
  <c r="BU64" i="2159"/>
  <c r="BU56" i="2159"/>
  <c r="BU49" i="2159"/>
  <c r="BU34" i="2159"/>
  <c r="BL153" i="2159"/>
  <c r="BL150" i="2159"/>
  <c r="BL11" i="2159"/>
  <c r="BL10" i="2159"/>
  <c r="BL25" i="2159"/>
  <c r="BL203" i="2159"/>
  <c r="BL59" i="2159"/>
  <c r="BL82" i="2159"/>
  <c r="BL225" i="2159"/>
  <c r="BL35" i="2159"/>
  <c r="BL33" i="2159"/>
  <c r="BL147" i="2159"/>
  <c r="BL15" i="2159"/>
  <c r="BL160" i="2159"/>
  <c r="BL8" i="2159"/>
  <c r="BL6" i="2159"/>
  <c r="BL5" i="2159"/>
  <c r="BL185" i="2159"/>
  <c r="BL92" i="2159"/>
  <c r="BL211" i="2159"/>
  <c r="BL171" i="2159"/>
  <c r="BL239" i="2159"/>
  <c r="BL208" i="2159"/>
  <c r="BL198" i="2159"/>
  <c r="BL166" i="2159"/>
  <c r="BL194" i="2159"/>
  <c r="BL134" i="2159"/>
  <c r="BL127" i="2159"/>
  <c r="BL62" i="2159"/>
  <c r="BL49" i="2159"/>
  <c r="BL43" i="2159"/>
  <c r="BL18" i="2159"/>
  <c r="BL215" i="2159"/>
  <c r="BL230" i="2159"/>
  <c r="BL173" i="2159"/>
  <c r="BL136" i="2159"/>
  <c r="BL137" i="2159"/>
  <c r="BL178" i="2159"/>
  <c r="BL71" i="2159"/>
  <c r="BL57" i="2159"/>
  <c r="BL31" i="2159"/>
  <c r="BL135" i="2159"/>
  <c r="BL255" i="2159"/>
  <c r="BL242" i="2159"/>
  <c r="BL231" i="2159"/>
  <c r="BL184" i="2159"/>
  <c r="BL161" i="2159"/>
  <c r="BL121" i="2159"/>
  <c r="BL130" i="2159"/>
  <c r="BL114" i="2159"/>
  <c r="BL85" i="2159"/>
  <c r="BL16" i="2159"/>
  <c r="BL19" i="2159"/>
  <c r="BL233" i="2159"/>
  <c r="BL189" i="2159"/>
  <c r="BL140" i="2159"/>
  <c r="BL109" i="2159"/>
  <c r="BL94" i="2159"/>
  <c r="BL61" i="2159"/>
  <c r="BL47" i="2159"/>
  <c r="BL221" i="2159"/>
  <c r="BL201" i="2159"/>
  <c r="BL164" i="2159"/>
  <c r="BL133" i="2159"/>
  <c r="BL126" i="2159"/>
  <c r="BL83" i="2159"/>
  <c r="BL26" i="2159"/>
  <c r="BL235" i="2159"/>
  <c r="BL206" i="2159"/>
  <c r="BL182" i="2159"/>
  <c r="BL157" i="2159"/>
  <c r="BL100" i="2159"/>
  <c r="BL79" i="2159"/>
  <c r="BL48" i="2159"/>
  <c r="BL51" i="2159"/>
  <c r="BL232" i="2159"/>
  <c r="BL250" i="2159"/>
  <c r="BL193" i="2159"/>
  <c r="BL155" i="2159"/>
  <c r="BL131" i="2159"/>
  <c r="BL54" i="2159"/>
  <c r="BL37" i="2159"/>
  <c r="BL93" i="2159"/>
  <c r="BL253" i="2159"/>
  <c r="BL234" i="2159"/>
  <c r="BL158" i="2159"/>
  <c r="BL106" i="2159"/>
  <c r="BL122" i="2159"/>
  <c r="BL259" i="2159"/>
  <c r="BL210" i="2159"/>
  <c r="BL214" i="2159"/>
  <c r="BL179" i="2159"/>
  <c r="BL119" i="2159"/>
  <c r="BL77" i="2159"/>
  <c r="BL110" i="2159"/>
  <c r="BL24" i="2159"/>
  <c r="BL249" i="2159"/>
  <c r="BL195" i="2159"/>
  <c r="BL177" i="2159"/>
  <c r="BL145" i="2159"/>
  <c r="BL108" i="2159"/>
  <c r="BL72" i="2159"/>
  <c r="BL53" i="2159"/>
  <c r="BL205" i="2159"/>
  <c r="BL228" i="2159"/>
  <c r="BL148" i="2159"/>
  <c r="BL96" i="2159"/>
  <c r="BL240" i="2159"/>
  <c r="BL248" i="2159"/>
  <c r="BL162" i="2159"/>
  <c r="BL141" i="2159"/>
  <c r="BL151" i="2159"/>
  <c r="BL60" i="2159"/>
  <c r="BL39" i="2159"/>
  <c r="BL42" i="2159"/>
  <c r="BL207" i="2159"/>
  <c r="BL222" i="2159"/>
  <c r="BL175" i="2159"/>
  <c r="BL139" i="2159"/>
  <c r="BL167" i="2159"/>
  <c r="BL34" i="2159"/>
  <c r="BL217" i="2159"/>
  <c r="BL156" i="2159"/>
  <c r="BL88" i="2159"/>
  <c r="BL22" i="2159"/>
  <c r="BL12" i="2159"/>
  <c r="BL104" i="2159"/>
  <c r="BL41" i="2159"/>
  <c r="BL112" i="2159"/>
  <c r="BL14" i="2159"/>
  <c r="BL97" i="2159"/>
  <c r="BL91" i="2159"/>
  <c r="BL29" i="2159"/>
  <c r="BL13" i="2159"/>
  <c r="BL74" i="2159"/>
  <c r="BL129" i="2159"/>
  <c r="BL252" i="2159"/>
  <c r="BL9" i="2159"/>
  <c r="BL7" i="2159"/>
  <c r="BL218" i="2159"/>
  <c r="BL69" i="2159"/>
  <c r="BL213" i="2159"/>
  <c r="BL243" i="2159"/>
  <c r="BL176" i="2159"/>
  <c r="BL254" i="2159"/>
  <c r="BL226" i="2159"/>
  <c r="BL256" i="2159"/>
  <c r="BL186" i="2159"/>
  <c r="BL152" i="2159"/>
  <c r="BL154" i="2159"/>
  <c r="BL102" i="2159"/>
  <c r="BL75" i="2159"/>
  <c r="BL80" i="2159"/>
  <c r="BL36" i="2159"/>
  <c r="BL89" i="2159"/>
  <c r="BL247" i="2159"/>
  <c r="BL219" i="2159"/>
  <c r="BL216" i="2159"/>
  <c r="BL192" i="2159"/>
  <c r="BL159" i="2159"/>
  <c r="BL115" i="2159"/>
  <c r="BL149" i="2159"/>
  <c r="BL50" i="2159"/>
  <c r="BL123" i="2159"/>
  <c r="BL68" i="2159"/>
  <c r="BL28" i="2159"/>
  <c r="BL244" i="2159"/>
  <c r="BL191" i="2159"/>
  <c r="BL188" i="2159"/>
  <c r="BL168" i="2159"/>
  <c r="BL142" i="2159"/>
  <c r="BL107" i="2159"/>
  <c r="BL90" i="2159"/>
  <c r="BL84" i="2159"/>
  <c r="BL40" i="2159"/>
  <c r="BL17" i="2159"/>
  <c r="BL64" i="2159"/>
  <c r="BL224" i="2159"/>
  <c r="BL170" i="2159"/>
  <c r="BL143" i="2159"/>
  <c r="BL99" i="2159"/>
  <c r="BL66" i="2159"/>
  <c r="BL44" i="2159"/>
  <c r="BL20" i="2159"/>
  <c r="BL245" i="2159"/>
  <c r="BL187" i="2159"/>
  <c r="BL223" i="2159"/>
  <c r="BL172" i="2159"/>
  <c r="BL105" i="2159"/>
  <c r="BL70" i="2159"/>
  <c r="BL45" i="2159"/>
  <c r="BL27" i="2159"/>
  <c r="BL227" i="2159"/>
  <c r="BL190" i="2159"/>
  <c r="BL144" i="2159"/>
  <c r="BL113" i="2159"/>
  <c r="BL95" i="2159"/>
  <c r="BL63" i="2159"/>
  <c r="BL52" i="2159"/>
  <c r="BL257" i="2159"/>
  <c r="BL209" i="2159"/>
  <c r="BL204" i="2159"/>
  <c r="BL169" i="2159"/>
  <c r="BL116" i="2159"/>
  <c r="BL76" i="2159"/>
  <c r="BL87" i="2159"/>
  <c r="BL21" i="2159"/>
  <c r="BL197" i="2159"/>
  <c r="BL101" i="2159"/>
  <c r="BL98" i="2159"/>
  <c r="BL236" i="2159"/>
  <c r="BL258" i="2159"/>
  <c r="BL202" i="2159"/>
  <c r="BL165" i="2159"/>
  <c r="BL132" i="2159"/>
  <c r="BL56" i="2159"/>
  <c r="BL38" i="2159"/>
  <c r="BL23" i="2159"/>
  <c r="BL229" i="2159"/>
  <c r="BL220" i="2159"/>
  <c r="BL174" i="2159"/>
  <c r="BL138" i="2159"/>
  <c r="BL128" i="2159"/>
  <c r="BL86" i="2159"/>
  <c r="BL32" i="2159"/>
  <c r="BL237" i="2159"/>
  <c r="BL183" i="2159"/>
  <c r="BL117" i="2159"/>
  <c r="BL67" i="2159"/>
  <c r="BL212" i="2159"/>
  <c r="BL238" i="2159"/>
  <c r="BL180" i="2159"/>
  <c r="BL120" i="2159"/>
  <c r="BL78" i="2159"/>
  <c r="BL124" i="2159"/>
  <c r="BL55" i="2159"/>
  <c r="BL251" i="2159"/>
  <c r="BL199" i="2159"/>
  <c r="BL181" i="2159"/>
  <c r="BL146" i="2159"/>
  <c r="BL111" i="2159"/>
  <c r="BL73" i="2159"/>
  <c r="BL58" i="2159"/>
  <c r="BL241" i="2159"/>
  <c r="BL246" i="2159"/>
  <c r="BL196" i="2159"/>
  <c r="BL163" i="2159"/>
  <c r="BL103" i="2159"/>
  <c r="BL65" i="2159"/>
  <c r="BL30" i="2159"/>
  <c r="BL46" i="2159"/>
  <c r="BL118" i="2159"/>
  <c r="BL200" i="2159"/>
  <c r="BL125" i="2159"/>
  <c r="BL81" i="2159"/>
  <c r="BU224" i="2159"/>
  <c r="BU216" i="2159"/>
  <c r="BU118" i="2159"/>
  <c r="BU110" i="2159"/>
  <c r="BU62" i="2159"/>
  <c r="BU58" i="2159"/>
  <c r="BU15" i="2159"/>
  <c r="BU168" i="2159"/>
  <c r="BU164" i="2159"/>
  <c r="BU160" i="2159"/>
  <c r="BU158" i="2159"/>
  <c r="BU150" i="2159"/>
  <c r="BU148" i="2159"/>
  <c r="BU142" i="2159"/>
  <c r="BU138" i="2159"/>
  <c r="BU134" i="2159"/>
  <c r="BU132" i="2159"/>
  <c r="BU130" i="2159"/>
  <c r="BU126" i="2159"/>
  <c r="BU122" i="2159"/>
  <c r="BU119" i="2159"/>
  <c r="BU115" i="2159"/>
  <c r="BU111" i="2159"/>
  <c r="BU107" i="2159"/>
  <c r="BU103" i="2159"/>
  <c r="BU101" i="2159"/>
  <c r="BU99" i="2159"/>
  <c r="BU97" i="2159"/>
  <c r="BU95" i="2159"/>
  <c r="BU93" i="2159"/>
  <c r="BU90" i="2159"/>
  <c r="BU87" i="2159"/>
  <c r="BU79" i="2159"/>
  <c r="BU65" i="2159"/>
  <c r="BU63" i="2159"/>
  <c r="BU44" i="2159"/>
  <c r="BU14" i="2159"/>
  <c r="BU10" i="2159"/>
  <c r="BU5" i="2159"/>
  <c r="BU256" i="2159"/>
  <c r="BU252" i="2159"/>
  <c r="BU248" i="2159"/>
  <c r="BU244" i="2159"/>
  <c r="BU240" i="2159"/>
  <c r="BU236" i="2159"/>
  <c r="BU232" i="2159"/>
  <c r="BU228" i="2159"/>
  <c r="BU220" i="2159"/>
  <c r="BU212" i="2159"/>
  <c r="BU114" i="2159"/>
  <c r="BU106" i="2159"/>
  <c r="BU92" i="2159"/>
  <c r="BU85" i="2159"/>
  <c r="BU83" i="2159"/>
  <c r="BU81" i="2159"/>
  <c r="BU60" i="2159"/>
  <c r="BU54" i="2159"/>
  <c r="BU52" i="2159"/>
  <c r="BU47" i="2159"/>
  <c r="BU45" i="2159"/>
  <c r="BU39" i="2159"/>
  <c r="BU11" i="2159"/>
  <c r="AB62" i="2159"/>
  <c r="BU243" i="2159"/>
  <c r="BU235" i="2159"/>
  <c r="BU219" i="2159"/>
  <c r="BU215" i="2159"/>
  <c r="BU211" i="2159"/>
  <c r="BU207" i="2159"/>
  <c r="BU201" i="2159"/>
  <c r="BU199" i="2159"/>
  <c r="BU187" i="2159"/>
  <c r="BU185" i="2159"/>
  <c r="BU175" i="2159"/>
  <c r="BU173" i="2159"/>
  <c r="BU171" i="2159"/>
  <c r="BU156" i="2159"/>
  <c r="BU152" i="2159"/>
  <c r="BU146" i="2159"/>
  <c r="BU128" i="2159"/>
  <c r="BU257" i="2159"/>
  <c r="BU253" i="2159"/>
  <c r="BU249" i="2159"/>
  <c r="BU241" i="2159"/>
  <c r="BU237" i="2159"/>
  <c r="BU233" i="2159"/>
  <c r="BU225" i="2159"/>
  <c r="BU210" i="2159"/>
  <c r="BU208" i="2159"/>
  <c r="BU206" i="2159"/>
  <c r="BU204" i="2159"/>
  <c r="BU202" i="2159"/>
  <c r="BU196" i="2159"/>
  <c r="BU192" i="2159"/>
  <c r="BU190" i="2159"/>
  <c r="BU188" i="2159"/>
  <c r="BU182" i="2159"/>
  <c r="BU180" i="2159"/>
  <c r="BU178" i="2159"/>
  <c r="BU176" i="2159"/>
  <c r="BU169" i="2159"/>
  <c r="BU165" i="2159"/>
  <c r="BU161" i="2159"/>
  <c r="BU153" i="2159"/>
  <c r="BU143" i="2159"/>
  <c r="BU139" i="2159"/>
  <c r="BU135" i="2159"/>
  <c r="BU129" i="2159"/>
  <c r="BU77" i="2159"/>
  <c r="BU75" i="2159"/>
  <c r="BU73" i="2159"/>
  <c r="BU71" i="2159"/>
  <c r="BU69" i="2159"/>
  <c r="BU67" i="2159"/>
  <c r="BU55" i="2159"/>
  <c r="BU50" i="2159"/>
  <c r="BU40" i="2159"/>
  <c r="BU36" i="2159"/>
  <c r="BU116" i="2159"/>
  <c r="BU108" i="2159"/>
  <c r="BU88" i="2159"/>
  <c r="BU61" i="2159"/>
  <c r="BU46" i="2159"/>
  <c r="BU16" i="2159"/>
  <c r="BU12" i="2159"/>
  <c r="BU167" i="2159"/>
  <c r="BU163" i="2159"/>
  <c r="BU159" i="2159"/>
  <c r="BU157" i="2159"/>
  <c r="BU151" i="2159"/>
  <c r="BU149" i="2159"/>
  <c r="BU147" i="2159"/>
  <c r="BU141" i="2159"/>
  <c r="BU137" i="2159"/>
  <c r="BU133" i="2159"/>
  <c r="BU131" i="2159"/>
  <c r="BU127" i="2159"/>
  <c r="BU125" i="2159"/>
  <c r="BU123" i="2159"/>
  <c r="BU121" i="2159"/>
  <c r="BU117" i="2159"/>
  <c r="BU113" i="2159"/>
  <c r="BU109" i="2159"/>
  <c r="BU105" i="2159"/>
  <c r="BU102" i="2159"/>
  <c r="BU100" i="2159"/>
  <c r="BU98" i="2159"/>
  <c r="BU96" i="2159"/>
  <c r="BU94" i="2159"/>
  <c r="BU91" i="2159"/>
  <c r="BU89" i="2159"/>
  <c r="BU86" i="2159"/>
  <c r="BU72" i="2159"/>
  <c r="BU70" i="2159"/>
  <c r="BU68" i="2159"/>
  <c r="BU66" i="2159"/>
  <c r="BU51" i="2159"/>
  <c r="BU41" i="2159"/>
  <c r="BU38" i="2159"/>
  <c r="BU23" i="2159"/>
  <c r="BU13" i="2159"/>
  <c r="BU9" i="2159"/>
  <c r="BU258" i="2159"/>
  <c r="BU254" i="2159"/>
  <c r="BU250" i="2159"/>
  <c r="BU246" i="2159"/>
  <c r="BU242" i="2159"/>
  <c r="BU238" i="2159"/>
  <c r="BU234" i="2159"/>
  <c r="BU230" i="2159"/>
  <c r="BU226" i="2159"/>
  <c r="BU222" i="2159"/>
  <c r="BU218" i="2159"/>
  <c r="BU214" i="2159"/>
  <c r="BU120" i="2159"/>
  <c r="BU112" i="2159"/>
  <c r="BU104" i="2159"/>
  <c r="BU84" i="2159"/>
  <c r="BU82" i="2159"/>
  <c r="BU80" i="2159"/>
  <c r="BU59" i="2159"/>
  <c r="BU57" i="2159"/>
  <c r="BU53" i="2159"/>
  <c r="BU48" i="2159"/>
  <c r="BU43" i="2159"/>
  <c r="BU8" i="2159"/>
  <c r="CG7" i="2159"/>
  <c r="CE4" i="2159" s="1"/>
  <c r="CF6" i="2159"/>
  <c r="AC81" i="2194"/>
  <c r="AC72" i="2194"/>
  <c r="AC40" i="2194"/>
  <c r="AC83" i="2194"/>
  <c r="AC26" i="2194"/>
  <c r="AC24" i="2194"/>
  <c r="AC78" i="2194"/>
  <c r="AC105" i="2194"/>
  <c r="AC29" i="2194"/>
  <c r="AC101" i="2194"/>
  <c r="AC95" i="2194"/>
  <c r="AC71" i="2194"/>
  <c r="AC84" i="2194"/>
  <c r="AC32" i="2194"/>
  <c r="AC86" i="2194"/>
  <c r="AC38" i="2194"/>
  <c r="AC82" i="2194"/>
  <c r="AC96" i="2194"/>
  <c r="AC35" i="2194"/>
  <c r="AC98" i="2194"/>
  <c r="AC76" i="2194"/>
  <c r="AC75" i="2194"/>
  <c r="AC28" i="2194"/>
  <c r="AC85" i="2194"/>
  <c r="AC70" i="2194"/>
  <c r="AD84" i="2194" l="1"/>
  <c r="Z84" i="2194"/>
  <c r="AD76" i="2194"/>
  <c r="Z76" i="2194"/>
  <c r="AD96" i="2194"/>
  <c r="Z96" i="2194"/>
  <c r="AD72" i="2194"/>
  <c r="Z72" i="2194"/>
  <c r="AD32" i="2194"/>
  <c r="AA103" i="2194"/>
  <c r="Z32" i="2194"/>
  <c r="AA78" i="2194"/>
  <c r="AA32" i="2194"/>
  <c r="AA35" i="2194"/>
  <c r="AD35" i="2194"/>
  <c r="Z35" i="2194"/>
  <c r="AA81" i="2194"/>
  <c r="AA86" i="2194"/>
  <c r="AD40" i="2194"/>
  <c r="AA40" i="2194"/>
  <c r="Z40" i="2194"/>
  <c r="AA38" i="2194"/>
  <c r="Z38" i="2194"/>
  <c r="AA84" i="2194"/>
  <c r="AD38" i="2194"/>
  <c r="AA75" i="2194"/>
  <c r="AA29" i="2194"/>
  <c r="AD29" i="2194"/>
  <c r="AA100" i="2194"/>
  <c r="Z29" i="2194"/>
  <c r="Z78" i="2194"/>
  <c r="AD78" i="2194"/>
  <c r="AD101" i="2194"/>
  <c r="Z101" i="2194"/>
  <c r="AD105" i="2194"/>
  <c r="Z105" i="2194"/>
  <c r="AD86" i="2194"/>
  <c r="Z86" i="2194"/>
  <c r="AD81" i="2194"/>
  <c r="Z81" i="2194"/>
  <c r="Z98" i="2194"/>
  <c r="AD98" i="2194"/>
  <c r="AA70" i="2194"/>
  <c r="AD24" i="2194"/>
  <c r="Z24" i="2194"/>
  <c r="AA95" i="2194"/>
  <c r="AA24" i="2194"/>
  <c r="Z70" i="2194"/>
  <c r="AD70" i="2194"/>
  <c r="AD75" i="2194"/>
  <c r="Z75" i="2194"/>
  <c r="Z71" i="2194"/>
  <c r="AD71" i="2194"/>
  <c r="AD85" i="2194"/>
  <c r="Z85" i="2194"/>
  <c r="Z82" i="2194"/>
  <c r="AD82" i="2194"/>
  <c r="AD83" i="2194"/>
  <c r="Z83" i="2194"/>
  <c r="AA97" i="2194"/>
  <c r="AA26" i="2194"/>
  <c r="AA72" i="2194"/>
  <c r="AD26" i="2194"/>
  <c r="Z26" i="2194"/>
  <c r="AA99" i="2194"/>
  <c r="AA28" i="2194"/>
  <c r="AA74" i="2194"/>
  <c r="AD28" i="2194"/>
  <c r="Z28" i="2194"/>
  <c r="AD95" i="2194"/>
  <c r="Z95" i="2194"/>
  <c r="AA62" i="2194"/>
  <c r="AA64" i="2194"/>
  <c r="CG6" i="2194"/>
  <c r="CF5" i="2194"/>
  <c r="AD64" i="2159"/>
  <c r="AB77" i="2159"/>
  <c r="AB95" i="2159"/>
  <c r="AB98" i="2159"/>
  <c r="AB28" i="2159"/>
  <c r="AB78" i="2159"/>
  <c r="AB101" i="2159"/>
  <c r="AB31" i="2159"/>
  <c r="AB100" i="2159"/>
  <c r="AB74" i="2159"/>
  <c r="AB75" i="2159"/>
  <c r="AB24" i="2159"/>
  <c r="AB97" i="2159"/>
  <c r="AB70" i="2159"/>
  <c r="AB27" i="2159"/>
  <c r="AB96" i="2159"/>
  <c r="AB30" i="2159"/>
  <c r="AB99" i="2159"/>
  <c r="AB32" i="2159"/>
  <c r="AB104" i="2159"/>
  <c r="AB102" i="2159"/>
  <c r="AB72" i="2159"/>
  <c r="AB105" i="2159"/>
  <c r="AB29" i="2159"/>
  <c r="AB71" i="2159"/>
  <c r="AB103" i="2159"/>
  <c r="AB73" i="2159"/>
  <c r="AB25" i="2159"/>
  <c r="AB26" i="2159"/>
  <c r="AB76" i="2159"/>
  <c r="AB84" i="2159"/>
  <c r="AB81" i="2159"/>
  <c r="AB40" i="2159"/>
  <c r="AB38" i="2159"/>
  <c r="AB36" i="2159"/>
  <c r="AB83" i="2159"/>
  <c r="AB86" i="2159"/>
  <c r="AB85" i="2159"/>
  <c r="AB82" i="2159"/>
  <c r="AB39" i="2159"/>
  <c r="AB37" i="2159"/>
  <c r="AB35" i="2159"/>
  <c r="AA6" i="2159"/>
  <c r="Z6" i="2159" s="1"/>
  <c r="AA7" i="2159"/>
  <c r="Z7" i="2159" s="1"/>
  <c r="AA8" i="2159"/>
  <c r="Z8" i="2159" s="1"/>
  <c r="AA13" i="2159"/>
  <c r="Z13" i="2159" s="1"/>
  <c r="AA11" i="2159"/>
  <c r="Z11" i="2159" s="1"/>
  <c r="AA10" i="2159"/>
  <c r="Z10" i="2159" s="1"/>
  <c r="AA16" i="2159"/>
  <c r="Z16" i="2159" s="1"/>
  <c r="AA14" i="2159"/>
  <c r="Z14" i="2159" s="1"/>
  <c r="AA12" i="2159"/>
  <c r="Z12" i="2159" s="1"/>
  <c r="AA9" i="2159"/>
  <c r="Z9" i="2159" s="1"/>
  <c r="AA15" i="2159"/>
  <c r="Z15" i="2159" s="1"/>
  <c r="AA64" i="2159"/>
  <c r="AA62" i="2159"/>
  <c r="CG6" i="2159"/>
  <c r="CF5" i="2159"/>
  <c r="X33" i="18"/>
  <c r="T229" i="18"/>
  <c r="T221" i="18"/>
  <c r="T217" i="18"/>
  <c r="T209" i="18"/>
  <c r="T205" i="18"/>
  <c r="T197" i="18"/>
  <c r="T189" i="18"/>
  <c r="T181" i="18"/>
  <c r="T235" i="18"/>
  <c r="T231" i="18"/>
  <c r="T227" i="18"/>
  <c r="T223" i="18"/>
  <c r="T219" i="18"/>
  <c r="T215" i="18"/>
  <c r="T211" i="18"/>
  <c r="T207" i="18"/>
  <c r="T203" i="18"/>
  <c r="T199" i="18"/>
  <c r="T195" i="18"/>
  <c r="T191" i="18"/>
  <c r="T187" i="18"/>
  <c r="T183" i="18"/>
  <c r="T179" i="18"/>
  <c r="T236" i="18"/>
  <c r="T232" i="18"/>
  <c r="T228" i="18"/>
  <c r="T224" i="18"/>
  <c r="T220" i="18"/>
  <c r="T216" i="18"/>
  <c r="T212" i="18"/>
  <c r="T208" i="18"/>
  <c r="T204" i="18"/>
  <c r="T200" i="18"/>
  <c r="T196" i="18"/>
  <c r="T192" i="18"/>
  <c r="T188" i="18"/>
  <c r="T184" i="18"/>
  <c r="T180" i="18"/>
  <c r="T233" i="18"/>
  <c r="T225" i="18"/>
  <c r="T213" i="18"/>
  <c r="T201" i="18"/>
  <c r="T193" i="18"/>
  <c r="T185" i="18"/>
  <c r="T177" i="18"/>
  <c r="T234" i="18"/>
  <c r="T230" i="18"/>
  <c r="T226" i="18"/>
  <c r="T222" i="18"/>
  <c r="T218" i="18"/>
  <c r="T214" i="18"/>
  <c r="T210" i="18"/>
  <c r="T206" i="18"/>
  <c r="T202" i="18"/>
  <c r="T198" i="18"/>
  <c r="T194" i="18"/>
  <c r="T190" i="18"/>
  <c r="T186" i="18"/>
  <c r="T182" i="18"/>
  <c r="T178" i="18"/>
  <c r="U165" i="18"/>
  <c r="U157" i="18"/>
  <c r="U149" i="18"/>
  <c r="T141" i="18"/>
  <c r="U133" i="18"/>
  <c r="U125" i="18"/>
  <c r="U117" i="18"/>
  <c r="T109" i="18"/>
  <c r="U101" i="18"/>
  <c r="U93" i="18"/>
  <c r="U85" i="18"/>
  <c r="T77" i="18"/>
  <c r="U69" i="18"/>
  <c r="U61" i="18"/>
  <c r="T49" i="18"/>
  <c r="T41" i="18"/>
  <c r="T33" i="18"/>
  <c r="T25" i="18"/>
  <c r="U17" i="18"/>
  <c r="T9" i="18"/>
  <c r="U5" i="18"/>
  <c r="U230" i="18"/>
  <c r="U222" i="18"/>
  <c r="U214" i="18"/>
  <c r="T174" i="18"/>
  <c r="T162" i="18"/>
  <c r="T150" i="18"/>
  <c r="T142" i="18"/>
  <c r="T130" i="18"/>
  <c r="T122" i="18"/>
  <c r="T114" i="18"/>
  <c r="T106" i="18"/>
  <c r="T94" i="18"/>
  <c r="T86" i="18"/>
  <c r="T78" i="18"/>
  <c r="T74" i="18"/>
  <c r="T66" i="18"/>
  <c r="T62" i="18"/>
  <c r="T58" i="18"/>
  <c r="T50" i="18"/>
  <c r="T46" i="18"/>
  <c r="T42" i="18"/>
  <c r="T38" i="18"/>
  <c r="T34" i="18"/>
  <c r="T30" i="18"/>
  <c r="U26" i="18"/>
  <c r="T22" i="18"/>
  <c r="U18" i="18"/>
  <c r="T14" i="18"/>
  <c r="U10" i="18"/>
  <c r="T6" i="18"/>
  <c r="U231" i="18"/>
  <c r="U227" i="18"/>
  <c r="U223" i="18"/>
  <c r="U215" i="18"/>
  <c r="U207" i="18"/>
  <c r="U203" i="18"/>
  <c r="U199" i="18"/>
  <c r="U195" i="18"/>
  <c r="U191" i="18"/>
  <c r="U187" i="18"/>
  <c r="U183" i="18"/>
  <c r="U175" i="18"/>
  <c r="T171" i="18"/>
  <c r="U167" i="18"/>
  <c r="U163" i="18"/>
  <c r="U159" i="18"/>
  <c r="T155" i="18"/>
  <c r="U151" i="18"/>
  <c r="T147" i="18"/>
  <c r="U143" i="18"/>
  <c r="U139" i="18"/>
  <c r="U135" i="18"/>
  <c r="U131" i="18"/>
  <c r="U127" i="18"/>
  <c r="U123" i="18"/>
  <c r="U119" i="18"/>
  <c r="T115" i="18"/>
  <c r="U111" i="18"/>
  <c r="T107" i="18"/>
  <c r="U103" i="18"/>
  <c r="U99" i="18"/>
  <c r="U95" i="18"/>
  <c r="T91" i="18"/>
  <c r="U87" i="18"/>
  <c r="T83" i="18"/>
  <c r="U79" i="18"/>
  <c r="U75" i="18"/>
  <c r="U71" i="18"/>
  <c r="U67" i="18"/>
  <c r="U63" i="18"/>
  <c r="U59" i="18"/>
  <c r="U55" i="18"/>
  <c r="T51" i="18"/>
  <c r="U47" i="18"/>
  <c r="T43" i="18"/>
  <c r="U39" i="18"/>
  <c r="U35" i="18"/>
  <c r="U31" i="18"/>
  <c r="T27" i="18"/>
  <c r="U23" i="18"/>
  <c r="T19" i="18"/>
  <c r="U15" i="18"/>
  <c r="U11" i="18"/>
  <c r="U7" i="18"/>
  <c r="U221" i="18"/>
  <c r="U205" i="18"/>
  <c r="U189" i="18"/>
  <c r="U181" i="18"/>
  <c r="T173" i="18"/>
  <c r="T169" i="18"/>
  <c r="T161" i="18"/>
  <c r="T153" i="18"/>
  <c r="T145" i="18"/>
  <c r="T137" i="18"/>
  <c r="T129" i="18"/>
  <c r="T121" i="18"/>
  <c r="T113" i="18"/>
  <c r="T105" i="18"/>
  <c r="T97" i="18"/>
  <c r="T89" i="18"/>
  <c r="T81" i="18"/>
  <c r="T73" i="18"/>
  <c r="T65" i="18"/>
  <c r="T57" i="18"/>
  <c r="U53" i="18"/>
  <c r="T45" i="18"/>
  <c r="U37" i="18"/>
  <c r="U29" i="18"/>
  <c r="U21" i="18"/>
  <c r="T13" i="18"/>
  <c r="U206" i="18"/>
  <c r="U198" i="18"/>
  <c r="T170" i="18"/>
  <c r="T166" i="18"/>
  <c r="T158" i="18"/>
  <c r="T154" i="18"/>
  <c r="T146" i="18"/>
  <c r="T138" i="18"/>
  <c r="T134" i="18"/>
  <c r="T126" i="18"/>
  <c r="T118" i="18"/>
  <c r="T110" i="18"/>
  <c r="T102" i="18"/>
  <c r="T98" i="18"/>
  <c r="T90" i="18"/>
  <c r="T82" i="18"/>
  <c r="T70" i="18"/>
  <c r="T54" i="18"/>
  <c r="U192" i="18"/>
  <c r="T176" i="18"/>
  <c r="T172" i="18"/>
  <c r="T168" i="18"/>
  <c r="T164" i="18"/>
  <c r="T160" i="18"/>
  <c r="T156" i="18"/>
  <c r="T152" i="18"/>
  <c r="T148" i="18"/>
  <c r="T144" i="18"/>
  <c r="T140" i="18"/>
  <c r="T136" i="18"/>
  <c r="T132" i="18"/>
  <c r="T128" i="18"/>
  <c r="T124" i="18"/>
  <c r="T120" i="18"/>
  <c r="T116" i="18"/>
  <c r="T112" i="18"/>
  <c r="T108" i="18"/>
  <c r="T104" i="18"/>
  <c r="T100" i="18"/>
  <c r="T96" i="18"/>
  <c r="T92" i="18"/>
  <c r="T88" i="18"/>
  <c r="T84" i="18"/>
  <c r="T80" i="18"/>
  <c r="T76" i="18"/>
  <c r="T72" i="18"/>
  <c r="T68" i="18"/>
  <c r="T64" i="18"/>
  <c r="T60" i="18"/>
  <c r="T56" i="18"/>
  <c r="T52" i="18"/>
  <c r="T48" i="18"/>
  <c r="T44" i="18"/>
  <c r="T40" i="18"/>
  <c r="T36" i="18"/>
  <c r="T32" i="18"/>
  <c r="U28" i="18"/>
  <c r="T24" i="18"/>
  <c r="T20" i="18"/>
  <c r="T16" i="18"/>
  <c r="T12" i="18"/>
  <c r="T8" i="18"/>
  <c r="U107" i="18"/>
  <c r="U235" i="18"/>
  <c r="T28" i="18"/>
  <c r="U27" i="18"/>
  <c r="T151" i="18"/>
  <c r="T95" i="18"/>
  <c r="U171" i="18"/>
  <c r="U43" i="18"/>
  <c r="U155" i="18"/>
  <c r="T175" i="18"/>
  <c r="T167" i="18"/>
  <c r="T159" i="18"/>
  <c r="T143" i="18"/>
  <c r="T135" i="18"/>
  <c r="T127" i="18"/>
  <c r="T119" i="18"/>
  <c r="T111" i="18"/>
  <c r="T103" i="18"/>
  <c r="T87" i="18"/>
  <c r="T79" i="18"/>
  <c r="T71" i="18"/>
  <c r="T63" i="18"/>
  <c r="T55" i="18"/>
  <c r="T47" i="18"/>
  <c r="T39" i="18"/>
  <c r="T31" i="18"/>
  <c r="T23" i="18"/>
  <c r="T15" i="18"/>
  <c r="T7" i="18"/>
  <c r="U219" i="18"/>
  <c r="U91" i="18"/>
  <c r="T163" i="18"/>
  <c r="T139" i="18"/>
  <c r="T131" i="18"/>
  <c r="T123" i="18"/>
  <c r="T99" i="18"/>
  <c r="T75" i="18"/>
  <c r="T67" i="18"/>
  <c r="T59" i="18"/>
  <c r="T35" i="18"/>
  <c r="T11" i="18"/>
  <c r="T3" i="18"/>
  <c r="T165" i="18"/>
  <c r="T157" i="18"/>
  <c r="T149" i="18"/>
  <c r="T133" i="18"/>
  <c r="T125" i="18"/>
  <c r="T117" i="18"/>
  <c r="T101" i="18"/>
  <c r="T93" i="18"/>
  <c r="T85" i="18"/>
  <c r="T69" i="18"/>
  <c r="T61" i="18"/>
  <c r="T53" i="18"/>
  <c r="T37" i="18"/>
  <c r="T29" i="18"/>
  <c r="T21" i="18"/>
  <c r="T17" i="18"/>
  <c r="T5" i="18"/>
  <c r="T26" i="18"/>
  <c r="T18" i="18"/>
  <c r="U211" i="18"/>
  <c r="U179" i="18"/>
  <c r="U147" i="18"/>
  <c r="U115" i="18"/>
  <c r="U83" i="18"/>
  <c r="U51" i="18"/>
  <c r="U19" i="18"/>
  <c r="U232" i="18"/>
  <c r="U224" i="18"/>
  <c r="U216" i="18"/>
  <c r="U208" i="18"/>
  <c r="U196" i="18"/>
  <c r="U188" i="18"/>
  <c r="U180" i="18"/>
  <c r="U172" i="18"/>
  <c r="U164" i="18"/>
  <c r="U156" i="18"/>
  <c r="U152" i="18"/>
  <c r="U144" i="18"/>
  <c r="U136" i="18"/>
  <c r="U128" i="18"/>
  <c r="U120" i="18"/>
  <c r="U112" i="18"/>
  <c r="U108" i="18"/>
  <c r="U104" i="18"/>
  <c r="U96" i="18"/>
  <c r="U92" i="18"/>
  <c r="U88" i="18"/>
  <c r="U84" i="18"/>
  <c r="U80" i="18"/>
  <c r="U76" i="18"/>
  <c r="U72" i="18"/>
  <c r="U68" i="18"/>
  <c r="U64" i="18"/>
  <c r="U60" i="18"/>
  <c r="U56" i="18"/>
  <c r="U52" i="18"/>
  <c r="U48" i="18"/>
  <c r="U44" i="18"/>
  <c r="U40" i="18"/>
  <c r="U36" i="18"/>
  <c r="U32" i="18"/>
  <c r="U24" i="18"/>
  <c r="U16" i="18"/>
  <c r="U12" i="18"/>
  <c r="U8" i="18"/>
  <c r="U233" i="18"/>
  <c r="U229" i="18"/>
  <c r="U225" i="18"/>
  <c r="U217" i="18"/>
  <c r="U213" i="18"/>
  <c r="U209" i="18"/>
  <c r="U201" i="18"/>
  <c r="U197" i="18"/>
  <c r="U193" i="18"/>
  <c r="U185" i="18"/>
  <c r="U177" i="18"/>
  <c r="U173" i="18"/>
  <c r="U169" i="18"/>
  <c r="U161" i="18"/>
  <c r="U153" i="18"/>
  <c r="U145" i="18"/>
  <c r="U141" i="18"/>
  <c r="U137" i="18"/>
  <c r="U129" i="18"/>
  <c r="U121" i="18"/>
  <c r="U113" i="18"/>
  <c r="U109" i="18"/>
  <c r="U105" i="18"/>
  <c r="U97" i="18"/>
  <c r="U89" i="18"/>
  <c r="U81" i="18"/>
  <c r="U77" i="18"/>
  <c r="U73" i="18"/>
  <c r="U65" i="18"/>
  <c r="U57" i="18"/>
  <c r="U49" i="18"/>
  <c r="U45" i="18"/>
  <c r="U41" i="18"/>
  <c r="U33" i="18"/>
  <c r="U25" i="18"/>
  <c r="U13" i="18"/>
  <c r="U9" i="18"/>
  <c r="U236" i="18"/>
  <c r="U228" i="18"/>
  <c r="U220" i="18"/>
  <c r="U212" i="18"/>
  <c r="U204" i="18"/>
  <c r="U200" i="18"/>
  <c r="U184" i="18"/>
  <c r="U176" i="18"/>
  <c r="U168" i="18"/>
  <c r="U160" i="18"/>
  <c r="U148" i="18"/>
  <c r="U140" i="18"/>
  <c r="U132" i="18"/>
  <c r="U124" i="18"/>
  <c r="U116" i="18"/>
  <c r="U100" i="18"/>
  <c r="U20" i="18"/>
  <c r="U234" i="18"/>
  <c r="U226" i="18"/>
  <c r="U218" i="18"/>
  <c r="U210" i="18"/>
  <c r="U202" i="18"/>
  <c r="U194" i="18"/>
  <c r="U190" i="18"/>
  <c r="U186" i="18"/>
  <c r="U182" i="18"/>
  <c r="U178" i="18"/>
  <c r="U174" i="18"/>
  <c r="U170" i="18"/>
  <c r="U166" i="18"/>
  <c r="U162" i="18"/>
  <c r="U158" i="18"/>
  <c r="U154" i="18"/>
  <c r="U150" i="18"/>
  <c r="U146" i="18"/>
  <c r="U142" i="18"/>
  <c r="U138" i="18"/>
  <c r="U134" i="18"/>
  <c r="U130" i="18"/>
  <c r="U126" i="18"/>
  <c r="U122" i="18"/>
  <c r="U118" i="18"/>
  <c r="U114" i="18"/>
  <c r="U110" i="18"/>
  <c r="U106" i="18"/>
  <c r="U102" i="18"/>
  <c r="U98" i="18"/>
  <c r="U94" i="18"/>
  <c r="U90" i="18"/>
  <c r="U86" i="18"/>
  <c r="U82" i="18"/>
  <c r="U78" i="18"/>
  <c r="U74" i="18"/>
  <c r="U70" i="18"/>
  <c r="U66" i="18"/>
  <c r="U62" i="18"/>
  <c r="U58" i="18"/>
  <c r="U54" i="18"/>
  <c r="U50" i="18"/>
  <c r="U46" i="18"/>
  <c r="U42" i="18"/>
  <c r="U38" i="18"/>
  <c r="U34" i="18"/>
  <c r="U30" i="18"/>
  <c r="U22" i="18"/>
  <c r="U14" i="18"/>
  <c r="U6" i="18"/>
  <c r="AC74" i="2194"/>
  <c r="AC100" i="2194"/>
  <c r="AC82" i="2159"/>
  <c r="AC77" i="2194"/>
  <c r="AC97" i="2159"/>
  <c r="AC38" i="2159"/>
  <c r="AC72" i="2159"/>
  <c r="AC77" i="2159"/>
  <c r="AC101" i="2159"/>
  <c r="AC27" i="2194"/>
  <c r="AC31" i="2194"/>
  <c r="AC76" i="2159"/>
  <c r="AC30" i="2159"/>
  <c r="AC99" i="2194"/>
  <c r="AC102" i="2194"/>
  <c r="AC75" i="2159"/>
  <c r="AC36" i="2194"/>
  <c r="AC97" i="2194"/>
  <c r="AC71" i="2159"/>
  <c r="AC70" i="2159"/>
  <c r="AC104" i="2159"/>
  <c r="AC35" i="2159"/>
  <c r="AC37" i="2194"/>
  <c r="AC103" i="2194"/>
  <c r="AC25" i="2194"/>
  <c r="AC31" i="2159"/>
  <c r="AC24" i="2159"/>
  <c r="AC74" i="2159"/>
  <c r="AC39" i="2194"/>
  <c r="AC104" i="2194"/>
  <c r="AC25" i="2159"/>
  <c r="AC30" i="2194"/>
  <c r="AC78" i="2159"/>
  <c r="AC73" i="2194"/>
  <c r="AD104" i="2194" l="1"/>
  <c r="Z104" i="2194"/>
  <c r="Z97" i="2194"/>
  <c r="AD97" i="2194"/>
  <c r="AD77" i="2194"/>
  <c r="Z77" i="2194"/>
  <c r="AD100" i="2194"/>
  <c r="Z100" i="2194"/>
  <c r="AD74" i="2194"/>
  <c r="Z74" i="2194"/>
  <c r="AA39" i="2194"/>
  <c r="Z39" i="2194"/>
  <c r="AD39" i="2194"/>
  <c r="AA85" i="2194"/>
  <c r="Z102" i="2194"/>
  <c r="AD102" i="2194"/>
  <c r="AA25" i="2194"/>
  <c r="AD25" i="2194"/>
  <c r="AA71" i="2194"/>
  <c r="Z25" i="2194"/>
  <c r="AA96" i="2194"/>
  <c r="AD31" i="2194"/>
  <c r="Z31" i="2194"/>
  <c r="AA102" i="2194"/>
  <c r="AA77" i="2194"/>
  <c r="AA31" i="2194"/>
  <c r="AD73" i="2194"/>
  <c r="Z73" i="2194"/>
  <c r="Z99" i="2194"/>
  <c r="AD99" i="2194"/>
  <c r="AD103" i="2194"/>
  <c r="Z103" i="2194"/>
  <c r="AA98" i="2194"/>
  <c r="AA27" i="2194"/>
  <c r="AD27" i="2194"/>
  <c r="AA73" i="2194"/>
  <c r="Z27" i="2194"/>
  <c r="AA82" i="2194"/>
  <c r="AA36" i="2194"/>
  <c r="Z36" i="2194"/>
  <c r="AD36" i="2194"/>
  <c r="AA101" i="2194"/>
  <c r="AA76" i="2194"/>
  <c r="Z30" i="2194"/>
  <c r="AA30" i="2194"/>
  <c r="AD30" i="2194"/>
  <c r="AD37" i="2194"/>
  <c r="Z37" i="2194"/>
  <c r="AA83" i="2194"/>
  <c r="AA37" i="2194"/>
  <c r="CG5" i="2194"/>
  <c r="CF4" i="2194"/>
  <c r="AD24" i="2159"/>
  <c r="Z35" i="2159"/>
  <c r="AD35" i="2159"/>
  <c r="AA35" i="2159"/>
  <c r="AA81" i="2159"/>
  <c r="AA38" i="2159"/>
  <c r="Z38" i="2159"/>
  <c r="AA84" i="2159"/>
  <c r="AD38" i="2159"/>
  <c r="Z74" i="2159"/>
  <c r="AD74" i="2159"/>
  <c r="Z71" i="2159"/>
  <c r="AD71" i="2159"/>
  <c r="Z72" i="2159"/>
  <c r="AD72" i="2159"/>
  <c r="AD104" i="2159"/>
  <c r="Z104" i="2159"/>
  <c r="AD77" i="2159"/>
  <c r="Z77" i="2159"/>
  <c r="AD101" i="2159"/>
  <c r="Z101" i="2159"/>
  <c r="AA24" i="2159"/>
  <c r="Z24" i="2159"/>
  <c r="AA70" i="2159"/>
  <c r="AA95" i="2159"/>
  <c r="Z82" i="2159"/>
  <c r="AD82" i="2159"/>
  <c r="AA96" i="2159"/>
  <c r="Z25" i="2159"/>
  <c r="AA25" i="2159"/>
  <c r="AD25" i="2159"/>
  <c r="AA71" i="2159"/>
  <c r="AD70" i="2159"/>
  <c r="Z70" i="2159"/>
  <c r="AD78" i="2159"/>
  <c r="Z78" i="2159"/>
  <c r="Z30" i="2159"/>
  <c r="AA101" i="2159"/>
  <c r="AA30" i="2159"/>
  <c r="AA76" i="2159"/>
  <c r="AD30" i="2159"/>
  <c r="Z75" i="2159"/>
  <c r="AD75" i="2159"/>
  <c r="AA77" i="2159"/>
  <c r="AD31" i="2159"/>
  <c r="Z31" i="2159"/>
  <c r="AA102" i="2159"/>
  <c r="AA31" i="2159"/>
  <c r="Z76" i="2159"/>
  <c r="AD76" i="2159"/>
  <c r="Z97" i="2159"/>
  <c r="AD97" i="2159"/>
  <c r="CG5" i="2159"/>
  <c r="CF4" i="2159"/>
  <c r="X35" i="18"/>
  <c r="BK26" i="2194" s="1"/>
  <c r="X40" i="18"/>
  <c r="X36" i="18"/>
  <c r="BK27" i="2194" s="1"/>
  <c r="X46" i="18"/>
  <c r="BK25" i="2194" s="1"/>
  <c r="X39" i="18"/>
  <c r="X44" i="18"/>
  <c r="X45" i="18"/>
  <c r="X43" i="18"/>
  <c r="X41" i="18"/>
  <c r="X32" i="18" s="1"/>
  <c r="BK24" i="2194" s="1"/>
  <c r="AC39" i="2159"/>
  <c r="AC73" i="2159"/>
  <c r="AC100" i="2159"/>
  <c r="AC37" i="2159"/>
  <c r="AC98" i="2159"/>
  <c r="AC27" i="2159"/>
  <c r="AC29" i="2159"/>
  <c r="AC85" i="2159"/>
  <c r="AC36" i="2159"/>
  <c r="AC105" i="2159"/>
  <c r="AC40" i="2159"/>
  <c r="AC84" i="2159"/>
  <c r="AC102" i="2159"/>
  <c r="AC95" i="2159"/>
  <c r="AC26" i="2159"/>
  <c r="AC28" i="2159"/>
  <c r="AC32" i="2159"/>
  <c r="AC81" i="2159"/>
  <c r="AC99" i="2159"/>
  <c r="AC86" i="2159"/>
  <c r="AC83" i="2159"/>
  <c r="AC96" i="2159"/>
  <c r="AC103" i="2159"/>
  <c r="CF3" i="2194" l="1"/>
  <c r="CG4" i="2194"/>
  <c r="Z84" i="2159"/>
  <c r="AD84" i="2159"/>
  <c r="AD105" i="2159"/>
  <c r="Z105" i="2159"/>
  <c r="AD100" i="2159"/>
  <c r="Z100" i="2159"/>
  <c r="AD81" i="2159"/>
  <c r="Z81" i="2159"/>
  <c r="AD86" i="2159"/>
  <c r="Z86" i="2159"/>
  <c r="Z85" i="2159"/>
  <c r="AD85" i="2159"/>
  <c r="AA26" i="2159"/>
  <c r="AA72" i="2159"/>
  <c r="AA97" i="2159"/>
  <c r="Z26" i="2159"/>
  <c r="AD26" i="2159"/>
  <c r="Z99" i="2159"/>
  <c r="AD99" i="2159"/>
  <c r="AA103" i="2159"/>
  <c r="AA78" i="2159"/>
  <c r="AD32" i="2159"/>
  <c r="Z32" i="2159"/>
  <c r="AA32" i="2159"/>
  <c r="AD96" i="2159"/>
  <c r="Z96" i="2159"/>
  <c r="Z29" i="2159"/>
  <c r="AA100" i="2159"/>
  <c r="AA75" i="2159"/>
  <c r="AA29" i="2159"/>
  <c r="AD29" i="2159"/>
  <c r="Z83" i="2159"/>
  <c r="AD83" i="2159"/>
  <c r="Z102" i="2159"/>
  <c r="AD102" i="2159"/>
  <c r="Z27" i="2159"/>
  <c r="AA73" i="2159"/>
  <c r="AA98" i="2159"/>
  <c r="AA27" i="2159"/>
  <c r="AD27" i="2159"/>
  <c r="AD103" i="2159"/>
  <c r="Z103" i="2159"/>
  <c r="AA40" i="2159"/>
  <c r="AD40" i="2159"/>
  <c r="Z40" i="2159"/>
  <c r="AA86" i="2159"/>
  <c r="Z95" i="2159"/>
  <c r="AD95" i="2159"/>
  <c r="AA82" i="2159"/>
  <c r="AA36" i="2159"/>
  <c r="AD36" i="2159"/>
  <c r="Z36" i="2159"/>
  <c r="AA83" i="2159"/>
  <c r="AA37" i="2159"/>
  <c r="Z37" i="2159"/>
  <c r="AD37" i="2159"/>
  <c r="Z98" i="2159"/>
  <c r="AD98" i="2159"/>
  <c r="AA74" i="2159"/>
  <c r="AA99" i="2159"/>
  <c r="AD28" i="2159"/>
  <c r="AA28" i="2159"/>
  <c r="Z28" i="2159"/>
  <c r="Z73" i="2159"/>
  <c r="AD73" i="2159"/>
  <c r="AA85" i="2159"/>
  <c r="Z39" i="2159"/>
  <c r="AD39" i="2159"/>
  <c r="AA39" i="2159"/>
  <c r="BK26" i="2159"/>
  <c r="BK25" i="2159"/>
  <c r="BK24" i="2159"/>
  <c r="BK27" i="2159"/>
  <c r="CG4" i="2159"/>
  <c r="CF3" i="2159"/>
  <c r="X34" i="18"/>
  <c r="X29" i="18"/>
  <c r="X28" i="18"/>
  <c r="CG3" i="2194" l="1"/>
  <c r="CF2" i="2194"/>
  <c r="CG2" i="2194" s="1"/>
  <c r="CF2" i="2159"/>
  <c r="CG2" i="2159" s="1"/>
  <c r="CG3" i="2159"/>
  <c r="X30" i="18"/>
  <c r="Y46" i="18" l="1"/>
  <c r="BJ25" i="2194" s="1"/>
  <c r="Y33" i="18"/>
  <c r="Y36" i="18"/>
  <c r="BJ27" i="2194" s="1"/>
  <c r="Y34" i="18"/>
  <c r="Y35" i="18"/>
  <c r="BJ26" i="2194" s="1"/>
  <c r="Y32" i="18"/>
  <c r="BJ24" i="2194" s="1"/>
  <c r="Y29" i="18"/>
  <c r="BJ27" i="2159" l="1"/>
  <c r="BJ24" i="2159"/>
  <c r="BJ26" i="2159"/>
  <c r="BJ25" i="2159"/>
  <c r="Y28" i="18"/>
  <c r="BH17" i="2159"/>
  <c r="BH18" i="2159"/>
  <c r="BH13" i="2159"/>
  <c r="BH12" i="2159"/>
  <c r="BH14" i="2159"/>
  <c r="BK14" i="2159" s="1"/>
  <c r="BH11" i="2159"/>
  <c r="BH9" i="2159"/>
  <c r="BH16" i="2159"/>
  <c r="BH8" i="2159"/>
  <c r="BH10" i="2159"/>
  <c r="BJ18" i="2159"/>
  <c r="BJ13" i="2159"/>
  <c r="BJ12" i="2159"/>
  <c r="BJ11" i="2159"/>
  <c r="BJ9" i="2159"/>
  <c r="BJ16" i="2159"/>
  <c r="BJ8" i="2159"/>
  <c r="BJ10" i="2159"/>
  <c r="BJ17" i="2159"/>
  <c r="BJ15" i="2159"/>
  <c r="BK15" i="2159" s="1"/>
  <c r="BK8" i="2159" l="1"/>
  <c r="BK9" i="2159"/>
  <c r="BK13" i="2159"/>
  <c r="BK16" i="2159"/>
  <c r="BK12" i="2159"/>
  <c r="BK17" i="2159"/>
  <c r="BK10" i="2159"/>
  <c r="BK11" i="2159"/>
  <c r="BK18" i="21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Andrey Dmitriev (TMR)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Andrey Dmitriev (TMR):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Tahoma"/>
            <family val="2"/>
            <charset val="204"/>
          </rPr>
          <t>Дату вручную не ставить. Формулу не стирать!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Andrey Dmitriev (TMR)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Andrey Dmitriev (TMR):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Tahoma"/>
            <family val="2"/>
            <charset val="204"/>
          </rPr>
          <t>Дату вручную не ставить. Формулу не стирать!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(20) Information" type="6" refreshedVersion="6" background="1" saveData="1">
    <textPr prompt="0" codePage="866" sourceFile="S:\Main\04 CCR\Контроль хейджунка Paint out\CBS bodies issuing\Сбор информации\(20) Information.csv" comma="1">
      <textFields count="23">
        <textField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  <connection id="2" xr16:uid="{00000000-0015-0000-FFFF-FFFF01000000}" name="(32) Для хейджунки Camry+RAV4" type="6" refreshedVersion="6" background="1" saveData="1">
    <textPr prompt="0" codePage="866" sourceFile="S:\Main\04 CCR\Контроль хейджунка Paint out\CBS bodies issuing\(32) Для хейджунки Camry+RAV4.csv" comma="1">
      <textFields count="11"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skip"/>
      </textFields>
    </textPr>
  </connection>
  <connection id="3" xr16:uid="{00000000-0015-0000-FFFF-FFFF02000000}" name="(41) Bodies location (Heijunka)" type="6" refreshedVersion="6" background="1" saveData="1">
    <textPr prompt="0" codePage="866" sourceFile="S:\Main\04 CCR\Контроль хейджунка Paint out\CBS bodies issuing\(41) Bodies location (Heijunka).csv" comma="1">
      <textFields count="3">
        <textField/>
        <textField/>
        <textField type="skip"/>
      </textFields>
    </textPr>
  </connection>
  <connection id="4" xr16:uid="{00000000-0015-0000-FFFF-FFFF03000000}" name="Данные для Heijunka1" type="6" refreshedVersion="3" background="1">
    <textPr prompt="0" codePage="866" sourceFile="G:\Production\PCD\PCLD\04 Daily report\Контроль хейджунка Paint out\Данные для Heijunka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00000000-0015-0000-FFFF-FFFF04000000}" name="Данные для Heijunka48" type="6" refreshedVersion="0" background="1">
    <textPr prompt="0" sourceFile="G:\Production\PCD\PCLD\04 Daily report\Контроль хейджунка Paint out\Данные для Heijunka.csv">
      <textFields>
        <textField/>
      </textFields>
    </textPr>
  </connection>
  <connection id="6" xr16:uid="{00000000-0015-0000-FFFF-FFFF05000000}" name="Данные для Heijunka49" type="6" refreshedVersion="0" background="1">
    <textPr prompt="0" sourceFile="G:\Production\PCD\PCLD\04 Daily report\Контроль хейджунка Paint out\Данные для Heijunka.csv">
      <textFields>
        <textField/>
      </textFields>
    </textPr>
  </connection>
  <connection id="7" xr16:uid="{00000000-0015-0000-FFFF-FFFF06000000}" name="Подключение" type="6" refreshedVersion="0" background="1">
    <textPr prompt="0" sourceFile="G:\Production\PCD\PCLD\04 Daily report\Контроль хейджунка Paint out\Архив новая доска\">
      <textFields>
        <textField/>
      </textFields>
    </textPr>
  </connection>
  <connection id="8" xr16:uid="{00000000-0015-0000-FFFF-FFFF07000000}" name="Подключение1" type="6" refreshedVersion="0" background="1">
    <textPr prompt="0" sourceFile="G:\Production\PCD\PCLD\04 Daily report\Контроль хейджунка Paint out\Архив новая доска\">
      <textFields>
        <textField/>
      </textFields>
    </textPr>
  </connection>
  <connection id="9" xr16:uid="{00000000-0015-0000-FFFF-FFFF08000000}" name="Подключение2" type="6" refreshedVersion="0" background="1">
    <textPr prompt="0" sourceFile="G:\Production\PCD\PCLD\04 Daily report\Контроль хейджунка Paint out\Архив новая доска\">
      <textFields>
        <textField/>
      </textFields>
    </textPr>
  </connection>
  <connection id="10" xr16:uid="{00000000-0015-0000-FFFF-FFFF09000000}" name="Подключение3" type="6" refreshedVersion="0" background="1">
    <textPr prompt="0" sourceFile="G:\Production\PCD\PCLD\04 Daily report\Контроль хейджунка Paint out\Архив новая доска\">
      <textFields>
        <textField/>
      </textFields>
    </textPr>
  </connection>
  <connection id="11" xr16:uid="{00000000-0015-0000-FFFF-FFFF0A000000}" name="Подключение4" type="6" refreshedVersion="0" background="1">
    <textPr prompt="0" sourceFile="G:\Production\PCD\PCLD\04 Daily report\Контроль хейджунка Paint out\Архив новая доска\">
      <textFields>
        <textField/>
      </textFields>
    </textPr>
  </connection>
  <connection id="12" xr16:uid="{00000000-0015-0000-FFFF-FFFF0B000000}" name="Порядок кузовов BuildSeq (PC02)" type="6" refreshedVersion="6" background="1" saveData="1">
    <textPr prompt="0" codePage="866" sourceFile="S:\Main\04 CCR\Контроль хейджунка Paint out\CCR Coordination\FBS in forecast\Порядок кузовов BuildSeq (PC02).csv" comma="1">
      <textFields count="15">
        <textField type="skip"/>
        <textField/>
        <textField type="skip"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<sst xmlns="http://schemas.openxmlformats.org/spreadsheetml/2006/main" count="16112" uniqueCount="3264">
  <si>
    <t>Total q-ty</t>
  </si>
  <si>
    <t>Коэф</t>
  </si>
  <si>
    <t>Gap</t>
  </si>
  <si>
    <t>FBS    in    Production    check    sheet</t>
  </si>
  <si>
    <t>№</t>
  </si>
  <si>
    <t>Body№</t>
  </si>
  <si>
    <t>Seat type</t>
  </si>
  <si>
    <t>ENG</t>
  </si>
  <si>
    <t>Color</t>
  </si>
  <si>
    <t>Time</t>
  </si>
  <si>
    <t>1F7</t>
  </si>
  <si>
    <t>2,0 L</t>
  </si>
  <si>
    <t>2,5 L</t>
  </si>
  <si>
    <t>3,5 L</t>
  </si>
  <si>
    <t>Plan Paint out</t>
  </si>
  <si>
    <t>WHITE</t>
  </si>
  <si>
    <t>Seq №</t>
  </si>
  <si>
    <t>Delay</t>
  </si>
  <si>
    <t>Plan</t>
  </si>
  <si>
    <t>Движки</t>
  </si>
  <si>
    <t>218</t>
  </si>
  <si>
    <t>040</t>
  </si>
  <si>
    <t>План</t>
  </si>
  <si>
    <t>Счетчик</t>
  </si>
  <si>
    <t>RAV4</t>
  </si>
  <si>
    <t xml:space="preserve">Plan to Camry 3,5 L  </t>
  </si>
  <si>
    <t>Body</t>
  </si>
  <si>
    <t>Model</t>
  </si>
  <si>
    <t>Engine</t>
  </si>
  <si>
    <t>Transmission</t>
  </si>
  <si>
    <t>Camry</t>
  </si>
  <si>
    <t>Трансмиссия</t>
  </si>
  <si>
    <t>Двигатель</t>
  </si>
  <si>
    <t>2 L</t>
  </si>
  <si>
    <t>Camry 3,5 L</t>
  </si>
  <si>
    <t>Seat type / Transmission</t>
  </si>
  <si>
    <t>Comment</t>
  </si>
  <si>
    <t>SFX</t>
  </si>
  <si>
    <t>Plan to SE</t>
  </si>
  <si>
    <t>Last Point</t>
  </si>
  <si>
    <t>A1</t>
  </si>
  <si>
    <t>A2</t>
  </si>
  <si>
    <t>A3</t>
  </si>
  <si>
    <t>V3</t>
  </si>
  <si>
    <t>P9</t>
  </si>
  <si>
    <t>P3</t>
  </si>
  <si>
    <t>T4</t>
  </si>
  <si>
    <t>T7</t>
  </si>
  <si>
    <t>B1</t>
  </si>
  <si>
    <t>T1</t>
  </si>
  <si>
    <t>P1</t>
  </si>
  <si>
    <t>Legenda</t>
  </si>
  <si>
    <t>Rav4</t>
  </si>
  <si>
    <t>Total</t>
  </si>
  <si>
    <t>A4</t>
  </si>
  <si>
    <t>diff time</t>
  </si>
  <si>
    <t>plan</t>
  </si>
  <si>
    <t>PPO</t>
  </si>
  <si>
    <t xml:space="preserve"> </t>
  </si>
  <si>
    <t>Camry 3.5L</t>
  </si>
  <si>
    <t>Camry 2.5L</t>
  </si>
  <si>
    <t>Camry 2.0L</t>
  </si>
  <si>
    <t>Rav4 Auto</t>
  </si>
  <si>
    <t>Rav4 CVT</t>
  </si>
  <si>
    <t>Rav4 Special</t>
  </si>
  <si>
    <t>Rav4 2.0L</t>
  </si>
  <si>
    <t>Counter color</t>
  </si>
  <si>
    <t>Rav4 Diesel 2.2L</t>
  </si>
  <si>
    <t>Rav4 Mech
 2.0 L</t>
  </si>
  <si>
    <t>Counter RAV 4</t>
  </si>
  <si>
    <t>Counter Camry</t>
  </si>
  <si>
    <t>Sum</t>
  </si>
  <si>
    <t>Body-Seq</t>
  </si>
  <si>
    <t>Разница Body-Seq</t>
  </si>
  <si>
    <t>Max</t>
  </si>
  <si>
    <t>B0</t>
  </si>
  <si>
    <t>C</t>
  </si>
  <si>
    <t>R</t>
  </si>
  <si>
    <t>T6</t>
  </si>
  <si>
    <t>4X7</t>
  </si>
  <si>
    <t>089</t>
  </si>
  <si>
    <t>A0</t>
  </si>
  <si>
    <t>664W</t>
  </si>
  <si>
    <t>221</t>
  </si>
  <si>
    <t>C6</t>
  </si>
  <si>
    <t xml:space="preserve">   </t>
  </si>
  <si>
    <t>B5</t>
  </si>
  <si>
    <t>BX</t>
  </si>
  <si>
    <t>B2</t>
  </si>
  <si>
    <t>A9</t>
  </si>
  <si>
    <t>B3</t>
  </si>
  <si>
    <t>Last TP</t>
  </si>
  <si>
    <t>Факт</t>
  </si>
  <si>
    <t>Fact</t>
  </si>
  <si>
    <t>Heijunka</t>
  </si>
  <si>
    <t>Ideal</t>
  </si>
  <si>
    <t>Current</t>
  </si>
  <si>
    <t>Разница в начале смены</t>
  </si>
  <si>
    <t>Модель</t>
  </si>
  <si>
    <t>Model by Heijynka</t>
  </si>
  <si>
    <t>Подсчет процентного соотношения моделей в Paint</t>
  </si>
  <si>
    <t>T2</t>
  </si>
  <si>
    <t>Build Sequence Maintenance</t>
  </si>
  <si>
    <t>Total Matched Q'ty = 0</t>
  </si>
  <si>
    <t>Matching Condition</t>
  </si>
  <si>
    <t>MSGNo.2 ()</t>
  </si>
  <si>
    <t>Build Seq.</t>
  </si>
  <si>
    <t>Ident No.</t>
  </si>
  <si>
    <t>Display 1</t>
  </si>
  <si>
    <t>Seq</t>
  </si>
  <si>
    <t>BS порядок</t>
  </si>
  <si>
    <t>URN</t>
  </si>
  <si>
    <t>BS count</t>
  </si>
  <si>
    <t>Последний сиквенс</t>
  </si>
  <si>
    <t>Номер строчки</t>
  </si>
  <si>
    <t>8</t>
  </si>
  <si>
    <t>4</t>
  </si>
  <si>
    <t>С этой строчки протягивается BuildSeq</t>
  </si>
  <si>
    <t>Последние удаленные сиквенсы</t>
  </si>
  <si>
    <t>Разница на начало смены</t>
  </si>
  <si>
    <t>Welding</t>
  </si>
  <si>
    <t>Inv Welding</t>
  </si>
  <si>
    <t>Max Welding</t>
  </si>
  <si>
    <t>Max Paint</t>
  </si>
  <si>
    <t>Inv Paint</t>
  </si>
  <si>
    <t>Max Seq</t>
  </si>
  <si>
    <t>Подсчёт цветов</t>
  </si>
  <si>
    <t>%</t>
  </si>
  <si>
    <t>Diff</t>
  </si>
  <si>
    <t>T5</t>
  </si>
  <si>
    <t>B9</t>
  </si>
  <si>
    <t>V1</t>
  </si>
  <si>
    <t>Point</t>
  </si>
  <si>
    <t>Quantity</t>
  </si>
  <si>
    <t>Seq ret</t>
  </si>
  <si>
    <t>Max seq</t>
  </si>
  <si>
    <t>Ideal Body</t>
  </si>
  <si>
    <t>Seq/Ret</t>
  </si>
  <si>
    <t>Delay Body</t>
  </si>
  <si>
    <t>Other Body</t>
  </si>
  <si>
    <t>Опережение Seq. Ret.</t>
  </si>
  <si>
    <t>Sequence retention</t>
  </si>
  <si>
    <t>Определение отстающих кузовов</t>
  </si>
  <si>
    <t>Count</t>
  </si>
  <si>
    <t>Advance</t>
  </si>
  <si>
    <t>Delay Seq.Ret.</t>
  </si>
  <si>
    <t>Advance Seq.Ret.</t>
  </si>
  <si>
    <t>Takt time</t>
  </si>
  <si>
    <t>Violation count  Seq.Ret.</t>
  </si>
  <si>
    <t>Violation count Standard pattern</t>
  </si>
  <si>
    <t>1st</t>
  </si>
  <si>
    <t>2nd</t>
  </si>
  <si>
    <t>103</t>
  </si>
  <si>
    <t>Нарушения</t>
  </si>
  <si>
    <t>Номер по порядку</t>
  </si>
  <si>
    <t>X6</t>
  </si>
  <si>
    <t>8W9</t>
  </si>
  <si>
    <t>Кол-во Goshi не выйдет на сборку</t>
  </si>
  <si>
    <t>Список Goshi</t>
  </si>
  <si>
    <t>Выйдет на сборку</t>
  </si>
  <si>
    <t>Есть в выкачке</t>
  </si>
  <si>
    <t>00</t>
  </si>
  <si>
    <t>9A02209001</t>
  </si>
  <si>
    <t>Да</t>
  </si>
  <si>
    <t>01</t>
  </si>
  <si>
    <t>9A02170034</t>
  </si>
  <si>
    <t>02</t>
  </si>
  <si>
    <t>9A02170029</t>
  </si>
  <si>
    <t>03</t>
  </si>
  <si>
    <t>9A02170027</t>
  </si>
  <si>
    <t>04</t>
  </si>
  <si>
    <t>9A02170021</t>
  </si>
  <si>
    <t>05</t>
  </si>
  <si>
    <t>9A02170038</t>
  </si>
  <si>
    <t>06</t>
  </si>
  <si>
    <t>9A02170036</t>
  </si>
  <si>
    <t>07</t>
  </si>
  <si>
    <t>9A02170009</t>
  </si>
  <si>
    <t>08</t>
  </si>
  <si>
    <t>9A02170019</t>
  </si>
  <si>
    <t>09</t>
  </si>
  <si>
    <t>9A02170025</t>
  </si>
  <si>
    <t>10</t>
  </si>
  <si>
    <t>9A02170040</t>
  </si>
  <si>
    <t>11</t>
  </si>
  <si>
    <t>9A02170004</t>
  </si>
  <si>
    <t>12</t>
  </si>
  <si>
    <t>9A02170035</t>
  </si>
  <si>
    <t>13</t>
  </si>
  <si>
    <t>9A02170030</t>
  </si>
  <si>
    <t>14</t>
  </si>
  <si>
    <t>9A02170003</t>
  </si>
  <si>
    <t>15</t>
  </si>
  <si>
    <t>9A02170022</t>
  </si>
  <si>
    <t>16</t>
  </si>
  <si>
    <t>9A02170032</t>
  </si>
  <si>
    <t>17</t>
  </si>
  <si>
    <t>9A02170005</t>
  </si>
  <si>
    <t>18</t>
  </si>
  <si>
    <t>9A02170037</t>
  </si>
  <si>
    <t>19</t>
  </si>
  <si>
    <t>9A02170031</t>
  </si>
  <si>
    <t>20</t>
  </si>
  <si>
    <t>9A02170028</t>
  </si>
  <si>
    <t>21</t>
  </si>
  <si>
    <t>9A02170006</t>
  </si>
  <si>
    <t>22</t>
  </si>
  <si>
    <t>9A02170039</t>
  </si>
  <si>
    <t>23</t>
  </si>
  <si>
    <t>9A02170017</t>
  </si>
  <si>
    <t>24</t>
  </si>
  <si>
    <t>9A02170001</t>
  </si>
  <si>
    <t>25</t>
  </si>
  <si>
    <t>9A02170026</t>
  </si>
  <si>
    <t>26</t>
  </si>
  <si>
    <t>9A02170018</t>
  </si>
  <si>
    <t>27</t>
  </si>
  <si>
    <t>9A02170008</t>
  </si>
  <si>
    <t>28</t>
  </si>
  <si>
    <t>9A02170033</t>
  </si>
  <si>
    <t>29</t>
  </si>
  <si>
    <t>9A02170010</t>
  </si>
  <si>
    <t>30</t>
  </si>
  <si>
    <t>9A02170011</t>
  </si>
  <si>
    <t>31</t>
  </si>
  <si>
    <t>9A02170012</t>
  </si>
  <si>
    <t>32</t>
  </si>
  <si>
    <t>9A02170023</t>
  </si>
  <si>
    <t>33</t>
  </si>
  <si>
    <t>9A02170013</t>
  </si>
  <si>
    <t>34</t>
  </si>
  <si>
    <t>9A02170014</t>
  </si>
  <si>
    <t>35</t>
  </si>
  <si>
    <t>9A02170024</t>
  </si>
  <si>
    <t>36</t>
  </si>
  <si>
    <t>9A02170015</t>
  </si>
  <si>
    <t>37</t>
  </si>
  <si>
    <t>9A02170016</t>
  </si>
  <si>
    <t>38</t>
  </si>
  <si>
    <t>9A02170020</t>
  </si>
  <si>
    <t>39</t>
  </si>
  <si>
    <t>9A02170007</t>
  </si>
  <si>
    <t>40</t>
  </si>
  <si>
    <t>9A02170002</t>
  </si>
  <si>
    <t>Y5</t>
  </si>
  <si>
    <t>I3</t>
  </si>
  <si>
    <t>V8</t>
  </si>
  <si>
    <t>P2</t>
  </si>
  <si>
    <t>8A05270092</t>
  </si>
  <si>
    <t>4A05270083</t>
  </si>
  <si>
    <t>8A05270088</t>
  </si>
  <si>
    <t>4A05270061</t>
  </si>
  <si>
    <t>8A05270068</t>
  </si>
  <si>
    <t>8A05270187</t>
  </si>
  <si>
    <t>4A05270024</t>
  </si>
  <si>
    <t>8A05270137</t>
  </si>
  <si>
    <t>4A05270006</t>
  </si>
  <si>
    <t>8A05270069</t>
  </si>
  <si>
    <t>8A05270171</t>
  </si>
  <si>
    <t>4A05270040</t>
  </si>
  <si>
    <t>8A05270138</t>
  </si>
  <si>
    <t>4A05270069</t>
  </si>
  <si>
    <t>8A05270025</t>
  </si>
  <si>
    <t>4A05270117</t>
  </si>
  <si>
    <t>8A05270191</t>
  </si>
  <si>
    <t>8A05270099</t>
  </si>
  <si>
    <t>4A05270101</t>
  </si>
  <si>
    <t>8A05270070</t>
  </si>
  <si>
    <t>4A05270051</t>
  </si>
  <si>
    <t>8A05270111</t>
  </si>
  <si>
    <t>8A05270018</t>
  </si>
  <si>
    <t>4A05270143</t>
  </si>
  <si>
    <t>8A05270139</t>
  </si>
  <si>
    <t>4A05270025</t>
  </si>
  <si>
    <t>8A05270203</t>
  </si>
  <si>
    <t>8A05270071</t>
  </si>
  <si>
    <t>4A05270111</t>
  </si>
  <si>
    <t>8A05270161</t>
  </si>
  <si>
    <t>4A05270129</t>
  </si>
  <si>
    <t>8A05270041</t>
  </si>
  <si>
    <t>8A05270042</t>
  </si>
  <si>
    <t>4A05270029</t>
  </si>
  <si>
    <t>8A05270019</t>
  </si>
  <si>
    <t>4A05270007</t>
  </si>
  <si>
    <t>8A05270112</t>
  </si>
  <si>
    <t>4A05270071</t>
  </si>
  <si>
    <t>8A05270177</t>
  </si>
  <si>
    <t>8A05270188</t>
  </si>
  <si>
    <t>4A05270081</t>
  </si>
  <si>
    <t>8A05270004</t>
  </si>
  <si>
    <t>4A05270102</t>
  </si>
  <si>
    <t>8A05270113</t>
  </si>
  <si>
    <t>8A05270144</t>
  </si>
  <si>
    <t>4A05270016</t>
  </si>
  <si>
    <t>8A05270166</t>
  </si>
  <si>
    <t>4A05270144</t>
  </si>
  <si>
    <t>8A05270140</t>
  </si>
  <si>
    <t>8A05270100</t>
  </si>
  <si>
    <t>4A05270062</t>
  </si>
  <si>
    <t>8A05270010</t>
  </si>
  <si>
    <t>4A05270008</t>
  </si>
  <si>
    <t>8A05270114</t>
  </si>
  <si>
    <t>8A05270204</t>
  </si>
  <si>
    <t>4A05270041</t>
  </si>
  <si>
    <t>8A05270141</t>
  </si>
  <si>
    <t>4A05270125</t>
  </si>
  <si>
    <t>8A05270142</t>
  </si>
  <si>
    <t>4A05270130</t>
  </si>
  <si>
    <t>8A05270043</t>
  </si>
  <si>
    <t>8A05270089</t>
  </si>
  <si>
    <t>4A05270118</t>
  </si>
  <si>
    <t>8A05270044</t>
  </si>
  <si>
    <t>4A05270026</t>
  </si>
  <si>
    <t>8A05270172</t>
  </si>
  <si>
    <t>8A05270026</t>
  </si>
  <si>
    <t>4A05270084</t>
  </si>
  <si>
    <t>8A05270115</t>
  </si>
  <si>
    <t>4A05270119</t>
  </si>
  <si>
    <t>8A05270078</t>
  </si>
  <si>
    <t>8A05270189</t>
  </si>
  <si>
    <t>4A05270042</t>
  </si>
  <si>
    <t>8A05270045</t>
  </si>
  <si>
    <t>4A05270056</t>
  </si>
  <si>
    <t>8A05270190</t>
  </si>
  <si>
    <t>8A05270020</t>
  </si>
  <si>
    <t>4A05270108</t>
  </si>
  <si>
    <t>8A05270046</t>
  </si>
  <si>
    <t>4A05270096</t>
  </si>
  <si>
    <t>8A05270143</t>
  </si>
  <si>
    <t>4A05270131</t>
  </si>
  <si>
    <t>8A05270192</t>
  </si>
  <si>
    <t>8A05270072</t>
  </si>
  <si>
    <t>4A05270023</t>
  </si>
  <si>
    <t>8A05270178</t>
  </si>
  <si>
    <t>4A05270063</t>
  </si>
  <si>
    <t>8A05270079</t>
  </si>
  <si>
    <t>8A05270058</t>
  </si>
  <si>
    <t>4A05270132</t>
  </si>
  <si>
    <t>8A05270145</t>
  </si>
  <si>
    <t>4A05270009</t>
  </si>
  <si>
    <t>8A05270116</t>
  </si>
  <si>
    <t>8A05270093</t>
  </si>
  <si>
    <t>4A05270043</t>
  </si>
  <si>
    <t>8A05270047</t>
  </si>
  <si>
    <t>4A05270076</t>
  </si>
  <si>
    <t>8A05270075</t>
  </si>
  <si>
    <t>8A05270005</t>
  </si>
  <si>
    <t>4A05270085</t>
  </si>
  <si>
    <t>8A05270117</t>
  </si>
  <si>
    <t>4A05270064</t>
  </si>
  <si>
    <t>8A05270080</t>
  </si>
  <si>
    <t>4A05270010</t>
  </si>
  <si>
    <t>8A05270179</t>
  </si>
  <si>
    <t>8A05270048</t>
  </si>
  <si>
    <t>4A05270112</t>
  </si>
  <si>
    <t>8A05270027</t>
  </si>
  <si>
    <t>4A05270017</t>
  </si>
  <si>
    <t>8A05270049</t>
  </si>
  <si>
    <t>8A05270163</t>
  </si>
  <si>
    <t>4A05270103</t>
  </si>
  <si>
    <t>8A05270146</t>
  </si>
  <si>
    <t>4A05270145</t>
  </si>
  <si>
    <t>8A05270050</t>
  </si>
  <si>
    <t>8A05270118</t>
  </si>
  <si>
    <t>4A05270092</t>
  </si>
  <si>
    <t>8A05270193</t>
  </si>
  <si>
    <t>4A05270044</t>
  </si>
  <si>
    <t>8A05270147</t>
  </si>
  <si>
    <t>8A05270081</t>
  </si>
  <si>
    <t>4A05270052</t>
  </si>
  <si>
    <t>8A05270011</t>
  </si>
  <si>
    <t>4A05270120</t>
  </si>
  <si>
    <t>8A05270120</t>
  </si>
  <si>
    <t>4A05270113</t>
  </si>
  <si>
    <t>8A05270167</t>
  </si>
  <si>
    <t>8A05270119</t>
  </si>
  <si>
    <t>4A05270018</t>
  </si>
  <si>
    <t>8A05270148</t>
  </si>
  <si>
    <t>4A05270133</t>
  </si>
  <si>
    <t>8A05270199</t>
  </si>
  <si>
    <t>8A05270015</t>
  </si>
  <si>
    <t>4A05270065</t>
  </si>
  <si>
    <t>8A05270059</t>
  </si>
  <si>
    <t>4A05270045</t>
  </si>
  <si>
    <t>8A05270149</t>
  </si>
  <si>
    <t>8A05270180</t>
  </si>
  <si>
    <t>4A05270086</t>
  </si>
  <si>
    <t>8A05270082</t>
  </si>
  <si>
    <t>4A05270011</t>
  </si>
  <si>
    <t>8A05270021</t>
  </si>
  <si>
    <t>8A05270150</t>
  </si>
  <si>
    <t>4A05270134</t>
  </si>
  <si>
    <t>8A05270205</t>
  </si>
  <si>
    <t>4A05270030</t>
  </si>
  <si>
    <t>8A05270051</t>
  </si>
  <si>
    <t>4A05270109</t>
  </si>
  <si>
    <t>8A05270121</t>
  </si>
  <si>
    <t>8A05270052</t>
  </si>
  <si>
    <t>4A05270072</t>
  </si>
  <si>
    <t>8A05270083</t>
  </si>
  <si>
    <t>4A05270082</t>
  </si>
  <si>
    <t>8A05270151</t>
  </si>
  <si>
    <t>8A05270181</t>
  </si>
  <si>
    <t>4A05270019</t>
  </si>
  <si>
    <t>8A05270028</t>
  </si>
  <si>
    <t>4A05270066</t>
  </si>
  <si>
    <t>8A05270012</t>
  </si>
  <si>
    <t>8A05270206</t>
  </si>
  <si>
    <t>4A05270135</t>
  </si>
  <si>
    <t>8A05270152</t>
  </si>
  <si>
    <t>4A05270012</t>
  </si>
  <si>
    <t>8A05270084</t>
  </si>
  <si>
    <t>8A05270094</t>
  </si>
  <si>
    <t>4A05270123</t>
  </si>
  <si>
    <t>8A05270060</t>
  </si>
  <si>
    <t>4A05270046</t>
  </si>
  <si>
    <t>8A05270194</t>
  </si>
  <si>
    <t>4A05270077</t>
  </si>
  <si>
    <t>8A05270153</t>
  </si>
  <si>
    <t>8A05270053</t>
  </si>
  <si>
    <t>4A05270136</t>
  </si>
  <si>
    <t>8A05270154</t>
  </si>
  <si>
    <t>4A05270031</t>
  </si>
  <si>
    <t>8A05270168</t>
  </si>
  <si>
    <t>8A05270122</t>
  </si>
  <si>
    <t>4A05270110</t>
  </si>
  <si>
    <t>8A05270123</t>
  </si>
  <si>
    <t>4A05270087</t>
  </si>
  <si>
    <t>8A05270054</t>
  </si>
  <si>
    <t>8A05270022</t>
  </si>
  <si>
    <t>4A05270067</t>
  </si>
  <si>
    <t>8A05270207</t>
  </si>
  <si>
    <t>4A05270124</t>
  </si>
  <si>
    <t>8A05270055</t>
  </si>
  <si>
    <t>8A05270085</t>
  </si>
  <si>
    <t>4A05270020</t>
  </si>
  <si>
    <t>8A05270124</t>
  </si>
  <si>
    <t>4A05270054</t>
  </si>
  <si>
    <t>8A05270182</t>
  </si>
  <si>
    <t>4A05270013</t>
  </si>
  <si>
    <t>8A05270155</t>
  </si>
  <si>
    <t>8A05270013</t>
  </si>
  <si>
    <t>4A05270114</t>
  </si>
  <si>
    <t>8A05270195</t>
  </si>
  <si>
    <t>4A05270137</t>
  </si>
  <si>
    <t>8A05270156</t>
  </si>
  <si>
    <t>8A05270086</t>
  </si>
  <si>
    <t>4A05270021</t>
  </si>
  <si>
    <t>8A05270029</t>
  </si>
  <si>
    <t>4A05270068</t>
  </si>
  <si>
    <t>8A05270056</t>
  </si>
  <si>
    <t>8A05270125</t>
  </si>
  <si>
    <t>4A05270121</t>
  </si>
  <si>
    <t>8A05270208</t>
  </si>
  <si>
    <t>4A05270047</t>
  </si>
  <si>
    <t>8A05270061</t>
  </si>
  <si>
    <t>8A05270090</t>
  </si>
  <si>
    <t>4A05270090</t>
  </si>
  <si>
    <t>8A05270126</t>
  </si>
  <si>
    <t>4A05270053</t>
  </si>
  <si>
    <t>8A05270157</t>
  </si>
  <si>
    <t>4A05270138</t>
  </si>
  <si>
    <t>8A05270158</t>
  </si>
  <si>
    <t>8A05270014</t>
  </si>
  <si>
    <t>4A05270014</t>
  </si>
  <si>
    <t>8A05270173</t>
  </si>
  <si>
    <t>4A05270139</t>
  </si>
  <si>
    <t>8A05270209</t>
  </si>
  <si>
    <t>8A05270023</t>
  </si>
  <si>
    <t>4A05270107</t>
  </si>
  <si>
    <t>8A05270159</t>
  </si>
  <si>
    <t>4A05270048</t>
  </si>
  <si>
    <t>8A05270057</t>
  </si>
  <si>
    <t>8A05280028</t>
  </si>
  <si>
    <t>4A05270074</t>
  </si>
  <si>
    <t>8A05280112</t>
  </si>
  <si>
    <t>4A05280067</t>
  </si>
  <si>
    <t>8A05280083</t>
  </si>
  <si>
    <t>8A05280193</t>
  </si>
  <si>
    <t>4A05280031</t>
  </si>
  <si>
    <t>8A05280128</t>
  </si>
  <si>
    <t>4A05280121</t>
  </si>
  <si>
    <t>8A05280094</t>
  </si>
  <si>
    <t>4A05280075</t>
  </si>
  <si>
    <t>8A05280006</t>
  </si>
  <si>
    <t>8A05280169</t>
  </si>
  <si>
    <t>4A05280026</t>
  </si>
  <si>
    <t>8A05280129</t>
  </si>
  <si>
    <t>4A05280112</t>
  </si>
  <si>
    <t>8A05280054</t>
  </si>
  <si>
    <t>8A05280191</t>
  </si>
  <si>
    <t>4A05280051</t>
  </si>
  <si>
    <t>8A05280102</t>
  </si>
  <si>
    <t>4A05280142</t>
  </si>
  <si>
    <t>8A05280160</t>
  </si>
  <si>
    <t>8A05280019</t>
  </si>
  <si>
    <t>4A05280001</t>
  </si>
  <si>
    <t>8A05280055</t>
  </si>
  <si>
    <t>4A05280106</t>
  </si>
  <si>
    <t>8A05280027</t>
  </si>
  <si>
    <t>8A05280176</t>
  </si>
  <si>
    <t>4A05280015</t>
  </si>
  <si>
    <t>8A05280056</t>
  </si>
  <si>
    <t>4A05280055</t>
  </si>
  <si>
    <t>8A05280163</t>
  </si>
  <si>
    <t>4A05280095</t>
  </si>
  <si>
    <t>8A05280130</t>
  </si>
  <si>
    <t>8A05280097</t>
  </si>
  <si>
    <t>4A05280076</t>
  </si>
  <si>
    <t>8A05280109</t>
  </si>
  <si>
    <t>4A05280032</t>
  </si>
  <si>
    <t>8A05280029</t>
  </si>
  <si>
    <t>8A05280165</t>
  </si>
  <si>
    <t>4A05280125</t>
  </si>
  <si>
    <t>8A05280131</t>
  </si>
  <si>
    <t>4A05280072</t>
  </si>
  <si>
    <t>8A05280011</t>
  </si>
  <si>
    <t>8A05280057</t>
  </si>
  <si>
    <t>4A05280002</t>
  </si>
  <si>
    <t>8A05280113</t>
  </si>
  <si>
    <t>4A05280089</t>
  </si>
  <si>
    <t>8A05280194</t>
  </si>
  <si>
    <t>8A05280161</t>
  </si>
  <si>
    <t>4A05280096</t>
  </si>
  <si>
    <t>8A05280007</t>
  </si>
  <si>
    <t>4A05280016</t>
  </si>
  <si>
    <t>8A05280096</t>
  </si>
  <si>
    <t>4A05280126</t>
  </si>
  <si>
    <t>8A05280132</t>
  </si>
  <si>
    <t>8A05280084</t>
  </si>
  <si>
    <t>4A05280056</t>
  </si>
  <si>
    <t>8A05280185</t>
  </si>
  <si>
    <t>4A05280033</t>
  </si>
  <si>
    <t>8A05280030</t>
  </si>
  <si>
    <t>8A05280177</t>
  </si>
  <si>
    <t>4A05280080</t>
  </si>
  <si>
    <t>8A05280020</t>
  </si>
  <si>
    <t>4A05280003</t>
  </si>
  <si>
    <t>8A05280058</t>
  </si>
  <si>
    <t>8A05280076</t>
  </si>
  <si>
    <t>4A05280071</t>
  </si>
  <si>
    <t>8A05280114</t>
  </si>
  <si>
    <t>4A05280100</t>
  </si>
  <si>
    <t>8A05280133</t>
  </si>
  <si>
    <t>8A05280195</t>
  </si>
  <si>
    <t>4A05280127</t>
  </si>
  <si>
    <t>8A05280047</t>
  </si>
  <si>
    <t>4A05280034</t>
  </si>
  <si>
    <t>8A05280103</t>
  </si>
  <si>
    <t>4A05280093</t>
  </si>
  <si>
    <t>8A05280134</t>
  </si>
  <si>
    <t>8A05280178</t>
  </si>
  <si>
    <t>4A05280046</t>
  </si>
  <si>
    <t>8A05280059</t>
  </si>
  <si>
    <t>4A05280113</t>
  </si>
  <si>
    <t>8A05280077</t>
  </si>
  <si>
    <t>8A05280001</t>
  </si>
  <si>
    <t>4A05280017</t>
  </si>
  <si>
    <t>8A05280060</t>
  </si>
  <si>
    <t>4A05280097</t>
  </si>
  <si>
    <t>8A05280196</t>
  </si>
  <si>
    <t>8A05280074</t>
  </si>
  <si>
    <t>4A05280035</t>
  </si>
  <si>
    <t>8A05280135</t>
  </si>
  <si>
    <t>4A05280143</t>
  </si>
  <si>
    <t>8A05280031</t>
  </si>
  <si>
    <t>8A05280013</t>
  </si>
  <si>
    <t>4A05280004</t>
  </si>
  <si>
    <t>8A05280115</t>
  </si>
  <si>
    <t>4A05280068</t>
  </si>
  <si>
    <t>8A05280175</t>
  </si>
  <si>
    <t>4A05280128</t>
  </si>
  <si>
    <t>8A05280032</t>
  </si>
  <si>
    <t>8A05280197</t>
  </si>
  <si>
    <t>4A05280052</t>
  </si>
  <si>
    <t>8A05280104</t>
  </si>
  <si>
    <t>4A05280022</t>
  </si>
  <si>
    <t>8A05280136</t>
  </si>
  <si>
    <t>8A05280021</t>
  </si>
  <si>
    <t>4A05280107</t>
  </si>
  <si>
    <t>8A05280048</t>
  </si>
  <si>
    <t>4A05280129</t>
  </si>
  <si>
    <t>8A05280186</t>
  </si>
  <si>
    <t>8A05280170</t>
  </si>
  <si>
    <t>4A05280122</t>
  </si>
  <si>
    <t>8A05280137</t>
  </si>
  <si>
    <t>4A05280027</t>
  </si>
  <si>
    <t>8A05280095</t>
  </si>
  <si>
    <t>8A05280061</t>
  </si>
  <si>
    <t>4A05280057</t>
  </si>
  <si>
    <t>8A05280078</t>
  </si>
  <si>
    <t>4A05280130</t>
  </si>
  <si>
    <t>8A05280110</t>
  </si>
  <si>
    <t>4A05280005</t>
  </si>
  <si>
    <t>8A05280002</t>
  </si>
  <si>
    <t>8A05280033</t>
  </si>
  <si>
    <t>4A05280077</t>
  </si>
  <si>
    <t>8A05280164</t>
  </si>
  <si>
    <t>4A05280058</t>
  </si>
  <si>
    <t>8A05280062</t>
  </si>
  <si>
    <t>8A05280138</t>
  </si>
  <si>
    <t>4A05280023</t>
  </si>
  <si>
    <t>8A05280079</t>
  </si>
  <si>
    <t>4A05280123</t>
  </si>
  <si>
    <t>8A05280034</t>
  </si>
  <si>
    <t>8A05280198</t>
  </si>
  <si>
    <t>4A05280036</t>
  </si>
  <si>
    <t>8A05280139</t>
  </si>
  <si>
    <t>4A05280053</t>
  </si>
  <si>
    <t>8A05280171</t>
  </si>
  <si>
    <t>8A05280014</t>
  </si>
  <si>
    <t>4A05280091</t>
  </si>
  <si>
    <t>8A05280116</t>
  </si>
  <si>
    <t>4A05280101</t>
  </si>
  <si>
    <t>8A05280117</t>
  </si>
  <si>
    <t>4A05280006</t>
  </si>
  <si>
    <t>8A05280063</t>
  </si>
  <si>
    <t>8A05280140</t>
  </si>
  <si>
    <t>4A05280131</t>
  </si>
  <si>
    <t>8A05280080</t>
  </si>
  <si>
    <t>4A05280132</t>
  </si>
  <si>
    <t>8A05280199</t>
  </si>
  <si>
    <t>8A05280035</t>
  </si>
  <si>
    <t>4A05280014</t>
  </si>
  <si>
    <t>8A05280111</t>
  </si>
  <si>
    <t>4A05280078</t>
  </si>
  <si>
    <t>8A05280179</t>
  </si>
  <si>
    <t>8A05280049</t>
  </si>
  <si>
    <t>4A05280098</t>
  </si>
  <si>
    <t>8A05280098</t>
  </si>
  <si>
    <t>4A05280007</t>
  </si>
  <si>
    <t>8A05280064</t>
  </si>
  <si>
    <t>8A05280192</t>
  </si>
  <si>
    <t>4A05280059</t>
  </si>
  <si>
    <t>8A05280036</t>
  </si>
  <si>
    <t>4A05280133</t>
  </si>
  <si>
    <t>8A05280141</t>
  </si>
  <si>
    <t>4A05280073</t>
  </si>
  <si>
    <t>8A05280075</t>
  </si>
  <si>
    <t>8A05280118</t>
  </si>
  <si>
    <t>4A05280018</t>
  </si>
  <si>
    <t>8A05280003</t>
  </si>
  <si>
    <t>4A05280102</t>
  </si>
  <si>
    <t>8A05280180</t>
  </si>
  <si>
    <t>8A05280142</t>
  </si>
  <si>
    <t>4A05280134</t>
  </si>
  <si>
    <t>8A05280200</t>
  </si>
  <si>
    <t>4A05280047</t>
  </si>
  <si>
    <t>8A05280022</t>
  </si>
  <si>
    <t>8A05280037</t>
  </si>
  <si>
    <t>4A05280108</t>
  </si>
  <si>
    <t>8A05280119</t>
  </si>
  <si>
    <t>4A05280081</t>
  </si>
  <si>
    <t>8A05280162</t>
  </si>
  <si>
    <t>8A05280166</t>
  </si>
  <si>
    <t>4A05280037</t>
  </si>
  <si>
    <t>8A05280012</t>
  </si>
  <si>
    <t>4A05280038</t>
  </si>
  <si>
    <t>8A05280038</t>
  </si>
  <si>
    <t>4A05280069</t>
  </si>
  <si>
    <t>8A05280099</t>
  </si>
  <si>
    <t>8A05280201</t>
  </si>
  <si>
    <t>4A05280099</t>
  </si>
  <si>
    <t>8A05280065</t>
  </si>
  <si>
    <t>4A05280019</t>
  </si>
  <si>
    <t>8A05280004</t>
  </si>
  <si>
    <t>8A05280050</t>
  </si>
  <si>
    <t>4A05280124</t>
  </si>
  <si>
    <t>8A05280081</t>
  </si>
  <si>
    <t>4A05280028</t>
  </si>
  <si>
    <t>8A05280187</t>
  </si>
  <si>
    <t>8A05280120</t>
  </si>
  <si>
    <t>4A05280060</t>
  </si>
  <si>
    <t>8A05280039</t>
  </si>
  <si>
    <t>4A05280109</t>
  </si>
  <si>
    <t>8A05280023</t>
  </si>
  <si>
    <t>8A05280172</t>
  </si>
  <si>
    <t>4A05280135</t>
  </si>
  <si>
    <t>8A05280143</t>
  </si>
  <si>
    <t>4A05280008</t>
  </si>
  <si>
    <t>8A05280100</t>
  </si>
  <si>
    <t>4A05280082</t>
  </si>
  <si>
    <t>8A05280066</t>
  </si>
  <si>
    <t>8A05280144</t>
  </si>
  <si>
    <t>4A05280144</t>
  </si>
  <si>
    <t>8A05280202</t>
  </si>
  <si>
    <t>4A05280074</t>
  </si>
  <si>
    <t>8A05280145</t>
  </si>
  <si>
    <t>8A05280085</t>
  </si>
  <si>
    <t>4A05280094</t>
  </si>
  <si>
    <t>8A05280121</t>
  </si>
  <si>
    <t>4A05280114</t>
  </si>
  <si>
    <t>8A05280146</t>
  </si>
  <si>
    <t>8A05280181</t>
  </si>
  <si>
    <t>4A05280009</t>
  </si>
  <si>
    <t>8A05280086</t>
  </si>
  <si>
    <t>4A05280048</t>
  </si>
  <si>
    <t>8A05280122</t>
  </si>
  <si>
    <t>8A05280040</t>
  </si>
  <si>
    <t>4A05280136</t>
  </si>
  <si>
    <t>8A05280188</t>
  </si>
  <si>
    <t>4A05280020</t>
  </si>
  <si>
    <t>8A05280067</t>
  </si>
  <si>
    <t>4A05280030</t>
  </si>
  <si>
    <t>8A05280068</t>
  </si>
  <si>
    <t>8A05280082</t>
  </si>
  <si>
    <t>4A05280115</t>
  </si>
  <si>
    <t>8A05280147</t>
  </si>
  <si>
    <t>4A05280137</t>
  </si>
  <si>
    <t>8A05280105</t>
  </si>
  <si>
    <t>8A05280182</t>
  </si>
  <si>
    <t>4A05280021</t>
  </si>
  <si>
    <t>8A05280203</t>
  </si>
  <si>
    <t>4A05280138</t>
  </si>
  <si>
    <t>8A05280148</t>
  </si>
  <si>
    <t>8A05280101</t>
  </si>
  <si>
    <t>4A05280079</t>
  </si>
  <si>
    <t>8A05280051</t>
  </si>
  <si>
    <t>4A05280039</t>
  </si>
  <si>
    <t>8A05280167</t>
  </si>
  <si>
    <t>8A05280024</t>
  </si>
  <si>
    <t>4A05280061</t>
  </si>
  <si>
    <t>8A05280008</t>
  </si>
  <si>
    <t>4A05280062</t>
  </si>
  <si>
    <t>8A05280069</t>
  </si>
  <si>
    <t>4A05280103</t>
  </si>
  <si>
    <t>8A05280149</t>
  </si>
  <si>
    <t>8A05280091</t>
  </si>
  <si>
    <t>4A05280010</t>
  </si>
  <si>
    <t>8A05280123</t>
  </si>
  <si>
    <t>4A05280088</t>
  </si>
  <si>
    <t>8A05280204</t>
  </si>
  <si>
    <t>8A05280070</t>
  </si>
  <si>
    <t>4A05280116</t>
  </si>
  <si>
    <t>8A05280005</t>
  </si>
  <si>
    <t>4A05280011</t>
  </si>
  <si>
    <t>8A05280092</t>
  </si>
  <si>
    <t>8A05280041</t>
  </si>
  <si>
    <t>4A05280040</t>
  </si>
  <si>
    <t>8A05280205</t>
  </si>
  <si>
    <t>4A05280139</t>
  </si>
  <si>
    <t>8A05280150</t>
  </si>
  <si>
    <t>8A05280015</t>
  </si>
  <si>
    <t>4A05280049</t>
  </si>
  <si>
    <t>8A05280124</t>
  </si>
  <si>
    <t>4A05280086</t>
  </si>
  <si>
    <t>8A05280173</t>
  </si>
  <si>
    <t>4A05280117</t>
  </si>
  <si>
    <t>8A05280071</t>
  </si>
  <si>
    <t>8A05280106</t>
  </si>
  <si>
    <t>4A05280063</t>
  </si>
  <si>
    <t>8A05280072</t>
  </si>
  <si>
    <t>4A05280083</t>
  </si>
  <si>
    <t>8A05280151</t>
  </si>
  <si>
    <t>8A05280093</t>
  </si>
  <si>
    <t>4A05280104</t>
  </si>
  <si>
    <t>8A05280025</t>
  </si>
  <si>
    <t>4A05280050</t>
  </si>
  <si>
    <t>8A05280073</t>
  </si>
  <si>
    <t>8A05280152</t>
  </si>
  <si>
    <t>4A05280042</t>
  </si>
  <si>
    <t>8A05280168</t>
  </si>
  <si>
    <t>4A05280110</t>
  </si>
  <si>
    <t>8A05280016</t>
  </si>
  <si>
    <t>8A05280189</t>
  </si>
  <si>
    <t>4A05280092</t>
  </si>
  <si>
    <t>8A05280052</t>
  </si>
  <si>
    <t>4A05280041</t>
  </si>
  <si>
    <t>8A05280206</t>
  </si>
  <si>
    <t>4A05280024</t>
  </si>
  <si>
    <t>8A05280107</t>
  </si>
  <si>
    <t>8A05280183</t>
  </si>
  <si>
    <t>4A05280118</t>
  </si>
  <si>
    <t>8A05280153</t>
  </si>
  <si>
    <t>4A05280140</t>
  </si>
  <si>
    <t>8A05280154</t>
  </si>
  <si>
    <t>8A05280087</t>
  </si>
  <si>
    <t>4A05280105</t>
  </si>
  <si>
    <t>8A05280009</t>
  </si>
  <si>
    <t>4A05280012</t>
  </si>
  <si>
    <t>8A05280042</t>
  </si>
  <si>
    <t>8A05280125</t>
  </si>
  <si>
    <t>4A05280065</t>
  </si>
  <si>
    <t>8A05280017</t>
  </si>
  <si>
    <t>4A05280084</t>
  </si>
  <si>
    <t>8A05280155</t>
  </si>
  <si>
    <t>8A05280088</t>
  </si>
  <si>
    <t>4A05280070</t>
  </si>
  <si>
    <t>8A05280207</t>
  </si>
  <si>
    <t>4A05280025</t>
  </si>
  <si>
    <t>8A05280043</t>
  </si>
  <si>
    <t>4A05280145</t>
  </si>
  <si>
    <t>8A05280208</t>
  </si>
  <si>
    <t>8A05280126</t>
  </si>
  <si>
    <t>4A05280119</t>
  </si>
  <si>
    <t>8A05280044</t>
  </si>
  <si>
    <t>4A05280043</t>
  </si>
  <si>
    <t>8A05280156</t>
  </si>
  <si>
    <t>8A05280026</t>
  </si>
  <si>
    <t>4A05280085</t>
  </si>
  <si>
    <t>8A05280089</t>
  </si>
  <si>
    <t>4A05280111</t>
  </si>
  <si>
    <t>8A05280045</t>
  </si>
  <si>
    <t>8A05280127</t>
  </si>
  <si>
    <t>4A05280090</t>
  </si>
  <si>
    <t>8A05280157</t>
  </si>
  <si>
    <t>4A05280044</t>
  </si>
  <si>
    <t>8A05280190</t>
  </si>
  <si>
    <t>8A05280053</t>
  </si>
  <si>
    <t>4A05280029</t>
  </si>
  <si>
    <t>8A05280174</t>
  </si>
  <si>
    <t>4A05280054</t>
  </si>
  <si>
    <t>8A05280158</t>
  </si>
  <si>
    <t>4A05280141</t>
  </si>
  <si>
    <t>8A05280046</t>
  </si>
  <si>
    <t>8A05280018</t>
  </si>
  <si>
    <t>4A05280013</t>
  </si>
  <si>
    <t>8A05280184</t>
  </si>
  <si>
    <t>4A05280066</t>
  </si>
  <si>
    <t>8A05280090</t>
  </si>
  <si>
    <t>8A05280159</t>
  </si>
  <si>
    <t>4A05280120</t>
  </si>
  <si>
    <t>8A05280010</t>
  </si>
  <si>
    <t>4A05280064</t>
  </si>
  <si>
    <t>8A05280209</t>
  </si>
  <si>
    <t>8A05280108</t>
  </si>
  <si>
    <t>4A05280045</t>
  </si>
  <si>
    <t>4A05280087</t>
  </si>
  <si>
    <t>8A05290025</t>
  </si>
  <si>
    <t>8A05290067</t>
  </si>
  <si>
    <t>8A05290194</t>
  </si>
  <si>
    <t>4A05290028</t>
  </si>
  <si>
    <t>8A05290128</t>
  </si>
  <si>
    <t>4A05290092</t>
  </si>
  <si>
    <t>8A05290163</t>
  </si>
  <si>
    <t>4A05290082</t>
  </si>
  <si>
    <t>8A05290053</t>
  </si>
  <si>
    <t>8A05290129</t>
  </si>
  <si>
    <t>4A05290029</t>
  </si>
  <si>
    <t>8A05290095</t>
  </si>
  <si>
    <t>4A05290072</t>
  </si>
  <si>
    <t>8A05290026</t>
  </si>
  <si>
    <t>8A05290023</t>
  </si>
  <si>
    <t>4A05290095</t>
  </si>
  <si>
    <t>8A05290177</t>
  </si>
  <si>
    <t>4A05290005</t>
  </si>
  <si>
    <t>8A05290001</t>
  </si>
  <si>
    <t>8A05290094</t>
  </si>
  <si>
    <t>4A05290125</t>
  </si>
  <si>
    <t>8A05290195</t>
  </si>
  <si>
    <t>4A05290019</t>
  </si>
  <si>
    <t>8A05290027</t>
  </si>
  <si>
    <t>8A05290068</t>
  </si>
  <si>
    <t>4A05290074</t>
  </si>
  <si>
    <t>8A05290054</t>
  </si>
  <si>
    <t>4A05290055</t>
  </si>
  <si>
    <t>8A05290084</t>
  </si>
  <si>
    <t>4A05290112</t>
  </si>
  <si>
    <t>8A05290186</t>
  </si>
  <si>
    <t>8A05290130</t>
  </si>
  <si>
    <t>4A05290024</t>
  </si>
  <si>
    <t>8A05290096</t>
  </si>
  <si>
    <t>4A05290142</t>
  </si>
  <si>
    <t>8A05290018</t>
  </si>
  <si>
    <t>8A05290055</t>
  </si>
  <si>
    <t>4A05290045</t>
  </si>
  <si>
    <t>8A05290176</t>
  </si>
  <si>
    <t>4A05290096</t>
  </si>
  <si>
    <t>8A05290131</t>
  </si>
  <si>
    <t>8A05290006</t>
  </si>
  <si>
    <t>4A05290006</t>
  </si>
  <si>
    <t>8A05290109</t>
  </si>
  <si>
    <t>4A05290089</t>
  </si>
  <si>
    <t>8A05290078</t>
  </si>
  <si>
    <t>8A05290196</t>
  </si>
  <si>
    <t>4A05290126</t>
  </si>
  <si>
    <t>8A05290132</t>
  </si>
  <si>
    <t>4A05290030</t>
  </si>
  <si>
    <t>8A05290028</t>
  </si>
  <si>
    <t>4A05290120</t>
  </si>
  <si>
    <t>8A05290097</t>
  </si>
  <si>
    <t>8A05290171</t>
  </si>
  <si>
    <t>4A05290049</t>
  </si>
  <si>
    <t>8A05290133</t>
  </si>
  <si>
    <t>4A05290127</t>
  </si>
  <si>
    <t>8A05290187</t>
  </si>
  <si>
    <t>8A05290007</t>
  </si>
  <si>
    <t>4A05290015</t>
  </si>
  <si>
    <t>8A05290085</t>
  </si>
  <si>
    <t>4A05290056</t>
  </si>
  <si>
    <t>Данные из РС02</t>
  </si>
  <si>
    <t>Z4</t>
  </si>
  <si>
    <t>G</t>
  </si>
  <si>
    <t>Z1</t>
  </si>
  <si>
    <t>CVT</t>
  </si>
  <si>
    <t>V4</t>
  </si>
  <si>
    <t>V7</t>
  </si>
  <si>
    <t>W2</t>
  </si>
  <si>
    <t>X4</t>
  </si>
  <si>
    <t>W5</t>
  </si>
  <si>
    <t>I8</t>
  </si>
  <si>
    <t>W6</t>
  </si>
  <si>
    <t>I9</t>
  </si>
  <si>
    <t>85</t>
  </si>
  <si>
    <t>87</t>
  </si>
  <si>
    <t>MXAA52L-RNXXBX</t>
  </si>
  <si>
    <t xml:space="preserve">ASV70L-RETNKX </t>
  </si>
  <si>
    <t xml:space="preserve">ASV71L-RETNHX </t>
  </si>
  <si>
    <t xml:space="preserve">GSV70L-REZGBX </t>
  </si>
  <si>
    <t>AXAA54L-RNZGBX</t>
  </si>
  <si>
    <t>AXAA54L-RNZMBX</t>
  </si>
  <si>
    <t>MXAA52L-RNFXBX</t>
  </si>
  <si>
    <t>MXAA52L-RNXGBX</t>
  </si>
  <si>
    <t>MXAA52L-RNXMBX</t>
  </si>
  <si>
    <t>MXAA54L-RNFMBX</t>
  </si>
  <si>
    <t>MXAA54L-RNXGBX</t>
  </si>
  <si>
    <t>MXAA54L-RNXMBX</t>
  </si>
  <si>
    <t>MXAA54L-RNXXBX</t>
  </si>
  <si>
    <t>4WD</t>
  </si>
  <si>
    <t>FF</t>
  </si>
  <si>
    <t>Drive</t>
  </si>
  <si>
    <t>8AT</t>
  </si>
  <si>
    <t>6MT</t>
  </si>
  <si>
    <t>TWIN - C</t>
  </si>
  <si>
    <t>Plan to RAV4 2,0L</t>
  </si>
  <si>
    <t>Plan to RAV4 4WD</t>
  </si>
  <si>
    <t>Plan to RAV4 FF</t>
  </si>
  <si>
    <t>Rav4 TWIN - C</t>
  </si>
  <si>
    <t>Rav4 4WD</t>
  </si>
  <si>
    <t>Rav4 2WD</t>
  </si>
  <si>
    <t>9</t>
  </si>
  <si>
    <t>51</t>
  </si>
  <si>
    <t>Порядковый № Goshi</t>
  </si>
  <si>
    <t>Номер строчки:</t>
  </si>
  <si>
    <t>I2</t>
  </si>
  <si>
    <t>TWIN-C</t>
  </si>
  <si>
    <t>Daily results</t>
  </si>
  <si>
    <t>Red</t>
  </si>
  <si>
    <t>White</t>
  </si>
  <si>
    <t>Pattern violations</t>
  </si>
  <si>
    <t>Target</t>
  </si>
  <si>
    <t>Actual</t>
  </si>
  <si>
    <t>Date</t>
  </si>
  <si>
    <t>Heijunka violations</t>
  </si>
  <si>
    <t xml:space="preserve">pattern violations </t>
  </si>
  <si>
    <t>Seq. Ret.</t>
  </si>
  <si>
    <t>Хейджунка</t>
  </si>
  <si>
    <t>Сколько выпустили (проставлено время)</t>
  </si>
  <si>
    <t>RED</t>
  </si>
  <si>
    <t>Assembly heijunka violations</t>
  </si>
  <si>
    <t>Ограничение 2.5L</t>
  </si>
  <si>
    <t>Переход</t>
  </si>
  <si>
    <t>1st shift</t>
  </si>
  <si>
    <t>2nd shift</t>
  </si>
  <si>
    <t xml:space="preserve"> Actual Body-Seq</t>
  </si>
  <si>
    <t>Prev. Body-Seq</t>
  </si>
  <si>
    <t>9A01230168</t>
  </si>
  <si>
    <t>8A01230017</t>
  </si>
  <si>
    <t>9A01230046</t>
  </si>
  <si>
    <t>8A01230119</t>
  </si>
  <si>
    <t>9A01230012</t>
  </si>
  <si>
    <t>9A01230108</t>
  </si>
  <si>
    <t>8A01230107</t>
  </si>
  <si>
    <t>9A01230169</t>
  </si>
  <si>
    <t>8A01230018</t>
  </si>
  <si>
    <t>9A01230195</t>
  </si>
  <si>
    <t>9A01230078</t>
  </si>
  <si>
    <t>8A01230054</t>
  </si>
  <si>
    <t>9A01230040</t>
  </si>
  <si>
    <t>8A01230128</t>
  </si>
  <si>
    <t>9A01230134</t>
  </si>
  <si>
    <t>9A01230079</t>
  </si>
  <si>
    <t>8A01230019</t>
  </si>
  <si>
    <t>9A01230170</t>
  </si>
  <si>
    <t>9A01230053</t>
  </si>
  <si>
    <t>8A01230081</t>
  </si>
  <si>
    <t>9A01230109</t>
  </si>
  <si>
    <t>8A01230055</t>
  </si>
  <si>
    <t>9A01230196</t>
  </si>
  <si>
    <t>9A01230031</t>
  </si>
  <si>
    <t>8A01230082</t>
  </si>
  <si>
    <t>9A01230102</t>
  </si>
  <si>
    <t>8A01230008</t>
  </si>
  <si>
    <t>9A01230135</t>
  </si>
  <si>
    <t>9A01230171</t>
  </si>
  <si>
    <t>8A01230129</t>
  </si>
  <si>
    <t>9A01230013</t>
  </si>
  <si>
    <t>8A01230095</t>
  </si>
  <si>
    <t>9A01230054</t>
  </si>
  <si>
    <t>9A01230172</t>
  </si>
  <si>
    <t>8A01230066</t>
  </si>
  <si>
    <t>9A01230197</t>
  </si>
  <si>
    <t>9A01230136</t>
  </si>
  <si>
    <t>8A01230113</t>
  </si>
  <si>
    <t>9A01230067</t>
  </si>
  <si>
    <t>8A01230005</t>
  </si>
  <si>
    <t>9A01230173</t>
  </si>
  <si>
    <t>9A01230103</t>
  </si>
  <si>
    <t>8A01230042</t>
  </si>
  <si>
    <t>9A01230014</t>
  </si>
  <si>
    <t>8A01230083</t>
  </si>
  <si>
    <t>9A01230110</t>
  </si>
  <si>
    <t>9A01230104</t>
  </si>
  <si>
    <t>8A01230099</t>
  </si>
  <si>
    <t>9A01230015</t>
  </si>
  <si>
    <t>8A01230130</t>
  </si>
  <si>
    <t>9A01230137</t>
  </si>
  <si>
    <t>9A01230209</t>
  </si>
  <si>
    <t>8A01230006</t>
  </si>
  <si>
    <t>9A01230032</t>
  </si>
  <si>
    <t>9A01230080</t>
  </si>
  <si>
    <t>8A01230067</t>
  </si>
  <si>
    <t>9A01230174</t>
  </si>
  <si>
    <t>8A01230020</t>
  </si>
  <si>
    <t>9A01230111</t>
  </si>
  <si>
    <t>9A01230016</t>
  </si>
  <si>
    <t>8A01230084</t>
  </si>
  <si>
    <t>9A01230138</t>
  </si>
  <si>
    <t>8A01230120</t>
  </si>
  <si>
    <t>9A01230068</t>
  </si>
  <si>
    <t>9A01230210</t>
  </si>
  <si>
    <t>8A01230021</t>
  </si>
  <si>
    <t>9A01230175</t>
  </si>
  <si>
    <t>8A01230056</t>
  </si>
  <si>
    <t>9A01230081</t>
  </si>
  <si>
    <t>9A01230003</t>
  </si>
  <si>
    <t>8A01230022</t>
  </si>
  <si>
    <t>9A01230176</t>
  </si>
  <si>
    <t>8A01230068</t>
  </si>
  <si>
    <t>9A01230093</t>
  </si>
  <si>
    <t>9A01230139</t>
  </si>
  <si>
    <t>8A01230131</t>
  </si>
  <si>
    <t>9A01230033</t>
  </si>
  <si>
    <t>9A01230047</t>
  </si>
  <si>
    <t>8A01230106</t>
  </si>
  <si>
    <t>9A01230140</t>
  </si>
  <si>
    <t>8A01230043</t>
  </si>
  <si>
    <t>9A01230198</t>
  </si>
  <si>
    <t>9A01230055</t>
  </si>
  <si>
    <t>8A01230085</t>
  </si>
  <si>
    <t>9A01230112</t>
  </si>
  <si>
    <t>8A01230023</t>
  </si>
  <si>
    <t>9A01230177</t>
  </si>
  <si>
    <t>9A01230105</t>
  </si>
  <si>
    <t>8A01230114</t>
  </si>
  <si>
    <t>9A01230034</t>
  </si>
  <si>
    <t>8A01230100</t>
  </si>
  <si>
    <t>9A01230141</t>
  </si>
  <si>
    <t>9A01230199</t>
  </si>
  <si>
    <t>8A01230024</t>
  </si>
  <si>
    <t>9A01230071</t>
  </si>
  <si>
    <t>9A01230017</t>
  </si>
  <si>
    <t>8A01230086</t>
  </si>
  <si>
    <t>9A01230178</t>
  </si>
  <si>
    <t>8A01230069</t>
  </si>
  <si>
    <t>9A01230048</t>
  </si>
  <si>
    <t>9A01230142</t>
  </si>
  <si>
    <t>8A01230132</t>
  </si>
  <si>
    <t>9A01230179</t>
  </si>
  <si>
    <t>8A01230025</t>
  </si>
  <si>
    <t>9A01230041</t>
  </si>
  <si>
    <t>9A01230113</t>
  </si>
  <si>
    <t>8A01230044</t>
  </si>
  <si>
    <t>9A01230094</t>
  </si>
  <si>
    <t>8A01230026</t>
  </si>
  <si>
    <t>9A01230180</t>
  </si>
  <si>
    <t>9A01230018</t>
  </si>
  <si>
    <t>8A01230121</t>
  </si>
  <si>
    <t>9A01230143</t>
  </si>
  <si>
    <t>9A01230069</t>
  </si>
  <si>
    <t>8A01230057</t>
  </si>
  <si>
    <t>9A01230181</t>
  </si>
  <si>
    <t>8A01230027</t>
  </si>
  <si>
    <t>9A01230082</t>
  </si>
  <si>
    <t>9A01230019</t>
  </si>
  <si>
    <t>8A01230087</t>
  </si>
  <si>
    <t>9A01230211</t>
  </si>
  <si>
    <t>8A01230070</t>
  </si>
  <si>
    <t>9A01230114</t>
  </si>
  <si>
    <t>9A01230095</t>
  </si>
  <si>
    <t>8A01230028</t>
  </si>
  <si>
    <t>9A01230182</t>
  </si>
  <si>
    <t>8A01230133</t>
  </si>
  <si>
    <t>9A01230020</t>
  </si>
  <si>
    <t>9A01230004</t>
  </si>
  <si>
    <t>8A01230108</t>
  </si>
  <si>
    <t>9A01230083</t>
  </si>
  <si>
    <t>8A01230029</t>
  </si>
  <si>
    <t>9A01230200</t>
  </si>
  <si>
    <t>9A01230144</t>
  </si>
  <si>
    <t>8A01230111</t>
  </si>
  <si>
    <t>9A01230056</t>
  </si>
  <si>
    <t>9A01230183</t>
  </si>
  <si>
    <t>8A01230058</t>
  </si>
  <si>
    <t>9A01230115</t>
  </si>
  <si>
    <t>8A01230088</t>
  </si>
  <si>
    <t>9A01230145</t>
  </si>
  <si>
    <t>9A01230084</t>
  </si>
  <si>
    <t>8A01230030</t>
  </si>
  <si>
    <t>9A01230005</t>
  </si>
  <si>
    <t>8A01230071</t>
  </si>
  <si>
    <t>9A01230184</t>
  </si>
  <si>
    <t>9A01230057</t>
  </si>
  <si>
    <t>8A01230134</t>
  </si>
  <si>
    <t>9A01230212</t>
  </si>
  <si>
    <t>8A01230101</t>
  </si>
  <si>
    <t>9A01230146</t>
  </si>
  <si>
    <t>9A01230201</t>
  </si>
  <si>
    <t>8A01230031</t>
  </si>
  <si>
    <t>9A01230042</t>
  </si>
  <si>
    <t>9A01230058</t>
  </si>
  <si>
    <t>8A01230045</t>
  </si>
  <si>
    <t>9A01230085</t>
  </si>
  <si>
    <t>8A01230032</t>
  </si>
  <si>
    <t>9A01230202</t>
  </si>
  <si>
    <t>9A01230147</t>
  </si>
  <si>
    <t>8A01230089</t>
  </si>
  <si>
    <t>9A01230035</t>
  </si>
  <si>
    <t>8A01230135</t>
  </si>
  <si>
    <t>9A01230072</t>
  </si>
  <si>
    <t>9A01230148</t>
  </si>
  <si>
    <t>8A01230049</t>
  </si>
  <si>
    <t>9A01230059</t>
  </si>
  <si>
    <t>8A01230102</t>
  </si>
  <si>
    <t>9A01230185</t>
  </si>
  <si>
    <t>9A01230021</t>
  </si>
  <si>
    <t>8A01230117</t>
  </si>
  <si>
    <t>9A01230116</t>
  </si>
  <si>
    <t>2PS</t>
  </si>
  <si>
    <t>S1</t>
  </si>
  <si>
    <t>9A03120039</t>
  </si>
  <si>
    <t>8A03120142</t>
  </si>
  <si>
    <t>Проверка выкачки РС02</t>
  </si>
  <si>
    <t>9A03190099</t>
  </si>
  <si>
    <t>8A03200019</t>
  </si>
  <si>
    <t>9A03200021</t>
  </si>
  <si>
    <t>9A03210039</t>
  </si>
  <si>
    <t>8A03210096</t>
  </si>
  <si>
    <t>8A03210105</t>
  </si>
  <si>
    <t>52</t>
  </si>
  <si>
    <t>Pattern</t>
  </si>
  <si>
    <t/>
  </si>
  <si>
    <t>Cam</t>
  </si>
  <si>
    <t>Rav</t>
  </si>
  <si>
    <t>Sequence</t>
  </si>
  <si>
    <t>Violations</t>
  </si>
  <si>
    <t xml:space="preserve">  </t>
  </si>
  <si>
    <t>Приоритетные</t>
  </si>
  <si>
    <t>B4</t>
  </si>
  <si>
    <t>88</t>
  </si>
  <si>
    <t>P6</t>
  </si>
  <si>
    <t>Additional LT for bi-tone Camry, takt</t>
  </si>
  <si>
    <t>Additional LT for bi-tone Rav4, takt</t>
  </si>
  <si>
    <t>Body номера без времени на выход</t>
  </si>
  <si>
    <t>53</t>
  </si>
  <si>
    <t>9B10080019</t>
  </si>
  <si>
    <t>8A10080014</t>
  </si>
  <si>
    <t>9B10080188</t>
  </si>
  <si>
    <t>831W</t>
  </si>
  <si>
    <t>9B10160196</t>
  </si>
  <si>
    <t>9B10220029</t>
  </si>
  <si>
    <t>8A10220043</t>
  </si>
  <si>
    <t>8A10220099</t>
  </si>
  <si>
    <t>На сварку</t>
  </si>
  <si>
    <t>55</t>
  </si>
  <si>
    <t>P4</t>
  </si>
  <si>
    <t>56</t>
  </si>
  <si>
    <t>A5</t>
  </si>
  <si>
    <t>9B10270074</t>
  </si>
  <si>
    <t>9B10270043</t>
  </si>
  <si>
    <t>2QL</t>
  </si>
  <si>
    <t>8W7</t>
  </si>
  <si>
    <t>3R3</t>
  </si>
  <si>
    <t>9B10300043</t>
  </si>
  <si>
    <t>54</t>
  </si>
  <si>
    <t>C5</t>
  </si>
  <si>
    <t>8A11050009</t>
  </si>
  <si>
    <t>9B11050063</t>
  </si>
  <si>
    <t>8A11050115</t>
  </si>
  <si>
    <t>9B11100128</t>
  </si>
  <si>
    <t>8A11100014</t>
  </si>
  <si>
    <t>9B11100047</t>
  </si>
  <si>
    <t>8A11100076</t>
  </si>
  <si>
    <t>9B11100112</t>
  </si>
  <si>
    <t>8A11100113</t>
  </si>
  <si>
    <t>9B11100068</t>
  </si>
  <si>
    <t>9B11100016</t>
  </si>
  <si>
    <t>9B11100074</t>
  </si>
  <si>
    <t>8A11100006</t>
  </si>
  <si>
    <t>9B11100106</t>
  </si>
  <si>
    <t>8A11100056</t>
  </si>
  <si>
    <t>9B11100125</t>
  </si>
  <si>
    <t>8A11100035</t>
  </si>
  <si>
    <t>9B11100017</t>
  </si>
  <si>
    <t>9B11100089</t>
  </si>
  <si>
    <t>8A11100107</t>
  </si>
  <si>
    <t>9B11100075</t>
  </si>
  <si>
    <t>8A11100090</t>
  </si>
  <si>
    <t>9B11100136</t>
  </si>
  <si>
    <t>8A11100118</t>
  </si>
  <si>
    <t>9B11100040</t>
  </si>
  <si>
    <t>8A11100070</t>
  </si>
  <si>
    <t>9B11100029</t>
  </si>
  <si>
    <t>9B11100137</t>
  </si>
  <si>
    <t>8A11100003</t>
  </si>
  <si>
    <t>9B11100107</t>
  </si>
  <si>
    <t>8A11100057</t>
  </si>
  <si>
    <t>9B11100018</t>
  </si>
  <si>
    <t>8A11100017</t>
  </si>
  <si>
    <t>9B11100064</t>
  </si>
  <si>
    <t>9B11100126</t>
  </si>
  <si>
    <t>8A11100058</t>
  </si>
  <si>
    <t>9B11100030</t>
  </si>
  <si>
    <t>8A11100102</t>
  </si>
  <si>
    <t>9B11100045</t>
  </si>
  <si>
    <t>8A11100007</t>
  </si>
  <si>
    <t>9B11100138</t>
  </si>
  <si>
    <t>9B11100159</t>
  </si>
  <si>
    <t>8A11100018</t>
  </si>
  <si>
    <t>9B11100102</t>
  </si>
  <si>
    <t>8A11100093</t>
  </si>
  <si>
    <t>9B11100076</t>
  </si>
  <si>
    <t>8A11100036</t>
  </si>
  <si>
    <t>9B11100019</t>
  </si>
  <si>
    <t>9B11100087</t>
  </si>
  <si>
    <t>8A11100119</t>
  </si>
  <si>
    <t>9B11100139</t>
  </si>
  <si>
    <t>8A11100019</t>
  </si>
  <si>
    <t>9B11100041</t>
  </si>
  <si>
    <t>8A11100071</t>
  </si>
  <si>
    <t>9B11100140</t>
  </si>
  <si>
    <t>9B11100051</t>
  </si>
  <si>
    <t>8A11100004</t>
  </si>
  <si>
    <t>9B11100153</t>
  </si>
  <si>
    <t>8A11100059</t>
  </si>
  <si>
    <t>9B11100020</t>
  </si>
  <si>
    <t>8A11100060</t>
  </si>
  <si>
    <t>9B11100117</t>
  </si>
  <si>
    <t>9B11100065</t>
  </si>
  <si>
    <t>8A11100108</t>
  </si>
  <si>
    <t>9B11100078</t>
  </si>
  <si>
    <t>8A11100020</t>
  </si>
  <si>
    <t>9B11100042</t>
  </si>
  <si>
    <t>8A11100037</t>
  </si>
  <si>
    <t>9B11100141</t>
  </si>
  <si>
    <t>9B11100021</t>
  </si>
  <si>
    <t>8A11100096</t>
  </si>
  <si>
    <t>9B11100090</t>
  </si>
  <si>
    <t>8A11100081</t>
  </si>
  <si>
    <t>9B11100083</t>
  </si>
  <si>
    <t>8A11100112</t>
  </si>
  <si>
    <t>9B11100118</t>
  </si>
  <si>
    <t>9B11100052</t>
  </si>
  <si>
    <t>8A11100072</t>
  </si>
  <si>
    <t>9B11100154</t>
  </si>
  <si>
    <t>8A11100061</t>
  </si>
  <si>
    <t>9B11100022</t>
  </si>
  <si>
    <t>8A11100062</t>
  </si>
  <si>
    <t>9B11100119</t>
  </si>
  <si>
    <t>9B11100043</t>
  </si>
  <si>
    <t>8A11100021</t>
  </si>
  <si>
    <t>9B11100066</t>
  </si>
  <si>
    <t>8A11100010</t>
  </si>
  <si>
    <t>9B11100142</t>
  </si>
  <si>
    <t>8A11100120</t>
  </si>
  <si>
    <t>9B11100155</t>
  </si>
  <si>
    <t>9B11100044</t>
  </si>
  <si>
    <t>8A11100073</t>
  </si>
  <si>
    <t>9B11100079</t>
  </si>
  <si>
    <t>8A11100082</t>
  </si>
  <si>
    <t>9B11100110</t>
  </si>
  <si>
    <t>8A11100109</t>
  </si>
  <si>
    <t>9B11100143</t>
  </si>
  <si>
    <t>8A11100094</t>
  </si>
  <si>
    <t>9B11100035</t>
  </si>
  <si>
    <t>9B11100058</t>
  </si>
  <si>
    <t>8A11100063</t>
  </si>
  <si>
    <t>9B11100127</t>
  </si>
  <si>
    <t>8A11100022</t>
  </si>
  <si>
    <t>9B11100103</t>
  </si>
  <si>
    <t>8A11100074</t>
  </si>
  <si>
    <t>9B11100144</t>
  </si>
  <si>
    <t>9B11100053</t>
  </si>
  <si>
    <t>8A11100100</t>
  </si>
  <si>
    <t>9B11100023</t>
  </si>
  <si>
    <t>8A11100064</t>
  </si>
  <si>
    <t>9B11100156</t>
  </si>
  <si>
    <t>8A11100011</t>
  </si>
  <si>
    <t>9B11100067</t>
  </si>
  <si>
    <t>9B11100046</t>
  </si>
  <si>
    <t>8A11100083</t>
  </si>
  <si>
    <t>9B11100145</t>
  </si>
  <si>
    <t>8A11100121</t>
  </si>
  <si>
    <t>9B11100104</t>
  </si>
  <si>
    <t>8A11100091</t>
  </si>
  <si>
    <t>9B11100080</t>
  </si>
  <si>
    <t>9B11100031</t>
  </si>
  <si>
    <t>8A11100065</t>
  </si>
  <si>
    <t>9B11100024</t>
  </si>
  <si>
    <t>8A11100012</t>
  </si>
  <si>
    <t>9B11100105</t>
  </si>
  <si>
    <t>8A11100038</t>
  </si>
  <si>
    <t>9B11100146</t>
  </si>
  <si>
    <t>Отставание Seq. ret</t>
  </si>
  <si>
    <t>9B11110118</t>
  </si>
  <si>
    <t>8A11110015</t>
  </si>
  <si>
    <t>9B11110035</t>
  </si>
  <si>
    <t>8A11110075</t>
  </si>
  <si>
    <t>9B11110067</t>
  </si>
  <si>
    <t>8A11110115</t>
  </si>
  <si>
    <t>9B11110120</t>
  </si>
  <si>
    <t>8A11110001</t>
  </si>
  <si>
    <t>9B11110044</t>
  </si>
  <si>
    <t>9B11110144</t>
  </si>
  <si>
    <t>8A11110095</t>
  </si>
  <si>
    <t>9B11110002</t>
  </si>
  <si>
    <t>8A11110111</t>
  </si>
  <si>
    <t>9B11110158</t>
  </si>
  <si>
    <t>8A11110021</t>
  </si>
  <si>
    <t>9B11110109</t>
  </si>
  <si>
    <t>9B11110036</t>
  </si>
  <si>
    <t>8A11110080</t>
  </si>
  <si>
    <t>9B11110068</t>
  </si>
  <si>
    <t>8A11110036</t>
  </si>
  <si>
    <t>9B11110155</t>
  </si>
  <si>
    <t>8A11110050</t>
  </si>
  <si>
    <t>9B11110003</t>
  </si>
  <si>
    <t>8A11110076</t>
  </si>
  <si>
    <t>9B11110090</t>
  </si>
  <si>
    <t>9B11110019</t>
  </si>
  <si>
    <t>8A11110022</t>
  </si>
  <si>
    <t>9B11110108</t>
  </si>
  <si>
    <t>8A11110100</t>
  </si>
  <si>
    <t>9B11110145</t>
  </si>
  <si>
    <t>8A11110088</t>
  </si>
  <si>
    <t>9B11110058</t>
  </si>
  <si>
    <t>9B11110001</t>
  </si>
  <si>
    <t>8A11110073</t>
  </si>
  <si>
    <t>9B11110121</t>
  </si>
  <si>
    <t>8A11110016</t>
  </si>
  <si>
    <t>9B11110122</t>
  </si>
  <si>
    <t>8A11110112</t>
  </si>
  <si>
    <t>9B11110004</t>
  </si>
  <si>
    <t>8A11110051</t>
  </si>
  <si>
    <t>9B11110091</t>
  </si>
  <si>
    <t>9B11110057</t>
  </si>
  <si>
    <t>8A11110023</t>
  </si>
  <si>
    <t>9B11110156</t>
  </si>
  <si>
    <t>8A11110081</t>
  </si>
  <si>
    <t>9B11110055</t>
  </si>
  <si>
    <t>8A11110043</t>
  </si>
  <si>
    <t>9B11110123</t>
  </si>
  <si>
    <t>9B11110059</t>
  </si>
  <si>
    <t>8A11110052</t>
  </si>
  <si>
    <t>9B11110110</t>
  </si>
  <si>
    <t>8A11110096</t>
  </si>
  <si>
    <t>9B11110025</t>
  </si>
  <si>
    <t>8A11110116</t>
  </si>
  <si>
    <t>9B11110085</t>
  </si>
  <si>
    <t>8A11110062</t>
  </si>
  <si>
    <t>9B11110069</t>
  </si>
  <si>
    <t>9B11110005</t>
  </si>
  <si>
    <t>8A11110024</t>
  </si>
  <si>
    <t>9B11110092</t>
  </si>
  <si>
    <t>8A11110101</t>
  </si>
  <si>
    <t>9B11110006</t>
  </si>
  <si>
    <t>8A11110014</t>
  </si>
  <si>
    <t>9B11110146</t>
  </si>
  <si>
    <t>9B11110050</t>
  </si>
  <si>
    <t>8A11110082</t>
  </si>
  <si>
    <t>9B11110124</t>
  </si>
  <si>
    <t>8A11110002</t>
  </si>
  <si>
    <t>9B11110157</t>
  </si>
  <si>
    <t>8A11110077</t>
  </si>
  <si>
    <t>9B11110093</t>
  </si>
  <si>
    <t>8A11110104</t>
  </si>
  <si>
    <t>9B11110007</t>
  </si>
  <si>
    <t>9B11110070</t>
  </si>
  <si>
    <t>8A11110037</t>
  </si>
  <si>
    <t>9B11110051</t>
  </si>
  <si>
    <t>8A11110017</t>
  </si>
  <si>
    <t>9B11110111</t>
  </si>
  <si>
    <t>8A11110053</t>
  </si>
  <si>
    <t>9B11110094</t>
  </si>
  <si>
    <t>9B11110020</t>
  </si>
  <si>
    <t>8A11110097</t>
  </si>
  <si>
    <t>9B11110060</t>
  </si>
  <si>
    <t>8A11110008</t>
  </si>
  <si>
    <t>9B11110147</t>
  </si>
  <si>
    <t>8A11110054</t>
  </si>
  <si>
    <t>9B11110008</t>
  </si>
  <si>
    <t>8A11110117</t>
  </si>
  <si>
    <t>9B11110086</t>
  </si>
  <si>
    <t>9B11110112</t>
  </si>
  <si>
    <t>8A11110078</t>
  </si>
  <si>
    <t>9B11110009</t>
  </si>
  <si>
    <t>8A11110025</t>
  </si>
  <si>
    <t>9B11110095</t>
  </si>
  <si>
    <t>8A11110038</t>
  </si>
  <si>
    <t>9B11110071</t>
  </si>
  <si>
    <t>9B11110045</t>
  </si>
  <si>
    <t>8A11110079</t>
  </si>
  <si>
    <t>9B11110010</t>
  </si>
  <si>
    <t>8A11110005</t>
  </si>
  <si>
    <t>9B11110080</t>
  </si>
  <si>
    <t>8A11110108</t>
  </si>
  <si>
    <t>9B11110125</t>
  </si>
  <si>
    <t>8A11110020</t>
  </si>
  <si>
    <t>9B11110148</t>
  </si>
  <si>
    <t>9B11110056</t>
  </si>
  <si>
    <t>8A11110089</t>
  </si>
  <si>
    <t>9B11110126</t>
  </si>
  <si>
    <t>8A11110118</t>
  </si>
  <si>
    <t>9B11110072</t>
  </si>
  <si>
    <t>8A11110013</t>
  </si>
  <si>
    <t>9B11110037</t>
  </si>
  <si>
    <t>9B11110113</t>
  </si>
  <si>
    <t>8A11110046</t>
  </si>
  <si>
    <t>9B11110026</t>
  </si>
  <si>
    <t>8A11110055</t>
  </si>
  <si>
    <t>9B11110096</t>
  </si>
  <si>
    <t>8A11110098</t>
  </si>
  <si>
    <t>9B11110011</t>
  </si>
  <si>
    <t>8A11110105</t>
  </si>
  <si>
    <t>9B11110061</t>
  </si>
  <si>
    <t>9B11110127</t>
  </si>
  <si>
    <t>8A11110083</t>
  </si>
  <si>
    <t>9B11110088</t>
  </si>
  <si>
    <t>8A11110063</t>
  </si>
  <si>
    <t>9B11110027</t>
  </si>
  <si>
    <t>8A11110026</t>
  </si>
  <si>
    <t>9B11110114</t>
  </si>
  <si>
    <t>9B11110046</t>
  </si>
  <si>
    <t>8A11110056</t>
  </si>
  <si>
    <t>9B11110119</t>
  </si>
  <si>
    <t>8A11110113</t>
  </si>
  <si>
    <t>9B11110073</t>
  </si>
  <si>
    <t>8A11110045</t>
  </si>
  <si>
    <t>9B11110102</t>
  </si>
  <si>
    <t>8A11110064</t>
  </si>
  <si>
    <t>9B11110028</t>
  </si>
  <si>
    <t>9B11110128</t>
  </si>
  <si>
    <t>8A11110009</t>
  </si>
  <si>
    <t>9B11110052</t>
  </si>
  <si>
    <t>8A11110084</t>
  </si>
  <si>
    <t>9B11110129</t>
  </si>
  <si>
    <t>8A11110094</t>
  </si>
  <si>
    <t>9B11110031</t>
  </si>
  <si>
    <t>9B11110097</t>
  </si>
  <si>
    <t>8A11110102</t>
  </si>
  <si>
    <t>9B11110149</t>
  </si>
  <si>
    <t>8A11110027</t>
  </si>
  <si>
    <t>9B11110062</t>
  </si>
  <si>
    <t>8A11110057</t>
  </si>
  <si>
    <t>9B11110012</t>
  </si>
  <si>
    <t>8A11110044</t>
  </si>
  <si>
    <t>9B11110130</t>
  </si>
  <si>
    <t>9B11110098</t>
  </si>
  <si>
    <t>8A11110028</t>
  </si>
  <si>
    <t>9B11110021</t>
  </si>
  <si>
    <t>8A11110119</t>
  </si>
  <si>
    <t>9B11110082</t>
  </si>
  <si>
    <t>8A11110058</t>
  </si>
  <si>
    <t>9B11110032</t>
  </si>
  <si>
    <t>9B11110103</t>
  </si>
  <si>
    <t>8A11110065</t>
  </si>
  <si>
    <t>9B11110074</t>
  </si>
  <si>
    <t>8A11110085</t>
  </si>
  <si>
    <t>9B11110053</t>
  </si>
  <si>
    <t>8A11110066</t>
  </si>
  <si>
    <t>9B11110131</t>
  </si>
  <si>
    <t>8A11110039</t>
  </si>
  <si>
    <t>9B11110013</t>
  </si>
  <si>
    <t>9B11110087</t>
  </si>
  <si>
    <t>8A11110018</t>
  </si>
  <si>
    <t>9B11110063</t>
  </si>
  <si>
    <t>8A11110120</t>
  </si>
  <si>
    <t>9B11110132</t>
  </si>
  <si>
    <t>8A11110074</t>
  </si>
  <si>
    <t>9B11110022</t>
  </si>
  <si>
    <t>9B11110105</t>
  </si>
  <si>
    <t>8A11110029</t>
  </si>
  <si>
    <t>9B11110083</t>
  </si>
  <si>
    <t>8A11110047</t>
  </si>
  <si>
    <t>9B11110038</t>
  </si>
  <si>
    <t>8A11110109</t>
  </si>
  <si>
    <t>9B11110133</t>
  </si>
  <si>
    <t>8A11110090</t>
  </si>
  <si>
    <t>9B11110075</t>
  </si>
  <si>
    <t>9B11110014</t>
  </si>
  <si>
    <t>8A11110030</t>
  </si>
  <si>
    <t>9B11110106</t>
  </si>
  <si>
    <t>8A11110040</t>
  </si>
  <si>
    <t>9B11110081</t>
  </si>
  <si>
    <t>8A11110067</t>
  </si>
  <si>
    <t>9B11110015</t>
  </si>
  <si>
    <t>9B11110104</t>
  </si>
  <si>
    <t>8A11110003</t>
  </si>
  <si>
    <t>9B11110023</t>
  </si>
  <si>
    <t>8A11110106</t>
  </si>
  <si>
    <t>9B11110099</t>
  </si>
  <si>
    <t>8A11110031</t>
  </si>
  <si>
    <t>9B11110029</t>
  </si>
  <si>
    <t>8A11110099</t>
  </si>
  <si>
    <t>9B11110115</t>
  </si>
  <si>
    <t>9B11110064</t>
  </si>
  <si>
    <t>8A11110006</t>
  </si>
  <si>
    <t>9B11110134</t>
  </si>
  <si>
    <t>8A11110121</t>
  </si>
  <si>
    <t>9B11110054</t>
  </si>
  <si>
    <t>8A11110019</t>
  </si>
  <si>
    <t>9B11110076</t>
  </si>
  <si>
    <t>9B11110150</t>
  </si>
  <si>
    <t>8A11110004</t>
  </si>
  <si>
    <t>9B11110024</t>
  </si>
  <si>
    <t>8A11110032</t>
  </si>
  <si>
    <t>9B11110100</t>
  </si>
  <si>
    <t>8A11110068</t>
  </si>
  <si>
    <t>9B11110135</t>
  </si>
  <si>
    <t>8A11110086</t>
  </si>
  <si>
    <t>9B11110033</t>
  </si>
  <si>
    <t>9B11110089</t>
  </si>
  <si>
    <t>8A11110041</t>
  </si>
  <si>
    <t>9B11110016</t>
  </si>
  <si>
    <t>8A11110059</t>
  </si>
  <si>
    <t>9B11110116</t>
  </si>
  <si>
    <t>8A11110107</t>
  </si>
  <si>
    <t>9B11110101</t>
  </si>
  <si>
    <t>9B11110077</t>
  </si>
  <si>
    <t>8A11110091</t>
  </si>
  <si>
    <t>9B11110039</t>
  </si>
  <si>
    <t>8A11110069</t>
  </si>
  <si>
    <t>9B11110030</t>
  </si>
  <si>
    <t>8A11110033</t>
  </si>
  <si>
    <t>9B11110117</t>
  </si>
  <si>
    <t>8A11110114</t>
  </si>
  <si>
    <t>9B11110136</t>
  </si>
  <si>
    <t>9B11110047</t>
  </si>
  <si>
    <t>8A11110060</t>
  </si>
  <si>
    <t>9B11110017</t>
  </si>
  <si>
    <t>8A11110010</t>
  </si>
  <si>
    <t>9B11110078</t>
  </si>
  <si>
    <t>8A11110070</t>
  </si>
  <si>
    <t>9B11110151</t>
  </si>
  <si>
    <t>9B11110040</t>
  </si>
  <si>
    <t>8A11110007</t>
  </si>
  <si>
    <t>9B11110137</t>
  </si>
  <si>
    <t>8A11110122</t>
  </si>
  <si>
    <t>9B11110065</t>
  </si>
  <si>
    <t>8A11110048</t>
  </si>
  <si>
    <t>9B11110138</t>
  </si>
  <si>
    <t>8A11110110</t>
  </si>
  <si>
    <t>9B11110041</t>
  </si>
  <si>
    <t>9B11110152</t>
  </si>
  <si>
    <t>8A11110034</t>
  </si>
  <si>
    <t>9B11110107</t>
  </si>
  <si>
    <t>8A11110071</t>
  </si>
  <si>
    <t>9B11110139</t>
  </si>
  <si>
    <t>8A11110011</t>
  </si>
  <si>
    <t>9B11110140</t>
  </si>
  <si>
    <t>9B11110048</t>
  </si>
  <si>
    <t>8A11110092</t>
  </si>
  <si>
    <t>9B11110079</t>
  </si>
  <si>
    <t>8A11110042</t>
  </si>
  <si>
    <t>9B11110018</t>
  </si>
  <si>
    <t>8A11110061</t>
  </si>
  <si>
    <t>9B11110034</t>
  </si>
  <si>
    <t>8A11110103</t>
  </si>
  <si>
    <t>9B11110049</t>
  </si>
  <si>
    <t>9B11110141</t>
  </si>
  <si>
    <t>8A11110012</t>
  </si>
  <si>
    <t>9B11110142</t>
  </si>
  <si>
    <t>8A11110087</t>
  </si>
  <si>
    <t>9B11110153</t>
  </si>
  <si>
    <t>8A11110123</t>
  </si>
  <si>
    <t>9B11110066</t>
  </si>
  <si>
    <t>9B11110154</t>
  </si>
  <si>
    <t>8A11110035</t>
  </si>
  <si>
    <t>9B11110084</t>
  </si>
  <si>
    <t>8A11110093</t>
  </si>
  <si>
    <t>9B11110042</t>
  </si>
  <si>
    <t>8A11110049</t>
  </si>
  <si>
    <t>9B11110043</t>
  </si>
  <si>
    <t>8A11110072</t>
  </si>
  <si>
    <t>9B11110143</t>
  </si>
  <si>
    <t>9B11120121</t>
  </si>
  <si>
    <t>8A11120077</t>
  </si>
  <si>
    <t>9B11120037</t>
  </si>
  <si>
    <t>8A11120060</t>
  </si>
  <si>
    <t>9B11120068</t>
  </si>
  <si>
    <t>8A11120114</t>
  </si>
  <si>
    <t>9B11120134</t>
  </si>
  <si>
    <t>9B11120050</t>
  </si>
  <si>
    <t>8A11120008</t>
  </si>
  <si>
    <t>9B11120148</t>
  </si>
  <si>
    <t>8A11120050</t>
  </si>
  <si>
    <t>9B11120002</t>
  </si>
  <si>
    <t>8A11120107</t>
  </si>
  <si>
    <t>9B11120091</t>
  </si>
  <si>
    <t>9B11120059</t>
  </si>
  <si>
    <t>8A11120001</t>
  </si>
  <si>
    <t>9B11120135</t>
  </si>
  <si>
    <t>8A11120048</t>
  </si>
  <si>
    <t>9B11120034</t>
  </si>
  <si>
    <t>8A11120014</t>
  </si>
  <si>
    <t>9B11120149</t>
  </si>
  <si>
    <t>9B11120001</t>
  </si>
  <si>
    <t>8A11120041</t>
  </si>
  <si>
    <t>9B11120136</t>
  </si>
  <si>
    <t>8A11120078</t>
  </si>
  <si>
    <t>9B11120137</t>
  </si>
  <si>
    <t>8A11120097</t>
  </si>
  <si>
    <t>9B11120003</t>
  </si>
  <si>
    <t>9B11120108</t>
  </si>
  <si>
    <t>8A11120101</t>
  </si>
  <si>
    <t>9B11120038</t>
  </si>
  <si>
    <t>8A11120009</t>
  </si>
  <si>
    <t>9B11120069</t>
  </si>
  <si>
    <t>8A11120035</t>
  </si>
  <si>
    <t>9B11120112</t>
  </si>
  <si>
    <t>8A11120069</t>
  </si>
  <si>
    <t>9B11120024</t>
  </si>
  <si>
    <t>9B11120092</t>
  </si>
  <si>
    <t>8A11120065</t>
  </si>
  <si>
    <t>9B11120160</t>
  </si>
  <si>
    <t>8A11120115</t>
  </si>
  <si>
    <t>9B11120060</t>
  </si>
  <si>
    <t>8A11120010</t>
  </si>
  <si>
    <t>9B11120027</t>
  </si>
  <si>
    <t>9B11120109</t>
  </si>
  <si>
    <t>8A11120044</t>
  </si>
  <si>
    <t>9B11120138</t>
  </si>
  <si>
    <t>8A11120079</t>
  </si>
  <si>
    <t>9B11120018</t>
  </si>
  <si>
    <t>8A11120015</t>
  </si>
  <si>
    <t>9B11120093</t>
  </si>
  <si>
    <t>9B11120081</t>
  </si>
  <si>
    <t>8A11120049</t>
  </si>
  <si>
    <t>9B11120025</t>
  </si>
  <si>
    <t>8A11120106</t>
  </si>
  <si>
    <t>9B11120070</t>
  </si>
  <si>
    <t>8A11120080</t>
  </si>
  <si>
    <t>9B11120039</t>
  </si>
  <si>
    <t>9B11120150</t>
  </si>
  <si>
    <t>8A11120011</t>
  </si>
  <si>
    <t>9B11120139</t>
  </si>
  <si>
    <t>8A11120110</t>
  </si>
  <si>
    <t>9B11120051</t>
  </si>
  <si>
    <t>8A11120066</t>
  </si>
  <si>
    <t>9B11120122</t>
  </si>
  <si>
    <t>9B11120040</t>
  </si>
  <si>
    <t>8A11120045</t>
  </si>
  <si>
    <t>9B11120113</t>
  </si>
  <si>
    <t>8A11120016</t>
  </si>
  <si>
    <t>9B11120058</t>
  </si>
  <si>
    <t>8A11120070</t>
  </si>
  <si>
    <t>9B11120061</t>
  </si>
  <si>
    <t>9B11120123</t>
  </si>
  <si>
    <t>8A11120043</t>
  </si>
  <si>
    <t>9B11120105</t>
  </si>
  <si>
    <t>8A11120051</t>
  </si>
  <si>
    <t>9B11120019</t>
  </si>
  <si>
    <t>8A11120102</t>
  </si>
  <si>
    <t>9B11120140</t>
  </si>
  <si>
    <t>9B11120028</t>
  </si>
  <si>
    <t>8A11120017</t>
  </si>
  <si>
    <t>9B11120094</t>
  </si>
  <si>
    <t>8A11120081</t>
  </si>
  <si>
    <t>9B11120071</t>
  </si>
  <si>
    <t>8A11120112</t>
  </si>
  <si>
    <t>9B11120110</t>
  </si>
  <si>
    <t>9B11120004</t>
  </si>
  <si>
    <t>8A11120018</t>
  </si>
  <si>
    <t>9B11120106</t>
  </si>
  <si>
    <t>8A11120036</t>
  </si>
  <si>
    <t>9B11120026</t>
  </si>
  <si>
    <t>8A11120082</t>
  </si>
  <si>
    <t>9B11120085</t>
  </si>
  <si>
    <t>9B11120020</t>
  </si>
  <si>
    <t>8A11120052</t>
  </si>
  <si>
    <t>9B11120124</t>
  </si>
  <si>
    <t>8A11120071</t>
  </si>
  <si>
    <t>9B11120072</t>
  </si>
  <si>
    <t>8A11120113</t>
  </si>
  <si>
    <t>9B11120029</t>
  </si>
  <si>
    <t>9B11120088</t>
  </si>
  <si>
    <t>8A11120061</t>
  </si>
  <si>
    <t>9B11120041</t>
  </si>
  <si>
    <t>8A11120083</t>
  </si>
  <si>
    <t>9B11120141</t>
  </si>
  <si>
    <t>8A11120012</t>
  </si>
  <si>
    <t>9B11120114</t>
  </si>
  <si>
    <t>8A11120053</t>
  </si>
  <si>
    <t>9B11120005</t>
  </si>
  <si>
    <t>9B11120062</t>
  </si>
  <si>
    <t>8A11120103</t>
  </si>
  <si>
    <t>9B11120151</t>
  </si>
  <si>
    <t>8A11120019</t>
  </si>
  <si>
    <t>9B11120052</t>
  </si>
  <si>
    <t>8A11120084</t>
  </si>
  <si>
    <t>9B11120142</t>
  </si>
  <si>
    <t>9B11120095</t>
  </si>
  <si>
    <t>8A11120054</t>
  </si>
  <si>
    <t>9B11120035</t>
  </si>
  <si>
    <t>8A11120002</t>
  </si>
  <si>
    <t>9B11120073</t>
  </si>
  <si>
    <t>8A11120037</t>
  </si>
  <si>
    <t>9B11120143</t>
  </si>
  <si>
    <t>9B11120107</t>
  </si>
  <si>
    <t>8A11120020</t>
  </si>
  <si>
    <t>9B11120006</t>
  </si>
  <si>
    <t>8A11120098</t>
  </si>
  <si>
    <t>9B11120096</t>
  </si>
  <si>
    <t>8A11120085</t>
  </si>
  <si>
    <t>9B11120021</t>
  </si>
  <si>
    <t>9B11120067</t>
  </si>
  <si>
    <t>8A11120072</t>
  </si>
  <si>
    <t>9B11120152</t>
  </si>
  <si>
    <t>8A11120021</t>
  </si>
  <si>
    <t>9B11120115</t>
  </si>
  <si>
    <t>8A11120055</t>
  </si>
  <si>
    <t>9B11120055</t>
  </si>
  <si>
    <t>9B11120082</t>
  </si>
  <si>
    <t>8A11120116</t>
  </si>
  <si>
    <t>9B11120007</t>
  </si>
  <si>
    <t>8A11120022</t>
  </si>
  <si>
    <t>9B11120097</t>
  </si>
  <si>
    <t>8A11120067</t>
  </si>
  <si>
    <t>9B11120030</t>
  </si>
  <si>
    <t>9B11120074</t>
  </si>
  <si>
    <t>8A11120086</t>
  </si>
  <si>
    <t>9B11120086</t>
  </si>
  <si>
    <t>8A11120046</t>
  </si>
  <si>
    <t>9B11120022</t>
  </si>
  <si>
    <t>8A11120108</t>
  </si>
  <si>
    <t>9B11120116</t>
  </si>
  <si>
    <t>9B11120098</t>
  </si>
  <si>
    <t>8A11120023</t>
  </si>
  <si>
    <t>9B11120031</t>
  </si>
  <si>
    <t>8A11120087</t>
  </si>
  <si>
    <t>9B11120144</t>
  </si>
  <si>
    <t>8A11120121</t>
  </si>
  <si>
    <t>9B11120075</t>
  </si>
  <si>
    <t>9B11120046</t>
  </si>
  <si>
    <t>8A11120062</t>
  </si>
  <si>
    <t>9B11120145</t>
  </si>
  <si>
    <t>8A11120013</t>
  </si>
  <si>
    <t>9B11120042</t>
  </si>
  <si>
    <t>8A11120038</t>
  </si>
  <si>
    <t>9B11120146</t>
  </si>
  <si>
    <t>9B11120008</t>
  </si>
  <si>
    <t>8A11120056</t>
  </si>
  <si>
    <t>9B11120159</t>
  </si>
  <si>
    <t>8A11120007</t>
  </si>
  <si>
    <t>9B11120063</t>
  </si>
  <si>
    <t>8A11120117</t>
  </si>
  <si>
    <t>9B11120056</t>
  </si>
  <si>
    <t>9B11120125</t>
  </si>
  <si>
    <t>8A11120024</t>
  </si>
  <si>
    <t>9B11120153</t>
  </si>
  <si>
    <t>8A11120088</t>
  </si>
  <si>
    <t>9B11120089</t>
  </si>
  <si>
    <t>8A11120063</t>
  </si>
  <si>
    <t>9B11120023</t>
  </si>
  <si>
    <t>8A11120099</t>
  </si>
  <si>
    <t>9B11120126</t>
  </si>
  <si>
    <t>9B11120043</t>
  </si>
  <si>
    <t>8A11120089</t>
  </si>
  <si>
    <t>9B11120117</t>
  </si>
  <si>
    <t>8A11120057</t>
  </si>
  <si>
    <t>9B11120032</t>
  </si>
  <si>
    <t>8A11120025</t>
  </si>
  <si>
    <t>9B11120127</t>
  </si>
  <si>
    <t>9B11120099</t>
  </si>
  <si>
    <t>8A11120073</t>
  </si>
  <si>
    <t>9B11120076</t>
  </si>
  <si>
    <t>8A11120111</t>
  </si>
  <si>
    <t>9B11120047</t>
  </si>
  <si>
    <t>8A11120003</t>
  </si>
  <si>
    <t>9B11120147</t>
  </si>
  <si>
    <t>9B11120033</t>
  </si>
  <si>
    <t>8A11120026</t>
  </si>
  <si>
    <t>9B11120128</t>
  </si>
  <si>
    <t>8A11120104</t>
  </si>
  <si>
    <t>9B11120053</t>
  </si>
  <si>
    <t>8A11120090</t>
  </si>
  <si>
    <t>9B11120064</t>
  </si>
  <si>
    <t>9B11120129</t>
  </si>
  <si>
    <t>8A11120027</t>
  </si>
  <si>
    <t>9B11120130</t>
  </si>
  <si>
    <t>8A11120039</t>
  </si>
  <si>
    <t>9B11120044</t>
  </si>
  <si>
    <t>8A11120004</t>
  </si>
  <si>
    <t>9B11120077</t>
  </si>
  <si>
    <t>9B11120118</t>
  </si>
  <si>
    <t>8A11120091</t>
  </si>
  <si>
    <t>9B11120045</t>
  </si>
  <si>
    <t>8A11120074</t>
  </si>
  <si>
    <t>9B11120083</t>
  </si>
  <si>
    <t>8A11120118</t>
  </si>
  <si>
    <t>9B11120154</t>
  </si>
  <si>
    <t>9B11120057</t>
  </si>
  <si>
    <t>8A11120064</t>
  </si>
  <si>
    <t>9B11120111</t>
  </si>
  <si>
    <t>8A11120092</t>
  </si>
  <si>
    <t>9B11120036</t>
  </si>
  <si>
    <t>8A11120028</t>
  </si>
  <si>
    <t>9B11120131</t>
  </si>
  <si>
    <t>9B11120100</t>
  </si>
  <si>
    <t>8A11120047</t>
  </si>
  <si>
    <t>9B11120009</t>
  </si>
  <si>
    <t>8A11120029</t>
  </si>
  <si>
    <t>9B11120155</t>
  </si>
  <si>
    <t>8A11120109</t>
  </si>
  <si>
    <t>9B11120010</t>
  </si>
  <si>
    <t>9B11120065</t>
  </si>
  <si>
    <t>8A11120005</t>
  </si>
  <si>
    <t>9B11120101</t>
  </si>
  <si>
    <t>8A11120042</t>
  </si>
  <si>
    <t>9B11120078</t>
  </si>
  <si>
    <t>8A11120093</t>
  </si>
  <si>
    <t>9B11120119</t>
  </si>
  <si>
    <t>9B11120054</t>
  </si>
  <si>
    <t>8A11120030</t>
  </si>
  <si>
    <t>9B11120011</t>
  </si>
  <si>
    <t>8A11120100</t>
  </si>
  <si>
    <t>9B11120156</t>
  </si>
  <si>
    <t>8A11120031</t>
  </si>
  <si>
    <t>9B11120012</t>
  </si>
  <si>
    <t>9B11120102</t>
  </si>
  <si>
    <t>8A11120075</t>
  </si>
  <si>
    <t>9B11120120</t>
  </si>
  <si>
    <t>8A11120058</t>
  </si>
  <si>
    <t>9B11120013</t>
  </si>
  <si>
    <t>8A11120119</t>
  </si>
  <si>
    <t>9B11120090</t>
  </si>
  <si>
    <t>8A11120094</t>
  </si>
  <si>
    <t>9B11120079</t>
  </si>
  <si>
    <t>9B11120157</t>
  </si>
  <si>
    <t>8A11120032</t>
  </si>
  <si>
    <t>9B11120048</t>
  </si>
  <si>
    <t>8A11120095</t>
  </si>
  <si>
    <t>9B11120132</t>
  </si>
  <si>
    <t>8A11120068</t>
  </si>
  <si>
    <t>9B11120014</t>
  </si>
  <si>
    <t>9B11120087</t>
  </si>
  <si>
    <t>8A11120076</t>
  </si>
  <si>
    <t>9B11120066</t>
  </si>
  <si>
    <t>8A11120040</t>
  </si>
  <si>
    <t>9B11120015</t>
  </si>
  <si>
    <t>8A11120059</t>
  </si>
  <si>
    <t>9B11120133</t>
  </si>
  <si>
    <t>9B11120103</t>
  </si>
  <si>
    <t>8A11120120</t>
  </si>
  <si>
    <t>9B11120016</t>
  </si>
  <si>
    <t>8A11120033</t>
  </si>
  <si>
    <t>9B11120049</t>
  </si>
  <si>
    <t>8A11120105</t>
  </si>
  <si>
    <t>9B11120084</t>
  </si>
  <si>
    <t>9B11120080</t>
  </si>
  <si>
    <t>8A11120096</t>
  </si>
  <si>
    <t>9B11120104</t>
  </si>
  <si>
    <t>8A11120006</t>
  </si>
  <si>
    <t>9B11120017</t>
  </si>
  <si>
    <t>8A11120034</t>
  </si>
  <si>
    <t>9B11120158</t>
  </si>
  <si>
    <t>9B11130120</t>
  </si>
  <si>
    <t>8A11130016</t>
  </si>
  <si>
    <t>9B11130034</t>
  </si>
  <si>
    <t>8A11130075</t>
  </si>
  <si>
    <t>9B11130068</t>
  </si>
  <si>
    <t>8A11130004</t>
  </si>
  <si>
    <t>9B11130124</t>
  </si>
  <si>
    <t>9B11130048</t>
  </si>
  <si>
    <t>8A11130112</t>
  </si>
  <si>
    <t>9B11130148</t>
  </si>
  <si>
    <t>8A11130036</t>
  </si>
  <si>
    <t>9B11130002</t>
  </si>
  <si>
    <t>8A11130096</t>
  </si>
  <si>
    <t>9B11130090</t>
  </si>
  <si>
    <t>9B11130065</t>
  </si>
  <si>
    <t>8A11130032</t>
  </si>
  <si>
    <t>9B11130125</t>
  </si>
  <si>
    <t>8A11130082</t>
  </si>
  <si>
    <t>9B11130054</t>
  </si>
  <si>
    <t>8A11130024</t>
  </si>
  <si>
    <t>9B11130126</t>
  </si>
  <si>
    <t>9B11130031</t>
  </si>
  <si>
    <t>8A11130005</t>
  </si>
  <si>
    <t>9B11130101</t>
  </si>
  <si>
    <t>8A11130089</t>
  </si>
  <si>
    <t>9B11130127</t>
  </si>
  <si>
    <t>8A11130104</t>
  </si>
  <si>
    <t>9B11130016</t>
  </si>
  <si>
    <t>9B11130069</t>
  </si>
  <si>
    <t>8A11130017</t>
  </si>
  <si>
    <t>9B11130087</t>
  </si>
  <si>
    <t>8A11130033</t>
  </si>
  <si>
    <t>9B11130025</t>
  </si>
  <si>
    <t>8A11130037</t>
  </si>
  <si>
    <t>9B11130111</t>
  </si>
  <si>
    <t>9B11130035</t>
  </si>
  <si>
    <t>8A11130109</t>
  </si>
  <si>
    <t>9B11130121</t>
  </si>
  <si>
    <t>8A11130038</t>
  </si>
  <si>
    <t>9B11130109</t>
  </si>
  <si>
    <t>8A11130039</t>
  </si>
  <si>
    <t>9B11130017</t>
  </si>
  <si>
    <t>9B11130149</t>
  </si>
  <si>
    <t>8A11130083</t>
  </si>
  <si>
    <t>9B11130055</t>
  </si>
  <si>
    <t>8A11130077</t>
  </si>
  <si>
    <t>9B11130070</t>
  </si>
  <si>
    <t>9B11130104</t>
  </si>
  <si>
    <t>8A11130040</t>
  </si>
  <si>
    <t>9B11130003</t>
  </si>
  <si>
    <t>8A11130097</t>
  </si>
  <si>
    <t>9B11130091</t>
  </si>
  <si>
    <t>8A11130015</t>
  </si>
  <si>
    <t>9B11130128</t>
  </si>
  <si>
    <t>9B11130026</t>
  </si>
  <si>
    <t>8A11130041</t>
  </si>
  <si>
    <t>9B11130059</t>
  </si>
  <si>
    <t>8A11130113</t>
  </si>
  <si>
    <t>9B11130129</t>
  </si>
  <si>
    <t>8A11130090</t>
  </si>
  <si>
    <t>9B11130036</t>
  </si>
  <si>
    <t>9B11130112</t>
  </si>
  <si>
    <t>8A11130042</t>
  </si>
  <si>
    <t>9B11130160</t>
  </si>
  <si>
    <t>8A11130025</t>
  </si>
  <si>
    <t>9B11130001</t>
  </si>
  <si>
    <t>8A11130018</t>
  </si>
  <si>
    <t>9B11130081</t>
  </si>
  <si>
    <t>9B11130018</t>
  </si>
  <si>
    <t>8A11130084</t>
  </si>
  <si>
    <t>9B11130105</t>
  </si>
  <si>
    <t>8A11130099</t>
  </si>
  <si>
    <t>9B11130071</t>
  </si>
  <si>
    <t>8A11130006</t>
  </si>
  <si>
    <t>9B11130130</t>
  </si>
  <si>
    <t>9B11130027</t>
  </si>
  <si>
    <t>8A11130043</t>
  </si>
  <si>
    <t>9B11130092</t>
  </si>
  <si>
    <t>8A11130044</t>
  </si>
  <si>
    <t>9B11130019</t>
  </si>
  <si>
    <t>8A11130114</t>
  </si>
  <si>
    <t>9B11130113</t>
  </si>
  <si>
    <t>9B11130056</t>
  </si>
  <si>
    <t>8A11130019</t>
  </si>
  <si>
    <t>9B11130072</t>
  </si>
  <si>
    <t>8A11130026</t>
  </si>
  <si>
    <t>9B11130102</t>
  </si>
  <si>
    <t>8A11130078</t>
  </si>
  <si>
    <t>9B11130131</t>
  </si>
  <si>
    <t>9B11130060</t>
  </si>
  <si>
    <t>8A11130045</t>
  </si>
  <si>
    <t>9B11130004</t>
  </si>
  <si>
    <t>8A11130001</t>
  </si>
  <si>
    <t>9B11130103</t>
  </si>
  <si>
    <t>8A11130105</t>
  </si>
  <si>
    <t>9B11130028</t>
  </si>
  <si>
    <t>9B11130132</t>
  </si>
  <si>
    <t>8A11130007</t>
  </si>
  <si>
    <t>9B11130057</t>
  </si>
  <si>
    <t>8A11130020</t>
  </si>
  <si>
    <t>9B11130133</t>
  </si>
  <si>
    <t>8A11130091</t>
  </si>
  <si>
    <t>9B11130134</t>
  </si>
  <si>
    <t>9B11130093</t>
  </si>
  <si>
    <t>8A11130046</t>
  </si>
  <si>
    <t>9B11130029</t>
  </si>
  <si>
    <t>8A11130115</t>
  </si>
  <si>
    <t>9B11130082</t>
  </si>
  <si>
    <t>8A11130034</t>
  </si>
  <si>
    <t>9B11130032</t>
  </si>
  <si>
    <t>9B11130061</t>
  </si>
  <si>
    <t>8A11130047</t>
  </si>
  <si>
    <t>9B11130122</t>
  </si>
  <si>
    <t>8A11130048</t>
  </si>
  <si>
    <t>9B11130053</t>
  </si>
  <si>
    <t>8A11130100</t>
  </si>
  <si>
    <t>9B11130084</t>
  </si>
  <si>
    <t>9B11130037</t>
  </si>
  <si>
    <t>8A11130021</t>
  </si>
  <si>
    <t>9B11130135</t>
  </si>
  <si>
    <t>8A11130085</t>
  </si>
  <si>
    <t>9B11130073</t>
  </si>
  <si>
    <t>8A11130031</t>
  </si>
  <si>
    <t>9B11130114</t>
  </si>
  <si>
    <t>9B11130038</t>
  </si>
  <si>
    <t>8A11130022</t>
  </si>
  <si>
    <t>9B11130150</t>
  </si>
  <si>
    <t>8A11130049</t>
  </si>
  <si>
    <t>9B11130020</t>
  </si>
  <si>
    <t>8A11130110</t>
  </si>
  <si>
    <t>9B11130106</t>
  </si>
  <si>
    <t>9B11130005</t>
  </si>
  <si>
    <t>8A11130050</t>
  </si>
  <si>
    <t>9B11130110</t>
  </si>
  <si>
    <t>8A11130051</t>
  </si>
  <si>
    <t>9B11130115</t>
  </si>
  <si>
    <t>8A11130027</t>
  </si>
  <si>
    <t>9B11130039</t>
  </si>
  <si>
    <t>9B11130006</t>
  </si>
  <si>
    <t>8A11130052</t>
  </si>
  <si>
    <t>9B11130094</t>
  </si>
  <si>
    <t>8A11130098</t>
  </si>
  <si>
    <t>9B11130161</t>
  </si>
  <si>
    <t>9B11130074</t>
  </si>
  <si>
    <t>8A11130092</t>
  </si>
  <si>
    <t>9B11130049</t>
  </si>
  <si>
    <t>8A11130053</t>
  </si>
  <si>
    <t>9B11130151</t>
  </si>
  <si>
    <t>8A11130008</t>
  </si>
  <si>
    <t>9B11130136</t>
  </si>
  <si>
    <t>9B11130062</t>
  </si>
  <si>
    <t>8A11130054</t>
  </si>
  <si>
    <t>9B11130116</t>
  </si>
  <si>
    <t>8A11130116</t>
  </si>
  <si>
    <t>9B11130040</t>
  </si>
  <si>
    <t>8A11130079</t>
  </si>
  <si>
    <t>9B11130137</t>
  </si>
  <si>
    <t>9B11130030</t>
  </si>
  <si>
    <t>8A11130002</t>
  </si>
  <si>
    <t>9B11130107</t>
  </si>
  <si>
    <t>8A11130106</t>
  </si>
  <si>
    <t>9B11130021</t>
  </si>
  <si>
    <t>8A11130055</t>
  </si>
  <si>
    <t>9B11130117</t>
  </si>
  <si>
    <t>9B11130075</t>
  </si>
  <si>
    <t>8A11130009</t>
  </si>
  <si>
    <t>9B11130041</t>
  </si>
  <si>
    <t>8A11130095</t>
  </si>
  <si>
    <t>9B11130152</t>
  </si>
  <si>
    <t>8A11130056</t>
  </si>
  <si>
    <t>9B11130007</t>
  </si>
  <si>
    <t>9B11130108</t>
  </si>
  <si>
    <t>8A11130035</t>
  </si>
  <si>
    <t>9B11130066</t>
  </si>
  <si>
    <t>8A11130117</t>
  </si>
  <si>
    <t>9B11130118</t>
  </si>
  <si>
    <t>8A11130057</t>
  </si>
  <si>
    <t>9B11130008</t>
  </si>
  <si>
    <t>9B11130085</t>
  </si>
  <si>
    <t>8A11130028</t>
  </si>
  <si>
    <t>9B11130022</t>
  </si>
  <si>
    <t>8A11130058</t>
  </si>
  <si>
    <t>9B11130095</t>
  </si>
  <si>
    <t>8A11130101</t>
  </si>
  <si>
    <t>9B11130009</t>
  </si>
  <si>
    <t>9B11130088</t>
  </si>
  <si>
    <t>8A11130086</t>
  </si>
  <si>
    <t>9B11130076</t>
  </si>
  <si>
    <t>8A11130023</t>
  </si>
  <si>
    <t>9B11130153</t>
  </si>
  <si>
    <t>8A11130059</t>
  </si>
  <si>
    <t>9B11130119</t>
  </si>
  <si>
    <t>9B11130050</t>
  </si>
  <si>
    <t>8A11130080</t>
  </si>
  <si>
    <t>9B11130138</t>
  </si>
  <si>
    <t>8A11130010</t>
  </si>
  <si>
    <t>9B11130042</t>
  </si>
  <si>
    <t>8A11130118</t>
  </si>
  <si>
    <t>9B11130077</t>
  </si>
  <si>
    <t>9B11130154</t>
  </si>
  <si>
    <t>8A11130060</t>
  </si>
  <si>
    <t>9B11130010</t>
  </si>
  <si>
    <t>8A11130061</t>
  </si>
  <si>
    <t>9B11130044</t>
  </si>
  <si>
    <t>8A11130107</t>
  </si>
  <si>
    <t>9B11130139</t>
  </si>
  <si>
    <t>9B11130063</t>
  </si>
  <si>
    <t>8A11130062</t>
  </si>
  <si>
    <t>9B11130123</t>
  </si>
  <si>
    <t>8A11130003</t>
  </si>
  <si>
    <t>9B11130155</t>
  </si>
  <si>
    <t>8A11130063</t>
  </si>
  <si>
    <t>9B11130051</t>
  </si>
  <si>
    <t>9B11130140</t>
  </si>
  <si>
    <t>8A11130011</t>
  </si>
  <si>
    <t>9B11130043</t>
  </si>
  <si>
    <t>8A11130081</t>
  </si>
  <si>
    <t>9B11130141</t>
  </si>
  <si>
    <t>8A11130111</t>
  </si>
  <si>
    <t>9B11130033</t>
  </si>
  <si>
    <t>9B11130086</t>
  </si>
  <si>
    <t>8A11130029</t>
  </si>
  <si>
    <t>9B11130011</t>
  </si>
  <si>
    <t>8A11130064</t>
  </si>
  <si>
    <t>9B11130096</t>
  </si>
  <si>
    <t>8A11130102</t>
  </si>
  <si>
    <t>9B11130012</t>
  </si>
  <si>
    <t>9B11130078</t>
  </si>
  <si>
    <t>8A11130093</t>
  </si>
  <si>
    <t>9B11130083</t>
  </si>
  <si>
    <t>8A11130087</t>
  </si>
  <si>
    <t>9B11130156</t>
  </si>
  <si>
    <t>8A11130065</t>
  </si>
  <si>
    <t>9B11130045</t>
  </si>
  <si>
    <t>9B11130142</t>
  </si>
  <si>
    <t>8A11130012</t>
  </si>
  <si>
    <t>9B11130067</t>
  </si>
  <si>
    <t>8A11130094</t>
  </si>
  <si>
    <t>9B11130143</t>
  </si>
  <si>
    <t>9B11130052</t>
  </si>
  <si>
    <t>8A11130066</t>
  </si>
  <si>
    <t>9B11130157</t>
  </si>
  <si>
    <t>8A11130119</t>
  </si>
  <si>
    <t>9B11130144</t>
  </si>
  <si>
    <t>8A11130088</t>
  </si>
  <si>
    <t>9B11130046</t>
  </si>
  <si>
    <t>9B11130145</t>
  </si>
  <si>
    <t>8A11130013</t>
  </si>
  <si>
    <t>9B11130079</t>
  </si>
  <si>
    <t>8A11130108</t>
  </si>
  <si>
    <t>9B11130023</t>
  </si>
  <si>
    <t>8A11130067</t>
  </si>
  <si>
    <t>9B11130097</t>
  </si>
  <si>
    <t>9B11130058</t>
  </si>
  <si>
    <t>8A11130068</t>
  </si>
  <si>
    <t>9B11130098</t>
  </si>
  <si>
    <t>8A11130069</t>
  </si>
  <si>
    <t>9B11130013</t>
  </si>
  <si>
    <t>8A11130070</t>
  </si>
  <si>
    <t>9B11130064</t>
  </si>
  <si>
    <t>9B11130146</t>
  </si>
  <si>
    <t>8A11130076</t>
  </si>
  <si>
    <t>9B11130099</t>
  </si>
  <si>
    <t>8A11130030</t>
  </si>
  <si>
    <t>9B11130147</t>
  </si>
  <si>
    <t>8A11130120</t>
  </si>
  <si>
    <t>9B11130024</t>
  </si>
  <si>
    <t>9B11130089</t>
  </si>
  <si>
    <t>8A11130014</t>
  </si>
  <si>
    <t>9B11130080</t>
  </si>
  <si>
    <t>8A11130071</t>
  </si>
  <si>
    <t>9B11130014</t>
  </si>
  <si>
    <t>8A11130103</t>
  </si>
  <si>
    <t>9B11130158</t>
  </si>
  <si>
    <t>9B11130047</t>
  </si>
  <si>
    <t>8A11130072</t>
  </si>
  <si>
    <t>9B11130100</t>
  </si>
  <si>
    <t>8A11130073</t>
  </si>
  <si>
    <t>9B11130015</t>
  </si>
  <si>
    <t>8A11130074</t>
  </si>
  <si>
    <t>9B11130159</t>
  </si>
  <si>
    <t>Дата</t>
  </si>
  <si>
    <t>9B11160115</t>
  </si>
  <si>
    <t>8A11160018</t>
  </si>
  <si>
    <t>9B11160038</t>
  </si>
  <si>
    <t>8A11160071</t>
  </si>
  <si>
    <t>9B11160071</t>
  </si>
  <si>
    <t>8A11160112</t>
  </si>
  <si>
    <t>9B11160086</t>
  </si>
  <si>
    <t>9B11160116</t>
  </si>
  <si>
    <t>8A11160047</t>
  </si>
  <si>
    <t>9B11160025</t>
  </si>
  <si>
    <t>8A11160084</t>
  </si>
  <si>
    <t>9B11160002</t>
  </si>
  <si>
    <t>8A11160103</t>
  </si>
  <si>
    <t>9B11160089</t>
  </si>
  <si>
    <t>9B11160139</t>
  </si>
  <si>
    <t>8A11160008</t>
  </si>
  <si>
    <t>9B11160065</t>
  </si>
  <si>
    <t>8A11160076</t>
  </si>
  <si>
    <t>9B11160026</t>
  </si>
  <si>
    <t>8A11160048</t>
  </si>
  <si>
    <t>9B11160104</t>
  </si>
  <si>
    <t>9B11160003</t>
  </si>
  <si>
    <t>8A11160015</t>
  </si>
  <si>
    <t>9B11160144</t>
  </si>
  <si>
    <t>8A11160083</t>
  </si>
  <si>
    <t>9B11160090</t>
  </si>
  <si>
    <t>8A11160096</t>
  </si>
  <si>
    <t>9B11160032</t>
  </si>
  <si>
    <t>8A11160049</t>
  </si>
  <si>
    <t>9B11160085</t>
  </si>
  <si>
    <t>9B11160047</t>
  </si>
  <si>
    <t>8A11160029</t>
  </si>
  <si>
    <t>9B11160117</t>
  </si>
  <si>
    <t>8A11160050</t>
  </si>
  <si>
    <t>9B11160069</t>
  </si>
  <si>
    <t>8A11160109</t>
  </si>
  <si>
    <t>9B11160118</t>
  </si>
  <si>
    <t>9B11160039</t>
  </si>
  <si>
    <t>8A11160066</t>
  </si>
  <si>
    <t>9B11160146</t>
  </si>
  <si>
    <t>8A11160030</t>
  </si>
  <si>
    <t>9B11160048</t>
  </si>
  <si>
    <t>8A11160002</t>
  </si>
  <si>
    <t>9B11160119</t>
  </si>
  <si>
    <t>9B11160066</t>
  </si>
  <si>
    <t>8A11160042</t>
  </si>
  <si>
    <t>9B11160145</t>
  </si>
  <si>
    <t>8A11160085</t>
  </si>
  <si>
    <t>9B11160004</t>
  </si>
  <si>
    <t>8A11160034</t>
  </si>
  <si>
    <t>9B11160035</t>
  </si>
  <si>
    <t>9B11160082</t>
  </si>
  <si>
    <t>8A11160113</t>
  </si>
  <si>
    <t>9B11160110</t>
  </si>
  <si>
    <t>8A11160031</t>
  </si>
  <si>
    <t>9B11160049</t>
  </si>
  <si>
    <t>8A11160102</t>
  </si>
  <si>
    <t>9B11160120</t>
  </si>
  <si>
    <t>9B11160072</t>
  </si>
  <si>
    <t>8A11160045</t>
  </si>
  <si>
    <t>9B11160058</t>
  </si>
  <si>
    <t>8A11160032</t>
  </si>
  <si>
    <t>9B11160027</t>
  </si>
  <si>
    <t>8A11160051</t>
  </si>
  <si>
    <t>9B11160121</t>
  </si>
  <si>
    <t>9B11160036</t>
  </si>
  <si>
    <t>8A11160067</t>
  </si>
  <si>
    <t>9B11160073</t>
  </si>
  <si>
    <t>8A11160077</t>
  </si>
  <si>
    <t>9B11160109</t>
  </si>
  <si>
    <t>8A11160104</t>
  </si>
  <si>
    <t>9B11160005</t>
  </si>
  <si>
    <t>8A11160035</t>
  </si>
  <si>
    <t>9B11160111</t>
  </si>
  <si>
    <t>9B11160054</t>
  </si>
  <si>
    <t>8A11160019</t>
  </si>
  <si>
    <t>9B11160083</t>
  </si>
  <si>
    <t>8A11160086</t>
  </si>
  <si>
    <t>9B11160091</t>
  </si>
  <si>
    <t>8A11160114</t>
  </si>
  <si>
    <t>9B11160006</t>
  </si>
  <si>
    <t>9B11160147</t>
  </si>
  <si>
    <t>8A11160052</t>
  </si>
  <si>
    <t>9B11160060</t>
  </si>
  <si>
    <t>8A11160020</t>
  </si>
  <si>
    <t>9B11160007</t>
  </si>
  <si>
    <t>8A11160078</t>
  </si>
  <si>
    <t>9B11160140</t>
  </si>
  <si>
    <t>9B11160087</t>
  </si>
  <si>
    <t>8A11160087</t>
  </si>
  <si>
    <t>9B11160028</t>
  </si>
  <si>
    <t>8A11160053</t>
  </si>
  <si>
    <t>9B11160122</t>
  </si>
  <si>
    <t>8A11160098</t>
  </si>
  <si>
    <t>9B11160050</t>
  </si>
  <si>
    <t>9B11160074</t>
  </si>
  <si>
    <t>8A11160009</t>
  </si>
  <si>
    <t>9B11160092</t>
  </si>
  <si>
    <t>8A11160068</t>
  </si>
  <si>
    <t>9B11160008</t>
  </si>
  <si>
    <t>8A11160036</t>
  </si>
  <si>
    <t>9B11160112</t>
  </si>
  <si>
    <t>9B11160093</t>
  </si>
  <si>
    <t>8A11160043</t>
  </si>
  <si>
    <t>9B11160033</t>
  </si>
  <si>
    <t>8A11160110</t>
  </si>
  <si>
    <t>9B11160123</t>
  </si>
  <si>
    <t>8A11160001</t>
  </si>
  <si>
    <t>9B11160105</t>
  </si>
  <si>
    <t>9B11160029</t>
  </si>
  <si>
    <t>8A11160033</t>
  </si>
  <si>
    <t>9B11160070</t>
  </si>
  <si>
    <t>8A11160088</t>
  </si>
  <si>
    <t>9B11160040</t>
  </si>
  <si>
    <t>8A11160105</t>
  </si>
  <si>
    <t>9B11160124</t>
  </si>
  <si>
    <t>8A11160003</t>
  </si>
  <si>
    <t>9B11160125</t>
  </si>
  <si>
    <t>9B11160067</t>
  </si>
  <si>
    <t>8A11160021</t>
  </si>
  <si>
    <t>9B11160009</t>
  </si>
  <si>
    <t>8A11160079</t>
  </si>
  <si>
    <t>9B11160094</t>
  </si>
  <si>
    <t>8A11160037</t>
  </si>
  <si>
    <t>9B11160010</t>
  </si>
  <si>
    <t>9B11160141</t>
  </si>
  <si>
    <t>8A11160004</t>
  </si>
  <si>
    <t>9B11160106</t>
  </si>
  <si>
    <t>8A11160115</t>
  </si>
  <si>
    <t>9B11160011</t>
  </si>
  <si>
    <t>8A11160069</t>
  </si>
  <si>
    <t>9B11160080</t>
  </si>
  <si>
    <t>9B11160148</t>
  </si>
  <si>
    <t>8A11160005</t>
  </si>
  <si>
    <t>9B11160044</t>
  </si>
  <si>
    <t>8A11160022</t>
  </si>
  <si>
    <t>9B11160095</t>
  </si>
  <si>
    <t>8A11160097</t>
  </si>
  <si>
    <t>9B11160012</t>
  </si>
  <si>
    <t>9B11160157</t>
  </si>
  <si>
    <t>8A11160095</t>
  </si>
  <si>
    <t>9B11160149</t>
  </si>
  <si>
    <t>8A11160041</t>
  </si>
  <si>
    <t>9B11160037</t>
  </si>
  <si>
    <t>8A11160023</t>
  </si>
  <si>
    <t>9B11160113</t>
  </si>
  <si>
    <t>9B11160068</t>
  </si>
  <si>
    <t>8A11160080</t>
  </si>
  <si>
    <t>9B11160013</t>
  </si>
  <si>
    <t>8A11160116</t>
  </si>
  <si>
    <t>9B11160150</t>
  </si>
  <si>
    <t>8A11160054</t>
  </si>
  <si>
    <t>9B11160059</t>
  </si>
  <si>
    <t>9B11160014</t>
  </si>
  <si>
    <t>8A11160010</t>
  </si>
  <si>
    <t>9B11160075</t>
  </si>
  <si>
    <t>8A11160046</t>
  </si>
  <si>
    <t>9B11160053</t>
  </si>
  <si>
    <t>8A11160072</t>
  </si>
  <si>
    <t>9B11160126</t>
  </si>
  <si>
    <t>9B11160151</t>
  </si>
  <si>
    <t>8A11160055</t>
  </si>
  <si>
    <t>9B11160001</t>
  </si>
  <si>
    <t>8A11160106</t>
  </si>
  <si>
    <t>9B11160127</t>
  </si>
  <si>
    <t>8A11160073</t>
  </si>
  <si>
    <t>9B11160142</t>
  </si>
  <si>
    <t>8A11160056</t>
  </si>
  <si>
    <t>9B11160107</t>
  </si>
  <si>
    <t>9B11160015</t>
  </si>
  <si>
    <t>8A11160089</t>
  </si>
  <si>
    <t>9B11160076</t>
  </si>
  <si>
    <t>8A11160117</t>
  </si>
  <si>
    <t>9B11160041</t>
  </si>
  <si>
    <t>8A11160038</t>
  </si>
  <si>
    <t>9B11160084</t>
  </si>
  <si>
    <t>9B11160128</t>
  </si>
  <si>
    <t>8A11160024</t>
  </si>
  <si>
    <t>9B11160042</t>
  </si>
  <si>
    <t>8A11160025</t>
  </si>
  <si>
    <t>9B11160061</t>
  </si>
  <si>
    <t>8A11160099</t>
  </si>
  <si>
    <t>9B11160129</t>
  </si>
  <si>
    <t>9B11160056</t>
  </si>
  <si>
    <t>8A11160057</t>
  </si>
  <si>
    <t>9B11160108</t>
  </si>
  <si>
    <t>8A11160006</t>
  </si>
  <si>
    <t>9B11160143</t>
  </si>
  <si>
    <t>8A11160058</t>
  </si>
  <si>
    <t>9B11160158</t>
  </si>
  <si>
    <t>9B11160043</t>
  </si>
  <si>
    <t>8A11160090</t>
  </si>
  <si>
    <t>9B11160030</t>
  </si>
  <si>
    <t>8A11160111</t>
  </si>
  <si>
    <t>9B11160114</t>
  </si>
  <si>
    <t>8A11160026</t>
  </si>
  <si>
    <t>9B11160016</t>
  </si>
  <si>
    <t>9B11160062</t>
  </si>
  <si>
    <t>8A11160059</t>
  </si>
  <si>
    <t>9B11160130</t>
  </si>
  <si>
    <t>8A11160017</t>
  </si>
  <si>
    <t>9B11160152</t>
  </si>
  <si>
    <t>8A11160027</t>
  </si>
  <si>
    <t>9B11160096</t>
  </si>
  <si>
    <t>9B11160034</t>
  </si>
  <si>
    <t>8A11160091</t>
  </si>
  <si>
    <t>9B11160055</t>
  </si>
  <si>
    <t>8A11160101</t>
  </si>
  <si>
    <t>9B11160077</t>
  </si>
  <si>
    <t>8A11160081</t>
  </si>
  <si>
    <t>9B11160097</t>
  </si>
  <si>
    <t>8A11160070</t>
  </si>
  <si>
    <t>9B11160017</t>
  </si>
  <si>
    <t>9B11160153</t>
  </si>
  <si>
    <t>8A11160060</t>
  </si>
  <si>
    <t>9B11160131</t>
  </si>
  <si>
    <t>8A11160011</t>
  </si>
  <si>
    <t>9B11160098</t>
  </si>
  <si>
    <t>8A11160120</t>
  </si>
  <si>
    <t>9B11160018</t>
  </si>
  <si>
    <t>9B11160045</t>
  </si>
  <si>
    <t>8A11160007</t>
  </si>
  <si>
    <t>9B11160154</t>
  </si>
  <si>
    <t>8A11160107</t>
  </si>
  <si>
    <t>9B11160078</t>
  </si>
  <si>
    <t>8A11160092</t>
  </si>
  <si>
    <t>9B11160019</t>
  </si>
  <si>
    <t>9B11160132</t>
  </si>
  <si>
    <t>8A11160061</t>
  </si>
  <si>
    <t>9B11160051</t>
  </si>
  <si>
    <t>8A11160012</t>
  </si>
  <si>
    <t>9B11160155</t>
  </si>
  <si>
    <t>8A11160074</t>
  </si>
  <si>
    <t>9B11160133</t>
  </si>
  <si>
    <t>9B11160099</t>
  </si>
  <si>
    <t>8A11160044</t>
  </si>
  <si>
    <t>9B11160063</t>
  </si>
  <si>
    <t>8A11160062</t>
  </si>
  <si>
    <t>9B11160134</t>
  </si>
  <si>
    <t>8A11160118</t>
  </si>
  <si>
    <t>9B11160020</t>
  </si>
  <si>
    <t>9B11160052</t>
  </si>
  <si>
    <t>8A11160039</t>
  </si>
  <si>
    <t>9B11160088</t>
  </si>
  <si>
    <t>8A11160028</t>
  </si>
  <si>
    <t>9B11160021</t>
  </si>
  <si>
    <t>8A11160108</t>
  </si>
  <si>
    <t>9B11160081</t>
  </si>
  <si>
    <t>9B11160135</t>
  </si>
  <si>
    <t>8A11160063</t>
  </si>
  <si>
    <t>9B11160046</t>
  </si>
  <si>
    <t>8A11160075</t>
  </si>
  <si>
    <t>9B11160156</t>
  </si>
  <si>
    <t>8A11160013</t>
  </si>
  <si>
    <t>9B11160100</t>
  </si>
  <si>
    <t>8A11160093</t>
  </si>
  <si>
    <t>9B11160022</t>
  </si>
  <si>
    <t>9B11160136</t>
  </si>
  <si>
    <t>8A11160064</t>
  </si>
  <si>
    <t>9B11160064</t>
  </si>
  <si>
    <t>8A11160014</t>
  </si>
  <si>
    <t>9B11160023</t>
  </si>
  <si>
    <t>8A11160040</t>
  </si>
  <si>
    <t>9B11160101</t>
  </si>
  <si>
    <t>9B11160137</t>
  </si>
  <si>
    <t>8A11160100</t>
  </si>
  <si>
    <t>9B11160138</t>
  </si>
  <si>
    <t>8A11160065</t>
  </si>
  <si>
    <t>9B11160057</t>
  </si>
  <si>
    <t>8A11160119</t>
  </si>
  <si>
    <t>9B11160102</t>
  </si>
  <si>
    <t>9B11160031</t>
  </si>
  <si>
    <t>8A11160016</t>
  </si>
  <si>
    <t>9B11160079</t>
  </si>
  <si>
    <t>8A11160082</t>
  </si>
  <si>
    <t>9B11160103</t>
  </si>
  <si>
    <t>8A11160094</t>
  </si>
  <si>
    <t>9B11160024</t>
  </si>
  <si>
    <t xml:space="preserve">z </t>
  </si>
  <si>
    <t>Z2</t>
  </si>
  <si>
    <t>Z0</t>
  </si>
  <si>
    <t>T3</t>
  </si>
  <si>
    <t>9B11170114</t>
  </si>
  <si>
    <t>8A11170016</t>
  </si>
  <si>
    <t>9B11170037</t>
  </si>
  <si>
    <t>8A11170065</t>
  </si>
  <si>
    <t>9B11170071</t>
  </si>
  <si>
    <t>8A11170097</t>
  </si>
  <si>
    <t>9B11170145</t>
  </si>
  <si>
    <t>9B11170055</t>
  </si>
  <si>
    <t>8A11170043</t>
  </si>
  <si>
    <t>9B11170002</t>
  </si>
  <si>
    <t>8A11170087</t>
  </si>
  <si>
    <t>9B11170107</t>
  </si>
  <si>
    <t>8A11170121</t>
  </si>
  <si>
    <t>9B11170115</t>
  </si>
  <si>
    <t>8A11170045</t>
  </si>
  <si>
    <t>9B11170116</t>
  </si>
  <si>
    <t>9B11170038</t>
  </si>
  <si>
    <t>8A11170076</t>
  </si>
  <si>
    <t>9B11170072</t>
  </si>
  <si>
    <t>8A11170022</t>
  </si>
  <si>
    <t>9B11170058</t>
  </si>
  <si>
    <t>8A11170017</t>
  </si>
  <si>
    <t>9B11170003</t>
  </si>
  <si>
    <t>9B11170109</t>
  </si>
  <si>
    <t>8A11170088</t>
  </si>
  <si>
    <t>9B11170048</t>
  </si>
  <si>
    <t>8A11170073</t>
  </si>
  <si>
    <t>9B11170156</t>
  </si>
  <si>
    <t>8A11170046</t>
  </si>
  <si>
    <t>9B11170146</t>
  </si>
  <si>
    <t>9B11170069</t>
  </si>
  <si>
    <t>8A11170110</t>
  </si>
  <si>
    <t>9B11170034</t>
  </si>
  <si>
    <t>8A11170030</t>
  </si>
  <si>
    <t>9B11170110</t>
  </si>
  <si>
    <t>8A11170099</t>
  </si>
  <si>
    <t>9B11170084</t>
  </si>
  <si>
    <t>8A11170005</t>
  </si>
  <si>
    <t>9B11170004</t>
  </si>
  <si>
    <t>9B11170102</t>
  </si>
  <si>
    <t>8A11170031</t>
  </si>
  <si>
    <t>9B11170025</t>
  </si>
  <si>
    <t>8A11170096</t>
  </si>
  <si>
    <t>9B11170138</t>
  </si>
  <si>
    <t>8A11170077</t>
  </si>
  <si>
    <t>9B11170039</t>
  </si>
  <si>
    <t>9B11170117</t>
  </si>
  <si>
    <t>8A11170047</t>
  </si>
  <si>
    <t>9B11170062</t>
  </si>
  <si>
    <t>8A11170113</t>
  </si>
  <si>
    <t>9B11170144</t>
  </si>
  <si>
    <t>8A11170048</t>
  </si>
  <si>
    <t>9B11170026</t>
  </si>
  <si>
    <t>8A11170015</t>
  </si>
  <si>
    <t>9B11170089</t>
  </si>
  <si>
    <t>9B11170118</t>
  </si>
  <si>
    <t>8A11170032</t>
  </si>
  <si>
    <t>9B11170047</t>
  </si>
  <si>
    <t>8A11170104</t>
  </si>
  <si>
    <t>9B11170139</t>
  </si>
  <si>
    <t>8A11170002</t>
  </si>
  <si>
    <t>9B11170073</t>
  </si>
  <si>
    <t>9B11170035</t>
  </si>
  <si>
    <t>8A11170074</t>
  </si>
  <si>
    <t>9B11170111</t>
  </si>
  <si>
    <t>8A11170006</t>
  </si>
  <si>
    <t>9B11170027</t>
  </si>
  <si>
    <t>8A11170033</t>
  </si>
  <si>
    <t>9B11170103</t>
  </si>
  <si>
    <t>9B11170074</t>
  </si>
  <si>
    <t>8A11170089</t>
  </si>
  <si>
    <t>9B11170005</t>
  </si>
  <si>
    <t>8A11170106</t>
  </si>
  <si>
    <t>9B11170090</t>
  </si>
  <si>
    <t>8A11170072</t>
  </si>
  <si>
    <t>9B11170112</t>
  </si>
  <si>
    <t>8A11170023</t>
  </si>
  <si>
    <t>9B11170006</t>
  </si>
  <si>
    <t>9B11170104</t>
  </si>
  <si>
    <t>8A11170049</t>
  </si>
  <si>
    <t>9B11170157</t>
  </si>
  <si>
    <t>8A11170004</t>
  </si>
  <si>
    <t>9B11170036</t>
  </si>
  <si>
    <t>8A11170120</t>
  </si>
  <si>
    <t>9B11170080</t>
  </si>
  <si>
    <t>9B11170113</t>
  </si>
  <si>
    <t>8A11170034</t>
  </si>
  <si>
    <t>9B11170028</t>
  </si>
  <si>
    <t>8A11170050</t>
  </si>
  <si>
    <t>9B11170119</t>
  </si>
  <si>
    <t>8A11170001</t>
  </si>
  <si>
    <t>9B11170070</t>
  </si>
  <si>
    <t>9B11170049</t>
  </si>
  <si>
    <t>8A11170051</t>
  </si>
  <si>
    <t>9B11170120</t>
  </si>
  <si>
    <t>8A11170101</t>
  </si>
  <si>
    <t>9B11170057</t>
  </si>
  <si>
    <t>8A11170052</t>
  </si>
  <si>
    <t>9B11170029</t>
  </si>
  <si>
    <t>8A11170090</t>
  </si>
  <si>
    <t>9B11170007</t>
  </si>
  <si>
    <t>9B11170121</t>
  </si>
  <si>
    <t>8A11170035</t>
  </si>
  <si>
    <t>9B11170105</t>
  </si>
  <si>
    <t>8A11170111</t>
  </si>
  <si>
    <t>9B11170063</t>
  </si>
  <si>
    <t>8A11170071</t>
  </si>
  <si>
    <t>9B11170008</t>
  </si>
  <si>
    <t>9B11170087</t>
  </si>
  <si>
    <t>8A11170078</t>
  </si>
  <si>
    <t>9B11170091</t>
  </si>
  <si>
    <t>8A11170007</t>
  </si>
  <si>
    <t>9B11170009</t>
  </si>
  <si>
    <t>8A11170107</t>
  </si>
  <si>
    <t>9B11170140</t>
  </si>
  <si>
    <t>9B11170040</t>
  </si>
  <si>
    <t>8A11170018</t>
  </si>
  <si>
    <t>9B11170075</t>
  </si>
  <si>
    <t>8A11170024</t>
  </si>
  <si>
    <t>9B11170122</t>
  </si>
  <si>
    <t>8A11170084</t>
  </si>
  <si>
    <t>9B11170001</t>
  </si>
  <si>
    <t>8A11170040</t>
  </si>
  <si>
    <t>9B11170141</t>
  </si>
  <si>
    <t>9B11170085</t>
  </si>
  <si>
    <t>8A11170114</t>
  </si>
  <si>
    <t>9B11170056</t>
  </si>
  <si>
    <t>8A11170066</t>
  </si>
  <si>
    <t>9B11170147</t>
  </si>
  <si>
    <t>8A11170036</t>
  </si>
  <si>
    <t>9B11170123</t>
  </si>
  <si>
    <t>9B11170041</t>
  </si>
  <si>
    <t>8A11170085</t>
  </si>
  <si>
    <t>9B11170076</t>
  </si>
  <si>
    <t>8A11170079</t>
  </si>
  <si>
    <t>9B11170010</t>
  </si>
  <si>
    <t>8A11170100</t>
  </si>
  <si>
    <t>9B11170092</t>
  </si>
  <si>
    <t>8A11170008</t>
  </si>
  <si>
    <t>9B11170148</t>
  </si>
  <si>
    <t>9B11170011</t>
  </si>
  <si>
    <t>8A11170019</t>
  </si>
  <si>
    <t>9B11170064</t>
  </si>
  <si>
    <t>8A11170053</t>
  </si>
  <si>
    <t>9B11170106</t>
  </si>
  <si>
    <t>8A11170029</t>
  </si>
  <si>
    <t>9B11170142</t>
  </si>
  <si>
    <t>9B11170012</t>
  </si>
  <si>
    <t>8A11170115</t>
  </si>
  <si>
    <t>9B11170149</t>
  </si>
  <si>
    <t>8A11170054</t>
  </si>
  <si>
    <t>9B11170053</t>
  </si>
  <si>
    <t>8A11170067</t>
  </si>
  <si>
    <t>9B11170124</t>
  </si>
  <si>
    <t>9B11170042</t>
  </si>
  <si>
    <t>8A11170009</t>
  </si>
  <si>
    <t>9B11170081</t>
  </si>
  <si>
    <t>8A11170086</t>
  </si>
  <si>
    <t>9B11170125</t>
  </si>
  <si>
    <t>8A11170105</t>
  </si>
  <si>
    <t>9B11170150</t>
  </si>
  <si>
    <t>8A11170055</t>
  </si>
  <si>
    <t>9B11170050</t>
  </si>
  <si>
    <t>9B11170126</t>
  </si>
  <si>
    <t>8A11170037</t>
  </si>
  <si>
    <t>9B11170061</t>
  </si>
  <si>
    <t>8A11170056</t>
  </si>
  <si>
    <t>9B11170031</t>
  </si>
  <si>
    <t>8A11170116</t>
  </si>
  <si>
    <t>9B11170013</t>
  </si>
  <si>
    <t>9B11170065</t>
  </si>
  <si>
    <t>8A11170025</t>
  </si>
  <si>
    <t>9B11170059</t>
  </si>
  <si>
    <t>8A11170080</t>
  </si>
  <si>
    <t>9B11170127</t>
  </si>
  <si>
    <t>8A11170038</t>
  </si>
  <si>
    <t>9B11170128</t>
  </si>
  <si>
    <t>9B11170014</t>
  </si>
  <si>
    <t>8A11170044</t>
  </si>
  <si>
    <t>9B11170093</t>
  </si>
  <si>
    <t>8A11170068</t>
  </si>
  <si>
    <t>9B11170077</t>
  </si>
  <si>
    <t>8A11170108</t>
  </si>
  <si>
    <t>9B11170015</t>
  </si>
  <si>
    <t>8A11170026</t>
  </si>
  <si>
    <t>9B11170108</t>
  </si>
  <si>
    <t>9B11170043</t>
  </si>
  <si>
    <t>8A11170091</t>
  </si>
  <si>
    <t>9B11170129</t>
  </si>
  <si>
    <t>8A11170057</t>
  </si>
  <si>
    <t>9B11170032</t>
  </si>
  <si>
    <t>8A11170039</t>
  </si>
  <si>
    <t>9B11170130</t>
  </si>
  <si>
    <t>9B11170094</t>
  </si>
  <si>
    <t>8A11170003</t>
  </si>
  <si>
    <t>9B11170030</t>
  </si>
  <si>
    <t>8A11170102</t>
  </si>
  <si>
    <t>9B11170131</t>
  </si>
  <si>
    <t>8A11170058</t>
  </si>
  <si>
    <t>9B11170044</t>
  </si>
  <si>
    <t>9B11170078</t>
  </si>
  <si>
    <t>8A11170010</t>
  </si>
  <si>
    <t>9B11170095</t>
  </si>
  <si>
    <t>8A11170117</t>
  </si>
  <si>
    <t>9B11170016</t>
  </si>
  <si>
    <t>8A11170041</t>
  </si>
  <si>
    <t>9B11170151</t>
  </si>
  <si>
    <t>8A11170092</t>
  </si>
  <si>
    <t>9B11170086</t>
  </si>
  <si>
    <t>9B11170066</t>
  </si>
  <si>
    <t>8A11170059</t>
  </si>
  <si>
    <t>9B11170054</t>
  </si>
  <si>
    <t>8A11170069</t>
  </si>
  <si>
    <t>9B11170132</t>
  </si>
  <si>
    <t>8A11170112</t>
  </si>
  <si>
    <t>9B11170143</t>
  </si>
  <si>
    <t>9B11170096</t>
  </si>
  <si>
    <t>8A11170020</t>
  </si>
  <si>
    <t>9B11170017</t>
  </si>
  <si>
    <t>8A11170027</t>
  </si>
  <si>
    <t>9B11170082</t>
  </si>
  <si>
    <t>8A11170011</t>
  </si>
  <si>
    <t>9B11170018</t>
  </si>
  <si>
    <t>9B11170045</t>
  </si>
  <si>
    <t>8A11170081</t>
  </si>
  <si>
    <t>9B11170133</t>
  </si>
  <si>
    <t>8A11170060</t>
  </si>
  <si>
    <t>9B11170134</t>
  </si>
  <si>
    <t>8A11170098</t>
  </si>
  <si>
    <t>9B11170051</t>
  </si>
  <si>
    <t>8A11170093</t>
  </si>
  <si>
    <t>9B11170152</t>
  </si>
  <si>
    <t>9B11170097</t>
  </si>
  <si>
    <t>8A11170021</t>
  </si>
  <si>
    <t>9B11170079</t>
  </si>
  <si>
    <t>8A11170042</t>
  </si>
  <si>
    <t>9B11170019</t>
  </si>
  <si>
    <t>8A11170118</t>
  </si>
  <si>
    <t>9B11170060</t>
  </si>
  <si>
    <t>9B11170067</t>
  </si>
  <si>
    <t>8A11170075</t>
  </si>
  <si>
    <t>9B11170153</t>
  </si>
  <si>
    <t>8A11170082</t>
  </si>
  <si>
    <t>9B11170020</t>
  </si>
  <si>
    <t>8A11170094</t>
  </si>
  <si>
    <t>9B11170098</t>
  </si>
  <si>
    <t>8A11170109</t>
  </si>
  <si>
    <t>9B11170021</t>
  </si>
  <si>
    <t>9B11170135</t>
  </si>
  <si>
    <t>8A11170061</t>
  </si>
  <si>
    <t>9B11170033</t>
  </si>
  <si>
    <t>8A11170012</t>
  </si>
  <si>
    <t>9B11170099</t>
  </si>
  <si>
    <t>8A11170028</t>
  </si>
  <si>
    <t>9B11170083</t>
  </si>
  <si>
    <t>9B11170046</t>
  </si>
  <si>
    <t>8A11170070</t>
  </si>
  <si>
    <t>9B11170136</t>
  </si>
  <si>
    <t>8A11170062</t>
  </si>
  <si>
    <t>9B11170137</t>
  </si>
  <si>
    <t>8A11170063</t>
  </si>
  <si>
    <t>9B11170052</t>
  </si>
  <si>
    <t>9B11170022</t>
  </si>
  <si>
    <t>8A11170013</t>
  </si>
  <si>
    <t>9B11170154</t>
  </si>
  <si>
    <t>8A11170103</t>
  </si>
  <si>
    <t>9B11170068</t>
  </si>
  <si>
    <t>8A11170014</t>
  </si>
  <si>
    <t>9B11170100</t>
  </si>
  <si>
    <t>8A11170119</t>
  </si>
  <si>
    <t>9B11170023</t>
  </si>
  <si>
    <t>9B11170088</t>
  </si>
  <si>
    <t>8A11170064</t>
  </si>
  <si>
    <t>9B11170155</t>
  </si>
  <si>
    <t>8A11170083</t>
  </si>
  <si>
    <t>9B11170101</t>
  </si>
  <si>
    <t>8A11170095</t>
  </si>
  <si>
    <t>9B11170024</t>
  </si>
  <si>
    <t>S2</t>
  </si>
  <si>
    <t>9B11180002</t>
  </si>
  <si>
    <t>8A11180017</t>
  </si>
  <si>
    <t>9B11180091</t>
  </si>
  <si>
    <t>8A11180077</t>
  </si>
  <si>
    <t>9B11180086</t>
  </si>
  <si>
    <t>8A11180114</t>
  </si>
  <si>
    <t>9B11180026</t>
  </si>
  <si>
    <t>9B11180064</t>
  </si>
  <si>
    <t>8A11180059</t>
  </si>
  <si>
    <t>9B11180117</t>
  </si>
  <si>
    <t>8A11180082</t>
  </si>
  <si>
    <t>9B11180107</t>
  </si>
  <si>
    <t>8A11180104</t>
  </si>
  <si>
    <t>9B11180118</t>
  </si>
  <si>
    <t>9B11180032</t>
  </si>
  <si>
    <t>8A11180012</t>
  </si>
  <si>
    <t>9B11180035</t>
  </si>
  <si>
    <t>8A11180039</t>
  </si>
  <si>
    <t>9B11180119</t>
  </si>
  <si>
    <t>8A11180048</t>
  </si>
  <si>
    <t>9B11180073</t>
  </si>
  <si>
    <t>9B11180038</t>
  </si>
  <si>
    <t>8A11180007</t>
  </si>
  <si>
    <t>9B11180120</t>
  </si>
  <si>
    <t>8A11180018</t>
  </si>
  <si>
    <t>9B11180121</t>
  </si>
  <si>
    <t>8A11180083</t>
  </si>
  <si>
    <t>9B11180051</t>
  </si>
  <si>
    <t>8A11180096</t>
  </si>
  <si>
    <t>9B11180146</t>
  </si>
  <si>
    <t>9B11180001</t>
  </si>
  <si>
    <t>8A11180071</t>
  </si>
  <si>
    <t>9B11180074</t>
  </si>
  <si>
    <t>8A11180019</t>
  </si>
  <si>
    <t>9B11180122</t>
  </si>
  <si>
    <t>8A11180115</t>
  </si>
  <si>
    <t>9B11180123</t>
  </si>
  <si>
    <t>9B11180036</t>
  </si>
  <si>
    <t>8A11180061</t>
  </si>
  <si>
    <t>9B11180147</t>
  </si>
  <si>
    <t>8A11180080</t>
  </si>
  <si>
    <t>9B11180003</t>
  </si>
  <si>
    <t>8A11180008</t>
  </si>
  <si>
    <t>9B11180108</t>
  </si>
  <si>
    <t>9B11180075</t>
  </si>
  <si>
    <t>8A11180062</t>
  </si>
  <si>
    <t>9B11180004</t>
  </si>
  <si>
    <t>8A11180101</t>
  </si>
  <si>
    <t>9B11180058</t>
  </si>
  <si>
    <t>8A11180040</t>
  </si>
  <si>
    <t>9B11180065</t>
  </si>
  <si>
    <t>9B11180111</t>
  </si>
  <si>
    <t>8A11180020</t>
  </si>
  <si>
    <t>9B11180039</t>
  </si>
  <si>
    <t>8A11180021</t>
  </si>
  <si>
    <t>9B11180124</t>
  </si>
  <si>
    <t>8A11180049</t>
  </si>
  <si>
    <t>9B11180116</t>
  </si>
  <si>
    <t>9B11180040</t>
  </si>
  <si>
    <t>8A11180009</t>
  </si>
  <si>
    <t>9B11180027</t>
  </si>
  <si>
    <t>8A11180109</t>
  </si>
  <si>
    <t>9B11180112</t>
  </si>
  <si>
    <t>8A11180063</t>
  </si>
  <si>
    <t>9B11180157</t>
  </si>
  <si>
    <t>9B11180044</t>
  </si>
  <si>
    <t>8A11180013</t>
  </si>
  <si>
    <t>9B11180005</t>
  </si>
  <si>
    <t>8A11180072</t>
  </si>
  <si>
    <t>9B11180158</t>
  </si>
  <si>
    <t>8A11180098</t>
  </si>
  <si>
    <t>9B11180105</t>
  </si>
  <si>
    <t>8A11180004</t>
  </si>
  <si>
    <t>9B11180148</t>
  </si>
  <si>
    <t>9B11180066</t>
  </si>
  <si>
    <t>8A11180022</t>
  </si>
  <si>
    <t>9B11180006</t>
  </si>
  <si>
    <t>8A11180089</t>
  </si>
  <si>
    <t>9B11180076</t>
  </si>
  <si>
    <t>8A11180116</t>
  </si>
  <si>
    <t>9B11180092</t>
  </si>
  <si>
    <t>9B11180007</t>
  </si>
  <si>
    <t>8A11180081</t>
  </si>
  <si>
    <t>9B11180089</t>
  </si>
  <si>
    <t>8A11180064</t>
  </si>
  <si>
    <t>9B11180048</t>
  </si>
  <si>
    <t>8A11180046</t>
  </si>
  <si>
    <t>9B11180125</t>
  </si>
  <si>
    <t>9B11180113</t>
  </si>
  <si>
    <t>8A11180023</t>
  </si>
  <si>
    <t>9B11180041</t>
  </si>
  <si>
    <t>8A11180079</t>
  </si>
  <si>
    <t>9B11180109</t>
  </si>
  <si>
    <t>8A11180105</t>
  </si>
  <si>
    <t>9B11180077</t>
  </si>
  <si>
    <t>9B11180028</t>
  </si>
  <si>
    <t>8A11180065</t>
  </si>
  <si>
    <t>9B11180106</t>
  </si>
  <si>
    <t>8A11180088</t>
  </si>
  <si>
    <t>9B11180008</t>
  </si>
  <si>
    <t>8A11180090</t>
  </si>
  <si>
    <t>9B11180114</t>
  </si>
  <si>
    <t>9B11180093</t>
  </si>
  <si>
    <t>8A11180014</t>
  </si>
  <si>
    <t>9B11180009</t>
  </si>
  <si>
    <t>8A11180110</t>
  </si>
  <si>
    <t>9B11180149</t>
  </si>
  <si>
    <t>8A11180073</t>
  </si>
  <si>
    <t>9B11180078</t>
  </si>
  <si>
    <t>9B11180042</t>
  </si>
  <si>
    <t>8A11180024</t>
  </si>
  <si>
    <t>9B11180126</t>
  </si>
  <si>
    <t>8A11180050</t>
  </si>
  <si>
    <t>9B11180010</t>
  </si>
  <si>
    <t>8A11180005</t>
  </si>
  <si>
    <t>9B11180059</t>
  </si>
  <si>
    <t>8A11180041</t>
  </si>
  <si>
    <t>9B11180067</t>
  </si>
  <si>
    <t>9B11180115</t>
  </si>
  <si>
    <t>8A11180112</t>
  </si>
  <si>
    <t>9B11180011</t>
  </si>
  <si>
    <t>8A11180066</t>
  </si>
  <si>
    <t>9B11180049</t>
  </si>
  <si>
    <t>8A11180102</t>
  </si>
  <si>
    <t>9B11180060</t>
  </si>
  <si>
    <t>9B11180127</t>
  </si>
  <si>
    <t>8A11180025</t>
  </si>
  <si>
    <t>9B11180150</t>
  </si>
  <si>
    <t>8A11180091</t>
  </si>
  <si>
    <t>9B11180012</t>
  </si>
  <si>
    <t>8A11180067</t>
  </si>
  <si>
    <t>9B11180079</t>
  </si>
  <si>
    <t>9B11180061</t>
  </si>
  <si>
    <t>8A11180051</t>
  </si>
  <si>
    <t>9B11180142</t>
  </si>
  <si>
    <t>8A11180026</t>
  </si>
  <si>
    <t>9B11180056</t>
  </si>
  <si>
    <t>8A11180097</t>
  </si>
  <si>
    <t>9B11180029</t>
  </si>
  <si>
    <t>9B11180128</t>
  </si>
  <si>
    <t>8A11180027</t>
  </si>
  <si>
    <t>9B11180068</t>
  </si>
  <si>
    <t>8A11180028</t>
  </si>
  <si>
    <t>9B11180129</t>
  </si>
  <si>
    <t>8A11180047</t>
  </si>
  <si>
    <t>9B11180043</t>
  </si>
  <si>
    <t>9B11180013</t>
  </si>
  <si>
    <t>8A11180113</t>
  </si>
  <si>
    <t>9B11180090</t>
  </si>
  <si>
    <t>8A11180068</t>
  </si>
  <si>
    <t>9B11180052</t>
  </si>
  <si>
    <t>8A11180052</t>
  </si>
  <si>
    <t>9B11180130</t>
  </si>
  <si>
    <t>9B11180080</t>
  </si>
  <si>
    <t>8A11180029</t>
  </si>
  <si>
    <t>9B11180094</t>
  </si>
  <si>
    <t>8A11180084</t>
  </si>
  <si>
    <t>9B11180087</t>
  </si>
  <si>
    <t>8A11180042</t>
  </si>
  <si>
    <t>9B11180014</t>
  </si>
  <si>
    <t>9B11180095</t>
  </si>
  <si>
    <t>8A11180106</t>
  </si>
  <si>
    <t>9B11180143</t>
  </si>
  <si>
    <t>8A11180053</t>
  </si>
  <si>
    <t>9B11180069</t>
  </si>
  <si>
    <t>8A11180011</t>
  </si>
  <si>
    <t>9B11180015</t>
  </si>
  <si>
    <t>8A11180069</t>
  </si>
  <si>
    <t>9B11180151</t>
  </si>
  <si>
    <t>9B11180045</t>
  </si>
  <si>
    <t>8A11180092</t>
  </si>
  <si>
    <t>9B11180016</t>
  </si>
  <si>
    <t>8A11180111</t>
  </si>
  <si>
    <t>9B11180017</t>
  </si>
  <si>
    <t>8A11180074</t>
  </si>
  <si>
    <t>9B11180081</t>
  </si>
  <si>
    <t>9B11180062</t>
  </si>
  <si>
    <t>8A11180030</t>
  </si>
  <si>
    <t>9B11180152</t>
  </si>
  <si>
    <t>8A11180093</t>
  </si>
  <si>
    <t>9B11180050</t>
  </si>
  <si>
    <t>8A11180099</t>
  </si>
  <si>
    <t>9B11180018</t>
  </si>
  <si>
    <t>9B11180096</t>
  </si>
  <si>
    <t>8A11180054</t>
  </si>
  <si>
    <t>9B11180131</t>
  </si>
  <si>
    <t>8A11180015</t>
  </si>
  <si>
    <t>9B11180132</t>
  </si>
  <si>
    <t>8A11180043</t>
  </si>
  <si>
    <t>9B11180097</t>
  </si>
  <si>
    <t>9B11180033</t>
  </si>
  <si>
    <t>8A11180085</t>
  </si>
  <si>
    <t>9B11180110</t>
  </si>
  <si>
    <t>8A11180117</t>
  </si>
  <si>
    <t>9B11180133</t>
  </si>
  <si>
    <t>8A11180060</t>
  </si>
  <si>
    <t>9B11180019</t>
  </si>
  <si>
    <t>9B11180098</t>
  </si>
  <si>
    <t>8A11180031</t>
  </si>
  <si>
    <t>9B11180082</t>
  </si>
  <si>
    <t>8A11180070</t>
  </si>
  <si>
    <t>9B11180030</t>
  </si>
  <si>
    <t>8A11180055</t>
  </si>
  <si>
    <t>9B11180063</t>
  </si>
  <si>
    <t>9B11180020</t>
  </si>
  <si>
    <t>8A11180094</t>
  </si>
  <si>
    <t>9B11180083</t>
  </si>
  <si>
    <t>8A11180107</t>
  </si>
  <si>
    <t>9B11180099</t>
  </si>
  <si>
    <t>8A11180032</t>
  </si>
  <si>
    <t>9B11180144</t>
  </si>
  <si>
    <t>8A11180044</t>
  </si>
  <si>
    <t>9B11180034</t>
  </si>
  <si>
    <t>9B11180070</t>
  </si>
  <si>
    <t>8A11180016</t>
  </si>
  <si>
    <t>9B11180134</t>
  </si>
  <si>
    <t>8A11180086</t>
  </si>
  <si>
    <t>9B11180100</t>
  </si>
  <si>
    <t>8A11180118</t>
  </si>
  <si>
    <t>9B11180021</t>
  </si>
  <si>
    <t>9B11180088</t>
  </si>
  <si>
    <t>8A11180056</t>
  </si>
  <si>
    <t>9B11180053</t>
  </si>
  <si>
    <t>8A11180075</t>
  </si>
  <si>
    <t>9B11180153</t>
  </si>
  <si>
    <t>8A11180103</t>
  </si>
  <si>
    <t>9B11180046</t>
  </si>
  <si>
    <t>9B11180135</t>
  </si>
  <si>
    <t>8A11180033</t>
  </si>
  <si>
    <t>9B11180145</t>
  </si>
  <si>
    <t>8A11180010</t>
  </si>
  <si>
    <t>9B11180037</t>
  </si>
  <si>
    <t>8A11180076</t>
  </si>
  <si>
    <t>9B11180022</t>
  </si>
  <si>
    <t>9B11180154</t>
  </si>
  <si>
    <t>8A11180006</t>
  </si>
  <si>
    <t>9B11180084</t>
  </si>
  <si>
    <t>8A11180034</t>
  </si>
  <si>
    <t>9B11180101</t>
  </si>
  <si>
    <t>8A11180119</t>
  </si>
  <si>
    <t>9B11180136</t>
  </si>
  <si>
    <t>9B11180023</t>
  </si>
  <si>
    <t>8A11180057</t>
  </si>
  <si>
    <t>9B11180071</t>
  </si>
  <si>
    <t>8A11180035</t>
  </si>
  <si>
    <t>9B11180155</t>
  </si>
  <si>
    <t>8A11180001</t>
  </si>
  <si>
    <t>9B11180054</t>
  </si>
  <si>
    <t>9B11180137</t>
  </si>
  <si>
    <t>8A11180108</t>
  </si>
  <si>
    <t>9B11180102</t>
  </si>
  <si>
    <t>8A11180058</t>
  </si>
  <si>
    <t>9B11180024</t>
  </si>
  <si>
    <t>8A11180095</t>
  </si>
  <si>
    <t>9B11180085</t>
  </si>
  <si>
    <t>8A11180045</t>
  </si>
  <si>
    <t>9B11180138</t>
  </si>
  <si>
    <t>9B11180055</t>
  </si>
  <si>
    <t>8A11180002</t>
  </si>
  <si>
    <t>9B11180025</t>
  </si>
  <si>
    <t>8A11180036</t>
  </si>
  <si>
    <t>9B11180103</t>
  </si>
  <si>
    <t>8A11180120</t>
  </si>
  <si>
    <t>9B11180139</t>
  </si>
  <si>
    <t>9B11180047</t>
  </si>
  <si>
    <t>8A11180078</t>
  </si>
  <si>
    <t>9B11180156</t>
  </si>
  <si>
    <t>8A11180003</t>
  </si>
  <si>
    <t>9B11180031</t>
  </si>
  <si>
    <t>8A11180100</t>
  </si>
  <si>
    <t>9B11180057</t>
  </si>
  <si>
    <t>9B11180072</t>
  </si>
  <si>
    <t>8A11180037</t>
  </si>
  <si>
    <t>9B11180140</t>
  </si>
  <si>
    <t>8A11180087</t>
  </si>
  <si>
    <t>9B11180104</t>
  </si>
  <si>
    <t>8A11180038</t>
  </si>
  <si>
    <t>9B11180141</t>
  </si>
  <si>
    <t>9B11190154</t>
  </si>
  <si>
    <t>8A11190014</t>
  </si>
  <si>
    <t>9B11190037</t>
  </si>
  <si>
    <t>8A11190067</t>
  </si>
  <si>
    <t>9B11190116</t>
  </si>
  <si>
    <t>8A11190097</t>
  </si>
  <si>
    <t>9B11190080</t>
  </si>
  <si>
    <t>8A11190050</t>
  </si>
  <si>
    <t>9B11190051</t>
  </si>
  <si>
    <t>9B11190117</t>
  </si>
  <si>
    <t>8A11190048</t>
  </si>
  <si>
    <t>9B11190025</t>
  </si>
  <si>
    <t>8A11190110</t>
  </si>
  <si>
    <t>9B11190057</t>
  </si>
  <si>
    <t>8A11190066</t>
  </si>
  <si>
    <t>9B11190002</t>
  </si>
  <si>
    <t>9B11190063</t>
  </si>
  <si>
    <t>8A11190015</t>
  </si>
  <si>
    <t>9B11190118</t>
  </si>
  <si>
    <t>8A11190073</t>
  </si>
  <si>
    <t>9B11190119</t>
  </si>
  <si>
    <t>8A11190035</t>
  </si>
  <si>
    <t>9B11190043</t>
  </si>
  <si>
    <t>8A11190008</t>
  </si>
  <si>
    <t>9B11190108</t>
  </si>
  <si>
    <t>9B11190035</t>
  </si>
  <si>
    <t>8A11190069</t>
  </si>
  <si>
    <t>9B11190155</t>
  </si>
  <si>
    <t>8A11190114</t>
  </si>
  <si>
    <t>9B11190120</t>
  </si>
  <si>
    <t>8A11190081</t>
  </si>
  <si>
    <t>9B11190081</t>
  </si>
  <si>
    <t>9B11190044</t>
  </si>
  <si>
    <t>8A11190001</t>
  </si>
  <si>
    <t>9B11190143</t>
  </si>
  <si>
    <t>8A11190102</t>
  </si>
  <si>
    <t>9B11190038</t>
  </si>
  <si>
    <t>8A11190016</t>
  </si>
  <si>
    <t>9B11190139</t>
  </si>
  <si>
    <t>8A11190074</t>
  </si>
  <si>
    <t>9B11190121</t>
  </si>
  <si>
    <t>9B11190001</t>
  </si>
  <si>
    <t>8A11190088</t>
  </si>
  <si>
    <t>9B11190109</t>
  </si>
  <si>
    <t>8A11190036</t>
  </si>
  <si>
    <t>9B11190064</t>
  </si>
  <si>
    <t>8A11190049</t>
  </si>
  <si>
    <t>9B11190084</t>
  </si>
  <si>
    <t>9B11190047</t>
  </si>
  <si>
    <t>8A11190107</t>
  </si>
  <si>
    <t>9B11190003</t>
  </si>
  <si>
    <t>8A11190017</t>
  </si>
  <si>
    <t>9B11190122</t>
  </si>
  <si>
    <t>8A11190112</t>
  </si>
  <si>
    <t>9B11190144</t>
  </si>
  <si>
    <t>8A11190053</t>
  </si>
  <si>
    <t>9B11190036</t>
  </si>
  <si>
    <t>9B11190082</t>
  </si>
  <si>
    <t>8A11190009</t>
  </si>
  <si>
    <t>9B11190110</t>
  </si>
  <si>
    <t>8A11190082</t>
  </si>
  <si>
    <t>9B11190039</t>
  </si>
  <si>
    <t>8A11190044</t>
  </si>
  <si>
    <t>9B11190140</t>
  </si>
  <si>
    <t>9B11190145</t>
  </si>
  <si>
    <t>8A11190005</t>
  </si>
  <si>
    <t>9B11190048</t>
  </si>
  <si>
    <t>8A11190054</t>
  </si>
  <si>
    <t>9B11190071</t>
  </si>
  <si>
    <t>8A11190018</t>
  </si>
  <si>
    <t>9B11190123</t>
  </si>
  <si>
    <t>8A11190109</t>
  </si>
  <si>
    <t>9B11190040</t>
  </si>
  <si>
    <t>9B11190111</t>
  </si>
  <si>
    <t>8A11190083</t>
  </si>
  <si>
    <t>9B11190106</t>
  </si>
  <si>
    <t>8A11190037</t>
  </si>
  <si>
    <t>9B11190004</t>
  </si>
  <si>
    <t>8A11190055</t>
  </si>
  <si>
    <t>9B11190101</t>
  </si>
  <si>
    <t>8A11190113</t>
  </si>
  <si>
    <t>9B11190124</t>
  </si>
  <si>
    <t>9B11190005</t>
  </si>
  <si>
    <t>8A11190089</t>
  </si>
  <si>
    <t>9B11190058</t>
  </si>
  <si>
    <t>8A11190070</t>
  </si>
  <si>
    <t>9B11190026</t>
  </si>
  <si>
    <t>8A11190019</t>
  </si>
  <si>
    <t>9B11190083</t>
  </si>
  <si>
    <t>9B11190052</t>
  </si>
  <si>
    <t>8A11190061</t>
  </si>
  <si>
    <t>9B11190006</t>
  </si>
  <si>
    <t>8A11190080</t>
  </si>
  <si>
    <t>9B11190059</t>
  </si>
  <si>
    <t>8A11190105</t>
  </si>
  <si>
    <t>9B11190125</t>
  </si>
  <si>
    <t>8A11190020</t>
  </si>
  <si>
    <t>9B11190146</t>
  </si>
  <si>
    <t>9B11190065</t>
  </si>
  <si>
    <t>8A11190021</t>
  </si>
  <si>
    <t>9B11190031</t>
  </si>
  <si>
    <t>8A11190043</t>
  </si>
  <si>
    <t>9B11190102</t>
  </si>
  <si>
    <t>8A11190090</t>
  </si>
  <si>
    <t>9B11190112</t>
  </si>
  <si>
    <t>9B11190007</t>
  </si>
  <si>
    <t>8A11190111</t>
  </si>
  <si>
    <t>9B11190086</t>
  </si>
  <si>
    <t>8A11190056</t>
  </si>
  <si>
    <t>9B11190049</t>
  </si>
  <si>
    <t>8A11190071</t>
  </si>
  <si>
    <t>9B11190072</t>
  </si>
  <si>
    <t>8A11190022</t>
  </si>
  <si>
    <t>9B11190087</t>
  </si>
  <si>
    <t>9B11190008</t>
  </si>
  <si>
    <t>8A11190101</t>
  </si>
  <si>
    <t>9B11190113</t>
  </si>
  <si>
    <t>8A11190006</t>
  </si>
  <si>
    <t>9B11190147</t>
  </si>
  <si>
    <t>8A11190023</t>
  </si>
  <si>
    <t>9B11190041</t>
  </si>
  <si>
    <t>9B11190009</t>
  </si>
  <si>
    <t>8A11190062</t>
  </si>
  <si>
    <t>9B11190103</t>
  </si>
  <si>
    <t>8A11190115</t>
  </si>
  <si>
    <t>9B11190066</t>
  </si>
  <si>
    <t>8A11190084</t>
  </si>
  <si>
    <t>9B11190126</t>
  </si>
  <si>
    <t>8A11190038</t>
  </si>
  <si>
    <t>9B11190085</t>
  </si>
  <si>
    <t>9B11190032</t>
  </si>
  <si>
    <t>8A11190024</t>
  </si>
  <si>
    <t>9B11190088</t>
  </si>
  <si>
    <t>8A11190051</t>
  </si>
  <si>
    <t>9B11190010</t>
  </si>
  <si>
    <t>8A11190007</t>
  </si>
  <si>
    <t>9B11190073</t>
  </si>
  <si>
    <t>8A11190098</t>
  </si>
  <si>
    <t>9B11190089</t>
  </si>
  <si>
    <t>9B11190027</t>
  </si>
  <si>
    <t>8A11190091</t>
  </si>
  <si>
    <t>9B11190114</t>
  </si>
  <si>
    <t>8A11190025</t>
  </si>
  <si>
    <t>9B11190141</t>
  </si>
  <si>
    <t>8A11190116</t>
  </si>
  <si>
    <t>9B11190042</t>
  </si>
  <si>
    <t>9B11190011</t>
  </si>
  <si>
    <t>8A11190063</t>
  </si>
  <si>
    <t>9B11190115</t>
  </si>
  <si>
    <t>8A11190026</t>
  </si>
  <si>
    <t>9B11190060</t>
  </si>
  <si>
    <t>8A11190045</t>
  </si>
  <si>
    <t>9B11190148</t>
  </si>
  <si>
    <t>8A11190092</t>
  </si>
  <si>
    <t>9B11190074</t>
  </si>
  <si>
    <t>9B11190050</t>
  </si>
  <si>
    <t>8A11190057</t>
  </si>
  <si>
    <t>9B11190012</t>
  </si>
  <si>
    <t>8A11190108</t>
  </si>
  <si>
    <t>9B11190013</t>
  </si>
  <si>
    <t>8A11190093</t>
  </si>
  <si>
    <t>9B11190075</t>
  </si>
  <si>
    <t>9B11190090</t>
  </si>
  <si>
    <t>8A11190010</t>
  </si>
  <si>
    <t>9B11190149</t>
  </si>
  <si>
    <t>8A11190042</t>
  </si>
  <si>
    <t>9B11190091</t>
  </si>
  <si>
    <t>8A11190075</t>
  </si>
  <si>
    <t>9B11190067</t>
  </si>
  <si>
    <t>8A11190117</t>
  </si>
  <si>
    <t>9B11190142</t>
  </si>
  <si>
    <t>9B11190014</t>
  </si>
  <si>
    <t>8A11190002</t>
  </si>
  <si>
    <t>9B11190053</t>
  </si>
  <si>
    <t>8A11190072</t>
  </si>
  <si>
    <t>9B11190150</t>
  </si>
  <si>
    <t>8A11190027</t>
  </si>
  <si>
    <t>9B11190127</t>
  </si>
  <si>
    <t>9B11190045</t>
  </si>
  <si>
    <t>8A11190028</t>
  </si>
  <si>
    <t>9B11190128</t>
  </si>
  <si>
    <t>8A11190099</t>
  </si>
  <si>
    <t>9B11190092</t>
  </si>
  <si>
    <t>8A11190052</t>
  </si>
  <si>
    <t>9B11190129</t>
  </si>
  <si>
    <t>8A11190039</t>
  </si>
  <si>
    <t>9B11190015</t>
  </si>
  <si>
    <t>9B11190068</t>
  </si>
  <si>
    <t>8A11190085</t>
  </si>
  <si>
    <t>9B11190061</t>
  </si>
  <si>
    <t>8A11190029</t>
  </si>
  <si>
    <t>9B11190033</t>
  </si>
  <si>
    <t>8A11190103</t>
  </si>
  <si>
    <t>9B11190016</t>
  </si>
  <si>
    <t>9B11190093</t>
  </si>
  <si>
    <t>8A11190076</t>
  </si>
  <si>
    <t>9B11190151</t>
  </si>
  <si>
    <t>8A11190058</t>
  </si>
  <si>
    <t>9B11190017</t>
  </si>
  <si>
    <t>8A11190094</t>
  </si>
  <si>
    <t>9B11190076</t>
  </si>
  <si>
    <t>8A11190118</t>
  </si>
  <si>
    <t>9B11190107</t>
  </si>
  <si>
    <t>9B11190054</t>
  </si>
  <si>
    <t>8A11190064</t>
  </si>
  <si>
    <t>9B11190018</t>
  </si>
  <si>
    <t>8A11190030</t>
  </si>
  <si>
    <t>9B11190130</t>
  </si>
  <si>
    <t>8A11190040</t>
  </si>
  <si>
    <t>9B11190094</t>
  </si>
  <si>
    <t>8A11190011</t>
  </si>
  <si>
    <t>9B11190131</t>
  </si>
  <si>
    <t>9B11190019</t>
  </si>
  <si>
    <t>8A11190095</t>
  </si>
  <si>
    <t>9B11190077</t>
  </si>
  <si>
    <t>8A11190119</t>
  </si>
  <si>
    <t>9B11190095</t>
  </si>
  <si>
    <t>8A11190068</t>
  </si>
  <si>
    <t>9B11190152</t>
  </si>
  <si>
    <t>9B11190104</t>
  </si>
  <si>
    <t>8A11190012</t>
  </si>
  <si>
    <t>9B11190020</t>
  </si>
  <si>
    <t>8A11190059</t>
  </si>
  <si>
    <t>9B11190021</t>
  </si>
  <si>
    <t>8A11190060</t>
  </si>
  <si>
    <t>9B11190034</t>
  </si>
  <si>
    <t>8A11190106</t>
  </si>
  <si>
    <t>9B11190096</t>
  </si>
  <si>
    <t>9B11190153</t>
  </si>
  <si>
    <t>8A11190077</t>
  </si>
  <si>
    <t>9B11190069</t>
  </si>
  <si>
    <t>8A11190031</t>
  </si>
  <si>
    <t>9B11190062</t>
  </si>
  <si>
    <t>8A11190046</t>
  </si>
  <si>
    <t>9B11190132</t>
  </si>
  <si>
    <t>9B11190022</t>
  </si>
  <si>
    <t>8A11190096</t>
  </si>
  <si>
    <t>9B11190046</t>
  </si>
  <si>
    <t>8A11190120</t>
  </si>
  <si>
    <t>9B11190133</t>
  </si>
  <si>
    <t>8A11190013</t>
  </si>
  <si>
    <t>9B11190028</t>
  </si>
  <si>
    <t>8A11190003</t>
  </si>
  <si>
    <t>9B11190078</t>
  </si>
  <si>
    <t>9B11190097</t>
  </si>
  <si>
    <t>8A11190078</t>
  </si>
  <si>
    <t>9B11190134</t>
  </si>
  <si>
    <t>8A11190100</t>
  </si>
  <si>
    <t>9B11190023</t>
  </si>
  <si>
    <t>8A11190065</t>
  </si>
  <si>
    <t>9B11190024</t>
  </si>
  <si>
    <t>9B11190105</t>
  </si>
  <si>
    <t>8A11190041</t>
  </si>
  <si>
    <t>9B11190098</t>
  </si>
  <si>
    <t>8A11190032</t>
  </si>
  <si>
    <t>9B11190135</t>
  </si>
  <si>
    <t>8A11190086</t>
  </si>
  <si>
    <t>9B11190070</t>
  </si>
  <si>
    <t>8A11190047</t>
  </si>
  <si>
    <t>9B11190136</t>
  </si>
  <si>
    <t>9B11190055</t>
  </si>
  <si>
    <t>8A11190121</t>
  </si>
  <si>
    <t>9B11190029</t>
  </si>
  <si>
    <t>8A11190004</t>
  </si>
  <si>
    <t>9B11190079</t>
  </si>
  <si>
    <t>8A11190033</t>
  </si>
  <si>
    <t>9B11190099</t>
  </si>
  <si>
    <t>9B11190030</t>
  </si>
  <si>
    <t>8A11190104</t>
  </si>
  <si>
    <t>9B11190056</t>
  </si>
  <si>
    <t>8A11190079</t>
  </si>
  <si>
    <t>9B11190137</t>
  </si>
  <si>
    <t>8A11190087</t>
  </si>
  <si>
    <t>9B11190100</t>
  </si>
  <si>
    <t>8A11190034</t>
  </si>
  <si>
    <t>9B11190138</t>
  </si>
  <si>
    <t>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</si>
</sst>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164" formatCode="_-* #,##0.00_р_._-;\-* #,##0.00_р_._-;_-* &quot;-&quot;??_р_._-;_-@_-"/>
    <numFmt numFmtId="165" formatCode="_([$€]* #,##0.00_);_([$€]* \(#,##0.00\);_([$€]* &quot;-&quot;??_);_(@_)"/>
    <numFmt numFmtId="166" formatCode="000"/>
    <numFmt numFmtId="167" formatCode="h:mm;@"/>
    <numFmt numFmtId="168" formatCode="0.0"/>
    <numFmt numFmtId="169" formatCode="00000"/>
    <numFmt numFmtId="170" formatCode="[$-F400]h:mm:ss\ AM/PM"/>
    <numFmt numFmtId="171" formatCode="h:mm:ss;@"/>
    <numFmt numFmtId="172" formatCode="d/m;@"/>
    <numFmt numFmtId="173" formatCode="0.0000000000000000"/>
  </numFmts>
  <fonts count="137">
    <font>
      <sz val="11"/>
      <name val="ＭＳ Ｐゴシック"/>
      <charset val="128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10"/>
      <name val="Arial Cyr"/>
      <family val="2"/>
      <charset val="204"/>
    </font>
    <font>
      <sz val="11"/>
      <name val="ＭＳ Ｐゴシック"/>
      <family val="3"/>
      <charset val="128"/>
    </font>
    <font>
      <sz val="10"/>
      <name val="Arial"/>
      <family val="2"/>
      <charset val="204"/>
    </font>
    <font>
      <sz val="11"/>
      <name val="ＭＳ Ｐゴシック"/>
      <charset val="128"/>
    </font>
    <font>
      <sz val="10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2"/>
      <name val="Arial Cyr"/>
      <family val="1"/>
      <charset val="128"/>
    </font>
    <font>
      <sz val="14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name val="Calibri"/>
      <family val="2"/>
      <charset val="204"/>
    </font>
    <font>
      <b/>
      <sz val="20"/>
      <name val="Arial"/>
      <family val="2"/>
      <charset val="204"/>
    </font>
    <font>
      <sz val="14"/>
      <color theme="1"/>
      <name val="Batang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u/>
      <sz val="4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u/>
      <sz val="36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4"/>
      <name val="Calibri"/>
      <family val="2"/>
      <charset val="204"/>
    </font>
    <font>
      <sz val="9"/>
      <name val="Arial"/>
      <family val="2"/>
      <charset val="204"/>
    </font>
    <font>
      <b/>
      <sz val="36"/>
      <name val="Arial"/>
      <family val="2"/>
      <charset val="204"/>
    </font>
    <font>
      <sz val="8"/>
      <name val="Arial"/>
      <family val="2"/>
      <charset val="204"/>
    </font>
    <font>
      <sz val="11"/>
      <name val="Calibri"/>
      <family val="2"/>
      <charset val="204"/>
    </font>
    <font>
      <sz val="18"/>
      <name val="Arial"/>
      <family val="2"/>
      <charset val="204"/>
    </font>
    <font>
      <sz val="1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26"/>
      <name val="Calibri"/>
      <family val="2"/>
      <charset val="204"/>
      <scheme val="minor"/>
    </font>
    <font>
      <sz val="18"/>
      <color theme="0" tint="-4.9989318521683403E-2"/>
      <name val="Calibri"/>
      <family val="2"/>
      <charset val="204"/>
      <scheme val="minor"/>
    </font>
    <font>
      <b/>
      <sz val="16"/>
      <name val="Arial"/>
      <family val="2"/>
      <charset val="204"/>
    </font>
    <font>
      <b/>
      <sz val="18"/>
      <name val="Arial"/>
      <family val="2"/>
      <charset val="204"/>
    </font>
    <font>
      <b/>
      <sz val="24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5"/>
      <name val="Arial"/>
      <family val="2"/>
      <charset val="204"/>
    </font>
    <font>
      <b/>
      <sz val="28"/>
      <name val="Arial"/>
      <family val="2"/>
      <charset val="204"/>
    </font>
    <font>
      <sz val="8"/>
      <name val="Calibri"/>
      <family val="2"/>
      <charset val="204"/>
      <scheme val="minor"/>
    </font>
    <font>
      <sz val="7"/>
      <color theme="1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36"/>
      <color theme="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1"/>
      <color theme="0"/>
      <name val="ＭＳ Ｐゴシック"/>
      <charset val="128"/>
    </font>
    <font>
      <b/>
      <sz val="48"/>
      <color theme="0"/>
      <name val="Calibri"/>
      <family val="2"/>
      <charset val="204"/>
      <scheme val="minor"/>
    </font>
    <font>
      <b/>
      <sz val="28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24"/>
      <color theme="1"/>
      <name val="Calibri"/>
      <family val="2"/>
      <scheme val="minor"/>
    </font>
    <font>
      <b/>
      <sz val="24"/>
      <color theme="0"/>
      <name val="Calibri"/>
      <family val="2"/>
      <charset val="204"/>
      <scheme val="minor"/>
    </font>
    <font>
      <sz val="11"/>
      <color rgb="FF000000"/>
      <name val="ＭＳ Ｐゴシック"/>
    </font>
    <font>
      <b/>
      <sz val="16"/>
      <color theme="0" tint="-0.34998626667073579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26"/>
      <color rgb="FFB4B4B4"/>
      <name val="Calibri"/>
      <family val="2"/>
      <charset val="204"/>
      <scheme val="minor"/>
    </font>
    <font>
      <b/>
      <sz val="4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sz val="16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6"/>
      <name val="Arial Cyr"/>
      <family val="2"/>
      <charset val="204"/>
    </font>
    <font>
      <b/>
      <sz val="8"/>
      <color theme="1"/>
      <name val="Calibri"/>
      <family val="2"/>
      <charset val="20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22C507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7AF6FA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1" tint="0.49803155613879818"/>
        </stop>
        <stop position="0.5">
          <color rgb="FFFAFEE2"/>
        </stop>
        <stop position="1">
          <color theme="1" tint="0.49803155613879818"/>
        </stop>
      </gradientFill>
    </fill>
    <fill>
      <patternFill patternType="solid">
        <fgColor rgb="FFB4B4B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rgb="FFFF0000"/>
        </stop>
        <stop position="0.5">
          <color theme="1"/>
        </stop>
        <stop position="1">
          <color rgb="FFFF0000"/>
        </stop>
      </gradient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53" fillId="0" borderId="0"/>
    <xf numFmtId="0" fontId="50" fillId="0" borderId="0"/>
    <xf numFmtId="0" fontId="54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5" fillId="0" borderId="0"/>
    <xf numFmtId="165" fontId="57" fillId="0" borderId="0" applyFont="0" applyFill="0" applyBorder="0" applyAlignment="0" applyProtection="0"/>
    <xf numFmtId="0" fontId="58" fillId="0" borderId="2" applyNumberFormat="0" applyAlignment="0" applyProtection="0">
      <alignment horizontal="left" vertical="center"/>
    </xf>
    <xf numFmtId="0" fontId="58" fillId="0" borderId="3">
      <alignment horizontal="left" vertical="center"/>
    </xf>
    <xf numFmtId="0" fontId="59" fillId="0" borderId="0"/>
    <xf numFmtId="0" fontId="53" fillId="0" borderId="0"/>
    <xf numFmtId="0" fontId="49" fillId="0" borderId="0"/>
    <xf numFmtId="164" fontId="53" fillId="0" borderId="0" applyFont="0" applyFill="0" applyBorder="0" applyAlignment="0" applyProtection="0"/>
    <xf numFmtId="0" fontId="56" fillId="0" borderId="0"/>
    <xf numFmtId="0" fontId="56" fillId="0" borderId="0"/>
    <xf numFmtId="0" fontId="60" fillId="0" borderId="0"/>
    <xf numFmtId="0" fontId="48" fillId="0" borderId="0"/>
    <xf numFmtId="0" fontId="62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42" fillId="0" borderId="0"/>
    <xf numFmtId="0" fontId="37" fillId="0" borderId="0"/>
    <xf numFmtId="44" fontId="56" fillId="0" borderId="0" applyFont="0" applyFill="0" applyBorder="0" applyAlignment="0" applyProtection="0"/>
    <xf numFmtId="0" fontId="36" fillId="0" borderId="0"/>
    <xf numFmtId="9" fontId="56" fillId="0" borderId="0" applyFont="0" applyFill="0" applyBorder="0" applyAlignment="0" applyProtection="0"/>
    <xf numFmtId="0" fontId="35" fillId="0" borderId="0"/>
    <xf numFmtId="0" fontId="35" fillId="0" borderId="0"/>
    <xf numFmtId="0" fontId="56" fillId="0" borderId="0"/>
    <xf numFmtId="0" fontId="29" fillId="0" borderId="0"/>
    <xf numFmtId="0" fontId="29" fillId="0" borderId="0"/>
    <xf numFmtId="0" fontId="28" fillId="0" borderId="0"/>
    <xf numFmtId="9" fontId="28" fillId="0" borderId="0" applyFont="0" applyFill="0" applyBorder="0" applyAlignment="0" applyProtection="0"/>
    <xf numFmtId="0" fontId="104" fillId="0" borderId="0"/>
    <xf numFmtId="0" fontId="24" fillId="0" borderId="0"/>
    <xf numFmtId="0" fontId="24" fillId="0" borderId="0"/>
    <xf numFmtId="0" fontId="18" fillId="0" borderId="0"/>
    <xf numFmtId="9" fontId="104" fillId="0" borderId="0" applyFont="0" applyFill="0" applyBorder="0" applyAlignment="0" applyProtection="0"/>
    <xf numFmtId="0" fontId="16" fillId="0" borderId="0"/>
    <xf numFmtId="0" fontId="16" fillId="0" borderId="0"/>
    <xf numFmtId="0" fontId="7" fillId="0" borderId="0"/>
    <xf numFmtId="0" fontId="7" fillId="0" borderId="0"/>
    <xf numFmtId="0" fontId="54" fillId="0" borderId="0"/>
    <xf numFmtId="0" fontId="5" fillId="0" borderId="0"/>
  </cellStyleXfs>
  <cellXfs count="756">
    <xf numFmtId="0" fontId="0" fillId="0" borderId="0" xfId="0"/>
    <xf numFmtId="0" fontId="51" fillId="0" borderId="0" xfId="0" applyFont="1" applyAlignment="1">
      <alignment horizontal="center" vertical="center"/>
    </xf>
    <xf numFmtId="4" fontId="5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2" fontId="61" fillId="0" borderId="0" xfId="0" applyNumberFormat="1" applyFont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49" fontId="48" fillId="0" borderId="0" xfId="20" applyNumberFormat="1"/>
    <xf numFmtId="49" fontId="48" fillId="3" borderId="1" xfId="20" applyNumberFormat="1" applyFill="1" applyBorder="1" applyAlignment="1">
      <alignment horizontal="center" vertical="center"/>
    </xf>
    <xf numFmtId="0" fontId="48" fillId="0" borderId="0" xfId="20"/>
    <xf numFmtId="49" fontId="48" fillId="3" borderId="0" xfId="20" applyNumberFormat="1" applyFill="1"/>
    <xf numFmtId="49" fontId="63" fillId="0" borderId="7" xfId="20" applyNumberFormat="1" applyFont="1" applyBorder="1" applyAlignment="1">
      <alignment horizontal="center" vertical="center"/>
    </xf>
    <xf numFmtId="49" fontId="63" fillId="3" borderId="7" xfId="20" applyNumberFormat="1" applyFont="1" applyFill="1" applyBorder="1" applyAlignment="1">
      <alignment horizontal="center" vertical="center"/>
    </xf>
    <xf numFmtId="0" fontId="63" fillId="0" borderId="1" xfId="20" applyFont="1" applyBorder="1" applyAlignment="1">
      <alignment horizontal="center" vertical="center"/>
    </xf>
    <xf numFmtId="49" fontId="66" fillId="0" borderId="7" xfId="20" applyNumberFormat="1" applyFont="1" applyBorder="1" applyAlignment="1">
      <alignment horizontal="center" vertical="center"/>
    </xf>
    <xf numFmtId="49" fontId="63" fillId="0" borderId="10" xfId="20" applyNumberFormat="1" applyFont="1" applyBorder="1" applyAlignment="1">
      <alignment horizontal="center" vertical="center"/>
    </xf>
    <xf numFmtId="0" fontId="63" fillId="0" borderId="7" xfId="20" applyFont="1" applyBorder="1" applyAlignment="1">
      <alignment horizontal="center" vertical="center"/>
    </xf>
    <xf numFmtId="166" fontId="63" fillId="5" borderId="1" xfId="20" applyNumberFormat="1" applyFont="1" applyFill="1" applyBorder="1" applyAlignment="1">
      <alignment horizontal="center" vertical="center"/>
    </xf>
    <xf numFmtId="0" fontId="63" fillId="5" borderId="1" xfId="20" applyFont="1" applyFill="1" applyBorder="1" applyAlignment="1">
      <alignment horizontal="center" vertical="center"/>
    </xf>
    <xf numFmtId="0" fontId="48" fillId="0" borderId="1" xfId="20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63" fillId="0" borderId="12" xfId="20" applyFont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0" fontId="51" fillId="0" borderId="22" xfId="0" applyFont="1" applyBorder="1" applyAlignment="1">
      <alignment horizontal="center" vertical="center"/>
    </xf>
    <xf numFmtId="0" fontId="51" fillId="0" borderId="24" xfId="0" applyFont="1" applyBorder="1" applyAlignment="1">
      <alignment horizontal="center" vertical="center"/>
    </xf>
    <xf numFmtId="0" fontId="51" fillId="0" borderId="22" xfId="0" applyFont="1" applyBorder="1" applyAlignment="1">
      <alignment horizontal="center" vertical="center" wrapText="1"/>
    </xf>
    <xf numFmtId="49" fontId="66" fillId="0" borderId="7" xfId="20" applyNumberFormat="1" applyFont="1" applyBorder="1" applyAlignment="1">
      <alignment horizontal="center" vertical="center" wrapText="1"/>
    </xf>
    <xf numFmtId="169" fontId="63" fillId="0" borderId="7" xfId="20" applyNumberFormat="1" applyFont="1" applyBorder="1" applyAlignment="1">
      <alignment horizontal="center" vertical="center"/>
    </xf>
    <xf numFmtId="169" fontId="48" fillId="0" borderId="0" xfId="20" applyNumberFormat="1"/>
    <xf numFmtId="169" fontId="65" fillId="2" borderId="1" xfId="20" applyNumberFormat="1" applyFont="1" applyFill="1" applyBorder="1" applyAlignment="1">
      <alignment horizontal="center" vertical="center"/>
    </xf>
    <xf numFmtId="0" fontId="48" fillId="2" borderId="1" xfId="20" applyFill="1" applyBorder="1" applyAlignment="1">
      <alignment horizontal="center" vertical="center"/>
    </xf>
    <xf numFmtId="0" fontId="64" fillId="2" borderId="1" xfId="20" applyFont="1" applyFill="1" applyBorder="1" applyAlignment="1">
      <alignment horizontal="center" vertical="center"/>
    </xf>
    <xf numFmtId="166" fontId="48" fillId="2" borderId="1" xfId="20" applyNumberFormat="1" applyFill="1" applyBorder="1" applyAlignment="1">
      <alignment horizontal="center" vertical="center"/>
    </xf>
    <xf numFmtId="9" fontId="48" fillId="0" borderId="1" xfId="20" applyNumberFormat="1" applyBorder="1" applyAlignment="1">
      <alignment horizontal="center" vertical="center"/>
    </xf>
    <xf numFmtId="14" fontId="63" fillId="0" borderId="0" xfId="20" applyNumberFormat="1" applyFont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169" fontId="51" fillId="0" borderId="0" xfId="0" applyNumberFormat="1" applyFont="1" applyAlignment="1">
      <alignment horizontal="center" vertical="center"/>
    </xf>
    <xf numFmtId="49" fontId="82" fillId="3" borderId="1" xfId="20" applyNumberFormat="1" applyFont="1" applyFill="1" applyBorder="1" applyAlignment="1">
      <alignment horizontal="center" vertical="center" textRotation="90"/>
    </xf>
    <xf numFmtId="49" fontId="79" fillId="3" borderId="1" xfId="20" applyNumberFormat="1" applyFont="1" applyFill="1" applyBorder="1" applyAlignment="1">
      <alignment horizontal="center" vertical="center"/>
    </xf>
    <xf numFmtId="0" fontId="82" fillId="17" borderId="1" xfId="20" applyFont="1" applyFill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169" fontId="51" fillId="0" borderId="1" xfId="0" applyNumberFormat="1" applyFont="1" applyBorder="1" applyAlignment="1">
      <alignment horizontal="center" vertical="center"/>
    </xf>
    <xf numFmtId="49" fontId="38" fillId="3" borderId="1" xfId="20" applyNumberFormat="1" applyFont="1" applyFill="1" applyBorder="1" applyAlignment="1">
      <alignment horizontal="center" vertical="center" textRotation="90"/>
    </xf>
    <xf numFmtId="0" fontId="65" fillId="0" borderId="7" xfId="20" applyFont="1" applyBorder="1" applyAlignment="1">
      <alignment horizontal="center" vertical="center"/>
    </xf>
    <xf numFmtId="0" fontId="65" fillId="0" borderId="1" xfId="20" applyFont="1" applyBorder="1" applyAlignment="1">
      <alignment horizontal="center" vertical="center"/>
    </xf>
    <xf numFmtId="0" fontId="82" fillId="5" borderId="1" xfId="20" applyFont="1" applyFill="1" applyBorder="1" applyAlignment="1">
      <alignment horizontal="center" vertical="center"/>
    </xf>
    <xf numFmtId="0" fontId="48" fillId="3" borderId="29" xfId="20" applyFill="1" applyBorder="1"/>
    <xf numFmtId="0" fontId="48" fillId="3" borderId="0" xfId="20" applyFill="1"/>
    <xf numFmtId="0" fontId="69" fillId="3" borderId="0" xfId="20" applyFont="1" applyFill="1" applyAlignment="1">
      <alignment vertical="center"/>
    </xf>
    <xf numFmtId="0" fontId="78" fillId="3" borderId="0" xfId="20" applyFont="1" applyFill="1" applyAlignment="1">
      <alignment vertical="center"/>
    </xf>
    <xf numFmtId="0" fontId="78" fillId="3" borderId="15" xfId="20" applyFont="1" applyFill="1" applyBorder="1" applyAlignment="1">
      <alignment vertical="center"/>
    </xf>
    <xf numFmtId="0" fontId="76" fillId="0" borderId="0" xfId="20" applyFont="1" applyAlignment="1">
      <alignment vertical="center"/>
    </xf>
    <xf numFmtId="0" fontId="48" fillId="5" borderId="0" xfId="20" applyFill="1"/>
    <xf numFmtId="49" fontId="51" fillId="0" borderId="0" xfId="0" applyNumberFormat="1" applyFont="1" applyAlignment="1">
      <alignment horizontal="center" vertical="center" wrapText="1"/>
    </xf>
    <xf numFmtId="169" fontId="51" fillId="0" borderId="29" xfId="0" applyNumberFormat="1" applyFont="1" applyBorder="1" applyAlignment="1">
      <alignment horizontal="center" vertical="center"/>
    </xf>
    <xf numFmtId="0" fontId="74" fillId="3" borderId="0" xfId="20" applyFont="1" applyFill="1" applyAlignment="1">
      <alignment horizontal="center" vertical="center"/>
    </xf>
    <xf numFmtId="0" fontId="43" fillId="0" borderId="1" xfId="20" applyFont="1" applyBorder="1" applyAlignment="1">
      <alignment horizontal="center"/>
    </xf>
    <xf numFmtId="0" fontId="41" fillId="0" borderId="1" xfId="20" applyFont="1" applyBorder="1" applyAlignment="1">
      <alignment horizontal="center" vertical="center"/>
    </xf>
    <xf numFmtId="49" fontId="81" fillId="3" borderId="1" xfId="20" applyNumberFormat="1" applyFont="1" applyFill="1" applyBorder="1" applyAlignment="1">
      <alignment horizontal="center" vertical="center"/>
    </xf>
    <xf numFmtId="0" fontId="77" fillId="3" borderId="23" xfId="20" applyFont="1" applyFill="1" applyBorder="1" applyAlignment="1">
      <alignment horizontal="center" vertical="center"/>
    </xf>
    <xf numFmtId="0" fontId="69" fillId="3" borderId="34" xfId="20" applyFont="1" applyFill="1" applyBorder="1" applyAlignment="1">
      <alignment horizontal="center" vertical="center"/>
    </xf>
    <xf numFmtId="0" fontId="69" fillId="3" borderId="21" xfId="20" applyFont="1" applyFill="1" applyBorder="1" applyAlignment="1">
      <alignment horizontal="center" vertical="center"/>
    </xf>
    <xf numFmtId="0" fontId="79" fillId="3" borderId="24" xfId="20" applyFont="1" applyFill="1" applyBorder="1" applyAlignment="1">
      <alignment horizontal="center" vertical="center"/>
    </xf>
    <xf numFmtId="0" fontId="79" fillId="3" borderId="20" xfId="20" applyFont="1" applyFill="1" applyBorder="1" applyAlignment="1">
      <alignment horizontal="center" vertical="center"/>
    </xf>
    <xf numFmtId="0" fontId="79" fillId="3" borderId="22" xfId="20" applyFont="1" applyFill="1" applyBorder="1" applyAlignment="1">
      <alignment horizontal="center" vertical="center"/>
    </xf>
    <xf numFmtId="0" fontId="83" fillId="14" borderId="19" xfId="20" applyFont="1" applyFill="1" applyBorder="1" applyAlignment="1">
      <alignment horizontal="center" vertical="center"/>
    </xf>
    <xf numFmtId="0" fontId="77" fillId="2" borderId="19" xfId="20" applyFont="1" applyFill="1" applyBorder="1" applyAlignment="1">
      <alignment horizontal="center" vertical="center"/>
    </xf>
    <xf numFmtId="49" fontId="77" fillId="20" borderId="19" xfId="20" applyNumberFormat="1" applyFont="1" applyFill="1" applyBorder="1" applyAlignment="1">
      <alignment horizontal="center" vertical="center"/>
    </xf>
    <xf numFmtId="0" fontId="77" fillId="5" borderId="19" xfId="20" applyFont="1" applyFill="1" applyBorder="1" applyAlignment="1">
      <alignment horizontal="center" vertical="center"/>
    </xf>
    <xf numFmtId="49" fontId="68" fillId="5" borderId="17" xfId="20" applyNumberFormat="1" applyFont="1" applyFill="1" applyBorder="1" applyAlignment="1">
      <alignment horizontal="center" vertical="center"/>
    </xf>
    <xf numFmtId="0" fontId="68" fillId="5" borderId="38" xfId="20" applyFont="1" applyFill="1" applyBorder="1" applyAlignment="1">
      <alignment horizontal="center" vertical="center"/>
    </xf>
    <xf numFmtId="0" fontId="68" fillId="5" borderId="35" xfId="20" applyFont="1" applyFill="1" applyBorder="1" applyAlignment="1">
      <alignment horizontal="center" vertical="center"/>
    </xf>
    <xf numFmtId="0" fontId="74" fillId="0" borderId="7" xfId="20" applyFont="1" applyBorder="1" applyAlignment="1">
      <alignment horizontal="center" vertical="center"/>
    </xf>
    <xf numFmtId="0" fontId="74" fillId="0" borderId="1" xfId="20" applyFont="1" applyBorder="1" applyAlignment="1">
      <alignment horizontal="center" vertical="center"/>
    </xf>
    <xf numFmtId="0" fontId="48" fillId="0" borderId="0" xfId="20" applyAlignment="1">
      <alignment horizontal="center" vertical="center"/>
    </xf>
    <xf numFmtId="0" fontId="65" fillId="5" borderId="0" xfId="20" applyFont="1" applyFill="1" applyAlignment="1">
      <alignment vertical="center"/>
    </xf>
    <xf numFmtId="49" fontId="48" fillId="5" borderId="0" xfId="20" applyNumberFormat="1" applyFill="1"/>
    <xf numFmtId="0" fontId="80" fillId="3" borderId="28" xfId="20" applyFont="1" applyFill="1" applyBorder="1" applyAlignment="1">
      <alignment vertical="center"/>
    </xf>
    <xf numFmtId="0" fontId="80" fillId="3" borderId="0" xfId="20" applyFont="1" applyFill="1" applyAlignment="1">
      <alignment vertical="center"/>
    </xf>
    <xf numFmtId="0" fontId="88" fillId="5" borderId="17" xfId="20" applyFont="1" applyFill="1" applyBorder="1" applyAlignment="1">
      <alignment horizontal="center" vertical="center"/>
    </xf>
    <xf numFmtId="0" fontId="48" fillId="0" borderId="12" xfId="20" applyBorder="1" applyAlignment="1">
      <alignment horizontal="center" vertical="center"/>
    </xf>
    <xf numFmtId="49" fontId="62" fillId="0" borderId="2" xfId="21" applyNumberFormat="1" applyBorder="1" applyAlignment="1" applyProtection="1"/>
    <xf numFmtId="0" fontId="62" fillId="0" borderId="2" xfId="21" applyNumberFormat="1" applyBorder="1" applyAlignment="1" applyProtection="1"/>
    <xf numFmtId="0" fontId="0" fillId="0" borderId="2" xfId="0" applyBorder="1"/>
    <xf numFmtId="49" fontId="74" fillId="5" borderId="39" xfId="20" applyNumberFormat="1" applyFont="1" applyFill="1" applyBorder="1" applyAlignment="1">
      <alignment horizontal="center" vertical="center"/>
    </xf>
    <xf numFmtId="0" fontId="64" fillId="3" borderId="45" xfId="20" applyFont="1" applyFill="1" applyBorder="1" applyAlignment="1">
      <alignment horizontal="center" vertical="center"/>
    </xf>
    <xf numFmtId="0" fontId="65" fillId="3" borderId="0" xfId="20" applyFont="1" applyFill="1" applyAlignment="1">
      <alignment horizontal="center" vertical="center"/>
    </xf>
    <xf numFmtId="0" fontId="39" fillId="0" borderId="0" xfId="20" applyFont="1"/>
    <xf numFmtId="0" fontId="64" fillId="3" borderId="19" xfId="20" applyFont="1" applyFill="1" applyBorder="1" applyAlignment="1">
      <alignment horizontal="center" vertical="center"/>
    </xf>
    <xf numFmtId="44" fontId="0" fillId="0" borderId="0" xfId="25" applyFont="1" applyBorder="1"/>
    <xf numFmtId="49" fontId="48" fillId="0" borderId="0" xfId="20" applyNumberFormat="1" applyAlignment="1">
      <alignment horizontal="center" vertical="center"/>
    </xf>
    <xf numFmtId="49" fontId="62" fillId="3" borderId="0" xfId="21" applyNumberFormat="1" applyFill="1" applyAlignment="1" applyProtection="1"/>
    <xf numFmtId="0" fontId="62" fillId="3" borderId="0" xfId="21" applyNumberFormat="1" applyFill="1" applyAlignment="1" applyProtection="1"/>
    <xf numFmtId="49" fontId="51" fillId="0" borderId="29" xfId="0" applyNumberFormat="1" applyFont="1" applyBorder="1" applyAlignment="1">
      <alignment horizontal="center" vertical="center"/>
    </xf>
    <xf numFmtId="49" fontId="51" fillId="0" borderId="15" xfId="0" applyNumberFormat="1" applyFont="1" applyBorder="1" applyAlignment="1">
      <alignment horizontal="center" vertical="center"/>
    </xf>
    <xf numFmtId="49" fontId="51" fillId="0" borderId="29" xfId="0" applyNumberFormat="1" applyFont="1" applyBorder="1" applyAlignment="1">
      <alignment horizontal="center" vertical="center" wrapText="1"/>
    </xf>
    <xf numFmtId="49" fontId="51" fillId="0" borderId="15" xfId="0" applyNumberFormat="1" applyFont="1" applyBorder="1" applyAlignment="1">
      <alignment horizontal="center" vertical="center" wrapText="1"/>
    </xf>
    <xf numFmtId="4" fontId="51" fillId="0" borderId="29" xfId="0" applyNumberFormat="1" applyFont="1" applyBorder="1" applyAlignment="1">
      <alignment horizontal="center" vertical="center"/>
    </xf>
    <xf numFmtId="4" fontId="51" fillId="0" borderId="15" xfId="0" applyNumberFormat="1" applyFont="1" applyBorder="1" applyAlignment="1">
      <alignment horizontal="center" vertical="center"/>
    </xf>
    <xf numFmtId="0" fontId="72" fillId="7" borderId="12" xfId="0" applyFont="1" applyFill="1" applyBorder="1" applyAlignment="1">
      <alignment horizontal="center" vertical="center"/>
    </xf>
    <xf numFmtId="0" fontId="61" fillId="9" borderId="12" xfId="0" applyFont="1" applyFill="1" applyBorder="1" applyAlignment="1">
      <alignment horizontal="center" vertical="center" wrapText="1"/>
    </xf>
    <xf numFmtId="0" fontId="61" fillId="8" borderId="12" xfId="0" applyFont="1" applyFill="1" applyBorder="1" applyAlignment="1">
      <alignment horizontal="center" vertical="center"/>
    </xf>
    <xf numFmtId="0" fontId="61" fillId="0" borderId="12" xfId="0" applyFont="1" applyBorder="1" applyAlignment="1">
      <alignment horizontal="center" vertical="center"/>
    </xf>
    <xf numFmtId="0" fontId="52" fillId="4" borderId="12" xfId="0" applyFont="1" applyFill="1" applyBorder="1" applyAlignment="1">
      <alignment horizontal="center" vertical="center"/>
    </xf>
    <xf numFmtId="0" fontId="52" fillId="10" borderId="12" xfId="0" applyFont="1" applyFill="1" applyBorder="1" applyAlignment="1">
      <alignment horizontal="center" vertical="center"/>
    </xf>
    <xf numFmtId="0" fontId="52" fillId="6" borderId="12" xfId="0" applyFont="1" applyFill="1" applyBorder="1" applyAlignment="1">
      <alignment horizontal="center" vertical="center"/>
    </xf>
    <xf numFmtId="0" fontId="51" fillId="9" borderId="46" xfId="0" applyFont="1" applyFill="1" applyBorder="1" applyAlignment="1">
      <alignment horizontal="center" vertical="center"/>
    </xf>
    <xf numFmtId="0" fontId="51" fillId="9" borderId="12" xfId="0" applyFont="1" applyFill="1" applyBorder="1" applyAlignment="1">
      <alignment horizontal="center" vertical="center"/>
    </xf>
    <xf numFmtId="0" fontId="51" fillId="4" borderId="47" xfId="0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50" xfId="0" applyFont="1" applyBorder="1" applyAlignment="1">
      <alignment horizontal="center" vertical="center"/>
    </xf>
    <xf numFmtId="169" fontId="51" fillId="0" borderId="29" xfId="0" applyNumberFormat="1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0" fontId="51" fillId="7" borderId="0" xfId="0" applyFont="1" applyFill="1" applyAlignment="1">
      <alignment horizontal="center" vertical="center"/>
    </xf>
    <xf numFmtId="0" fontId="51" fillId="0" borderId="0" xfId="0" applyFont="1"/>
    <xf numFmtId="0" fontId="63" fillId="0" borderId="5" xfId="20" applyFont="1" applyBorder="1" applyAlignment="1">
      <alignment horizontal="center" vertical="center"/>
    </xf>
    <xf numFmtId="0" fontId="65" fillId="3" borderId="29" xfId="20" applyFont="1" applyFill="1" applyBorder="1" applyAlignment="1">
      <alignment horizontal="center" vertical="center"/>
    </xf>
    <xf numFmtId="0" fontId="65" fillId="3" borderId="15" xfId="20" applyFont="1" applyFill="1" applyBorder="1" applyAlignment="1">
      <alignment horizontal="center" vertical="center"/>
    </xf>
    <xf numFmtId="49" fontId="93" fillId="0" borderId="0" xfId="0" applyNumberFormat="1" applyFont="1" applyAlignment="1">
      <alignment horizontal="center" vertical="center"/>
    </xf>
    <xf numFmtId="0" fontId="89" fillId="8" borderId="17" xfId="21" applyNumberFormat="1" applyFont="1" applyFill="1" applyBorder="1" applyAlignment="1" applyProtection="1">
      <alignment horizontal="center" vertical="center"/>
    </xf>
    <xf numFmtId="0" fontId="92" fillId="0" borderId="0" xfId="0" applyFont="1" applyAlignment="1">
      <alignment horizontal="right" vertical="center"/>
    </xf>
    <xf numFmtId="49" fontId="55" fillId="0" borderId="29" xfId="0" applyNumberFormat="1" applyFont="1" applyBorder="1" applyAlignment="1">
      <alignment horizontal="center" vertical="center"/>
    </xf>
    <xf numFmtId="49" fontId="55" fillId="0" borderId="0" xfId="0" applyNumberFormat="1" applyFont="1" applyAlignment="1">
      <alignment horizontal="center" vertical="center"/>
    </xf>
    <xf numFmtId="49" fontId="55" fillId="0" borderId="15" xfId="0" applyNumberFormat="1" applyFont="1" applyBorder="1" applyAlignment="1">
      <alignment horizontal="center" vertical="center"/>
    </xf>
    <xf numFmtId="166" fontId="51" fillId="21" borderId="1" xfId="0" applyNumberFormat="1" applyFont="1" applyFill="1" applyBorder="1" applyAlignment="1">
      <alignment horizontal="center" vertical="center"/>
    </xf>
    <xf numFmtId="0" fontId="51" fillId="21" borderId="1" xfId="0" applyFont="1" applyFill="1" applyBorder="1" applyAlignment="1">
      <alignment horizontal="center" vertical="center"/>
    </xf>
    <xf numFmtId="0" fontId="90" fillId="21" borderId="7" xfId="0" applyFont="1" applyFill="1" applyBorder="1" applyAlignment="1">
      <alignment horizontal="center" vertical="center"/>
    </xf>
    <xf numFmtId="169" fontId="51" fillId="7" borderId="30" xfId="0" applyNumberFormat="1" applyFont="1" applyFill="1" applyBorder="1" applyAlignment="1">
      <alignment horizontal="center" vertical="center"/>
    </xf>
    <xf numFmtId="49" fontId="51" fillId="7" borderId="51" xfId="0" applyNumberFormat="1" applyFont="1" applyFill="1" applyBorder="1" applyAlignment="1">
      <alignment horizontal="center" vertical="center"/>
    </xf>
    <xf numFmtId="0" fontId="51" fillId="7" borderId="49" xfId="0" applyFont="1" applyFill="1" applyBorder="1" applyAlignment="1">
      <alignment horizontal="center" vertical="center"/>
    </xf>
    <xf numFmtId="49" fontId="51" fillId="7" borderId="49" xfId="0" applyNumberFormat="1" applyFont="1" applyFill="1" applyBorder="1" applyAlignment="1">
      <alignment horizontal="center" vertical="center"/>
    </xf>
    <xf numFmtId="49" fontId="90" fillId="7" borderId="41" xfId="0" applyNumberFormat="1" applyFont="1" applyFill="1" applyBorder="1" applyAlignment="1">
      <alignment horizontal="center" vertical="center"/>
    </xf>
    <xf numFmtId="22" fontId="51" fillId="7" borderId="49" xfId="0" applyNumberFormat="1" applyFont="1" applyFill="1" applyBorder="1" applyAlignment="1">
      <alignment horizontal="center" vertical="center"/>
    </xf>
    <xf numFmtId="49" fontId="51" fillId="7" borderId="33" xfId="0" applyNumberFormat="1" applyFont="1" applyFill="1" applyBorder="1" applyAlignment="1">
      <alignment horizontal="center" vertical="center"/>
    </xf>
    <xf numFmtId="0" fontId="55" fillId="11" borderId="1" xfId="0" applyFont="1" applyFill="1" applyBorder="1" applyAlignment="1">
      <alignment horizontal="center" vertical="center"/>
    </xf>
    <xf numFmtId="0" fontId="95" fillId="22" borderId="1" xfId="0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69" fillId="3" borderId="23" xfId="20" applyFont="1" applyFill="1" applyBorder="1" applyAlignment="1">
      <alignment horizontal="center" vertical="center"/>
    </xf>
    <xf numFmtId="0" fontId="77" fillId="3" borderId="19" xfId="20" applyFont="1" applyFill="1" applyBorder="1" applyAlignment="1">
      <alignment horizontal="center" vertical="center"/>
    </xf>
    <xf numFmtId="9" fontId="65" fillId="3" borderId="6" xfId="27" applyFont="1" applyFill="1" applyBorder="1" applyAlignment="1">
      <alignment horizontal="center" vertical="center"/>
    </xf>
    <xf numFmtId="0" fontId="65" fillId="3" borderId="19" xfId="20" applyFont="1" applyFill="1" applyBorder="1" applyAlignment="1">
      <alignment horizontal="center" vertical="center"/>
    </xf>
    <xf numFmtId="0" fontId="65" fillId="3" borderId="21" xfId="20" applyFont="1" applyFill="1" applyBorder="1" applyAlignment="1">
      <alignment horizontal="center" vertical="center"/>
    </xf>
    <xf numFmtId="0" fontId="65" fillId="3" borderId="55" xfId="20" applyFont="1" applyFill="1" applyBorder="1" applyAlignment="1">
      <alignment horizontal="center" vertical="center"/>
    </xf>
    <xf numFmtId="49" fontId="68" fillId="11" borderId="17" xfId="20" applyNumberFormat="1" applyFont="1" applyFill="1" applyBorder="1" applyAlignment="1">
      <alignment horizontal="center" vertical="center"/>
    </xf>
    <xf numFmtId="0" fontId="45" fillId="5" borderId="37" xfId="20" applyFont="1" applyFill="1" applyBorder="1" applyAlignment="1">
      <alignment horizontal="center" vertical="center"/>
    </xf>
    <xf numFmtId="169" fontId="69" fillId="5" borderId="53" xfId="20" applyNumberFormat="1" applyFont="1" applyFill="1" applyBorder="1" applyAlignment="1">
      <alignment horizontal="center" vertical="center"/>
    </xf>
    <xf numFmtId="1" fontId="73" fillId="0" borderId="54" xfId="20" applyNumberFormat="1" applyFont="1" applyBorder="1" applyAlignment="1">
      <alignment horizontal="center" vertical="center"/>
    </xf>
    <xf numFmtId="0" fontId="73" fillId="0" borderId="54" xfId="20" applyFont="1" applyBorder="1" applyAlignment="1">
      <alignment horizontal="center" vertical="center"/>
    </xf>
    <xf numFmtId="0" fontId="73" fillId="0" borderId="56" xfId="20" applyFont="1" applyBorder="1" applyAlignment="1">
      <alignment horizontal="center" vertical="center"/>
    </xf>
    <xf numFmtId="168" fontId="68" fillId="0" borderId="54" xfId="20" applyNumberFormat="1" applyFont="1" applyBorder="1" applyAlignment="1">
      <alignment horizontal="center" vertical="center"/>
    </xf>
    <xf numFmtId="168" fontId="68" fillId="0" borderId="56" xfId="20" applyNumberFormat="1" applyFont="1" applyBorder="1" applyAlignment="1">
      <alignment horizontal="center" vertical="center"/>
    </xf>
    <xf numFmtId="0" fontId="69" fillId="0" borderId="1" xfId="20" applyFont="1" applyBorder="1" applyAlignment="1">
      <alignment horizontal="center" vertical="center"/>
    </xf>
    <xf numFmtId="49" fontId="68" fillId="11" borderId="62" xfId="20" applyNumberFormat="1" applyFont="1" applyFill="1" applyBorder="1" applyAlignment="1">
      <alignment horizontal="center" vertical="center"/>
    </xf>
    <xf numFmtId="169" fontId="69" fillId="5" borderId="54" xfId="20" applyNumberFormat="1" applyFont="1" applyFill="1" applyBorder="1" applyAlignment="1">
      <alignment horizontal="center" vertical="center"/>
    </xf>
    <xf numFmtId="169" fontId="69" fillId="5" borderId="56" xfId="20" applyNumberFormat="1" applyFont="1" applyFill="1" applyBorder="1" applyAlignment="1">
      <alignment horizontal="center" vertical="center"/>
    </xf>
    <xf numFmtId="0" fontId="69" fillId="5" borderId="53" xfId="20" applyFont="1" applyFill="1" applyBorder="1" applyAlignment="1">
      <alignment horizontal="center" vertical="center"/>
    </xf>
    <xf numFmtId="0" fontId="69" fillId="5" borderId="54" xfId="20" applyFont="1" applyFill="1" applyBorder="1" applyAlignment="1">
      <alignment horizontal="center" vertical="center"/>
    </xf>
    <xf numFmtId="0" fontId="69" fillId="5" borderId="56" xfId="20" applyFont="1" applyFill="1" applyBorder="1" applyAlignment="1">
      <alignment horizontal="center" vertical="center"/>
    </xf>
    <xf numFmtId="0" fontId="74" fillId="11" borderId="13" xfId="20" applyFont="1" applyFill="1" applyBorder="1" applyAlignment="1">
      <alignment horizontal="center" vertical="center"/>
    </xf>
    <xf numFmtId="169" fontId="69" fillId="5" borderId="58" xfId="20" applyNumberFormat="1" applyFont="1" applyFill="1" applyBorder="1" applyAlignment="1">
      <alignment horizontal="center" vertical="center"/>
    </xf>
    <xf numFmtId="169" fontId="69" fillId="5" borderId="64" xfId="20" applyNumberFormat="1" applyFont="1" applyFill="1" applyBorder="1" applyAlignment="1">
      <alignment horizontal="center" vertical="center"/>
    </xf>
    <xf numFmtId="0" fontId="69" fillId="5" borderId="30" xfId="20" applyFont="1" applyFill="1" applyBorder="1" applyAlignment="1">
      <alignment horizontal="center" vertical="center"/>
    </xf>
    <xf numFmtId="0" fontId="88" fillId="5" borderId="51" xfId="20" applyFont="1" applyFill="1" applyBorder="1" applyAlignment="1">
      <alignment horizontal="center" vertical="center"/>
    </xf>
    <xf numFmtId="0" fontId="88" fillId="5" borderId="3" xfId="20" applyFont="1" applyFill="1" applyBorder="1" applyAlignment="1">
      <alignment horizontal="center" vertical="center"/>
    </xf>
    <xf numFmtId="0" fontId="69" fillId="5" borderId="61" xfId="20" applyFont="1" applyFill="1" applyBorder="1" applyAlignment="1">
      <alignment horizontal="center" vertical="center"/>
    </xf>
    <xf numFmtId="0" fontId="69" fillId="5" borderId="60" xfId="20" applyFont="1" applyFill="1" applyBorder="1" applyAlignment="1">
      <alignment horizontal="center" vertical="center"/>
    </xf>
    <xf numFmtId="169" fontId="69" fillId="5" borderId="59" xfId="20" applyNumberFormat="1" applyFont="1" applyFill="1" applyBorder="1" applyAlignment="1">
      <alignment horizontal="center" vertical="center"/>
    </xf>
    <xf numFmtId="0" fontId="88" fillId="5" borderId="65" xfId="20" applyFont="1" applyFill="1" applyBorder="1" applyAlignment="1">
      <alignment horizontal="center" vertical="center"/>
    </xf>
    <xf numFmtId="0" fontId="69" fillId="0" borderId="6" xfId="20" applyFont="1" applyBorder="1" applyAlignment="1">
      <alignment horizontal="center" vertical="center"/>
    </xf>
    <xf numFmtId="0" fontId="69" fillId="0" borderId="19" xfId="20" applyFont="1" applyBorder="1" applyAlignment="1">
      <alignment horizontal="center" vertical="center"/>
    </xf>
    <xf numFmtId="0" fontId="69" fillId="0" borderId="20" xfId="20" applyFont="1" applyBorder="1" applyAlignment="1">
      <alignment horizontal="center" vertical="center"/>
    </xf>
    <xf numFmtId="49" fontId="34" fillId="0" borderId="0" xfId="20" applyNumberFormat="1" applyFont="1" applyAlignment="1">
      <alignment horizontal="center" vertical="center"/>
    </xf>
    <xf numFmtId="0" fontId="45" fillId="5" borderId="30" xfId="20" applyFont="1" applyFill="1" applyBorder="1" applyAlignment="1">
      <alignment horizontal="center" vertical="center"/>
    </xf>
    <xf numFmtId="0" fontId="45" fillId="5" borderId="61" xfId="20" applyFont="1" applyFill="1" applyBorder="1" applyAlignment="1">
      <alignment horizontal="center" vertical="center"/>
    </xf>
    <xf numFmtId="0" fontId="45" fillId="5" borderId="41" xfId="20" applyFont="1" applyFill="1" applyBorder="1" applyAlignment="1">
      <alignment horizontal="center" vertical="center"/>
    </xf>
    <xf numFmtId="0" fontId="45" fillId="5" borderId="26" xfId="20" applyFont="1" applyFill="1" applyBorder="1" applyAlignment="1">
      <alignment horizontal="center" vertical="center"/>
    </xf>
    <xf numFmtId="0" fontId="69" fillId="0" borderId="7" xfId="20" applyFont="1" applyBorder="1" applyAlignment="1">
      <alignment horizontal="center" vertical="center"/>
    </xf>
    <xf numFmtId="9" fontId="65" fillId="3" borderId="61" xfId="20" applyNumberFormat="1" applyFont="1" applyFill="1" applyBorder="1" applyAlignment="1">
      <alignment horizontal="center" vertical="center"/>
    </xf>
    <xf numFmtId="0" fontId="65" fillId="3" borderId="60" xfId="20" applyFont="1" applyFill="1" applyBorder="1" applyAlignment="1">
      <alignment horizontal="center" vertical="center"/>
    </xf>
    <xf numFmtId="0" fontId="69" fillId="0" borderId="45" xfId="20" applyFont="1" applyBorder="1" applyAlignment="1">
      <alignment horizontal="center" vertical="center"/>
    </xf>
    <xf numFmtId="0" fontId="69" fillId="0" borderId="21" xfId="20" applyFont="1" applyBorder="1" applyAlignment="1">
      <alignment horizontal="center" vertical="center"/>
    </xf>
    <xf numFmtId="0" fontId="69" fillId="0" borderId="36" xfId="20" applyFont="1" applyBorder="1" applyAlignment="1">
      <alignment horizontal="center" vertical="center"/>
    </xf>
    <xf numFmtId="0" fontId="69" fillId="0" borderId="22" xfId="20" applyFont="1" applyBorder="1" applyAlignment="1">
      <alignment horizontal="center" vertical="center"/>
    </xf>
    <xf numFmtId="49" fontId="33" fillId="0" borderId="1" xfId="20" applyNumberFormat="1" applyFont="1" applyBorder="1" applyAlignment="1">
      <alignment horizontal="center" vertical="center"/>
    </xf>
    <xf numFmtId="170" fontId="33" fillId="0" borderId="1" xfId="20" applyNumberFormat="1" applyFont="1" applyBorder="1" applyAlignment="1">
      <alignment horizontal="center" vertical="center"/>
    </xf>
    <xf numFmtId="171" fontId="96" fillId="2" borderId="1" xfId="20" applyNumberFormat="1" applyFont="1" applyFill="1" applyBorder="1" applyAlignment="1">
      <alignment horizontal="center" vertical="center"/>
    </xf>
    <xf numFmtId="171" fontId="64" fillId="2" borderId="1" xfId="20" applyNumberFormat="1" applyFont="1" applyFill="1" applyBorder="1" applyAlignment="1">
      <alignment horizontal="center" vertical="center"/>
    </xf>
    <xf numFmtId="171" fontId="64" fillId="2" borderId="57" xfId="20" applyNumberFormat="1" applyFont="1" applyFill="1" applyBorder="1" applyAlignment="1">
      <alignment horizontal="center" vertical="center"/>
    </xf>
    <xf numFmtId="171" fontId="96" fillId="2" borderId="3" xfId="20" applyNumberFormat="1" applyFont="1" applyFill="1" applyBorder="1" applyAlignment="1">
      <alignment horizontal="center" vertical="center"/>
    </xf>
    <xf numFmtId="171" fontId="96" fillId="2" borderId="12" xfId="20" applyNumberFormat="1" applyFont="1" applyFill="1" applyBorder="1" applyAlignment="1">
      <alignment horizontal="center" vertical="center"/>
    </xf>
    <xf numFmtId="169" fontId="69" fillId="5" borderId="61" xfId="20" applyNumberFormat="1" applyFont="1" applyFill="1" applyBorder="1" applyAlignment="1">
      <alignment horizontal="center" vertical="center"/>
    </xf>
    <xf numFmtId="169" fontId="69" fillId="5" borderId="26" xfId="20" applyNumberFormat="1" applyFont="1" applyFill="1" applyBorder="1" applyAlignment="1">
      <alignment horizontal="center" vertical="center"/>
    </xf>
    <xf numFmtId="0" fontId="64" fillId="3" borderId="12" xfId="20" applyFont="1" applyFill="1" applyBorder="1" applyAlignment="1">
      <alignment horizontal="center" vertical="center"/>
    </xf>
    <xf numFmtId="169" fontId="65" fillId="5" borderId="54" xfId="20" applyNumberFormat="1" applyFont="1" applyFill="1" applyBorder="1" applyAlignment="1">
      <alignment horizontal="center" vertical="center"/>
    </xf>
    <xf numFmtId="169" fontId="65" fillId="5" borderId="56" xfId="20" applyNumberFormat="1" applyFont="1" applyFill="1" applyBorder="1" applyAlignment="1">
      <alignment horizontal="center" vertical="center"/>
    </xf>
    <xf numFmtId="166" fontId="63" fillId="5" borderId="6" xfId="20" applyNumberFormat="1" applyFont="1" applyFill="1" applyBorder="1" applyAlignment="1">
      <alignment horizontal="center" vertical="center"/>
    </xf>
    <xf numFmtId="169" fontId="65" fillId="2" borderId="57" xfId="20" applyNumberFormat="1" applyFont="1" applyFill="1" applyBorder="1" applyAlignment="1">
      <alignment horizontal="center" vertical="center"/>
    </xf>
    <xf numFmtId="169" fontId="65" fillId="2" borderId="7" xfId="20" applyNumberFormat="1" applyFont="1" applyFill="1" applyBorder="1" applyAlignment="1">
      <alignment horizontal="center" vertical="center"/>
    </xf>
    <xf numFmtId="0" fontId="97" fillId="3" borderId="23" xfId="20" applyFont="1" applyFill="1" applyBorder="1" applyAlignment="1">
      <alignment horizontal="center" vertical="center"/>
    </xf>
    <xf numFmtId="0" fontId="98" fillId="3" borderId="52" xfId="20" applyFont="1" applyFill="1" applyBorder="1" applyAlignment="1">
      <alignment horizontal="center" vertical="center"/>
    </xf>
    <xf numFmtId="0" fontId="69" fillId="0" borderId="17" xfId="20" applyFont="1" applyBorder="1" applyAlignment="1">
      <alignment horizontal="center" vertical="center"/>
    </xf>
    <xf numFmtId="0" fontId="95" fillId="0" borderId="66" xfId="0" applyFont="1" applyBorder="1" applyAlignment="1">
      <alignment horizontal="center" vertical="center"/>
    </xf>
    <xf numFmtId="0" fontId="95" fillId="0" borderId="54" xfId="0" applyFont="1" applyBorder="1" applyAlignment="1">
      <alignment horizontal="center" vertical="center"/>
    </xf>
    <xf numFmtId="0" fontId="88" fillId="5" borderId="38" xfId="28" applyFont="1" applyFill="1" applyBorder="1" applyAlignment="1">
      <alignment horizontal="center" vertical="center"/>
    </xf>
    <xf numFmtId="0" fontId="88" fillId="5" borderId="35" xfId="28" applyFont="1" applyFill="1" applyBorder="1" applyAlignment="1">
      <alignment horizontal="center" vertical="center"/>
    </xf>
    <xf numFmtId="49" fontId="31" fillId="0" borderId="38" xfId="28" applyNumberFormat="1" applyFont="1" applyBorder="1" applyAlignment="1">
      <alignment horizontal="center" vertical="center"/>
    </xf>
    <xf numFmtId="0" fontId="95" fillId="0" borderId="20" xfId="30" applyFont="1" applyBorder="1" applyAlignment="1">
      <alignment horizontal="center" vertical="center"/>
    </xf>
    <xf numFmtId="0" fontId="95" fillId="0" borderId="22" xfId="30" applyFont="1" applyBorder="1" applyAlignment="1">
      <alignment horizontal="center" vertical="center"/>
    </xf>
    <xf numFmtId="0" fontId="95" fillId="0" borderId="23" xfId="30" applyFont="1" applyBorder="1" applyAlignment="1">
      <alignment horizontal="center" vertical="center"/>
    </xf>
    <xf numFmtId="0" fontId="95" fillId="0" borderId="24" xfId="30" applyFont="1" applyBorder="1" applyAlignment="1">
      <alignment horizontal="center" vertical="center"/>
    </xf>
    <xf numFmtId="0" fontId="95" fillId="0" borderId="19" xfId="30" applyFont="1" applyBorder="1" applyAlignment="1">
      <alignment horizontal="center" vertical="center"/>
    </xf>
    <xf numFmtId="0" fontId="95" fillId="0" borderId="21" xfId="30" applyFont="1" applyBorder="1" applyAlignment="1">
      <alignment horizontal="center" vertical="center"/>
    </xf>
    <xf numFmtId="0" fontId="95" fillId="0" borderId="52" xfId="30" applyFont="1" applyBorder="1" applyAlignment="1">
      <alignment horizontal="center" vertical="center"/>
    </xf>
    <xf numFmtId="0" fontId="95" fillId="0" borderId="6" xfId="30" applyFont="1" applyBorder="1" applyAlignment="1">
      <alignment horizontal="center" vertical="center"/>
    </xf>
    <xf numFmtId="0" fontId="95" fillId="0" borderId="55" xfId="30" applyFont="1" applyBorder="1" applyAlignment="1">
      <alignment horizontal="center" vertical="center"/>
    </xf>
    <xf numFmtId="0" fontId="95" fillId="0" borderId="14" xfId="0" applyFont="1" applyBorder="1" applyAlignment="1">
      <alignment horizontal="center" vertical="center"/>
    </xf>
    <xf numFmtId="0" fontId="74" fillId="11" borderId="14" xfId="20" applyFont="1" applyFill="1" applyBorder="1" applyAlignment="1">
      <alignment horizontal="center" vertical="center"/>
    </xf>
    <xf numFmtId="0" fontId="88" fillId="5" borderId="1" xfId="20" applyFont="1" applyFill="1" applyBorder="1" applyAlignment="1">
      <alignment horizontal="center" vertical="center"/>
    </xf>
    <xf numFmtId="169" fontId="69" fillId="5" borderId="23" xfId="20" applyNumberFormat="1" applyFont="1" applyFill="1" applyBorder="1" applyAlignment="1">
      <alignment horizontal="center" vertical="center"/>
    </xf>
    <xf numFmtId="0" fontId="88" fillId="5" borderId="34" xfId="20" applyFont="1" applyFill="1" applyBorder="1" applyAlignment="1">
      <alignment horizontal="center" vertical="center"/>
    </xf>
    <xf numFmtId="169" fontId="69" fillId="5" borderId="19" xfId="20" applyNumberFormat="1" applyFont="1" applyFill="1" applyBorder="1" applyAlignment="1">
      <alignment horizontal="center" vertical="center"/>
    </xf>
    <xf numFmtId="169" fontId="69" fillId="5" borderId="21" xfId="20" applyNumberFormat="1" applyFont="1" applyFill="1" applyBorder="1" applyAlignment="1">
      <alignment horizontal="center" vertical="center"/>
    </xf>
    <xf numFmtId="0" fontId="88" fillId="5" borderId="36" xfId="20" applyFont="1" applyFill="1" applyBorder="1" applyAlignment="1">
      <alignment horizontal="center" vertical="center"/>
    </xf>
    <xf numFmtId="169" fontId="69" fillId="5" borderId="30" xfId="20" applyNumberFormat="1" applyFont="1" applyFill="1" applyBorder="1" applyAlignment="1">
      <alignment horizontal="center" vertical="center"/>
    </xf>
    <xf numFmtId="0" fontId="88" fillId="5" borderId="53" xfId="20" applyFont="1" applyFill="1" applyBorder="1" applyAlignment="1">
      <alignment horizontal="center" vertical="center"/>
    </xf>
    <xf numFmtId="0" fontId="88" fillId="5" borderId="54" xfId="20" applyFont="1" applyFill="1" applyBorder="1" applyAlignment="1">
      <alignment horizontal="center" vertical="center"/>
    </xf>
    <xf numFmtId="49" fontId="48" fillId="0" borderId="7" xfId="20" applyNumberFormat="1" applyBorder="1" applyAlignment="1">
      <alignment horizontal="left"/>
    </xf>
    <xf numFmtId="49" fontId="48" fillId="0" borderId="1" xfId="20" applyNumberFormat="1" applyBorder="1" applyAlignment="1">
      <alignment horizontal="left"/>
    </xf>
    <xf numFmtId="49" fontId="30" fillId="0" borderId="1" xfId="20" applyNumberFormat="1" applyFont="1" applyBorder="1" applyAlignment="1">
      <alignment horizontal="left"/>
    </xf>
    <xf numFmtId="49" fontId="30" fillId="0" borderId="1" xfId="25" applyNumberFormat="1" applyFont="1" applyBorder="1" applyAlignment="1">
      <alignment horizontal="left"/>
    </xf>
    <xf numFmtId="49" fontId="48" fillId="0" borderId="1" xfId="25" applyNumberFormat="1" applyFont="1" applyBorder="1" applyAlignment="1">
      <alignment horizontal="left"/>
    </xf>
    <xf numFmtId="0" fontId="51" fillId="15" borderId="11" xfId="0" applyFont="1" applyFill="1" applyBorder="1" applyAlignment="1">
      <alignment horizontal="center" vertical="center"/>
    </xf>
    <xf numFmtId="0" fontId="51" fillId="15" borderId="48" xfId="0" applyFont="1" applyFill="1" applyBorder="1" applyAlignment="1">
      <alignment horizontal="center" vertical="center"/>
    </xf>
    <xf numFmtId="0" fontId="51" fillId="15" borderId="4" xfId="0" applyFont="1" applyFill="1" applyBorder="1" applyAlignment="1">
      <alignment horizontal="center" vertical="center"/>
    </xf>
    <xf numFmtId="0" fontId="51" fillId="15" borderId="0" xfId="0" applyFont="1" applyFill="1" applyAlignment="1">
      <alignment horizontal="center" vertical="center"/>
    </xf>
    <xf numFmtId="0" fontId="77" fillId="6" borderId="19" xfId="20" applyFont="1" applyFill="1" applyBorder="1" applyAlignment="1">
      <alignment horizontal="center" vertical="center"/>
    </xf>
    <xf numFmtId="0" fontId="83" fillId="23" borderId="19" xfId="20" applyFont="1" applyFill="1" applyBorder="1" applyAlignment="1">
      <alignment horizontal="center" vertical="center"/>
    </xf>
    <xf numFmtId="0" fontId="100" fillId="19" borderId="19" xfId="20" applyFont="1" applyFill="1" applyBorder="1" applyAlignment="1">
      <alignment horizontal="center" vertical="center"/>
    </xf>
    <xf numFmtId="3" fontId="51" fillId="0" borderId="0" xfId="0" applyNumberFormat="1" applyFont="1" applyAlignment="1">
      <alignment horizontal="center" vertical="center"/>
    </xf>
    <xf numFmtId="3" fontId="51" fillId="0" borderId="0" xfId="0" applyNumberFormat="1" applyFont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1" fillId="7" borderId="1" xfId="0" applyFont="1" applyFill="1" applyBorder="1" applyAlignment="1">
      <alignment horizontal="center" vertical="center"/>
    </xf>
    <xf numFmtId="0" fontId="45" fillId="5" borderId="53" xfId="20" applyFont="1" applyFill="1" applyBorder="1" applyAlignment="1">
      <alignment horizontal="center" vertical="center"/>
    </xf>
    <xf numFmtId="0" fontId="27" fillId="0" borderId="1" xfId="20" applyFont="1" applyBorder="1" applyAlignment="1">
      <alignment horizontal="center" vertical="center"/>
    </xf>
    <xf numFmtId="49" fontId="51" fillId="7" borderId="1" xfId="0" applyNumberFormat="1" applyFont="1" applyFill="1" applyBorder="1" applyAlignment="1">
      <alignment horizontal="center" vertical="center"/>
    </xf>
    <xf numFmtId="169" fontId="51" fillId="7" borderId="1" xfId="0" applyNumberFormat="1" applyFont="1" applyFill="1" applyBorder="1" applyAlignment="1">
      <alignment horizontal="center" vertical="center"/>
    </xf>
    <xf numFmtId="0" fontId="26" fillId="0" borderId="1" xfId="20" applyFont="1" applyBorder="1" applyAlignment="1">
      <alignment horizontal="center" vertical="center"/>
    </xf>
    <xf numFmtId="0" fontId="51" fillId="18" borderId="0" xfId="0" applyFont="1" applyFill="1" applyAlignment="1">
      <alignment horizontal="center" vertical="center"/>
    </xf>
    <xf numFmtId="4" fontId="51" fillId="18" borderId="0" xfId="0" applyNumberFormat="1" applyFont="1" applyFill="1" applyAlignment="1">
      <alignment horizontal="center" vertical="center"/>
    </xf>
    <xf numFmtId="3" fontId="51" fillId="18" borderId="0" xfId="0" applyNumberFormat="1" applyFont="1" applyFill="1" applyAlignment="1">
      <alignment horizontal="center" vertical="center"/>
    </xf>
    <xf numFmtId="0" fontId="51" fillId="24" borderId="0" xfId="0" applyFont="1" applyFill="1"/>
    <xf numFmtId="0" fontId="55" fillId="7" borderId="0" xfId="0" applyFont="1" applyFill="1" applyAlignment="1">
      <alignment horizontal="center" vertical="center"/>
    </xf>
    <xf numFmtId="0" fontId="51" fillId="25" borderId="0" xfId="0" applyFont="1" applyFill="1"/>
    <xf numFmtId="0" fontId="51" fillId="25" borderId="0" xfId="0" applyFont="1" applyFill="1" applyAlignment="1">
      <alignment horizontal="center" vertical="center"/>
    </xf>
    <xf numFmtId="3" fontId="51" fillId="25" borderId="0" xfId="0" applyNumberFormat="1" applyFont="1" applyFill="1" applyAlignment="1">
      <alignment horizontal="center" vertical="center"/>
    </xf>
    <xf numFmtId="49" fontId="25" fillId="0" borderId="1" xfId="25" applyNumberFormat="1" applyFont="1" applyBorder="1" applyAlignment="1">
      <alignment horizontal="left"/>
    </xf>
    <xf numFmtId="49" fontId="25" fillId="0" borderId="7" xfId="20" applyNumberFormat="1" applyFont="1" applyBorder="1" applyAlignment="1">
      <alignment horizontal="left"/>
    </xf>
    <xf numFmtId="49" fontId="25" fillId="0" borderId="1" xfId="20" applyNumberFormat="1" applyFont="1" applyBorder="1" applyAlignment="1">
      <alignment horizontal="left"/>
    </xf>
    <xf numFmtId="0" fontId="51" fillId="18" borderId="4" xfId="0" applyFont="1" applyFill="1" applyBorder="1" applyAlignment="1">
      <alignment horizontal="center" vertical="center" wrapText="1"/>
    </xf>
    <xf numFmtId="0" fontId="51" fillId="27" borderId="46" xfId="0" applyFont="1" applyFill="1" applyBorder="1" applyAlignment="1">
      <alignment horizontal="center" vertical="center"/>
    </xf>
    <xf numFmtId="0" fontId="51" fillId="6" borderId="12" xfId="0" applyFont="1" applyFill="1" applyBorder="1" applyAlignment="1">
      <alignment horizontal="center" vertical="center"/>
    </xf>
    <xf numFmtId="0" fontId="51" fillId="26" borderId="4" xfId="0" applyFont="1" applyFill="1" applyBorder="1" applyAlignment="1">
      <alignment horizontal="center" vertical="center"/>
    </xf>
    <xf numFmtId="0" fontId="51" fillId="0" borderId="47" xfId="0" applyFont="1" applyBorder="1" applyAlignment="1">
      <alignment horizontal="center" vertical="center" wrapText="1"/>
    </xf>
    <xf numFmtId="0" fontId="51" fillId="0" borderId="25" xfId="0" quotePrefix="1" applyFont="1" applyBorder="1" applyAlignment="1">
      <alignment horizontal="center" vertical="center"/>
    </xf>
    <xf numFmtId="0" fontId="52" fillId="16" borderId="12" xfId="0" applyFont="1" applyFill="1" applyBorder="1" applyAlignment="1">
      <alignment horizontal="center" vertical="center"/>
    </xf>
    <xf numFmtId="0" fontId="52" fillId="26" borderId="12" xfId="0" applyFont="1" applyFill="1" applyBorder="1" applyAlignment="1">
      <alignment horizontal="center" vertical="center"/>
    </xf>
    <xf numFmtId="0" fontId="52" fillId="0" borderId="1" xfId="0" quotePrefix="1" applyFont="1" applyBorder="1" applyAlignment="1">
      <alignment horizontal="center" vertical="center"/>
    </xf>
    <xf numFmtId="166" fontId="51" fillId="8" borderId="0" xfId="0" applyNumberFormat="1" applyFont="1" applyFill="1" applyAlignment="1">
      <alignment horizontal="center" vertical="center"/>
    </xf>
    <xf numFmtId="49" fontId="23" fillId="0" borderId="1" xfId="20" applyNumberFormat="1" applyFont="1" applyBorder="1" applyAlignment="1">
      <alignment horizontal="center" vertical="center"/>
    </xf>
    <xf numFmtId="49" fontId="22" fillId="0" borderId="0" xfId="20" applyNumberFormat="1" applyFont="1"/>
    <xf numFmtId="0" fontId="21" fillId="0" borderId="0" xfId="20" applyFont="1"/>
    <xf numFmtId="0" fontId="20" fillId="0" borderId="1" xfId="20" applyFont="1" applyBorder="1" applyAlignment="1">
      <alignment horizontal="center" vertical="center"/>
    </xf>
    <xf numFmtId="0" fontId="19" fillId="0" borderId="1" xfId="20" applyFont="1" applyBorder="1" applyAlignment="1">
      <alignment horizontal="center" vertical="center"/>
    </xf>
    <xf numFmtId="0" fontId="18" fillId="0" borderId="0" xfId="38"/>
    <xf numFmtId="0" fontId="53" fillId="0" borderId="0" xfId="6"/>
    <xf numFmtId="0" fontId="107" fillId="0" borderId="0" xfId="6" applyFont="1"/>
    <xf numFmtId="9" fontId="109" fillId="18" borderId="1" xfId="39" applyFont="1" applyFill="1" applyBorder="1" applyAlignment="1">
      <alignment horizontal="center" vertical="center"/>
    </xf>
    <xf numFmtId="0" fontId="18" fillId="28" borderId="27" xfId="38" applyFill="1" applyBorder="1"/>
    <xf numFmtId="0" fontId="18" fillId="28" borderId="14" xfId="38" applyFill="1" applyBorder="1"/>
    <xf numFmtId="0" fontId="18" fillId="28" borderId="29" xfId="38" applyFill="1" applyBorder="1"/>
    <xf numFmtId="0" fontId="18" fillId="28" borderId="15" xfId="38" applyFill="1" applyBorder="1"/>
    <xf numFmtId="0" fontId="18" fillId="28" borderId="26" xfId="38" applyFill="1" applyBorder="1"/>
    <xf numFmtId="0" fontId="18" fillId="28" borderId="16" xfId="38" applyFill="1" applyBorder="1"/>
    <xf numFmtId="0" fontId="88" fillId="28" borderId="27" xfId="38" applyFont="1" applyFill="1" applyBorder="1"/>
    <xf numFmtId="0" fontId="88" fillId="28" borderId="28" xfId="38" applyFont="1" applyFill="1" applyBorder="1"/>
    <xf numFmtId="0" fontId="18" fillId="28" borderId="28" xfId="38" applyFill="1" applyBorder="1"/>
    <xf numFmtId="0" fontId="0" fillId="28" borderId="0" xfId="0" applyFill="1"/>
    <xf numFmtId="0" fontId="18" fillId="28" borderId="0" xfId="38" applyFill="1"/>
    <xf numFmtId="0" fontId="88" fillId="28" borderId="0" xfId="38" applyFont="1" applyFill="1"/>
    <xf numFmtId="0" fontId="18" fillId="28" borderId="9" xfId="38" applyFill="1" applyBorder="1"/>
    <xf numFmtId="0" fontId="113" fillId="28" borderId="28" xfId="38" applyFont="1" applyFill="1" applyBorder="1"/>
    <xf numFmtId="0" fontId="114" fillId="28" borderId="0" xfId="0" applyFont="1" applyFill="1"/>
    <xf numFmtId="0" fontId="110" fillId="28" borderId="28" xfId="38" applyFont="1" applyFill="1" applyBorder="1"/>
    <xf numFmtId="0" fontId="110" fillId="28" borderId="29" xfId="38" applyFont="1" applyFill="1" applyBorder="1"/>
    <xf numFmtId="0" fontId="110" fillId="28" borderId="0" xfId="38" applyFont="1" applyFill="1"/>
    <xf numFmtId="0" fontId="110" fillId="28" borderId="15" xfId="38" applyFont="1" applyFill="1" applyBorder="1"/>
    <xf numFmtId="0" fontId="110" fillId="28" borderId="9" xfId="38" applyFont="1" applyFill="1" applyBorder="1"/>
    <xf numFmtId="0" fontId="110" fillId="28" borderId="16" xfId="38" applyFont="1" applyFill="1" applyBorder="1"/>
    <xf numFmtId="0" fontId="110" fillId="28" borderId="27" xfId="38" applyFont="1" applyFill="1" applyBorder="1"/>
    <xf numFmtId="0" fontId="18" fillId="0" borderId="1" xfId="38" applyBorder="1" applyAlignment="1">
      <alignment horizontal="center" vertical="center"/>
    </xf>
    <xf numFmtId="0" fontId="18" fillId="18" borderId="0" xfId="38" applyFill="1"/>
    <xf numFmtId="0" fontId="18" fillId="30" borderId="0" xfId="38" applyFill="1"/>
    <xf numFmtId="0" fontId="18" fillId="29" borderId="0" xfId="38" applyFill="1"/>
    <xf numFmtId="172" fontId="108" fillId="18" borderId="7" xfId="6" applyNumberFormat="1" applyFont="1" applyFill="1" applyBorder="1" applyAlignment="1">
      <alignment horizontal="center" vertical="center"/>
    </xf>
    <xf numFmtId="0" fontId="109" fillId="5" borderId="45" xfId="6" applyFont="1" applyFill="1" applyBorder="1" applyAlignment="1">
      <alignment horizontal="center" vertical="center" wrapText="1"/>
    </xf>
    <xf numFmtId="172" fontId="108" fillId="18" borderId="63" xfId="6" applyNumberFormat="1" applyFont="1" applyFill="1" applyBorder="1" applyAlignment="1">
      <alignment horizontal="center" vertical="center"/>
    </xf>
    <xf numFmtId="0" fontId="109" fillId="5" borderId="19" xfId="6" applyFont="1" applyFill="1" applyBorder="1" applyAlignment="1">
      <alignment horizontal="center" vertical="center" wrapText="1"/>
    </xf>
    <xf numFmtId="9" fontId="109" fillId="18" borderId="20" xfId="39" applyFont="1" applyFill="1" applyBorder="1" applyAlignment="1">
      <alignment horizontal="center" vertical="center"/>
    </xf>
    <xf numFmtId="0" fontId="109" fillId="5" borderId="19" xfId="14" applyFont="1" applyFill="1" applyBorder="1" applyAlignment="1">
      <alignment horizontal="center" vertical="center" wrapText="1"/>
    </xf>
    <xf numFmtId="0" fontId="109" fillId="5" borderId="67" xfId="14" applyFont="1" applyFill="1" applyBorder="1" applyAlignment="1">
      <alignment horizontal="center" vertical="center" wrapText="1"/>
    </xf>
    <xf numFmtId="0" fontId="109" fillId="18" borderId="69" xfId="39" applyNumberFormat="1" applyFont="1" applyFill="1" applyBorder="1" applyAlignment="1">
      <alignment horizontal="center" vertical="center"/>
    </xf>
    <xf numFmtId="0" fontId="109" fillId="18" borderId="68" xfId="39" applyNumberFormat="1" applyFont="1" applyFill="1" applyBorder="1" applyAlignment="1">
      <alignment horizontal="center" vertical="center"/>
    </xf>
    <xf numFmtId="0" fontId="109" fillId="5" borderId="23" xfId="6" applyFont="1" applyFill="1" applyBorder="1" applyAlignment="1">
      <alignment horizontal="center" vertical="center" wrapText="1"/>
    </xf>
    <xf numFmtId="172" fontId="108" fillId="18" borderId="34" xfId="6" applyNumberFormat="1" applyFont="1" applyFill="1" applyBorder="1" applyAlignment="1">
      <alignment horizontal="center" vertical="center"/>
    </xf>
    <xf numFmtId="172" fontId="108" fillId="18" borderId="24" xfId="6" applyNumberFormat="1" applyFont="1" applyFill="1" applyBorder="1" applyAlignment="1">
      <alignment horizontal="center" vertical="center"/>
    </xf>
    <xf numFmtId="0" fontId="111" fillId="28" borderId="28" xfId="38" applyFont="1" applyFill="1" applyBorder="1" applyAlignment="1">
      <alignment vertical="center"/>
    </xf>
    <xf numFmtId="0" fontId="111" fillId="28" borderId="0" xfId="38" applyFont="1" applyFill="1" applyAlignment="1">
      <alignment vertical="center"/>
    </xf>
    <xf numFmtId="0" fontId="111" fillId="28" borderId="9" xfId="38" applyFont="1" applyFill="1" applyBorder="1" applyAlignment="1">
      <alignment vertical="center"/>
    </xf>
    <xf numFmtId="0" fontId="111" fillId="28" borderId="29" xfId="38" applyFont="1" applyFill="1" applyBorder="1" applyAlignment="1">
      <alignment vertical="center"/>
    </xf>
    <xf numFmtId="0" fontId="111" fillId="28" borderId="26" xfId="38" applyFont="1" applyFill="1" applyBorder="1" applyAlignment="1">
      <alignment vertical="center"/>
    </xf>
    <xf numFmtId="0" fontId="18" fillId="0" borderId="0" xfId="38" applyAlignment="1">
      <alignment horizontal="center" vertical="center"/>
    </xf>
    <xf numFmtId="0" fontId="16" fillId="0" borderId="1" xfId="20" applyFont="1" applyBorder="1" applyAlignment="1">
      <alignment horizontal="center" vertical="center"/>
    </xf>
    <xf numFmtId="49" fontId="16" fillId="0" borderId="0" xfId="20" applyNumberFormat="1" applyFont="1"/>
    <xf numFmtId="0" fontId="109" fillId="29" borderId="19" xfId="14" applyFont="1" applyFill="1" applyBorder="1" applyAlignment="1">
      <alignment horizontal="center" vertical="center" wrapText="1"/>
    </xf>
    <xf numFmtId="0" fontId="109" fillId="29" borderId="1" xfId="39" applyNumberFormat="1" applyFont="1" applyFill="1" applyBorder="1" applyAlignment="1">
      <alignment horizontal="center" vertical="center"/>
    </xf>
    <xf numFmtId="0" fontId="109" fillId="29" borderId="20" xfId="39" applyNumberFormat="1" applyFont="1" applyFill="1" applyBorder="1" applyAlignment="1">
      <alignment horizontal="center" vertical="center"/>
    </xf>
    <xf numFmtId="0" fontId="109" fillId="30" borderId="19" xfId="14" applyFont="1" applyFill="1" applyBorder="1" applyAlignment="1">
      <alignment horizontal="center" vertical="center" wrapText="1"/>
    </xf>
    <xf numFmtId="0" fontId="109" fillId="30" borderId="1" xfId="39" applyNumberFormat="1" applyFont="1" applyFill="1" applyBorder="1" applyAlignment="1">
      <alignment horizontal="center" vertical="center"/>
    </xf>
    <xf numFmtId="0" fontId="109" fillId="30" borderId="20" xfId="39" applyNumberFormat="1" applyFont="1" applyFill="1" applyBorder="1" applyAlignment="1">
      <alignment horizontal="center" vertical="center"/>
    </xf>
    <xf numFmtId="9" fontId="109" fillId="29" borderId="1" xfId="27" applyFont="1" applyFill="1" applyBorder="1" applyAlignment="1">
      <alignment horizontal="center" vertical="center"/>
    </xf>
    <xf numFmtId="9" fontId="109" fillId="29" borderId="20" xfId="27" applyFont="1" applyFill="1" applyBorder="1" applyAlignment="1">
      <alignment horizontal="center" vertical="center"/>
    </xf>
    <xf numFmtId="9" fontId="109" fillId="30" borderId="1" xfId="27" applyFont="1" applyFill="1" applyBorder="1" applyAlignment="1">
      <alignment horizontal="center" vertical="center"/>
    </xf>
    <xf numFmtId="9" fontId="109" fillId="30" borderId="20" xfId="27" applyFont="1" applyFill="1" applyBorder="1" applyAlignment="1">
      <alignment horizontal="center" vertical="center"/>
    </xf>
    <xf numFmtId="0" fontId="95" fillId="0" borderId="56" xfId="0" applyFont="1" applyBorder="1" applyAlignment="1">
      <alignment horizontal="center" vertical="center"/>
    </xf>
    <xf numFmtId="49" fontId="16" fillId="0" borderId="17" xfId="28" applyNumberFormat="1" applyFont="1" applyBorder="1" applyAlignment="1">
      <alignment horizontal="center" vertical="center"/>
    </xf>
    <xf numFmtId="0" fontId="18" fillId="0" borderId="7" xfId="38" applyBorder="1" applyAlignment="1">
      <alignment horizontal="center" vertical="center"/>
    </xf>
    <xf numFmtId="0" fontId="17" fillId="0" borderId="17" xfId="38" applyFont="1" applyBorder="1"/>
    <xf numFmtId="0" fontId="17" fillId="0" borderId="17" xfId="38" applyFont="1" applyBorder="1" applyAlignment="1">
      <alignment horizontal="center" vertical="center"/>
    </xf>
    <xf numFmtId="49" fontId="118" fillId="0" borderId="17" xfId="28" applyNumberFormat="1" applyFont="1" applyBorder="1" applyAlignment="1">
      <alignment horizontal="center" vertical="center"/>
    </xf>
    <xf numFmtId="0" fontId="95" fillId="0" borderId="45" xfId="30" applyFont="1" applyBorder="1" applyAlignment="1">
      <alignment horizontal="center" vertical="center"/>
    </xf>
    <xf numFmtId="0" fontId="95" fillId="0" borderId="63" xfId="30" applyFont="1" applyBorder="1" applyAlignment="1">
      <alignment horizontal="center" vertical="center"/>
    </xf>
    <xf numFmtId="0" fontId="95" fillId="0" borderId="15" xfId="0" applyFont="1" applyBorder="1" applyAlignment="1">
      <alignment horizontal="center" vertical="center"/>
    </xf>
    <xf numFmtId="0" fontId="17" fillId="0" borderId="35" xfId="38" applyFont="1" applyBorder="1" applyAlignment="1">
      <alignment horizontal="center" vertical="center"/>
    </xf>
    <xf numFmtId="166" fontId="48" fillId="2" borderId="6" xfId="20" applyNumberFormat="1" applyFill="1" applyBorder="1" applyAlignment="1">
      <alignment horizontal="center" vertical="center"/>
    </xf>
    <xf numFmtId="49" fontId="14" fillId="0" borderId="17" xfId="28" applyNumberFormat="1" applyFont="1" applyBorder="1" applyAlignment="1">
      <alignment horizontal="center" vertical="center"/>
    </xf>
    <xf numFmtId="0" fontId="14" fillId="0" borderId="0" xfId="20" applyFont="1"/>
    <xf numFmtId="0" fontId="14" fillId="0" borderId="62" xfId="20" applyFont="1" applyBorder="1" applyAlignment="1">
      <alignment horizontal="center" vertical="center"/>
    </xf>
    <xf numFmtId="0" fontId="95" fillId="0" borderId="53" xfId="0" applyFont="1" applyBorder="1" applyAlignment="1">
      <alignment horizontal="center" vertical="center"/>
    </xf>
    <xf numFmtId="49" fontId="14" fillId="0" borderId="14" xfId="20" applyNumberFormat="1" applyFont="1" applyBorder="1"/>
    <xf numFmtId="49" fontId="14" fillId="0" borderId="16" xfId="20" applyNumberFormat="1" applyFont="1" applyBorder="1"/>
    <xf numFmtId="0" fontId="45" fillId="5" borderId="66" xfId="20" applyFont="1" applyFill="1" applyBorder="1" applyAlignment="1">
      <alignment horizontal="center" vertical="center"/>
    </xf>
    <xf numFmtId="0" fontId="109" fillId="5" borderId="1" xfId="39" applyNumberFormat="1" applyFont="1" applyFill="1" applyBorder="1" applyAlignment="1">
      <alignment horizontal="center" vertical="center"/>
    </xf>
    <xf numFmtId="0" fontId="109" fillId="5" borderId="20" xfId="39" applyNumberFormat="1" applyFont="1" applyFill="1" applyBorder="1" applyAlignment="1">
      <alignment horizontal="center" vertical="center"/>
    </xf>
    <xf numFmtId="0" fontId="109" fillId="5" borderId="69" xfId="39" applyNumberFormat="1" applyFont="1" applyFill="1" applyBorder="1" applyAlignment="1">
      <alignment horizontal="center" vertical="center"/>
    </xf>
    <xf numFmtId="0" fontId="109" fillId="5" borderId="68" xfId="39" applyNumberFormat="1" applyFont="1" applyFill="1" applyBorder="1" applyAlignment="1">
      <alignment horizontal="center" vertical="center"/>
    </xf>
    <xf numFmtId="14" fontId="63" fillId="0" borderId="9" xfId="20" applyNumberFormat="1" applyFont="1" applyBorder="1" applyAlignment="1">
      <alignment vertical="center"/>
    </xf>
    <xf numFmtId="14" fontId="63" fillId="0" borderId="18" xfId="20" applyNumberFormat="1" applyFont="1" applyBorder="1" applyAlignment="1">
      <alignment vertical="center"/>
    </xf>
    <xf numFmtId="49" fontId="12" fillId="0" borderId="0" xfId="20" applyNumberFormat="1" applyFont="1"/>
    <xf numFmtId="169" fontId="65" fillId="0" borderId="1" xfId="20" applyNumberFormat="1" applyFont="1" applyBorder="1" applyAlignment="1">
      <alignment horizontal="center" vertical="center"/>
    </xf>
    <xf numFmtId="0" fontId="11" fillId="0" borderId="7" xfId="38" applyFont="1" applyBorder="1" applyAlignment="1">
      <alignment horizontal="center" vertical="center"/>
    </xf>
    <xf numFmtId="0" fontId="11" fillId="0" borderId="1" xfId="38" applyFont="1" applyBorder="1" applyAlignment="1">
      <alignment horizontal="center" vertical="center"/>
    </xf>
    <xf numFmtId="0" fontId="118" fillId="0" borderId="0" xfId="38" applyFont="1"/>
    <xf numFmtId="14" fontId="64" fillId="17" borderId="8" xfId="20" applyNumberFormat="1" applyFont="1" applyFill="1" applyBorder="1" applyAlignment="1">
      <alignment horizontal="center" vertical="center"/>
    </xf>
    <xf numFmtId="14" fontId="64" fillId="17" borderId="2" xfId="20" applyNumberFormat="1" applyFont="1" applyFill="1" applyBorder="1" applyAlignment="1">
      <alignment horizontal="center" vertical="center"/>
    </xf>
    <xf numFmtId="14" fontId="64" fillId="17" borderId="13" xfId="20" applyNumberFormat="1" applyFont="1" applyFill="1" applyBorder="1" applyAlignment="1">
      <alignment horizontal="center" vertical="center"/>
    </xf>
    <xf numFmtId="0" fontId="53" fillId="17" borderId="23" xfId="6" applyFill="1" applyBorder="1" applyAlignment="1">
      <alignment horizontal="center" vertical="center"/>
    </xf>
    <xf numFmtId="0" fontId="53" fillId="17" borderId="24" xfId="6" applyFill="1" applyBorder="1" applyAlignment="1">
      <alignment horizontal="center" vertical="center"/>
    </xf>
    <xf numFmtId="49" fontId="66" fillId="31" borderId="17" xfId="20" applyNumberFormat="1" applyFont="1" applyFill="1" applyBorder="1" applyAlignment="1">
      <alignment horizontal="center" vertical="center"/>
    </xf>
    <xf numFmtId="49" fontId="66" fillId="17" borderId="17" xfId="20" applyNumberFormat="1" applyFont="1" applyFill="1" applyBorder="1" applyAlignment="1">
      <alignment horizontal="center" vertical="center"/>
    </xf>
    <xf numFmtId="14" fontId="64" fillId="17" borderId="19" xfId="20" applyNumberFormat="1" applyFont="1" applyFill="1" applyBorder="1" applyAlignment="1">
      <alignment horizontal="center" vertical="center"/>
    </xf>
    <xf numFmtId="0" fontId="18" fillId="17" borderId="20" xfId="38" applyFill="1" applyBorder="1" applyAlignment="1">
      <alignment horizontal="center" vertical="center"/>
    </xf>
    <xf numFmtId="0" fontId="53" fillId="17" borderId="19" xfId="6" applyFill="1" applyBorder="1" applyAlignment="1">
      <alignment horizontal="center" vertical="center"/>
    </xf>
    <xf numFmtId="0" fontId="53" fillId="17" borderId="20" xfId="6" applyFill="1" applyBorder="1" applyAlignment="1">
      <alignment horizontal="center" vertical="center"/>
    </xf>
    <xf numFmtId="0" fontId="53" fillId="17" borderId="21" xfId="6" applyFill="1" applyBorder="1" applyAlignment="1">
      <alignment horizontal="center" vertical="center"/>
    </xf>
    <xf numFmtId="0" fontId="53" fillId="17" borderId="22" xfId="6" applyFill="1" applyBorder="1" applyAlignment="1">
      <alignment horizontal="center" vertical="center"/>
    </xf>
    <xf numFmtId="0" fontId="118" fillId="31" borderId="54" xfId="20" applyFont="1" applyFill="1" applyBorder="1" applyAlignment="1">
      <alignment horizontal="center" vertical="center"/>
    </xf>
    <xf numFmtId="169" fontId="118" fillId="17" borderId="54" xfId="20" applyNumberFormat="1" applyFont="1" applyFill="1" applyBorder="1" applyAlignment="1">
      <alignment horizontal="center" vertical="center"/>
    </xf>
    <xf numFmtId="14" fontId="64" fillId="17" borderId="71" xfId="20" applyNumberFormat="1" applyFont="1" applyFill="1" applyBorder="1" applyAlignment="1">
      <alignment horizontal="center" vertical="center"/>
    </xf>
    <xf numFmtId="0" fontId="18" fillId="17" borderId="25" xfId="38" applyFill="1" applyBorder="1" applyAlignment="1">
      <alignment horizontal="center" vertical="center"/>
    </xf>
    <xf numFmtId="0" fontId="53" fillId="17" borderId="71" xfId="6" applyFill="1" applyBorder="1" applyAlignment="1">
      <alignment horizontal="center" vertical="center"/>
    </xf>
    <xf numFmtId="0" fontId="53" fillId="17" borderId="25" xfId="6" applyFill="1" applyBorder="1" applyAlignment="1">
      <alignment horizontal="center" vertical="center"/>
    </xf>
    <xf numFmtId="0" fontId="53" fillId="0" borderId="0" xfId="6" applyAlignment="1">
      <alignment horizontal="center" vertical="center"/>
    </xf>
    <xf numFmtId="9" fontId="53" fillId="17" borderId="20" xfId="27" applyFont="1" applyFill="1" applyBorder="1" applyAlignment="1">
      <alignment horizontal="center" vertical="center"/>
    </xf>
    <xf numFmtId="0" fontId="18" fillId="17" borderId="22" xfId="38" applyFill="1" applyBorder="1" applyAlignment="1">
      <alignment horizontal="center" vertical="center"/>
    </xf>
    <xf numFmtId="0" fontId="118" fillId="31" borderId="37" xfId="20" applyFont="1" applyFill="1" applyBorder="1" applyAlignment="1">
      <alignment horizontal="center" vertical="center"/>
    </xf>
    <xf numFmtId="169" fontId="118" fillId="17" borderId="37" xfId="2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9" fontId="0" fillId="0" borderId="0" xfId="39" applyFont="1"/>
    <xf numFmtId="0" fontId="9" fillId="0" borderId="0" xfId="20" applyFont="1"/>
    <xf numFmtId="49" fontId="68" fillId="11" borderId="0" xfId="20" applyNumberFormat="1" applyFont="1" applyFill="1" applyAlignment="1">
      <alignment horizontal="center" vertical="center"/>
    </xf>
    <xf numFmtId="169" fontId="69" fillId="5" borderId="0" xfId="20" applyNumberFormat="1" applyFont="1" applyFill="1" applyAlignment="1">
      <alignment horizontal="center" vertical="center"/>
    </xf>
    <xf numFmtId="9" fontId="109" fillId="18" borderId="1" xfId="27" applyFont="1" applyFill="1" applyBorder="1" applyAlignment="1">
      <alignment horizontal="center" vertical="center"/>
    </xf>
    <xf numFmtId="0" fontId="77" fillId="32" borderId="19" xfId="20" applyFont="1" applyFill="1" applyBorder="1" applyAlignment="1">
      <alignment horizontal="center" vertical="center"/>
    </xf>
    <xf numFmtId="9" fontId="107" fillId="0" borderId="0" xfId="27" applyFont="1"/>
    <xf numFmtId="167" fontId="48" fillId="3" borderId="0" xfId="20" applyNumberFormat="1" applyFill="1" applyAlignment="1">
      <alignment horizontal="center" vertical="center"/>
    </xf>
    <xf numFmtId="49" fontId="47" fillId="3" borderId="0" xfId="20" applyNumberFormat="1" applyFont="1" applyFill="1"/>
    <xf numFmtId="0" fontId="47" fillId="3" borderId="0" xfId="20" applyFont="1" applyFill="1"/>
    <xf numFmtId="0" fontId="8" fillId="5" borderId="30" xfId="20" applyFont="1" applyFill="1" applyBorder="1" applyAlignment="1">
      <alignment horizontal="center" vertical="center"/>
    </xf>
    <xf numFmtId="0" fontId="8" fillId="5" borderId="61" xfId="20" applyFont="1" applyFill="1" applyBorder="1" applyAlignment="1">
      <alignment horizontal="center" vertical="center"/>
    </xf>
    <xf numFmtId="0" fontId="8" fillId="5" borderId="41" xfId="20" applyFont="1" applyFill="1" applyBorder="1" applyAlignment="1">
      <alignment horizontal="center" vertical="center"/>
    </xf>
    <xf numFmtId="169" fontId="69" fillId="5" borderId="72" xfId="20" applyNumberFormat="1" applyFont="1" applyFill="1" applyBorder="1" applyAlignment="1">
      <alignment horizontal="center" vertical="center"/>
    </xf>
    <xf numFmtId="169" fontId="69" fillId="5" borderId="40" xfId="20" applyNumberFormat="1" applyFont="1" applyFill="1" applyBorder="1" applyAlignment="1">
      <alignment horizontal="center" vertical="center"/>
    </xf>
    <xf numFmtId="0" fontId="88" fillId="5" borderId="72" xfId="20" applyFont="1" applyFill="1" applyBorder="1" applyAlignment="1">
      <alignment horizontal="center" vertical="center"/>
    </xf>
    <xf numFmtId="0" fontId="69" fillId="5" borderId="40" xfId="20" applyFont="1" applyFill="1" applyBorder="1" applyAlignment="1">
      <alignment horizontal="center" vertical="center"/>
    </xf>
    <xf numFmtId="169" fontId="69" fillId="3" borderId="27" xfId="20" applyNumberFormat="1" applyFont="1" applyFill="1" applyBorder="1" applyAlignment="1">
      <alignment horizontal="center" vertical="center"/>
    </xf>
    <xf numFmtId="169" fontId="69" fillId="3" borderId="28" xfId="20" applyNumberFormat="1" applyFont="1" applyFill="1" applyBorder="1" applyAlignment="1">
      <alignment horizontal="center" vertical="center"/>
    </xf>
    <xf numFmtId="169" fontId="69" fillId="3" borderId="29" xfId="20" applyNumberFormat="1" applyFont="1" applyFill="1" applyBorder="1" applyAlignment="1">
      <alignment horizontal="center" vertical="center"/>
    </xf>
    <xf numFmtId="169" fontId="69" fillId="3" borderId="0" xfId="20" applyNumberFormat="1" applyFont="1" applyFill="1" applyAlignment="1">
      <alignment horizontal="center" vertical="center"/>
    </xf>
    <xf numFmtId="169" fontId="69" fillId="3" borderId="26" xfId="20" applyNumberFormat="1" applyFont="1" applyFill="1" applyBorder="1" applyAlignment="1">
      <alignment horizontal="center" vertical="center"/>
    </xf>
    <xf numFmtId="169" fontId="69" fillId="3" borderId="9" xfId="20" applyNumberFormat="1" applyFont="1" applyFill="1" applyBorder="1" applyAlignment="1">
      <alignment horizontal="center" vertical="center"/>
    </xf>
    <xf numFmtId="0" fontId="74" fillId="3" borderId="0" xfId="20" applyFont="1" applyFill="1" applyAlignment="1">
      <alignment vertical="center"/>
    </xf>
    <xf numFmtId="0" fontId="74" fillId="3" borderId="15" xfId="20" applyFont="1" applyFill="1" applyBorder="1" applyAlignment="1">
      <alignment vertical="center"/>
    </xf>
    <xf numFmtId="44" fontId="68" fillId="3" borderId="0" xfId="25" applyFont="1" applyFill="1" applyBorder="1" applyAlignment="1">
      <alignment horizontal="center" vertical="center"/>
    </xf>
    <xf numFmtId="44" fontId="48" fillId="3" borderId="0" xfId="25" applyFont="1" applyFill="1" applyBorder="1"/>
    <xf numFmtId="49" fontId="74" fillId="3" borderId="0" xfId="20" applyNumberFormat="1" applyFont="1" applyFill="1" applyAlignment="1">
      <alignment vertical="center" wrapText="1"/>
    </xf>
    <xf numFmtId="0" fontId="70" fillId="33" borderId="2" xfId="20" applyFont="1" applyFill="1" applyBorder="1" applyAlignment="1">
      <alignment horizontal="center" vertical="center"/>
    </xf>
    <xf numFmtId="169" fontId="65" fillId="5" borderId="53" xfId="20" applyNumberFormat="1" applyFont="1" applyFill="1" applyBorder="1" applyAlignment="1">
      <alignment horizontal="center" vertical="center"/>
    </xf>
    <xf numFmtId="0" fontId="45" fillId="5" borderId="54" xfId="20" applyFont="1" applyFill="1" applyBorder="1" applyAlignment="1">
      <alignment horizontal="center" vertical="center"/>
    </xf>
    <xf numFmtId="0" fontId="8" fillId="5" borderId="29" xfId="20" applyFont="1" applyFill="1" applyBorder="1" applyAlignment="1">
      <alignment horizontal="center" vertical="center"/>
    </xf>
    <xf numFmtId="49" fontId="48" fillId="3" borderId="62" xfId="20" applyNumberFormat="1" applyFill="1" applyBorder="1"/>
    <xf numFmtId="49" fontId="48" fillId="3" borderId="70" xfId="20" applyNumberFormat="1" applyFill="1" applyBorder="1"/>
    <xf numFmtId="0" fontId="65" fillId="3" borderId="30" xfId="20" applyFont="1" applyFill="1" applyBorder="1" applyAlignment="1">
      <alignment horizontal="center" vertical="center"/>
    </xf>
    <xf numFmtId="171" fontId="64" fillId="2" borderId="7" xfId="20" applyNumberFormat="1" applyFont="1" applyFill="1" applyBorder="1" applyAlignment="1">
      <alignment horizontal="center" vertical="center"/>
    </xf>
    <xf numFmtId="0" fontId="88" fillId="5" borderId="56" xfId="20" applyFont="1" applyFill="1" applyBorder="1" applyAlignment="1">
      <alignment horizontal="center" vertical="center"/>
    </xf>
    <xf numFmtId="0" fontId="88" fillId="5" borderId="66" xfId="20" applyFont="1" applyFill="1" applyBorder="1" applyAlignment="1">
      <alignment horizontal="center" vertical="center"/>
    </xf>
    <xf numFmtId="0" fontId="74" fillId="11" borderId="53" xfId="20" applyFont="1" applyFill="1" applyBorder="1" applyAlignment="1">
      <alignment horizontal="center" vertical="center"/>
    </xf>
    <xf numFmtId="0" fontId="69" fillId="5" borderId="3" xfId="20" applyFont="1" applyFill="1" applyBorder="1" applyAlignment="1">
      <alignment horizontal="center" vertical="center"/>
    </xf>
    <xf numFmtId="0" fontId="45" fillId="5" borderId="58" xfId="20" applyFont="1" applyFill="1" applyBorder="1" applyAlignment="1">
      <alignment horizontal="center" vertical="center"/>
    </xf>
    <xf numFmtId="169" fontId="69" fillId="5" borderId="60" xfId="20" applyNumberFormat="1" applyFont="1" applyFill="1" applyBorder="1" applyAlignment="1">
      <alignment horizontal="center" vertical="center"/>
    </xf>
    <xf numFmtId="0" fontId="69" fillId="5" borderId="65" xfId="20" applyFont="1" applyFill="1" applyBorder="1" applyAlignment="1">
      <alignment horizontal="center" vertical="center"/>
    </xf>
    <xf numFmtId="0" fontId="45" fillId="5" borderId="64" xfId="20" applyFont="1" applyFill="1" applyBorder="1" applyAlignment="1">
      <alignment horizontal="center" vertical="center"/>
    </xf>
    <xf numFmtId="49" fontId="68" fillId="11" borderId="27" xfId="20" applyNumberFormat="1" applyFont="1" applyFill="1" applyBorder="1" applyAlignment="1">
      <alignment horizontal="center" vertical="center"/>
    </xf>
    <xf numFmtId="49" fontId="68" fillId="11" borderId="14" xfId="20" applyNumberFormat="1" applyFont="1" applyFill="1" applyBorder="1" applyAlignment="1">
      <alignment horizontal="center" vertical="center"/>
    </xf>
    <xf numFmtId="0" fontId="65" fillId="3" borderId="52" xfId="20" applyFont="1" applyFill="1" applyBorder="1" applyAlignment="1">
      <alignment horizontal="center" vertical="center"/>
    </xf>
    <xf numFmtId="0" fontId="44" fillId="0" borderId="1" xfId="20" applyFont="1" applyBorder="1" applyAlignment="1">
      <alignment horizontal="center" vertical="center"/>
    </xf>
    <xf numFmtId="49" fontId="48" fillId="0" borderId="1" xfId="20" applyNumberFormat="1" applyBorder="1" applyAlignment="1">
      <alignment horizontal="center" vertical="center"/>
    </xf>
    <xf numFmtId="49" fontId="68" fillId="11" borderId="8" xfId="20" applyNumberFormat="1" applyFont="1" applyFill="1" applyBorder="1" applyAlignment="1">
      <alignment horizontal="center" vertical="center"/>
    </xf>
    <xf numFmtId="166" fontId="67" fillId="0" borderId="1" xfId="20" applyNumberFormat="1" applyFont="1" applyBorder="1" applyAlignment="1">
      <alignment vertical="center"/>
    </xf>
    <xf numFmtId="0" fontId="81" fillId="0" borderId="1" xfId="20" applyFont="1" applyBorder="1" applyAlignment="1">
      <alignment horizontal="center" vertical="center"/>
    </xf>
    <xf numFmtId="0" fontId="88" fillId="0" borderId="7" xfId="20" applyFont="1" applyBorder="1" applyAlignment="1">
      <alignment horizontal="center" vertical="center"/>
    </xf>
    <xf numFmtId="0" fontId="77" fillId="34" borderId="19" xfId="20" applyFont="1" applyFill="1" applyBorder="1" applyAlignment="1">
      <alignment horizontal="center" vertical="center"/>
    </xf>
    <xf numFmtId="0" fontId="77" fillId="35" borderId="19" xfId="20" applyFont="1" applyFill="1" applyBorder="1" applyAlignment="1">
      <alignment horizontal="center" vertical="center"/>
    </xf>
    <xf numFmtId="0" fontId="83" fillId="36" borderId="19" xfId="20" applyFont="1" applyFill="1" applyBorder="1" applyAlignment="1">
      <alignment horizontal="center" vertical="center"/>
    </xf>
    <xf numFmtId="0" fontId="65" fillId="3" borderId="55" xfId="27" applyNumberFormat="1" applyFont="1" applyFill="1" applyBorder="1" applyAlignment="1">
      <alignment horizontal="center" vertical="center"/>
    </xf>
    <xf numFmtId="49" fontId="69" fillId="3" borderId="36" xfId="20" applyNumberFormat="1" applyFont="1" applyFill="1" applyBorder="1" applyAlignment="1">
      <alignment horizontal="center" vertical="center"/>
    </xf>
    <xf numFmtId="0" fontId="4" fillId="3" borderId="0" xfId="20" applyFont="1" applyFill="1"/>
    <xf numFmtId="168" fontId="18" fillId="0" borderId="0" xfId="38" applyNumberFormat="1"/>
    <xf numFmtId="173" fontId="18" fillId="0" borderId="0" xfId="38" applyNumberFormat="1"/>
    <xf numFmtId="9" fontId="18" fillId="0" borderId="0" xfId="27" applyFont="1"/>
    <xf numFmtId="173" fontId="18" fillId="0" borderId="0" xfId="27" applyNumberFormat="1" applyFont="1"/>
    <xf numFmtId="0" fontId="69" fillId="0" borderId="12" xfId="20" applyFont="1" applyBorder="1" applyAlignment="1">
      <alignment horizontal="center" vertical="center"/>
    </xf>
    <xf numFmtId="0" fontId="69" fillId="0" borderId="55" xfId="20" applyFont="1" applyBorder="1" applyAlignment="1">
      <alignment horizontal="center" vertical="center"/>
    </xf>
    <xf numFmtId="0" fontId="19" fillId="0" borderId="57" xfId="20" applyFont="1" applyBorder="1" applyAlignment="1">
      <alignment horizontal="center" vertical="center"/>
    </xf>
    <xf numFmtId="0" fontId="26" fillId="0" borderId="57" xfId="20" applyFont="1" applyBorder="1" applyAlignment="1">
      <alignment horizontal="center" vertical="center"/>
    </xf>
    <xf numFmtId="0" fontId="69" fillId="0" borderId="63" xfId="20" applyFont="1" applyBorder="1" applyAlignment="1">
      <alignment horizontal="center" vertical="center"/>
    </xf>
    <xf numFmtId="0" fontId="69" fillId="0" borderId="47" xfId="20" applyFont="1" applyBorder="1" applyAlignment="1">
      <alignment horizontal="center" vertical="center"/>
    </xf>
    <xf numFmtId="0" fontId="65" fillId="5" borderId="12" xfId="20" applyFont="1" applyFill="1" applyBorder="1" applyAlignment="1">
      <alignment horizontal="center" vertical="center"/>
    </xf>
    <xf numFmtId="0" fontId="64" fillId="5" borderId="12" xfId="20" applyFont="1" applyFill="1" applyBorder="1" applyAlignment="1">
      <alignment horizontal="center" vertical="center"/>
    </xf>
    <xf numFmtId="49" fontId="118" fillId="0" borderId="17" xfId="20" applyNumberFormat="1" applyFont="1" applyBorder="1" applyAlignment="1">
      <alignment horizontal="center" vertical="center" wrapText="1"/>
    </xf>
    <xf numFmtId="0" fontId="2" fillId="5" borderId="6" xfId="20" applyFont="1" applyFill="1" applyBorder="1" applyAlignment="1">
      <alignment horizontal="center" vertical="center"/>
    </xf>
    <xf numFmtId="0" fontId="69" fillId="5" borderId="66" xfId="20" applyFont="1" applyFill="1" applyBorder="1" applyAlignment="1">
      <alignment horizontal="center" vertical="center"/>
    </xf>
    <xf numFmtId="0" fontId="69" fillId="0" borderId="54" xfId="20" applyFont="1" applyBorder="1" applyAlignment="1">
      <alignment horizontal="center" vertical="center"/>
    </xf>
    <xf numFmtId="0" fontId="69" fillId="0" borderId="56" xfId="20" applyFont="1" applyBorder="1" applyAlignment="1">
      <alignment horizontal="center" vertical="center"/>
    </xf>
    <xf numFmtId="0" fontId="135" fillId="0" borderId="0" xfId="6" applyFont="1"/>
    <xf numFmtId="14" fontId="53" fillId="0" borderId="0" xfId="6" applyNumberFormat="1"/>
    <xf numFmtId="14" fontId="1" fillId="22" borderId="34" xfId="6" applyNumberFormat="1" applyFont="1" applyFill="1" applyBorder="1" applyAlignment="1">
      <alignment horizontal="center" vertical="center" textRotation="90"/>
    </xf>
    <xf numFmtId="14" fontId="129" fillId="17" borderId="2" xfId="20" applyNumberFormat="1" applyFont="1" applyFill="1" applyBorder="1" applyAlignment="1">
      <alignment vertical="center"/>
    </xf>
    <xf numFmtId="14" fontId="129" fillId="17" borderId="13" xfId="20" applyNumberFormat="1" applyFont="1" applyFill="1" applyBorder="1" applyAlignment="1">
      <alignment vertical="center"/>
    </xf>
    <xf numFmtId="0" fontId="108" fillId="22" borderId="34" xfId="6" applyFont="1" applyFill="1" applyBorder="1" applyAlignment="1">
      <alignment horizontal="center" vertical="center" textRotation="90"/>
    </xf>
    <xf numFmtId="0" fontId="108" fillId="22" borderId="24" xfId="6" applyFont="1" applyFill="1" applyBorder="1" applyAlignment="1">
      <alignment horizontal="center" vertical="center" textRotation="90"/>
    </xf>
    <xf numFmtId="0" fontId="136" fillId="17" borderId="8" xfId="20" applyFont="1" applyFill="1" applyBorder="1" applyAlignment="1">
      <alignment vertical="center"/>
    </xf>
    <xf numFmtId="0" fontId="13" fillId="29" borderId="31" xfId="38" applyFont="1" applyFill="1" applyBorder="1" applyAlignment="1">
      <alignment horizontal="center"/>
    </xf>
    <xf numFmtId="0" fontId="15" fillId="29" borderId="0" xfId="38" applyFont="1" applyFill="1" applyAlignment="1">
      <alignment horizontal="center"/>
    </xf>
    <xf numFmtId="0" fontId="15" fillId="29" borderId="50" xfId="38" applyFont="1" applyFill="1" applyBorder="1" applyAlignment="1">
      <alignment horizontal="center"/>
    </xf>
    <xf numFmtId="0" fontId="13" fillId="30" borderId="11" xfId="38" applyFont="1" applyFill="1" applyBorder="1" applyAlignment="1">
      <alignment horizontal="center"/>
    </xf>
    <xf numFmtId="0" fontId="15" fillId="30" borderId="48" xfId="38" applyFont="1" applyFill="1" applyBorder="1" applyAlignment="1">
      <alignment horizontal="center"/>
    </xf>
    <xf numFmtId="0" fontId="15" fillId="30" borderId="4" xfId="38" applyFont="1" applyFill="1" applyBorder="1" applyAlignment="1">
      <alignment horizontal="center"/>
    </xf>
    <xf numFmtId="0" fontId="117" fillId="28" borderId="1" xfId="38" applyFont="1" applyFill="1" applyBorder="1" applyAlignment="1">
      <alignment horizontal="center" vertical="center"/>
    </xf>
    <xf numFmtId="0" fontId="117" fillId="28" borderId="20" xfId="38" applyFont="1" applyFill="1" applyBorder="1" applyAlignment="1">
      <alignment horizontal="center" vertical="center"/>
    </xf>
    <xf numFmtId="0" fontId="115" fillId="28" borderId="1" xfId="38" applyFont="1" applyFill="1" applyBorder="1" applyAlignment="1">
      <alignment horizontal="center" vertical="center"/>
    </xf>
    <xf numFmtId="0" fontId="115" fillId="28" borderId="20" xfId="38" applyFont="1" applyFill="1" applyBorder="1" applyAlignment="1">
      <alignment horizontal="center" vertical="center"/>
    </xf>
    <xf numFmtId="0" fontId="53" fillId="17" borderId="19" xfId="6" applyFill="1" applyBorder="1" applyAlignment="1">
      <alignment horizontal="center" vertical="center"/>
    </xf>
    <xf numFmtId="0" fontId="53" fillId="17" borderId="1" xfId="6" applyFill="1" applyBorder="1" applyAlignment="1">
      <alignment horizontal="center" vertical="center"/>
    </xf>
    <xf numFmtId="0" fontId="122" fillId="28" borderId="11" xfId="38" quotePrefix="1" applyFont="1" applyFill="1" applyBorder="1" applyAlignment="1">
      <alignment horizontal="center" vertical="center"/>
    </xf>
    <xf numFmtId="0" fontId="122" fillId="28" borderId="48" xfId="38" applyFont="1" applyFill="1" applyBorder="1" applyAlignment="1">
      <alignment horizontal="center" vertical="center"/>
    </xf>
    <xf numFmtId="0" fontId="122" fillId="28" borderId="32" xfId="38" applyFont="1" applyFill="1" applyBorder="1" applyAlignment="1">
      <alignment horizontal="center" vertical="center"/>
    </xf>
    <xf numFmtId="0" fontId="122" fillId="28" borderId="10" xfId="38" applyFont="1" applyFill="1" applyBorder="1" applyAlignment="1">
      <alignment horizontal="center" vertical="center"/>
    </xf>
    <xf numFmtId="0" fontId="122" fillId="28" borderId="49" xfId="38" applyFont="1" applyFill="1" applyBorder="1" applyAlignment="1">
      <alignment horizontal="center" vertical="center"/>
    </xf>
    <xf numFmtId="0" fontId="122" fillId="28" borderId="33" xfId="38" applyFont="1" applyFill="1" applyBorder="1" applyAlignment="1">
      <alignment horizontal="center" vertical="center"/>
    </xf>
    <xf numFmtId="14" fontId="120" fillId="28" borderId="28" xfId="38" applyNumberFormat="1" applyFont="1" applyFill="1" applyBorder="1" applyAlignment="1">
      <alignment horizontal="center" vertical="center"/>
    </xf>
    <xf numFmtId="14" fontId="120" fillId="28" borderId="14" xfId="38" applyNumberFormat="1" applyFont="1" applyFill="1" applyBorder="1" applyAlignment="1">
      <alignment horizontal="center" vertical="center"/>
    </xf>
    <xf numFmtId="14" fontId="120" fillId="28" borderId="0" xfId="38" applyNumberFormat="1" applyFont="1" applyFill="1" applyAlignment="1">
      <alignment horizontal="center" vertical="center"/>
    </xf>
    <xf numFmtId="14" fontId="120" fillId="28" borderId="15" xfId="38" applyNumberFormat="1" applyFont="1" applyFill="1" applyBorder="1" applyAlignment="1">
      <alignment horizontal="center" vertical="center"/>
    </xf>
    <xf numFmtId="14" fontId="120" fillId="28" borderId="9" xfId="38" applyNumberFormat="1" applyFont="1" applyFill="1" applyBorder="1" applyAlignment="1">
      <alignment horizontal="center" vertical="center"/>
    </xf>
    <xf numFmtId="14" fontId="120" fillId="28" borderId="16" xfId="38" applyNumberFormat="1" applyFont="1" applyFill="1" applyBorder="1" applyAlignment="1">
      <alignment horizontal="center" vertical="center"/>
    </xf>
    <xf numFmtId="0" fontId="122" fillId="28" borderId="7" xfId="38" applyFont="1" applyFill="1" applyBorder="1" applyAlignment="1">
      <alignment horizontal="center" vertical="center"/>
    </xf>
    <xf numFmtId="0" fontId="122" fillId="28" borderId="63" xfId="38" applyFont="1" applyFill="1" applyBorder="1" applyAlignment="1">
      <alignment horizontal="center" vertical="center"/>
    </xf>
    <xf numFmtId="0" fontId="122" fillId="28" borderId="1" xfId="38" applyFont="1" applyFill="1" applyBorder="1" applyAlignment="1">
      <alignment horizontal="center" vertical="center"/>
    </xf>
    <xf numFmtId="0" fontId="122" fillId="28" borderId="20" xfId="38" applyFont="1" applyFill="1" applyBorder="1" applyAlignment="1">
      <alignment horizontal="center" vertical="center"/>
    </xf>
    <xf numFmtId="9" fontId="122" fillId="28" borderId="1" xfId="38" applyNumberFormat="1" applyFont="1" applyFill="1" applyBorder="1" applyAlignment="1">
      <alignment horizontal="center" vertical="center"/>
    </xf>
    <xf numFmtId="9" fontId="120" fillId="28" borderId="1" xfId="38" applyNumberFormat="1" applyFont="1" applyFill="1" applyBorder="1" applyAlignment="1">
      <alignment horizontal="center" vertical="center"/>
    </xf>
    <xf numFmtId="0" fontId="120" fillId="28" borderId="1" xfId="38" applyFont="1" applyFill="1" applyBorder="1" applyAlignment="1">
      <alignment horizontal="center" vertical="center"/>
    </xf>
    <xf numFmtId="0" fontId="120" fillId="28" borderId="20" xfId="38" applyFont="1" applyFill="1" applyBorder="1" applyAlignment="1">
      <alignment horizontal="center" vertical="center"/>
    </xf>
    <xf numFmtId="0" fontId="119" fillId="0" borderId="27" xfId="6" applyFont="1" applyBorder="1" applyAlignment="1">
      <alignment horizontal="center" vertical="center"/>
    </xf>
    <xf numFmtId="0" fontId="119" fillId="0" borderId="28" xfId="6" applyFont="1" applyBorder="1" applyAlignment="1">
      <alignment horizontal="center" vertical="center"/>
    </xf>
    <xf numFmtId="0" fontId="119" fillId="0" borderId="14" xfId="6" applyFont="1" applyBorder="1" applyAlignment="1">
      <alignment horizontal="center" vertical="center"/>
    </xf>
    <xf numFmtId="0" fontId="119" fillId="0" borderId="26" xfId="6" applyFont="1" applyBorder="1" applyAlignment="1">
      <alignment horizontal="center" vertical="center"/>
    </xf>
    <xf numFmtId="0" fontId="119" fillId="0" borderId="9" xfId="6" applyFont="1" applyBorder="1" applyAlignment="1">
      <alignment horizontal="center" vertical="center"/>
    </xf>
    <xf numFmtId="0" fontId="119" fillId="0" borderId="16" xfId="6" applyFont="1" applyBorder="1" applyAlignment="1">
      <alignment horizontal="center" vertical="center"/>
    </xf>
    <xf numFmtId="0" fontId="111" fillId="28" borderId="0" xfId="38" applyFont="1" applyFill="1" applyAlignment="1">
      <alignment horizontal="center" vertical="center"/>
    </xf>
    <xf numFmtId="0" fontId="111" fillId="28" borderId="15" xfId="38" applyFont="1" applyFill="1" applyBorder="1" applyAlignment="1">
      <alignment horizontal="center" vertical="center"/>
    </xf>
    <xf numFmtId="0" fontId="111" fillId="28" borderId="9" xfId="38" applyFont="1" applyFill="1" applyBorder="1" applyAlignment="1">
      <alignment horizontal="center" vertical="center"/>
    </xf>
    <xf numFmtId="0" fontId="111" fillId="28" borderId="16" xfId="38" applyFont="1" applyFill="1" applyBorder="1" applyAlignment="1">
      <alignment horizontal="center" vertical="center"/>
    </xf>
    <xf numFmtId="0" fontId="111" fillId="28" borderId="28" xfId="38" applyFont="1" applyFill="1" applyBorder="1" applyAlignment="1">
      <alignment horizontal="center" vertical="center"/>
    </xf>
    <xf numFmtId="9" fontId="116" fillId="28" borderId="1" xfId="38" applyNumberFormat="1" applyFont="1" applyFill="1" applyBorder="1" applyAlignment="1">
      <alignment horizontal="center" vertical="center"/>
    </xf>
    <xf numFmtId="0" fontId="116" fillId="28" borderId="1" xfId="38" applyFont="1" applyFill="1" applyBorder="1" applyAlignment="1">
      <alignment horizontal="center" vertical="center"/>
    </xf>
    <xf numFmtId="0" fontId="116" fillId="28" borderId="20" xfId="38" applyFont="1" applyFill="1" applyBorder="1" applyAlignment="1">
      <alignment horizontal="center" vertical="center"/>
    </xf>
    <xf numFmtId="0" fontId="53" fillId="17" borderId="23" xfId="6" applyFill="1" applyBorder="1" applyAlignment="1">
      <alignment horizontal="center" vertical="center"/>
    </xf>
    <xf numFmtId="0" fontId="53" fillId="17" borderId="34" xfId="6" applyFill="1" applyBorder="1" applyAlignment="1">
      <alignment horizontal="center" vertical="center"/>
    </xf>
    <xf numFmtId="0" fontId="53" fillId="17" borderId="21" xfId="6" applyFill="1" applyBorder="1" applyAlignment="1">
      <alignment horizontal="center" vertical="center"/>
    </xf>
    <xf numFmtId="0" fontId="53" fillId="17" borderId="36" xfId="6" applyFill="1" applyBorder="1" applyAlignment="1">
      <alignment horizontal="center" vertical="center"/>
    </xf>
    <xf numFmtId="49" fontId="84" fillId="5" borderId="61" xfId="20" applyNumberFormat="1" applyFont="1" applyFill="1" applyBorder="1" applyAlignment="1">
      <alignment horizontal="center" vertical="center" wrapText="1"/>
    </xf>
    <xf numFmtId="49" fontId="84" fillId="5" borderId="58" xfId="20" applyNumberFormat="1" applyFont="1" applyFill="1" applyBorder="1" applyAlignment="1">
      <alignment horizontal="center" vertical="center" wrapText="1"/>
    </xf>
    <xf numFmtId="49" fontId="66" fillId="31" borderId="8" xfId="20" applyNumberFormat="1" applyFont="1" applyFill="1" applyBorder="1" applyAlignment="1">
      <alignment horizontal="center" vertical="center"/>
    </xf>
    <xf numFmtId="49" fontId="66" fillId="31" borderId="2" xfId="20" applyNumberFormat="1" applyFont="1" applyFill="1" applyBorder="1" applyAlignment="1">
      <alignment horizontal="center" vertical="center"/>
    </xf>
    <xf numFmtId="49" fontId="66" fillId="31" borderId="13" xfId="20" applyNumberFormat="1" applyFont="1" applyFill="1" applyBorder="1" applyAlignment="1">
      <alignment horizontal="center" vertical="center"/>
    </xf>
    <xf numFmtId="0" fontId="110" fillId="28" borderId="29" xfId="38" applyFont="1" applyFill="1" applyBorder="1" applyAlignment="1">
      <alignment horizontal="center"/>
    </xf>
    <xf numFmtId="0" fontId="110" fillId="28" borderId="0" xfId="38" applyFont="1" applyFill="1" applyAlignment="1">
      <alignment horizontal="center"/>
    </xf>
    <xf numFmtId="0" fontId="112" fillId="28" borderId="27" xfId="38" applyFont="1" applyFill="1" applyBorder="1" applyAlignment="1">
      <alignment horizontal="center" vertical="center" textRotation="90"/>
    </xf>
    <xf numFmtId="0" fontId="112" fillId="28" borderId="14" xfId="38" applyFont="1" applyFill="1" applyBorder="1" applyAlignment="1">
      <alignment horizontal="center" vertical="center" textRotation="90"/>
    </xf>
    <xf numFmtId="0" fontId="112" fillId="28" borderId="29" xfId="38" applyFont="1" applyFill="1" applyBorder="1" applyAlignment="1">
      <alignment horizontal="center" vertical="center" textRotation="90"/>
    </xf>
    <xf numFmtId="0" fontId="112" fillId="28" borderId="15" xfId="38" applyFont="1" applyFill="1" applyBorder="1" applyAlignment="1">
      <alignment horizontal="center" vertical="center" textRotation="90"/>
    </xf>
    <xf numFmtId="0" fontId="112" fillId="28" borderId="26" xfId="38" applyFont="1" applyFill="1" applyBorder="1" applyAlignment="1">
      <alignment horizontal="center" vertical="center" textRotation="90"/>
    </xf>
    <xf numFmtId="0" fontId="112" fillId="28" borderId="16" xfId="38" applyFont="1" applyFill="1" applyBorder="1" applyAlignment="1">
      <alignment horizontal="center" vertical="center" textRotation="90"/>
    </xf>
    <xf numFmtId="167" fontId="130" fillId="28" borderId="29" xfId="38" applyNumberFormat="1" applyFont="1" applyFill="1" applyBorder="1" applyAlignment="1">
      <alignment horizontal="center" vertical="center"/>
    </xf>
    <xf numFmtId="167" fontId="130" fillId="28" borderId="0" xfId="38" applyNumberFormat="1" applyFont="1" applyFill="1" applyAlignment="1">
      <alignment horizontal="center" vertical="center"/>
    </xf>
    <xf numFmtId="167" fontId="130" fillId="28" borderId="26" xfId="38" applyNumberFormat="1" applyFont="1" applyFill="1" applyBorder="1" applyAlignment="1">
      <alignment horizontal="center" vertical="center"/>
    </xf>
    <xf numFmtId="167" fontId="130" fillId="28" borderId="9" xfId="38" applyNumberFormat="1" applyFont="1" applyFill="1" applyBorder="1" applyAlignment="1">
      <alignment horizontal="center" vertical="center"/>
    </xf>
    <xf numFmtId="49" fontId="66" fillId="17" borderId="8" xfId="20" applyNumberFormat="1" applyFont="1" applyFill="1" applyBorder="1" applyAlignment="1">
      <alignment horizontal="center" vertical="center"/>
    </xf>
    <xf numFmtId="49" fontId="66" fillId="17" borderId="13" xfId="20" applyNumberFormat="1" applyFont="1" applyFill="1" applyBorder="1" applyAlignment="1">
      <alignment horizontal="center" vertical="center"/>
    </xf>
    <xf numFmtId="0" fontId="10" fillId="17" borderId="23" xfId="38" applyFont="1" applyFill="1" applyBorder="1" applyAlignment="1">
      <alignment horizontal="center" vertical="center"/>
    </xf>
    <xf numFmtId="0" fontId="10" fillId="17" borderId="24" xfId="38" applyFont="1" applyFill="1" applyBorder="1" applyAlignment="1">
      <alignment horizontal="center" vertical="center"/>
    </xf>
    <xf numFmtId="0" fontId="3" fillId="29" borderId="0" xfId="38" applyFont="1" applyFill="1" applyAlignment="1">
      <alignment horizontal="center"/>
    </xf>
    <xf numFmtId="0" fontId="3" fillId="30" borderId="0" xfId="38" applyFont="1" applyFill="1" applyAlignment="1">
      <alignment horizontal="center"/>
    </xf>
    <xf numFmtId="0" fontId="124" fillId="28" borderId="27" xfId="38" applyFont="1" applyFill="1" applyBorder="1" applyAlignment="1">
      <alignment horizontal="center" vertical="center" textRotation="90" wrapText="1"/>
    </xf>
    <xf numFmtId="0" fontId="124" fillId="28" borderId="14" xfId="38" applyFont="1" applyFill="1" applyBorder="1" applyAlignment="1">
      <alignment horizontal="center" vertical="center" textRotation="90" wrapText="1"/>
    </xf>
    <xf numFmtId="0" fontId="124" fillId="28" borderId="29" xfId="38" applyFont="1" applyFill="1" applyBorder="1" applyAlignment="1">
      <alignment horizontal="center" vertical="center" textRotation="90" wrapText="1"/>
    </xf>
    <xf numFmtId="0" fontId="124" fillId="28" borderId="15" xfId="38" applyFont="1" applyFill="1" applyBorder="1" applyAlignment="1">
      <alignment horizontal="center" vertical="center" textRotation="90" wrapText="1"/>
    </xf>
    <xf numFmtId="0" fontId="124" fillId="28" borderId="26" xfId="38" applyFont="1" applyFill="1" applyBorder="1" applyAlignment="1">
      <alignment horizontal="center" vertical="center" textRotation="90" wrapText="1"/>
    </xf>
    <xf numFmtId="0" fontId="124" fillId="28" borderId="16" xfId="38" applyFont="1" applyFill="1" applyBorder="1" applyAlignment="1">
      <alignment horizontal="center" vertical="center" textRotation="90" wrapText="1"/>
    </xf>
    <xf numFmtId="0" fontId="75" fillId="0" borderId="2" xfId="0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94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52" fillId="0" borderId="8" xfId="0" applyFont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49" fontId="102" fillId="0" borderId="62" xfId="0" applyNumberFormat="1" applyFont="1" applyBorder="1" applyAlignment="1">
      <alignment horizontal="center" vertical="center"/>
    </xf>
    <xf numFmtId="0" fontId="102" fillId="0" borderId="37" xfId="0" applyFont="1" applyBorder="1" applyAlignment="1">
      <alignment horizontal="center" vertical="center"/>
    </xf>
    <xf numFmtId="0" fontId="103" fillId="0" borderId="14" xfId="0" applyFont="1" applyBorder="1" applyAlignment="1">
      <alignment horizontal="center" vertical="center"/>
    </xf>
    <xf numFmtId="0" fontId="103" fillId="0" borderId="16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50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101" fillId="5" borderId="1" xfId="0" applyFont="1" applyFill="1" applyBorder="1" applyAlignment="1">
      <alignment horizontal="center" vertical="center" wrapText="1"/>
    </xf>
    <xf numFmtId="0" fontId="61" fillId="0" borderId="12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 wrapText="1"/>
    </xf>
    <xf numFmtId="0" fontId="74" fillId="7" borderId="1" xfId="0" applyFont="1" applyFill="1" applyBorder="1" applyAlignment="1">
      <alignment horizontal="center" vertical="center"/>
    </xf>
    <xf numFmtId="0" fontId="105" fillId="0" borderId="27" xfId="0" applyFont="1" applyBorder="1" applyAlignment="1">
      <alignment horizontal="center" vertical="center" wrapText="1"/>
    </xf>
    <xf numFmtId="0" fontId="105" fillId="0" borderId="14" xfId="0" applyFont="1" applyBorder="1" applyAlignment="1">
      <alignment horizontal="center" vertical="center" wrapText="1"/>
    </xf>
    <xf numFmtId="0" fontId="105" fillId="0" borderId="29" xfId="0" applyFont="1" applyBorder="1" applyAlignment="1">
      <alignment horizontal="center" vertical="center" wrapText="1"/>
    </xf>
    <xf numFmtId="0" fontId="105" fillId="0" borderId="15" xfId="0" applyFont="1" applyBorder="1" applyAlignment="1">
      <alignment horizontal="center" vertical="center" wrapText="1"/>
    </xf>
    <xf numFmtId="0" fontId="105" fillId="0" borderId="26" xfId="0" applyFont="1" applyBorder="1" applyAlignment="1">
      <alignment horizontal="center" vertical="center" wrapText="1"/>
    </xf>
    <xf numFmtId="0" fontId="105" fillId="0" borderId="16" xfId="0" applyFont="1" applyBorder="1" applyAlignment="1">
      <alignment horizontal="center" vertical="center" wrapText="1"/>
    </xf>
    <xf numFmtId="0" fontId="106" fillId="0" borderId="27" xfId="0" applyFont="1" applyBorder="1" applyAlignment="1">
      <alignment horizontal="center" vertical="center"/>
    </xf>
    <xf numFmtId="0" fontId="106" fillId="0" borderId="14" xfId="0" applyFont="1" applyBorder="1" applyAlignment="1">
      <alignment horizontal="center" vertical="center"/>
    </xf>
    <xf numFmtId="0" fontId="106" fillId="0" borderId="29" xfId="0" applyFont="1" applyBorder="1" applyAlignment="1">
      <alignment horizontal="center" vertical="center"/>
    </xf>
    <xf numFmtId="0" fontId="106" fillId="0" borderId="15" xfId="0" applyFont="1" applyBorder="1" applyAlignment="1">
      <alignment horizontal="center" vertical="center"/>
    </xf>
    <xf numFmtId="0" fontId="106" fillId="0" borderId="26" xfId="0" applyFont="1" applyBorder="1" applyAlignment="1">
      <alignment horizontal="center" vertical="center"/>
    </xf>
    <xf numFmtId="0" fontId="106" fillId="0" borderId="16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0" fontId="78" fillId="0" borderId="11" xfId="0" applyFont="1" applyBorder="1" applyAlignment="1">
      <alignment horizontal="center" vertical="center"/>
    </xf>
    <xf numFmtId="0" fontId="78" fillId="0" borderId="48" xfId="0" applyFont="1" applyBorder="1" applyAlignment="1">
      <alignment horizontal="center" vertical="center"/>
    </xf>
    <xf numFmtId="0" fontId="78" fillId="0" borderId="4" xfId="0" applyFont="1" applyBorder="1" applyAlignment="1">
      <alignment horizontal="center" vertical="center"/>
    </xf>
    <xf numFmtId="0" fontId="78" fillId="0" borderId="31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8" fillId="0" borderId="50" xfId="0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0" fontId="78" fillId="0" borderId="49" xfId="0" applyFont="1" applyBorder="1" applyAlignment="1">
      <alignment horizontal="center" vertical="center"/>
    </xf>
    <xf numFmtId="0" fontId="78" fillId="0" borderId="5" xfId="0" applyFont="1" applyBorder="1" applyAlignment="1">
      <alignment horizontal="center" vertical="center"/>
    </xf>
    <xf numFmtId="0" fontId="128" fillId="0" borderId="11" xfId="0" applyFont="1" applyBorder="1" applyAlignment="1">
      <alignment horizontal="center" vertical="center"/>
    </xf>
    <xf numFmtId="0" fontId="128" fillId="0" borderId="4" xfId="0" applyFont="1" applyBorder="1" applyAlignment="1">
      <alignment horizontal="center" vertical="center"/>
    </xf>
    <xf numFmtId="0" fontId="128" fillId="0" borderId="31" xfId="0" applyFont="1" applyBorder="1" applyAlignment="1">
      <alignment horizontal="center" vertical="center"/>
    </xf>
    <xf numFmtId="0" fontId="128" fillId="0" borderId="50" xfId="0" applyFont="1" applyBorder="1" applyAlignment="1">
      <alignment horizontal="center" vertical="center"/>
    </xf>
    <xf numFmtId="0" fontId="128" fillId="0" borderId="10" xfId="0" applyFont="1" applyBorder="1" applyAlignment="1">
      <alignment horizontal="center" vertical="center"/>
    </xf>
    <xf numFmtId="0" fontId="128" fillId="0" borderId="5" xfId="0" applyFont="1" applyBorder="1" applyAlignment="1">
      <alignment horizontal="center" vertical="center"/>
    </xf>
    <xf numFmtId="0" fontId="95" fillId="22" borderId="31" xfId="0" applyFont="1" applyFill="1" applyBorder="1" applyAlignment="1">
      <alignment horizontal="center" vertical="center"/>
    </xf>
    <xf numFmtId="49" fontId="16" fillId="0" borderId="1" xfId="20" applyNumberFormat="1" applyFont="1" applyBorder="1" applyAlignment="1">
      <alignment horizontal="center" wrapText="1"/>
    </xf>
    <xf numFmtId="49" fontId="48" fillId="0" borderId="1" xfId="20" applyNumberFormat="1" applyBorder="1" applyAlignment="1">
      <alignment horizontal="center" wrapText="1"/>
    </xf>
    <xf numFmtId="14" fontId="63" fillId="0" borderId="8" xfId="20" applyNumberFormat="1" applyFont="1" applyBorder="1" applyAlignment="1">
      <alignment horizontal="center" vertical="center"/>
    </xf>
    <xf numFmtId="14" fontId="63" fillId="0" borderId="2" xfId="20" applyNumberFormat="1" applyFont="1" applyBorder="1" applyAlignment="1">
      <alignment horizontal="center" vertical="center"/>
    </xf>
    <xf numFmtId="14" fontId="63" fillId="0" borderId="13" xfId="20" applyNumberFormat="1" applyFont="1" applyBorder="1" applyAlignment="1">
      <alignment horizontal="center" vertical="center"/>
    </xf>
    <xf numFmtId="14" fontId="125" fillId="0" borderId="8" xfId="20" applyNumberFormat="1" applyFont="1" applyBorder="1" applyAlignment="1">
      <alignment horizontal="center" vertical="center"/>
    </xf>
    <xf numFmtId="14" fontId="125" fillId="0" borderId="2" xfId="20" applyNumberFormat="1" applyFont="1" applyBorder="1" applyAlignment="1">
      <alignment horizontal="center" vertical="center"/>
    </xf>
    <xf numFmtId="14" fontId="126" fillId="0" borderId="8" xfId="20" applyNumberFormat="1" applyFont="1" applyBorder="1" applyAlignment="1">
      <alignment horizontal="center" vertical="center"/>
    </xf>
    <xf numFmtId="14" fontId="126" fillId="0" borderId="2" xfId="20" applyNumberFormat="1" applyFont="1" applyBorder="1" applyAlignment="1">
      <alignment horizontal="center" vertical="center"/>
    </xf>
    <xf numFmtId="14" fontId="126" fillId="0" borderId="13" xfId="20" applyNumberFormat="1" applyFont="1" applyBorder="1" applyAlignment="1">
      <alignment horizontal="center" vertical="center"/>
    </xf>
    <xf numFmtId="14" fontId="63" fillId="0" borderId="9" xfId="20" applyNumberFormat="1" applyFont="1" applyBorder="1" applyAlignment="1">
      <alignment horizontal="center" vertical="center"/>
    </xf>
    <xf numFmtId="49" fontId="63" fillId="3" borderId="9" xfId="20" applyNumberFormat="1" applyFont="1" applyFill="1" applyBorder="1" applyAlignment="1">
      <alignment horizontal="center" vertical="center" wrapText="1"/>
    </xf>
    <xf numFmtId="49" fontId="63" fillId="3" borderId="16" xfId="20" applyNumberFormat="1" applyFont="1" applyFill="1" applyBorder="1" applyAlignment="1">
      <alignment horizontal="center" vertical="center" wrapText="1"/>
    </xf>
    <xf numFmtId="49" fontId="70" fillId="11" borderId="8" xfId="20" applyNumberFormat="1" applyFont="1" applyFill="1" applyBorder="1" applyAlignment="1">
      <alignment horizontal="center" vertical="center"/>
    </xf>
    <xf numFmtId="49" fontId="70" fillId="11" borderId="13" xfId="20" applyNumberFormat="1" applyFont="1" applyFill="1" applyBorder="1" applyAlignment="1">
      <alignment horizontal="center" vertical="center"/>
    </xf>
    <xf numFmtId="0" fontId="80" fillId="3" borderId="27" xfId="20" applyFont="1" applyFill="1" applyBorder="1" applyAlignment="1">
      <alignment horizontal="center" vertical="center"/>
    </xf>
    <xf numFmtId="0" fontId="80" fillId="3" borderId="28" xfId="20" applyFont="1" applyFill="1" applyBorder="1" applyAlignment="1">
      <alignment horizontal="center" vertical="center"/>
    </xf>
    <xf numFmtId="0" fontId="80" fillId="3" borderId="29" xfId="20" applyFont="1" applyFill="1" applyBorder="1" applyAlignment="1">
      <alignment horizontal="center" vertical="center"/>
    </xf>
    <xf numFmtId="0" fontId="80" fillId="3" borderId="0" xfId="20" applyFont="1" applyFill="1" applyAlignment="1">
      <alignment horizontal="center" vertical="center"/>
    </xf>
    <xf numFmtId="0" fontId="80" fillId="3" borderId="14" xfId="20" applyFont="1" applyFill="1" applyBorder="1" applyAlignment="1">
      <alignment horizontal="center" vertical="center"/>
    </xf>
    <xf numFmtId="0" fontId="80" fillId="3" borderId="15" xfId="20" applyFont="1" applyFill="1" applyBorder="1" applyAlignment="1">
      <alignment horizontal="center" vertical="center"/>
    </xf>
    <xf numFmtId="49" fontId="6" fillId="3" borderId="8" xfId="20" applyNumberFormat="1" applyFont="1" applyFill="1" applyBorder="1" applyAlignment="1">
      <alignment horizontal="center" vertical="center" wrapText="1"/>
    </xf>
    <xf numFmtId="49" fontId="48" fillId="3" borderId="2" xfId="20" applyNumberFormat="1" applyFill="1" applyBorder="1" applyAlignment="1">
      <alignment horizontal="center" vertical="center" wrapText="1"/>
    </xf>
    <xf numFmtId="49" fontId="48" fillId="3" borderId="13" xfId="20" applyNumberFormat="1" applyFill="1" applyBorder="1" applyAlignment="1">
      <alignment horizontal="center" vertical="center" wrapText="1"/>
    </xf>
    <xf numFmtId="0" fontId="131" fillId="3" borderId="26" xfId="21" applyNumberFormat="1" applyFont="1" applyFill="1" applyBorder="1" applyAlignment="1" applyProtection="1">
      <alignment horizontal="center" vertical="center"/>
    </xf>
    <xf numFmtId="0" fontId="131" fillId="3" borderId="9" xfId="21" applyNumberFormat="1" applyFont="1" applyFill="1" applyBorder="1" applyAlignment="1" applyProtection="1">
      <alignment horizontal="center" vertical="center"/>
    </xf>
    <xf numFmtId="0" fontId="44" fillId="0" borderId="1" xfId="20" applyFont="1" applyBorder="1" applyAlignment="1">
      <alignment horizontal="center" vertical="center"/>
    </xf>
    <xf numFmtId="49" fontId="40" fillId="0" borderId="1" xfId="20" applyNumberFormat="1" applyFont="1" applyBorder="1" applyAlignment="1">
      <alignment horizontal="center" vertical="center"/>
    </xf>
    <xf numFmtId="49" fontId="48" fillId="0" borderId="1" xfId="20" applyNumberFormat="1" applyBorder="1" applyAlignment="1">
      <alignment horizontal="center" vertical="center"/>
    </xf>
    <xf numFmtId="166" fontId="67" fillId="0" borderId="6" xfId="20" applyNumberFormat="1" applyFont="1" applyBorder="1" applyAlignment="1">
      <alignment horizontal="center" vertical="center"/>
    </xf>
    <xf numFmtId="166" fontId="67" fillId="0" borderId="12" xfId="20" applyNumberFormat="1" applyFont="1" applyBorder="1" applyAlignment="1">
      <alignment horizontal="center" vertical="center"/>
    </xf>
    <xf numFmtId="0" fontId="81" fillId="0" borderId="1" xfId="20" applyFont="1" applyBorder="1" applyAlignment="1">
      <alignment horizontal="center" vertical="center"/>
    </xf>
    <xf numFmtId="49" fontId="88" fillId="0" borderId="8" xfId="20" applyNumberFormat="1" applyFont="1" applyBorder="1" applyAlignment="1">
      <alignment vertical="center"/>
    </xf>
    <xf numFmtId="49" fontId="88" fillId="0" borderId="13" xfId="20" applyNumberFormat="1" applyFont="1" applyBorder="1" applyAlignment="1">
      <alignment vertical="center"/>
    </xf>
    <xf numFmtId="0" fontId="99" fillId="3" borderId="19" xfId="20" applyFont="1" applyFill="1" applyBorder="1" applyAlignment="1">
      <alignment horizontal="center" vertical="center"/>
    </xf>
    <xf numFmtId="0" fontId="99" fillId="3" borderId="6" xfId="20" applyFont="1" applyFill="1" applyBorder="1" applyAlignment="1">
      <alignment horizontal="center" vertical="center"/>
    </xf>
    <xf numFmtId="0" fontId="99" fillId="3" borderId="21" xfId="20" applyFont="1" applyFill="1" applyBorder="1" applyAlignment="1">
      <alignment horizontal="center" vertical="center"/>
    </xf>
    <xf numFmtId="0" fontId="99" fillId="3" borderId="55" xfId="20" applyFont="1" applyFill="1" applyBorder="1" applyAlignment="1">
      <alignment horizontal="center" vertical="center"/>
    </xf>
    <xf numFmtId="0" fontId="69" fillId="15" borderId="23" xfId="20" applyFont="1" applyFill="1" applyBorder="1" applyAlignment="1">
      <alignment horizontal="center" vertical="center"/>
    </xf>
    <xf numFmtId="0" fontId="69" fillId="15" borderId="34" xfId="20" applyFont="1" applyFill="1" applyBorder="1" applyAlignment="1">
      <alignment horizontal="center" vertical="center"/>
    </xf>
    <xf numFmtId="0" fontId="65" fillId="3" borderId="23" xfId="20" applyFont="1" applyFill="1" applyBorder="1" applyAlignment="1">
      <alignment horizontal="center" vertical="center"/>
    </xf>
    <xf numFmtId="0" fontId="65" fillId="3" borderId="52" xfId="20" applyFont="1" applyFill="1" applyBorder="1" applyAlignment="1">
      <alignment horizontal="center" vertical="center"/>
    </xf>
    <xf numFmtId="49" fontId="71" fillId="0" borderId="43" xfId="21" applyNumberFormat="1" applyFont="1" applyBorder="1" applyAlignment="1" applyProtection="1">
      <alignment horizontal="center" vertical="center"/>
    </xf>
    <xf numFmtId="49" fontId="71" fillId="0" borderId="44" xfId="21" applyNumberFormat="1" applyFont="1" applyBorder="1" applyAlignment="1" applyProtection="1">
      <alignment horizontal="center" vertical="center"/>
    </xf>
    <xf numFmtId="0" fontId="40" fillId="0" borderId="1" xfId="20" applyFont="1" applyBorder="1" applyAlignment="1">
      <alignment horizontal="center" vertical="center"/>
    </xf>
    <xf numFmtId="0" fontId="74" fillId="0" borderId="8" xfId="20" applyFont="1" applyBorder="1" applyAlignment="1">
      <alignment horizontal="center"/>
    </xf>
    <xf numFmtId="0" fontId="74" fillId="0" borderId="2" xfId="20" applyFont="1" applyBorder="1" applyAlignment="1">
      <alignment horizontal="center"/>
    </xf>
    <xf numFmtId="0" fontId="74" fillId="0" borderId="13" xfId="20" applyFont="1" applyBorder="1" applyAlignment="1">
      <alignment horizontal="center"/>
    </xf>
    <xf numFmtId="49" fontId="74" fillId="33" borderId="62" xfId="20" applyNumberFormat="1" applyFont="1" applyFill="1" applyBorder="1" applyAlignment="1">
      <alignment horizontal="center" vertical="center" wrapText="1"/>
    </xf>
    <xf numFmtId="49" fontId="74" fillId="33" borderId="70" xfId="20" applyNumberFormat="1" applyFont="1" applyFill="1" applyBorder="1" applyAlignment="1">
      <alignment horizontal="center" vertical="center" wrapText="1"/>
    </xf>
    <xf numFmtId="49" fontId="74" fillId="33" borderId="37" xfId="20" applyNumberFormat="1" applyFont="1" applyFill="1" applyBorder="1" applyAlignment="1">
      <alignment horizontal="center" vertical="center" wrapText="1"/>
    </xf>
    <xf numFmtId="0" fontId="69" fillId="10" borderId="19" xfId="20" applyFont="1" applyFill="1" applyBorder="1" applyAlignment="1">
      <alignment horizontal="center" vertical="center"/>
    </xf>
    <xf numFmtId="0" fontId="69" fillId="10" borderId="1" xfId="20" applyFont="1" applyFill="1" applyBorder="1" applyAlignment="1">
      <alignment horizontal="center" vertical="center"/>
    </xf>
    <xf numFmtId="0" fontId="65" fillId="13" borderId="19" xfId="20" applyFont="1" applyFill="1" applyBorder="1" applyAlignment="1">
      <alignment horizontal="center" vertical="center" wrapText="1"/>
    </xf>
    <xf numFmtId="0" fontId="65" fillId="13" borderId="1" xfId="20" applyFont="1" applyFill="1" applyBorder="1" applyAlignment="1">
      <alignment horizontal="center" vertical="center"/>
    </xf>
    <xf numFmtId="0" fontId="69" fillId="12" borderId="19" xfId="20" applyFont="1" applyFill="1" applyBorder="1" applyAlignment="1">
      <alignment horizontal="center" vertical="center"/>
    </xf>
    <xf numFmtId="0" fontId="69" fillId="12" borderId="1" xfId="20" applyFont="1" applyFill="1" applyBorder="1" applyAlignment="1">
      <alignment horizontal="center" vertical="center"/>
    </xf>
    <xf numFmtId="0" fontId="65" fillId="16" borderId="21" xfId="20" applyFont="1" applyFill="1" applyBorder="1" applyAlignment="1">
      <alignment horizontal="center" vertical="center"/>
    </xf>
    <xf numFmtId="0" fontId="65" fillId="16" borderId="36" xfId="20" applyFont="1" applyFill="1" applyBorder="1" applyAlignment="1">
      <alignment horizontal="center" vertical="center"/>
    </xf>
    <xf numFmtId="0" fontId="123" fillId="3" borderId="27" xfId="20" applyFont="1" applyFill="1" applyBorder="1" applyAlignment="1">
      <alignment horizontal="center" vertical="center"/>
    </xf>
    <xf numFmtId="0" fontId="123" fillId="3" borderId="28" xfId="20" applyFont="1" applyFill="1" applyBorder="1" applyAlignment="1">
      <alignment horizontal="center" vertical="center"/>
    </xf>
    <xf numFmtId="0" fontId="123" fillId="3" borderId="14" xfId="20" applyFont="1" applyFill="1" applyBorder="1" applyAlignment="1">
      <alignment horizontal="center" vertical="center"/>
    </xf>
    <xf numFmtId="0" fontId="123" fillId="3" borderId="29" xfId="20" applyFont="1" applyFill="1" applyBorder="1" applyAlignment="1">
      <alignment horizontal="center" vertical="center"/>
    </xf>
    <xf numFmtId="0" fontId="123" fillId="3" borderId="0" xfId="20" applyFont="1" applyFill="1" applyAlignment="1">
      <alignment horizontal="center" vertical="center"/>
    </xf>
    <xf numFmtId="0" fontId="123" fillId="3" borderId="15" xfId="20" applyFont="1" applyFill="1" applyBorder="1" applyAlignment="1">
      <alignment horizontal="center" vertical="center"/>
    </xf>
    <xf numFmtId="0" fontId="69" fillId="15" borderId="19" xfId="20" applyFont="1" applyFill="1" applyBorder="1" applyAlignment="1">
      <alignment horizontal="center" vertical="center"/>
    </xf>
    <xf numFmtId="0" fontId="69" fillId="15" borderId="1" xfId="20" applyFont="1" applyFill="1" applyBorder="1" applyAlignment="1">
      <alignment horizontal="center" vertical="center"/>
    </xf>
    <xf numFmtId="0" fontId="69" fillId="4" borderId="21" xfId="20" applyFont="1" applyFill="1" applyBorder="1" applyAlignment="1">
      <alignment horizontal="center" vertical="center"/>
    </xf>
    <xf numFmtId="0" fontId="69" fillId="4" borderId="36" xfId="20" applyFont="1" applyFill="1" applyBorder="1" applyAlignment="1">
      <alignment horizontal="center" vertical="center"/>
    </xf>
    <xf numFmtId="0" fontId="69" fillId="12" borderId="23" xfId="20" applyFont="1" applyFill="1" applyBorder="1" applyAlignment="1">
      <alignment horizontal="center" vertical="center"/>
    </xf>
    <xf numFmtId="0" fontId="69" fillId="12" borderId="34" xfId="20" applyFont="1" applyFill="1" applyBorder="1" applyAlignment="1">
      <alignment horizontal="center" vertical="center"/>
    </xf>
    <xf numFmtId="0" fontId="86" fillId="15" borderId="19" xfId="0" applyFont="1" applyFill="1" applyBorder="1" applyAlignment="1">
      <alignment horizontal="center" vertical="center"/>
    </xf>
    <xf numFmtId="0" fontId="86" fillId="15" borderId="1" xfId="0" applyFont="1" applyFill="1" applyBorder="1" applyAlignment="1">
      <alignment horizontal="center" vertical="center"/>
    </xf>
    <xf numFmtId="9" fontId="87" fillId="18" borderId="11" xfId="0" applyNumberFormat="1" applyFont="1" applyFill="1" applyBorder="1" applyAlignment="1">
      <alignment horizontal="center" vertical="center"/>
    </xf>
    <xf numFmtId="9" fontId="87" fillId="18" borderId="4" xfId="0" applyNumberFormat="1" applyFont="1" applyFill="1" applyBorder="1" applyAlignment="1">
      <alignment horizontal="center" vertical="center"/>
    </xf>
    <xf numFmtId="9" fontId="87" fillId="18" borderId="10" xfId="0" applyNumberFormat="1" applyFont="1" applyFill="1" applyBorder="1" applyAlignment="1">
      <alignment horizontal="center" vertical="center"/>
    </xf>
    <xf numFmtId="9" fontId="87" fillId="18" borderId="5" xfId="0" applyNumberFormat="1" applyFont="1" applyFill="1" applyBorder="1" applyAlignment="1">
      <alignment horizontal="center" vertical="center"/>
    </xf>
    <xf numFmtId="0" fontId="85" fillId="15" borderId="11" xfId="0" applyFont="1" applyFill="1" applyBorder="1" applyAlignment="1">
      <alignment horizontal="center" vertical="center"/>
    </xf>
    <xf numFmtId="0" fontId="85" fillId="15" borderId="4" xfId="0" applyFont="1" applyFill="1" applyBorder="1" applyAlignment="1">
      <alignment horizontal="center" vertical="center"/>
    </xf>
    <xf numFmtId="0" fontId="85" fillId="15" borderId="10" xfId="0" applyFont="1" applyFill="1" applyBorder="1" applyAlignment="1">
      <alignment horizontal="center" vertical="center"/>
    </xf>
    <xf numFmtId="0" fontId="85" fillId="15" borderId="5" xfId="0" applyFont="1" applyFill="1" applyBorder="1" applyAlignment="1">
      <alignment horizontal="center" vertical="center"/>
    </xf>
    <xf numFmtId="2" fontId="85" fillId="0" borderId="11" xfId="0" applyNumberFormat="1" applyFont="1" applyBorder="1" applyAlignment="1">
      <alignment horizontal="center" vertical="center"/>
    </xf>
    <xf numFmtId="2" fontId="85" fillId="0" borderId="32" xfId="0" applyNumberFormat="1" applyFont="1" applyBorder="1" applyAlignment="1">
      <alignment horizontal="center" vertical="center"/>
    </xf>
    <xf numFmtId="2" fontId="85" fillId="0" borderId="10" xfId="0" applyNumberFormat="1" applyFont="1" applyBorder="1" applyAlignment="1">
      <alignment horizontal="center" vertical="center"/>
    </xf>
    <xf numFmtId="2" fontId="85" fillId="0" borderId="33" xfId="0" applyNumberFormat="1" applyFont="1" applyBorder="1" applyAlignment="1">
      <alignment horizontal="center" vertical="center"/>
    </xf>
    <xf numFmtId="0" fontId="48" fillId="3" borderId="0" xfId="20" applyFill="1" applyAlignment="1">
      <alignment horizontal="center" vertical="center"/>
    </xf>
    <xf numFmtId="49" fontId="68" fillId="11" borderId="8" xfId="20" applyNumberFormat="1" applyFont="1" applyFill="1" applyBorder="1" applyAlignment="1">
      <alignment horizontal="center" vertical="center"/>
    </xf>
    <xf numFmtId="49" fontId="68" fillId="11" borderId="13" xfId="20" applyNumberFormat="1" applyFont="1" applyFill="1" applyBorder="1" applyAlignment="1">
      <alignment horizontal="center" vertical="center"/>
    </xf>
    <xf numFmtId="49" fontId="70" fillId="11" borderId="2" xfId="20" applyNumberFormat="1" applyFont="1" applyFill="1" applyBorder="1" applyAlignment="1">
      <alignment horizontal="center" vertical="center"/>
    </xf>
    <xf numFmtId="167" fontId="68" fillId="0" borderId="30" xfId="20" applyNumberFormat="1" applyFont="1" applyBorder="1" applyAlignment="1">
      <alignment horizontal="center" vertical="center"/>
    </xf>
    <xf numFmtId="167" fontId="68" fillId="0" borderId="59" xfId="20" applyNumberFormat="1" applyFont="1" applyBorder="1" applyAlignment="1">
      <alignment horizontal="center" vertical="center"/>
    </xf>
    <xf numFmtId="49" fontId="70" fillId="8" borderId="8" xfId="20" applyNumberFormat="1" applyFont="1" applyFill="1" applyBorder="1" applyAlignment="1">
      <alignment horizontal="center" vertical="center"/>
    </xf>
    <xf numFmtId="49" fontId="70" fillId="8" borderId="2" xfId="20" applyNumberFormat="1" applyFont="1" applyFill="1" applyBorder="1" applyAlignment="1">
      <alignment horizontal="center" vertical="center"/>
    </xf>
    <xf numFmtId="49" fontId="70" fillId="8" borderId="13" xfId="20" applyNumberFormat="1" applyFont="1" applyFill="1" applyBorder="1" applyAlignment="1">
      <alignment horizontal="center" vertical="center"/>
    </xf>
    <xf numFmtId="167" fontId="68" fillId="0" borderId="61" xfId="20" applyNumberFormat="1" applyFont="1" applyBorder="1" applyAlignment="1">
      <alignment horizontal="center" vertical="center"/>
    </xf>
    <xf numFmtId="167" fontId="68" fillId="0" borderId="58" xfId="20" applyNumberFormat="1" applyFont="1" applyBorder="1" applyAlignment="1">
      <alignment horizontal="center" vertical="center"/>
    </xf>
    <xf numFmtId="0" fontId="86" fillId="5" borderId="19" xfId="0" applyFont="1" applyFill="1" applyBorder="1" applyAlignment="1">
      <alignment horizontal="center" vertical="center" wrapText="1"/>
    </xf>
    <xf numFmtId="0" fontId="86" fillId="5" borderId="1" xfId="0" applyFont="1" applyFill="1" applyBorder="1" applyAlignment="1">
      <alignment horizontal="center" vertical="center" wrapText="1"/>
    </xf>
    <xf numFmtId="0" fontId="86" fillId="5" borderId="11" xfId="0" applyFont="1" applyFill="1" applyBorder="1" applyAlignment="1">
      <alignment horizontal="center" vertical="center"/>
    </xf>
    <xf numFmtId="0" fontId="86" fillId="5" borderId="4" xfId="0" applyFont="1" applyFill="1" applyBorder="1" applyAlignment="1">
      <alignment horizontal="center" vertical="center"/>
    </xf>
    <xf numFmtId="0" fontId="86" fillId="5" borderId="10" xfId="0" applyFont="1" applyFill="1" applyBorder="1" applyAlignment="1">
      <alignment horizontal="center" vertical="center"/>
    </xf>
    <xf numFmtId="0" fontId="86" fillId="5" borderId="5" xfId="0" applyFont="1" applyFill="1" applyBorder="1" applyAlignment="1">
      <alignment horizontal="center" vertical="center"/>
    </xf>
    <xf numFmtId="0" fontId="85" fillId="5" borderId="1" xfId="0" applyFont="1" applyFill="1" applyBorder="1" applyAlignment="1">
      <alignment horizontal="center" vertical="center" wrapText="1"/>
    </xf>
    <xf numFmtId="0" fontId="85" fillId="5" borderId="20" xfId="0" applyFont="1" applyFill="1" applyBorder="1" applyAlignment="1">
      <alignment horizontal="center" vertical="center" wrapText="1"/>
    </xf>
    <xf numFmtId="167" fontId="68" fillId="0" borderId="21" xfId="20" applyNumberFormat="1" applyFont="1" applyBorder="1" applyAlignment="1">
      <alignment horizontal="center" vertical="center"/>
    </xf>
    <xf numFmtId="167" fontId="68" fillId="0" borderId="55" xfId="20" applyNumberFormat="1" applyFont="1" applyBorder="1" applyAlignment="1">
      <alignment horizontal="center" vertical="center"/>
    </xf>
    <xf numFmtId="1" fontId="85" fillId="0" borderId="11" xfId="0" applyNumberFormat="1" applyFont="1" applyBorder="1" applyAlignment="1">
      <alignment horizontal="center" vertical="center"/>
    </xf>
    <xf numFmtId="1" fontId="85" fillId="0" borderId="4" xfId="0" applyNumberFormat="1" applyFont="1" applyBorder="1" applyAlignment="1">
      <alignment horizontal="center" vertical="center"/>
    </xf>
    <xf numFmtId="1" fontId="85" fillId="0" borderId="10" xfId="0" applyNumberFormat="1" applyFont="1" applyBorder="1" applyAlignment="1">
      <alignment horizontal="center" vertical="center"/>
    </xf>
    <xf numFmtId="1" fontId="85" fillId="0" borderId="5" xfId="0" applyNumberFormat="1" applyFont="1" applyBorder="1" applyAlignment="1">
      <alignment horizontal="center" vertical="center"/>
    </xf>
    <xf numFmtId="1" fontId="85" fillId="0" borderId="32" xfId="0" applyNumberFormat="1" applyFont="1" applyBorder="1" applyAlignment="1">
      <alignment horizontal="center" vertical="center"/>
    </xf>
    <xf numFmtId="1" fontId="85" fillId="0" borderId="31" xfId="0" applyNumberFormat="1" applyFont="1" applyBorder="1" applyAlignment="1">
      <alignment horizontal="center" vertical="center"/>
    </xf>
    <xf numFmtId="1" fontId="85" fillId="0" borderId="15" xfId="0" applyNumberFormat="1" applyFont="1" applyBorder="1" applyAlignment="1">
      <alignment horizontal="center" vertical="center"/>
    </xf>
    <xf numFmtId="1" fontId="85" fillId="0" borderId="42" xfId="0" applyNumberFormat="1" applyFont="1" applyBorder="1" applyAlignment="1">
      <alignment horizontal="center" vertical="center"/>
    </xf>
    <xf numFmtId="1" fontId="85" fillId="0" borderId="16" xfId="0" applyNumberFormat="1" applyFont="1" applyBorder="1" applyAlignment="1">
      <alignment horizontal="center" vertical="center"/>
    </xf>
    <xf numFmtId="0" fontId="85" fillId="12" borderId="40" xfId="0" applyFont="1" applyFill="1" applyBorder="1" applyAlignment="1">
      <alignment horizontal="center" vertical="center"/>
    </xf>
    <xf numFmtId="0" fontId="85" fillId="12" borderId="4" xfId="0" applyFont="1" applyFill="1" applyBorder="1" applyAlignment="1">
      <alignment horizontal="center" vertical="center"/>
    </xf>
    <xf numFmtId="0" fontId="85" fillId="12" borderId="26" xfId="0" applyFont="1" applyFill="1" applyBorder="1" applyAlignment="1">
      <alignment horizontal="center" vertical="center"/>
    </xf>
    <xf numFmtId="0" fontId="85" fillId="12" borderId="18" xfId="0" applyFont="1" applyFill="1" applyBorder="1" applyAlignment="1">
      <alignment horizontal="center" vertical="center"/>
    </xf>
    <xf numFmtId="1" fontId="85" fillId="0" borderId="18" xfId="0" applyNumberFormat="1" applyFont="1" applyBorder="1" applyAlignment="1">
      <alignment horizontal="center" vertical="center"/>
    </xf>
    <xf numFmtId="0" fontId="85" fillId="12" borderId="11" xfId="0" applyFont="1" applyFill="1" applyBorder="1" applyAlignment="1">
      <alignment horizontal="center" vertical="center"/>
    </xf>
    <xf numFmtId="0" fontId="85" fillId="12" borderId="42" xfId="0" applyFont="1" applyFill="1" applyBorder="1" applyAlignment="1">
      <alignment horizontal="center" vertical="center"/>
    </xf>
    <xf numFmtId="0" fontId="86" fillId="12" borderId="19" xfId="0" applyFont="1" applyFill="1" applyBorder="1" applyAlignment="1">
      <alignment horizontal="center" vertical="center"/>
    </xf>
    <xf numFmtId="0" fontId="86" fillId="12" borderId="1" xfId="0" applyFont="1" applyFill="1" applyBorder="1" applyAlignment="1">
      <alignment horizontal="center" vertical="center"/>
    </xf>
    <xf numFmtId="0" fontId="85" fillId="12" borderId="10" xfId="0" applyFont="1" applyFill="1" applyBorder="1" applyAlignment="1">
      <alignment horizontal="center" vertical="center"/>
    </xf>
    <xf numFmtId="0" fontId="85" fillId="12" borderId="5" xfId="0" applyFont="1" applyFill="1" applyBorder="1" applyAlignment="1">
      <alignment horizontal="center" vertical="center"/>
    </xf>
    <xf numFmtId="0" fontId="85" fillId="5" borderId="40" xfId="0" applyFont="1" applyFill="1" applyBorder="1" applyAlignment="1">
      <alignment horizontal="center" vertical="center"/>
    </xf>
    <xf numFmtId="0" fontId="85" fillId="5" borderId="4" xfId="0" applyFont="1" applyFill="1" applyBorder="1" applyAlignment="1">
      <alignment horizontal="center" vertical="center"/>
    </xf>
    <xf numFmtId="0" fontId="85" fillId="5" borderId="41" xfId="0" applyFont="1" applyFill="1" applyBorder="1" applyAlignment="1">
      <alignment horizontal="center" vertical="center"/>
    </xf>
    <xf numFmtId="0" fontId="85" fillId="5" borderId="5" xfId="0" applyFont="1" applyFill="1" applyBorder="1" applyAlignment="1">
      <alignment horizontal="center" vertical="center"/>
    </xf>
    <xf numFmtId="0" fontId="85" fillId="5" borderId="11" xfId="0" applyFont="1" applyFill="1" applyBorder="1" applyAlignment="1">
      <alignment horizontal="center" vertical="center"/>
    </xf>
    <xf numFmtId="0" fontId="85" fillId="5" borderId="10" xfId="0" applyFont="1" applyFill="1" applyBorder="1" applyAlignment="1">
      <alignment horizontal="center" vertical="center"/>
    </xf>
    <xf numFmtId="0" fontId="85" fillId="5" borderId="32" xfId="0" applyFont="1" applyFill="1" applyBorder="1" applyAlignment="1">
      <alignment horizontal="center" vertical="center"/>
    </xf>
    <xf numFmtId="0" fontId="85" fillId="5" borderId="33" xfId="0" applyFont="1" applyFill="1" applyBorder="1" applyAlignment="1">
      <alignment horizontal="center" vertical="center"/>
    </xf>
    <xf numFmtId="49" fontId="68" fillId="11" borderId="27" xfId="20" applyNumberFormat="1" applyFont="1" applyFill="1" applyBorder="1" applyAlignment="1">
      <alignment horizontal="center" vertical="center"/>
    </xf>
    <xf numFmtId="49" fontId="68" fillId="11" borderId="14" xfId="20" applyNumberFormat="1" applyFont="1" applyFill="1" applyBorder="1" applyAlignment="1">
      <alignment horizontal="center" vertical="center"/>
    </xf>
    <xf numFmtId="0" fontId="85" fillId="15" borderId="40" xfId="0" applyFont="1" applyFill="1" applyBorder="1" applyAlignment="1">
      <alignment horizontal="center" vertical="center"/>
    </xf>
    <xf numFmtId="0" fontId="85" fillId="15" borderId="41" xfId="0" applyFont="1" applyFill="1" applyBorder="1" applyAlignment="1">
      <alignment horizontal="center" vertical="center"/>
    </xf>
    <xf numFmtId="49" fontId="65" fillId="0" borderId="8" xfId="20" applyNumberFormat="1" applyFont="1" applyBorder="1" applyAlignment="1">
      <alignment horizontal="center" vertical="center"/>
    </xf>
    <xf numFmtId="49" fontId="65" fillId="0" borderId="13" xfId="20" applyNumberFormat="1" applyFont="1" applyBorder="1" applyAlignment="1">
      <alignment horizontal="center" vertical="center"/>
    </xf>
    <xf numFmtId="49" fontId="77" fillId="0" borderId="29" xfId="20" applyNumberFormat="1" applyFont="1" applyBorder="1" applyAlignment="1">
      <alignment horizontal="center" vertical="center"/>
    </xf>
    <xf numFmtId="49" fontId="77" fillId="0" borderId="15" xfId="20" applyNumberFormat="1" applyFont="1" applyBorder="1" applyAlignment="1">
      <alignment horizontal="center" vertical="center"/>
    </xf>
    <xf numFmtId="49" fontId="77" fillId="0" borderId="26" xfId="20" applyNumberFormat="1" applyFont="1" applyBorder="1" applyAlignment="1">
      <alignment horizontal="center" vertical="center"/>
    </xf>
    <xf numFmtId="49" fontId="77" fillId="0" borderId="16" xfId="20" applyNumberFormat="1" applyFont="1" applyBorder="1" applyAlignment="1">
      <alignment horizontal="center" vertical="center"/>
    </xf>
    <xf numFmtId="0" fontId="64" fillId="3" borderId="62" xfId="20" applyFont="1" applyFill="1" applyBorder="1" applyAlignment="1">
      <alignment horizontal="center" vertical="center" wrapText="1"/>
    </xf>
    <xf numFmtId="0" fontId="64" fillId="3" borderId="37" xfId="20" applyFont="1" applyFill="1" applyBorder="1" applyAlignment="1">
      <alignment horizontal="center" vertical="center" wrapText="1"/>
    </xf>
    <xf numFmtId="0" fontId="32" fillId="3" borderId="62" xfId="20" applyFont="1" applyFill="1" applyBorder="1" applyAlignment="1">
      <alignment horizontal="center" vertical="center" wrapText="1"/>
    </xf>
    <xf numFmtId="0" fontId="32" fillId="3" borderId="37" xfId="20" applyFont="1" applyFill="1" applyBorder="1" applyAlignment="1">
      <alignment horizontal="center" vertical="center" wrapText="1"/>
    </xf>
    <xf numFmtId="0" fontId="127" fillId="0" borderId="70" xfId="20" applyFont="1" applyBorder="1" applyAlignment="1">
      <alignment horizontal="center" vertical="center"/>
    </xf>
    <xf numFmtId="49" fontId="70" fillId="11" borderId="26" xfId="20" applyNumberFormat="1" applyFont="1" applyFill="1" applyBorder="1" applyAlignment="1">
      <alignment horizontal="center" vertical="center"/>
    </xf>
    <xf numFmtId="49" fontId="70" fillId="11" borderId="9" xfId="20" applyNumberFormat="1" applyFont="1" applyFill="1" applyBorder="1" applyAlignment="1">
      <alignment horizontal="center" vertical="center"/>
    </xf>
    <xf numFmtId="49" fontId="70" fillId="11" borderId="16" xfId="20" applyNumberFormat="1" applyFont="1" applyFill="1" applyBorder="1" applyAlignment="1">
      <alignment horizontal="center" vertical="center"/>
    </xf>
    <xf numFmtId="49" fontId="32" fillId="0" borderId="62" xfId="20" applyNumberFormat="1" applyFont="1" applyBorder="1" applyAlignment="1">
      <alignment horizontal="center" vertical="center"/>
    </xf>
    <xf numFmtId="49" fontId="32" fillId="0" borderId="37" xfId="20" applyNumberFormat="1" applyFont="1" applyBorder="1" applyAlignment="1">
      <alignment horizontal="center" vertical="center"/>
    </xf>
    <xf numFmtId="0" fontId="78" fillId="3" borderId="62" xfId="20" applyFont="1" applyFill="1" applyBorder="1" applyAlignment="1">
      <alignment horizontal="center" vertical="center"/>
    </xf>
    <xf numFmtId="0" fontId="78" fillId="3" borderId="37" xfId="20" applyFont="1" applyFill="1" applyBorder="1" applyAlignment="1">
      <alignment horizontal="center" vertical="center"/>
    </xf>
  </cellXfs>
  <cellStyles count="46">
    <cellStyle name="%" xfId="3" xr:uid="{00000000-0005-0000-0000-000000000000}"/>
    <cellStyle name="% 2" xfId="1" xr:uid="{00000000-0005-0000-0000-000001000000}"/>
    <cellStyle name="% 2 2" xfId="44" xr:uid="{00000000-0005-0000-0000-000002000000}"/>
    <cellStyle name="%_Seq. for Paint in 01.07 - 16.07" xfId="4" xr:uid="{00000000-0005-0000-0000-000003000000}"/>
    <cellStyle name="%_Seq. for Paint in 01.07 - 16.07 2" xfId="5" xr:uid="{00000000-0005-0000-0000-000004000000}"/>
    <cellStyle name="%_Лист1" xfId="8" xr:uid="{00000000-0005-0000-0000-000005000000}"/>
    <cellStyle name="%_Лист1_1" xfId="9" xr:uid="{00000000-0005-0000-0000-000006000000}"/>
    <cellStyle name="Euro" xfId="10" xr:uid="{00000000-0005-0000-0000-000008000000}"/>
    <cellStyle name="Header1" xfId="11" xr:uid="{00000000-0005-0000-0000-000009000000}"/>
    <cellStyle name="Header2" xfId="12" xr:uid="{00000000-0005-0000-0000-00000A000000}"/>
    <cellStyle name="J401K" xfId="13" xr:uid="{00000000-0005-0000-0000-00000C000000}"/>
    <cellStyle name="Normal 2" xfId="30" xr:uid="{00000000-0005-0000-0000-00000E000000}"/>
    <cellStyle name="Normal 2 2" xfId="14" xr:uid="{00000000-0005-0000-0000-00000F000000}"/>
    <cellStyle name="Normal 3" xfId="6" xr:uid="{00000000-0005-0000-0000-000010000000}"/>
    <cellStyle name="Normal 4" xfId="33" xr:uid="{00000000-0005-0000-0000-000011000000}"/>
    <cellStyle name="Normal 5" xfId="38" xr:uid="{00000000-0005-0000-0000-000012000000}"/>
    <cellStyle name="Normal 5 2" xfId="45" xr:uid="{00000000-0005-0000-0000-000013000000}"/>
    <cellStyle name="Normal 7" xfId="35" xr:uid="{00000000-0005-0000-0000-000014000000}"/>
    <cellStyle name="Percent 2" xfId="34" xr:uid="{00000000-0005-0000-0000-000016000000}"/>
    <cellStyle name="Percent 3" xfId="39" xr:uid="{00000000-0005-0000-0000-000017000000}"/>
    <cellStyle name="Гиперссылка" xfId="21" builtinId="8"/>
    <cellStyle name="Денежный" xfId="25" builtinId="4"/>
    <cellStyle name="Обычный" xfId="0" builtinId="0"/>
    <cellStyle name="Обычный 2" xfId="2" xr:uid="{00000000-0005-0000-0000-000018000000}"/>
    <cellStyle name="Обычный 2 2" xfId="15" xr:uid="{00000000-0005-0000-0000-000019000000}"/>
    <cellStyle name="Обычный 3" xfId="7" xr:uid="{00000000-0005-0000-0000-00001A000000}"/>
    <cellStyle name="Обычный 4" xfId="20" xr:uid="{00000000-0005-0000-0000-00001B000000}"/>
    <cellStyle name="Обычный 4 10" xfId="40" xr:uid="{00000000-0005-0000-0000-00001C000000}"/>
    <cellStyle name="Обычный 4 11" xfId="42" xr:uid="{00000000-0005-0000-0000-00001D000000}"/>
    <cellStyle name="Обычный 4 2" xfId="22" xr:uid="{00000000-0005-0000-0000-00001E000000}"/>
    <cellStyle name="Обычный 4 3" xfId="23" xr:uid="{00000000-0005-0000-0000-00001F000000}"/>
    <cellStyle name="Обычный 4 4" xfId="24" xr:uid="{00000000-0005-0000-0000-000020000000}"/>
    <cellStyle name="Обычный 4 5" xfId="26" xr:uid="{00000000-0005-0000-0000-000021000000}"/>
    <cellStyle name="Обычный 4 6" xfId="28" xr:uid="{00000000-0005-0000-0000-000022000000}"/>
    <cellStyle name="Обычный 4 6 2" xfId="32" xr:uid="{00000000-0005-0000-0000-000023000000}"/>
    <cellStyle name="Обычный 4 6 3" xfId="37" xr:uid="{00000000-0005-0000-0000-000024000000}"/>
    <cellStyle name="Обычный 4 6 4" xfId="41" xr:uid="{00000000-0005-0000-0000-000025000000}"/>
    <cellStyle name="Обычный 4 6 5" xfId="43" xr:uid="{00000000-0005-0000-0000-000026000000}"/>
    <cellStyle name="Обычный 4 7" xfId="29" xr:uid="{00000000-0005-0000-0000-000027000000}"/>
    <cellStyle name="Обычный 4 8" xfId="31" xr:uid="{00000000-0005-0000-0000-000028000000}"/>
    <cellStyle name="Обычный 4 9" xfId="36" xr:uid="{00000000-0005-0000-0000-000029000000}"/>
    <cellStyle name="Процентный" xfId="27" builtinId="5"/>
    <cellStyle name="Финансовый 2" xfId="16" xr:uid="{00000000-0005-0000-0000-00002A000000}"/>
    <cellStyle name="ปกติ_Convertion Data Matrix" xfId="17" xr:uid="{00000000-0005-0000-0000-00002B000000}"/>
    <cellStyle name="常规_※292WSPRL" xfId="18" xr:uid="{00000000-0005-0000-0000-00002C000000}"/>
    <cellStyle name="未定義" xfId="19" xr:uid="{00000000-0005-0000-0000-00002D000000}"/>
  </cellStyles>
  <dxfs count="4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CC0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u val="double"/>
      </font>
      <fill>
        <patternFill>
          <bgColor rgb="FF7030A0"/>
        </patternFill>
      </fill>
    </dxf>
    <dxf>
      <fill>
        <patternFill>
          <bgColor rgb="FFFDF7E7"/>
        </patternFill>
      </fill>
    </dxf>
    <dxf>
      <fill>
        <gradientFill degree="90">
          <stop position="0">
            <color theme="1" tint="0.34900967436750391"/>
          </stop>
          <stop position="0.5">
            <color rgb="FFFFFFF3"/>
          </stop>
          <stop position="1">
            <color theme="1" tint="0.34900967436750391"/>
          </stop>
        </gradientFill>
      </fill>
    </dxf>
    <dxf>
      <fill>
        <gradientFill degree="90">
          <stop position="0">
            <color rgb="FFFF6565"/>
          </stop>
          <stop position="0.5">
            <color theme="0" tint="-0.25098422193060094"/>
          </stop>
          <stop position="1">
            <color rgb="FFFF6565"/>
          </stop>
        </gradientFill>
      </fill>
    </dxf>
    <dxf>
      <fill>
        <gradientFill degree="90">
          <stop position="0">
            <color theme="1" tint="0.34900967436750391"/>
          </stop>
          <stop position="0.5">
            <color rgb="FFFFFFF3"/>
          </stop>
          <stop position="1">
            <color theme="1" tint="0.34900967436750391"/>
          </stop>
        </gradientFill>
      </fill>
    </dxf>
    <dxf>
      <fill>
        <gradientFill degree="90">
          <stop position="0">
            <color rgb="FFFF6565"/>
          </stop>
          <stop position="0.5">
            <color theme="0" tint="-0.25098422193060094"/>
          </stop>
          <stop position="1">
            <color rgb="FFFF6565"/>
          </stop>
        </gradient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 patternType="gray0625">
          <bgColor rgb="FF00B050"/>
        </patternFill>
      </fill>
    </dxf>
    <dxf>
      <font>
        <color auto="1"/>
      </font>
      <fill>
        <patternFill>
          <bgColor rgb="FFFF8585"/>
        </patternFill>
      </fill>
    </dxf>
    <dxf>
      <fill>
        <patternFill patternType="gray0625"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0" tint="-0.499984740745262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030A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u val="double"/>
      </font>
      <fill>
        <patternFill>
          <bgColor rgb="FF7030A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rgb="FF7AF6F0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DA3B"/>
        </patternFill>
      </fill>
    </dxf>
    <dxf>
      <fill>
        <patternFill>
          <bgColor rgb="FF7AF6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/>
      </font>
      <fill>
        <patternFill>
          <bgColor rgb="FFFF000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theme="4" tint="0.39994506668294322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79998168889431442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CC0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theme="4" tint="0.39994506668294322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rgb="FFFF99CC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00B0F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CC0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u val="double"/>
      </font>
      <fill>
        <patternFill>
          <bgColor rgb="FF7030A0"/>
        </patternFill>
      </fill>
    </dxf>
    <dxf>
      <fill>
        <patternFill>
          <bgColor rgb="FFFDF7E7"/>
        </patternFill>
      </fill>
    </dxf>
    <dxf>
      <fill>
        <gradientFill degree="90">
          <stop position="0">
            <color theme="1" tint="0.34900967436750391"/>
          </stop>
          <stop position="0.5">
            <color rgb="FFFFFFF3"/>
          </stop>
          <stop position="1">
            <color theme="1" tint="0.34900967436750391"/>
          </stop>
        </gradientFill>
      </fill>
    </dxf>
    <dxf>
      <fill>
        <gradientFill degree="90">
          <stop position="0">
            <color rgb="FFFF6565"/>
          </stop>
          <stop position="0.5">
            <color theme="0" tint="-0.25098422193060094"/>
          </stop>
          <stop position="1">
            <color rgb="FFFF6565"/>
          </stop>
        </gradientFill>
      </fill>
    </dxf>
    <dxf>
      <fill>
        <gradientFill degree="90">
          <stop position="0">
            <color theme="1" tint="0.34900967436750391"/>
          </stop>
          <stop position="0.5">
            <color rgb="FFFFFFF3"/>
          </stop>
          <stop position="1">
            <color theme="1" tint="0.34900967436750391"/>
          </stop>
        </gradientFill>
      </fill>
    </dxf>
    <dxf>
      <fill>
        <gradientFill degree="90">
          <stop position="0">
            <color rgb="FFFF6565"/>
          </stop>
          <stop position="0.5">
            <color theme="0" tint="-0.25098422193060094"/>
          </stop>
          <stop position="1">
            <color rgb="FFFF6565"/>
          </stop>
        </gradient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 patternType="gray0625">
          <bgColor rgb="FF00B050"/>
        </patternFill>
      </fill>
    </dxf>
    <dxf>
      <font>
        <color auto="1"/>
      </font>
      <fill>
        <patternFill>
          <bgColor rgb="FFFF8585"/>
        </patternFill>
      </fill>
    </dxf>
    <dxf>
      <fill>
        <patternFill patternType="gray0625"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0" tint="-0.499984740745262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030A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u val="double"/>
      </font>
      <fill>
        <patternFill>
          <bgColor rgb="FF7030A0"/>
        </patternFill>
      </fill>
    </dxf>
    <dxf>
      <fill>
        <patternFill>
          <bgColor rgb="FF7AF6FA"/>
        </patternFill>
      </fill>
    </dxf>
    <dxf>
      <fill>
        <patternFill>
          <bgColor rgb="FFFFDA3B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rgb="FF7AF6F0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DA3B"/>
        </patternFill>
      </fill>
    </dxf>
    <dxf>
      <fill>
        <patternFill>
          <bgColor rgb="FF7AF6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/>
      </font>
      <fill>
        <patternFill>
          <bgColor rgb="FFFF000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theme="4" tint="0.39994506668294322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79998168889431442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CC0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theme="4" tint="0.39994506668294322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rgb="FFFF99CC"/>
        </patternFill>
      </fill>
    </dxf>
    <dxf>
      <fill>
        <patternFill>
          <bgColor rgb="FFFFC000"/>
        </patternFill>
      </fill>
    </dxf>
    <dxf>
      <fill>
        <patternFill>
          <bgColor rgb="FF7AF6F0"/>
        </patternFill>
      </fill>
    </dxf>
    <dxf>
      <fill>
        <patternFill>
          <bgColor rgb="FFFFDA3B"/>
        </patternFill>
      </fill>
    </dxf>
    <dxf>
      <fill>
        <patternFill>
          <bgColor rgb="FF7AF6FA"/>
        </patternFill>
      </fill>
    </dxf>
    <dxf>
      <fill>
        <patternFill>
          <bgColor rgb="FF00B0F0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fill>
        <patternFill>
          <bgColor rgb="FF00FFFF"/>
        </patternFill>
      </fill>
    </dxf>
    <dxf>
      <font>
        <b val="0"/>
        <i val="0"/>
      </font>
      <numFmt numFmtId="0" formatCode="General"/>
      <fill>
        <patternFill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DA3B"/>
        </patternFill>
      </fill>
    </dxf>
    <dxf>
      <fill>
        <patternFill>
          <bgColor rgb="FF00B0F0"/>
        </patternFill>
      </fill>
    </dxf>
    <dxf>
      <fill>
        <patternFill>
          <bgColor rgb="FFFFDA3B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u val="double"/>
      </font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u val="double"/>
      </font>
      <fill>
        <patternFill>
          <bgColor rgb="FF7030A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6565"/>
      <color rgb="FFB4B4B4"/>
      <color rgb="FFFAFEE2"/>
      <color rgb="FFFFFFFF"/>
      <color rgb="FFFFFFF3"/>
      <color rgb="FFEAEAEA"/>
      <color rgb="FFFDF7E7"/>
      <color rgb="FFFFDA3B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816911930952454E-2"/>
          <c:y val="4.126402677926129E-2"/>
          <c:w val="0.90209973753280837"/>
          <c:h val="0.72217201110730722"/>
        </c:manualLayout>
      </c:layout>
      <c:barChart>
        <c:barDir val="col"/>
        <c:grouping val="clustered"/>
        <c:varyColors val="0"/>
        <c:ser>
          <c:idx val="1"/>
          <c:order val="2"/>
          <c:tx>
            <c:strRef>
              <c:f>Монитор!$C$52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Монитор!$D$50:$W$50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Монитор!$D$52:$W$52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1A-497A-AFB7-83714B354A92}"/>
            </c:ext>
          </c:extLst>
        </c:ser>
        <c:ser>
          <c:idx val="3"/>
          <c:order val="3"/>
          <c:tx>
            <c:strRef>
              <c:f>Монитор!$C$53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5">
                  <a:lumMod val="60000"/>
                  <a:lumOff val="40000"/>
                </a:schemeClr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Монитор!$D$50:$W$50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Монитор!$D$53:$W$53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A-497A-AFB7-83714B35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58768"/>
        <c:axId val="617663032"/>
      </c:barChart>
      <c:lineChart>
        <c:grouping val="standard"/>
        <c:varyColors val="0"/>
        <c:ser>
          <c:idx val="0"/>
          <c:order val="0"/>
          <c:tx>
            <c:strRef>
              <c:f>Монитор!$C$51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FF00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numRef>
              <c:f>Монитор!$D$50:$Z$50</c:f>
              <c:numCache>
                <c:formatCode>d/m;@</c:formatCode>
                <c:ptCount val="23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Монитор!$D$51:$W$51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695-83BD-5BD4F7CDA38D}"/>
            </c:ext>
          </c:extLst>
        </c:ser>
        <c:ser>
          <c:idx val="2"/>
          <c:order val="1"/>
          <c:tx>
            <c:strRef>
              <c:f>Монитор!$C$54</c:f>
              <c:strCache>
                <c:ptCount val="1"/>
                <c:pt idx="0">
                  <c:v>Fact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bg1"/>
                </a:solidFill>
                <a:round/>
              </a:ln>
              <a:effectLst>
                <a:outerShdw blurRad="95000" algn="tl" rotWithShape="0">
                  <a:srgbClr val="000000">
                    <a:alpha val="50000"/>
                  </a:srgbClr>
                </a:outerShdw>
              </a:effectLst>
              <a:scene3d>
                <a:camera prst="orthographicFront"/>
                <a:lightRig rig="soft" dir="t">
                  <a:rot lat="0" lon="0" rev="18000000"/>
                </a:lightRig>
              </a:scene3d>
              <a:sp3d prstMaterial="dkEdge">
                <a:bevelT w="73660" h="44450" prst="riblet"/>
              </a:sp3d>
            </c:spPr>
          </c:marker>
          <c:dLbls>
            <c:dLbl>
              <c:idx val="0"/>
              <c:layout>
                <c:manualLayout>
                  <c:x val="-4.2016377166337368E-2"/>
                  <c:y val="-3.00844459659933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DD-4252-A32C-86AD662F2D4F}"/>
                </c:ext>
              </c:extLst>
            </c:dLbl>
            <c:dLbl>
              <c:idx val="2"/>
              <c:layout>
                <c:manualLayout>
                  <c:x val="-3.9519498264964072E-2"/>
                  <c:y val="-3.49153638403895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DD-4252-A32C-86AD662F2D4F}"/>
                </c:ext>
              </c:extLst>
            </c:dLbl>
            <c:dLbl>
              <c:idx val="4"/>
              <c:layout>
                <c:manualLayout>
                  <c:x val="-1.261552980034799E-2"/>
                  <c:y val="2.78865685267602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DD-4252-A32C-86AD662F2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Монитор!$D$50:$Z$50</c:f>
              <c:numCache>
                <c:formatCode>d/m;@</c:formatCode>
                <c:ptCount val="23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Монитор!$D$54:$W$54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6C-4695-83BD-5BD4F7CDA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999232"/>
        <c:axId val="616015960"/>
      </c:lineChart>
      <c:catAx>
        <c:axId val="61599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d/m;@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6015960"/>
        <c:crosses val="autoZero"/>
        <c:auto val="0"/>
        <c:lblAlgn val="ctr"/>
        <c:lblOffset val="100"/>
        <c:noMultiLvlLbl val="0"/>
      </c:catAx>
      <c:valAx>
        <c:axId val="616015960"/>
        <c:scaling>
          <c:orientation val="minMax"/>
          <c:max val="1.0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999232"/>
        <c:crosses val="autoZero"/>
        <c:crossBetween val="between"/>
      </c:valAx>
      <c:valAx>
        <c:axId val="617663032"/>
        <c:scaling>
          <c:orientation val="minMax"/>
          <c:max val="5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7658768"/>
        <c:crosses val="max"/>
        <c:crossBetween val="between"/>
      </c:valAx>
      <c:dateAx>
        <c:axId val="617658768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6176630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617446515334341E-2"/>
          <c:y val="5.8780262385862918E-2"/>
          <c:w val="0.91656811766453716"/>
          <c:h val="0.74422745422193204"/>
        </c:manualLayout>
      </c:layout>
      <c:lineChart>
        <c:grouping val="standard"/>
        <c:varyColors val="0"/>
        <c:ser>
          <c:idx val="0"/>
          <c:order val="0"/>
          <c:tx>
            <c:strRef>
              <c:f>Монитор!$BN$2</c:f>
              <c:strCache>
                <c:ptCount val="1"/>
                <c:pt idx="0">
                  <c:v>Camry</c:v>
                </c:pt>
              </c:strCache>
            </c:strRef>
          </c:tx>
          <c:spPr>
            <a:ln w="28575" cap="rnd">
              <a:solidFill>
                <a:srgbClr val="FF9933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Монитор!$BN$3:$BN$192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3-4F32-9D2D-ED4FEA35E746}"/>
            </c:ext>
          </c:extLst>
        </c:ser>
        <c:ser>
          <c:idx val="1"/>
          <c:order val="1"/>
          <c:tx>
            <c:strRef>
              <c:f>Монитор!$BO$2</c:f>
              <c:strCache>
                <c:ptCount val="1"/>
                <c:pt idx="0">
                  <c:v>Rav4</c:v>
                </c:pt>
              </c:strCache>
            </c:strRef>
          </c:tx>
          <c:spPr>
            <a:ln w="25400" cap="rnd">
              <a:solidFill>
                <a:srgbClr val="7AF6F0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Монитор!$BO$3:$BO$192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3-4F32-9D2D-ED4FEA35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753976"/>
        <c:axId val="735754304"/>
      </c:lineChart>
      <c:catAx>
        <c:axId val="73575397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754304"/>
        <c:crosses val="autoZero"/>
        <c:auto val="1"/>
        <c:lblAlgn val="ctr"/>
        <c:lblOffset val="100"/>
        <c:noMultiLvlLbl val="0"/>
      </c:catAx>
      <c:valAx>
        <c:axId val="735754304"/>
        <c:scaling>
          <c:orientation val="minMax"/>
          <c:max val="8"/>
          <c:min val="-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75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825541884884309"/>
          <c:y val="0.8914120593186865"/>
          <c:w val="0.29355744093167369"/>
          <c:h val="9.397686003658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75892636062002E-2"/>
          <c:y val="5.3909895224941641E-2"/>
          <c:w val="0.91656811766453716"/>
          <c:h val="0.74228638927575141"/>
        </c:manualLayout>
      </c:layout>
      <c:lineChart>
        <c:grouping val="standard"/>
        <c:varyColors val="0"/>
        <c:ser>
          <c:idx val="0"/>
          <c:order val="0"/>
          <c:tx>
            <c:strRef>
              <c:f>Монитор!$BU$2</c:f>
              <c:strCache>
                <c:ptCount val="1"/>
                <c:pt idx="0">
                  <c:v>Camry</c:v>
                </c:pt>
              </c:strCache>
            </c:strRef>
          </c:tx>
          <c:spPr>
            <a:ln w="28575" cap="rnd">
              <a:solidFill>
                <a:srgbClr val="FF9933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Монитор!$BU$3:$BU$192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A-4BC1-941C-27D227555D78}"/>
            </c:ext>
          </c:extLst>
        </c:ser>
        <c:ser>
          <c:idx val="1"/>
          <c:order val="1"/>
          <c:tx>
            <c:strRef>
              <c:f>Монитор!$BV$2</c:f>
              <c:strCache>
                <c:ptCount val="1"/>
                <c:pt idx="0">
                  <c:v>Rav4</c:v>
                </c:pt>
              </c:strCache>
            </c:strRef>
          </c:tx>
          <c:spPr>
            <a:ln w="25400" cap="rnd">
              <a:solidFill>
                <a:srgbClr val="7AF6F0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Монитор!$BV$3:$BV$192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4A-4BC1-941C-27D227555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753976"/>
        <c:axId val="735754304"/>
      </c:lineChart>
      <c:catAx>
        <c:axId val="73575397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754304"/>
        <c:crosses val="autoZero"/>
        <c:auto val="1"/>
        <c:lblAlgn val="ctr"/>
        <c:lblOffset val="100"/>
        <c:noMultiLvlLbl val="0"/>
      </c:catAx>
      <c:valAx>
        <c:axId val="735754304"/>
        <c:scaling>
          <c:orientation val="minMax"/>
          <c:max val="8"/>
          <c:min val="-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75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67104111986003E-2"/>
          <c:y val="2.2517554194907165E-2"/>
          <c:w val="0.93492688413948255"/>
          <c:h val="0.77419241297091224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Монитор!$C$63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2"/>
            </a:solidFill>
            <a:ln w="12700">
              <a:solidFill>
                <a:schemeClr val="accent2"/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cat>
            <c:numRef>
              <c:f>Монитор!$D$60:$W$60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Монитор!$D$63:$W$63</c:f>
              <c:numCache>
                <c:formatCode>0%</c:formatCode>
                <c:ptCount val="20"/>
                <c:pt idx="0">
                  <c:v>0.92</c:v>
                </c:pt>
                <c:pt idx="1">
                  <c:v>0.92805755395683454</c:v>
                </c:pt>
                <c:pt idx="2">
                  <c:v>0.90184049079754602</c:v>
                </c:pt>
                <c:pt idx="3">
                  <c:v>0.93333333333333335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F1-401C-B1AD-FA8B1DD910A6}"/>
            </c:ext>
          </c:extLst>
        </c:ser>
        <c:ser>
          <c:idx val="3"/>
          <c:order val="3"/>
          <c:tx>
            <c:strRef>
              <c:f>Монитор!$C$64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2700">
              <a:solidFill>
                <a:schemeClr val="accent5">
                  <a:lumMod val="60000"/>
                  <a:lumOff val="40000"/>
                </a:schemeClr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cat>
            <c:numRef>
              <c:f>Монитор!$D$60:$W$60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Монитор!$D$64:$W$64</c:f>
              <c:numCache>
                <c:formatCode>0%</c:formatCode>
                <c:ptCount val="20"/>
                <c:pt idx="0">
                  <c:v>0.81</c:v>
                </c:pt>
                <c:pt idx="1">
                  <c:v>0.91</c:v>
                </c:pt>
                <c:pt idx="2">
                  <c:v>0.9051094890510949</c:v>
                </c:pt>
                <c:pt idx="3">
                  <c:v>0.94</c:v>
                </c:pt>
                <c:pt idx="4">
                  <c:v>0.93630573248407645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F1-401C-B1AD-FA8B1DD91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646952"/>
        <c:axId val="683414544"/>
      </c:barChart>
      <c:lineChart>
        <c:grouping val="standard"/>
        <c:varyColors val="0"/>
        <c:ser>
          <c:idx val="1"/>
          <c:order val="0"/>
          <c:tx>
            <c:strRef>
              <c:f>Монитор!$C$61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FF00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numRef>
              <c:f>Монитор!$D$50:$Z$50</c:f>
              <c:numCache>
                <c:formatCode>d/m;@</c:formatCode>
                <c:ptCount val="23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Монитор!$D$61:$W$61</c:f>
              <c:numCache>
                <c:formatCode>0%</c:formatCode>
                <c:ptCount val="2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1-401C-B1AD-FA8B1DD910A6}"/>
            </c:ext>
          </c:extLst>
        </c:ser>
        <c:ser>
          <c:idx val="2"/>
          <c:order val="1"/>
          <c:tx>
            <c:strRef>
              <c:f>Монитор!$C$62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lt1">
                  <a:lumMod val="85000"/>
                </a:schemeClr>
              </a:solidFill>
              <a:ln w="9525">
                <a:solidFill>
                  <a:schemeClr val="bg1"/>
                </a:solidFill>
                <a:round/>
              </a:ln>
              <a:effectLst>
                <a:outerShdw blurRad="95000" algn="tl" rotWithShape="0">
                  <a:srgbClr val="000000">
                    <a:alpha val="50000"/>
                  </a:srgbClr>
                </a:outerShdw>
              </a:effectLst>
              <a:scene3d>
                <a:camera prst="orthographicFront"/>
                <a:lightRig rig="soft" dir="t">
                  <a:rot lat="0" lon="0" rev="18000000"/>
                </a:lightRig>
              </a:scene3d>
              <a:sp3d prstMaterial="dkEdge">
                <a:bevelT w="73660" h="44450" prst="riblet"/>
              </a:sp3d>
            </c:spPr>
          </c:marker>
          <c:dLbls>
            <c:dLbl>
              <c:idx val="0"/>
              <c:layout>
                <c:manualLayout>
                  <c:x val="-3.8690493613948815E-2"/>
                  <c:y val="-5.8807201051374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4949506776336966E-2"/>
                      <c:h val="9.11150998697740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400-4E4A-AC63-0F4FFB9C824B}"/>
                </c:ext>
              </c:extLst>
            </c:dLbl>
            <c:dLbl>
              <c:idx val="1"/>
              <c:layout>
                <c:manualLayout>
                  <c:x val="-2.6298822312638429E-2"/>
                  <c:y val="-3.22679879795130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B3-4D19-B923-BDA7A2B0C256}"/>
                </c:ext>
              </c:extLst>
            </c:dLbl>
            <c:dLbl>
              <c:idx val="2"/>
              <c:layout>
                <c:manualLayout>
                  <c:x val="-2.1013572188234811E-2"/>
                  <c:y val="-2.9307411494724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B3-4D19-B923-BDA7A2B0C256}"/>
                </c:ext>
              </c:extLst>
            </c:dLbl>
            <c:dLbl>
              <c:idx val="3"/>
              <c:layout>
                <c:manualLayout>
                  <c:x val="-2.873030276419913E-2"/>
                  <c:y val="-3.60590692373830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29-4826-A89F-EA029F3DC4B0}"/>
                </c:ext>
              </c:extLst>
            </c:dLbl>
            <c:dLbl>
              <c:idx val="4"/>
              <c:layout>
                <c:manualLayout>
                  <c:x val="-2.8777141493676928E-2"/>
                  <c:y val="-3.795364880901112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84848484848485E-2"/>
                      <c:h val="4.17285446156837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99A-4F15-BFFE-0A5391F8144E}"/>
                </c:ext>
              </c:extLst>
            </c:dLbl>
            <c:dLbl>
              <c:idx val="5"/>
              <c:layout>
                <c:manualLayout>
                  <c:x val="-2.1389286566451921E-2"/>
                  <c:y val="-4.74568272515862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90-48F7-B5D2-5BF80865A705}"/>
                </c:ext>
              </c:extLst>
            </c:dLbl>
            <c:dLbl>
              <c:idx val="6"/>
              <c:layout>
                <c:manualLayout>
                  <c:x val="-3.8737373737373737E-2"/>
                  <c:y val="-3.41594353210262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84848484848485E-2"/>
                      <c:h val="5.692322647703225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DA2-4265-AD2E-C22530025A82}"/>
                </c:ext>
              </c:extLst>
            </c:dLbl>
            <c:dLbl>
              <c:idx val="7"/>
              <c:layout>
                <c:manualLayout>
                  <c:x val="-2.6298822312638474E-2"/>
                  <c:y val="-6.26325129538325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4C-4D68-A130-112516C91768}"/>
                </c:ext>
              </c:extLst>
            </c:dLbl>
            <c:dLbl>
              <c:idx val="8"/>
              <c:layout>
                <c:manualLayout>
                  <c:x val="-3.2940626739839385E-2"/>
                  <c:y val="-4.7414210760529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2979797979797983E-2"/>
                      <c:h val="4.848291273099632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97F-44E1-BBA4-66C93673C5A1}"/>
                </c:ext>
              </c:extLst>
            </c:dLbl>
            <c:dLbl>
              <c:idx val="9"/>
              <c:layout>
                <c:manualLayout>
                  <c:x val="-2.5813449455181738E-2"/>
                  <c:y val="-2.84142837319246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C4-41E4-A4F8-1E229AEE5305}"/>
                </c:ext>
              </c:extLst>
            </c:dLbl>
            <c:dLbl>
              <c:idx val="10"/>
              <c:layout>
                <c:manualLayout>
                  <c:x val="-2.643959277817555E-2"/>
                  <c:y val="-3.22736929746490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B3-4D19-B923-BDA7A2B0C256}"/>
                </c:ext>
              </c:extLst>
            </c:dLbl>
            <c:dLbl>
              <c:idx val="11"/>
              <c:layout>
                <c:manualLayout>
                  <c:x val="-2.1342192820692954E-2"/>
                  <c:y val="-3.60590692373830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B3-47BA-95F1-0DFAFDE211D7}"/>
                </c:ext>
              </c:extLst>
            </c:dLbl>
            <c:dLbl>
              <c:idx val="12"/>
              <c:layout>
                <c:manualLayout>
                  <c:x val="-2.2959732263950278E-2"/>
                  <c:y val="2.08771057078179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6B-4B27-9973-7C3BE0744E75}"/>
                </c:ext>
              </c:extLst>
            </c:dLbl>
            <c:dLbl>
              <c:idx val="13"/>
              <c:layout>
                <c:manualLayout>
                  <c:x val="-2.6204963015986731E-2"/>
                  <c:y val="-5.32498822262601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EB-4412-B5D4-EFCEA730CEBD}"/>
                </c:ext>
              </c:extLst>
            </c:dLbl>
            <c:dLbl>
              <c:idx val="14"/>
              <c:layout>
                <c:manualLayout>
                  <c:x val="-1.6432592766052943E-2"/>
                  <c:y val="-1.32880671674007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A5-407D-BEC8-DA00A6256F58}"/>
                </c:ext>
              </c:extLst>
            </c:dLbl>
            <c:dLbl>
              <c:idx val="15"/>
              <c:layout>
                <c:manualLayout>
                  <c:x val="-5.6211691010742616E-2"/>
                  <c:y val="-2.84655463330459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CC-471F-89BA-3AD768EE19B9}"/>
                </c:ext>
              </c:extLst>
            </c:dLbl>
            <c:dLbl>
              <c:idx val="16"/>
              <c:layout>
                <c:manualLayout>
                  <c:x val="-2.8964646464646557E-2"/>
                  <c:y val="-5.65337879773575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AA-4490-BCF5-E1A420267793}"/>
                </c:ext>
              </c:extLst>
            </c:dLbl>
            <c:dLbl>
              <c:idx val="17"/>
              <c:layout>
                <c:manualLayout>
                  <c:x val="-2.8964646464646557E-2"/>
                  <c:y val="-3.75404356506718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8A-4014-809F-B53741181D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Монитор!$D$50:$Z$50</c:f>
              <c:numCache>
                <c:formatCode>d/m;@</c:formatCode>
                <c:ptCount val="23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Монитор!$D$62:$W$62</c:f>
              <c:numCache>
                <c:formatCode>0%</c:formatCode>
                <c:ptCount val="20"/>
                <c:pt idx="0">
                  <c:v>0.87</c:v>
                </c:pt>
                <c:pt idx="1">
                  <c:v>0.92</c:v>
                </c:pt>
                <c:pt idx="2">
                  <c:v>0.9034749899243204</c:v>
                </c:pt>
                <c:pt idx="3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F1-401C-B1AD-FA8B1DD91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984368"/>
        <c:axId val="821978136"/>
      </c:lineChart>
      <c:catAx>
        <c:axId val="82198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d/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1978136"/>
        <c:crosses val="autoZero"/>
        <c:auto val="0"/>
        <c:lblAlgn val="ctr"/>
        <c:lblOffset val="100"/>
        <c:noMultiLvlLbl val="0"/>
      </c:catAx>
      <c:valAx>
        <c:axId val="821978136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1984368"/>
        <c:crosses val="autoZero"/>
        <c:crossBetween val="between"/>
      </c:valAx>
      <c:valAx>
        <c:axId val="68341454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678646952"/>
        <c:crosses val="max"/>
        <c:crossBetween val="between"/>
      </c:valAx>
      <c:dateAx>
        <c:axId val="678646952"/>
        <c:scaling>
          <c:orientation val="minMax"/>
        </c:scaling>
        <c:delete val="1"/>
        <c:axPos val="t"/>
        <c:numFmt formatCode="d/m;@" sourceLinked="1"/>
        <c:majorTickMark val="out"/>
        <c:minorTickMark val="none"/>
        <c:tickLblPos val="nextTo"/>
        <c:crossAx val="683414544"/>
        <c:crosses val="max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151197009464723"/>
          <c:y val="0.94419095049016311"/>
          <c:w val="0.50768313051777614"/>
          <c:h val="5.58090495098369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339770377864783E-2"/>
          <c:y val="3.0131826741996232E-2"/>
          <c:w val="0.89501136380298829"/>
          <c:h val="0.86104245443895788"/>
        </c:manualLayout>
      </c:layout>
      <c:lineChart>
        <c:grouping val="standard"/>
        <c:varyColors val="0"/>
        <c:ser>
          <c:idx val="0"/>
          <c:order val="0"/>
          <c:tx>
            <c:strRef>
              <c:f>Монитор!$BQ$2</c:f>
              <c:strCache>
                <c:ptCount val="1"/>
                <c:pt idx="0">
                  <c:v>Seq. Ret.</c:v>
                </c:pt>
              </c:strCache>
            </c:strRef>
          </c:tx>
          <c:spPr>
            <a:ln w="19050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Монитор!$BQ$3:$BQ$192</c:f>
              <c:numCache>
                <c:formatCode>General</c:formatCode>
                <c:ptCount val="190"/>
                <c:pt idx="0">
                  <c:v>-12</c:v>
                </c:pt>
                <c:pt idx="1">
                  <c:v>7</c:v>
                </c:pt>
                <c:pt idx="2">
                  <c:v>-21</c:v>
                </c:pt>
                <c:pt idx="3">
                  <c:v>9</c:v>
                </c:pt>
                <c:pt idx="4">
                  <c:v>2</c:v>
                </c:pt>
                <c:pt idx="5">
                  <c:v>5</c:v>
                </c:pt>
                <c:pt idx="6">
                  <c:v>16</c:v>
                </c:pt>
                <c:pt idx="7">
                  <c:v>16</c:v>
                </c:pt>
                <c:pt idx="8">
                  <c:v>9</c:v>
                </c:pt>
                <c:pt idx="9">
                  <c:v>18</c:v>
                </c:pt>
                <c:pt idx="10">
                  <c:v>9</c:v>
                </c:pt>
                <c:pt idx="11">
                  <c:v>18</c:v>
                </c:pt>
                <c:pt idx="12">
                  <c:v>16</c:v>
                </c:pt>
                <c:pt idx="13">
                  <c:v>23</c:v>
                </c:pt>
                <c:pt idx="14">
                  <c:v>19</c:v>
                </c:pt>
                <c:pt idx="15">
                  <c:v>5</c:v>
                </c:pt>
                <c:pt idx="16">
                  <c:v>21</c:v>
                </c:pt>
                <c:pt idx="17">
                  <c:v>4</c:v>
                </c:pt>
                <c:pt idx="18">
                  <c:v>0</c:v>
                </c:pt>
                <c:pt idx="19">
                  <c:v>7</c:v>
                </c:pt>
                <c:pt idx="20">
                  <c:v>14</c:v>
                </c:pt>
                <c:pt idx="21">
                  <c:v>10</c:v>
                </c:pt>
                <c:pt idx="22">
                  <c:v>17</c:v>
                </c:pt>
                <c:pt idx="23">
                  <c:v>7</c:v>
                </c:pt>
                <c:pt idx="24">
                  <c:v>16</c:v>
                </c:pt>
                <c:pt idx="25">
                  <c:v>16</c:v>
                </c:pt>
                <c:pt idx="26">
                  <c:v>-2</c:v>
                </c:pt>
                <c:pt idx="27">
                  <c:v>16</c:v>
                </c:pt>
                <c:pt idx="28">
                  <c:v>10</c:v>
                </c:pt>
                <c:pt idx="29">
                  <c:v>3</c:v>
                </c:pt>
                <c:pt idx="30">
                  <c:v>21</c:v>
                </c:pt>
                <c:pt idx="31">
                  <c:v>14</c:v>
                </c:pt>
                <c:pt idx="32">
                  <c:v>-2</c:v>
                </c:pt>
                <c:pt idx="33">
                  <c:v>14</c:v>
                </c:pt>
                <c:pt idx="34">
                  <c:v>17</c:v>
                </c:pt>
                <c:pt idx="35">
                  <c:v>-21</c:v>
                </c:pt>
                <c:pt idx="36">
                  <c:v>8</c:v>
                </c:pt>
                <c:pt idx="37">
                  <c:v>16</c:v>
                </c:pt>
                <c:pt idx="38">
                  <c:v>4</c:v>
                </c:pt>
                <c:pt idx="39">
                  <c:v>18</c:v>
                </c:pt>
                <c:pt idx="40">
                  <c:v>19</c:v>
                </c:pt>
                <c:pt idx="41">
                  <c:v>19</c:v>
                </c:pt>
                <c:pt idx="42">
                  <c:v>7</c:v>
                </c:pt>
                <c:pt idx="43">
                  <c:v>19</c:v>
                </c:pt>
                <c:pt idx="44">
                  <c:v>21</c:v>
                </c:pt>
                <c:pt idx="45">
                  <c:v>7</c:v>
                </c:pt>
                <c:pt idx="46">
                  <c:v>2</c:v>
                </c:pt>
                <c:pt idx="47">
                  <c:v>19</c:v>
                </c:pt>
                <c:pt idx="48">
                  <c:v>7</c:v>
                </c:pt>
                <c:pt idx="49">
                  <c:v>2</c:v>
                </c:pt>
                <c:pt idx="50">
                  <c:v>24</c:v>
                </c:pt>
                <c:pt idx="51">
                  <c:v>-1</c:v>
                </c:pt>
                <c:pt idx="52">
                  <c:v>18</c:v>
                </c:pt>
                <c:pt idx="53">
                  <c:v>5</c:v>
                </c:pt>
                <c:pt idx="54">
                  <c:v>21</c:v>
                </c:pt>
                <c:pt idx="55">
                  <c:v>9</c:v>
                </c:pt>
                <c:pt idx="56">
                  <c:v>-2</c:v>
                </c:pt>
                <c:pt idx="57">
                  <c:v>14</c:v>
                </c:pt>
                <c:pt idx="58">
                  <c:v>16</c:v>
                </c:pt>
                <c:pt idx="59">
                  <c:v>9</c:v>
                </c:pt>
                <c:pt idx="60">
                  <c:v>19</c:v>
                </c:pt>
                <c:pt idx="61">
                  <c:v>16</c:v>
                </c:pt>
                <c:pt idx="62">
                  <c:v>0</c:v>
                </c:pt>
                <c:pt idx="63">
                  <c:v>10</c:v>
                </c:pt>
                <c:pt idx="64">
                  <c:v>5</c:v>
                </c:pt>
                <c:pt idx="65">
                  <c:v>7</c:v>
                </c:pt>
                <c:pt idx="66">
                  <c:v>-5</c:v>
                </c:pt>
                <c:pt idx="67">
                  <c:v>9</c:v>
                </c:pt>
                <c:pt idx="68">
                  <c:v>18</c:v>
                </c:pt>
                <c:pt idx="69">
                  <c:v>18</c:v>
                </c:pt>
                <c:pt idx="70">
                  <c:v>19</c:v>
                </c:pt>
                <c:pt idx="71">
                  <c:v>19</c:v>
                </c:pt>
                <c:pt idx="72">
                  <c:v>20</c:v>
                </c:pt>
                <c:pt idx="73">
                  <c:v>18</c:v>
                </c:pt>
                <c:pt idx="74">
                  <c:v>21</c:v>
                </c:pt>
                <c:pt idx="75">
                  <c:v>21</c:v>
                </c:pt>
                <c:pt idx="76">
                  <c:v>7</c:v>
                </c:pt>
                <c:pt idx="77">
                  <c:v>5</c:v>
                </c:pt>
                <c:pt idx="78">
                  <c:v>17</c:v>
                </c:pt>
                <c:pt idx="79">
                  <c:v>15</c:v>
                </c:pt>
                <c:pt idx="80">
                  <c:v>18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-4</c:v>
                </c:pt>
                <c:pt idx="85">
                  <c:v>23</c:v>
                </c:pt>
                <c:pt idx="86">
                  <c:v>-2</c:v>
                </c:pt>
                <c:pt idx="87">
                  <c:v>-2</c:v>
                </c:pt>
                <c:pt idx="88">
                  <c:v>13</c:v>
                </c:pt>
                <c:pt idx="89">
                  <c:v>4</c:v>
                </c:pt>
                <c:pt idx="90">
                  <c:v>-5</c:v>
                </c:pt>
                <c:pt idx="91">
                  <c:v>9</c:v>
                </c:pt>
                <c:pt idx="92">
                  <c:v>23</c:v>
                </c:pt>
                <c:pt idx="93">
                  <c:v>19</c:v>
                </c:pt>
                <c:pt idx="94">
                  <c:v>24</c:v>
                </c:pt>
                <c:pt idx="95">
                  <c:v>21</c:v>
                </c:pt>
                <c:pt idx="96">
                  <c:v>20</c:v>
                </c:pt>
                <c:pt idx="97">
                  <c:v>9</c:v>
                </c:pt>
                <c:pt idx="98">
                  <c:v>7</c:v>
                </c:pt>
                <c:pt idx="99">
                  <c:v>-2</c:v>
                </c:pt>
                <c:pt idx="100">
                  <c:v>7</c:v>
                </c:pt>
                <c:pt idx="101">
                  <c:v>21</c:v>
                </c:pt>
                <c:pt idx="102">
                  <c:v>11</c:v>
                </c:pt>
                <c:pt idx="103">
                  <c:v>20</c:v>
                </c:pt>
                <c:pt idx="104">
                  <c:v>20</c:v>
                </c:pt>
                <c:pt idx="105">
                  <c:v>21</c:v>
                </c:pt>
                <c:pt idx="106">
                  <c:v>21</c:v>
                </c:pt>
                <c:pt idx="107">
                  <c:v>3</c:v>
                </c:pt>
                <c:pt idx="108">
                  <c:v>23</c:v>
                </c:pt>
                <c:pt idx="109">
                  <c:v>11</c:v>
                </c:pt>
                <c:pt idx="110">
                  <c:v>9</c:v>
                </c:pt>
                <c:pt idx="111">
                  <c:v>23</c:v>
                </c:pt>
                <c:pt idx="112">
                  <c:v>9</c:v>
                </c:pt>
                <c:pt idx="113">
                  <c:v>23</c:v>
                </c:pt>
                <c:pt idx="114">
                  <c:v>3</c:v>
                </c:pt>
                <c:pt idx="115">
                  <c:v>23</c:v>
                </c:pt>
                <c:pt idx="116">
                  <c:v>24</c:v>
                </c:pt>
                <c:pt idx="117">
                  <c:v>16</c:v>
                </c:pt>
                <c:pt idx="118">
                  <c:v>23</c:v>
                </c:pt>
                <c:pt idx="119">
                  <c:v>20</c:v>
                </c:pt>
                <c:pt idx="120">
                  <c:v>5</c:v>
                </c:pt>
                <c:pt idx="121">
                  <c:v>16</c:v>
                </c:pt>
                <c:pt idx="122">
                  <c:v>7</c:v>
                </c:pt>
                <c:pt idx="123">
                  <c:v>19</c:v>
                </c:pt>
                <c:pt idx="124">
                  <c:v>8</c:v>
                </c:pt>
                <c:pt idx="125">
                  <c:v>22</c:v>
                </c:pt>
                <c:pt idx="126">
                  <c:v>18</c:v>
                </c:pt>
                <c:pt idx="127">
                  <c:v>16</c:v>
                </c:pt>
                <c:pt idx="128">
                  <c:v>-65</c:v>
                </c:pt>
                <c:pt idx="129">
                  <c:v>21</c:v>
                </c:pt>
                <c:pt idx="130">
                  <c:v>0</c:v>
                </c:pt>
                <c:pt idx="131">
                  <c:v>21</c:v>
                </c:pt>
                <c:pt idx="132">
                  <c:v>22</c:v>
                </c:pt>
                <c:pt idx="133">
                  <c:v>-5</c:v>
                </c:pt>
                <c:pt idx="134">
                  <c:v>-19</c:v>
                </c:pt>
                <c:pt idx="135">
                  <c:v>14</c:v>
                </c:pt>
                <c:pt idx="136">
                  <c:v>23</c:v>
                </c:pt>
                <c:pt idx="137">
                  <c:v>14</c:v>
                </c:pt>
                <c:pt idx="138">
                  <c:v>18</c:v>
                </c:pt>
                <c:pt idx="139">
                  <c:v>7</c:v>
                </c:pt>
                <c:pt idx="140">
                  <c:v>21</c:v>
                </c:pt>
                <c:pt idx="141">
                  <c:v>26</c:v>
                </c:pt>
                <c:pt idx="142">
                  <c:v>13</c:v>
                </c:pt>
                <c:pt idx="143">
                  <c:v>5</c:v>
                </c:pt>
                <c:pt idx="144">
                  <c:v>2</c:v>
                </c:pt>
                <c:pt idx="145">
                  <c:v>25</c:v>
                </c:pt>
                <c:pt idx="146">
                  <c:v>12</c:v>
                </c:pt>
                <c:pt idx="147">
                  <c:v>16</c:v>
                </c:pt>
                <c:pt idx="148">
                  <c:v>24</c:v>
                </c:pt>
                <c:pt idx="149">
                  <c:v>13</c:v>
                </c:pt>
                <c:pt idx="150">
                  <c:v>23</c:v>
                </c:pt>
                <c:pt idx="151">
                  <c:v>2</c:v>
                </c:pt>
                <c:pt idx="152">
                  <c:v>12</c:v>
                </c:pt>
                <c:pt idx="153">
                  <c:v>7</c:v>
                </c:pt>
                <c:pt idx="154">
                  <c:v>21</c:v>
                </c:pt>
                <c:pt idx="155">
                  <c:v>10</c:v>
                </c:pt>
                <c:pt idx="15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025-8AB8-DB54DB135A2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Монитор!$CB$3:$CB$192</c:f>
              <c:numCache>
                <c:formatCode>General</c:formatCode>
                <c:ptCount val="190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-4</c:v>
                </c:pt>
                <c:pt idx="41">
                  <c:v>-4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-4</c:v>
                </c:pt>
                <c:pt idx="60">
                  <c:v>-4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-4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</c:v>
                </c:pt>
                <c:pt idx="74">
                  <c:v>-4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-4</c:v>
                </c:pt>
                <c:pt idx="79">
                  <c:v>-4</c:v>
                </c:pt>
                <c:pt idx="80">
                  <c:v>-4</c:v>
                </c:pt>
                <c:pt idx="81">
                  <c:v>-4</c:v>
                </c:pt>
                <c:pt idx="82">
                  <c:v>-4</c:v>
                </c:pt>
                <c:pt idx="83">
                  <c:v>-4</c:v>
                </c:pt>
                <c:pt idx="84">
                  <c:v>-4</c:v>
                </c:pt>
                <c:pt idx="85">
                  <c:v>-4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</c:v>
                </c:pt>
                <c:pt idx="95">
                  <c:v>-4</c:v>
                </c:pt>
                <c:pt idx="96">
                  <c:v>-4</c:v>
                </c:pt>
                <c:pt idx="97">
                  <c:v>-4</c:v>
                </c:pt>
                <c:pt idx="98">
                  <c:v>-4</c:v>
                </c:pt>
                <c:pt idx="99">
                  <c:v>-4</c:v>
                </c:pt>
                <c:pt idx="100">
                  <c:v>-4</c:v>
                </c:pt>
                <c:pt idx="101">
                  <c:v>-4</c:v>
                </c:pt>
                <c:pt idx="102">
                  <c:v>-4</c:v>
                </c:pt>
                <c:pt idx="103">
                  <c:v>-4</c:v>
                </c:pt>
                <c:pt idx="104">
                  <c:v>-4</c:v>
                </c:pt>
                <c:pt idx="105">
                  <c:v>-4</c:v>
                </c:pt>
                <c:pt idx="106">
                  <c:v>-4</c:v>
                </c:pt>
                <c:pt idx="107">
                  <c:v>-4</c:v>
                </c:pt>
                <c:pt idx="108">
                  <c:v>-4</c:v>
                </c:pt>
                <c:pt idx="109">
                  <c:v>-4</c:v>
                </c:pt>
                <c:pt idx="110">
                  <c:v>-4</c:v>
                </c:pt>
                <c:pt idx="111">
                  <c:v>-4</c:v>
                </c:pt>
                <c:pt idx="112">
                  <c:v>-4</c:v>
                </c:pt>
                <c:pt idx="113">
                  <c:v>-4</c:v>
                </c:pt>
                <c:pt idx="114">
                  <c:v>-4</c:v>
                </c:pt>
                <c:pt idx="115">
                  <c:v>-4</c:v>
                </c:pt>
                <c:pt idx="116">
                  <c:v>-4</c:v>
                </c:pt>
                <c:pt idx="117">
                  <c:v>-4</c:v>
                </c:pt>
                <c:pt idx="118">
                  <c:v>-4</c:v>
                </c:pt>
                <c:pt idx="119">
                  <c:v>-4</c:v>
                </c:pt>
                <c:pt idx="120">
                  <c:v>-4</c:v>
                </c:pt>
                <c:pt idx="121">
                  <c:v>-4</c:v>
                </c:pt>
                <c:pt idx="122">
                  <c:v>-4</c:v>
                </c:pt>
                <c:pt idx="123">
                  <c:v>-4</c:v>
                </c:pt>
                <c:pt idx="124">
                  <c:v>-4</c:v>
                </c:pt>
                <c:pt idx="125">
                  <c:v>-4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-4</c:v>
                </c:pt>
                <c:pt idx="148">
                  <c:v>-4</c:v>
                </c:pt>
                <c:pt idx="149">
                  <c:v>-4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-4</c:v>
                </c:pt>
                <c:pt idx="161">
                  <c:v>-4</c:v>
                </c:pt>
                <c:pt idx="162">
                  <c:v>-4</c:v>
                </c:pt>
                <c:pt idx="163">
                  <c:v>-4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</c:v>
                </c:pt>
                <c:pt idx="170">
                  <c:v>-4</c:v>
                </c:pt>
                <c:pt idx="171">
                  <c:v>-4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-4</c:v>
                </c:pt>
                <c:pt idx="176">
                  <c:v>-4</c:v>
                </c:pt>
                <c:pt idx="177">
                  <c:v>-4</c:v>
                </c:pt>
                <c:pt idx="178">
                  <c:v>-4</c:v>
                </c:pt>
                <c:pt idx="179">
                  <c:v>-4</c:v>
                </c:pt>
                <c:pt idx="180">
                  <c:v>-4</c:v>
                </c:pt>
                <c:pt idx="181">
                  <c:v>-4</c:v>
                </c:pt>
                <c:pt idx="182">
                  <c:v>-4</c:v>
                </c:pt>
                <c:pt idx="183">
                  <c:v>-4</c:v>
                </c:pt>
                <c:pt idx="184">
                  <c:v>-4</c:v>
                </c:pt>
                <c:pt idx="185">
                  <c:v>-4</c:v>
                </c:pt>
                <c:pt idx="186">
                  <c:v>-4</c:v>
                </c:pt>
                <c:pt idx="187">
                  <c:v>-4</c:v>
                </c:pt>
                <c:pt idx="188">
                  <c:v>-4</c:v>
                </c:pt>
                <c:pt idx="189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C-453C-8CAB-9B56D78C056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Монитор!$CC$3:$CC$192</c:f>
              <c:numCache>
                <c:formatCode>General</c:formatCode>
                <c:ptCount val="19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C-453C-8CAB-9B56D78C0561}"/>
            </c:ext>
          </c:extLst>
        </c:ser>
        <c:ser>
          <c:idx val="3"/>
          <c:order val="3"/>
          <c:tx>
            <c:v>Middle</c:v>
          </c:tx>
          <c:spPr>
            <a:ln w="15875" cap="rnd">
              <a:solidFill>
                <a:schemeClr val="bg1"/>
              </a:solidFill>
              <a:prstDash val="sysDash"/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Монитор!$CD$3:$CD$192</c:f>
              <c:numCache>
                <c:formatCode>General</c:formatCode>
                <c:ptCount val="1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C-453C-8CAB-9B56D78C0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87288"/>
        <c:axId val="475290568"/>
      </c:lineChart>
      <c:catAx>
        <c:axId val="4752872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90568"/>
        <c:crosses val="autoZero"/>
        <c:auto val="1"/>
        <c:lblAlgn val="ctr"/>
        <c:lblOffset val="100"/>
        <c:noMultiLvlLbl val="0"/>
      </c:catAx>
      <c:valAx>
        <c:axId val="475290568"/>
        <c:scaling>
          <c:orientation val="minMax"/>
          <c:max val="140"/>
          <c:min val="-1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8728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Монитор!$BX$2</c:f>
              <c:strCache>
                <c:ptCount val="1"/>
                <c:pt idx="0">
                  <c:v>Seq. Ret.</c:v>
                </c:pt>
              </c:strCache>
            </c:strRef>
          </c:tx>
          <c:spPr>
            <a:ln w="19050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Монитор!$BX$3:$BX$192</c:f>
              <c:numCache>
                <c:formatCode>General</c:formatCode>
                <c:ptCount val="190"/>
                <c:pt idx="0">
                  <c:v>-76</c:v>
                </c:pt>
                <c:pt idx="1">
                  <c:v>9</c:v>
                </c:pt>
                <c:pt idx="2">
                  <c:v>21</c:v>
                </c:pt>
                <c:pt idx="3">
                  <c:v>18</c:v>
                </c:pt>
                <c:pt idx="4">
                  <c:v>17</c:v>
                </c:pt>
                <c:pt idx="5">
                  <c:v>7</c:v>
                </c:pt>
                <c:pt idx="6">
                  <c:v>21</c:v>
                </c:pt>
                <c:pt idx="7">
                  <c:v>-18</c:v>
                </c:pt>
                <c:pt idx="8">
                  <c:v>6</c:v>
                </c:pt>
                <c:pt idx="9">
                  <c:v>16</c:v>
                </c:pt>
                <c:pt idx="10">
                  <c:v>0</c:v>
                </c:pt>
                <c:pt idx="11">
                  <c:v>20</c:v>
                </c:pt>
                <c:pt idx="12">
                  <c:v>5</c:v>
                </c:pt>
                <c:pt idx="13">
                  <c:v>18</c:v>
                </c:pt>
                <c:pt idx="14">
                  <c:v>5</c:v>
                </c:pt>
                <c:pt idx="15">
                  <c:v>21</c:v>
                </c:pt>
                <c:pt idx="16">
                  <c:v>16</c:v>
                </c:pt>
                <c:pt idx="17">
                  <c:v>9</c:v>
                </c:pt>
                <c:pt idx="18">
                  <c:v>20</c:v>
                </c:pt>
                <c:pt idx="19">
                  <c:v>5</c:v>
                </c:pt>
                <c:pt idx="20">
                  <c:v>19</c:v>
                </c:pt>
                <c:pt idx="21">
                  <c:v>16</c:v>
                </c:pt>
                <c:pt idx="22">
                  <c:v>12</c:v>
                </c:pt>
                <c:pt idx="23">
                  <c:v>24</c:v>
                </c:pt>
                <c:pt idx="24">
                  <c:v>6</c:v>
                </c:pt>
                <c:pt idx="25">
                  <c:v>23</c:v>
                </c:pt>
                <c:pt idx="26">
                  <c:v>0</c:v>
                </c:pt>
                <c:pt idx="27">
                  <c:v>23</c:v>
                </c:pt>
                <c:pt idx="28">
                  <c:v>7</c:v>
                </c:pt>
                <c:pt idx="29">
                  <c:v>-75</c:v>
                </c:pt>
                <c:pt idx="30">
                  <c:v>14</c:v>
                </c:pt>
                <c:pt idx="31">
                  <c:v>23</c:v>
                </c:pt>
                <c:pt idx="32">
                  <c:v>-3</c:v>
                </c:pt>
                <c:pt idx="33">
                  <c:v>16</c:v>
                </c:pt>
                <c:pt idx="34">
                  <c:v>18</c:v>
                </c:pt>
                <c:pt idx="35">
                  <c:v>16</c:v>
                </c:pt>
                <c:pt idx="36">
                  <c:v>16</c:v>
                </c:pt>
                <c:pt idx="37">
                  <c:v>21</c:v>
                </c:pt>
                <c:pt idx="38">
                  <c:v>17</c:v>
                </c:pt>
                <c:pt idx="3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4-41D8-A378-8EE4193BDBB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Монитор!$CE$3:$CE$192</c:f>
              <c:numCache>
                <c:formatCode>General</c:formatCode>
                <c:ptCount val="190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-4</c:v>
                </c:pt>
                <c:pt idx="41">
                  <c:v>-4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-4</c:v>
                </c:pt>
                <c:pt idx="60">
                  <c:v>-4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-4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</c:v>
                </c:pt>
                <c:pt idx="74">
                  <c:v>-4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-4</c:v>
                </c:pt>
                <c:pt idx="79">
                  <c:v>-4</c:v>
                </c:pt>
                <c:pt idx="80">
                  <c:v>-4</c:v>
                </c:pt>
                <c:pt idx="81">
                  <c:v>-4</c:v>
                </c:pt>
                <c:pt idx="82">
                  <c:v>-4</c:v>
                </c:pt>
                <c:pt idx="83">
                  <c:v>-4</c:v>
                </c:pt>
                <c:pt idx="84">
                  <c:v>-4</c:v>
                </c:pt>
                <c:pt idx="85">
                  <c:v>-4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</c:v>
                </c:pt>
                <c:pt idx="95">
                  <c:v>-4</c:v>
                </c:pt>
                <c:pt idx="96">
                  <c:v>-4</c:v>
                </c:pt>
                <c:pt idx="97">
                  <c:v>-4</c:v>
                </c:pt>
                <c:pt idx="98">
                  <c:v>-4</c:v>
                </c:pt>
                <c:pt idx="99">
                  <c:v>-4</c:v>
                </c:pt>
                <c:pt idx="100">
                  <c:v>-4</c:v>
                </c:pt>
                <c:pt idx="101">
                  <c:v>-4</c:v>
                </c:pt>
                <c:pt idx="102">
                  <c:v>-4</c:v>
                </c:pt>
                <c:pt idx="103">
                  <c:v>-4</c:v>
                </c:pt>
                <c:pt idx="104">
                  <c:v>-4</c:v>
                </c:pt>
                <c:pt idx="105">
                  <c:v>-4</c:v>
                </c:pt>
                <c:pt idx="106">
                  <c:v>-4</c:v>
                </c:pt>
                <c:pt idx="107">
                  <c:v>-4</c:v>
                </c:pt>
                <c:pt idx="108">
                  <c:v>-4</c:v>
                </c:pt>
                <c:pt idx="109">
                  <c:v>-4</c:v>
                </c:pt>
                <c:pt idx="110">
                  <c:v>-4</c:v>
                </c:pt>
                <c:pt idx="111">
                  <c:v>-4</c:v>
                </c:pt>
                <c:pt idx="112">
                  <c:v>-4</c:v>
                </c:pt>
                <c:pt idx="113">
                  <c:v>-4</c:v>
                </c:pt>
                <c:pt idx="114">
                  <c:v>-4</c:v>
                </c:pt>
                <c:pt idx="115">
                  <c:v>-4</c:v>
                </c:pt>
                <c:pt idx="116">
                  <c:v>-4</c:v>
                </c:pt>
                <c:pt idx="117">
                  <c:v>-4</c:v>
                </c:pt>
                <c:pt idx="118">
                  <c:v>-4</c:v>
                </c:pt>
                <c:pt idx="119">
                  <c:v>-4</c:v>
                </c:pt>
                <c:pt idx="120">
                  <c:v>-4</c:v>
                </c:pt>
                <c:pt idx="121">
                  <c:v>-4</c:v>
                </c:pt>
                <c:pt idx="122">
                  <c:v>-4</c:v>
                </c:pt>
                <c:pt idx="123">
                  <c:v>-4</c:v>
                </c:pt>
                <c:pt idx="124">
                  <c:v>-4</c:v>
                </c:pt>
                <c:pt idx="125">
                  <c:v>-4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-4</c:v>
                </c:pt>
                <c:pt idx="148">
                  <c:v>-4</c:v>
                </c:pt>
                <c:pt idx="149">
                  <c:v>-4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-4</c:v>
                </c:pt>
                <c:pt idx="161">
                  <c:v>-4</c:v>
                </c:pt>
                <c:pt idx="162">
                  <c:v>-4</c:v>
                </c:pt>
                <c:pt idx="163">
                  <c:v>-4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</c:v>
                </c:pt>
                <c:pt idx="170">
                  <c:v>-4</c:v>
                </c:pt>
                <c:pt idx="171">
                  <c:v>-4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-4</c:v>
                </c:pt>
                <c:pt idx="176">
                  <c:v>-4</c:v>
                </c:pt>
                <c:pt idx="177">
                  <c:v>-4</c:v>
                </c:pt>
                <c:pt idx="178">
                  <c:v>-4</c:v>
                </c:pt>
                <c:pt idx="179">
                  <c:v>-4</c:v>
                </c:pt>
                <c:pt idx="180">
                  <c:v>-4</c:v>
                </c:pt>
                <c:pt idx="181">
                  <c:v>-4</c:v>
                </c:pt>
                <c:pt idx="182">
                  <c:v>-4</c:v>
                </c:pt>
                <c:pt idx="183">
                  <c:v>-4</c:v>
                </c:pt>
                <c:pt idx="184">
                  <c:v>-4</c:v>
                </c:pt>
                <c:pt idx="185">
                  <c:v>-4</c:v>
                </c:pt>
                <c:pt idx="186">
                  <c:v>-4</c:v>
                </c:pt>
                <c:pt idx="187">
                  <c:v>-4</c:v>
                </c:pt>
                <c:pt idx="188">
                  <c:v>-4</c:v>
                </c:pt>
                <c:pt idx="189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61-4C42-831B-22861EA0D89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Монитор!$CF$3:$CF$192</c:f>
              <c:numCache>
                <c:formatCode>General</c:formatCode>
                <c:ptCount val="19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61-4C42-831B-22861EA0D892}"/>
            </c:ext>
          </c:extLst>
        </c:ser>
        <c:ser>
          <c:idx val="3"/>
          <c:order val="3"/>
          <c:tx>
            <c:v>Middle</c:v>
          </c:tx>
          <c:spPr>
            <a:ln w="12700" cap="rnd">
              <a:solidFill>
                <a:schemeClr val="bg1"/>
              </a:solidFill>
              <a:prstDash val="sysDash"/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val>
            <c:numRef>
              <c:f>Монитор!$CG$3:$CG$192</c:f>
              <c:numCache>
                <c:formatCode>General</c:formatCode>
                <c:ptCount val="1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61-4C42-831B-22861EA0D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87288"/>
        <c:axId val="475290568"/>
      </c:lineChart>
      <c:catAx>
        <c:axId val="4752872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90568"/>
        <c:crosses val="autoZero"/>
        <c:auto val="1"/>
        <c:lblAlgn val="ctr"/>
        <c:lblOffset val="100"/>
        <c:noMultiLvlLbl val="0"/>
      </c:catAx>
      <c:valAx>
        <c:axId val="475290568"/>
        <c:scaling>
          <c:orientation val="minMax"/>
          <c:max val="140"/>
          <c:min val="-1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8728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25371828521436E-2"/>
          <c:y val="6.4574963843805233E-2"/>
          <c:w val="0.9442666229221347"/>
          <c:h val="0.66415769457389251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Монитор!$C$69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Монитор!$D$68:$W$68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Монитор!$D$69:$W$69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0-4666-819C-2B44D1B19AB6}"/>
            </c:ext>
          </c:extLst>
        </c:ser>
        <c:ser>
          <c:idx val="2"/>
          <c:order val="2"/>
          <c:tx>
            <c:strRef>
              <c:f>Монитор!$C$70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5">
                  <a:lumMod val="60000"/>
                  <a:lumOff val="40000"/>
                </a:schemeClr>
              </a:solidFill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soft" dir="t">
                <a:rot lat="0" lon="0" rev="18000000"/>
              </a:lightRig>
            </a:scene3d>
            <a:sp3d prstMaterial="dkEdge">
              <a:bevelT w="73660" h="44450" prst="ribl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Монитор!$D$68:$W$68</c:f>
              <c:numCache>
                <c:formatCode>d/m;@</c:formatCode>
                <c:ptCount val="20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Монитор!$D$70:$W$70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0220-4666-819C-2B44D1B19A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87328176"/>
        <c:axId val="687327848"/>
      </c:barChart>
      <c:lineChart>
        <c:grouping val="standard"/>
        <c:varyColors val="0"/>
        <c:ser>
          <c:idx val="1"/>
          <c:order val="0"/>
          <c:tx>
            <c:strRef>
              <c:f>Монитор!$C$71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FF00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Монитор!$D$50:$Z$50</c:f>
              <c:numCache>
                <c:formatCode>d/m;@</c:formatCode>
                <c:ptCount val="23"/>
                <c:pt idx="0">
                  <c:v>44137</c:v>
                </c:pt>
                <c:pt idx="1">
                  <c:v>44138</c:v>
                </c:pt>
                <c:pt idx="2">
                  <c:v>44140</c:v>
                </c:pt>
                <c:pt idx="3">
                  <c:v>44141</c:v>
                </c:pt>
                <c:pt idx="4">
                  <c:v>44144</c:v>
                </c:pt>
                <c:pt idx="5">
                  <c:v>44145</c:v>
                </c:pt>
                <c:pt idx="6">
                  <c:v>44146</c:v>
                </c:pt>
                <c:pt idx="7">
                  <c:v>44147</c:v>
                </c:pt>
                <c:pt idx="8">
                  <c:v>44148</c:v>
                </c:pt>
                <c:pt idx="9">
                  <c:v>44151</c:v>
                </c:pt>
                <c:pt idx="10">
                  <c:v>44152</c:v>
                </c:pt>
                <c:pt idx="11">
                  <c:v>44153</c:v>
                </c:pt>
                <c:pt idx="12">
                  <c:v>44154</c:v>
                </c:pt>
                <c:pt idx="13">
                  <c:v>44155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44165</c:v>
                </c:pt>
              </c:numCache>
            </c:numRef>
          </c:cat>
          <c:val>
            <c:numRef>
              <c:f>Монитор!$D$71:$W$71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20-4666-819C-2B44D1B19A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7328176"/>
        <c:axId val="687327848"/>
      </c:lineChart>
      <c:catAx>
        <c:axId val="68732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d/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7327848"/>
        <c:crosses val="autoZero"/>
        <c:auto val="0"/>
        <c:lblAlgn val="ctr"/>
        <c:lblOffset val="100"/>
        <c:noMultiLvlLbl val="1"/>
      </c:catAx>
      <c:valAx>
        <c:axId val="68732784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73281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4664150127301507"/>
          <c:y val="0.90689163854518196"/>
          <c:w val="0.45506994209993407"/>
          <c:h val="9.3108361454818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25371828521436E-2"/>
          <c:y val="2.5428331875182269E-2"/>
          <c:w val="0.94052708896462567"/>
          <c:h val="0.8291980169145523"/>
        </c:manualLayout>
      </c:layout>
      <c:lineChart>
        <c:grouping val="standard"/>
        <c:varyColors val="0"/>
        <c:ser>
          <c:idx val="0"/>
          <c:order val="0"/>
          <c:tx>
            <c:strRef>
              <c:f>Монитор!$BR$1</c:f>
              <c:strCache>
                <c:ptCount val="1"/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numRef>
              <c:f>Монитор!$CA$3:$CA$192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cat>
          <c:val>
            <c:numRef>
              <c:f>Монитор!$BR$3:$BR$192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1-44B2-AB03-805ACC21D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8467328"/>
        <c:axId val="738459784"/>
      </c:lineChart>
      <c:catAx>
        <c:axId val="73846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8459784"/>
        <c:crosses val="autoZero"/>
        <c:auto val="1"/>
        <c:lblAlgn val="ctr"/>
        <c:lblOffset val="100"/>
        <c:noMultiLvlLbl val="0"/>
      </c:catAx>
      <c:valAx>
        <c:axId val="738459784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84673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81427508128645E-2"/>
          <c:y val="6.8027210884353748E-2"/>
          <c:w val="0.92435538841226939"/>
          <c:h val="0.76937918474476408"/>
        </c:manualLayout>
      </c:layout>
      <c:lineChart>
        <c:grouping val="standard"/>
        <c:varyColors val="0"/>
        <c:ser>
          <c:idx val="0"/>
          <c:order val="0"/>
          <c:tx>
            <c:strRef>
              <c:f>Монитор!$BY$2</c:f>
              <c:strCache>
                <c:ptCount val="1"/>
                <c:pt idx="0">
                  <c:v>Хейджунка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95000" algn="tl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numRef>
              <c:f>Монитор!$CA$3:$CA$192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cat>
          <c:val>
            <c:numRef>
              <c:f>Монитор!$BY$3:$BY$192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C96-818D-D0C3398B7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422088"/>
        <c:axId val="683410936"/>
      </c:lineChart>
      <c:catAx>
        <c:axId val="683422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3410936"/>
        <c:crosses val="autoZero"/>
        <c:auto val="1"/>
        <c:lblAlgn val="ctr"/>
        <c:lblOffset val="100"/>
        <c:noMultiLvlLbl val="0"/>
      </c:catAx>
      <c:valAx>
        <c:axId val="6834109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3422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3</xdr:row>
      <xdr:rowOff>66675</xdr:rowOff>
    </xdr:from>
    <xdr:to>
      <xdr:col>19</xdr:col>
      <xdr:colOff>247650</xdr:colOff>
      <xdr:row>17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28576</xdr:colOff>
      <xdr:row>3</xdr:row>
      <xdr:rowOff>40340</xdr:rowOff>
    </xdr:from>
    <xdr:to>
      <xdr:col>37</xdr:col>
      <xdr:colOff>266700</xdr:colOff>
      <xdr:row>16</xdr:row>
      <xdr:rowOff>161925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28575</xdr:colOff>
      <xdr:row>3</xdr:row>
      <xdr:rowOff>38101</xdr:rowOff>
    </xdr:from>
    <xdr:to>
      <xdr:col>58</xdr:col>
      <xdr:colOff>257175</xdr:colOff>
      <xdr:row>16</xdr:row>
      <xdr:rowOff>152962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95250</xdr:colOff>
          <xdr:row>48</xdr:row>
          <xdr:rowOff>76200</xdr:rowOff>
        </xdr:from>
        <xdr:to>
          <xdr:col>39</xdr:col>
          <xdr:colOff>85725</xdr:colOff>
          <xdr:row>52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Обновить монитор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66675</xdr:colOff>
      <xdr:row>17</xdr:row>
      <xdr:rowOff>133349</xdr:rowOff>
    </xdr:from>
    <xdr:to>
      <xdr:col>19</xdr:col>
      <xdr:colOff>238125</xdr:colOff>
      <xdr:row>34</xdr:row>
      <xdr:rowOff>190500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28574</xdr:colOff>
      <xdr:row>17</xdr:row>
      <xdr:rowOff>28575</xdr:rowOff>
    </xdr:from>
    <xdr:to>
      <xdr:col>37</xdr:col>
      <xdr:colOff>266699</xdr:colOff>
      <xdr:row>34</xdr:row>
      <xdr:rowOff>161925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9526</xdr:colOff>
      <xdr:row>16</xdr:row>
      <xdr:rowOff>171450</xdr:rowOff>
    </xdr:from>
    <xdr:to>
      <xdr:col>58</xdr:col>
      <xdr:colOff>238126</xdr:colOff>
      <xdr:row>34</xdr:row>
      <xdr:rowOff>104775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19050</xdr:colOff>
      <xdr:row>35</xdr:row>
      <xdr:rowOff>19050</xdr:rowOff>
    </xdr:from>
    <xdr:to>
      <xdr:col>19</xdr:col>
      <xdr:colOff>247650</xdr:colOff>
      <xdr:row>44</xdr:row>
      <xdr:rowOff>171450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28575</xdr:colOff>
      <xdr:row>35</xdr:row>
      <xdr:rowOff>19049</xdr:rowOff>
    </xdr:from>
    <xdr:to>
      <xdr:col>37</xdr:col>
      <xdr:colOff>257175</xdr:colOff>
      <xdr:row>44</xdr:row>
      <xdr:rowOff>180974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19050</xdr:colOff>
      <xdr:row>35</xdr:row>
      <xdr:rowOff>28575</xdr:rowOff>
    </xdr:from>
    <xdr:to>
      <xdr:col>58</xdr:col>
      <xdr:colOff>266700</xdr:colOff>
      <xdr:row>44</xdr:row>
      <xdr:rowOff>180975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36</xdr:col>
      <xdr:colOff>167288</xdr:colOff>
      <xdr:row>24</xdr:row>
      <xdr:rowOff>103329</xdr:rowOff>
    </xdr:from>
    <xdr:ext cx="488852" cy="217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89494" y="4708947"/>
          <a:ext cx="488852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>
              <a:solidFill>
                <a:schemeClr val="bg1"/>
              </a:solidFill>
            </a:rPr>
            <a:t>Bi-tone</a:t>
          </a:r>
          <a:endParaRPr lang="ru-RU" sz="800">
            <a:solidFill>
              <a:schemeClr val="bg1"/>
            </a:solidFill>
          </a:endParaRPr>
        </a:p>
      </xdr:txBody>
    </xdr:sp>
    <xdr:clientData/>
  </xdr:oneCellAnchor>
  <xdr:oneCellAnchor>
    <xdr:from>
      <xdr:col>57</xdr:col>
      <xdr:colOff>119185</xdr:colOff>
      <xdr:row>24</xdr:row>
      <xdr:rowOff>87549</xdr:rowOff>
    </xdr:from>
    <xdr:ext cx="488852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8306332" y="4693167"/>
          <a:ext cx="488852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>
              <a:solidFill>
                <a:schemeClr val="bg1"/>
              </a:solidFill>
            </a:rPr>
            <a:t>Bi-tone</a:t>
          </a:r>
          <a:endParaRPr lang="ru-RU" sz="8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0.0911</cdr:x>
      <cdr:y>0.82856</cdr:y>
    </cdr:from>
    <cdr:to>
      <cdr:x>0.99613</cdr:x>
      <cdr:y>0.82856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77F9197C-BF1E-0BF2-EC32-CB46DD9232A9}"/>
            </a:ext>
          </a:extLst>
        </cdr:cNvPr>
        <cdr:cNvCxnSpPr/>
      </cdr:nvCxnSpPr>
      <cdr:spPr bwMode="auto">
        <a:xfrm xmlns:a="http://schemas.openxmlformats.org/drawingml/2006/main" flipV="1">
          <a:off x="468827" y="2793796"/>
          <a:ext cx="4657774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7AF6FA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0.82123</cdr:x>
      <cdr:y>0.82015</cdr:y>
    </cdr:from>
    <cdr:to>
      <cdr:x>1</cdr:x>
      <cdr:y>0.8936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4200525" y="2765425"/>
          <a:ext cx="914400" cy="2476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7AF6F0"/>
              </a:solidFill>
            </a:rPr>
            <a:t>Delay</a:t>
          </a:r>
          <a:r>
            <a:rPr lang="en-US" baseline="0">
              <a:solidFill>
                <a:srgbClr val="7AF6F0"/>
              </a:solidFill>
            </a:rPr>
            <a:t> &gt;300'</a:t>
          </a:r>
          <a:endParaRPr lang="en-US">
            <a:solidFill>
              <a:srgbClr val="7AF6F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0.07865</cdr:x>
      <cdr:y>0.82015</cdr:y>
    </cdr:from>
    <cdr:to>
      <cdr:x>0.98876</cdr:x>
      <cdr:y>0.82015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2282E49-67D9-97DD-A6CE-D4F9712F4028}"/>
            </a:ext>
          </a:extLst>
        </cdr:cNvPr>
        <cdr:cNvCxnSpPr/>
      </cdr:nvCxnSpPr>
      <cdr:spPr bwMode="auto">
        <a:xfrm xmlns:a="http://schemas.openxmlformats.org/drawingml/2006/main" flipV="1">
          <a:off x="400050" y="2765425"/>
          <a:ext cx="462915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7AF6FA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0.82022</cdr:x>
      <cdr:y>0.82015</cdr:y>
    </cdr:from>
    <cdr:to>
      <cdr:x>1</cdr:x>
      <cdr:y>0.8936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4171950" y="2765425"/>
          <a:ext cx="914400" cy="2476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7AF6F0"/>
              </a:solidFill>
            </a:rPr>
            <a:t>Delay</a:t>
          </a:r>
          <a:r>
            <a:rPr lang="en-US" baseline="0">
              <a:solidFill>
                <a:srgbClr val="7AF6F0"/>
              </a:solidFill>
            </a:rPr>
            <a:t> &gt;300'</a:t>
          </a:r>
          <a:endParaRPr lang="en-US">
            <a:solidFill>
              <a:srgbClr val="7AF6F0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381000</xdr:colOff>
      <xdr:row>20</xdr:row>
      <xdr:rowOff>95249</xdr:rowOff>
    </xdr:from>
    <xdr:to>
      <xdr:col>32</xdr:col>
      <xdr:colOff>993321</xdr:colOff>
      <xdr:row>25</xdr:row>
      <xdr:rowOff>122465</xdr:rowOff>
    </xdr:to>
    <xdr:sp macro="[0]!Выкачка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11144250" y="3891642"/>
          <a:ext cx="1959428" cy="911680"/>
        </a:xfrm>
        <a:prstGeom prst="rect">
          <a:avLst/>
        </a:prstGeom>
        <a:solidFill>
          <a:srgbClr val="92D05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>
          <a:glow rad="228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ru-RU" sz="2400" b="0"/>
            <a:t>Обновить</a:t>
          </a:r>
          <a:r>
            <a:rPr lang="ru-RU" sz="2400" b="0" baseline="0"/>
            <a:t> данные</a:t>
          </a:r>
          <a:endParaRPr lang="ru-RU" sz="2400" b="0"/>
        </a:p>
      </xdr:txBody>
    </xdr:sp>
    <xdr:clientData/>
  </xdr:twoCellAnchor>
  <xdr:twoCellAnchor>
    <xdr:from>
      <xdr:col>31</xdr:col>
      <xdr:colOff>966106</xdr:colOff>
      <xdr:row>15</xdr:row>
      <xdr:rowOff>81642</xdr:rowOff>
    </xdr:from>
    <xdr:to>
      <xdr:col>32</xdr:col>
      <xdr:colOff>381000</xdr:colOff>
      <xdr:row>20</xdr:row>
      <xdr:rowOff>13607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729356" y="2993571"/>
          <a:ext cx="762001" cy="816429"/>
        </a:xfrm>
        <a:prstGeom prst="downArrow">
          <a:avLst/>
        </a:prstGeom>
        <a:solidFill>
          <a:srgbClr val="00B050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345868</xdr:colOff>
      <xdr:row>9</xdr:row>
      <xdr:rowOff>102688</xdr:rowOff>
    </xdr:from>
    <xdr:ext cx="783523" cy="78111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041082" y="1953259"/>
          <a:ext cx="783523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1" cap="none" spc="0">
              <a:ln w="6600">
                <a:solidFill>
                  <a:sysClr val="windowText" lastClr="000000"/>
                </a:solidFill>
                <a:prstDash val="solid"/>
              </a:ln>
              <a:solidFill>
                <a:srgbClr val="00B05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①</a:t>
          </a:r>
        </a:p>
      </xdr:txBody>
    </xdr:sp>
    <xdr:clientData/>
  </xdr:oneCellAnchor>
  <xdr:oneCellAnchor>
    <xdr:from>
      <xdr:col>15</xdr:col>
      <xdr:colOff>416626</xdr:colOff>
      <xdr:row>20</xdr:row>
      <xdr:rowOff>146231</xdr:rowOff>
    </xdr:from>
    <xdr:ext cx="783523" cy="781111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111840" y="3942624"/>
          <a:ext cx="783523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1" cap="none" spc="0">
              <a:ln w="6600">
                <a:solidFill>
                  <a:sysClr val="windowText" lastClr="000000"/>
                </a:solidFill>
                <a:prstDash val="solid"/>
              </a:ln>
              <a:solidFill>
                <a:srgbClr val="00B05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②</a:t>
          </a:r>
        </a:p>
      </xdr:txBody>
    </xdr:sp>
    <xdr:clientData/>
  </xdr:oneCellAnchor>
  <xdr:twoCellAnchor>
    <xdr:from>
      <xdr:col>31</xdr:col>
      <xdr:colOff>421821</xdr:colOff>
      <xdr:row>36</xdr:row>
      <xdr:rowOff>0</xdr:rowOff>
    </xdr:from>
    <xdr:to>
      <xdr:col>32</xdr:col>
      <xdr:colOff>1033113</xdr:colOff>
      <xdr:row>40</xdr:row>
      <xdr:rowOff>122467</xdr:rowOff>
    </xdr:to>
    <xdr:sp macro="[0]!Хейджунка_по_сиквенсу" textlink="">
      <xdr:nvSpPr>
        <xdr:cNvPr id="7" name="Прямоугольник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1185071" y="7130143"/>
          <a:ext cx="1958399" cy="911681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>
          <a:glow rad="228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ru-RU" sz="2400" b="0"/>
            <a:t>Обновить хейджунку</a:t>
          </a:r>
        </a:p>
      </xdr:txBody>
    </xdr:sp>
    <xdr:clientData/>
  </xdr:twoCellAnchor>
  <xdr:twoCellAnchor>
    <xdr:from>
      <xdr:col>31</xdr:col>
      <xdr:colOff>938891</xdr:colOff>
      <xdr:row>26</xdr:row>
      <xdr:rowOff>68038</xdr:rowOff>
    </xdr:from>
    <xdr:to>
      <xdr:col>32</xdr:col>
      <xdr:colOff>435429</xdr:colOff>
      <xdr:row>29</xdr:row>
      <xdr:rowOff>149679</xdr:rowOff>
    </xdr:to>
    <xdr:sp macro="" textlink="">
      <xdr:nvSpPr>
        <xdr:cNvPr id="8" name="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11702141" y="4925788"/>
          <a:ext cx="843645" cy="775605"/>
        </a:xfrm>
        <a:prstGeom prst="downArrow">
          <a:avLst/>
        </a:prstGeom>
        <a:solidFill>
          <a:srgbClr val="00B050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449036</xdr:colOff>
      <xdr:row>36</xdr:row>
      <xdr:rowOff>27215</xdr:rowOff>
    </xdr:from>
    <xdr:ext cx="783523" cy="781111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144250" y="7239001"/>
          <a:ext cx="783523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1" cap="none" spc="0">
              <a:ln w="6600">
                <a:solidFill>
                  <a:sysClr val="windowText" lastClr="000000"/>
                </a:solidFill>
                <a:prstDash val="solid"/>
              </a:ln>
              <a:solidFill>
                <a:srgbClr val="00B05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③</a:t>
          </a:r>
        </a:p>
      </xdr:txBody>
    </xdr:sp>
    <xdr:clientData/>
  </xdr:oneCellAnchor>
  <xdr:twoCellAnchor>
    <xdr:from>
      <xdr:col>15</xdr:col>
      <xdr:colOff>721179</xdr:colOff>
      <xdr:row>41</xdr:row>
      <xdr:rowOff>54429</xdr:rowOff>
    </xdr:from>
    <xdr:to>
      <xdr:col>33</xdr:col>
      <xdr:colOff>367394</xdr:colOff>
      <xdr:row>51</xdr:row>
      <xdr:rowOff>163284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1416393" y="8245929"/>
          <a:ext cx="3565072" cy="1973034"/>
        </a:xfrm>
        <a:prstGeom prst="rect">
          <a:avLst/>
        </a:prstGeom>
        <a:solidFill>
          <a:srgbClr val="FFC000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1400"/>
            <a:t>Вставка </a:t>
          </a:r>
          <a:r>
            <a:rPr lang="en-US" sz="1400"/>
            <a:t>Goshi:</a:t>
          </a:r>
          <a:endParaRPr lang="ru-RU" sz="1400"/>
        </a:p>
        <a:p>
          <a:pPr algn="l"/>
          <a:r>
            <a:rPr lang="ru-RU" sz="1400"/>
            <a:t>Определить,</a:t>
          </a:r>
          <a:r>
            <a:rPr lang="ru-RU" sz="1400" baseline="0"/>
            <a:t> каким по порядку выйдет </a:t>
          </a:r>
          <a:r>
            <a:rPr lang="en-US" sz="1400" baseline="0"/>
            <a:t>Goshi</a:t>
          </a:r>
        </a:p>
        <a:p>
          <a:pPr algn="l"/>
          <a:endParaRPr lang="en-US" sz="1400"/>
        </a:p>
        <a:p>
          <a:pPr algn="l"/>
          <a:r>
            <a:rPr lang="ru-RU" sz="1400"/>
            <a:t>В</a:t>
          </a:r>
          <a:r>
            <a:rPr lang="ru-RU" sz="1400" baseline="0"/>
            <a:t> графах </a:t>
          </a:r>
          <a:r>
            <a:rPr lang="en-US" sz="1400" baseline="0"/>
            <a:t>URN, BS Count </a:t>
          </a:r>
          <a:r>
            <a:rPr lang="ru-RU" sz="1400" baseline="0"/>
            <a:t>и </a:t>
          </a:r>
          <a:r>
            <a:rPr lang="en-US" sz="1400" baseline="0"/>
            <a:t>Model</a:t>
          </a:r>
        </a:p>
        <a:p>
          <a:pPr algn="l"/>
          <a:r>
            <a:rPr lang="ru-RU" sz="1400" baseline="0"/>
            <a:t> (столбцы </a:t>
          </a:r>
          <a:r>
            <a:rPr lang="en-US" sz="1400" baseline="0"/>
            <a:t>AJ-AL</a:t>
          </a:r>
          <a:r>
            <a:rPr lang="ru-RU" sz="1400" baseline="0"/>
            <a:t>)</a:t>
          </a:r>
          <a:r>
            <a:rPr lang="en-US" sz="1400" baseline="0"/>
            <a:t> </a:t>
          </a:r>
          <a:r>
            <a:rPr lang="ru-RU" sz="1400" baseline="0"/>
            <a:t>вставить ячейки</a:t>
          </a:r>
          <a:endParaRPr lang="en-US" sz="1400" baseline="0"/>
        </a:p>
        <a:p>
          <a:pPr algn="l"/>
          <a:endParaRPr lang="ru-RU" sz="1400" baseline="0"/>
        </a:p>
        <a:p>
          <a:pPr algn="l"/>
          <a:r>
            <a:rPr lang="ru-RU" sz="1400" baseline="0"/>
            <a:t>Прописать букву </a:t>
          </a:r>
          <a:r>
            <a:rPr lang="en-US" sz="1400" baseline="0"/>
            <a:t>G </a:t>
          </a:r>
          <a:r>
            <a:rPr lang="ru-RU" sz="1400" baseline="0"/>
            <a:t>в модели </a:t>
          </a:r>
          <a:endParaRPr lang="en-US" sz="1400" baseline="0"/>
        </a:p>
        <a:p>
          <a:pPr algn="l"/>
          <a:r>
            <a:rPr lang="en-US" sz="1400" baseline="0"/>
            <a:t>(</a:t>
          </a:r>
          <a:r>
            <a:rPr lang="ru-RU" sz="1400" baseline="0"/>
            <a:t>регистр не важен)</a:t>
          </a:r>
          <a:endParaRPr lang="ru-RU" sz="1400"/>
        </a:p>
      </xdr:txBody>
    </xdr:sp>
    <xdr:clientData/>
  </xdr:twoCellAnchor>
  <xdr:twoCellAnchor>
    <xdr:from>
      <xdr:col>51</xdr:col>
      <xdr:colOff>653143</xdr:colOff>
      <xdr:row>9</xdr:row>
      <xdr:rowOff>95250</xdr:rowOff>
    </xdr:from>
    <xdr:to>
      <xdr:col>58</xdr:col>
      <xdr:colOff>0</xdr:colOff>
      <xdr:row>55</xdr:row>
      <xdr:rowOff>163284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22819179" y="1945821"/>
          <a:ext cx="4340678" cy="8939892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800"/>
            <a:t>Не используется</a:t>
          </a:r>
        </a:p>
      </xdr:txBody>
    </xdr:sp>
    <xdr:clientData/>
  </xdr:twoCellAnchor>
  <xdr:twoCellAnchor>
    <xdr:from>
      <xdr:col>31</xdr:col>
      <xdr:colOff>966105</xdr:colOff>
      <xdr:row>33</xdr:row>
      <xdr:rowOff>54432</xdr:rowOff>
    </xdr:from>
    <xdr:to>
      <xdr:col>32</xdr:col>
      <xdr:colOff>476250</xdr:colOff>
      <xdr:row>35</xdr:row>
      <xdr:rowOff>163287</xdr:rowOff>
    </xdr:to>
    <xdr:sp macro="" textlink="">
      <xdr:nvSpPr>
        <xdr:cNvPr id="11" name="Down Arrow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729355" y="6572253"/>
          <a:ext cx="857252" cy="571498"/>
        </a:xfrm>
        <a:prstGeom prst="downArrow">
          <a:avLst/>
        </a:prstGeom>
        <a:solidFill>
          <a:srgbClr val="00B050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394606</xdr:colOff>
      <xdr:row>64</xdr:row>
      <xdr:rowOff>27213</xdr:rowOff>
    </xdr:from>
    <xdr:to>
      <xdr:col>32</xdr:col>
      <xdr:colOff>1006929</xdr:colOff>
      <xdr:row>69</xdr:row>
      <xdr:rowOff>27213</xdr:rowOff>
    </xdr:to>
    <xdr:sp macro="[0]!Goshi" textlink="">
      <xdr:nvSpPr>
        <xdr:cNvPr id="14" name="Прямоугольник 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11933463" y="12436927"/>
          <a:ext cx="1959430" cy="884465"/>
        </a:xfrm>
        <a:prstGeom prst="rect">
          <a:avLst/>
        </a:prstGeom>
        <a:solidFill>
          <a:srgbClr val="92D05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>
          <a:glow rad="228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ru-RU" sz="2400" b="1"/>
            <a:t>Вставить</a:t>
          </a:r>
          <a:endParaRPr lang="en-US" sz="2400" b="1"/>
        </a:p>
        <a:p>
          <a:pPr algn="ctr"/>
          <a:r>
            <a:rPr lang="en-US" sz="2400" b="1" baseline="0"/>
            <a:t>Goshi</a:t>
          </a:r>
          <a:endParaRPr lang="ru-RU" sz="2400" b="1"/>
        </a:p>
      </xdr:txBody>
    </xdr:sp>
    <xdr:clientData/>
  </xdr:twoCellAnchor>
  <xdr:twoCellAnchor>
    <xdr:from>
      <xdr:col>31</xdr:col>
      <xdr:colOff>938890</xdr:colOff>
      <xdr:row>60</xdr:row>
      <xdr:rowOff>81646</xdr:rowOff>
    </xdr:from>
    <xdr:to>
      <xdr:col>32</xdr:col>
      <xdr:colOff>449035</xdr:colOff>
      <xdr:row>63</xdr:row>
      <xdr:rowOff>122466</xdr:rowOff>
    </xdr:to>
    <xdr:sp macro="" textlink="">
      <xdr:nvSpPr>
        <xdr:cNvPr id="15" name="Down Arrow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12477747" y="11783789"/>
          <a:ext cx="857252" cy="571498"/>
        </a:xfrm>
        <a:prstGeom prst="downArrow">
          <a:avLst/>
        </a:prstGeom>
        <a:solidFill>
          <a:srgbClr val="00B050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20730</xdr:colOff>
      <xdr:row>0</xdr:row>
      <xdr:rowOff>444953</xdr:rowOff>
    </xdr:from>
    <xdr:to>
      <xdr:col>26</xdr:col>
      <xdr:colOff>830034</xdr:colOff>
      <xdr:row>3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10892837" y="444953"/>
          <a:ext cx="1720983" cy="602797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ru-RU" sz="1400"/>
            <a:t>Последний </a:t>
          </a:r>
          <a:r>
            <a:rPr lang="en-US" sz="1400"/>
            <a:t>Seq</a:t>
          </a:r>
          <a:r>
            <a:rPr lang="en-US" sz="1400" baseline="0"/>
            <a:t> </a:t>
          </a:r>
          <a:r>
            <a:rPr lang="ru-RU" sz="1400" baseline="0"/>
            <a:t>предыдущей смены</a:t>
          </a:r>
        </a:p>
      </xdr:txBody>
    </xdr:sp>
    <xdr:clientData/>
  </xdr:twoCellAnchor>
  <xdr:twoCellAnchor>
    <xdr:from>
      <xdr:col>24</xdr:col>
      <xdr:colOff>0</xdr:colOff>
      <xdr:row>0</xdr:row>
      <xdr:rowOff>0</xdr:rowOff>
    </xdr:from>
    <xdr:to>
      <xdr:col>27</xdr:col>
      <xdr:colOff>13606</xdr:colOff>
      <xdr:row>0</xdr:row>
      <xdr:rowOff>435429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0872107" y="0"/>
          <a:ext cx="1755320" cy="435429"/>
        </a:xfrm>
        <a:prstGeom prst="rect">
          <a:avLst/>
        </a:prstGeom>
        <a:solidFill>
          <a:srgbClr val="FF9933">
            <a:alpha val="23137"/>
          </a:srgbClr>
        </a:solidFill>
        <a:ln w="38100" cap="flat" cmpd="sng" algn="ctr">
          <a:solidFill>
            <a:schemeClr val="accent4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163287</xdr:colOff>
      <xdr:row>17</xdr:row>
      <xdr:rowOff>27216</xdr:rowOff>
    </xdr:from>
    <xdr:to>
      <xdr:col>26</xdr:col>
      <xdr:colOff>367393</xdr:colOff>
      <xdr:row>19</xdr:row>
      <xdr:rowOff>176894</xdr:rowOff>
    </xdr:to>
    <xdr:sp macro="[0]!Время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11021787" y="5075466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25</xdr:col>
      <xdr:colOff>176893</xdr:colOff>
      <xdr:row>55</xdr:row>
      <xdr:rowOff>149678</xdr:rowOff>
    </xdr:from>
    <xdr:to>
      <xdr:col>26</xdr:col>
      <xdr:colOff>380999</xdr:colOff>
      <xdr:row>58</xdr:row>
      <xdr:rowOff>13606</xdr:rowOff>
    </xdr:to>
    <xdr:sp macro="[0]!Время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11035393" y="16056428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25</xdr:col>
      <xdr:colOff>206828</xdr:colOff>
      <xdr:row>87</xdr:row>
      <xdr:rowOff>70756</xdr:rowOff>
    </xdr:from>
    <xdr:to>
      <xdr:col>26</xdr:col>
      <xdr:colOff>410934</xdr:colOff>
      <xdr:row>89</xdr:row>
      <xdr:rowOff>220434</xdr:rowOff>
    </xdr:to>
    <xdr:sp macro="[0]!Время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11065328" y="25111981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[0]!ОбновлениеМонитора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[0]!ОбновлениеМонитора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29</xdr:col>
      <xdr:colOff>81643</xdr:colOff>
      <xdr:row>0</xdr:row>
      <xdr:rowOff>40822</xdr:rowOff>
    </xdr:from>
    <xdr:to>
      <xdr:col>29</xdr:col>
      <xdr:colOff>1034142</xdr:colOff>
      <xdr:row>1</xdr:row>
      <xdr:rowOff>299358</xdr:rowOff>
    </xdr:to>
    <xdr:sp macro="[0]!PointLoc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14311993" y="40822"/>
          <a:ext cx="952499" cy="706211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600" b="1" baseline="0"/>
            <a:t>Point Location</a:t>
          </a:r>
        </a:p>
      </xdr:txBody>
    </xdr:sp>
    <xdr:clientData/>
  </xdr:twoCellAnchor>
  <xdr:twoCellAnchor>
    <xdr:from>
      <xdr:col>29</xdr:col>
      <xdr:colOff>54429</xdr:colOff>
      <xdr:row>2</xdr:row>
      <xdr:rowOff>40819</xdr:rowOff>
    </xdr:from>
    <xdr:to>
      <xdr:col>29</xdr:col>
      <xdr:colOff>1034142</xdr:colOff>
      <xdr:row>6</xdr:row>
      <xdr:rowOff>244928</xdr:rowOff>
    </xdr:to>
    <xdr:sp macro="[0]!Question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14284779" y="802819"/>
          <a:ext cx="979713" cy="13471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2000"/>
            <a:t>End</a:t>
          </a:r>
        </a:p>
        <a:p>
          <a:pPr algn="ctr"/>
          <a:r>
            <a:rPr lang="en-US" sz="2000"/>
            <a:t>Shift</a:t>
          </a:r>
          <a:endParaRPr lang="ru-RU" sz="2000"/>
        </a:p>
      </xdr:txBody>
    </xdr:sp>
    <xdr:clientData/>
  </xdr:twoCellAnchor>
  <xdr:twoCellAnchor>
    <xdr:from>
      <xdr:col>77</xdr:col>
      <xdr:colOff>108858</xdr:colOff>
      <xdr:row>0</xdr:row>
      <xdr:rowOff>0</xdr:rowOff>
    </xdr:from>
    <xdr:to>
      <xdr:col>80</xdr:col>
      <xdr:colOff>571501</xdr:colOff>
      <xdr:row>0</xdr:row>
      <xdr:rowOff>421820</xdr:rowOff>
    </xdr:to>
    <xdr:sp macro="[0]!ОбновлениеМонитора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39991394" y="0"/>
          <a:ext cx="2503714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</xdr:colOff>
      <xdr:row>1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1183822" cy="449036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20730</xdr:colOff>
      <xdr:row>0</xdr:row>
      <xdr:rowOff>444953</xdr:rowOff>
    </xdr:from>
    <xdr:to>
      <xdr:col>26</xdr:col>
      <xdr:colOff>830034</xdr:colOff>
      <xdr:row>3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10879230" y="444953"/>
          <a:ext cx="1714179" cy="602797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ru-RU" sz="1400"/>
            <a:t>Последний </a:t>
          </a:r>
          <a:r>
            <a:rPr lang="en-US" sz="1400"/>
            <a:t>Seq</a:t>
          </a:r>
          <a:r>
            <a:rPr lang="en-US" sz="1400" baseline="0"/>
            <a:t> </a:t>
          </a:r>
          <a:r>
            <a:rPr lang="ru-RU" sz="1400" baseline="0"/>
            <a:t>предыдущей смены</a:t>
          </a:r>
        </a:p>
      </xdr:txBody>
    </xdr:sp>
    <xdr:clientData/>
  </xdr:twoCellAnchor>
  <xdr:twoCellAnchor>
    <xdr:from>
      <xdr:col>24</xdr:col>
      <xdr:colOff>0</xdr:colOff>
      <xdr:row>0</xdr:row>
      <xdr:rowOff>0</xdr:rowOff>
    </xdr:from>
    <xdr:to>
      <xdr:col>27</xdr:col>
      <xdr:colOff>13606</xdr:colOff>
      <xdr:row>0</xdr:row>
      <xdr:rowOff>435429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0858500" y="0"/>
          <a:ext cx="1747156" cy="435429"/>
        </a:xfrm>
        <a:prstGeom prst="rect">
          <a:avLst/>
        </a:prstGeom>
        <a:solidFill>
          <a:srgbClr val="FF9933">
            <a:alpha val="23137"/>
          </a:srgbClr>
        </a:solidFill>
        <a:ln w="38100" cap="flat" cmpd="sng" algn="ctr">
          <a:solidFill>
            <a:schemeClr val="accent4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163287</xdr:colOff>
      <xdr:row>17</xdr:row>
      <xdr:rowOff>27216</xdr:rowOff>
    </xdr:from>
    <xdr:to>
      <xdr:col>26</xdr:col>
      <xdr:colOff>367393</xdr:colOff>
      <xdr:row>19</xdr:row>
      <xdr:rowOff>176894</xdr:rowOff>
    </xdr:to>
    <xdr:sp macro="[0]!Время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1021787" y="5075466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25</xdr:col>
      <xdr:colOff>176893</xdr:colOff>
      <xdr:row>55</xdr:row>
      <xdr:rowOff>149678</xdr:rowOff>
    </xdr:from>
    <xdr:to>
      <xdr:col>26</xdr:col>
      <xdr:colOff>380999</xdr:colOff>
      <xdr:row>58</xdr:row>
      <xdr:rowOff>13606</xdr:rowOff>
    </xdr:to>
    <xdr:sp macro="[0]!Время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11035393" y="16056428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25</xdr:col>
      <xdr:colOff>206828</xdr:colOff>
      <xdr:row>87</xdr:row>
      <xdr:rowOff>70756</xdr:rowOff>
    </xdr:from>
    <xdr:to>
      <xdr:col>26</xdr:col>
      <xdr:colOff>410934</xdr:colOff>
      <xdr:row>89</xdr:row>
      <xdr:rowOff>220434</xdr:rowOff>
    </xdr:to>
    <xdr:sp macro="[0]!Время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11065328" y="25111981"/>
          <a:ext cx="1108981" cy="721178"/>
        </a:xfrm>
        <a:prstGeom prst="round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Время </a:t>
          </a:r>
          <a:r>
            <a:rPr lang="en-US" sz="2000"/>
            <a:t>Paint out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[0]!ОбновлениеМонитора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19</xdr:col>
      <xdr:colOff>340178</xdr:colOff>
      <xdr:row>0</xdr:row>
      <xdr:rowOff>0</xdr:rowOff>
    </xdr:from>
    <xdr:to>
      <xdr:col>23</xdr:col>
      <xdr:colOff>707571</xdr:colOff>
      <xdr:row>0</xdr:row>
      <xdr:rowOff>421820</xdr:rowOff>
    </xdr:to>
    <xdr:sp macro="[0]!ОбновлениеМонитора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8322128" y="0"/>
          <a:ext cx="2510518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29</xdr:col>
      <xdr:colOff>81643</xdr:colOff>
      <xdr:row>0</xdr:row>
      <xdr:rowOff>40822</xdr:rowOff>
    </xdr:from>
    <xdr:to>
      <xdr:col>29</xdr:col>
      <xdr:colOff>1034142</xdr:colOff>
      <xdr:row>1</xdr:row>
      <xdr:rowOff>299358</xdr:rowOff>
    </xdr:to>
    <xdr:sp macro="[0]!PointLoc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14311993" y="40822"/>
          <a:ext cx="952499" cy="706211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600" b="1" baseline="0"/>
            <a:t>Point Location</a:t>
          </a:r>
        </a:p>
      </xdr:txBody>
    </xdr:sp>
    <xdr:clientData/>
  </xdr:twoCellAnchor>
  <xdr:twoCellAnchor>
    <xdr:from>
      <xdr:col>29</xdr:col>
      <xdr:colOff>54429</xdr:colOff>
      <xdr:row>2</xdr:row>
      <xdr:rowOff>40819</xdr:rowOff>
    </xdr:from>
    <xdr:to>
      <xdr:col>29</xdr:col>
      <xdr:colOff>1034142</xdr:colOff>
      <xdr:row>6</xdr:row>
      <xdr:rowOff>244928</xdr:rowOff>
    </xdr:to>
    <xdr:sp macro="[0]!Question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14284779" y="802819"/>
          <a:ext cx="979713" cy="13471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2000"/>
            <a:t>End</a:t>
          </a:r>
        </a:p>
        <a:p>
          <a:pPr algn="ctr"/>
          <a:r>
            <a:rPr lang="en-US" sz="2000"/>
            <a:t>Shift</a:t>
          </a:r>
          <a:endParaRPr lang="ru-RU" sz="2000"/>
        </a:p>
      </xdr:txBody>
    </xdr:sp>
    <xdr:clientData/>
  </xdr:twoCellAnchor>
  <xdr:twoCellAnchor>
    <xdr:from>
      <xdr:col>77</xdr:col>
      <xdr:colOff>108858</xdr:colOff>
      <xdr:row>0</xdr:row>
      <xdr:rowOff>0</xdr:rowOff>
    </xdr:from>
    <xdr:to>
      <xdr:col>80</xdr:col>
      <xdr:colOff>571501</xdr:colOff>
      <xdr:row>0</xdr:row>
      <xdr:rowOff>421820</xdr:rowOff>
    </xdr:to>
    <xdr:sp macro="[0]!ОбновлениеМонитора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40094808" y="0"/>
          <a:ext cx="2520043" cy="421820"/>
        </a:xfrm>
        <a:prstGeom prst="round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ru-RU" sz="2000"/>
            <a:t>Обновить</a:t>
          </a:r>
          <a:r>
            <a:rPr lang="ru-RU" sz="2000" baseline="0"/>
            <a:t> монитор</a:t>
          </a:r>
          <a:endParaRPr lang="ru-RU" sz="2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</xdr:colOff>
      <xdr:row>1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0"/>
          <a:ext cx="1181101" cy="447675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USPEMFI-FSV-02\General\Users\dmitraa\AppData\Local\Microsoft\Windows\Temporary%20Internet%20Files\Content.Outlook\W0SC0D3X\seq%20in%20CB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02R"/>
      <sheetName val="0102W"/>
      <sheetName val="0202R"/>
      <sheetName val="0202W"/>
      <sheetName val="0302R"/>
      <sheetName val="0302W"/>
      <sheetName val="0402R"/>
      <sheetName val="0402W"/>
      <sheetName val="0502R"/>
      <sheetName val="0502W"/>
      <sheetName val="0802W"/>
      <sheetName val="0802R"/>
      <sheetName val="0902W"/>
      <sheetName val="0902R"/>
      <sheetName val="1002W"/>
      <sheetName val="1002R"/>
      <sheetName val="1102W"/>
      <sheetName val="1102R"/>
      <sheetName val="1202W"/>
      <sheetName val="1202R"/>
      <sheetName val="1502W"/>
      <sheetName val="1502R"/>
      <sheetName val="1602W"/>
      <sheetName val="1602R"/>
      <sheetName val="1702W"/>
      <sheetName val="1702 R"/>
      <sheetName val="1802 W"/>
      <sheetName val="1802 R"/>
      <sheetName val="1902 W"/>
      <sheetName val="1902R"/>
      <sheetName val="2002 W"/>
      <sheetName val="2002 R"/>
      <sheetName val="2402 R"/>
      <sheetName val="2402 W"/>
      <sheetName val="2502 R"/>
      <sheetName val="2502 W"/>
      <sheetName val="2602 R"/>
      <sheetName val="2602 W"/>
      <sheetName val="2902 R"/>
      <sheetName val="2902 W"/>
      <sheetName val="0103 R"/>
      <sheetName val="0103 W"/>
      <sheetName val="0203 R"/>
      <sheetName val="0203 W"/>
      <sheetName val="0303 R"/>
      <sheetName val="0303 W"/>
      <sheetName val="0304 R"/>
      <sheetName val="0403 W"/>
      <sheetName val="0903 W"/>
      <sheetName val="0903 R"/>
      <sheetName val="1003 W"/>
      <sheetName val="1003 R"/>
      <sheetName val="Бланк (2)"/>
      <sheetName val="Бланк"/>
    </sheetNames>
    <sheetDataSet>
      <sheetData sheetId="0"/>
      <sheetData sheetId="1">
        <row r="10">
          <cell r="V10" t="str">
            <v>1F7</v>
          </cell>
        </row>
        <row r="11">
          <cell r="V11" t="str">
            <v>1H2</v>
          </cell>
        </row>
        <row r="12">
          <cell r="V12" t="str">
            <v>070</v>
          </cell>
        </row>
        <row r="13">
          <cell r="V13" t="str">
            <v>040</v>
          </cell>
        </row>
        <row r="14">
          <cell r="V14" t="str">
            <v>218</v>
          </cell>
        </row>
        <row r="15">
          <cell r="V15" t="str">
            <v>1H1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0">
          <cell r="U10" t="str">
            <v>1F7</v>
          </cell>
        </row>
        <row r="11">
          <cell r="U11" t="str">
            <v>1H2</v>
          </cell>
        </row>
        <row r="12">
          <cell r="U12" t="str">
            <v>070</v>
          </cell>
        </row>
        <row r="13">
          <cell r="U13" t="str">
            <v>040</v>
          </cell>
        </row>
        <row r="14">
          <cell r="U14" t="str">
            <v>218</v>
          </cell>
        </row>
        <row r="15">
          <cell r="U15" t="str">
            <v>1H1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41) Bodies location (Heijunka)_1" connectionId="3" xr16:uid="{00000000-0016-0000-0100-00000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20) Information" connectionId="1" xr16:uid="{00000000-0016-0000-01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Данные для Heijunka" growShrinkType="overwriteClear" connectionId="2" xr16:uid="{00000000-0016-0000-01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орядок кузовов BuildSeq (PC02)_1" connectionId="12" xr16:uid="{00000000-0016-0000-0100-000000000000}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Бумажная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63000"/>
                <a:tint val="82000"/>
              </a:schemeClr>
              <a:schemeClr val="phClr">
                <a:tint val="10000"/>
                <a:satMod val="400000"/>
              </a:schemeClr>
            </a:duotone>
          </a:blip>
          <a:tile tx="0" ty="0" sx="40000" sy="40000" flip="none" algn="tl"/>
        </a:blipFill>
        <a:blipFill>
          <a:blip xmlns:r="http://schemas.openxmlformats.org/officeDocument/2006/relationships" r:embed="rId1">
            <a:duotone>
              <a:schemeClr val="phClr">
                <a:shade val="40000"/>
              </a:schemeClr>
              <a:schemeClr val="phClr">
                <a:tint val="42000"/>
              </a:schemeClr>
            </a:duotone>
          </a:blip>
          <a:tile tx="0" ty="0" sx="40000" sy="40000" flip="none" algn="tl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635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algn="tl" rotWithShape="0">
              <a:srgbClr val="000000">
                <a:alpha val="50000"/>
              </a:srgbClr>
            </a:outerShdw>
          </a:effectLst>
          <a:scene3d>
            <a:camera prst="orthographicFront"/>
            <a:lightRig rig="soft" dir="t">
              <a:rot lat="0" lon="0" rev="18000000"/>
            </a:lightRig>
          </a:scene3d>
          <a:sp3d prstMaterial="dkEdge">
            <a:bevelT w="73660" h="4445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\\RUSPEMFI-FSV-02\General\Users\dmitraa\AppData\Local\Microsoft\Windows\Temporary%20Internet%20Files\Content.Outlook\W0SC0D3X\seq%20in%20CBS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externalLinkPath" Target="file:///\\RUSPEMFI-FSV-02\General\Users\dmitraa\AppData\Local\Microsoft\Windows\Temporary%20Internet%20Files\Content.Outlook\W0SC0D3X\seq%20in%20CBS.xls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CG195"/>
  <sheetViews>
    <sheetView zoomScale="85" zoomScaleNormal="85" workbookViewId="0">
      <selection sqref="A1:BJ45"/>
    </sheetView>
  </sheetViews>
  <sheetFormatPr defaultColWidth="3.75" defaultRowHeight="15"/>
  <cols>
    <col min="1" max="1" width="3.75" style="276"/>
    <col min="2" max="2" width="4.125" style="276" bestFit="1" customWidth="1"/>
    <col min="3" max="3" width="3.75" style="276"/>
    <col min="4" max="25" width="3.75" style="276" customWidth="1"/>
    <col min="26" max="26" width="4" style="276" bestFit="1" customWidth="1"/>
    <col min="27" max="29" width="3.75" style="276"/>
    <col min="30" max="30" width="20.375" style="276" bestFit="1" customWidth="1"/>
    <col min="31" max="34" width="3.75" style="276"/>
    <col min="35" max="35" width="4" style="276" customWidth="1"/>
    <col min="36" max="36" width="4.25" style="276" customWidth="1"/>
    <col min="37" max="37" width="3.75" style="276"/>
    <col min="38" max="38" width="3.75" style="276" customWidth="1"/>
    <col min="39" max="40" width="3.75" style="276"/>
    <col min="41" max="41" width="5.625" style="276" customWidth="1"/>
    <col min="42" max="43" width="3.75" style="276"/>
    <col min="44" max="44" width="4.5" style="276" customWidth="1"/>
    <col min="45" max="46" width="3.75" style="276"/>
    <col min="47" max="47" width="5.125" style="276" customWidth="1"/>
    <col min="48" max="50" width="3.75" style="276"/>
    <col min="51" max="51" width="4" style="276" customWidth="1"/>
    <col min="52" max="61" width="3.75" style="276"/>
    <col min="62" max="62" width="4.125" style="276" bestFit="1" customWidth="1"/>
    <col min="63" max="65" width="3.75" style="276"/>
    <col min="66" max="67" width="7.75" style="276" customWidth="1"/>
    <col min="68" max="68" width="8.125" style="276" customWidth="1"/>
    <col min="69" max="69" width="7.75" style="276" customWidth="1"/>
    <col min="70" max="70" width="9.75" style="323" bestFit="1" customWidth="1"/>
    <col min="71" max="72" width="4" style="276" customWidth="1"/>
    <col min="73" max="74" width="7.75" style="276" customWidth="1"/>
    <col min="75" max="75" width="8.25" style="276" customWidth="1"/>
    <col min="76" max="76" width="7.75" style="276" customWidth="1"/>
    <col min="77" max="77" width="9.75" style="323" bestFit="1" customWidth="1"/>
    <col min="78" max="78" width="5.375" style="276" customWidth="1"/>
    <col min="79" max="16384" width="3.75" style="276"/>
  </cols>
  <sheetData>
    <row r="1" spans="1:85" ht="15" customHeight="1" thickBot="1">
      <c r="A1" s="529">
        <v>4</v>
      </c>
      <c r="B1" s="530"/>
      <c r="C1" s="512" t="s">
        <v>936</v>
      </c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3"/>
      <c r="U1" s="321"/>
      <c r="V1" s="318"/>
      <c r="W1" s="318"/>
      <c r="X1" s="318"/>
      <c r="Y1" s="318"/>
      <c r="Z1" s="318"/>
      <c r="AA1" s="318"/>
      <c r="AB1" s="512" t="s">
        <v>952</v>
      </c>
      <c r="AC1" s="512"/>
      <c r="AD1" s="512"/>
      <c r="AE1" s="512"/>
      <c r="AF1" s="512"/>
      <c r="AG1" s="512"/>
      <c r="AH1" s="512"/>
      <c r="AI1" s="318"/>
      <c r="AJ1" s="492">
        <v>44144</v>
      </c>
      <c r="AK1" s="492"/>
      <c r="AL1" s="492"/>
      <c r="AM1" s="492"/>
      <c r="AN1" s="492"/>
      <c r="AO1" s="493"/>
      <c r="AP1" s="318"/>
      <c r="AQ1" s="318"/>
      <c r="AR1" s="318"/>
      <c r="AS1" s="318"/>
      <c r="AT1" s="318"/>
      <c r="AU1" s="318"/>
      <c r="AV1" s="318"/>
      <c r="AW1" s="516" t="s">
        <v>953</v>
      </c>
      <c r="AX1" s="516"/>
      <c r="AY1" s="516"/>
      <c r="AZ1" s="516"/>
      <c r="BA1" s="516"/>
      <c r="BB1" s="516"/>
      <c r="BC1" s="516"/>
      <c r="BD1" s="318"/>
      <c r="BE1" s="492">
        <v>44144</v>
      </c>
      <c r="BF1" s="492"/>
      <c r="BG1" s="492"/>
      <c r="BH1" s="492"/>
      <c r="BI1" s="492"/>
      <c r="BJ1" s="493"/>
      <c r="BN1" s="474" t="s">
        <v>150</v>
      </c>
      <c r="BO1" s="475"/>
      <c r="BP1" s="475"/>
      <c r="BQ1" s="475"/>
      <c r="BR1" s="476"/>
      <c r="BU1" s="477" t="s">
        <v>151</v>
      </c>
      <c r="BV1" s="478"/>
      <c r="BW1" s="478"/>
      <c r="BX1" s="478"/>
      <c r="BY1" s="479"/>
    </row>
    <row r="2" spans="1:85" ht="15" customHeight="1" thickBot="1">
      <c r="A2" s="537">
        <f ca="1">NOW()</f>
        <v>45069.473930092594</v>
      </c>
      <c r="B2" s="538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3"/>
      <c r="U2" s="321"/>
      <c r="V2" s="319"/>
      <c r="W2" s="319"/>
      <c r="X2" s="319"/>
      <c r="Y2" s="319"/>
      <c r="Z2" s="319"/>
      <c r="AA2" s="319"/>
      <c r="AB2" s="512"/>
      <c r="AC2" s="512"/>
      <c r="AD2" s="512"/>
      <c r="AE2" s="512"/>
      <c r="AF2" s="512"/>
      <c r="AG2" s="512"/>
      <c r="AH2" s="512"/>
      <c r="AI2" s="319"/>
      <c r="AJ2" s="494"/>
      <c r="AK2" s="494"/>
      <c r="AL2" s="494"/>
      <c r="AM2" s="494"/>
      <c r="AN2" s="494"/>
      <c r="AO2" s="495"/>
      <c r="AP2" s="319"/>
      <c r="AQ2" s="319"/>
      <c r="AR2" s="319"/>
      <c r="AS2" s="319"/>
      <c r="AT2" s="319"/>
      <c r="AU2" s="319"/>
      <c r="AV2" s="319"/>
      <c r="AW2" s="512"/>
      <c r="AX2" s="512"/>
      <c r="AY2" s="512"/>
      <c r="AZ2" s="512"/>
      <c r="BA2" s="512"/>
      <c r="BB2" s="512"/>
      <c r="BC2" s="512"/>
      <c r="BD2" s="319"/>
      <c r="BE2" s="494"/>
      <c r="BF2" s="494"/>
      <c r="BG2" s="494"/>
      <c r="BH2" s="494"/>
      <c r="BI2" s="494"/>
      <c r="BJ2" s="495"/>
      <c r="BL2" s="303">
        <v>-4</v>
      </c>
      <c r="BM2" s="303">
        <v>24</v>
      </c>
      <c r="BN2" s="206" t="s">
        <v>30</v>
      </c>
      <c r="BO2" s="207" t="s">
        <v>52</v>
      </c>
      <c r="BP2" s="341" t="s">
        <v>153</v>
      </c>
      <c r="BQ2" s="341" t="s">
        <v>945</v>
      </c>
      <c r="BR2" s="340" t="s">
        <v>946</v>
      </c>
      <c r="BS2" s="303">
        <v>-4</v>
      </c>
      <c r="BT2" s="303">
        <v>24</v>
      </c>
      <c r="BU2" s="206" t="s">
        <v>30</v>
      </c>
      <c r="BV2" s="207" t="s">
        <v>52</v>
      </c>
      <c r="BW2" s="341" t="s">
        <v>153</v>
      </c>
      <c r="BX2" s="339" t="s">
        <v>945</v>
      </c>
      <c r="BY2" s="345" t="s">
        <v>946</v>
      </c>
      <c r="CB2" s="545" t="s">
        <v>150</v>
      </c>
      <c r="CC2" s="545"/>
      <c r="CD2" s="545"/>
      <c r="CE2" s="546" t="s">
        <v>151</v>
      </c>
      <c r="CF2" s="546"/>
      <c r="CG2" s="546"/>
    </row>
    <row r="3" spans="1:85" ht="15.75" customHeight="1" thickBot="1">
      <c r="A3" s="539"/>
      <c r="B3" s="540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  <c r="S3" s="514"/>
      <c r="T3" s="515"/>
      <c r="U3" s="322"/>
      <c r="V3" s="320"/>
      <c r="W3" s="320"/>
      <c r="X3" s="320"/>
      <c r="Y3" s="320"/>
      <c r="Z3" s="320"/>
      <c r="AA3" s="320"/>
      <c r="AB3" s="514"/>
      <c r="AC3" s="514"/>
      <c r="AD3" s="514"/>
      <c r="AE3" s="514"/>
      <c r="AF3" s="514"/>
      <c r="AG3" s="514"/>
      <c r="AH3" s="514"/>
      <c r="AI3" s="320"/>
      <c r="AJ3" s="496"/>
      <c r="AK3" s="496"/>
      <c r="AL3" s="496"/>
      <c r="AM3" s="496"/>
      <c r="AN3" s="496"/>
      <c r="AO3" s="497"/>
      <c r="AP3" s="320"/>
      <c r="AQ3" s="320"/>
      <c r="AR3" s="320"/>
      <c r="AS3" s="320"/>
      <c r="AT3" s="320"/>
      <c r="AU3" s="320"/>
      <c r="AV3" s="320"/>
      <c r="AW3" s="514"/>
      <c r="AX3" s="514"/>
      <c r="AY3" s="514"/>
      <c r="AZ3" s="514"/>
      <c r="BA3" s="514"/>
      <c r="BB3" s="514"/>
      <c r="BC3" s="514"/>
      <c r="BD3" s="320"/>
      <c r="BE3" s="496"/>
      <c r="BF3" s="496"/>
      <c r="BG3" s="496"/>
      <c r="BH3" s="496"/>
      <c r="BI3" s="496"/>
      <c r="BJ3" s="497"/>
      <c r="BM3" s="305">
        <f>COUNTIFS(BQ3:BQ192,"&gt;="&amp;BS2,BQ3:BQ192,"&lt;="&amp;BT2)</f>
        <v>147</v>
      </c>
      <c r="BN3" s="211">
        <v>0</v>
      </c>
      <c r="BO3" s="212">
        <v>0</v>
      </c>
      <c r="BP3" s="218">
        <v>0</v>
      </c>
      <c r="BQ3" s="218">
        <v>-12</v>
      </c>
      <c r="BR3" s="338">
        <v>0</v>
      </c>
      <c r="BT3" s="304">
        <f>COUNTIFS(BX3:BX192,"&gt;="&amp;BS2,BX3:BX192,"&lt;="&amp;BT2)</f>
        <v>37</v>
      </c>
      <c r="BU3" s="342">
        <v>0</v>
      </c>
      <c r="BV3" s="343">
        <v>0</v>
      </c>
      <c r="BW3" s="344">
        <v>0</v>
      </c>
      <c r="BX3" s="362">
        <v>-76</v>
      </c>
      <c r="BY3" s="362">
        <v>0</v>
      </c>
      <c r="CA3" s="276">
        <v>1</v>
      </c>
      <c r="CB3" s="276">
        <f>$BL$2</f>
        <v>-4</v>
      </c>
      <c r="CC3" s="276">
        <f>$BM$2</f>
        <v>24</v>
      </c>
      <c r="CD3" s="276">
        <f>$BM$2-14</f>
        <v>10</v>
      </c>
      <c r="CE3" s="276">
        <f>$BS$2</f>
        <v>-4</v>
      </c>
      <c r="CF3" s="276">
        <f>$BT$2</f>
        <v>24</v>
      </c>
      <c r="CG3" s="276">
        <f>$BT$2-14</f>
        <v>10</v>
      </c>
    </row>
    <row r="4" spans="1:85" ht="15.75">
      <c r="A4" s="531" t="s">
        <v>939</v>
      </c>
      <c r="B4" s="532"/>
      <c r="C4" s="286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8"/>
      <c r="Q4" s="288"/>
      <c r="R4" s="288"/>
      <c r="S4" s="288"/>
      <c r="T4" s="281"/>
      <c r="U4" s="282"/>
      <c r="V4" s="290"/>
      <c r="W4" s="290"/>
      <c r="X4" s="290"/>
      <c r="Y4" s="290"/>
      <c r="Z4" s="290"/>
      <c r="AA4" s="289"/>
      <c r="AB4" s="289"/>
      <c r="AC4" s="289"/>
      <c r="AD4" s="289"/>
      <c r="AE4" s="289"/>
      <c r="AF4" s="289"/>
      <c r="AG4" s="289"/>
      <c r="AH4" s="289"/>
      <c r="AI4" s="291"/>
      <c r="AJ4" s="290"/>
      <c r="AK4" s="291"/>
      <c r="AL4" s="290"/>
      <c r="AM4" s="498" t="s">
        <v>940</v>
      </c>
      <c r="AN4" s="498"/>
      <c r="AO4" s="499"/>
      <c r="AP4" s="293"/>
      <c r="AQ4" s="293"/>
      <c r="AR4" s="293"/>
      <c r="AS4" s="293"/>
      <c r="AT4" s="293"/>
      <c r="AU4" s="294"/>
      <c r="AV4" s="294"/>
      <c r="AW4" s="294"/>
      <c r="AX4" s="294"/>
      <c r="AY4" s="294"/>
      <c r="AZ4" s="294"/>
      <c r="BA4" s="294"/>
      <c r="BB4" s="294"/>
      <c r="BC4" s="295"/>
      <c r="BD4" s="295"/>
      <c r="BE4" s="295"/>
      <c r="BF4" s="295"/>
      <c r="BG4" s="295"/>
      <c r="BH4" s="498" t="s">
        <v>940</v>
      </c>
      <c r="BI4" s="498"/>
      <c r="BJ4" s="499"/>
      <c r="BN4" s="213">
        <v>0</v>
      </c>
      <c r="BO4" s="209">
        <v>0</v>
      </c>
      <c r="BP4" s="205">
        <v>0</v>
      </c>
      <c r="BQ4" s="205">
        <v>7</v>
      </c>
      <c r="BR4" s="302">
        <v>0</v>
      </c>
      <c r="BS4" s="139"/>
      <c r="BU4" s="213">
        <v>0</v>
      </c>
      <c r="BV4" s="209">
        <v>0</v>
      </c>
      <c r="BW4" s="205">
        <v>0</v>
      </c>
      <c r="BX4" s="363">
        <v>9</v>
      </c>
      <c r="BY4" s="363">
        <v>0</v>
      </c>
      <c r="CA4" s="276">
        <v>2</v>
      </c>
      <c r="CB4" s="276">
        <f t="shared" ref="CB4:CB67" si="0">$BL$2</f>
        <v>-4</v>
      </c>
      <c r="CC4" s="276">
        <f t="shared" ref="CC4:CC67" si="1">$BM$2</f>
        <v>24</v>
      </c>
      <c r="CD4" s="276">
        <f t="shared" ref="CD4:CD67" si="2">$BM$2-14</f>
        <v>10</v>
      </c>
      <c r="CE4" s="276">
        <f t="shared" ref="CE4:CE67" si="3">$BS$2</f>
        <v>-4</v>
      </c>
      <c r="CF4" s="276">
        <f t="shared" ref="CF4:CF67" si="4">$BT$2</f>
        <v>24</v>
      </c>
      <c r="CG4" s="276">
        <f t="shared" ref="CG4:CG67" si="5">$BT$2-14</f>
        <v>10</v>
      </c>
    </row>
    <row r="5" spans="1:85" ht="15" customHeight="1">
      <c r="A5" s="533"/>
      <c r="B5" s="534"/>
      <c r="C5" s="282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83"/>
      <c r="U5" s="282"/>
      <c r="V5" s="290"/>
      <c r="W5" s="290"/>
      <c r="X5" s="290"/>
      <c r="Y5" s="290"/>
      <c r="Z5" s="290"/>
      <c r="AA5" s="289"/>
      <c r="AB5" s="289"/>
      <c r="AC5" s="289"/>
      <c r="AD5" s="289"/>
      <c r="AE5" s="289"/>
      <c r="AF5" s="289"/>
      <c r="AG5" s="289"/>
      <c r="AH5" s="289"/>
      <c r="AI5" s="290"/>
      <c r="AJ5" s="291"/>
      <c r="AK5" s="291"/>
      <c r="AL5" s="291"/>
      <c r="AM5" s="500"/>
      <c r="AN5" s="500"/>
      <c r="AO5" s="501"/>
      <c r="AP5" s="297"/>
      <c r="AQ5" s="297"/>
      <c r="AR5" s="297"/>
      <c r="AS5" s="297"/>
      <c r="AT5" s="297"/>
      <c r="AU5" s="294"/>
      <c r="AV5" s="294"/>
      <c r="AW5" s="294"/>
      <c r="AX5" s="294"/>
      <c r="AY5" s="294"/>
      <c r="AZ5" s="294"/>
      <c r="BA5" s="294"/>
      <c r="BB5" s="294"/>
      <c r="BC5" s="297"/>
      <c r="BD5" s="297"/>
      <c r="BE5" s="297"/>
      <c r="BF5" s="297"/>
      <c r="BG5" s="297"/>
      <c r="BH5" s="500"/>
      <c r="BI5" s="500"/>
      <c r="BJ5" s="501"/>
      <c r="BN5" s="213">
        <v>0</v>
      </c>
      <c r="BO5" s="209">
        <v>0</v>
      </c>
      <c r="BP5" s="205">
        <v>0</v>
      </c>
      <c r="BQ5" s="205">
        <v>-21</v>
      </c>
      <c r="BR5" s="302">
        <v>0</v>
      </c>
      <c r="BS5" s="139"/>
      <c r="BU5" s="213">
        <v>0</v>
      </c>
      <c r="BV5" s="209">
        <v>0</v>
      </c>
      <c r="BW5" s="205">
        <v>0</v>
      </c>
      <c r="BX5" s="302">
        <v>21</v>
      </c>
      <c r="BY5" s="302">
        <v>0</v>
      </c>
      <c r="CA5" s="276">
        <v>3</v>
      </c>
      <c r="CB5" s="276">
        <f t="shared" si="0"/>
        <v>-4</v>
      </c>
      <c r="CC5" s="276">
        <f t="shared" si="1"/>
        <v>24</v>
      </c>
      <c r="CD5" s="276">
        <f t="shared" si="2"/>
        <v>10</v>
      </c>
      <c r="CE5" s="276">
        <f t="shared" si="3"/>
        <v>-4</v>
      </c>
      <c r="CF5" s="276">
        <f t="shared" si="4"/>
        <v>24</v>
      </c>
      <c r="CG5" s="276">
        <f t="shared" si="5"/>
        <v>10</v>
      </c>
    </row>
    <row r="6" spans="1:85">
      <c r="A6" s="533"/>
      <c r="B6" s="534"/>
      <c r="C6" s="282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83"/>
      <c r="U6" s="282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500">
        <v>0</v>
      </c>
      <c r="AN6" s="500"/>
      <c r="AO6" s="501"/>
      <c r="AP6" s="297"/>
      <c r="AQ6" s="297"/>
      <c r="AR6" s="297"/>
      <c r="AS6" s="297"/>
      <c r="AT6" s="297"/>
      <c r="AU6" s="297"/>
      <c r="AV6" s="297"/>
      <c r="AW6" s="297"/>
      <c r="AX6" s="297"/>
      <c r="AY6" s="297"/>
      <c r="AZ6" s="297"/>
      <c r="BA6" s="297"/>
      <c r="BB6" s="297"/>
      <c r="BC6" s="297"/>
      <c r="BD6" s="297"/>
      <c r="BE6" s="297"/>
      <c r="BF6" s="297"/>
      <c r="BG6" s="297"/>
      <c r="BH6" s="500">
        <v>0</v>
      </c>
      <c r="BI6" s="500"/>
      <c r="BJ6" s="501"/>
      <c r="BN6" s="213">
        <v>0</v>
      </c>
      <c r="BO6" s="209">
        <v>0</v>
      </c>
      <c r="BP6" s="205">
        <v>0</v>
      </c>
      <c r="BQ6" s="205">
        <v>9</v>
      </c>
      <c r="BR6" s="302">
        <v>0</v>
      </c>
      <c r="BS6" s="139"/>
      <c r="BU6" s="213">
        <v>0</v>
      </c>
      <c r="BV6" s="209">
        <v>0</v>
      </c>
      <c r="BW6" s="205">
        <v>0</v>
      </c>
      <c r="BX6" s="302">
        <v>18</v>
      </c>
      <c r="BY6" s="302">
        <v>0</v>
      </c>
      <c r="CA6" s="276">
        <v>4</v>
      </c>
      <c r="CB6" s="276">
        <f t="shared" si="0"/>
        <v>-4</v>
      </c>
      <c r="CC6" s="276">
        <f t="shared" si="1"/>
        <v>24</v>
      </c>
      <c r="CD6" s="276">
        <f t="shared" si="2"/>
        <v>10</v>
      </c>
      <c r="CE6" s="276">
        <f t="shared" si="3"/>
        <v>-4</v>
      </c>
      <c r="CF6" s="276">
        <f t="shared" si="4"/>
        <v>24</v>
      </c>
      <c r="CG6" s="276">
        <f t="shared" si="5"/>
        <v>10</v>
      </c>
    </row>
    <row r="7" spans="1:85">
      <c r="A7" s="533"/>
      <c r="B7" s="534"/>
      <c r="C7" s="282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83"/>
      <c r="U7" s="282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500"/>
      <c r="AN7" s="500"/>
      <c r="AO7" s="501"/>
      <c r="AP7" s="297"/>
      <c r="AQ7" s="297"/>
      <c r="AR7" s="297"/>
      <c r="AS7" s="297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7"/>
      <c r="BE7" s="297"/>
      <c r="BF7" s="297"/>
      <c r="BG7" s="297"/>
      <c r="BH7" s="500"/>
      <c r="BI7" s="500"/>
      <c r="BJ7" s="501"/>
      <c r="BN7" s="213">
        <v>0</v>
      </c>
      <c r="BO7" s="209">
        <v>0</v>
      </c>
      <c r="BP7" s="205">
        <v>0</v>
      </c>
      <c r="BQ7" s="205">
        <v>2</v>
      </c>
      <c r="BR7" s="302">
        <v>0</v>
      </c>
      <c r="BS7" s="139"/>
      <c r="BU7" s="213">
        <v>0</v>
      </c>
      <c r="BV7" s="209">
        <v>0</v>
      </c>
      <c r="BW7" s="205">
        <v>0</v>
      </c>
      <c r="BX7" s="302">
        <v>17</v>
      </c>
      <c r="BY7" s="302">
        <v>0</v>
      </c>
      <c r="CA7" s="276">
        <v>5</v>
      </c>
      <c r="CB7" s="276">
        <f t="shared" si="0"/>
        <v>-4</v>
      </c>
      <c r="CC7" s="276">
        <f t="shared" si="1"/>
        <v>24</v>
      </c>
      <c r="CD7" s="276">
        <f t="shared" si="2"/>
        <v>10</v>
      </c>
      <c r="CE7" s="276">
        <f t="shared" si="3"/>
        <v>-4</v>
      </c>
      <c r="CF7" s="276">
        <f t="shared" si="4"/>
        <v>24</v>
      </c>
      <c r="CG7" s="276">
        <f t="shared" si="5"/>
        <v>10</v>
      </c>
    </row>
    <row r="8" spans="1:85" ht="15" customHeight="1">
      <c r="A8" s="533"/>
      <c r="B8" s="534"/>
      <c r="C8" s="282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83"/>
      <c r="U8" s="282"/>
      <c r="V8" s="290"/>
      <c r="W8" s="290"/>
      <c r="X8" s="290"/>
      <c r="Y8" s="290"/>
      <c r="Z8" s="290"/>
      <c r="AA8" s="290"/>
      <c r="AB8" s="290"/>
      <c r="AC8" s="290"/>
      <c r="AD8" s="290"/>
      <c r="AE8" s="290"/>
      <c r="AF8" s="290"/>
      <c r="AG8" s="290"/>
      <c r="AH8" s="290"/>
      <c r="AI8" s="290"/>
      <c r="AJ8" s="290"/>
      <c r="AK8" s="290"/>
      <c r="AL8" s="290"/>
      <c r="AM8" s="297"/>
      <c r="AN8" s="297"/>
      <c r="AO8" s="298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297"/>
      <c r="BI8" s="297"/>
      <c r="BJ8" s="298"/>
      <c r="BN8" s="213">
        <v>0</v>
      </c>
      <c r="BO8" s="209">
        <v>0</v>
      </c>
      <c r="BP8" s="205">
        <v>0</v>
      </c>
      <c r="BQ8" s="205">
        <v>5</v>
      </c>
      <c r="BR8" s="302">
        <v>0</v>
      </c>
      <c r="BS8" s="139"/>
      <c r="BU8" s="213">
        <v>0</v>
      </c>
      <c r="BV8" s="209">
        <v>0</v>
      </c>
      <c r="BW8" s="205">
        <v>0</v>
      </c>
      <c r="BX8" s="302">
        <v>7</v>
      </c>
      <c r="BY8" s="302">
        <v>0</v>
      </c>
      <c r="CA8" s="276">
        <v>6</v>
      </c>
      <c r="CB8" s="276">
        <f t="shared" si="0"/>
        <v>-4</v>
      </c>
      <c r="CC8" s="276">
        <f t="shared" si="1"/>
        <v>24</v>
      </c>
      <c r="CD8" s="276">
        <f t="shared" si="2"/>
        <v>10</v>
      </c>
      <c r="CE8" s="276">
        <f t="shared" si="3"/>
        <v>-4</v>
      </c>
      <c r="CF8" s="276">
        <f t="shared" si="4"/>
        <v>24</v>
      </c>
      <c r="CG8" s="276">
        <f t="shared" si="5"/>
        <v>10</v>
      </c>
    </row>
    <row r="9" spans="1:85" ht="15" customHeight="1">
      <c r="A9" s="533"/>
      <c r="B9" s="534"/>
      <c r="C9" s="282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83"/>
      <c r="U9" s="282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7"/>
      <c r="AN9" s="297"/>
      <c r="AO9" s="298"/>
      <c r="AP9" s="297"/>
      <c r="AQ9" s="297"/>
      <c r="AR9" s="297"/>
      <c r="AS9" s="297"/>
      <c r="AT9" s="297"/>
      <c r="AU9" s="297"/>
      <c r="AV9" s="297"/>
      <c r="AW9" s="297"/>
      <c r="AX9" s="297"/>
      <c r="AY9" s="297"/>
      <c r="AZ9" s="297"/>
      <c r="BA9" s="297"/>
      <c r="BB9" s="297"/>
      <c r="BC9" s="297"/>
      <c r="BD9" s="297"/>
      <c r="BE9" s="297"/>
      <c r="BF9" s="297"/>
      <c r="BG9" s="297"/>
      <c r="BH9" s="297"/>
      <c r="BI9" s="297"/>
      <c r="BJ9" s="298"/>
      <c r="BN9" s="213">
        <v>0</v>
      </c>
      <c r="BO9" s="209">
        <v>0</v>
      </c>
      <c r="BP9" s="205">
        <v>0</v>
      </c>
      <c r="BQ9" s="205">
        <v>16</v>
      </c>
      <c r="BR9" s="302">
        <v>0</v>
      </c>
      <c r="BS9" s="139"/>
      <c r="BU9" s="213">
        <v>0</v>
      </c>
      <c r="BV9" s="209">
        <v>0</v>
      </c>
      <c r="BW9" s="205">
        <v>0</v>
      </c>
      <c r="BX9" s="302">
        <v>21</v>
      </c>
      <c r="BY9" s="302">
        <v>0</v>
      </c>
      <c r="CA9" s="276">
        <v>7</v>
      </c>
      <c r="CB9" s="276">
        <f t="shared" si="0"/>
        <v>-4</v>
      </c>
      <c r="CC9" s="276">
        <f t="shared" si="1"/>
        <v>24</v>
      </c>
      <c r="CD9" s="276">
        <f t="shared" si="2"/>
        <v>10</v>
      </c>
      <c r="CE9" s="276">
        <f t="shared" si="3"/>
        <v>-4</v>
      </c>
      <c r="CF9" s="276">
        <f t="shared" si="4"/>
        <v>24</v>
      </c>
      <c r="CG9" s="276">
        <f t="shared" si="5"/>
        <v>10</v>
      </c>
    </row>
    <row r="10" spans="1:85" ht="15" customHeight="1">
      <c r="A10" s="533"/>
      <c r="B10" s="534"/>
      <c r="C10" s="282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0"/>
      <c r="T10" s="283"/>
      <c r="U10" s="282"/>
      <c r="V10" s="290"/>
      <c r="W10" s="290"/>
      <c r="X10" s="290"/>
      <c r="Y10" s="290"/>
      <c r="Z10" s="290"/>
      <c r="AA10" s="290"/>
      <c r="AB10" s="290"/>
      <c r="AC10" s="290"/>
      <c r="AD10" s="290"/>
      <c r="AE10" s="290"/>
      <c r="AF10" s="290"/>
      <c r="AG10" s="290"/>
      <c r="AH10" s="290"/>
      <c r="AI10" s="290"/>
      <c r="AJ10" s="290"/>
      <c r="AK10" s="290"/>
      <c r="AL10" s="290"/>
      <c r="AM10" s="480" t="s">
        <v>941</v>
      </c>
      <c r="AN10" s="480"/>
      <c r="AO10" s="481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480" t="s">
        <v>941</v>
      </c>
      <c r="BI10" s="480"/>
      <c r="BJ10" s="481"/>
      <c r="BN10" s="213">
        <v>0</v>
      </c>
      <c r="BO10" s="209">
        <v>0</v>
      </c>
      <c r="BP10" s="205">
        <v>0</v>
      </c>
      <c r="BQ10" s="205">
        <v>16</v>
      </c>
      <c r="BR10" s="302">
        <v>0</v>
      </c>
      <c r="BS10" s="139"/>
      <c r="BU10" s="213">
        <v>0</v>
      </c>
      <c r="BV10" s="209">
        <v>0</v>
      </c>
      <c r="BW10" s="205">
        <v>0</v>
      </c>
      <c r="BX10" s="302">
        <v>-18</v>
      </c>
      <c r="BY10" s="302">
        <v>0</v>
      </c>
      <c r="CA10" s="276">
        <v>8</v>
      </c>
      <c r="CB10" s="276">
        <f t="shared" si="0"/>
        <v>-4</v>
      </c>
      <c r="CC10" s="276">
        <f t="shared" si="1"/>
        <v>24</v>
      </c>
      <c r="CD10" s="276">
        <f t="shared" si="2"/>
        <v>10</v>
      </c>
      <c r="CE10" s="276">
        <f t="shared" si="3"/>
        <v>-4</v>
      </c>
      <c r="CF10" s="276">
        <f t="shared" si="4"/>
        <v>24</v>
      </c>
      <c r="CG10" s="276">
        <f t="shared" si="5"/>
        <v>10</v>
      </c>
    </row>
    <row r="11" spans="1:85" ht="15" customHeight="1">
      <c r="A11" s="533"/>
      <c r="B11" s="534"/>
      <c r="C11" s="282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83"/>
      <c r="U11" s="282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290"/>
      <c r="AI11" s="290"/>
      <c r="AJ11" s="290"/>
      <c r="AK11" s="290"/>
      <c r="AL11" s="290"/>
      <c r="AM11" s="480"/>
      <c r="AN11" s="480"/>
      <c r="AO11" s="481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  <c r="BC11" s="297"/>
      <c r="BD11" s="297"/>
      <c r="BE11" s="297"/>
      <c r="BF11" s="297"/>
      <c r="BG11" s="297"/>
      <c r="BH11" s="480"/>
      <c r="BI11" s="480"/>
      <c r="BJ11" s="481"/>
      <c r="BN11" s="213">
        <v>0</v>
      </c>
      <c r="BO11" s="209">
        <v>0</v>
      </c>
      <c r="BP11" s="205">
        <v>0</v>
      </c>
      <c r="BQ11" s="205">
        <v>9</v>
      </c>
      <c r="BR11" s="302">
        <v>0</v>
      </c>
      <c r="BS11" s="139"/>
      <c r="BU11" s="213">
        <v>0</v>
      </c>
      <c r="BV11" s="209">
        <v>0</v>
      </c>
      <c r="BW11" s="205">
        <v>0</v>
      </c>
      <c r="BX11" s="302">
        <v>6</v>
      </c>
      <c r="BY11" s="302">
        <v>0</v>
      </c>
      <c r="CA11" s="276">
        <v>9</v>
      </c>
      <c r="CB11" s="276">
        <f t="shared" si="0"/>
        <v>-4</v>
      </c>
      <c r="CC11" s="276">
        <f t="shared" si="1"/>
        <v>24</v>
      </c>
      <c r="CD11" s="276">
        <f t="shared" si="2"/>
        <v>10</v>
      </c>
      <c r="CE11" s="276">
        <f t="shared" si="3"/>
        <v>-4</v>
      </c>
      <c r="CF11" s="276">
        <f t="shared" si="4"/>
        <v>24</v>
      </c>
      <c r="CG11" s="276">
        <f t="shared" si="5"/>
        <v>10</v>
      </c>
    </row>
    <row r="12" spans="1:85" ht="15" customHeight="1">
      <c r="A12" s="533"/>
      <c r="B12" s="534"/>
      <c r="C12" s="282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83"/>
      <c r="U12" s="282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290"/>
      <c r="AI12" s="290"/>
      <c r="AJ12" s="290"/>
      <c r="AK12" s="290"/>
      <c r="AL12" s="290"/>
      <c r="AM12" s="482">
        <f>SUM(BP3:BP192)</f>
        <v>0</v>
      </c>
      <c r="AN12" s="482"/>
      <c r="AO12" s="483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482">
        <f>SUM(BW3:BW192)</f>
        <v>0</v>
      </c>
      <c r="BI12" s="482"/>
      <c r="BJ12" s="483"/>
      <c r="BN12" s="213">
        <v>0</v>
      </c>
      <c r="BO12" s="209">
        <v>0</v>
      </c>
      <c r="BP12" s="205">
        <v>0</v>
      </c>
      <c r="BQ12" s="205">
        <v>18</v>
      </c>
      <c r="BR12" s="302">
        <v>0</v>
      </c>
      <c r="BS12" s="139"/>
      <c r="BU12" s="213">
        <v>0</v>
      </c>
      <c r="BV12" s="209">
        <v>0</v>
      </c>
      <c r="BW12" s="205">
        <v>0</v>
      </c>
      <c r="BX12" s="302">
        <v>16</v>
      </c>
      <c r="BY12" s="302">
        <v>0</v>
      </c>
      <c r="CA12" s="276">
        <v>10</v>
      </c>
      <c r="CB12" s="276">
        <f t="shared" si="0"/>
        <v>-4</v>
      </c>
      <c r="CC12" s="276">
        <f t="shared" si="1"/>
        <v>24</v>
      </c>
      <c r="CD12" s="276">
        <f t="shared" si="2"/>
        <v>10</v>
      </c>
      <c r="CE12" s="276">
        <f t="shared" si="3"/>
        <v>-4</v>
      </c>
      <c r="CF12" s="276">
        <f t="shared" si="4"/>
        <v>24</v>
      </c>
      <c r="CG12" s="276">
        <f t="shared" si="5"/>
        <v>10</v>
      </c>
    </row>
    <row r="13" spans="1:85">
      <c r="A13" s="533"/>
      <c r="B13" s="534"/>
      <c r="C13" s="282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83"/>
      <c r="U13" s="282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290"/>
      <c r="AI13" s="290"/>
      <c r="AJ13" s="290"/>
      <c r="AK13" s="290"/>
      <c r="AL13" s="290"/>
      <c r="AM13" s="482"/>
      <c r="AN13" s="482"/>
      <c r="AO13" s="483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  <c r="BA13" s="297"/>
      <c r="BB13" s="297"/>
      <c r="BC13" s="297"/>
      <c r="BD13" s="297"/>
      <c r="BE13" s="297"/>
      <c r="BF13" s="297"/>
      <c r="BG13" s="297"/>
      <c r="BH13" s="482"/>
      <c r="BI13" s="482"/>
      <c r="BJ13" s="483"/>
      <c r="BN13" s="213">
        <v>0</v>
      </c>
      <c r="BO13" s="209">
        <v>0</v>
      </c>
      <c r="BP13" s="205">
        <v>0</v>
      </c>
      <c r="BQ13" s="205">
        <v>9</v>
      </c>
      <c r="BR13" s="302">
        <v>0</v>
      </c>
      <c r="BS13" s="139"/>
      <c r="BU13" s="213">
        <v>0</v>
      </c>
      <c r="BV13" s="209">
        <v>0</v>
      </c>
      <c r="BW13" s="205">
        <v>0</v>
      </c>
      <c r="BX13" s="302">
        <v>0</v>
      </c>
      <c r="BY13" s="302">
        <v>0</v>
      </c>
      <c r="CA13" s="276">
        <v>11</v>
      </c>
      <c r="CB13" s="276">
        <f t="shared" si="0"/>
        <v>-4</v>
      </c>
      <c r="CC13" s="276">
        <f t="shared" si="1"/>
        <v>24</v>
      </c>
      <c r="CD13" s="276">
        <f t="shared" si="2"/>
        <v>10</v>
      </c>
      <c r="CE13" s="276">
        <f t="shared" si="3"/>
        <v>-4</v>
      </c>
      <c r="CF13" s="276">
        <f t="shared" si="4"/>
        <v>24</v>
      </c>
      <c r="CG13" s="276">
        <f t="shared" si="5"/>
        <v>10</v>
      </c>
    </row>
    <row r="14" spans="1:85">
      <c r="A14" s="533"/>
      <c r="B14" s="534"/>
      <c r="C14" s="282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83"/>
      <c r="U14" s="282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290"/>
      <c r="AI14" s="290"/>
      <c r="AJ14" s="290"/>
      <c r="AK14" s="290"/>
      <c r="AL14" s="290"/>
      <c r="AM14" s="482"/>
      <c r="AN14" s="482"/>
      <c r="AO14" s="483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482"/>
      <c r="BI14" s="482"/>
      <c r="BJ14" s="483"/>
      <c r="BN14" s="213">
        <v>0</v>
      </c>
      <c r="BO14" s="209">
        <v>0</v>
      </c>
      <c r="BP14" s="205">
        <v>0</v>
      </c>
      <c r="BQ14" s="205">
        <v>18</v>
      </c>
      <c r="BR14" s="302">
        <v>0</v>
      </c>
      <c r="BS14" s="139"/>
      <c r="BU14" s="213">
        <v>0</v>
      </c>
      <c r="BV14" s="209">
        <v>0</v>
      </c>
      <c r="BW14" s="205">
        <v>0</v>
      </c>
      <c r="BX14" s="302">
        <v>20</v>
      </c>
      <c r="BY14" s="302">
        <v>0</v>
      </c>
      <c r="CA14" s="276">
        <v>12</v>
      </c>
      <c r="CB14" s="276">
        <f t="shared" si="0"/>
        <v>-4</v>
      </c>
      <c r="CC14" s="276">
        <f t="shared" si="1"/>
        <v>24</v>
      </c>
      <c r="CD14" s="276">
        <f t="shared" si="2"/>
        <v>10</v>
      </c>
      <c r="CE14" s="276">
        <f t="shared" si="3"/>
        <v>-4</v>
      </c>
      <c r="CF14" s="276">
        <f t="shared" si="4"/>
        <v>24</v>
      </c>
      <c r="CG14" s="276">
        <f t="shared" si="5"/>
        <v>10</v>
      </c>
    </row>
    <row r="15" spans="1:85">
      <c r="A15" s="533"/>
      <c r="B15" s="534"/>
      <c r="C15" s="282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83"/>
      <c r="U15" s="282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290"/>
      <c r="AI15" s="290"/>
      <c r="AJ15" s="290"/>
      <c r="AK15" s="290"/>
      <c r="AL15" s="290"/>
      <c r="AM15" s="297"/>
      <c r="AN15" s="297"/>
      <c r="AO15" s="298"/>
      <c r="AP15" s="297"/>
      <c r="AQ15" s="297"/>
      <c r="AR15" s="297"/>
      <c r="AS15" s="297"/>
      <c r="AT15" s="297"/>
      <c r="AU15" s="297"/>
      <c r="AV15" s="297"/>
      <c r="AW15" s="297"/>
      <c r="AX15" s="297"/>
      <c r="AY15" s="297"/>
      <c r="AZ15" s="297"/>
      <c r="BA15" s="297"/>
      <c r="BB15" s="297"/>
      <c r="BC15" s="297"/>
      <c r="BD15" s="297"/>
      <c r="BE15" s="297"/>
      <c r="BF15" s="297"/>
      <c r="BG15" s="297"/>
      <c r="BH15" s="297"/>
      <c r="BI15" s="297"/>
      <c r="BJ15" s="298"/>
      <c r="BN15" s="213">
        <v>0</v>
      </c>
      <c r="BO15" s="209">
        <v>0</v>
      </c>
      <c r="BP15" s="205">
        <v>0</v>
      </c>
      <c r="BQ15" s="205">
        <v>16</v>
      </c>
      <c r="BR15" s="302">
        <v>0</v>
      </c>
      <c r="BS15" s="139"/>
      <c r="BU15" s="213">
        <v>0</v>
      </c>
      <c r="BV15" s="209">
        <v>0</v>
      </c>
      <c r="BW15" s="205">
        <v>0</v>
      </c>
      <c r="BX15" s="302">
        <v>5</v>
      </c>
      <c r="BY15" s="302">
        <v>0</v>
      </c>
      <c r="CA15" s="276">
        <v>13</v>
      </c>
      <c r="CB15" s="276">
        <f t="shared" si="0"/>
        <v>-4</v>
      </c>
      <c r="CC15" s="276">
        <f t="shared" si="1"/>
        <v>24</v>
      </c>
      <c r="CD15" s="276">
        <f t="shared" si="2"/>
        <v>10</v>
      </c>
      <c r="CE15" s="276">
        <f t="shared" si="3"/>
        <v>-4</v>
      </c>
      <c r="CF15" s="276">
        <f t="shared" si="4"/>
        <v>24</v>
      </c>
      <c r="CG15" s="276">
        <f t="shared" si="5"/>
        <v>10</v>
      </c>
    </row>
    <row r="16" spans="1:85">
      <c r="A16" s="533"/>
      <c r="B16" s="534"/>
      <c r="C16" s="282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83"/>
      <c r="U16" s="282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290"/>
      <c r="AI16" s="290"/>
      <c r="AJ16" s="290"/>
      <c r="AK16" s="290"/>
      <c r="AL16" s="290"/>
      <c r="AM16" s="297"/>
      <c r="AN16" s="297"/>
      <c r="AO16" s="298"/>
      <c r="AP16" s="297"/>
      <c r="AQ16" s="297"/>
      <c r="AR16" s="297"/>
      <c r="AS16" s="297"/>
      <c r="AT16" s="297"/>
      <c r="AU16" s="297"/>
      <c r="AV16" s="297"/>
      <c r="AW16" s="297"/>
      <c r="AX16" s="297"/>
      <c r="AY16" s="297"/>
      <c r="AZ16" s="297"/>
      <c r="BA16" s="297"/>
      <c r="BB16" s="297"/>
      <c r="BC16" s="297"/>
      <c r="BD16" s="297"/>
      <c r="BE16" s="297"/>
      <c r="BF16" s="297"/>
      <c r="BG16" s="297"/>
      <c r="BH16" s="297"/>
      <c r="BI16" s="297"/>
      <c r="BJ16" s="298"/>
      <c r="BN16" s="213">
        <v>0</v>
      </c>
      <c r="BO16" s="209">
        <v>0</v>
      </c>
      <c r="BP16" s="205">
        <v>0</v>
      </c>
      <c r="BQ16" s="205">
        <v>23</v>
      </c>
      <c r="BR16" s="302">
        <v>0</v>
      </c>
      <c r="BS16" s="139"/>
      <c r="BU16" s="213">
        <v>0</v>
      </c>
      <c r="BV16" s="209">
        <v>0</v>
      </c>
      <c r="BW16" s="205">
        <v>0</v>
      </c>
      <c r="BX16" s="302">
        <v>18</v>
      </c>
      <c r="BY16" s="302">
        <v>0</v>
      </c>
      <c r="CA16" s="276">
        <v>14</v>
      </c>
      <c r="CB16" s="276">
        <f t="shared" si="0"/>
        <v>-4</v>
      </c>
      <c r="CC16" s="276">
        <f t="shared" si="1"/>
        <v>24</v>
      </c>
      <c r="CD16" s="276">
        <f t="shared" si="2"/>
        <v>10</v>
      </c>
      <c r="CE16" s="276">
        <f t="shared" si="3"/>
        <v>-4</v>
      </c>
      <c r="CF16" s="276">
        <f t="shared" si="4"/>
        <v>24</v>
      </c>
      <c r="CG16" s="276">
        <f t="shared" si="5"/>
        <v>10</v>
      </c>
    </row>
    <row r="17" spans="1:85" ht="15.75" thickBot="1">
      <c r="A17" s="535"/>
      <c r="B17" s="536"/>
      <c r="C17" s="284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85"/>
      <c r="U17" s="284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  <c r="AG17" s="292"/>
      <c r="AH17" s="292"/>
      <c r="AI17" s="292"/>
      <c r="AJ17" s="292"/>
      <c r="AK17" s="292"/>
      <c r="AL17" s="292"/>
      <c r="AM17" s="299"/>
      <c r="AN17" s="299"/>
      <c r="AO17" s="300"/>
      <c r="AP17" s="299"/>
      <c r="AQ17" s="299"/>
      <c r="AR17" s="299"/>
      <c r="AS17" s="299"/>
      <c r="AT17" s="299"/>
      <c r="AU17" s="299"/>
      <c r="AV17" s="299"/>
      <c r="AW17" s="299"/>
      <c r="AX17" s="299"/>
      <c r="AY17" s="299"/>
      <c r="AZ17" s="299"/>
      <c r="BA17" s="299"/>
      <c r="BB17" s="299"/>
      <c r="BC17" s="299"/>
      <c r="BD17" s="299"/>
      <c r="BE17" s="299"/>
      <c r="BF17" s="299"/>
      <c r="BG17" s="299"/>
      <c r="BH17" s="299"/>
      <c r="BI17" s="299"/>
      <c r="BJ17" s="300"/>
      <c r="BN17" s="213">
        <v>0</v>
      </c>
      <c r="BO17" s="209">
        <v>0</v>
      </c>
      <c r="BP17" s="205">
        <v>0</v>
      </c>
      <c r="BQ17" s="205">
        <v>19</v>
      </c>
      <c r="BR17" s="302">
        <v>0</v>
      </c>
      <c r="BS17" s="139"/>
      <c r="BU17" s="213">
        <v>0</v>
      </c>
      <c r="BV17" s="209">
        <v>0</v>
      </c>
      <c r="BW17" s="205">
        <v>0</v>
      </c>
      <c r="BX17" s="302">
        <v>5</v>
      </c>
      <c r="BY17" s="302">
        <v>0</v>
      </c>
      <c r="CA17" s="276">
        <v>15</v>
      </c>
      <c r="CB17" s="276">
        <f t="shared" si="0"/>
        <v>-4</v>
      </c>
      <c r="CC17" s="276">
        <f t="shared" si="1"/>
        <v>24</v>
      </c>
      <c r="CD17" s="276">
        <f t="shared" si="2"/>
        <v>10</v>
      </c>
      <c r="CE17" s="276">
        <f t="shared" si="3"/>
        <v>-4</v>
      </c>
      <c r="CF17" s="276">
        <f t="shared" si="4"/>
        <v>24</v>
      </c>
      <c r="CG17" s="276">
        <f t="shared" si="5"/>
        <v>10</v>
      </c>
    </row>
    <row r="18" spans="1:85" ht="15" customHeight="1">
      <c r="A18" s="531" t="s">
        <v>141</v>
      </c>
      <c r="B18" s="532"/>
      <c r="C18" s="280"/>
      <c r="D18" s="288"/>
      <c r="E18" s="288"/>
      <c r="F18" s="288"/>
      <c r="G18" s="288"/>
      <c r="H18" s="288"/>
      <c r="I18" s="288"/>
      <c r="J18" s="288"/>
      <c r="K18" s="288"/>
      <c r="L18" s="288"/>
      <c r="M18" s="288"/>
      <c r="N18" s="288"/>
      <c r="O18" s="288"/>
      <c r="P18" s="288"/>
      <c r="Q18" s="288"/>
      <c r="R18" s="288"/>
      <c r="S18" s="288"/>
      <c r="T18" s="281"/>
      <c r="U18" s="280"/>
      <c r="V18" s="288"/>
      <c r="W18" s="288"/>
      <c r="X18" s="288"/>
      <c r="Y18" s="288"/>
      <c r="Z18" s="288"/>
      <c r="AA18" s="289"/>
      <c r="AB18" s="289"/>
      <c r="AC18" s="289"/>
      <c r="AD18" s="289"/>
      <c r="AE18" s="289"/>
      <c r="AF18" s="289"/>
      <c r="AG18" s="289"/>
      <c r="AH18" s="289"/>
      <c r="AI18" s="288"/>
      <c r="AJ18" s="288"/>
      <c r="AK18" s="288"/>
      <c r="AL18" s="288"/>
      <c r="AM18" s="498" t="s">
        <v>940</v>
      </c>
      <c r="AN18" s="498"/>
      <c r="AO18" s="499"/>
      <c r="AP18" s="301"/>
      <c r="AQ18" s="295"/>
      <c r="AR18" s="295"/>
      <c r="AS18" s="295"/>
      <c r="AT18" s="295"/>
      <c r="AU18" s="295"/>
      <c r="AV18" s="294"/>
      <c r="AW18" s="294"/>
      <c r="AX18" s="294"/>
      <c r="AY18" s="294"/>
      <c r="AZ18" s="294"/>
      <c r="BA18" s="294"/>
      <c r="BB18" s="294"/>
      <c r="BC18" s="294"/>
      <c r="BD18" s="295"/>
      <c r="BE18" s="295"/>
      <c r="BF18" s="295"/>
      <c r="BG18" s="295"/>
      <c r="BH18" s="498" t="s">
        <v>940</v>
      </c>
      <c r="BI18" s="498"/>
      <c r="BJ18" s="499"/>
      <c r="BN18" s="213">
        <v>0</v>
      </c>
      <c r="BO18" s="209">
        <v>0</v>
      </c>
      <c r="BP18" s="205">
        <v>0</v>
      </c>
      <c r="BQ18" s="205">
        <v>5</v>
      </c>
      <c r="BR18" s="302">
        <v>0</v>
      </c>
      <c r="BS18" s="139"/>
      <c r="BU18" s="213">
        <v>0</v>
      </c>
      <c r="BV18" s="209">
        <v>0</v>
      </c>
      <c r="BW18" s="205">
        <v>0</v>
      </c>
      <c r="BX18" s="302">
        <v>21</v>
      </c>
      <c r="BY18" s="302">
        <v>0</v>
      </c>
      <c r="CA18" s="276">
        <v>16</v>
      </c>
      <c r="CB18" s="276">
        <f t="shared" si="0"/>
        <v>-4</v>
      </c>
      <c r="CC18" s="276">
        <f t="shared" si="1"/>
        <v>24</v>
      </c>
      <c r="CD18" s="276">
        <f t="shared" si="2"/>
        <v>10</v>
      </c>
      <c r="CE18" s="276">
        <f t="shared" si="3"/>
        <v>-4</v>
      </c>
      <c r="CF18" s="276">
        <f t="shared" si="4"/>
        <v>24</v>
      </c>
      <c r="CG18" s="276">
        <f t="shared" si="5"/>
        <v>10</v>
      </c>
    </row>
    <row r="19" spans="1:85" ht="15" customHeight="1">
      <c r="A19" s="533"/>
      <c r="B19" s="534"/>
      <c r="C19" s="282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290"/>
      <c r="R19" s="290"/>
      <c r="S19" s="290"/>
      <c r="T19" s="283"/>
      <c r="U19" s="282"/>
      <c r="V19" s="290"/>
      <c r="W19" s="290"/>
      <c r="X19" s="290"/>
      <c r="Y19" s="290"/>
      <c r="Z19" s="290"/>
      <c r="AA19" s="289"/>
      <c r="AB19" s="289"/>
      <c r="AC19" s="289"/>
      <c r="AD19" s="289"/>
      <c r="AE19" s="289"/>
      <c r="AF19" s="289"/>
      <c r="AG19" s="289"/>
      <c r="AH19" s="289"/>
      <c r="AI19" s="290"/>
      <c r="AJ19" s="290"/>
      <c r="AK19" s="290"/>
      <c r="AL19" s="290"/>
      <c r="AM19" s="500"/>
      <c r="AN19" s="500"/>
      <c r="AO19" s="501"/>
      <c r="AP19" s="296"/>
      <c r="AQ19" s="297"/>
      <c r="AR19" s="297"/>
      <c r="AS19" s="297"/>
      <c r="AT19" s="297"/>
      <c r="AU19" s="297"/>
      <c r="AV19" s="294"/>
      <c r="AW19" s="294"/>
      <c r="AX19" s="294"/>
      <c r="AY19" s="294"/>
      <c r="AZ19" s="294"/>
      <c r="BA19" s="294"/>
      <c r="BB19" s="294"/>
      <c r="BC19" s="294"/>
      <c r="BD19" s="297"/>
      <c r="BE19" s="297"/>
      <c r="BF19" s="297"/>
      <c r="BG19" s="297"/>
      <c r="BH19" s="500"/>
      <c r="BI19" s="500"/>
      <c r="BJ19" s="501"/>
      <c r="BN19" s="213">
        <v>0</v>
      </c>
      <c r="BO19" s="209">
        <v>0</v>
      </c>
      <c r="BP19" s="205">
        <v>0</v>
      </c>
      <c r="BQ19" s="205">
        <v>21</v>
      </c>
      <c r="BR19" s="302">
        <v>0</v>
      </c>
      <c r="BS19" s="139"/>
      <c r="BU19" s="213">
        <v>0</v>
      </c>
      <c r="BV19" s="209">
        <v>0</v>
      </c>
      <c r="BW19" s="205">
        <v>0</v>
      </c>
      <c r="BX19" s="302">
        <v>16</v>
      </c>
      <c r="BY19" s="302">
        <v>0</v>
      </c>
      <c r="CA19" s="276">
        <v>17</v>
      </c>
      <c r="CB19" s="276">
        <f t="shared" si="0"/>
        <v>-4</v>
      </c>
      <c r="CC19" s="276">
        <f t="shared" si="1"/>
        <v>24</v>
      </c>
      <c r="CD19" s="276">
        <f t="shared" si="2"/>
        <v>10</v>
      </c>
      <c r="CE19" s="276">
        <f t="shared" si="3"/>
        <v>-4</v>
      </c>
      <c r="CF19" s="276">
        <f t="shared" si="4"/>
        <v>24</v>
      </c>
      <c r="CG19" s="276">
        <f t="shared" si="5"/>
        <v>10</v>
      </c>
    </row>
    <row r="20" spans="1:85" ht="15" customHeight="1">
      <c r="A20" s="533"/>
      <c r="B20" s="534"/>
      <c r="C20" s="282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  <c r="P20" s="290"/>
      <c r="Q20" s="290"/>
      <c r="R20" s="290"/>
      <c r="S20" s="290"/>
      <c r="T20" s="283"/>
      <c r="U20" s="282"/>
      <c r="V20" s="290"/>
      <c r="W20" s="290"/>
      <c r="X20" s="290"/>
      <c r="Y20" s="290"/>
      <c r="Z20" s="290"/>
      <c r="AA20" s="290"/>
      <c r="AB20" s="290"/>
      <c r="AC20" s="290"/>
      <c r="AD20" s="290"/>
      <c r="AE20" s="290"/>
      <c r="AF20" s="290"/>
      <c r="AG20" s="290"/>
      <c r="AH20" s="290"/>
      <c r="AI20" s="290"/>
      <c r="AJ20" s="290"/>
      <c r="AK20" s="290"/>
      <c r="AL20" s="290"/>
      <c r="AM20" s="486" t="str">
        <f>BL2&amp;"/"&amp;BM2</f>
        <v>-4/24</v>
      </c>
      <c r="AN20" s="487"/>
      <c r="AO20" s="488"/>
      <c r="AP20" s="296"/>
      <c r="AQ20" s="297"/>
      <c r="AR20" s="297"/>
      <c r="AS20" s="297"/>
      <c r="AT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7"/>
      <c r="BG20" s="297"/>
      <c r="BH20" s="486" t="str">
        <f>BS2&amp;"/"&amp;BT2</f>
        <v>-4/24</v>
      </c>
      <c r="BI20" s="487"/>
      <c r="BJ20" s="488"/>
      <c r="BN20" s="213">
        <v>0</v>
      </c>
      <c r="BO20" s="209">
        <v>0</v>
      </c>
      <c r="BP20" s="205">
        <v>0</v>
      </c>
      <c r="BQ20" s="205">
        <v>4</v>
      </c>
      <c r="BR20" s="302">
        <v>0</v>
      </c>
      <c r="BS20" s="139"/>
      <c r="BU20" s="213">
        <v>0</v>
      </c>
      <c r="BV20" s="209">
        <v>0</v>
      </c>
      <c r="BW20" s="205">
        <v>0</v>
      </c>
      <c r="BX20" s="302">
        <v>9</v>
      </c>
      <c r="BY20" s="302">
        <v>0</v>
      </c>
      <c r="CA20" s="276">
        <v>18</v>
      </c>
      <c r="CB20" s="276">
        <f t="shared" si="0"/>
        <v>-4</v>
      </c>
      <c r="CC20" s="276">
        <f t="shared" si="1"/>
        <v>24</v>
      </c>
      <c r="CD20" s="276">
        <f t="shared" si="2"/>
        <v>10</v>
      </c>
      <c r="CE20" s="276">
        <f t="shared" si="3"/>
        <v>-4</v>
      </c>
      <c r="CF20" s="276">
        <f t="shared" si="4"/>
        <v>24</v>
      </c>
      <c r="CG20" s="276">
        <f t="shared" si="5"/>
        <v>10</v>
      </c>
    </row>
    <row r="21" spans="1:85" ht="15" customHeight="1">
      <c r="A21" s="533"/>
      <c r="B21" s="534"/>
      <c r="C21" s="282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290"/>
      <c r="R21" s="290"/>
      <c r="S21" s="290"/>
      <c r="T21" s="283"/>
      <c r="U21" s="282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  <c r="AH21" s="290"/>
      <c r="AI21" s="290"/>
      <c r="AJ21" s="290"/>
      <c r="AK21" s="290"/>
      <c r="AL21" s="290"/>
      <c r="AM21" s="489"/>
      <c r="AN21" s="490"/>
      <c r="AO21" s="491"/>
      <c r="AP21" s="296"/>
      <c r="AQ21" s="297"/>
      <c r="AR21" s="297"/>
      <c r="AS21" s="297"/>
      <c r="AT21" s="297"/>
      <c r="AU21" s="297"/>
      <c r="AV21" s="297"/>
      <c r="AW21" s="297"/>
      <c r="AX21" s="297"/>
      <c r="AY21" s="297"/>
      <c r="AZ21" s="297"/>
      <c r="BA21" s="297"/>
      <c r="BB21" s="297"/>
      <c r="BC21" s="297"/>
      <c r="BD21" s="297"/>
      <c r="BE21" s="297"/>
      <c r="BF21" s="297"/>
      <c r="BG21" s="297"/>
      <c r="BH21" s="489"/>
      <c r="BI21" s="490"/>
      <c r="BJ21" s="491"/>
      <c r="BN21" s="213">
        <v>0</v>
      </c>
      <c r="BO21" s="209">
        <v>0</v>
      </c>
      <c r="BP21" s="205">
        <v>0</v>
      </c>
      <c r="BQ21" s="205">
        <v>0</v>
      </c>
      <c r="BR21" s="302">
        <v>0</v>
      </c>
      <c r="BS21" s="139"/>
      <c r="BU21" s="213">
        <v>0</v>
      </c>
      <c r="BV21" s="209">
        <v>0</v>
      </c>
      <c r="BW21" s="205">
        <v>0</v>
      </c>
      <c r="BX21" s="302">
        <v>20</v>
      </c>
      <c r="BY21" s="302">
        <v>0</v>
      </c>
      <c r="CA21" s="276">
        <v>19</v>
      </c>
      <c r="CB21" s="276">
        <f t="shared" si="0"/>
        <v>-4</v>
      </c>
      <c r="CC21" s="276">
        <f t="shared" si="1"/>
        <v>24</v>
      </c>
      <c r="CD21" s="276">
        <f t="shared" si="2"/>
        <v>10</v>
      </c>
      <c r="CE21" s="276">
        <f t="shared" si="3"/>
        <v>-4</v>
      </c>
      <c r="CF21" s="276">
        <f t="shared" si="4"/>
        <v>24</v>
      </c>
      <c r="CG21" s="276">
        <f t="shared" si="5"/>
        <v>10</v>
      </c>
    </row>
    <row r="22" spans="1:85">
      <c r="A22" s="533"/>
      <c r="B22" s="534"/>
      <c r="C22" s="282"/>
      <c r="D22" s="290"/>
      <c r="E22" s="290"/>
      <c r="F22" s="290"/>
      <c r="G22" s="290"/>
      <c r="H22" s="290"/>
      <c r="I22" s="290"/>
      <c r="J22" s="290"/>
      <c r="K22" s="290"/>
      <c r="L22" s="290"/>
      <c r="M22" s="290"/>
      <c r="N22" s="290"/>
      <c r="O22" s="290"/>
      <c r="P22" s="290"/>
      <c r="Q22" s="290"/>
      <c r="R22" s="290"/>
      <c r="S22" s="290"/>
      <c r="T22" s="283"/>
      <c r="U22" s="282"/>
      <c r="V22" s="290"/>
      <c r="W22" s="290"/>
      <c r="X22" s="290"/>
      <c r="Y22" s="290"/>
      <c r="Z22" s="290"/>
      <c r="AA22" s="290"/>
      <c r="AB22" s="290"/>
      <c r="AC22" s="290"/>
      <c r="AD22" s="290"/>
      <c r="AE22" s="290"/>
      <c r="AF22" s="290"/>
      <c r="AG22" s="290"/>
      <c r="AH22" s="290"/>
      <c r="AI22" s="290"/>
      <c r="AJ22" s="290"/>
      <c r="AK22" s="290"/>
      <c r="AL22" s="290"/>
      <c r="AM22" s="502">
        <v>0.9</v>
      </c>
      <c r="AN22" s="500"/>
      <c r="AO22" s="501"/>
      <c r="AP22" s="296"/>
      <c r="AQ22" s="297"/>
      <c r="AR22" s="297"/>
      <c r="AS22" s="297"/>
      <c r="AT22" s="297"/>
      <c r="AU22" s="297"/>
      <c r="AV22" s="297"/>
      <c r="AW22" s="297"/>
      <c r="AX22" s="297"/>
      <c r="AY22" s="297"/>
      <c r="AZ22" s="297"/>
      <c r="BA22" s="297"/>
      <c r="BB22" s="297"/>
      <c r="BC22" s="297"/>
      <c r="BD22" s="297"/>
      <c r="BE22" s="297"/>
      <c r="BF22" s="297"/>
      <c r="BG22" s="297"/>
      <c r="BH22" s="502">
        <v>0.9</v>
      </c>
      <c r="BI22" s="500"/>
      <c r="BJ22" s="501"/>
      <c r="BN22" s="213">
        <v>0</v>
      </c>
      <c r="BO22" s="209">
        <v>0</v>
      </c>
      <c r="BP22" s="205">
        <v>0</v>
      </c>
      <c r="BQ22" s="205">
        <v>7</v>
      </c>
      <c r="BR22" s="302">
        <v>0</v>
      </c>
      <c r="BS22" s="139"/>
      <c r="BU22" s="213">
        <v>0</v>
      </c>
      <c r="BV22" s="209">
        <v>0</v>
      </c>
      <c r="BW22" s="205">
        <v>0</v>
      </c>
      <c r="BX22" s="302">
        <v>5</v>
      </c>
      <c r="BY22" s="302">
        <v>0</v>
      </c>
      <c r="CA22" s="276">
        <v>20</v>
      </c>
      <c r="CB22" s="276">
        <f t="shared" si="0"/>
        <v>-4</v>
      </c>
      <c r="CC22" s="276">
        <f t="shared" si="1"/>
        <v>24</v>
      </c>
      <c r="CD22" s="276">
        <f t="shared" si="2"/>
        <v>10</v>
      </c>
      <c r="CE22" s="276">
        <f t="shared" si="3"/>
        <v>-4</v>
      </c>
      <c r="CF22" s="276">
        <f t="shared" si="4"/>
        <v>24</v>
      </c>
      <c r="CG22" s="276">
        <f t="shared" si="5"/>
        <v>10</v>
      </c>
    </row>
    <row r="23" spans="1:85">
      <c r="A23" s="533"/>
      <c r="B23" s="534"/>
      <c r="C23" s="282"/>
      <c r="D23" s="290"/>
      <c r="E23" s="290"/>
      <c r="F23" s="290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83"/>
      <c r="U23" s="282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500"/>
      <c r="AN23" s="500"/>
      <c r="AO23" s="501"/>
      <c r="AP23" s="296"/>
      <c r="AQ23" s="297"/>
      <c r="AR23" s="297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E23" s="297"/>
      <c r="BF23" s="297"/>
      <c r="BG23" s="297"/>
      <c r="BH23" s="500"/>
      <c r="BI23" s="500"/>
      <c r="BJ23" s="501"/>
      <c r="BN23" s="213">
        <v>0</v>
      </c>
      <c r="BO23" s="209">
        <v>0</v>
      </c>
      <c r="BP23" s="205">
        <v>0</v>
      </c>
      <c r="BQ23" s="205">
        <v>14</v>
      </c>
      <c r="BR23" s="302">
        <v>0</v>
      </c>
      <c r="BS23" s="139"/>
      <c r="BU23" s="213">
        <v>0</v>
      </c>
      <c r="BV23" s="209">
        <v>0</v>
      </c>
      <c r="BW23" s="205">
        <v>0</v>
      </c>
      <c r="BX23" s="302">
        <v>19</v>
      </c>
      <c r="BY23" s="302">
        <v>0</v>
      </c>
      <c r="CA23" s="276">
        <v>21</v>
      </c>
      <c r="CB23" s="276">
        <f t="shared" si="0"/>
        <v>-4</v>
      </c>
      <c r="CC23" s="276">
        <f t="shared" si="1"/>
        <v>24</v>
      </c>
      <c r="CD23" s="276">
        <f t="shared" si="2"/>
        <v>10</v>
      </c>
      <c r="CE23" s="276">
        <f t="shared" si="3"/>
        <v>-4</v>
      </c>
      <c r="CF23" s="276">
        <f t="shared" si="4"/>
        <v>24</v>
      </c>
      <c r="CG23" s="276">
        <f t="shared" si="5"/>
        <v>10</v>
      </c>
    </row>
    <row r="24" spans="1:85" ht="15" customHeight="1">
      <c r="A24" s="533"/>
      <c r="B24" s="534"/>
      <c r="C24" s="282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0"/>
      <c r="R24" s="290"/>
      <c r="S24" s="290"/>
      <c r="T24" s="283"/>
      <c r="U24" s="282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  <c r="AI24" s="290"/>
      <c r="AJ24" s="290"/>
      <c r="AK24" s="290"/>
      <c r="AL24" s="290"/>
      <c r="AM24" s="290"/>
      <c r="AN24" s="290"/>
      <c r="AO24" s="290"/>
      <c r="AP24" s="296"/>
      <c r="AQ24" s="297"/>
      <c r="AR24" s="297"/>
      <c r="AS24" s="297"/>
      <c r="AT24" s="297"/>
      <c r="AU24" s="297"/>
      <c r="AV24" s="297"/>
      <c r="AW24" s="297"/>
      <c r="AX24" s="297"/>
      <c r="AY24" s="297"/>
      <c r="AZ24" s="297"/>
      <c r="BA24" s="297"/>
      <c r="BB24" s="297"/>
      <c r="BC24" s="297"/>
      <c r="BD24" s="297"/>
      <c r="BE24" s="297"/>
      <c r="BF24" s="297"/>
      <c r="BG24" s="297"/>
      <c r="BH24" s="297"/>
      <c r="BI24" s="297"/>
      <c r="BJ24" s="297"/>
      <c r="BN24" s="213">
        <v>0</v>
      </c>
      <c r="BO24" s="209">
        <v>0</v>
      </c>
      <c r="BP24" s="205">
        <v>0</v>
      </c>
      <c r="BQ24" s="205">
        <v>10</v>
      </c>
      <c r="BR24" s="302">
        <v>0</v>
      </c>
      <c r="BS24" s="139"/>
      <c r="BU24" s="213">
        <v>0</v>
      </c>
      <c r="BV24" s="209">
        <v>0</v>
      </c>
      <c r="BW24" s="205">
        <v>0</v>
      </c>
      <c r="BX24" s="302">
        <v>16</v>
      </c>
      <c r="BY24" s="302">
        <v>0</v>
      </c>
      <c r="CA24" s="276">
        <v>22</v>
      </c>
      <c r="CB24" s="276">
        <f t="shared" si="0"/>
        <v>-4</v>
      </c>
      <c r="CC24" s="276">
        <f t="shared" si="1"/>
        <v>24</v>
      </c>
      <c r="CD24" s="276">
        <f t="shared" si="2"/>
        <v>10</v>
      </c>
      <c r="CE24" s="276">
        <f t="shared" si="3"/>
        <v>-4</v>
      </c>
      <c r="CF24" s="276">
        <f t="shared" si="4"/>
        <v>24</v>
      </c>
      <c r="CG24" s="276">
        <f t="shared" si="5"/>
        <v>10</v>
      </c>
    </row>
    <row r="25" spans="1:85" ht="15" customHeight="1">
      <c r="A25" s="533"/>
      <c r="B25" s="534"/>
      <c r="C25" s="282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0"/>
      <c r="T25" s="283"/>
      <c r="U25" s="282"/>
      <c r="V25" s="290"/>
      <c r="W25" s="290"/>
      <c r="X25" s="290"/>
      <c r="Y25" s="290"/>
      <c r="Z25" s="290"/>
      <c r="AA25" s="290"/>
      <c r="AB25" s="290"/>
      <c r="AC25" s="290"/>
      <c r="AD25" s="290"/>
      <c r="AE25" s="290"/>
      <c r="AF25" s="290"/>
      <c r="AG25" s="290"/>
      <c r="AH25" s="290"/>
      <c r="AI25" s="290"/>
      <c r="AJ25" s="290"/>
      <c r="AK25" s="290"/>
      <c r="AL25" s="290"/>
      <c r="AM25" s="290"/>
      <c r="AN25" s="290"/>
      <c r="AO25" s="290"/>
      <c r="AP25" s="296"/>
      <c r="AQ25" s="297"/>
      <c r="AR25" s="297"/>
      <c r="AS25" s="297"/>
      <c r="AT25" s="297"/>
      <c r="AU25" s="297"/>
      <c r="AV25" s="297"/>
      <c r="AW25" s="297"/>
      <c r="AX25" s="297"/>
      <c r="AY25" s="297"/>
      <c r="AZ25" s="297"/>
      <c r="BA25" s="297"/>
      <c r="BB25" s="297"/>
      <c r="BC25" s="297"/>
      <c r="BD25" s="297"/>
      <c r="BE25" s="297"/>
      <c r="BF25" s="297"/>
      <c r="BG25" s="297"/>
      <c r="BH25" s="297"/>
      <c r="BI25" s="297"/>
      <c r="BJ25" s="297"/>
      <c r="BN25" s="213">
        <v>0</v>
      </c>
      <c r="BO25" s="209">
        <v>0</v>
      </c>
      <c r="BP25" s="205">
        <v>0</v>
      </c>
      <c r="BQ25" s="205">
        <v>17</v>
      </c>
      <c r="BR25" s="302">
        <v>0</v>
      </c>
      <c r="BS25" s="139"/>
      <c r="BU25" s="213">
        <v>0</v>
      </c>
      <c r="BV25" s="209">
        <v>0</v>
      </c>
      <c r="BW25" s="205">
        <v>0</v>
      </c>
      <c r="BX25" s="302">
        <v>12</v>
      </c>
      <c r="BY25" s="302">
        <v>0</v>
      </c>
      <c r="CA25" s="276">
        <v>23</v>
      </c>
      <c r="CB25" s="276">
        <f t="shared" si="0"/>
        <v>-4</v>
      </c>
      <c r="CC25" s="276">
        <f t="shared" si="1"/>
        <v>24</v>
      </c>
      <c r="CD25" s="276">
        <f t="shared" si="2"/>
        <v>10</v>
      </c>
      <c r="CE25" s="276">
        <f t="shared" si="3"/>
        <v>-4</v>
      </c>
      <c r="CF25" s="276">
        <f t="shared" si="4"/>
        <v>24</v>
      </c>
      <c r="CG25" s="276">
        <f t="shared" si="5"/>
        <v>10</v>
      </c>
    </row>
    <row r="26" spans="1:85" ht="15" customHeight="1">
      <c r="A26" s="533"/>
      <c r="B26" s="534"/>
      <c r="C26" s="282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  <c r="S26" s="290"/>
      <c r="T26" s="283"/>
      <c r="U26" s="282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90"/>
      <c r="AG26" s="290"/>
      <c r="AH26" s="290"/>
      <c r="AI26" s="290"/>
      <c r="AJ26" s="290"/>
      <c r="AK26" s="290"/>
      <c r="AL26" s="290"/>
      <c r="AM26" s="290"/>
      <c r="AN26" s="290"/>
      <c r="AO26" s="290"/>
      <c r="AP26" s="296"/>
      <c r="AQ26" s="297"/>
      <c r="AR26" s="297"/>
      <c r="AS26" s="297"/>
      <c r="AT26" s="297"/>
      <c r="AU26" s="297"/>
      <c r="AV26" s="297"/>
      <c r="AW26" s="297"/>
      <c r="AX26" s="297"/>
      <c r="AY26" s="297"/>
      <c r="AZ26" s="297"/>
      <c r="BA26" s="297"/>
      <c r="BB26" s="297"/>
      <c r="BC26" s="297"/>
      <c r="BD26" s="297"/>
      <c r="BE26" s="297"/>
      <c r="BF26" s="297"/>
      <c r="BG26" s="297"/>
      <c r="BH26" s="297"/>
      <c r="BI26" s="297"/>
      <c r="BJ26" s="297"/>
      <c r="BN26" s="213">
        <v>0</v>
      </c>
      <c r="BO26" s="209">
        <v>0</v>
      </c>
      <c r="BP26" s="205">
        <v>0</v>
      </c>
      <c r="BQ26" s="205">
        <v>7</v>
      </c>
      <c r="BR26" s="302">
        <v>0</v>
      </c>
      <c r="BS26" s="139"/>
      <c r="BU26" s="213">
        <v>0</v>
      </c>
      <c r="BV26" s="209">
        <v>0</v>
      </c>
      <c r="BW26" s="205">
        <v>0</v>
      </c>
      <c r="BX26" s="302">
        <v>24</v>
      </c>
      <c r="BY26" s="302">
        <v>0</v>
      </c>
      <c r="CA26" s="276">
        <v>24</v>
      </c>
      <c r="CB26" s="276">
        <f t="shared" si="0"/>
        <v>-4</v>
      </c>
      <c r="CC26" s="276">
        <f t="shared" si="1"/>
        <v>24</v>
      </c>
      <c r="CD26" s="276">
        <f t="shared" si="2"/>
        <v>10</v>
      </c>
      <c r="CE26" s="276">
        <f t="shared" si="3"/>
        <v>-4</v>
      </c>
      <c r="CF26" s="276">
        <f t="shared" si="4"/>
        <v>24</v>
      </c>
      <c r="CG26" s="276">
        <f t="shared" si="5"/>
        <v>10</v>
      </c>
    </row>
    <row r="27" spans="1:85" ht="15" customHeight="1">
      <c r="A27" s="533"/>
      <c r="B27" s="534"/>
      <c r="C27" s="282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  <c r="S27" s="290"/>
      <c r="T27" s="283"/>
      <c r="U27" s="282"/>
      <c r="V27" s="290"/>
      <c r="W27" s="290"/>
      <c r="X27" s="290"/>
      <c r="Y27" s="290"/>
      <c r="Z27" s="290"/>
      <c r="AA27" s="290"/>
      <c r="AB27" s="290"/>
      <c r="AC27" s="290"/>
      <c r="AD27" s="290"/>
      <c r="AE27" s="290"/>
      <c r="AF27" s="290"/>
      <c r="AG27" s="290"/>
      <c r="AH27" s="290"/>
      <c r="AI27" s="290"/>
      <c r="AJ27" s="290"/>
      <c r="AK27" s="290"/>
      <c r="AL27" s="290"/>
      <c r="AM27" s="480" t="s">
        <v>941</v>
      </c>
      <c r="AN27" s="480"/>
      <c r="AO27" s="481"/>
      <c r="AP27" s="296"/>
      <c r="AQ27" s="297"/>
      <c r="AR27" s="297"/>
      <c r="AS27" s="297"/>
      <c r="AT27" s="297"/>
      <c r="AU27" s="297"/>
      <c r="AV27" s="297"/>
      <c r="AW27" s="297"/>
      <c r="AX27" s="297"/>
      <c r="AY27" s="297"/>
      <c r="AZ27" s="297"/>
      <c r="BA27" s="297"/>
      <c r="BB27" s="297"/>
      <c r="BC27" s="297"/>
      <c r="BD27" s="297"/>
      <c r="BE27" s="297"/>
      <c r="BF27" s="297"/>
      <c r="BG27" s="297"/>
      <c r="BH27" s="480" t="s">
        <v>941</v>
      </c>
      <c r="BI27" s="480"/>
      <c r="BJ27" s="481"/>
      <c r="BN27" s="213">
        <v>0</v>
      </c>
      <c r="BO27" s="209">
        <v>0</v>
      </c>
      <c r="BP27" s="205">
        <v>0</v>
      </c>
      <c r="BQ27" s="205">
        <v>16</v>
      </c>
      <c r="BR27" s="302">
        <v>0</v>
      </c>
      <c r="BS27" s="139"/>
      <c r="BU27" s="213">
        <v>0</v>
      </c>
      <c r="BV27" s="209">
        <v>0</v>
      </c>
      <c r="BW27" s="205">
        <v>0</v>
      </c>
      <c r="BX27" s="302">
        <v>6</v>
      </c>
      <c r="BY27" s="302">
        <v>0</v>
      </c>
      <c r="CA27" s="276">
        <v>25</v>
      </c>
      <c r="CB27" s="276">
        <f t="shared" si="0"/>
        <v>-4</v>
      </c>
      <c r="CC27" s="276">
        <f t="shared" si="1"/>
        <v>24</v>
      </c>
      <c r="CD27" s="276">
        <f t="shared" si="2"/>
        <v>10</v>
      </c>
      <c r="CE27" s="276">
        <f t="shared" si="3"/>
        <v>-4</v>
      </c>
      <c r="CF27" s="276">
        <f t="shared" si="4"/>
        <v>24</v>
      </c>
      <c r="CG27" s="276">
        <f t="shared" si="5"/>
        <v>10</v>
      </c>
    </row>
    <row r="28" spans="1:85" ht="15" customHeight="1">
      <c r="A28" s="533"/>
      <c r="B28" s="534"/>
      <c r="C28" s="282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290"/>
      <c r="R28" s="290"/>
      <c r="S28" s="290"/>
      <c r="T28" s="283"/>
      <c r="U28" s="282"/>
      <c r="V28" s="290"/>
      <c r="W28" s="290"/>
      <c r="X28" s="290"/>
      <c r="Y28" s="290"/>
      <c r="Z28" s="290"/>
      <c r="AA28" s="290"/>
      <c r="AB28" s="290"/>
      <c r="AC28" s="290"/>
      <c r="AD28" s="290"/>
      <c r="AE28" s="290"/>
      <c r="AF28" s="290"/>
      <c r="AG28" s="290"/>
      <c r="AH28" s="290"/>
      <c r="AI28" s="290"/>
      <c r="AJ28" s="290"/>
      <c r="AK28" s="290"/>
      <c r="AL28" s="290"/>
      <c r="AM28" s="480"/>
      <c r="AN28" s="480"/>
      <c r="AO28" s="481"/>
      <c r="AP28" s="296"/>
      <c r="AQ28" s="297"/>
      <c r="AR28" s="297"/>
      <c r="AS28" s="297"/>
      <c r="AT28" s="297"/>
      <c r="AU28" s="297"/>
      <c r="AV28" s="297"/>
      <c r="AW28" s="297"/>
      <c r="AX28" s="297"/>
      <c r="AY28" s="297"/>
      <c r="AZ28" s="297"/>
      <c r="BA28" s="297"/>
      <c r="BB28" s="297"/>
      <c r="BC28" s="297"/>
      <c r="BD28" s="297"/>
      <c r="BE28" s="297"/>
      <c r="BF28" s="297"/>
      <c r="BG28" s="297"/>
      <c r="BH28" s="480"/>
      <c r="BI28" s="480"/>
      <c r="BJ28" s="481"/>
      <c r="BN28" s="213">
        <v>0</v>
      </c>
      <c r="BO28" s="209">
        <v>0</v>
      </c>
      <c r="BP28" s="205">
        <v>0</v>
      </c>
      <c r="BQ28" s="205">
        <v>16</v>
      </c>
      <c r="BR28" s="302">
        <v>0</v>
      </c>
      <c r="BS28" s="139"/>
      <c r="BU28" s="213">
        <v>0</v>
      </c>
      <c r="BV28" s="209">
        <v>0</v>
      </c>
      <c r="BW28" s="205">
        <v>0</v>
      </c>
      <c r="BX28" s="302">
        <v>23</v>
      </c>
      <c r="BY28" s="302">
        <v>0</v>
      </c>
      <c r="CA28" s="276">
        <v>26</v>
      </c>
      <c r="CB28" s="276">
        <f t="shared" si="0"/>
        <v>-4</v>
      </c>
      <c r="CC28" s="276">
        <f t="shared" si="1"/>
        <v>24</v>
      </c>
      <c r="CD28" s="276">
        <f t="shared" si="2"/>
        <v>10</v>
      </c>
      <c r="CE28" s="276">
        <f t="shared" si="3"/>
        <v>-4</v>
      </c>
      <c r="CF28" s="276">
        <f t="shared" si="4"/>
        <v>24</v>
      </c>
      <c r="CG28" s="276">
        <f t="shared" si="5"/>
        <v>10</v>
      </c>
    </row>
    <row r="29" spans="1:85" ht="15" customHeight="1">
      <c r="A29" s="533"/>
      <c r="B29" s="534"/>
      <c r="C29" s="282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  <c r="S29" s="290"/>
      <c r="T29" s="283"/>
      <c r="U29" s="282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  <c r="AH29" s="290"/>
      <c r="AI29" s="290"/>
      <c r="AJ29" s="290"/>
      <c r="AK29" s="290"/>
      <c r="AL29" s="290"/>
      <c r="AM29" s="517">
        <f>(COUNTIFS(BQ3:BQ192,"&gt;="&amp;BL2,BQ3:BQ192,"&lt;="&amp;BM2))/COUNT(BQ3:BQ192)</f>
        <v>0.93630573248407645</v>
      </c>
      <c r="AN29" s="518"/>
      <c r="AO29" s="519"/>
      <c r="AP29" s="296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  <c r="BC29" s="297"/>
      <c r="BD29" s="297"/>
      <c r="BE29" s="297"/>
      <c r="BF29" s="297"/>
      <c r="BG29" s="297"/>
      <c r="BH29" s="503">
        <f>(COUNTIFS(BX3:BX192,"&gt;="&amp;BS2,BX3:BX192,"&lt;="&amp;BT2))/COUNT(BX3:BX192)</f>
        <v>0.92500000000000004</v>
      </c>
      <c r="BI29" s="504"/>
      <c r="BJ29" s="505"/>
      <c r="BN29" s="213">
        <v>0</v>
      </c>
      <c r="BO29" s="209">
        <v>0</v>
      </c>
      <c r="BP29" s="205">
        <v>0</v>
      </c>
      <c r="BQ29" s="205">
        <v>-2</v>
      </c>
      <c r="BR29" s="302">
        <v>0</v>
      </c>
      <c r="BS29" s="139"/>
      <c r="BU29" s="213">
        <v>0</v>
      </c>
      <c r="BV29" s="209">
        <v>0</v>
      </c>
      <c r="BW29" s="205">
        <v>0</v>
      </c>
      <c r="BX29" s="302">
        <v>0</v>
      </c>
      <c r="BY29" s="302">
        <v>0</v>
      </c>
      <c r="CA29" s="276">
        <v>27</v>
      </c>
      <c r="CB29" s="276">
        <f t="shared" si="0"/>
        <v>-4</v>
      </c>
      <c r="CC29" s="276">
        <f t="shared" si="1"/>
        <v>24</v>
      </c>
      <c r="CD29" s="276">
        <f t="shared" si="2"/>
        <v>10</v>
      </c>
      <c r="CE29" s="276">
        <f t="shared" si="3"/>
        <v>-4</v>
      </c>
      <c r="CF29" s="276">
        <f t="shared" si="4"/>
        <v>24</v>
      </c>
      <c r="CG29" s="276">
        <f t="shared" si="5"/>
        <v>10</v>
      </c>
    </row>
    <row r="30" spans="1:85" ht="15" customHeight="1">
      <c r="A30" s="533"/>
      <c r="B30" s="534"/>
      <c r="C30" s="282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  <c r="S30" s="290"/>
      <c r="T30" s="283"/>
      <c r="U30" s="282"/>
      <c r="V30" s="290"/>
      <c r="W30" s="290"/>
      <c r="X30" s="290"/>
      <c r="Y30" s="290"/>
      <c r="Z30" s="290"/>
      <c r="AA30" s="290"/>
      <c r="AB30" s="290"/>
      <c r="AC30" s="290"/>
      <c r="AD30" s="290"/>
      <c r="AE30" s="290"/>
      <c r="AF30" s="290"/>
      <c r="AG30" s="290"/>
      <c r="AH30" s="290"/>
      <c r="AI30" s="290"/>
      <c r="AJ30" s="290"/>
      <c r="AK30" s="290"/>
      <c r="AL30" s="290"/>
      <c r="AM30" s="518"/>
      <c r="AN30" s="518"/>
      <c r="AO30" s="519"/>
      <c r="AP30" s="296"/>
      <c r="AQ30" s="297"/>
      <c r="AR30" s="297"/>
      <c r="AS30" s="297"/>
      <c r="AT30" s="297"/>
      <c r="AU30" s="297"/>
      <c r="AV30" s="297"/>
      <c r="AW30" s="297"/>
      <c r="AX30" s="297"/>
      <c r="AY30" s="297"/>
      <c r="AZ30" s="297"/>
      <c r="BA30" s="297"/>
      <c r="BB30" s="297"/>
      <c r="BC30" s="297"/>
      <c r="BD30" s="297"/>
      <c r="BE30" s="297"/>
      <c r="BF30" s="297"/>
      <c r="BG30" s="297"/>
      <c r="BH30" s="504"/>
      <c r="BI30" s="504"/>
      <c r="BJ30" s="505"/>
      <c r="BN30" s="213">
        <v>0</v>
      </c>
      <c r="BO30" s="209">
        <v>0</v>
      </c>
      <c r="BP30" s="205">
        <v>0</v>
      </c>
      <c r="BQ30" s="205">
        <v>16</v>
      </c>
      <c r="BR30" s="302">
        <v>0</v>
      </c>
      <c r="BS30" s="139"/>
      <c r="BU30" s="213">
        <v>0</v>
      </c>
      <c r="BV30" s="209">
        <v>0</v>
      </c>
      <c r="BW30" s="205">
        <v>0</v>
      </c>
      <c r="BX30" s="302">
        <v>23</v>
      </c>
      <c r="BY30" s="302">
        <v>0</v>
      </c>
      <c r="CA30" s="276">
        <v>28</v>
      </c>
      <c r="CB30" s="276">
        <f t="shared" si="0"/>
        <v>-4</v>
      </c>
      <c r="CC30" s="276">
        <f t="shared" si="1"/>
        <v>24</v>
      </c>
      <c r="CD30" s="276">
        <f t="shared" si="2"/>
        <v>10</v>
      </c>
      <c r="CE30" s="276">
        <f t="shared" si="3"/>
        <v>-4</v>
      </c>
      <c r="CF30" s="276">
        <f t="shared" si="4"/>
        <v>24</v>
      </c>
      <c r="CG30" s="276">
        <f t="shared" si="5"/>
        <v>10</v>
      </c>
    </row>
    <row r="31" spans="1:85" ht="15" customHeight="1">
      <c r="A31" s="533"/>
      <c r="B31" s="534"/>
      <c r="C31" s="282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0"/>
      <c r="T31" s="283"/>
      <c r="U31" s="282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  <c r="AH31" s="290"/>
      <c r="AI31" s="290"/>
      <c r="AJ31" s="290"/>
      <c r="AK31" s="290"/>
      <c r="AL31" s="290"/>
      <c r="AM31" s="518"/>
      <c r="AN31" s="518"/>
      <c r="AO31" s="519"/>
      <c r="AP31" s="296"/>
      <c r="AQ31" s="297"/>
      <c r="AR31" s="297"/>
      <c r="AS31" s="297"/>
      <c r="AT31" s="297"/>
      <c r="AU31" s="297"/>
      <c r="AV31" s="297"/>
      <c r="AW31" s="297"/>
      <c r="AX31" s="297"/>
      <c r="AY31" s="297"/>
      <c r="AZ31" s="297"/>
      <c r="BA31" s="297"/>
      <c r="BB31" s="297"/>
      <c r="BC31" s="297"/>
      <c r="BD31" s="297"/>
      <c r="BE31" s="297"/>
      <c r="BF31" s="297"/>
      <c r="BG31" s="297"/>
      <c r="BH31" s="504"/>
      <c r="BI31" s="504"/>
      <c r="BJ31" s="505"/>
      <c r="BN31" s="213">
        <v>0</v>
      </c>
      <c r="BO31" s="209">
        <v>0</v>
      </c>
      <c r="BP31" s="205">
        <v>0</v>
      </c>
      <c r="BQ31" s="205">
        <v>10</v>
      </c>
      <c r="BR31" s="302">
        <v>0</v>
      </c>
      <c r="BS31" s="139"/>
      <c r="BU31" s="213">
        <v>0</v>
      </c>
      <c r="BV31" s="209">
        <v>0</v>
      </c>
      <c r="BW31" s="205">
        <v>0</v>
      </c>
      <c r="BX31" s="302">
        <v>7</v>
      </c>
      <c r="BY31" s="302">
        <v>0</v>
      </c>
      <c r="CA31" s="276">
        <v>29</v>
      </c>
      <c r="CB31" s="276">
        <f t="shared" si="0"/>
        <v>-4</v>
      </c>
      <c r="CC31" s="276">
        <f t="shared" si="1"/>
        <v>24</v>
      </c>
      <c r="CD31" s="276">
        <f t="shared" si="2"/>
        <v>10</v>
      </c>
      <c r="CE31" s="276">
        <f t="shared" si="3"/>
        <v>-4</v>
      </c>
      <c r="CF31" s="276">
        <f t="shared" si="4"/>
        <v>24</v>
      </c>
      <c r="CG31" s="276">
        <f t="shared" si="5"/>
        <v>10</v>
      </c>
    </row>
    <row r="32" spans="1:85">
      <c r="A32" s="533"/>
      <c r="B32" s="534"/>
      <c r="C32" s="282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83"/>
      <c r="U32" s="282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  <c r="AH32" s="290"/>
      <c r="AI32" s="290"/>
      <c r="AJ32" s="290"/>
      <c r="AK32" s="290"/>
      <c r="AL32" s="290"/>
      <c r="AM32" s="518"/>
      <c r="AN32" s="518"/>
      <c r="AO32" s="519"/>
      <c r="AP32" s="282"/>
      <c r="AQ32" s="290"/>
      <c r="AR32" s="297"/>
      <c r="AS32" s="297"/>
      <c r="AT32" s="297"/>
      <c r="AU32" s="290"/>
      <c r="AV32" s="290"/>
      <c r="AW32" s="290"/>
      <c r="AX32" s="290"/>
      <c r="AY32" s="290"/>
      <c r="AZ32" s="290"/>
      <c r="BA32" s="290"/>
      <c r="BB32" s="290"/>
      <c r="BC32" s="290"/>
      <c r="BD32" s="290"/>
      <c r="BE32" s="290"/>
      <c r="BF32" s="290"/>
      <c r="BG32" s="290"/>
      <c r="BH32" s="504"/>
      <c r="BI32" s="504"/>
      <c r="BJ32" s="505"/>
      <c r="BN32" s="213">
        <v>0</v>
      </c>
      <c r="BO32" s="209">
        <v>0</v>
      </c>
      <c r="BP32" s="205">
        <v>0</v>
      </c>
      <c r="BQ32" s="205">
        <v>3</v>
      </c>
      <c r="BR32" s="302">
        <v>0</v>
      </c>
      <c r="BS32" s="139"/>
      <c r="BU32" s="213">
        <v>0</v>
      </c>
      <c r="BV32" s="209">
        <v>0</v>
      </c>
      <c r="BW32" s="205">
        <v>0</v>
      </c>
      <c r="BX32" s="302">
        <v>-75</v>
      </c>
      <c r="BY32" s="302">
        <v>0</v>
      </c>
      <c r="CA32" s="276">
        <v>30</v>
      </c>
      <c r="CB32" s="276">
        <f t="shared" si="0"/>
        <v>-4</v>
      </c>
      <c r="CC32" s="276">
        <f t="shared" si="1"/>
        <v>24</v>
      </c>
      <c r="CD32" s="276">
        <f t="shared" si="2"/>
        <v>10</v>
      </c>
      <c r="CE32" s="276">
        <f t="shared" si="3"/>
        <v>-4</v>
      </c>
      <c r="CF32" s="276">
        <f t="shared" si="4"/>
        <v>24</v>
      </c>
      <c r="CG32" s="276">
        <f t="shared" si="5"/>
        <v>10</v>
      </c>
    </row>
    <row r="33" spans="1:85">
      <c r="A33" s="533"/>
      <c r="B33" s="534"/>
      <c r="C33" s="282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83"/>
      <c r="U33" s="282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0"/>
      <c r="AL33" s="290"/>
      <c r="AM33" s="290"/>
      <c r="AN33" s="290"/>
      <c r="AO33" s="283"/>
      <c r="AP33" s="282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0"/>
      <c r="BG33" s="290"/>
      <c r="BH33" s="290"/>
      <c r="BI33" s="290"/>
      <c r="BJ33" s="283"/>
      <c r="BN33" s="213">
        <v>0</v>
      </c>
      <c r="BO33" s="209">
        <v>0</v>
      </c>
      <c r="BP33" s="205">
        <v>0</v>
      </c>
      <c r="BQ33" s="205">
        <v>21</v>
      </c>
      <c r="BR33" s="302">
        <v>0</v>
      </c>
      <c r="BS33" s="139"/>
      <c r="BU33" s="213">
        <v>0</v>
      </c>
      <c r="BV33" s="209">
        <v>0</v>
      </c>
      <c r="BW33" s="205">
        <v>0</v>
      </c>
      <c r="BX33" s="302">
        <v>14</v>
      </c>
      <c r="BY33" s="302">
        <v>0</v>
      </c>
      <c r="CA33" s="276">
        <v>31</v>
      </c>
      <c r="CB33" s="276">
        <f t="shared" si="0"/>
        <v>-4</v>
      </c>
      <c r="CC33" s="276">
        <f t="shared" si="1"/>
        <v>24</v>
      </c>
      <c r="CD33" s="276">
        <f t="shared" si="2"/>
        <v>10</v>
      </c>
      <c r="CE33" s="276">
        <f t="shared" si="3"/>
        <v>-4</v>
      </c>
      <c r="CF33" s="276">
        <f t="shared" si="4"/>
        <v>24</v>
      </c>
      <c r="CG33" s="276">
        <f t="shared" si="5"/>
        <v>10</v>
      </c>
    </row>
    <row r="34" spans="1:85">
      <c r="A34" s="533"/>
      <c r="B34" s="534"/>
      <c r="C34" s="282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83"/>
      <c r="U34" s="282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290"/>
      <c r="AH34" s="290"/>
      <c r="AI34" s="290"/>
      <c r="AJ34" s="290"/>
      <c r="AK34" s="290"/>
      <c r="AL34" s="290"/>
      <c r="AM34" s="290"/>
      <c r="AN34" s="290"/>
      <c r="AO34" s="283"/>
      <c r="AP34" s="282"/>
      <c r="AQ34" s="290"/>
      <c r="AR34" s="290"/>
      <c r="AS34" s="290"/>
      <c r="AT34" s="290"/>
      <c r="AU34" s="290"/>
      <c r="AV34" s="290"/>
      <c r="AW34" s="290"/>
      <c r="AX34" s="290"/>
      <c r="AY34" s="290"/>
      <c r="AZ34" s="290"/>
      <c r="BA34" s="290"/>
      <c r="BB34" s="290"/>
      <c r="BC34" s="290"/>
      <c r="BD34" s="290"/>
      <c r="BE34" s="290"/>
      <c r="BF34" s="290"/>
      <c r="BG34" s="290"/>
      <c r="BH34" s="290"/>
      <c r="BI34" s="290"/>
      <c r="BJ34" s="283"/>
      <c r="BN34" s="213">
        <v>0</v>
      </c>
      <c r="BO34" s="209">
        <v>0</v>
      </c>
      <c r="BP34" s="205">
        <v>0</v>
      </c>
      <c r="BQ34" s="205">
        <v>14</v>
      </c>
      <c r="BR34" s="302">
        <v>0</v>
      </c>
      <c r="BS34" s="139"/>
      <c r="BU34" s="213">
        <v>0</v>
      </c>
      <c r="BV34" s="209">
        <v>0</v>
      </c>
      <c r="BW34" s="205">
        <v>0</v>
      </c>
      <c r="BX34" s="302">
        <v>23</v>
      </c>
      <c r="BY34" s="302">
        <v>0</v>
      </c>
      <c r="CA34" s="276">
        <v>32</v>
      </c>
      <c r="CB34" s="276">
        <f t="shared" si="0"/>
        <v>-4</v>
      </c>
      <c r="CC34" s="276">
        <f t="shared" si="1"/>
        <v>24</v>
      </c>
      <c r="CD34" s="276">
        <f t="shared" si="2"/>
        <v>10</v>
      </c>
      <c r="CE34" s="276">
        <f t="shared" si="3"/>
        <v>-4</v>
      </c>
      <c r="CF34" s="276">
        <f t="shared" si="4"/>
        <v>24</v>
      </c>
      <c r="CG34" s="276">
        <f t="shared" si="5"/>
        <v>10</v>
      </c>
    </row>
    <row r="35" spans="1:85" ht="15.75" thickBot="1">
      <c r="A35" s="535"/>
      <c r="B35" s="536"/>
      <c r="C35" s="284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85"/>
      <c r="U35" s="284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  <c r="AG35" s="292"/>
      <c r="AH35" s="292"/>
      <c r="AI35" s="292"/>
      <c r="AJ35" s="292"/>
      <c r="AK35" s="292"/>
      <c r="AL35" s="292"/>
      <c r="AM35" s="292"/>
      <c r="AN35" s="292"/>
      <c r="AO35" s="285"/>
      <c r="AP35" s="284"/>
      <c r="AQ35" s="292"/>
      <c r="AR35" s="292"/>
      <c r="AS35" s="292"/>
      <c r="AT35" s="292"/>
      <c r="AU35" s="292"/>
      <c r="AV35" s="292"/>
      <c r="AW35" s="292"/>
      <c r="AX35" s="292"/>
      <c r="AY35" s="292"/>
      <c r="AZ35" s="292"/>
      <c r="BA35" s="292"/>
      <c r="BB35" s="292"/>
      <c r="BC35" s="292"/>
      <c r="BD35" s="292"/>
      <c r="BE35" s="292"/>
      <c r="BF35" s="292"/>
      <c r="BG35" s="292"/>
      <c r="BH35" s="292"/>
      <c r="BI35" s="292"/>
      <c r="BJ35" s="285"/>
      <c r="BN35" s="213">
        <v>0</v>
      </c>
      <c r="BO35" s="209">
        <v>0</v>
      </c>
      <c r="BP35" s="205">
        <v>0</v>
      </c>
      <c r="BQ35" s="205">
        <v>-2</v>
      </c>
      <c r="BR35" s="302">
        <v>0</v>
      </c>
      <c r="BS35" s="139"/>
      <c r="BU35" s="213">
        <v>0</v>
      </c>
      <c r="BV35" s="209">
        <v>0</v>
      </c>
      <c r="BW35" s="205">
        <v>0</v>
      </c>
      <c r="BX35" s="302">
        <v>-3</v>
      </c>
      <c r="BY35" s="302">
        <v>0</v>
      </c>
      <c r="CA35" s="276">
        <v>33</v>
      </c>
      <c r="CB35" s="276">
        <f t="shared" si="0"/>
        <v>-4</v>
      </c>
      <c r="CC35" s="276">
        <f t="shared" si="1"/>
        <v>24</v>
      </c>
      <c r="CD35" s="276">
        <f t="shared" si="2"/>
        <v>10</v>
      </c>
      <c r="CE35" s="276">
        <f t="shared" si="3"/>
        <v>-4</v>
      </c>
      <c r="CF35" s="276">
        <f t="shared" si="4"/>
        <v>24</v>
      </c>
      <c r="CG35" s="276">
        <f t="shared" si="5"/>
        <v>10</v>
      </c>
    </row>
    <row r="36" spans="1:85">
      <c r="A36" s="547" t="s">
        <v>949</v>
      </c>
      <c r="B36" s="548"/>
      <c r="C36" s="282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83"/>
      <c r="U36" s="282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90"/>
      <c r="AG36" s="290"/>
      <c r="AH36" s="290"/>
      <c r="AI36" s="290"/>
      <c r="AJ36" s="290"/>
      <c r="AK36" s="290"/>
      <c r="AL36" s="290"/>
      <c r="AM36" s="498" t="s">
        <v>940</v>
      </c>
      <c r="AN36" s="498"/>
      <c r="AO36" s="499"/>
      <c r="AP36" s="282"/>
      <c r="AQ36" s="290"/>
      <c r="AR36" s="290"/>
      <c r="AS36" s="290"/>
      <c r="AT36" s="290"/>
      <c r="AU36" s="290"/>
      <c r="AV36" s="290"/>
      <c r="AW36" s="290"/>
      <c r="AX36" s="290"/>
      <c r="AY36" s="290"/>
      <c r="AZ36" s="290"/>
      <c r="BA36" s="290"/>
      <c r="BB36" s="290"/>
      <c r="BC36" s="290"/>
      <c r="BD36" s="290"/>
      <c r="BE36" s="290"/>
      <c r="BF36" s="290"/>
      <c r="BG36" s="290"/>
      <c r="BH36" s="498" t="s">
        <v>940</v>
      </c>
      <c r="BI36" s="498"/>
      <c r="BJ36" s="499"/>
      <c r="BN36" s="213">
        <v>0</v>
      </c>
      <c r="BO36" s="209">
        <v>0</v>
      </c>
      <c r="BP36" s="205">
        <v>0</v>
      </c>
      <c r="BQ36" s="205">
        <v>14</v>
      </c>
      <c r="BR36" s="302">
        <v>0</v>
      </c>
      <c r="BS36" s="139"/>
      <c r="BU36" s="213">
        <v>0</v>
      </c>
      <c r="BV36" s="209">
        <v>0</v>
      </c>
      <c r="BW36" s="205">
        <v>0</v>
      </c>
      <c r="BX36" s="302">
        <v>16</v>
      </c>
      <c r="BY36" s="302">
        <v>0</v>
      </c>
      <c r="CA36" s="276">
        <v>34</v>
      </c>
      <c r="CB36" s="276">
        <f t="shared" si="0"/>
        <v>-4</v>
      </c>
      <c r="CC36" s="276">
        <f t="shared" si="1"/>
        <v>24</v>
      </c>
      <c r="CD36" s="276">
        <f t="shared" si="2"/>
        <v>10</v>
      </c>
      <c r="CE36" s="276">
        <f t="shared" si="3"/>
        <v>-4</v>
      </c>
      <c r="CF36" s="276">
        <f t="shared" si="4"/>
        <v>24</v>
      </c>
      <c r="CG36" s="276">
        <f t="shared" si="5"/>
        <v>10</v>
      </c>
    </row>
    <row r="37" spans="1:85">
      <c r="A37" s="549"/>
      <c r="B37" s="550"/>
      <c r="C37" s="282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83"/>
      <c r="U37" s="282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500"/>
      <c r="AN37" s="500"/>
      <c r="AO37" s="501"/>
      <c r="AP37" s="282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0"/>
      <c r="BD37" s="290"/>
      <c r="BE37" s="290"/>
      <c r="BF37" s="290"/>
      <c r="BG37" s="290"/>
      <c r="BH37" s="500"/>
      <c r="BI37" s="500"/>
      <c r="BJ37" s="501"/>
      <c r="BN37" s="213">
        <v>0</v>
      </c>
      <c r="BO37" s="209">
        <v>0</v>
      </c>
      <c r="BP37" s="205">
        <v>0</v>
      </c>
      <c r="BQ37" s="205">
        <v>17</v>
      </c>
      <c r="BR37" s="302">
        <v>0</v>
      </c>
      <c r="BS37" s="139"/>
      <c r="BU37" s="213">
        <v>0</v>
      </c>
      <c r="BV37" s="209">
        <v>0</v>
      </c>
      <c r="BW37" s="205">
        <v>0</v>
      </c>
      <c r="BX37" s="302">
        <v>18</v>
      </c>
      <c r="BY37" s="302">
        <v>0</v>
      </c>
      <c r="CA37" s="276">
        <v>35</v>
      </c>
      <c r="CB37" s="276">
        <f t="shared" si="0"/>
        <v>-4</v>
      </c>
      <c r="CC37" s="276">
        <f t="shared" si="1"/>
        <v>24</v>
      </c>
      <c r="CD37" s="276">
        <f t="shared" si="2"/>
        <v>10</v>
      </c>
      <c r="CE37" s="276">
        <f t="shared" si="3"/>
        <v>-4</v>
      </c>
      <c r="CF37" s="276">
        <f t="shared" si="4"/>
        <v>24</v>
      </c>
      <c r="CG37" s="276">
        <f t="shared" si="5"/>
        <v>10</v>
      </c>
    </row>
    <row r="38" spans="1:85">
      <c r="A38" s="549"/>
      <c r="B38" s="550"/>
      <c r="C38" s="282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  <c r="S38" s="290"/>
      <c r="T38" s="283"/>
      <c r="U38" s="282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90"/>
      <c r="AG38" s="290"/>
      <c r="AH38" s="290"/>
      <c r="AI38" s="290"/>
      <c r="AJ38" s="290"/>
      <c r="AK38" s="290"/>
      <c r="AL38" s="290"/>
      <c r="AM38" s="486">
        <v>0</v>
      </c>
      <c r="AN38" s="487"/>
      <c r="AO38" s="488"/>
      <c r="AP38" s="282"/>
      <c r="AQ38" s="290"/>
      <c r="AR38" s="290"/>
      <c r="AS38" s="290"/>
      <c r="AT38" s="290"/>
      <c r="AU38" s="290"/>
      <c r="AV38" s="290"/>
      <c r="AW38" s="290"/>
      <c r="AX38" s="290"/>
      <c r="AY38" s="290"/>
      <c r="AZ38" s="290"/>
      <c r="BA38" s="290"/>
      <c r="BB38" s="290"/>
      <c r="BC38" s="290"/>
      <c r="BD38" s="290"/>
      <c r="BE38" s="290"/>
      <c r="BF38" s="290"/>
      <c r="BG38" s="290"/>
      <c r="BH38" s="486">
        <v>0</v>
      </c>
      <c r="BI38" s="487"/>
      <c r="BJ38" s="488"/>
      <c r="BN38" s="213">
        <v>0</v>
      </c>
      <c r="BO38" s="209">
        <v>0</v>
      </c>
      <c r="BP38" s="205">
        <v>0</v>
      </c>
      <c r="BQ38" s="205">
        <v>-21</v>
      </c>
      <c r="BR38" s="302">
        <v>0</v>
      </c>
      <c r="BS38" s="139"/>
      <c r="BU38" s="213">
        <v>0</v>
      </c>
      <c r="BV38" s="209">
        <v>0</v>
      </c>
      <c r="BW38" s="205">
        <v>0</v>
      </c>
      <c r="BX38" s="302">
        <v>16</v>
      </c>
      <c r="BY38" s="302">
        <v>0</v>
      </c>
      <c r="CA38" s="276">
        <v>36</v>
      </c>
      <c r="CB38" s="276">
        <f t="shared" si="0"/>
        <v>-4</v>
      </c>
      <c r="CC38" s="276">
        <f t="shared" si="1"/>
        <v>24</v>
      </c>
      <c r="CD38" s="276">
        <f t="shared" si="2"/>
        <v>10</v>
      </c>
      <c r="CE38" s="276">
        <f t="shared" si="3"/>
        <v>-4</v>
      </c>
      <c r="CF38" s="276">
        <f t="shared" si="4"/>
        <v>24</v>
      </c>
      <c r="CG38" s="276">
        <f t="shared" si="5"/>
        <v>10</v>
      </c>
    </row>
    <row r="39" spans="1:85">
      <c r="A39" s="549"/>
      <c r="B39" s="550"/>
      <c r="C39" s="282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83"/>
      <c r="U39" s="282"/>
      <c r="V39" s="290"/>
      <c r="W39" s="290"/>
      <c r="X39" s="290"/>
      <c r="Y39" s="290"/>
      <c r="Z39" s="290"/>
      <c r="AA39" s="290"/>
      <c r="AB39" s="290"/>
      <c r="AC39" s="290"/>
      <c r="AD39" s="290"/>
      <c r="AE39" s="290"/>
      <c r="AF39" s="290"/>
      <c r="AG39" s="290"/>
      <c r="AH39" s="290"/>
      <c r="AI39" s="290"/>
      <c r="AJ39" s="290"/>
      <c r="AK39" s="290"/>
      <c r="AL39" s="290"/>
      <c r="AM39" s="489"/>
      <c r="AN39" s="490"/>
      <c r="AO39" s="491"/>
      <c r="AP39" s="282"/>
      <c r="AQ39" s="290"/>
      <c r="AR39" s="290"/>
      <c r="AS39" s="290"/>
      <c r="AT39" s="290"/>
      <c r="AU39" s="290"/>
      <c r="AV39" s="290"/>
      <c r="AW39" s="290"/>
      <c r="AX39" s="290"/>
      <c r="AY39" s="290"/>
      <c r="AZ39" s="290"/>
      <c r="BA39" s="290"/>
      <c r="BB39" s="290"/>
      <c r="BC39" s="290"/>
      <c r="BD39" s="290"/>
      <c r="BE39" s="290"/>
      <c r="BF39" s="290"/>
      <c r="BG39" s="290"/>
      <c r="BH39" s="489"/>
      <c r="BI39" s="490"/>
      <c r="BJ39" s="491"/>
      <c r="BN39" s="213">
        <v>0</v>
      </c>
      <c r="BO39" s="209">
        <v>0</v>
      </c>
      <c r="BP39" s="205">
        <v>0</v>
      </c>
      <c r="BQ39" s="205">
        <v>8</v>
      </c>
      <c r="BR39" s="302">
        <v>0</v>
      </c>
      <c r="BS39" s="139"/>
      <c r="BU39" s="213">
        <v>0</v>
      </c>
      <c r="BV39" s="209">
        <v>0</v>
      </c>
      <c r="BW39" s="205">
        <v>0</v>
      </c>
      <c r="BX39" s="302">
        <v>16</v>
      </c>
      <c r="BY39" s="302">
        <v>0</v>
      </c>
      <c r="CA39" s="276">
        <v>37</v>
      </c>
      <c r="CB39" s="276">
        <f t="shared" si="0"/>
        <v>-4</v>
      </c>
      <c r="CC39" s="276">
        <f t="shared" si="1"/>
        <v>24</v>
      </c>
      <c r="CD39" s="276">
        <f t="shared" si="2"/>
        <v>10</v>
      </c>
      <c r="CE39" s="276">
        <f t="shared" si="3"/>
        <v>-4</v>
      </c>
      <c r="CF39" s="276">
        <f t="shared" si="4"/>
        <v>24</v>
      </c>
      <c r="CG39" s="276">
        <f t="shared" si="5"/>
        <v>10</v>
      </c>
    </row>
    <row r="40" spans="1:85" ht="15" customHeight="1">
      <c r="A40" s="549"/>
      <c r="B40" s="550"/>
      <c r="C40" s="282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83"/>
      <c r="U40" s="282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90"/>
      <c r="AG40" s="290"/>
      <c r="AH40" s="290"/>
      <c r="AI40" s="290"/>
      <c r="AJ40" s="290"/>
      <c r="AK40" s="290"/>
      <c r="AL40" s="290"/>
      <c r="AM40" s="290"/>
      <c r="AN40" s="290"/>
      <c r="AO40" s="283"/>
      <c r="AP40" s="282"/>
      <c r="AQ40" s="290"/>
      <c r="AR40" s="290"/>
      <c r="AS40" s="290"/>
      <c r="AT40" s="290"/>
      <c r="AU40" s="290"/>
      <c r="AV40" s="290"/>
      <c r="AW40" s="290"/>
      <c r="AX40" s="290"/>
      <c r="AY40" s="290"/>
      <c r="AZ40" s="290"/>
      <c r="BA40" s="290"/>
      <c r="BB40" s="290"/>
      <c r="BC40" s="290"/>
      <c r="BD40" s="290"/>
      <c r="BE40" s="290"/>
      <c r="BF40" s="290"/>
      <c r="BG40" s="290"/>
      <c r="BH40" s="290"/>
      <c r="BI40" s="290"/>
      <c r="BJ40" s="283"/>
      <c r="BN40" s="213">
        <v>0</v>
      </c>
      <c r="BO40" s="209">
        <v>0</v>
      </c>
      <c r="BP40" s="205">
        <v>0</v>
      </c>
      <c r="BQ40" s="205">
        <v>16</v>
      </c>
      <c r="BR40" s="302">
        <v>0</v>
      </c>
      <c r="BS40" s="139"/>
      <c r="BU40" s="213">
        <v>0</v>
      </c>
      <c r="BV40" s="209">
        <v>0</v>
      </c>
      <c r="BW40" s="205">
        <v>0</v>
      </c>
      <c r="BX40" s="302">
        <v>21</v>
      </c>
      <c r="BY40" s="302">
        <v>0</v>
      </c>
      <c r="CA40" s="276">
        <v>38</v>
      </c>
      <c r="CB40" s="276">
        <f t="shared" si="0"/>
        <v>-4</v>
      </c>
      <c r="CC40" s="276">
        <f t="shared" si="1"/>
        <v>24</v>
      </c>
      <c r="CD40" s="276">
        <f t="shared" si="2"/>
        <v>10</v>
      </c>
      <c r="CE40" s="276">
        <f t="shared" si="3"/>
        <v>-4</v>
      </c>
      <c r="CF40" s="276">
        <f t="shared" si="4"/>
        <v>24</v>
      </c>
      <c r="CG40" s="276">
        <f t="shared" si="5"/>
        <v>10</v>
      </c>
    </row>
    <row r="41" spans="1:85" ht="15" customHeight="1">
      <c r="A41" s="549"/>
      <c r="B41" s="550"/>
      <c r="C41" s="282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83"/>
      <c r="U41" s="282"/>
      <c r="V41" s="290"/>
      <c r="W41" s="290"/>
      <c r="X41" s="290"/>
      <c r="Y41" s="290"/>
      <c r="Z41" s="290"/>
      <c r="AA41" s="290"/>
      <c r="AB41" s="290"/>
      <c r="AC41" s="290"/>
      <c r="AD41" s="290"/>
      <c r="AE41" s="290"/>
      <c r="AF41" s="290"/>
      <c r="AG41" s="290"/>
      <c r="AH41" s="290"/>
      <c r="AI41" s="290"/>
      <c r="AJ41" s="290"/>
      <c r="AK41" s="290"/>
      <c r="AL41" s="290"/>
      <c r="AM41" s="480" t="s">
        <v>941</v>
      </c>
      <c r="AN41" s="480"/>
      <c r="AO41" s="481"/>
      <c r="AP41" s="282"/>
      <c r="AQ41" s="290"/>
      <c r="AR41" s="290"/>
      <c r="AS41" s="290"/>
      <c r="AT41" s="290"/>
      <c r="AU41" s="290"/>
      <c r="AV41" s="290"/>
      <c r="AW41" s="290"/>
      <c r="AX41" s="290"/>
      <c r="AY41" s="290"/>
      <c r="AZ41" s="290"/>
      <c r="BA41" s="290"/>
      <c r="BB41" s="290"/>
      <c r="BC41" s="290"/>
      <c r="BD41" s="290"/>
      <c r="BE41" s="290"/>
      <c r="BF41" s="290"/>
      <c r="BG41" s="290"/>
      <c r="BH41" s="480" t="s">
        <v>941</v>
      </c>
      <c r="BI41" s="480"/>
      <c r="BJ41" s="481"/>
      <c r="BN41" s="213">
        <v>0</v>
      </c>
      <c r="BO41" s="209">
        <v>0</v>
      </c>
      <c r="BP41" s="205">
        <v>0</v>
      </c>
      <c r="BQ41" s="205">
        <v>4</v>
      </c>
      <c r="BR41" s="302">
        <v>0</v>
      </c>
      <c r="BS41" s="139"/>
      <c r="BU41" s="213">
        <v>0</v>
      </c>
      <c r="BV41" s="209">
        <v>0</v>
      </c>
      <c r="BW41" s="205">
        <v>0</v>
      </c>
      <c r="BX41" s="302">
        <v>17</v>
      </c>
      <c r="BY41" s="302">
        <v>0</v>
      </c>
      <c r="CA41" s="276">
        <v>39</v>
      </c>
      <c r="CB41" s="276">
        <f t="shared" si="0"/>
        <v>-4</v>
      </c>
      <c r="CC41" s="276">
        <f t="shared" si="1"/>
        <v>24</v>
      </c>
      <c r="CD41" s="276">
        <f t="shared" si="2"/>
        <v>10</v>
      </c>
      <c r="CE41" s="276">
        <f t="shared" si="3"/>
        <v>-4</v>
      </c>
      <c r="CF41" s="276">
        <f t="shared" si="4"/>
        <v>24</v>
      </c>
      <c r="CG41" s="276">
        <f t="shared" si="5"/>
        <v>10</v>
      </c>
    </row>
    <row r="42" spans="1:85" ht="15" customHeight="1">
      <c r="A42" s="549"/>
      <c r="B42" s="550"/>
      <c r="C42" s="282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290"/>
      <c r="R42" s="290"/>
      <c r="S42" s="290"/>
      <c r="T42" s="283"/>
      <c r="U42" s="282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90"/>
      <c r="AG42" s="290"/>
      <c r="AH42" s="290"/>
      <c r="AI42" s="290"/>
      <c r="AJ42" s="290"/>
      <c r="AK42" s="290"/>
      <c r="AL42" s="290"/>
      <c r="AM42" s="480"/>
      <c r="AN42" s="480"/>
      <c r="AO42" s="481"/>
      <c r="AP42" s="282"/>
      <c r="AQ42" s="290"/>
      <c r="AR42" s="290"/>
      <c r="AS42" s="290"/>
      <c r="AT42" s="290"/>
      <c r="AU42" s="290"/>
      <c r="AV42" s="290"/>
      <c r="AW42" s="290"/>
      <c r="AX42" s="290"/>
      <c r="AY42" s="290"/>
      <c r="AZ42" s="290"/>
      <c r="BA42" s="290"/>
      <c r="BB42" s="290"/>
      <c r="BC42" s="290"/>
      <c r="BD42" s="290"/>
      <c r="BE42" s="290"/>
      <c r="BF42" s="290"/>
      <c r="BG42" s="290"/>
      <c r="BH42" s="480"/>
      <c r="BI42" s="480"/>
      <c r="BJ42" s="481"/>
      <c r="BN42" s="213">
        <v>0</v>
      </c>
      <c r="BO42" s="209">
        <v>0</v>
      </c>
      <c r="BP42" s="205">
        <v>0</v>
      </c>
      <c r="BQ42" s="205">
        <v>18</v>
      </c>
      <c r="BR42" s="302">
        <v>0</v>
      </c>
      <c r="BS42" s="139"/>
      <c r="BU42" s="213">
        <v>0</v>
      </c>
      <c r="BV42" s="209">
        <v>0</v>
      </c>
      <c r="BW42" s="205">
        <v>0</v>
      </c>
      <c r="BX42" s="302">
        <v>18</v>
      </c>
      <c r="BY42" s="302">
        <v>0</v>
      </c>
      <c r="CA42" s="276">
        <v>40</v>
      </c>
      <c r="CB42" s="276">
        <f t="shared" si="0"/>
        <v>-4</v>
      </c>
      <c r="CC42" s="276">
        <f t="shared" si="1"/>
        <v>24</v>
      </c>
      <c r="CD42" s="276">
        <f t="shared" si="2"/>
        <v>10</v>
      </c>
      <c r="CE42" s="276">
        <f t="shared" si="3"/>
        <v>-4</v>
      </c>
      <c r="CF42" s="276">
        <f t="shared" si="4"/>
        <v>24</v>
      </c>
      <c r="CG42" s="276">
        <f t="shared" si="5"/>
        <v>10</v>
      </c>
    </row>
    <row r="43" spans="1:85" ht="15" customHeight="1">
      <c r="A43" s="549"/>
      <c r="B43" s="550"/>
      <c r="C43" s="282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83"/>
      <c r="U43" s="282"/>
      <c r="V43" s="290"/>
      <c r="W43" s="290"/>
      <c r="X43" s="290"/>
      <c r="Y43" s="290"/>
      <c r="Z43" s="290"/>
      <c r="AA43" s="290"/>
      <c r="AB43" s="290"/>
      <c r="AC43" s="290"/>
      <c r="AD43" s="290"/>
      <c r="AE43" s="290"/>
      <c r="AF43" s="290"/>
      <c r="AG43" s="290"/>
      <c r="AH43" s="290"/>
      <c r="AI43" s="290"/>
      <c r="AJ43" s="290"/>
      <c r="AK43" s="290"/>
      <c r="AL43" s="290"/>
      <c r="AM43" s="482">
        <f>SUM(BR3:BR192)</f>
        <v>0</v>
      </c>
      <c r="AN43" s="482"/>
      <c r="AO43" s="483"/>
      <c r="AP43" s="282"/>
      <c r="AQ43" s="290"/>
      <c r="AR43" s="290"/>
      <c r="AS43" s="290"/>
      <c r="AT43" s="290"/>
      <c r="AU43" s="290"/>
      <c r="AV43" s="290"/>
      <c r="AW43" s="290"/>
      <c r="AX43" s="290"/>
      <c r="AY43" s="290"/>
      <c r="AZ43" s="290"/>
      <c r="BA43" s="290"/>
      <c r="BB43" s="290"/>
      <c r="BC43" s="290"/>
      <c r="BD43" s="290"/>
      <c r="BE43" s="290"/>
      <c r="BF43" s="290"/>
      <c r="BG43" s="290"/>
      <c r="BH43" s="482">
        <f>SUM(BY3:BY192)</f>
        <v>0</v>
      </c>
      <c r="BI43" s="482"/>
      <c r="BJ43" s="483"/>
      <c r="BN43" s="213">
        <v>0</v>
      </c>
      <c r="BO43" s="209">
        <v>0</v>
      </c>
      <c r="BP43" s="205">
        <v>0</v>
      </c>
      <c r="BQ43" s="205">
        <v>19</v>
      </c>
      <c r="BR43" s="302">
        <v>0</v>
      </c>
      <c r="BS43" s="139"/>
      <c r="BU43" s="213"/>
      <c r="BV43" s="209"/>
      <c r="BW43" s="205"/>
      <c r="BX43" s="302"/>
      <c r="BY43" s="302"/>
      <c r="CA43" s="276">
        <v>41</v>
      </c>
      <c r="CB43" s="276">
        <f t="shared" si="0"/>
        <v>-4</v>
      </c>
      <c r="CC43" s="276">
        <f t="shared" si="1"/>
        <v>24</v>
      </c>
      <c r="CD43" s="276">
        <f t="shared" si="2"/>
        <v>10</v>
      </c>
      <c r="CE43" s="276">
        <f t="shared" si="3"/>
        <v>-4</v>
      </c>
      <c r="CF43" s="276">
        <f t="shared" si="4"/>
        <v>24</v>
      </c>
      <c r="CG43" s="276">
        <f t="shared" si="5"/>
        <v>10</v>
      </c>
    </row>
    <row r="44" spans="1:85" ht="15" customHeight="1">
      <c r="A44" s="549"/>
      <c r="B44" s="550"/>
      <c r="C44" s="282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290"/>
      <c r="R44" s="290"/>
      <c r="S44" s="290"/>
      <c r="T44" s="283"/>
      <c r="U44" s="282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90"/>
      <c r="AG44" s="290"/>
      <c r="AH44" s="290"/>
      <c r="AI44" s="290"/>
      <c r="AJ44" s="290"/>
      <c r="AK44" s="290"/>
      <c r="AL44" s="290"/>
      <c r="AM44" s="482"/>
      <c r="AN44" s="482"/>
      <c r="AO44" s="483"/>
      <c r="AP44" s="282"/>
      <c r="AQ44" s="290"/>
      <c r="AR44" s="290"/>
      <c r="AS44" s="290"/>
      <c r="AT44" s="290"/>
      <c r="AU44" s="290"/>
      <c r="AV44" s="290"/>
      <c r="AW44" s="290"/>
      <c r="AX44" s="290"/>
      <c r="AY44" s="290"/>
      <c r="AZ44" s="290"/>
      <c r="BA44" s="290"/>
      <c r="BB44" s="290"/>
      <c r="BC44" s="290"/>
      <c r="BD44" s="290"/>
      <c r="BE44" s="290"/>
      <c r="BF44" s="290"/>
      <c r="BG44" s="290"/>
      <c r="BH44" s="482"/>
      <c r="BI44" s="482"/>
      <c r="BJ44" s="483"/>
      <c r="BN44" s="213">
        <v>0</v>
      </c>
      <c r="BO44" s="209">
        <v>0</v>
      </c>
      <c r="BP44" s="205">
        <v>0</v>
      </c>
      <c r="BQ44" s="205">
        <v>19</v>
      </c>
      <c r="BR44" s="302">
        <v>0</v>
      </c>
      <c r="BS44" s="139"/>
      <c r="BU44" s="213"/>
      <c r="BV44" s="209"/>
      <c r="BW44" s="205"/>
      <c r="BX44" s="302"/>
      <c r="BY44" s="302"/>
      <c r="CA44" s="276">
        <v>42</v>
      </c>
      <c r="CB44" s="276">
        <f t="shared" si="0"/>
        <v>-4</v>
      </c>
      <c r="CC44" s="276">
        <f t="shared" si="1"/>
        <v>24</v>
      </c>
      <c r="CD44" s="276">
        <f t="shared" si="2"/>
        <v>10</v>
      </c>
      <c r="CE44" s="276">
        <f t="shared" si="3"/>
        <v>-4</v>
      </c>
      <c r="CF44" s="276">
        <f t="shared" si="4"/>
        <v>24</v>
      </c>
      <c r="CG44" s="276">
        <f t="shared" si="5"/>
        <v>10</v>
      </c>
    </row>
    <row r="45" spans="1:85" ht="15.75" thickBot="1">
      <c r="A45" s="551"/>
      <c r="B45" s="552"/>
      <c r="C45" s="284"/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85"/>
      <c r="U45" s="284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  <c r="AG45" s="292"/>
      <c r="AH45" s="292"/>
      <c r="AI45" s="292"/>
      <c r="AJ45" s="292"/>
      <c r="AK45" s="292"/>
      <c r="AL45" s="292"/>
      <c r="AM45" s="482"/>
      <c r="AN45" s="482"/>
      <c r="AO45" s="483"/>
      <c r="AP45" s="284"/>
      <c r="AQ45" s="292"/>
      <c r="AR45" s="292"/>
      <c r="AS45" s="292"/>
      <c r="AT45" s="292"/>
      <c r="AU45" s="292"/>
      <c r="AV45" s="292"/>
      <c r="AW45" s="292"/>
      <c r="AX45" s="292"/>
      <c r="AY45" s="292"/>
      <c r="AZ45" s="292"/>
      <c r="BA45" s="292"/>
      <c r="BB45" s="292"/>
      <c r="BC45" s="292"/>
      <c r="BD45" s="292"/>
      <c r="BE45" s="292"/>
      <c r="BF45" s="292"/>
      <c r="BG45" s="292"/>
      <c r="BH45" s="482"/>
      <c r="BI45" s="482"/>
      <c r="BJ45" s="483"/>
      <c r="BN45" s="213">
        <v>0</v>
      </c>
      <c r="BO45" s="209">
        <v>0</v>
      </c>
      <c r="BP45" s="205">
        <v>0</v>
      </c>
      <c r="BQ45" s="205">
        <v>7</v>
      </c>
      <c r="BR45" s="302">
        <v>0</v>
      </c>
      <c r="BS45" s="139"/>
      <c r="BU45" s="213"/>
      <c r="BV45" s="209"/>
      <c r="BW45" s="205"/>
      <c r="BX45" s="302"/>
      <c r="BY45" s="302"/>
      <c r="CA45" s="276">
        <v>43</v>
      </c>
      <c r="CB45" s="276">
        <f t="shared" si="0"/>
        <v>-4</v>
      </c>
      <c r="CC45" s="276">
        <f t="shared" si="1"/>
        <v>24</v>
      </c>
      <c r="CD45" s="276">
        <f t="shared" si="2"/>
        <v>10</v>
      </c>
      <c r="CE45" s="276">
        <f t="shared" si="3"/>
        <v>-4</v>
      </c>
      <c r="CF45" s="276">
        <f t="shared" si="4"/>
        <v>24</v>
      </c>
      <c r="CG45" s="276">
        <f t="shared" si="5"/>
        <v>10</v>
      </c>
    </row>
    <row r="46" spans="1:85" ht="15.75" thickBot="1">
      <c r="BN46" s="213">
        <v>0</v>
      </c>
      <c r="BO46" s="209">
        <v>0</v>
      </c>
      <c r="BP46" s="205">
        <v>0</v>
      </c>
      <c r="BQ46" s="205">
        <v>19</v>
      </c>
      <c r="BR46" s="302">
        <v>0</v>
      </c>
      <c r="BS46" s="139"/>
      <c r="BU46" s="213"/>
      <c r="BV46" s="209"/>
      <c r="BW46" s="205"/>
      <c r="BX46" s="302"/>
      <c r="BY46" s="302"/>
      <c r="CA46" s="276">
        <v>44</v>
      </c>
      <c r="CB46" s="276">
        <f t="shared" si="0"/>
        <v>-4</v>
      </c>
      <c r="CC46" s="276">
        <f t="shared" si="1"/>
        <v>24</v>
      </c>
      <c r="CD46" s="276">
        <f t="shared" si="2"/>
        <v>10</v>
      </c>
      <c r="CE46" s="276">
        <f t="shared" si="3"/>
        <v>-4</v>
      </c>
      <c r="CF46" s="276">
        <f t="shared" si="4"/>
        <v>24</v>
      </c>
      <c r="CG46" s="276">
        <f t="shared" si="5"/>
        <v>10</v>
      </c>
    </row>
    <row r="47" spans="1:85" ht="45" customHeight="1" thickBot="1">
      <c r="C47" s="468" t="s">
        <v>2147</v>
      </c>
      <c r="D47" s="471">
        <v>44137</v>
      </c>
      <c r="E47" s="471">
        <v>44138</v>
      </c>
      <c r="F47" s="471">
        <v>44140</v>
      </c>
      <c r="G47" s="471">
        <v>44141</v>
      </c>
      <c r="H47" s="471">
        <v>44144</v>
      </c>
      <c r="I47" s="471">
        <v>44145</v>
      </c>
      <c r="J47" s="471">
        <v>44146</v>
      </c>
      <c r="K47" s="471">
        <v>44147</v>
      </c>
      <c r="L47" s="471">
        <v>44148</v>
      </c>
      <c r="M47" s="471">
        <v>44151</v>
      </c>
      <c r="N47" s="471">
        <v>44152</v>
      </c>
      <c r="O47" s="471">
        <v>44153</v>
      </c>
      <c r="P47" s="471">
        <v>44154</v>
      </c>
      <c r="Q47" s="471">
        <v>44155</v>
      </c>
      <c r="R47" s="471">
        <v>44158</v>
      </c>
      <c r="S47" s="471">
        <v>44159</v>
      </c>
      <c r="T47" s="471">
        <v>44160</v>
      </c>
      <c r="U47" s="471">
        <v>44161</v>
      </c>
      <c r="V47" s="471">
        <v>44162</v>
      </c>
      <c r="W47" s="471">
        <v>44165</v>
      </c>
      <c r="X47" s="471"/>
      <c r="Y47" s="471"/>
      <c r="Z47" s="471"/>
      <c r="AA47" s="471"/>
      <c r="AB47" s="471"/>
      <c r="AC47" s="471"/>
      <c r="AD47" s="472"/>
      <c r="BN47" s="213">
        <v>0</v>
      </c>
      <c r="BO47" s="209">
        <v>0</v>
      </c>
      <c r="BP47" s="205">
        <v>0</v>
      </c>
      <c r="BQ47" s="205">
        <v>21</v>
      </c>
      <c r="BR47" s="302">
        <v>0</v>
      </c>
      <c r="BS47" s="139"/>
      <c r="BU47" s="213"/>
      <c r="BV47" s="209"/>
      <c r="BW47" s="205"/>
      <c r="BX47" s="302"/>
      <c r="BY47" s="302"/>
      <c r="CA47" s="276">
        <v>45</v>
      </c>
      <c r="CB47" s="276">
        <f t="shared" si="0"/>
        <v>-4</v>
      </c>
      <c r="CC47" s="276">
        <f t="shared" si="1"/>
        <v>24</v>
      </c>
      <c r="CD47" s="276">
        <f t="shared" si="2"/>
        <v>10</v>
      </c>
      <c r="CE47" s="276">
        <f t="shared" si="3"/>
        <v>-4</v>
      </c>
      <c r="CF47" s="276">
        <f t="shared" si="4"/>
        <v>24</v>
      </c>
      <c r="CG47" s="276">
        <f t="shared" si="5"/>
        <v>10</v>
      </c>
    </row>
    <row r="48" spans="1:85" s="277" customFormat="1" ht="15.75" thickBot="1">
      <c r="C48" s="506" t="s">
        <v>944</v>
      </c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07"/>
      <c r="S48" s="507"/>
      <c r="T48" s="507"/>
      <c r="U48" s="507"/>
      <c r="V48" s="507"/>
      <c r="W48" s="507"/>
      <c r="X48" s="507"/>
      <c r="Y48" s="507"/>
      <c r="Z48" s="507"/>
      <c r="AA48" s="507"/>
      <c r="AB48" s="507"/>
      <c r="AC48" s="507"/>
      <c r="AD48" s="508"/>
      <c r="BN48" s="213">
        <v>0</v>
      </c>
      <c r="BO48" s="209">
        <v>0</v>
      </c>
      <c r="BP48" s="205">
        <v>0</v>
      </c>
      <c r="BQ48" s="205">
        <v>7</v>
      </c>
      <c r="BR48" s="302">
        <v>0</v>
      </c>
      <c r="BS48" s="139"/>
      <c r="BU48" s="213"/>
      <c r="BV48" s="209"/>
      <c r="BW48" s="205"/>
      <c r="BX48" s="302"/>
      <c r="BY48" s="302"/>
      <c r="CA48" s="276">
        <v>46</v>
      </c>
      <c r="CB48" s="276">
        <f t="shared" si="0"/>
        <v>-4</v>
      </c>
      <c r="CC48" s="276">
        <f t="shared" si="1"/>
        <v>24</v>
      </c>
      <c r="CD48" s="276">
        <f t="shared" si="2"/>
        <v>10</v>
      </c>
      <c r="CE48" s="276">
        <f t="shared" si="3"/>
        <v>-4</v>
      </c>
      <c r="CF48" s="276">
        <f t="shared" si="4"/>
        <v>24</v>
      </c>
      <c r="CG48" s="276">
        <f t="shared" si="5"/>
        <v>10</v>
      </c>
    </row>
    <row r="49" spans="1:85" s="277" customFormat="1" ht="17.25" customHeight="1" thickBot="1">
      <c r="C49" s="509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1"/>
      <c r="AR49" s="473">
        <v>44144</v>
      </c>
      <c r="AS49" s="469"/>
      <c r="AT49" s="469"/>
      <c r="AU49" s="470"/>
      <c r="AV49" s="365" t="s">
        <v>15</v>
      </c>
      <c r="AW49" s="366"/>
      <c r="AX49" s="367"/>
      <c r="AY49" s="365" t="s">
        <v>150</v>
      </c>
      <c r="AZ49" s="366"/>
      <c r="BA49" s="367"/>
      <c r="BN49" s="213">
        <v>0</v>
      </c>
      <c r="BO49" s="209">
        <v>0</v>
      </c>
      <c r="BP49" s="205">
        <v>0</v>
      </c>
      <c r="BQ49" s="205">
        <v>2</v>
      </c>
      <c r="BR49" s="302">
        <v>0</v>
      </c>
      <c r="BS49" s="139"/>
      <c r="BU49" s="213"/>
      <c r="BV49" s="209"/>
      <c r="BW49" s="205"/>
      <c r="BX49" s="302"/>
      <c r="BY49" s="302"/>
      <c r="CA49" s="276">
        <v>47</v>
      </c>
      <c r="CB49" s="276">
        <f t="shared" si="0"/>
        <v>-4</v>
      </c>
      <c r="CC49" s="276">
        <f t="shared" si="1"/>
        <v>24</v>
      </c>
      <c r="CD49" s="276">
        <f t="shared" si="2"/>
        <v>10</v>
      </c>
      <c r="CE49" s="276">
        <f t="shared" si="3"/>
        <v>-4</v>
      </c>
      <c r="CF49" s="276">
        <f t="shared" si="4"/>
        <v>24</v>
      </c>
      <c r="CG49" s="276">
        <f t="shared" si="5"/>
        <v>10</v>
      </c>
    </row>
    <row r="50" spans="1:85" s="277" customFormat="1" ht="23.25" customHeight="1" thickBot="1">
      <c r="C50" s="315" t="s">
        <v>942</v>
      </c>
      <c r="D50" s="316">
        <v>44137</v>
      </c>
      <c r="E50" s="316">
        <v>44138</v>
      </c>
      <c r="F50" s="316">
        <v>44140</v>
      </c>
      <c r="G50" s="316">
        <v>44141</v>
      </c>
      <c r="H50" s="316">
        <v>44144</v>
      </c>
      <c r="I50" s="316">
        <v>44145</v>
      </c>
      <c r="J50" s="316">
        <v>44146</v>
      </c>
      <c r="K50" s="316">
        <v>44147</v>
      </c>
      <c r="L50" s="316">
        <v>44148</v>
      </c>
      <c r="M50" s="316">
        <v>44151</v>
      </c>
      <c r="N50" s="316">
        <v>44152</v>
      </c>
      <c r="O50" s="316">
        <v>44153</v>
      </c>
      <c r="P50" s="316">
        <v>44154</v>
      </c>
      <c r="Q50" s="316">
        <v>44155</v>
      </c>
      <c r="R50" s="316">
        <v>44158</v>
      </c>
      <c r="S50" s="316">
        <v>44159</v>
      </c>
      <c r="T50" s="316">
        <v>44160</v>
      </c>
      <c r="U50" s="316">
        <v>44161</v>
      </c>
      <c r="V50" s="316">
        <v>44162</v>
      </c>
      <c r="W50" s="316">
        <v>44165</v>
      </c>
      <c r="X50" s="316"/>
      <c r="Y50" s="316"/>
      <c r="Z50" s="316"/>
      <c r="AA50" s="316"/>
      <c r="AB50" s="316"/>
      <c r="AC50" s="316"/>
      <c r="AD50" s="317"/>
      <c r="AR50" s="526" t="s">
        <v>139</v>
      </c>
      <c r="AS50" s="527"/>
      <c r="AT50" s="527"/>
      <c r="AU50" s="528"/>
      <c r="AV50" s="543" t="s">
        <v>53</v>
      </c>
      <c r="AW50" s="544"/>
      <c r="AX50" s="368" t="s">
        <v>1142</v>
      </c>
      <c r="AY50" s="369" t="s">
        <v>1143</v>
      </c>
      <c r="AZ50" s="368" t="s">
        <v>1142</v>
      </c>
      <c r="BA50" s="369" t="s">
        <v>1143</v>
      </c>
      <c r="BN50" s="213">
        <v>0</v>
      </c>
      <c r="BO50" s="209">
        <v>0</v>
      </c>
      <c r="BP50" s="205">
        <v>0</v>
      </c>
      <c r="BQ50" s="205">
        <v>19</v>
      </c>
      <c r="BR50" s="302">
        <v>0</v>
      </c>
      <c r="BS50" s="139"/>
      <c r="BU50" s="213"/>
      <c r="BV50" s="209"/>
      <c r="BW50" s="205"/>
      <c r="BX50" s="302"/>
      <c r="BY50" s="302"/>
      <c r="CA50" s="276">
        <v>48</v>
      </c>
      <c r="CB50" s="276">
        <f t="shared" si="0"/>
        <v>-4</v>
      </c>
      <c r="CC50" s="276">
        <f t="shared" si="1"/>
        <v>24</v>
      </c>
      <c r="CD50" s="276">
        <f t="shared" si="2"/>
        <v>10</v>
      </c>
      <c r="CE50" s="276">
        <f t="shared" si="3"/>
        <v>-4</v>
      </c>
      <c r="CF50" s="276">
        <f t="shared" si="4"/>
        <v>24</v>
      </c>
      <c r="CG50" s="276">
        <f t="shared" si="5"/>
        <v>10</v>
      </c>
    </row>
    <row r="51" spans="1:85" s="277" customFormat="1" ht="22.5" customHeight="1" thickBot="1">
      <c r="C51" s="309" t="s">
        <v>940</v>
      </c>
      <c r="D51" s="279">
        <v>1</v>
      </c>
      <c r="E51" s="279">
        <v>1</v>
      </c>
      <c r="F51" s="279">
        <v>1</v>
      </c>
      <c r="G51" s="279">
        <v>1</v>
      </c>
      <c r="H51" s="279">
        <v>1</v>
      </c>
      <c r="I51" s="279">
        <v>1</v>
      </c>
      <c r="J51" s="279">
        <v>1</v>
      </c>
      <c r="K51" s="279">
        <v>1</v>
      </c>
      <c r="L51" s="279">
        <v>1</v>
      </c>
      <c r="M51" s="279">
        <v>1</v>
      </c>
      <c r="N51" s="279">
        <v>1</v>
      </c>
      <c r="O51" s="279">
        <v>1</v>
      </c>
      <c r="P51" s="279">
        <v>1</v>
      </c>
      <c r="Q51" s="279">
        <v>1</v>
      </c>
      <c r="R51" s="279">
        <v>1</v>
      </c>
      <c r="S51" s="279">
        <v>1</v>
      </c>
      <c r="T51" s="279">
        <v>1</v>
      </c>
      <c r="U51" s="279">
        <v>1</v>
      </c>
      <c r="V51" s="279">
        <v>1</v>
      </c>
      <c r="W51" s="279">
        <v>1</v>
      </c>
      <c r="X51" s="279"/>
      <c r="Y51" s="279"/>
      <c r="Z51" s="279"/>
      <c r="AA51" s="279"/>
      <c r="AB51" s="279"/>
      <c r="AC51" s="279"/>
      <c r="AD51" s="310"/>
      <c r="AR51" s="541" t="s">
        <v>36</v>
      </c>
      <c r="AS51" s="542"/>
      <c r="AT51" s="370" t="s">
        <v>132</v>
      </c>
      <c r="AU51" s="371" t="s">
        <v>26</v>
      </c>
      <c r="AV51" s="372" t="s">
        <v>150</v>
      </c>
      <c r="AW51" s="373">
        <f>COUNT(BQ3:BQ192)</f>
        <v>157</v>
      </c>
      <c r="AX51" s="374">
        <f>INDEX(BN3:BN192,COUNTA(BN3:BN192))</f>
        <v>0</v>
      </c>
      <c r="AY51" s="375">
        <f>INDEX(BO3:BO192,COUNTA(BO3:BO192))</f>
        <v>0</v>
      </c>
      <c r="AZ51" s="376">
        <v>0</v>
      </c>
      <c r="BA51" s="377">
        <v>0</v>
      </c>
      <c r="BN51" s="213">
        <v>0</v>
      </c>
      <c r="BO51" s="209">
        <v>0</v>
      </c>
      <c r="BP51" s="205">
        <v>0</v>
      </c>
      <c r="BQ51" s="205">
        <v>7</v>
      </c>
      <c r="BR51" s="302">
        <v>0</v>
      </c>
      <c r="BS51" s="139"/>
      <c r="BU51" s="213"/>
      <c r="BV51" s="209"/>
      <c r="BW51" s="205"/>
      <c r="BX51" s="302"/>
      <c r="BY51" s="302"/>
      <c r="CA51" s="276">
        <v>49</v>
      </c>
      <c r="CB51" s="276">
        <f t="shared" si="0"/>
        <v>-4</v>
      </c>
      <c r="CC51" s="276">
        <f t="shared" si="1"/>
        <v>24</v>
      </c>
      <c r="CD51" s="276">
        <f t="shared" si="2"/>
        <v>10</v>
      </c>
      <c r="CE51" s="276">
        <f t="shared" si="3"/>
        <v>-4</v>
      </c>
      <c r="CF51" s="276">
        <f t="shared" si="4"/>
        <v>24</v>
      </c>
      <c r="CG51" s="276">
        <f t="shared" si="5"/>
        <v>10</v>
      </c>
    </row>
    <row r="52" spans="1:85" s="277" customFormat="1" ht="18" customHeight="1" thickBot="1">
      <c r="C52" s="326" t="s">
        <v>937</v>
      </c>
      <c r="D52" s="327">
        <v>0</v>
      </c>
      <c r="E52" s="327">
        <v>0</v>
      </c>
      <c r="F52" s="327">
        <v>0</v>
      </c>
      <c r="G52" s="327">
        <v>0</v>
      </c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8"/>
      <c r="AR52" s="524"/>
      <c r="AS52" s="525"/>
      <c r="AT52" s="378"/>
      <c r="AU52" s="379"/>
      <c r="AV52" s="380" t="s">
        <v>151</v>
      </c>
      <c r="AW52" s="381">
        <f>COUNT(BX3:BX192)</f>
        <v>40</v>
      </c>
      <c r="AX52" s="382">
        <f>INDEX(BU3:BU192,COUNTA(BU3:BU192))</f>
        <v>0</v>
      </c>
      <c r="AY52" s="383">
        <f>INDEX(BV3:BV192,COUNTA(BV3:BV192))</f>
        <v>0</v>
      </c>
      <c r="AZ52" s="384"/>
      <c r="BA52" s="384"/>
      <c r="BN52" s="213">
        <v>0</v>
      </c>
      <c r="BO52" s="209">
        <v>0</v>
      </c>
      <c r="BP52" s="205">
        <v>0</v>
      </c>
      <c r="BQ52" s="205">
        <v>2</v>
      </c>
      <c r="BR52" s="302">
        <v>0</v>
      </c>
      <c r="BS52" s="139"/>
      <c r="BU52" s="213"/>
      <c r="BV52" s="209"/>
      <c r="BW52" s="205"/>
      <c r="BX52" s="302"/>
      <c r="BY52" s="302"/>
      <c r="CA52" s="276">
        <v>50</v>
      </c>
      <c r="CB52" s="276">
        <f t="shared" si="0"/>
        <v>-4</v>
      </c>
      <c r="CC52" s="276">
        <f t="shared" si="1"/>
        <v>24</v>
      </c>
      <c r="CD52" s="276">
        <f t="shared" si="2"/>
        <v>10</v>
      </c>
      <c r="CE52" s="276">
        <f t="shared" si="3"/>
        <v>-4</v>
      </c>
      <c r="CF52" s="276">
        <f t="shared" si="4"/>
        <v>24</v>
      </c>
      <c r="CG52" s="276">
        <f t="shared" si="5"/>
        <v>10</v>
      </c>
    </row>
    <row r="53" spans="1:85" s="277" customFormat="1" ht="15" customHeight="1">
      <c r="C53" s="329" t="s">
        <v>938</v>
      </c>
      <c r="D53" s="330">
        <v>0</v>
      </c>
      <c r="E53" s="330">
        <v>0</v>
      </c>
      <c r="F53" s="330">
        <v>0</v>
      </c>
      <c r="G53" s="330">
        <v>0</v>
      </c>
      <c r="H53" s="330">
        <v>0</v>
      </c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1"/>
      <c r="AR53" s="524"/>
      <c r="AS53" s="525"/>
      <c r="AT53" s="378" t="s">
        <v>1141</v>
      </c>
      <c r="AU53" s="379"/>
      <c r="AV53" s="520" t="s">
        <v>1140</v>
      </c>
      <c r="AW53" s="521"/>
      <c r="AX53" s="521"/>
      <c r="AY53" s="369">
        <v>0</v>
      </c>
      <c r="AZ53" s="384"/>
      <c r="BA53" s="384"/>
      <c r="BN53" s="213">
        <v>0</v>
      </c>
      <c r="BO53" s="209">
        <v>0</v>
      </c>
      <c r="BP53" s="205">
        <v>0</v>
      </c>
      <c r="BQ53" s="205">
        <v>24</v>
      </c>
      <c r="BR53" s="302">
        <v>0</v>
      </c>
      <c r="BS53" s="139"/>
      <c r="BU53" s="213"/>
      <c r="BV53" s="209"/>
      <c r="BW53" s="205"/>
      <c r="BX53" s="302"/>
      <c r="BY53" s="302"/>
      <c r="CA53" s="276">
        <v>51</v>
      </c>
      <c r="CB53" s="276">
        <f t="shared" si="0"/>
        <v>-4</v>
      </c>
      <c r="CC53" s="276">
        <f t="shared" si="1"/>
        <v>24</v>
      </c>
      <c r="CD53" s="276">
        <f t="shared" si="2"/>
        <v>10</v>
      </c>
      <c r="CE53" s="276">
        <f t="shared" si="3"/>
        <v>-4</v>
      </c>
      <c r="CF53" s="276">
        <f t="shared" si="4"/>
        <v>24</v>
      </c>
      <c r="CG53" s="276">
        <f t="shared" si="5"/>
        <v>10</v>
      </c>
    </row>
    <row r="54" spans="1:85" s="277" customFormat="1" ht="17.25" customHeight="1">
      <c r="A54" s="278"/>
      <c r="B54" s="396"/>
      <c r="C54" s="311" t="s">
        <v>93</v>
      </c>
      <c r="D54" s="279">
        <v>1</v>
      </c>
      <c r="E54" s="279">
        <v>1</v>
      </c>
      <c r="F54" s="279">
        <v>1</v>
      </c>
      <c r="G54" s="279">
        <v>1</v>
      </c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79"/>
      <c r="S54" s="279"/>
      <c r="T54" s="279"/>
      <c r="U54" s="279"/>
      <c r="V54" s="279"/>
      <c r="W54" s="279"/>
      <c r="X54" s="279"/>
      <c r="Y54" s="279"/>
      <c r="Z54" s="279"/>
      <c r="AA54" s="279"/>
      <c r="AB54" s="279"/>
      <c r="AC54" s="279"/>
      <c r="AD54" s="310"/>
      <c r="AR54" s="524"/>
      <c r="AS54" s="525"/>
      <c r="AT54" s="378" t="s">
        <v>1141</v>
      </c>
      <c r="AU54" s="379"/>
      <c r="AV54" s="484" t="s">
        <v>1144</v>
      </c>
      <c r="AW54" s="485"/>
      <c r="AX54" s="485"/>
      <c r="AY54" s="385">
        <v>0.93630573248407645</v>
      </c>
      <c r="AZ54" s="384"/>
      <c r="BA54" s="384"/>
      <c r="BN54" s="213">
        <v>0</v>
      </c>
      <c r="BO54" s="209">
        <v>0</v>
      </c>
      <c r="BP54" s="205">
        <v>0</v>
      </c>
      <c r="BQ54" s="205">
        <v>-1</v>
      </c>
      <c r="BR54" s="302">
        <v>0</v>
      </c>
      <c r="BS54" s="139"/>
      <c r="BU54" s="213"/>
      <c r="BV54" s="209"/>
      <c r="BW54" s="205"/>
      <c r="BX54" s="302"/>
      <c r="BY54" s="302"/>
      <c r="CA54" s="276">
        <v>52</v>
      </c>
      <c r="CB54" s="276">
        <f t="shared" si="0"/>
        <v>-4</v>
      </c>
      <c r="CC54" s="276">
        <f t="shared" si="1"/>
        <v>24</v>
      </c>
      <c r="CD54" s="276">
        <f t="shared" si="2"/>
        <v>10</v>
      </c>
      <c r="CE54" s="276">
        <f t="shared" si="3"/>
        <v>-4</v>
      </c>
      <c r="CF54" s="276">
        <f t="shared" si="4"/>
        <v>24</v>
      </c>
      <c r="CG54" s="276">
        <f t="shared" si="5"/>
        <v>10</v>
      </c>
    </row>
    <row r="55" spans="1:85" s="277" customFormat="1" ht="15.75" customHeight="1" thickBot="1">
      <c r="C55" s="311" t="s">
        <v>150</v>
      </c>
      <c r="D55" s="354">
        <v>155</v>
      </c>
      <c r="E55" s="354">
        <v>139</v>
      </c>
      <c r="F55" s="354">
        <v>163</v>
      </c>
      <c r="G55" s="354">
        <v>165</v>
      </c>
      <c r="H55" s="354">
        <v>157</v>
      </c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54"/>
      <c r="Y55" s="354"/>
      <c r="Z55" s="354"/>
      <c r="AA55" s="354"/>
      <c r="AB55" s="354"/>
      <c r="AC55" s="354"/>
      <c r="AD55" s="355"/>
      <c r="AR55" s="524"/>
      <c r="AS55" s="525"/>
      <c r="AT55" s="378" t="s">
        <v>1141</v>
      </c>
      <c r="AU55" s="379"/>
      <c r="AV55" s="522" t="s">
        <v>1145</v>
      </c>
      <c r="AW55" s="523"/>
      <c r="AX55" s="523"/>
      <c r="AY55" s="386">
        <v>0</v>
      </c>
      <c r="AZ55" s="323"/>
      <c r="BA55" s="323"/>
      <c r="BN55" s="213">
        <v>0</v>
      </c>
      <c r="BO55" s="209">
        <v>0</v>
      </c>
      <c r="BP55" s="205">
        <v>0</v>
      </c>
      <c r="BQ55" s="205">
        <v>18</v>
      </c>
      <c r="BR55" s="302">
        <v>0</v>
      </c>
      <c r="BS55" s="139"/>
      <c r="BU55" s="213"/>
      <c r="BV55" s="209"/>
      <c r="BW55" s="205"/>
      <c r="BX55" s="302"/>
      <c r="BY55" s="302"/>
      <c r="CA55" s="276">
        <v>53</v>
      </c>
      <c r="CB55" s="276">
        <f t="shared" si="0"/>
        <v>-4</v>
      </c>
      <c r="CC55" s="276">
        <f t="shared" si="1"/>
        <v>24</v>
      </c>
      <c r="CD55" s="276">
        <f t="shared" si="2"/>
        <v>10</v>
      </c>
      <c r="CE55" s="276">
        <f t="shared" si="3"/>
        <v>-4</v>
      </c>
      <c r="CF55" s="276">
        <f t="shared" si="4"/>
        <v>24</v>
      </c>
      <c r="CG55" s="276">
        <f t="shared" si="5"/>
        <v>10</v>
      </c>
    </row>
    <row r="56" spans="1:85" s="277" customFormat="1" ht="15.75" customHeight="1" thickBot="1">
      <c r="C56" s="312" t="s">
        <v>151</v>
      </c>
      <c r="D56" s="356">
        <v>168</v>
      </c>
      <c r="E56" s="356">
        <v>146</v>
      </c>
      <c r="F56" s="356">
        <v>137</v>
      </c>
      <c r="G56" s="356">
        <v>158</v>
      </c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56"/>
      <c r="Y56" s="356"/>
      <c r="Z56" s="356"/>
      <c r="AA56" s="356"/>
      <c r="AB56" s="356"/>
      <c r="AC56" s="356"/>
      <c r="AD56" s="357"/>
      <c r="AR56" s="524"/>
      <c r="AS56" s="525"/>
      <c r="AT56" s="378" t="s">
        <v>1141</v>
      </c>
      <c r="AU56" s="379"/>
      <c r="AV56" s="323"/>
      <c r="AW56" s="323"/>
      <c r="AX56" s="323"/>
      <c r="AY56" s="323"/>
      <c r="AZ56" s="323"/>
      <c r="BA56" s="323"/>
      <c r="BN56" s="213">
        <v>0</v>
      </c>
      <c r="BO56" s="209">
        <v>0</v>
      </c>
      <c r="BP56" s="205">
        <v>0</v>
      </c>
      <c r="BQ56" s="205">
        <v>5</v>
      </c>
      <c r="BR56" s="302">
        <v>0</v>
      </c>
      <c r="BS56" s="139"/>
      <c r="BU56" s="213"/>
      <c r="BV56" s="209"/>
      <c r="BW56" s="205"/>
      <c r="BX56" s="302"/>
      <c r="BY56" s="302"/>
      <c r="CA56" s="276">
        <v>54</v>
      </c>
      <c r="CB56" s="276">
        <f t="shared" si="0"/>
        <v>-4</v>
      </c>
      <c r="CC56" s="276">
        <f t="shared" si="1"/>
        <v>24</v>
      </c>
      <c r="CD56" s="276">
        <f t="shared" si="2"/>
        <v>10</v>
      </c>
      <c r="CE56" s="276">
        <f t="shared" si="3"/>
        <v>-4</v>
      </c>
      <c r="CF56" s="276">
        <f t="shared" si="4"/>
        <v>24</v>
      </c>
      <c r="CG56" s="276">
        <f t="shared" si="5"/>
        <v>10</v>
      </c>
    </row>
    <row r="57" spans="1:85" s="277" customFormat="1" ht="17.25" customHeight="1" thickBot="1">
      <c r="AI57" s="466"/>
      <c r="AJ57" s="467"/>
      <c r="AR57" s="524"/>
      <c r="AS57" s="525"/>
      <c r="AT57" s="378" t="s">
        <v>1141</v>
      </c>
      <c r="AU57" s="379"/>
      <c r="AV57" s="323"/>
      <c r="AW57" s="323"/>
      <c r="AX57" s="323"/>
      <c r="AY57" s="323"/>
      <c r="AZ57" s="323"/>
      <c r="BA57" s="323"/>
      <c r="BN57" s="213">
        <v>0</v>
      </c>
      <c r="BO57" s="209">
        <v>0</v>
      </c>
      <c r="BP57" s="205">
        <v>0</v>
      </c>
      <c r="BQ57" s="205">
        <v>21</v>
      </c>
      <c r="BR57" s="302">
        <v>0</v>
      </c>
      <c r="BS57" s="139"/>
      <c r="BU57" s="213"/>
      <c r="BV57" s="209"/>
      <c r="BW57" s="205"/>
      <c r="BX57" s="302"/>
      <c r="BY57" s="302"/>
      <c r="CA57" s="276">
        <v>55</v>
      </c>
      <c r="CB57" s="276">
        <f t="shared" si="0"/>
        <v>-4</v>
      </c>
      <c r="CC57" s="276">
        <f t="shared" si="1"/>
        <v>24</v>
      </c>
      <c r="CD57" s="276">
        <f t="shared" si="2"/>
        <v>10</v>
      </c>
      <c r="CE57" s="276">
        <f t="shared" si="3"/>
        <v>-4</v>
      </c>
      <c r="CF57" s="276">
        <f t="shared" si="4"/>
        <v>24</v>
      </c>
      <c r="CG57" s="276">
        <f t="shared" si="5"/>
        <v>10</v>
      </c>
    </row>
    <row r="58" spans="1:85" s="277" customFormat="1" ht="17.25" customHeight="1">
      <c r="C58" s="506" t="s">
        <v>141</v>
      </c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  <c r="P58" s="507"/>
      <c r="Q58" s="507"/>
      <c r="R58" s="507"/>
      <c r="S58" s="507"/>
      <c r="T58" s="507"/>
      <c r="U58" s="507"/>
      <c r="V58" s="507"/>
      <c r="W58" s="507"/>
      <c r="X58" s="507"/>
      <c r="Y58" s="507"/>
      <c r="Z58" s="507"/>
      <c r="AA58" s="507"/>
      <c r="AB58" s="507"/>
      <c r="AC58" s="507"/>
      <c r="AD58" s="508"/>
      <c r="AR58" s="524"/>
      <c r="AS58" s="525"/>
      <c r="AT58" s="378" t="s">
        <v>1141</v>
      </c>
      <c r="AU58" s="379"/>
      <c r="AV58" s="323"/>
      <c r="AW58" s="323"/>
      <c r="AX58" s="323"/>
      <c r="AY58" s="323"/>
      <c r="AZ58" s="323"/>
      <c r="BA58" s="323"/>
      <c r="BN58" s="213">
        <v>0</v>
      </c>
      <c r="BO58" s="209">
        <v>0</v>
      </c>
      <c r="BP58" s="205">
        <v>0</v>
      </c>
      <c r="BQ58" s="205">
        <v>9</v>
      </c>
      <c r="BR58" s="302">
        <v>0</v>
      </c>
      <c r="BS58" s="139"/>
      <c r="BU58" s="213"/>
      <c r="BV58" s="209"/>
      <c r="BW58" s="205"/>
      <c r="BX58" s="302"/>
      <c r="BY58" s="302"/>
      <c r="CA58" s="276">
        <v>56</v>
      </c>
      <c r="CB58" s="276">
        <f t="shared" si="0"/>
        <v>-4</v>
      </c>
      <c r="CC58" s="276">
        <f t="shared" si="1"/>
        <v>24</v>
      </c>
      <c r="CD58" s="276">
        <f t="shared" si="2"/>
        <v>10</v>
      </c>
      <c r="CE58" s="276">
        <f t="shared" si="3"/>
        <v>-4</v>
      </c>
      <c r="CF58" s="276">
        <f t="shared" si="4"/>
        <v>24</v>
      </c>
      <c r="CG58" s="276">
        <f t="shared" si="5"/>
        <v>10</v>
      </c>
    </row>
    <row r="59" spans="1:85" ht="18.75" customHeight="1" thickBot="1">
      <c r="C59" s="509"/>
      <c r="D59" s="510"/>
      <c r="E59" s="510"/>
      <c r="F59" s="510"/>
      <c r="G59" s="510"/>
      <c r="H59" s="510"/>
      <c r="I59" s="510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1"/>
      <c r="AR59" s="524"/>
      <c r="AS59" s="525"/>
      <c r="AT59" s="378" t="s">
        <v>1141</v>
      </c>
      <c r="AU59" s="379"/>
      <c r="AV59" s="323"/>
      <c r="AW59" s="323"/>
      <c r="AX59" s="323"/>
      <c r="AY59" s="323"/>
      <c r="AZ59" s="323"/>
      <c r="BA59" s="323"/>
      <c r="BN59" s="213">
        <v>0</v>
      </c>
      <c r="BO59" s="209">
        <v>0</v>
      </c>
      <c r="BP59" s="205">
        <v>0</v>
      </c>
      <c r="BQ59" s="205">
        <v>-2</v>
      </c>
      <c r="BR59" s="302">
        <v>0</v>
      </c>
      <c r="BS59" s="139"/>
      <c r="BU59" s="213"/>
      <c r="BV59" s="209"/>
      <c r="BW59" s="205"/>
      <c r="BX59" s="302"/>
      <c r="BY59" s="302"/>
      <c r="CA59" s="276">
        <v>57</v>
      </c>
      <c r="CB59" s="276">
        <f t="shared" si="0"/>
        <v>-4</v>
      </c>
      <c r="CC59" s="276">
        <f t="shared" si="1"/>
        <v>24</v>
      </c>
      <c r="CD59" s="276">
        <f t="shared" si="2"/>
        <v>10</v>
      </c>
      <c r="CE59" s="276">
        <f t="shared" si="3"/>
        <v>-4</v>
      </c>
      <c r="CF59" s="276">
        <f t="shared" si="4"/>
        <v>24</v>
      </c>
      <c r="CG59" s="276">
        <f t="shared" si="5"/>
        <v>10</v>
      </c>
    </row>
    <row r="60" spans="1:85" ht="18" customHeight="1">
      <c r="C60" s="307" t="s">
        <v>942</v>
      </c>
      <c r="D60" s="316">
        <f>D50</f>
        <v>44137</v>
      </c>
      <c r="E60" s="316">
        <f t="shared" ref="E60:W60" si="6">E50</f>
        <v>44138</v>
      </c>
      <c r="F60" s="316">
        <f t="shared" si="6"/>
        <v>44140</v>
      </c>
      <c r="G60" s="316">
        <f t="shared" si="6"/>
        <v>44141</v>
      </c>
      <c r="H60" s="316">
        <f t="shared" si="6"/>
        <v>44144</v>
      </c>
      <c r="I60" s="316">
        <f t="shared" si="6"/>
        <v>44145</v>
      </c>
      <c r="J60" s="316">
        <f t="shared" si="6"/>
        <v>44146</v>
      </c>
      <c r="K60" s="316">
        <f t="shared" si="6"/>
        <v>44147</v>
      </c>
      <c r="L60" s="316">
        <f t="shared" si="6"/>
        <v>44148</v>
      </c>
      <c r="M60" s="316">
        <f t="shared" si="6"/>
        <v>44151</v>
      </c>
      <c r="N60" s="316">
        <f t="shared" si="6"/>
        <v>44152</v>
      </c>
      <c r="O60" s="316">
        <f t="shared" si="6"/>
        <v>44153</v>
      </c>
      <c r="P60" s="316">
        <f t="shared" si="6"/>
        <v>44154</v>
      </c>
      <c r="Q60" s="316">
        <f t="shared" si="6"/>
        <v>44155</v>
      </c>
      <c r="R60" s="316">
        <f t="shared" si="6"/>
        <v>44158</v>
      </c>
      <c r="S60" s="316">
        <f t="shared" si="6"/>
        <v>44159</v>
      </c>
      <c r="T60" s="316">
        <f t="shared" si="6"/>
        <v>44160</v>
      </c>
      <c r="U60" s="316">
        <f t="shared" si="6"/>
        <v>44161</v>
      </c>
      <c r="V60" s="316">
        <f t="shared" si="6"/>
        <v>44162</v>
      </c>
      <c r="W60" s="316">
        <f t="shared" si="6"/>
        <v>44165</v>
      </c>
      <c r="X60" s="316"/>
      <c r="Y60" s="316"/>
      <c r="Z60" s="316"/>
      <c r="AA60" s="306"/>
      <c r="AB60" s="306"/>
      <c r="AC60" s="306"/>
      <c r="AD60" s="308"/>
      <c r="AR60" s="524"/>
      <c r="AS60" s="525"/>
      <c r="AT60" s="378" t="s">
        <v>1141</v>
      </c>
      <c r="AU60" s="379"/>
      <c r="AV60" s="323"/>
      <c r="AW60" s="323"/>
      <c r="AX60" s="323"/>
      <c r="AY60" s="323"/>
      <c r="AZ60" s="323"/>
      <c r="BA60" s="323"/>
      <c r="BN60" s="213">
        <v>0</v>
      </c>
      <c r="BO60" s="209">
        <v>0</v>
      </c>
      <c r="BP60" s="205">
        <v>0</v>
      </c>
      <c r="BQ60" s="205">
        <v>14</v>
      </c>
      <c r="BR60" s="302">
        <v>0</v>
      </c>
      <c r="BS60" s="139"/>
      <c r="BU60" s="213"/>
      <c r="BV60" s="209"/>
      <c r="BW60" s="205"/>
      <c r="BX60" s="302"/>
      <c r="BY60" s="302"/>
      <c r="CA60" s="276">
        <v>58</v>
      </c>
      <c r="CB60" s="276">
        <f t="shared" si="0"/>
        <v>-4</v>
      </c>
      <c r="CC60" s="276">
        <f t="shared" si="1"/>
        <v>24</v>
      </c>
      <c r="CD60" s="276">
        <f t="shared" si="2"/>
        <v>10</v>
      </c>
      <c r="CE60" s="276">
        <f t="shared" si="3"/>
        <v>-4</v>
      </c>
      <c r="CF60" s="276">
        <f t="shared" si="4"/>
        <v>24</v>
      </c>
      <c r="CG60" s="276">
        <f t="shared" si="5"/>
        <v>10</v>
      </c>
    </row>
    <row r="61" spans="1:85" ht="15" customHeight="1">
      <c r="C61" s="309" t="s">
        <v>940</v>
      </c>
      <c r="D61" s="279">
        <v>0.9</v>
      </c>
      <c r="E61" s="279">
        <v>0.9</v>
      </c>
      <c r="F61" s="279">
        <v>0.9</v>
      </c>
      <c r="G61" s="279">
        <v>0.9</v>
      </c>
      <c r="H61" s="279">
        <v>0.9</v>
      </c>
      <c r="I61" s="279">
        <v>0.9</v>
      </c>
      <c r="J61" s="279">
        <v>0.9</v>
      </c>
      <c r="K61" s="279">
        <v>0.9</v>
      </c>
      <c r="L61" s="279">
        <v>0.9</v>
      </c>
      <c r="M61" s="279">
        <v>0.9</v>
      </c>
      <c r="N61" s="279">
        <v>0.9</v>
      </c>
      <c r="O61" s="279">
        <v>0.9</v>
      </c>
      <c r="P61" s="279">
        <v>0.9</v>
      </c>
      <c r="Q61" s="279">
        <v>0.9</v>
      </c>
      <c r="R61" s="279">
        <v>0.9</v>
      </c>
      <c r="S61" s="279">
        <v>0.9</v>
      </c>
      <c r="T61" s="279">
        <v>0.9</v>
      </c>
      <c r="U61" s="279">
        <v>0.9</v>
      </c>
      <c r="V61" s="279">
        <v>0.9</v>
      </c>
      <c r="W61" s="279">
        <v>0.9</v>
      </c>
      <c r="X61" s="279"/>
      <c r="Y61" s="279"/>
      <c r="Z61" s="279"/>
      <c r="AA61" s="279"/>
      <c r="AB61" s="279"/>
      <c r="AC61" s="279"/>
      <c r="AD61" s="310"/>
      <c r="AJ61" s="451"/>
      <c r="AR61" s="524"/>
      <c r="AS61" s="525"/>
      <c r="AT61" s="378" t="s">
        <v>1141</v>
      </c>
      <c r="AU61" s="379"/>
      <c r="AV61" s="323"/>
      <c r="AW61" s="323"/>
      <c r="AX61" s="323"/>
      <c r="AY61" s="323"/>
      <c r="AZ61" s="323"/>
      <c r="BA61" s="323"/>
      <c r="BN61" s="213">
        <v>0</v>
      </c>
      <c r="BO61" s="209">
        <v>0</v>
      </c>
      <c r="BP61" s="205">
        <v>0</v>
      </c>
      <c r="BQ61" s="205">
        <v>16</v>
      </c>
      <c r="BR61" s="302">
        <v>0</v>
      </c>
      <c r="BS61" s="139"/>
      <c r="BU61" s="213"/>
      <c r="BV61" s="209"/>
      <c r="BW61" s="205"/>
      <c r="BX61" s="302"/>
      <c r="BY61" s="302"/>
      <c r="CA61" s="276">
        <v>59</v>
      </c>
      <c r="CB61" s="276">
        <f t="shared" si="0"/>
        <v>-4</v>
      </c>
      <c r="CC61" s="276">
        <f t="shared" si="1"/>
        <v>24</v>
      </c>
      <c r="CD61" s="276">
        <f t="shared" si="2"/>
        <v>10</v>
      </c>
      <c r="CE61" s="276">
        <f t="shared" si="3"/>
        <v>-4</v>
      </c>
      <c r="CF61" s="276">
        <f t="shared" si="4"/>
        <v>24</v>
      </c>
      <c r="CG61" s="276">
        <f t="shared" si="5"/>
        <v>10</v>
      </c>
    </row>
    <row r="62" spans="1:85" ht="15" customHeight="1">
      <c r="C62" s="311" t="s">
        <v>53</v>
      </c>
      <c r="D62" s="279">
        <v>0.87</v>
      </c>
      <c r="E62" s="279">
        <v>0.92</v>
      </c>
      <c r="F62" s="279">
        <v>0.9034749899243204</v>
      </c>
      <c r="G62" s="279">
        <v>0.94</v>
      </c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394"/>
      <c r="S62" s="279"/>
      <c r="T62" s="279"/>
      <c r="U62" s="279"/>
      <c r="V62" s="279"/>
      <c r="W62" s="279"/>
      <c r="X62" s="279"/>
      <c r="Y62" s="279"/>
      <c r="Z62" s="279"/>
      <c r="AA62" s="279"/>
      <c r="AB62" s="279"/>
      <c r="AC62" s="279"/>
      <c r="AD62" s="310"/>
      <c r="AI62" s="449"/>
      <c r="AR62" s="524"/>
      <c r="AS62" s="525"/>
      <c r="AT62" s="378" t="s">
        <v>1141</v>
      </c>
      <c r="AU62" s="379"/>
      <c r="AV62" s="323"/>
      <c r="AW62" s="323"/>
      <c r="AX62" s="323"/>
      <c r="AY62" s="323"/>
      <c r="AZ62" s="323"/>
      <c r="BA62" s="323"/>
      <c r="BN62" s="213">
        <v>0</v>
      </c>
      <c r="BO62" s="209">
        <v>0</v>
      </c>
      <c r="BP62" s="205">
        <v>0</v>
      </c>
      <c r="BQ62" s="205">
        <v>9</v>
      </c>
      <c r="BR62" s="302">
        <v>0</v>
      </c>
      <c r="BS62" s="139"/>
      <c r="BU62" s="213"/>
      <c r="BV62" s="209"/>
      <c r="BW62" s="205"/>
      <c r="BX62" s="302"/>
      <c r="BY62" s="302"/>
      <c r="CA62" s="276">
        <v>60</v>
      </c>
      <c r="CB62" s="276">
        <f t="shared" si="0"/>
        <v>-4</v>
      </c>
      <c r="CC62" s="276">
        <f t="shared" si="1"/>
        <v>24</v>
      </c>
      <c r="CD62" s="276">
        <f t="shared" si="2"/>
        <v>10</v>
      </c>
      <c r="CE62" s="276">
        <f t="shared" si="3"/>
        <v>-4</v>
      </c>
      <c r="CF62" s="276">
        <f t="shared" si="4"/>
        <v>24</v>
      </c>
      <c r="CG62" s="276">
        <f t="shared" si="5"/>
        <v>10</v>
      </c>
    </row>
    <row r="63" spans="1:85" ht="17.25">
      <c r="C63" s="326" t="s">
        <v>937</v>
      </c>
      <c r="D63" s="332">
        <v>0.92</v>
      </c>
      <c r="E63" s="332">
        <v>0.92805755395683454</v>
      </c>
      <c r="F63" s="332">
        <v>0.90184049079754602</v>
      </c>
      <c r="G63" s="332">
        <v>0.93333333333333335</v>
      </c>
      <c r="H63" s="332"/>
      <c r="I63" s="332"/>
      <c r="J63" s="332"/>
      <c r="K63" s="332"/>
      <c r="L63" s="332"/>
      <c r="M63" s="332"/>
      <c r="N63" s="332"/>
      <c r="O63" s="332"/>
      <c r="P63" s="332"/>
      <c r="Q63" s="332"/>
      <c r="R63" s="332"/>
      <c r="S63" s="332"/>
      <c r="T63" s="332"/>
      <c r="U63" s="332"/>
      <c r="V63" s="332"/>
      <c r="W63" s="332"/>
      <c r="X63" s="332"/>
      <c r="Y63" s="332"/>
      <c r="Z63" s="332"/>
      <c r="AA63" s="332"/>
      <c r="AB63" s="332"/>
      <c r="AC63" s="332"/>
      <c r="AD63" s="333"/>
      <c r="AI63" s="449"/>
      <c r="AR63" s="524"/>
      <c r="AS63" s="525"/>
      <c r="AT63" s="378" t="s">
        <v>1141</v>
      </c>
      <c r="AU63" s="379"/>
      <c r="AV63" s="323"/>
      <c r="AW63" s="323"/>
      <c r="AX63" s="323"/>
      <c r="AY63" s="323"/>
      <c r="AZ63" s="323"/>
      <c r="BA63" s="323"/>
      <c r="BN63" s="213">
        <v>0</v>
      </c>
      <c r="BO63" s="209">
        <v>0</v>
      </c>
      <c r="BP63" s="205">
        <v>0</v>
      </c>
      <c r="BQ63" s="205">
        <v>19</v>
      </c>
      <c r="BR63" s="302">
        <v>0</v>
      </c>
      <c r="BS63" s="139"/>
      <c r="BU63" s="213"/>
      <c r="BV63" s="209"/>
      <c r="BW63" s="205"/>
      <c r="BX63" s="302"/>
      <c r="BY63" s="302"/>
      <c r="CA63" s="276">
        <v>61</v>
      </c>
      <c r="CB63" s="276">
        <f t="shared" si="0"/>
        <v>-4</v>
      </c>
      <c r="CC63" s="276">
        <f t="shared" si="1"/>
        <v>24</v>
      </c>
      <c r="CD63" s="276">
        <f t="shared" si="2"/>
        <v>10</v>
      </c>
      <c r="CE63" s="276">
        <f t="shared" si="3"/>
        <v>-4</v>
      </c>
      <c r="CF63" s="276">
        <f t="shared" si="4"/>
        <v>24</v>
      </c>
      <c r="CG63" s="276">
        <f t="shared" si="5"/>
        <v>10</v>
      </c>
    </row>
    <row r="64" spans="1:85" ht="18.75" customHeight="1" thickBot="1">
      <c r="C64" s="329" t="s">
        <v>938</v>
      </c>
      <c r="D64" s="334">
        <v>0.81</v>
      </c>
      <c r="E64" s="334">
        <v>0.91</v>
      </c>
      <c r="F64" s="334">
        <v>0.9051094890510949</v>
      </c>
      <c r="G64" s="334">
        <v>0.94</v>
      </c>
      <c r="H64" s="334">
        <v>0.93630573248407645</v>
      </c>
      <c r="I64" s="334"/>
      <c r="J64" s="334"/>
      <c r="K64" s="334"/>
      <c r="L64" s="334"/>
      <c r="M64" s="334"/>
      <c r="N64" s="334"/>
      <c r="O64" s="334"/>
      <c r="P64" s="334"/>
      <c r="Q64" s="334"/>
      <c r="R64" s="334"/>
      <c r="S64" s="334"/>
      <c r="T64" s="334"/>
      <c r="U64" s="334"/>
      <c r="V64" s="334"/>
      <c r="W64" s="334"/>
      <c r="X64" s="334"/>
      <c r="Y64" s="334"/>
      <c r="Z64" s="334"/>
      <c r="AA64" s="334"/>
      <c r="AB64" s="334"/>
      <c r="AC64" s="334"/>
      <c r="AD64" s="335"/>
      <c r="AI64" s="449"/>
      <c r="AR64" s="524"/>
      <c r="AS64" s="525"/>
      <c r="AT64" s="387" t="s">
        <v>1141</v>
      </c>
      <c r="AU64" s="388"/>
      <c r="AV64" s="323"/>
      <c r="AW64" s="323"/>
      <c r="AX64" s="323"/>
      <c r="AY64" s="323"/>
      <c r="AZ64" s="323"/>
      <c r="BA64" s="323"/>
      <c r="BN64" s="213">
        <v>0</v>
      </c>
      <c r="BO64" s="209">
        <v>0</v>
      </c>
      <c r="BP64" s="205">
        <v>0</v>
      </c>
      <c r="BQ64" s="205">
        <v>16</v>
      </c>
      <c r="BR64" s="302">
        <v>0</v>
      </c>
      <c r="BS64" s="139"/>
      <c r="BU64" s="213"/>
      <c r="BV64" s="209"/>
      <c r="BW64" s="205"/>
      <c r="BX64" s="302"/>
      <c r="BY64" s="302"/>
      <c r="CA64" s="276">
        <v>62</v>
      </c>
      <c r="CB64" s="276">
        <f t="shared" si="0"/>
        <v>-4</v>
      </c>
      <c r="CC64" s="276">
        <f t="shared" si="1"/>
        <v>24</v>
      </c>
      <c r="CD64" s="276">
        <f t="shared" si="2"/>
        <v>10</v>
      </c>
      <c r="CE64" s="276">
        <f t="shared" si="3"/>
        <v>-4</v>
      </c>
      <c r="CF64" s="276">
        <f t="shared" si="4"/>
        <v>24</v>
      </c>
      <c r="CG64" s="276">
        <f t="shared" si="5"/>
        <v>10</v>
      </c>
    </row>
    <row r="65" spans="3:85" ht="15.75" thickBot="1">
      <c r="AR65" s="364"/>
      <c r="AS65" s="364"/>
      <c r="AT65" s="364"/>
      <c r="AU65" s="364"/>
      <c r="BN65" s="213">
        <v>0</v>
      </c>
      <c r="BO65" s="209">
        <v>0</v>
      </c>
      <c r="BP65" s="205">
        <v>0</v>
      </c>
      <c r="BQ65" s="205">
        <v>0</v>
      </c>
      <c r="BR65" s="302">
        <v>0</v>
      </c>
      <c r="BS65" s="139"/>
      <c r="BU65" s="213"/>
      <c r="BV65" s="209"/>
      <c r="BW65" s="205"/>
      <c r="BX65" s="302"/>
      <c r="BY65" s="302"/>
      <c r="CA65" s="276">
        <v>63</v>
      </c>
      <c r="CB65" s="276">
        <f t="shared" si="0"/>
        <v>-4</v>
      </c>
      <c r="CC65" s="276">
        <f t="shared" si="1"/>
        <v>24</v>
      </c>
      <c r="CD65" s="276">
        <f t="shared" si="2"/>
        <v>10</v>
      </c>
      <c r="CE65" s="276">
        <f t="shared" si="3"/>
        <v>-4</v>
      </c>
      <c r="CF65" s="276">
        <f t="shared" si="4"/>
        <v>24</v>
      </c>
      <c r="CG65" s="276">
        <f t="shared" si="5"/>
        <v>10</v>
      </c>
    </row>
    <row r="66" spans="3:85" ht="18" customHeight="1" thickBot="1">
      <c r="C66" s="506" t="s">
        <v>943</v>
      </c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507"/>
      <c r="AA66" s="507"/>
      <c r="AB66" s="507"/>
      <c r="AC66" s="507"/>
      <c r="AD66" s="508"/>
      <c r="AR66" s="526" t="s">
        <v>1147</v>
      </c>
      <c r="AS66" s="527"/>
      <c r="AT66" s="527"/>
      <c r="AU66" s="528"/>
      <c r="BN66" s="213">
        <v>0</v>
      </c>
      <c r="BO66" s="209">
        <v>0</v>
      </c>
      <c r="BP66" s="205">
        <v>0</v>
      </c>
      <c r="BQ66" s="205">
        <v>10</v>
      </c>
      <c r="BR66" s="302">
        <v>0</v>
      </c>
      <c r="BS66" s="139"/>
      <c r="BU66" s="213"/>
      <c r="BV66" s="209"/>
      <c r="BW66" s="205"/>
      <c r="BX66" s="302"/>
      <c r="BY66" s="302"/>
      <c r="CA66" s="276">
        <v>64</v>
      </c>
      <c r="CB66" s="276">
        <f t="shared" si="0"/>
        <v>-4</v>
      </c>
      <c r="CC66" s="276">
        <f t="shared" si="1"/>
        <v>24</v>
      </c>
      <c r="CD66" s="276">
        <f t="shared" si="2"/>
        <v>10</v>
      </c>
      <c r="CE66" s="276">
        <f t="shared" si="3"/>
        <v>-4</v>
      </c>
      <c r="CF66" s="276">
        <f t="shared" si="4"/>
        <v>24</v>
      </c>
      <c r="CG66" s="276">
        <f t="shared" si="5"/>
        <v>10</v>
      </c>
    </row>
    <row r="67" spans="3:85" ht="18.75" customHeight="1" thickBot="1">
      <c r="C67" s="509"/>
      <c r="D67" s="510"/>
      <c r="E67" s="510"/>
      <c r="F67" s="510"/>
      <c r="G67" s="510"/>
      <c r="H67" s="510"/>
      <c r="I67" s="510"/>
      <c r="J67" s="510"/>
      <c r="K67" s="510"/>
      <c r="L67" s="510"/>
      <c r="M67" s="510"/>
      <c r="N67" s="510"/>
      <c r="O67" s="510"/>
      <c r="P67" s="510"/>
      <c r="Q67" s="510"/>
      <c r="R67" s="510"/>
      <c r="S67" s="510"/>
      <c r="T67" s="510"/>
      <c r="U67" s="510"/>
      <c r="V67" s="510"/>
      <c r="W67" s="510"/>
      <c r="X67" s="510"/>
      <c r="Y67" s="510"/>
      <c r="Z67" s="510"/>
      <c r="AA67" s="510"/>
      <c r="AB67" s="510"/>
      <c r="AC67" s="510"/>
      <c r="AD67" s="511"/>
      <c r="AU67" s="371" t="s">
        <v>26</v>
      </c>
      <c r="BN67" s="213">
        <v>0</v>
      </c>
      <c r="BO67" s="209">
        <v>0</v>
      </c>
      <c r="BP67" s="205">
        <v>0</v>
      </c>
      <c r="BQ67" s="205">
        <v>5</v>
      </c>
      <c r="BR67" s="302">
        <v>0</v>
      </c>
      <c r="BS67" s="139"/>
      <c r="BU67" s="213"/>
      <c r="BV67" s="209"/>
      <c r="BW67" s="205"/>
      <c r="BX67" s="302"/>
      <c r="BY67" s="302"/>
      <c r="CA67" s="276">
        <v>65</v>
      </c>
      <c r="CB67" s="276">
        <f t="shared" si="0"/>
        <v>-4</v>
      </c>
      <c r="CC67" s="276">
        <f t="shared" si="1"/>
        <v>24</v>
      </c>
      <c r="CD67" s="276">
        <f t="shared" si="2"/>
        <v>10</v>
      </c>
      <c r="CE67" s="276">
        <f t="shared" si="3"/>
        <v>-4</v>
      </c>
      <c r="CF67" s="276">
        <f t="shared" si="4"/>
        <v>24</v>
      </c>
      <c r="CG67" s="276">
        <f t="shared" si="5"/>
        <v>10</v>
      </c>
    </row>
    <row r="68" spans="3:85">
      <c r="C68" s="315" t="s">
        <v>942</v>
      </c>
      <c r="D68" s="316">
        <f>D50</f>
        <v>44137</v>
      </c>
      <c r="E68" s="316">
        <f t="shared" ref="E68:W68" si="7">E50</f>
        <v>44138</v>
      </c>
      <c r="F68" s="316">
        <f t="shared" si="7"/>
        <v>44140</v>
      </c>
      <c r="G68" s="316">
        <f t="shared" si="7"/>
        <v>44141</v>
      </c>
      <c r="H68" s="316">
        <f t="shared" si="7"/>
        <v>44144</v>
      </c>
      <c r="I68" s="316">
        <f t="shared" si="7"/>
        <v>44145</v>
      </c>
      <c r="J68" s="316">
        <f t="shared" si="7"/>
        <v>44146</v>
      </c>
      <c r="K68" s="316">
        <f t="shared" si="7"/>
        <v>44147</v>
      </c>
      <c r="L68" s="316">
        <f t="shared" si="7"/>
        <v>44148</v>
      </c>
      <c r="M68" s="316">
        <f t="shared" si="7"/>
        <v>44151</v>
      </c>
      <c r="N68" s="316">
        <f t="shared" si="7"/>
        <v>44152</v>
      </c>
      <c r="O68" s="316">
        <f t="shared" si="7"/>
        <v>44153</v>
      </c>
      <c r="P68" s="316">
        <f t="shared" si="7"/>
        <v>44154</v>
      </c>
      <c r="Q68" s="316">
        <f t="shared" si="7"/>
        <v>44155</v>
      </c>
      <c r="R68" s="316">
        <f t="shared" si="7"/>
        <v>44158</v>
      </c>
      <c r="S68" s="316">
        <f t="shared" si="7"/>
        <v>44159</v>
      </c>
      <c r="T68" s="316">
        <f t="shared" si="7"/>
        <v>44160</v>
      </c>
      <c r="U68" s="316">
        <f t="shared" si="7"/>
        <v>44161</v>
      </c>
      <c r="V68" s="316">
        <f t="shared" si="7"/>
        <v>44162</v>
      </c>
      <c r="W68" s="316">
        <f t="shared" si="7"/>
        <v>44165</v>
      </c>
      <c r="X68" s="316"/>
      <c r="Y68" s="316"/>
      <c r="Z68" s="316"/>
      <c r="AA68" s="316"/>
      <c r="AB68" s="316"/>
      <c r="AC68" s="316"/>
      <c r="AD68" s="317"/>
      <c r="AU68" s="379"/>
      <c r="BN68" s="213">
        <v>0</v>
      </c>
      <c r="BO68" s="209">
        <v>0</v>
      </c>
      <c r="BP68" s="205">
        <v>0</v>
      </c>
      <c r="BQ68" s="205">
        <v>7</v>
      </c>
      <c r="BR68" s="302">
        <v>0</v>
      </c>
      <c r="BS68" s="139"/>
      <c r="BU68" s="213"/>
      <c r="BV68" s="209"/>
      <c r="BW68" s="205"/>
      <c r="BX68" s="302"/>
      <c r="BY68" s="302"/>
      <c r="CA68" s="276">
        <v>66</v>
      </c>
      <c r="CB68" s="276">
        <f t="shared" ref="CB68:CB131" si="8">$BL$2</f>
        <v>-4</v>
      </c>
      <c r="CC68" s="276">
        <f t="shared" ref="CC68:CC131" si="9">$BM$2</f>
        <v>24</v>
      </c>
      <c r="CD68" s="276">
        <f t="shared" ref="CD68:CD131" si="10">$BM$2-14</f>
        <v>10</v>
      </c>
      <c r="CE68" s="276">
        <f t="shared" ref="CE68:CE131" si="11">$BS$2</f>
        <v>-4</v>
      </c>
      <c r="CF68" s="276">
        <f t="shared" ref="CF68:CF131" si="12">$BT$2</f>
        <v>24</v>
      </c>
      <c r="CG68" s="276">
        <f t="shared" ref="CG68:CG131" si="13">$BT$2-14</f>
        <v>10</v>
      </c>
    </row>
    <row r="69" spans="3:85">
      <c r="C69" s="326" t="s">
        <v>937</v>
      </c>
      <c r="D69" s="327">
        <v>0</v>
      </c>
      <c r="E69" s="327">
        <v>0</v>
      </c>
      <c r="F69" s="327">
        <v>0</v>
      </c>
      <c r="G69" s="327">
        <v>0</v>
      </c>
      <c r="H69" s="327"/>
      <c r="I69" s="327"/>
      <c r="J69" s="327"/>
      <c r="K69" s="327"/>
      <c r="L69" s="327"/>
      <c r="M69" s="327"/>
      <c r="N69" s="327"/>
      <c r="O69" s="327"/>
      <c r="P69" s="327"/>
      <c r="Q69" s="327"/>
      <c r="R69" s="327"/>
      <c r="S69" s="327"/>
      <c r="T69" s="327"/>
      <c r="U69" s="327"/>
      <c r="V69" s="327"/>
      <c r="W69" s="327"/>
      <c r="X69" s="327"/>
      <c r="Y69" s="327"/>
      <c r="Z69" s="327"/>
      <c r="AA69" s="327"/>
      <c r="AB69" s="327"/>
      <c r="AC69" s="327"/>
      <c r="AD69" s="328"/>
      <c r="AU69" s="379"/>
      <c r="BN69" s="213">
        <v>0</v>
      </c>
      <c r="BO69" s="209">
        <v>0</v>
      </c>
      <c r="BP69" s="205">
        <v>0</v>
      </c>
      <c r="BQ69" s="205">
        <v>-5</v>
      </c>
      <c r="BR69" s="302">
        <v>0</v>
      </c>
      <c r="BS69" s="139"/>
      <c r="BU69" s="213"/>
      <c r="BV69" s="209"/>
      <c r="BW69" s="205"/>
      <c r="BX69" s="302"/>
      <c r="BY69" s="302"/>
      <c r="CA69" s="276">
        <v>67</v>
      </c>
      <c r="CB69" s="276">
        <f t="shared" si="8"/>
        <v>-4</v>
      </c>
      <c r="CC69" s="276">
        <f t="shared" si="9"/>
        <v>24</v>
      </c>
      <c r="CD69" s="276">
        <f t="shared" si="10"/>
        <v>10</v>
      </c>
      <c r="CE69" s="276">
        <f t="shared" si="11"/>
        <v>-4</v>
      </c>
      <c r="CF69" s="276">
        <f t="shared" si="12"/>
        <v>24</v>
      </c>
      <c r="CG69" s="276">
        <f t="shared" si="13"/>
        <v>10</v>
      </c>
    </row>
    <row r="70" spans="3:85">
      <c r="C70" s="329" t="s">
        <v>938</v>
      </c>
      <c r="D70" s="330">
        <v>0</v>
      </c>
      <c r="E70" s="330">
        <v>0</v>
      </c>
      <c r="F70" s="330">
        <v>0</v>
      </c>
      <c r="G70" s="330">
        <v>0</v>
      </c>
      <c r="H70" s="330">
        <v>0</v>
      </c>
      <c r="I70" s="330"/>
      <c r="J70" s="330"/>
      <c r="K70" s="330"/>
      <c r="L70" s="330"/>
      <c r="M70" s="330"/>
      <c r="N70" s="330"/>
      <c r="O70" s="330"/>
      <c r="P70" s="330"/>
      <c r="Q70" s="330"/>
      <c r="R70" s="330"/>
      <c r="S70" s="330"/>
      <c r="T70" s="330"/>
      <c r="U70" s="330"/>
      <c r="V70" s="330"/>
      <c r="W70" s="330"/>
      <c r="X70" s="330"/>
      <c r="Y70" s="330"/>
      <c r="Z70" s="330"/>
      <c r="AA70" s="330"/>
      <c r="AB70" s="330"/>
      <c r="AC70" s="330"/>
      <c r="AD70" s="331"/>
      <c r="AU70" s="379"/>
      <c r="BN70" s="213">
        <v>0</v>
      </c>
      <c r="BO70" s="209">
        <v>0</v>
      </c>
      <c r="BP70" s="205">
        <v>0</v>
      </c>
      <c r="BQ70" s="205">
        <v>9</v>
      </c>
      <c r="BR70" s="302">
        <v>0</v>
      </c>
      <c r="BS70" s="139"/>
      <c r="BU70" s="213"/>
      <c r="BV70" s="209"/>
      <c r="BW70" s="205"/>
      <c r="BX70" s="302"/>
      <c r="BY70" s="302"/>
      <c r="CA70" s="276">
        <v>68</v>
      </c>
      <c r="CB70" s="276">
        <f t="shared" si="8"/>
        <v>-4</v>
      </c>
      <c r="CC70" s="276">
        <f t="shared" si="9"/>
        <v>24</v>
      </c>
      <c r="CD70" s="276">
        <f t="shared" si="10"/>
        <v>10</v>
      </c>
      <c r="CE70" s="276">
        <f t="shared" si="11"/>
        <v>-4</v>
      </c>
      <c r="CF70" s="276">
        <f t="shared" si="12"/>
        <v>24</v>
      </c>
      <c r="CG70" s="276">
        <f t="shared" si="13"/>
        <v>10</v>
      </c>
    </row>
    <row r="71" spans="3:85" ht="15.75" thickBot="1">
      <c r="C71" s="312" t="s">
        <v>940</v>
      </c>
      <c r="D71" s="313">
        <v>0</v>
      </c>
      <c r="E71" s="313">
        <v>0</v>
      </c>
      <c r="F71" s="313">
        <v>0</v>
      </c>
      <c r="G71" s="313">
        <v>0</v>
      </c>
      <c r="H71" s="313">
        <v>0</v>
      </c>
      <c r="I71" s="313">
        <v>0</v>
      </c>
      <c r="J71" s="313">
        <v>0</v>
      </c>
      <c r="K71" s="313">
        <v>0</v>
      </c>
      <c r="L71" s="313">
        <v>0</v>
      </c>
      <c r="M71" s="313">
        <v>0</v>
      </c>
      <c r="N71" s="313">
        <v>0</v>
      </c>
      <c r="O71" s="313">
        <v>0</v>
      </c>
      <c r="P71" s="313">
        <v>0</v>
      </c>
      <c r="Q71" s="313">
        <v>0</v>
      </c>
      <c r="R71" s="313">
        <v>0</v>
      </c>
      <c r="S71" s="313">
        <v>0</v>
      </c>
      <c r="T71" s="313">
        <v>0</v>
      </c>
      <c r="U71" s="313">
        <v>0</v>
      </c>
      <c r="V71" s="313">
        <v>0</v>
      </c>
      <c r="W71" s="313">
        <v>0</v>
      </c>
      <c r="X71" s="313"/>
      <c r="Y71" s="313"/>
      <c r="Z71" s="313"/>
      <c r="AA71" s="313"/>
      <c r="AB71" s="313"/>
      <c r="AC71" s="313"/>
      <c r="AD71" s="314"/>
      <c r="AU71" s="379"/>
      <c r="BN71" s="213">
        <v>0</v>
      </c>
      <c r="BO71" s="209">
        <v>0</v>
      </c>
      <c r="BP71" s="205">
        <v>0</v>
      </c>
      <c r="BQ71" s="205">
        <v>18</v>
      </c>
      <c r="BR71" s="302">
        <v>0</v>
      </c>
      <c r="BS71" s="139"/>
      <c r="BU71" s="213"/>
      <c r="BV71" s="209"/>
      <c r="BW71" s="205"/>
      <c r="BX71" s="302"/>
      <c r="BY71" s="302"/>
      <c r="CA71" s="276">
        <v>69</v>
      </c>
      <c r="CB71" s="276">
        <f t="shared" si="8"/>
        <v>-4</v>
      </c>
      <c r="CC71" s="276">
        <f t="shared" si="9"/>
        <v>24</v>
      </c>
      <c r="CD71" s="276">
        <f t="shared" si="10"/>
        <v>10</v>
      </c>
      <c r="CE71" s="276">
        <f t="shared" si="11"/>
        <v>-4</v>
      </c>
      <c r="CF71" s="276">
        <f t="shared" si="12"/>
        <v>24</v>
      </c>
      <c r="CG71" s="276">
        <f t="shared" si="13"/>
        <v>10</v>
      </c>
    </row>
    <row r="72" spans="3:85">
      <c r="AU72" s="379"/>
      <c r="BN72" s="213">
        <v>0</v>
      </c>
      <c r="BO72" s="209">
        <v>0</v>
      </c>
      <c r="BP72" s="205">
        <v>0</v>
      </c>
      <c r="BQ72" s="205">
        <v>18</v>
      </c>
      <c r="BR72" s="302">
        <v>0</v>
      </c>
      <c r="BS72" s="139"/>
      <c r="BU72" s="213"/>
      <c r="BV72" s="209"/>
      <c r="BW72" s="205"/>
      <c r="BX72" s="302"/>
      <c r="BY72" s="302"/>
      <c r="CA72" s="276">
        <v>70</v>
      </c>
      <c r="CB72" s="276">
        <f t="shared" si="8"/>
        <v>-4</v>
      </c>
      <c r="CC72" s="276">
        <f t="shared" si="9"/>
        <v>24</v>
      </c>
      <c r="CD72" s="276">
        <f t="shared" si="10"/>
        <v>10</v>
      </c>
      <c r="CE72" s="276">
        <f t="shared" si="11"/>
        <v>-4</v>
      </c>
      <c r="CF72" s="276">
        <f t="shared" si="12"/>
        <v>24</v>
      </c>
      <c r="CG72" s="276">
        <f t="shared" si="13"/>
        <v>10</v>
      </c>
    </row>
    <row r="73" spans="3:85">
      <c r="AU73" s="379"/>
      <c r="BN73" s="213">
        <v>0</v>
      </c>
      <c r="BO73" s="209">
        <v>0</v>
      </c>
      <c r="BP73" s="205">
        <v>0</v>
      </c>
      <c r="BQ73" s="205">
        <v>19</v>
      </c>
      <c r="BR73" s="302">
        <v>0</v>
      </c>
      <c r="BS73" s="139"/>
      <c r="BU73" s="213"/>
      <c r="BV73" s="209"/>
      <c r="BW73" s="205"/>
      <c r="BX73" s="302"/>
      <c r="BY73" s="302"/>
      <c r="CA73" s="276">
        <v>71</v>
      </c>
      <c r="CB73" s="276">
        <f t="shared" si="8"/>
        <v>-4</v>
      </c>
      <c r="CC73" s="276">
        <f t="shared" si="9"/>
        <v>24</v>
      </c>
      <c r="CD73" s="276">
        <f t="shared" si="10"/>
        <v>10</v>
      </c>
      <c r="CE73" s="276">
        <f t="shared" si="11"/>
        <v>-4</v>
      </c>
      <c r="CF73" s="276">
        <f t="shared" si="12"/>
        <v>24</v>
      </c>
      <c r="CG73" s="276">
        <f t="shared" si="13"/>
        <v>10</v>
      </c>
    </row>
    <row r="74" spans="3:85">
      <c r="D74"/>
      <c r="E74"/>
      <c r="F74"/>
      <c r="G74"/>
      <c r="H74"/>
      <c r="I74" s="389"/>
      <c r="J74"/>
      <c r="K74"/>
      <c r="L74"/>
      <c r="M74"/>
      <c r="N74"/>
      <c r="O74"/>
      <c r="AU74" s="379"/>
      <c r="BN74" s="213">
        <v>0</v>
      </c>
      <c r="BO74" s="209">
        <v>0</v>
      </c>
      <c r="BP74" s="205">
        <v>0</v>
      </c>
      <c r="BQ74" s="205">
        <v>19</v>
      </c>
      <c r="BR74" s="302">
        <v>0</v>
      </c>
      <c r="BS74" s="139"/>
      <c r="BU74" s="213"/>
      <c r="BV74" s="209"/>
      <c r="BW74" s="205"/>
      <c r="BX74" s="302"/>
      <c r="BY74" s="302"/>
      <c r="CA74" s="276">
        <v>72</v>
      </c>
      <c r="CB74" s="276">
        <f t="shared" si="8"/>
        <v>-4</v>
      </c>
      <c r="CC74" s="276">
        <f t="shared" si="9"/>
        <v>24</v>
      </c>
      <c r="CD74" s="276">
        <f t="shared" si="10"/>
        <v>10</v>
      </c>
      <c r="CE74" s="276">
        <f t="shared" si="11"/>
        <v>-4</v>
      </c>
      <c r="CF74" s="276">
        <f t="shared" si="12"/>
        <v>24</v>
      </c>
      <c r="CG74" s="276">
        <f t="shared" si="13"/>
        <v>10</v>
      </c>
    </row>
    <row r="75" spans="3:85">
      <c r="D75" s="390"/>
      <c r="E75" s="390"/>
      <c r="F75" s="390"/>
      <c r="G75" s="390"/>
      <c r="H75" s="390"/>
      <c r="I75" s="390"/>
      <c r="J75" s="390"/>
      <c r="K75" s="390"/>
      <c r="L75" s="390"/>
      <c r="M75" s="390"/>
      <c r="N75" s="390"/>
      <c r="O75"/>
      <c r="AU75" s="379"/>
      <c r="BN75" s="213">
        <v>0</v>
      </c>
      <c r="BO75" s="209">
        <v>0</v>
      </c>
      <c r="BP75" s="205">
        <v>0</v>
      </c>
      <c r="BQ75" s="205">
        <v>20</v>
      </c>
      <c r="BR75" s="302">
        <v>0</v>
      </c>
      <c r="BS75" s="139"/>
      <c r="BU75" s="213"/>
      <c r="BV75" s="209"/>
      <c r="BW75" s="205"/>
      <c r="BX75" s="302"/>
      <c r="BY75" s="302"/>
      <c r="CA75" s="276">
        <v>73</v>
      </c>
      <c r="CB75" s="276">
        <f t="shared" si="8"/>
        <v>-4</v>
      </c>
      <c r="CC75" s="276">
        <f t="shared" si="9"/>
        <v>24</v>
      </c>
      <c r="CD75" s="276">
        <f t="shared" si="10"/>
        <v>10</v>
      </c>
      <c r="CE75" s="276">
        <f t="shared" si="11"/>
        <v>-4</v>
      </c>
      <c r="CF75" s="276">
        <f t="shared" si="12"/>
        <v>24</v>
      </c>
      <c r="CG75" s="276">
        <f t="shared" si="13"/>
        <v>10</v>
      </c>
    </row>
    <row r="76" spans="3:85">
      <c r="D76" s="390"/>
      <c r="E76" s="390"/>
      <c r="F76" s="390"/>
      <c r="G76" s="390"/>
      <c r="H76" s="390"/>
      <c r="I76" s="390"/>
      <c r="J76" s="390"/>
      <c r="K76" s="390"/>
      <c r="L76" s="390"/>
      <c r="M76" s="390"/>
      <c r="N76" s="390"/>
      <c r="O76"/>
      <c r="AU76" s="379"/>
      <c r="BN76" s="213">
        <v>0</v>
      </c>
      <c r="BO76" s="209">
        <v>0</v>
      </c>
      <c r="BP76" s="205">
        <v>0</v>
      </c>
      <c r="BQ76" s="205">
        <v>18</v>
      </c>
      <c r="BR76" s="302">
        <v>0</v>
      </c>
      <c r="BS76" s="139"/>
      <c r="BU76" s="213"/>
      <c r="BV76" s="209"/>
      <c r="BW76" s="205"/>
      <c r="BX76" s="302"/>
      <c r="BY76" s="302"/>
      <c r="CA76" s="276">
        <v>74</v>
      </c>
      <c r="CB76" s="276">
        <f t="shared" si="8"/>
        <v>-4</v>
      </c>
      <c r="CC76" s="276">
        <f t="shared" si="9"/>
        <v>24</v>
      </c>
      <c r="CD76" s="276">
        <f t="shared" si="10"/>
        <v>10</v>
      </c>
      <c r="CE76" s="276">
        <f t="shared" si="11"/>
        <v>-4</v>
      </c>
      <c r="CF76" s="276">
        <f t="shared" si="12"/>
        <v>24</v>
      </c>
      <c r="CG76" s="276">
        <f t="shared" si="13"/>
        <v>10</v>
      </c>
    </row>
    <row r="77" spans="3:85">
      <c r="AU77" s="379"/>
      <c r="BN77" s="213">
        <v>0</v>
      </c>
      <c r="BO77" s="209">
        <v>0</v>
      </c>
      <c r="BP77" s="205">
        <v>0</v>
      </c>
      <c r="BQ77" s="205">
        <v>21</v>
      </c>
      <c r="BR77" s="302">
        <v>0</v>
      </c>
      <c r="BS77" s="139"/>
      <c r="BU77" s="213"/>
      <c r="BV77" s="209"/>
      <c r="BW77" s="205"/>
      <c r="BX77" s="302"/>
      <c r="BY77" s="302"/>
      <c r="CA77" s="276">
        <v>75</v>
      </c>
      <c r="CB77" s="276">
        <f t="shared" si="8"/>
        <v>-4</v>
      </c>
      <c r="CC77" s="276">
        <f t="shared" si="9"/>
        <v>24</v>
      </c>
      <c r="CD77" s="276">
        <f t="shared" si="10"/>
        <v>10</v>
      </c>
      <c r="CE77" s="276">
        <f t="shared" si="11"/>
        <v>-4</v>
      </c>
      <c r="CF77" s="276">
        <f t="shared" si="12"/>
        <v>24</v>
      </c>
      <c r="CG77" s="276">
        <f t="shared" si="13"/>
        <v>10</v>
      </c>
    </row>
    <row r="78" spans="3:85">
      <c r="AU78" s="379"/>
      <c r="BN78" s="213">
        <v>0</v>
      </c>
      <c r="BO78" s="209">
        <v>0</v>
      </c>
      <c r="BP78" s="205">
        <v>0</v>
      </c>
      <c r="BQ78" s="205">
        <v>21</v>
      </c>
      <c r="BR78" s="302">
        <v>0</v>
      </c>
      <c r="BS78" s="139"/>
      <c r="BU78" s="213"/>
      <c r="BV78" s="209"/>
      <c r="BW78" s="205"/>
      <c r="BX78" s="302"/>
      <c r="BY78" s="302"/>
      <c r="CA78" s="276">
        <v>76</v>
      </c>
      <c r="CB78" s="276">
        <f t="shared" si="8"/>
        <v>-4</v>
      </c>
      <c r="CC78" s="276">
        <f t="shared" si="9"/>
        <v>24</v>
      </c>
      <c r="CD78" s="276">
        <f t="shared" si="10"/>
        <v>10</v>
      </c>
      <c r="CE78" s="276">
        <f t="shared" si="11"/>
        <v>-4</v>
      </c>
      <c r="CF78" s="276">
        <f t="shared" si="12"/>
        <v>24</v>
      </c>
      <c r="CG78" s="276">
        <f t="shared" si="13"/>
        <v>10</v>
      </c>
    </row>
    <row r="79" spans="3:85">
      <c r="AD79" s="450"/>
      <c r="AU79" s="379"/>
      <c r="BN79" s="213">
        <v>0</v>
      </c>
      <c r="BO79" s="209">
        <v>0</v>
      </c>
      <c r="BP79" s="205">
        <v>0</v>
      </c>
      <c r="BQ79" s="205">
        <v>7</v>
      </c>
      <c r="BR79" s="302">
        <v>0</v>
      </c>
      <c r="BS79" s="139"/>
      <c r="BU79" s="213"/>
      <c r="BV79" s="209"/>
      <c r="BW79" s="205"/>
      <c r="BX79" s="302"/>
      <c r="BY79" s="302"/>
      <c r="CA79" s="276">
        <v>77</v>
      </c>
      <c r="CB79" s="276">
        <f t="shared" si="8"/>
        <v>-4</v>
      </c>
      <c r="CC79" s="276">
        <f t="shared" si="9"/>
        <v>24</v>
      </c>
      <c r="CD79" s="276">
        <f t="shared" si="10"/>
        <v>10</v>
      </c>
      <c r="CE79" s="276">
        <f t="shared" si="11"/>
        <v>-4</v>
      </c>
      <c r="CF79" s="276">
        <f t="shared" si="12"/>
        <v>24</v>
      </c>
      <c r="CG79" s="276">
        <f t="shared" si="13"/>
        <v>10</v>
      </c>
    </row>
    <row r="80" spans="3:85">
      <c r="AD80" s="450"/>
      <c r="AU80" s="379"/>
      <c r="BN80" s="213">
        <v>0</v>
      </c>
      <c r="BO80" s="209">
        <v>0</v>
      </c>
      <c r="BP80" s="205">
        <v>0</v>
      </c>
      <c r="BQ80" s="205">
        <v>5</v>
      </c>
      <c r="BR80" s="302">
        <v>0</v>
      </c>
      <c r="BS80" s="139"/>
      <c r="BU80" s="213"/>
      <c r="BV80" s="209"/>
      <c r="BW80" s="205"/>
      <c r="BX80" s="302"/>
      <c r="BY80" s="302"/>
      <c r="CA80" s="276">
        <v>78</v>
      </c>
      <c r="CB80" s="276">
        <f t="shared" si="8"/>
        <v>-4</v>
      </c>
      <c r="CC80" s="276">
        <f t="shared" si="9"/>
        <v>24</v>
      </c>
      <c r="CD80" s="276">
        <f t="shared" si="10"/>
        <v>10</v>
      </c>
      <c r="CE80" s="276">
        <f t="shared" si="11"/>
        <v>-4</v>
      </c>
      <c r="CF80" s="276">
        <f t="shared" si="12"/>
        <v>24</v>
      </c>
      <c r="CG80" s="276">
        <f t="shared" si="13"/>
        <v>10</v>
      </c>
    </row>
    <row r="81" spans="30:85">
      <c r="AD81" s="452"/>
      <c r="AU81" s="379"/>
      <c r="BN81" s="213">
        <v>0</v>
      </c>
      <c r="BO81" s="209">
        <v>0</v>
      </c>
      <c r="BP81" s="205">
        <v>0</v>
      </c>
      <c r="BQ81" s="205">
        <v>17</v>
      </c>
      <c r="BR81" s="302">
        <v>0</v>
      </c>
      <c r="BS81" s="139"/>
      <c r="BU81" s="213"/>
      <c r="BV81" s="209"/>
      <c r="BW81" s="205"/>
      <c r="BX81" s="302"/>
      <c r="BY81" s="302"/>
      <c r="CA81" s="276">
        <v>79</v>
      </c>
      <c r="CB81" s="276">
        <f t="shared" si="8"/>
        <v>-4</v>
      </c>
      <c r="CC81" s="276">
        <f t="shared" si="9"/>
        <v>24</v>
      </c>
      <c r="CD81" s="276">
        <f t="shared" si="10"/>
        <v>10</v>
      </c>
      <c r="CE81" s="276">
        <f t="shared" si="11"/>
        <v>-4</v>
      </c>
      <c r="CF81" s="276">
        <f t="shared" si="12"/>
        <v>24</v>
      </c>
      <c r="CG81" s="276">
        <f t="shared" si="13"/>
        <v>10</v>
      </c>
    </row>
    <row r="82" spans="30:85">
      <c r="AU82" s="379"/>
      <c r="BN82" s="213">
        <v>0</v>
      </c>
      <c r="BO82" s="209">
        <v>0</v>
      </c>
      <c r="BP82" s="205">
        <v>0</v>
      </c>
      <c r="BQ82" s="205">
        <v>15</v>
      </c>
      <c r="BR82" s="302">
        <v>0</v>
      </c>
      <c r="BS82" s="139"/>
      <c r="BU82" s="213"/>
      <c r="BV82" s="209"/>
      <c r="BW82" s="205"/>
      <c r="BX82" s="302"/>
      <c r="BY82" s="302"/>
      <c r="CA82" s="276">
        <v>80</v>
      </c>
      <c r="CB82" s="276">
        <f t="shared" si="8"/>
        <v>-4</v>
      </c>
      <c r="CC82" s="276">
        <f t="shared" si="9"/>
        <v>24</v>
      </c>
      <c r="CD82" s="276">
        <f t="shared" si="10"/>
        <v>10</v>
      </c>
      <c r="CE82" s="276">
        <f t="shared" si="11"/>
        <v>-4</v>
      </c>
      <c r="CF82" s="276">
        <f t="shared" si="12"/>
        <v>24</v>
      </c>
      <c r="CG82" s="276">
        <f t="shared" si="13"/>
        <v>10</v>
      </c>
    </row>
    <row r="83" spans="30:85">
      <c r="BN83" s="213">
        <v>0</v>
      </c>
      <c r="BO83" s="209">
        <v>0</v>
      </c>
      <c r="BP83" s="205">
        <v>0</v>
      </c>
      <c r="BQ83" s="205">
        <v>18</v>
      </c>
      <c r="BR83" s="302">
        <v>0</v>
      </c>
      <c r="BS83" s="139"/>
      <c r="BU83" s="213"/>
      <c r="BV83" s="209"/>
      <c r="BW83" s="205"/>
      <c r="BX83" s="302"/>
      <c r="BY83" s="302"/>
      <c r="CA83" s="276">
        <v>81</v>
      </c>
      <c r="CB83" s="276">
        <f t="shared" si="8"/>
        <v>-4</v>
      </c>
      <c r="CC83" s="276">
        <f t="shared" si="9"/>
        <v>24</v>
      </c>
      <c r="CD83" s="276">
        <f t="shared" si="10"/>
        <v>10</v>
      </c>
      <c r="CE83" s="276">
        <f t="shared" si="11"/>
        <v>-4</v>
      </c>
      <c r="CF83" s="276">
        <f t="shared" si="12"/>
        <v>24</v>
      </c>
      <c r="CG83" s="276">
        <f t="shared" si="13"/>
        <v>10</v>
      </c>
    </row>
    <row r="84" spans="30:85">
      <c r="BN84" s="213">
        <v>0</v>
      </c>
      <c r="BO84" s="209">
        <v>0</v>
      </c>
      <c r="BP84" s="205">
        <v>0</v>
      </c>
      <c r="BQ84" s="205">
        <v>21</v>
      </c>
      <c r="BR84" s="302">
        <v>0</v>
      </c>
      <c r="BS84" s="139"/>
      <c r="BU84" s="213"/>
      <c r="BV84" s="209"/>
      <c r="BW84" s="205"/>
      <c r="BX84" s="302"/>
      <c r="BY84" s="302"/>
      <c r="CA84" s="276">
        <v>82</v>
      </c>
      <c r="CB84" s="276">
        <f t="shared" si="8"/>
        <v>-4</v>
      </c>
      <c r="CC84" s="276">
        <f t="shared" si="9"/>
        <v>24</v>
      </c>
      <c r="CD84" s="276">
        <f t="shared" si="10"/>
        <v>10</v>
      </c>
      <c r="CE84" s="276">
        <f t="shared" si="11"/>
        <v>-4</v>
      </c>
      <c r="CF84" s="276">
        <f t="shared" si="12"/>
        <v>24</v>
      </c>
      <c r="CG84" s="276">
        <f t="shared" si="13"/>
        <v>10</v>
      </c>
    </row>
    <row r="85" spans="30:85">
      <c r="BN85" s="213">
        <v>0</v>
      </c>
      <c r="BO85" s="209">
        <v>0</v>
      </c>
      <c r="BP85" s="205">
        <v>0</v>
      </c>
      <c r="BQ85" s="205">
        <v>21</v>
      </c>
      <c r="BR85" s="302">
        <v>0</v>
      </c>
      <c r="BS85" s="139"/>
      <c r="BU85" s="213"/>
      <c r="BV85" s="209"/>
      <c r="BW85" s="205"/>
      <c r="BX85" s="302"/>
      <c r="BY85" s="302"/>
      <c r="CA85" s="276">
        <v>83</v>
      </c>
      <c r="CB85" s="276">
        <f t="shared" si="8"/>
        <v>-4</v>
      </c>
      <c r="CC85" s="276">
        <f t="shared" si="9"/>
        <v>24</v>
      </c>
      <c r="CD85" s="276">
        <f t="shared" si="10"/>
        <v>10</v>
      </c>
      <c r="CE85" s="276">
        <f t="shared" si="11"/>
        <v>-4</v>
      </c>
      <c r="CF85" s="276">
        <f t="shared" si="12"/>
        <v>24</v>
      </c>
      <c r="CG85" s="276">
        <f t="shared" si="13"/>
        <v>10</v>
      </c>
    </row>
    <row r="86" spans="30:85">
      <c r="BN86" s="213">
        <v>0</v>
      </c>
      <c r="BO86" s="209">
        <v>0</v>
      </c>
      <c r="BP86" s="205">
        <v>0</v>
      </c>
      <c r="BQ86" s="205">
        <v>21</v>
      </c>
      <c r="BR86" s="302">
        <v>0</v>
      </c>
      <c r="BS86" s="139"/>
      <c r="BU86" s="213"/>
      <c r="BV86" s="209"/>
      <c r="BW86" s="205"/>
      <c r="BX86" s="302"/>
      <c r="BY86" s="302"/>
      <c r="CA86" s="276">
        <v>84</v>
      </c>
      <c r="CB86" s="276">
        <f t="shared" si="8"/>
        <v>-4</v>
      </c>
      <c r="CC86" s="276">
        <f t="shared" si="9"/>
        <v>24</v>
      </c>
      <c r="CD86" s="276">
        <f t="shared" si="10"/>
        <v>10</v>
      </c>
      <c r="CE86" s="276">
        <f t="shared" si="11"/>
        <v>-4</v>
      </c>
      <c r="CF86" s="276">
        <f t="shared" si="12"/>
        <v>24</v>
      </c>
      <c r="CG86" s="276">
        <f t="shared" si="13"/>
        <v>10</v>
      </c>
    </row>
    <row r="87" spans="30:85">
      <c r="BN87" s="213">
        <v>0</v>
      </c>
      <c r="BO87" s="209">
        <v>0</v>
      </c>
      <c r="BP87" s="205">
        <v>0</v>
      </c>
      <c r="BQ87" s="205">
        <v>-4</v>
      </c>
      <c r="BR87" s="302">
        <v>0</v>
      </c>
      <c r="BS87" s="139"/>
      <c r="BU87" s="213"/>
      <c r="BV87" s="209"/>
      <c r="BW87" s="205"/>
      <c r="BX87" s="302"/>
      <c r="BY87" s="302"/>
      <c r="CA87" s="276">
        <v>85</v>
      </c>
      <c r="CB87" s="276">
        <f t="shared" si="8"/>
        <v>-4</v>
      </c>
      <c r="CC87" s="276">
        <f t="shared" si="9"/>
        <v>24</v>
      </c>
      <c r="CD87" s="276">
        <f t="shared" si="10"/>
        <v>10</v>
      </c>
      <c r="CE87" s="276">
        <f t="shared" si="11"/>
        <v>-4</v>
      </c>
      <c r="CF87" s="276">
        <f t="shared" si="12"/>
        <v>24</v>
      </c>
      <c r="CG87" s="276">
        <f t="shared" si="13"/>
        <v>10</v>
      </c>
    </row>
    <row r="88" spans="30:85">
      <c r="BN88" s="213">
        <v>0</v>
      </c>
      <c r="BO88" s="209">
        <v>0</v>
      </c>
      <c r="BP88" s="205">
        <v>0</v>
      </c>
      <c r="BQ88" s="205">
        <v>23</v>
      </c>
      <c r="BR88" s="302">
        <v>0</v>
      </c>
      <c r="BS88" s="139"/>
      <c r="BU88" s="213"/>
      <c r="BV88" s="209"/>
      <c r="BW88" s="205"/>
      <c r="BX88" s="302"/>
      <c r="BY88" s="302"/>
      <c r="CA88" s="276">
        <v>86</v>
      </c>
      <c r="CB88" s="276">
        <f t="shared" si="8"/>
        <v>-4</v>
      </c>
      <c r="CC88" s="276">
        <f t="shared" si="9"/>
        <v>24</v>
      </c>
      <c r="CD88" s="276">
        <f t="shared" si="10"/>
        <v>10</v>
      </c>
      <c r="CE88" s="276">
        <f t="shared" si="11"/>
        <v>-4</v>
      </c>
      <c r="CF88" s="276">
        <f t="shared" si="12"/>
        <v>24</v>
      </c>
      <c r="CG88" s="276">
        <f t="shared" si="13"/>
        <v>10</v>
      </c>
    </row>
    <row r="89" spans="30:85">
      <c r="BN89" s="213">
        <v>0</v>
      </c>
      <c r="BO89" s="209">
        <v>0</v>
      </c>
      <c r="BP89" s="205">
        <v>0</v>
      </c>
      <c r="BQ89" s="205">
        <v>-2</v>
      </c>
      <c r="BR89" s="302">
        <v>0</v>
      </c>
      <c r="BS89" s="139"/>
      <c r="BU89" s="213"/>
      <c r="BV89" s="209"/>
      <c r="BW89" s="205"/>
      <c r="BX89" s="302"/>
      <c r="BY89" s="302"/>
      <c r="CA89" s="276">
        <v>87</v>
      </c>
      <c r="CB89" s="276">
        <f t="shared" si="8"/>
        <v>-4</v>
      </c>
      <c r="CC89" s="276">
        <f t="shared" si="9"/>
        <v>24</v>
      </c>
      <c r="CD89" s="276">
        <f t="shared" si="10"/>
        <v>10</v>
      </c>
      <c r="CE89" s="276">
        <f t="shared" si="11"/>
        <v>-4</v>
      </c>
      <c r="CF89" s="276">
        <f t="shared" si="12"/>
        <v>24</v>
      </c>
      <c r="CG89" s="276">
        <f t="shared" si="13"/>
        <v>10</v>
      </c>
    </row>
    <row r="90" spans="30:85">
      <c r="BN90" s="213">
        <v>0</v>
      </c>
      <c r="BO90" s="209">
        <v>0</v>
      </c>
      <c r="BP90" s="205">
        <v>0</v>
      </c>
      <c r="BQ90" s="205">
        <v>-2</v>
      </c>
      <c r="BR90" s="302">
        <v>0</v>
      </c>
      <c r="BS90" s="139"/>
      <c r="BU90" s="213"/>
      <c r="BV90" s="209"/>
      <c r="BW90" s="205"/>
      <c r="BX90" s="302"/>
      <c r="BY90" s="302"/>
      <c r="CA90" s="276">
        <v>88</v>
      </c>
      <c r="CB90" s="276">
        <f t="shared" si="8"/>
        <v>-4</v>
      </c>
      <c r="CC90" s="276">
        <f t="shared" si="9"/>
        <v>24</v>
      </c>
      <c r="CD90" s="276">
        <f t="shared" si="10"/>
        <v>10</v>
      </c>
      <c r="CE90" s="276">
        <f t="shared" si="11"/>
        <v>-4</v>
      </c>
      <c r="CF90" s="276">
        <f t="shared" si="12"/>
        <v>24</v>
      </c>
      <c r="CG90" s="276">
        <f t="shared" si="13"/>
        <v>10</v>
      </c>
    </row>
    <row r="91" spans="30:85">
      <c r="BN91" s="213">
        <v>0</v>
      </c>
      <c r="BO91" s="209">
        <v>0</v>
      </c>
      <c r="BP91" s="205">
        <v>0</v>
      </c>
      <c r="BQ91" s="205">
        <v>13</v>
      </c>
      <c r="BR91" s="302">
        <v>0</v>
      </c>
      <c r="BS91" s="139"/>
      <c r="BU91" s="213"/>
      <c r="BV91" s="209"/>
      <c r="BW91" s="205"/>
      <c r="BX91" s="302"/>
      <c r="BY91" s="302"/>
      <c r="CA91" s="276">
        <v>89</v>
      </c>
      <c r="CB91" s="276">
        <f t="shared" si="8"/>
        <v>-4</v>
      </c>
      <c r="CC91" s="276">
        <f t="shared" si="9"/>
        <v>24</v>
      </c>
      <c r="CD91" s="276">
        <f t="shared" si="10"/>
        <v>10</v>
      </c>
      <c r="CE91" s="276">
        <f t="shared" si="11"/>
        <v>-4</v>
      </c>
      <c r="CF91" s="276">
        <f t="shared" si="12"/>
        <v>24</v>
      </c>
      <c r="CG91" s="276">
        <f t="shared" si="13"/>
        <v>10</v>
      </c>
    </row>
    <row r="92" spans="30:85">
      <c r="BN92" s="213">
        <v>0</v>
      </c>
      <c r="BO92" s="209">
        <v>0</v>
      </c>
      <c r="BP92" s="205">
        <v>0</v>
      </c>
      <c r="BQ92" s="205">
        <v>4</v>
      </c>
      <c r="BR92" s="302">
        <v>0</v>
      </c>
      <c r="BS92" s="139"/>
      <c r="BU92" s="213"/>
      <c r="BV92" s="209"/>
      <c r="BW92" s="205"/>
      <c r="BX92" s="302"/>
      <c r="BY92" s="302"/>
      <c r="CA92" s="276">
        <v>90</v>
      </c>
      <c r="CB92" s="276">
        <f t="shared" si="8"/>
        <v>-4</v>
      </c>
      <c r="CC92" s="276">
        <f t="shared" si="9"/>
        <v>24</v>
      </c>
      <c r="CD92" s="276">
        <f t="shared" si="10"/>
        <v>10</v>
      </c>
      <c r="CE92" s="276">
        <f t="shared" si="11"/>
        <v>-4</v>
      </c>
      <c r="CF92" s="276">
        <f t="shared" si="12"/>
        <v>24</v>
      </c>
      <c r="CG92" s="276">
        <f t="shared" si="13"/>
        <v>10</v>
      </c>
    </row>
    <row r="93" spans="30:85">
      <c r="BN93" s="213">
        <v>0</v>
      </c>
      <c r="BO93" s="209">
        <v>0</v>
      </c>
      <c r="BP93" s="205">
        <v>0</v>
      </c>
      <c r="BQ93" s="205">
        <v>-5</v>
      </c>
      <c r="BR93" s="302">
        <v>0</v>
      </c>
      <c r="BS93" s="139"/>
      <c r="BU93" s="213"/>
      <c r="BV93" s="209"/>
      <c r="BW93" s="205"/>
      <c r="BX93" s="302"/>
      <c r="BY93" s="302"/>
      <c r="CA93" s="276">
        <v>91</v>
      </c>
      <c r="CB93" s="276">
        <f t="shared" si="8"/>
        <v>-4</v>
      </c>
      <c r="CC93" s="276">
        <f t="shared" si="9"/>
        <v>24</v>
      </c>
      <c r="CD93" s="276">
        <f t="shared" si="10"/>
        <v>10</v>
      </c>
      <c r="CE93" s="276">
        <f t="shared" si="11"/>
        <v>-4</v>
      </c>
      <c r="CF93" s="276">
        <f t="shared" si="12"/>
        <v>24</v>
      </c>
      <c r="CG93" s="276">
        <f t="shared" si="13"/>
        <v>10</v>
      </c>
    </row>
    <row r="94" spans="30:85">
      <c r="BN94" s="213">
        <v>0</v>
      </c>
      <c r="BO94" s="209">
        <v>0</v>
      </c>
      <c r="BP94" s="205">
        <v>0</v>
      </c>
      <c r="BQ94" s="205">
        <v>9</v>
      </c>
      <c r="BR94" s="302">
        <v>0</v>
      </c>
      <c r="BS94" s="139"/>
      <c r="BU94" s="213"/>
      <c r="BV94" s="209"/>
      <c r="BW94" s="205"/>
      <c r="BX94" s="302"/>
      <c r="BY94" s="302"/>
      <c r="CA94" s="276">
        <v>92</v>
      </c>
      <c r="CB94" s="276">
        <f t="shared" si="8"/>
        <v>-4</v>
      </c>
      <c r="CC94" s="276">
        <f t="shared" si="9"/>
        <v>24</v>
      </c>
      <c r="CD94" s="276">
        <f t="shared" si="10"/>
        <v>10</v>
      </c>
      <c r="CE94" s="276">
        <f t="shared" si="11"/>
        <v>-4</v>
      </c>
      <c r="CF94" s="276">
        <f t="shared" si="12"/>
        <v>24</v>
      </c>
      <c r="CG94" s="276">
        <f t="shared" si="13"/>
        <v>10</v>
      </c>
    </row>
    <row r="95" spans="30:85">
      <c r="BN95" s="213">
        <v>0</v>
      </c>
      <c r="BO95" s="209">
        <v>0</v>
      </c>
      <c r="BP95" s="205">
        <v>0</v>
      </c>
      <c r="BQ95" s="205">
        <v>23</v>
      </c>
      <c r="BR95" s="302">
        <v>0</v>
      </c>
      <c r="BS95" s="139"/>
      <c r="BU95" s="213"/>
      <c r="BV95" s="209"/>
      <c r="BW95" s="205"/>
      <c r="BX95" s="302"/>
      <c r="BY95" s="302"/>
      <c r="CA95" s="276">
        <v>93</v>
      </c>
      <c r="CB95" s="276">
        <f t="shared" si="8"/>
        <v>-4</v>
      </c>
      <c r="CC95" s="276">
        <f t="shared" si="9"/>
        <v>24</v>
      </c>
      <c r="CD95" s="276">
        <f t="shared" si="10"/>
        <v>10</v>
      </c>
      <c r="CE95" s="276">
        <f t="shared" si="11"/>
        <v>-4</v>
      </c>
      <c r="CF95" s="276">
        <f t="shared" si="12"/>
        <v>24</v>
      </c>
      <c r="CG95" s="276">
        <f t="shared" si="13"/>
        <v>10</v>
      </c>
    </row>
    <row r="96" spans="30:85">
      <c r="BN96" s="213">
        <v>0</v>
      </c>
      <c r="BO96" s="209">
        <v>0</v>
      </c>
      <c r="BP96" s="205">
        <v>0</v>
      </c>
      <c r="BQ96" s="205">
        <v>19</v>
      </c>
      <c r="BR96" s="302">
        <v>0</v>
      </c>
      <c r="BS96" s="139"/>
      <c r="BU96" s="213"/>
      <c r="BV96" s="209"/>
      <c r="BW96" s="205"/>
      <c r="BX96" s="302"/>
      <c r="BY96" s="302"/>
      <c r="CA96" s="276">
        <v>94</v>
      </c>
      <c r="CB96" s="276">
        <f t="shared" si="8"/>
        <v>-4</v>
      </c>
      <c r="CC96" s="276">
        <f t="shared" si="9"/>
        <v>24</v>
      </c>
      <c r="CD96" s="276">
        <f t="shared" si="10"/>
        <v>10</v>
      </c>
      <c r="CE96" s="276">
        <f t="shared" si="11"/>
        <v>-4</v>
      </c>
      <c r="CF96" s="276">
        <f t="shared" si="12"/>
        <v>24</v>
      </c>
      <c r="CG96" s="276">
        <f t="shared" si="13"/>
        <v>10</v>
      </c>
    </row>
    <row r="97" spans="66:85">
      <c r="BN97" s="213">
        <v>0</v>
      </c>
      <c r="BO97" s="209">
        <v>0</v>
      </c>
      <c r="BP97" s="205">
        <v>0</v>
      </c>
      <c r="BQ97" s="205">
        <v>24</v>
      </c>
      <c r="BR97" s="302">
        <v>0</v>
      </c>
      <c r="BS97" s="139"/>
      <c r="BU97" s="213"/>
      <c r="BV97" s="209"/>
      <c r="BW97" s="205"/>
      <c r="BX97" s="302"/>
      <c r="BY97" s="302"/>
      <c r="CA97" s="276">
        <v>95</v>
      </c>
      <c r="CB97" s="276">
        <f t="shared" si="8"/>
        <v>-4</v>
      </c>
      <c r="CC97" s="276">
        <f t="shared" si="9"/>
        <v>24</v>
      </c>
      <c r="CD97" s="276">
        <f t="shared" si="10"/>
        <v>10</v>
      </c>
      <c r="CE97" s="276">
        <f t="shared" si="11"/>
        <v>-4</v>
      </c>
      <c r="CF97" s="276">
        <f t="shared" si="12"/>
        <v>24</v>
      </c>
      <c r="CG97" s="276">
        <f t="shared" si="13"/>
        <v>10</v>
      </c>
    </row>
    <row r="98" spans="66:85">
      <c r="BN98" s="213">
        <v>0</v>
      </c>
      <c r="BO98" s="209">
        <v>0</v>
      </c>
      <c r="BP98" s="205">
        <v>0</v>
      </c>
      <c r="BQ98" s="205">
        <v>21</v>
      </c>
      <c r="BR98" s="302">
        <v>0</v>
      </c>
      <c r="BS98" s="139"/>
      <c r="BU98" s="213"/>
      <c r="BV98" s="209"/>
      <c r="BW98" s="205"/>
      <c r="BX98" s="302"/>
      <c r="BY98" s="302"/>
      <c r="CA98" s="276">
        <v>96</v>
      </c>
      <c r="CB98" s="276">
        <f t="shared" si="8"/>
        <v>-4</v>
      </c>
      <c r="CC98" s="276">
        <f t="shared" si="9"/>
        <v>24</v>
      </c>
      <c r="CD98" s="276">
        <f t="shared" si="10"/>
        <v>10</v>
      </c>
      <c r="CE98" s="276">
        <f t="shared" si="11"/>
        <v>-4</v>
      </c>
      <c r="CF98" s="276">
        <f t="shared" si="12"/>
        <v>24</v>
      </c>
      <c r="CG98" s="276">
        <f t="shared" si="13"/>
        <v>10</v>
      </c>
    </row>
    <row r="99" spans="66:85">
      <c r="BN99" s="213">
        <v>0</v>
      </c>
      <c r="BO99" s="209">
        <v>0</v>
      </c>
      <c r="BP99" s="205">
        <v>0</v>
      </c>
      <c r="BQ99" s="205">
        <v>20</v>
      </c>
      <c r="BR99" s="302">
        <v>0</v>
      </c>
      <c r="BS99" s="139"/>
      <c r="BU99" s="213"/>
      <c r="BV99" s="209"/>
      <c r="BW99" s="205"/>
      <c r="BX99" s="302"/>
      <c r="BY99" s="302"/>
      <c r="CA99" s="276">
        <v>97</v>
      </c>
      <c r="CB99" s="276">
        <f t="shared" si="8"/>
        <v>-4</v>
      </c>
      <c r="CC99" s="276">
        <f t="shared" si="9"/>
        <v>24</v>
      </c>
      <c r="CD99" s="276">
        <f t="shared" si="10"/>
        <v>10</v>
      </c>
      <c r="CE99" s="276">
        <f t="shared" si="11"/>
        <v>-4</v>
      </c>
      <c r="CF99" s="276">
        <f t="shared" si="12"/>
        <v>24</v>
      </c>
      <c r="CG99" s="276">
        <f t="shared" si="13"/>
        <v>10</v>
      </c>
    </row>
    <row r="100" spans="66:85">
      <c r="BN100" s="213">
        <v>0</v>
      </c>
      <c r="BO100" s="209">
        <v>0</v>
      </c>
      <c r="BP100" s="205">
        <v>0</v>
      </c>
      <c r="BQ100" s="205">
        <v>9</v>
      </c>
      <c r="BR100" s="302">
        <v>0</v>
      </c>
      <c r="BS100" s="139"/>
      <c r="BU100" s="213"/>
      <c r="BV100" s="209"/>
      <c r="BW100" s="205"/>
      <c r="BX100" s="302"/>
      <c r="BY100" s="302"/>
      <c r="CA100" s="276">
        <v>98</v>
      </c>
      <c r="CB100" s="276">
        <f t="shared" si="8"/>
        <v>-4</v>
      </c>
      <c r="CC100" s="276">
        <f t="shared" si="9"/>
        <v>24</v>
      </c>
      <c r="CD100" s="276">
        <f t="shared" si="10"/>
        <v>10</v>
      </c>
      <c r="CE100" s="276">
        <f t="shared" si="11"/>
        <v>-4</v>
      </c>
      <c r="CF100" s="276">
        <f t="shared" si="12"/>
        <v>24</v>
      </c>
      <c r="CG100" s="276">
        <f t="shared" si="13"/>
        <v>10</v>
      </c>
    </row>
    <row r="101" spans="66:85">
      <c r="BN101" s="213">
        <v>0</v>
      </c>
      <c r="BO101" s="209">
        <v>0</v>
      </c>
      <c r="BP101" s="205">
        <v>0</v>
      </c>
      <c r="BQ101" s="205">
        <v>7</v>
      </c>
      <c r="BR101" s="302">
        <v>0</v>
      </c>
      <c r="BS101" s="139"/>
      <c r="BU101" s="213"/>
      <c r="BV101" s="209"/>
      <c r="BW101" s="205"/>
      <c r="BX101" s="302"/>
      <c r="BY101" s="302"/>
      <c r="CA101" s="276">
        <v>99</v>
      </c>
      <c r="CB101" s="276">
        <f t="shared" si="8"/>
        <v>-4</v>
      </c>
      <c r="CC101" s="276">
        <f t="shared" si="9"/>
        <v>24</v>
      </c>
      <c r="CD101" s="276">
        <f t="shared" si="10"/>
        <v>10</v>
      </c>
      <c r="CE101" s="276">
        <f t="shared" si="11"/>
        <v>-4</v>
      </c>
      <c r="CF101" s="276">
        <f t="shared" si="12"/>
        <v>24</v>
      </c>
      <c r="CG101" s="276">
        <f t="shared" si="13"/>
        <v>10</v>
      </c>
    </row>
    <row r="102" spans="66:85">
      <c r="BN102" s="213">
        <v>0</v>
      </c>
      <c r="BO102" s="209">
        <v>0</v>
      </c>
      <c r="BP102" s="205">
        <v>0</v>
      </c>
      <c r="BQ102" s="205">
        <v>-2</v>
      </c>
      <c r="BR102" s="302">
        <v>0</v>
      </c>
      <c r="BS102" s="139"/>
      <c r="BU102" s="213"/>
      <c r="BV102" s="209"/>
      <c r="BW102" s="205"/>
      <c r="BX102" s="302"/>
      <c r="BY102" s="302"/>
      <c r="CA102" s="276">
        <v>100</v>
      </c>
      <c r="CB102" s="276">
        <f t="shared" si="8"/>
        <v>-4</v>
      </c>
      <c r="CC102" s="276">
        <f t="shared" si="9"/>
        <v>24</v>
      </c>
      <c r="CD102" s="276">
        <f t="shared" si="10"/>
        <v>10</v>
      </c>
      <c r="CE102" s="276">
        <f t="shared" si="11"/>
        <v>-4</v>
      </c>
      <c r="CF102" s="276">
        <f t="shared" si="12"/>
        <v>24</v>
      </c>
      <c r="CG102" s="276">
        <f t="shared" si="13"/>
        <v>10</v>
      </c>
    </row>
    <row r="103" spans="66:85">
      <c r="BN103" s="213">
        <v>0</v>
      </c>
      <c r="BO103" s="209">
        <v>0</v>
      </c>
      <c r="BP103" s="205">
        <v>0</v>
      </c>
      <c r="BQ103" s="205">
        <v>7</v>
      </c>
      <c r="BR103" s="302">
        <v>0</v>
      </c>
      <c r="BS103" s="139"/>
      <c r="BU103" s="213"/>
      <c r="BV103" s="209"/>
      <c r="BW103" s="205"/>
      <c r="BX103" s="302"/>
      <c r="BY103" s="302"/>
      <c r="CA103" s="276">
        <v>101</v>
      </c>
      <c r="CB103" s="276">
        <f t="shared" si="8"/>
        <v>-4</v>
      </c>
      <c r="CC103" s="276">
        <f t="shared" si="9"/>
        <v>24</v>
      </c>
      <c r="CD103" s="276">
        <f t="shared" si="10"/>
        <v>10</v>
      </c>
      <c r="CE103" s="276">
        <f t="shared" si="11"/>
        <v>-4</v>
      </c>
      <c r="CF103" s="276">
        <f t="shared" si="12"/>
        <v>24</v>
      </c>
      <c r="CG103" s="276">
        <f t="shared" si="13"/>
        <v>10</v>
      </c>
    </row>
    <row r="104" spans="66:85">
      <c r="BN104" s="213">
        <v>0</v>
      </c>
      <c r="BO104" s="209">
        <v>0</v>
      </c>
      <c r="BP104" s="205">
        <v>0</v>
      </c>
      <c r="BQ104" s="205">
        <v>21</v>
      </c>
      <c r="BR104" s="302">
        <v>0</v>
      </c>
      <c r="BS104" s="139"/>
      <c r="BU104" s="213"/>
      <c r="BV104" s="209"/>
      <c r="BW104" s="205"/>
      <c r="BX104" s="302"/>
      <c r="BY104" s="302"/>
      <c r="CA104" s="276">
        <v>102</v>
      </c>
      <c r="CB104" s="276">
        <f t="shared" si="8"/>
        <v>-4</v>
      </c>
      <c r="CC104" s="276">
        <f t="shared" si="9"/>
        <v>24</v>
      </c>
      <c r="CD104" s="276">
        <f t="shared" si="10"/>
        <v>10</v>
      </c>
      <c r="CE104" s="276">
        <f t="shared" si="11"/>
        <v>-4</v>
      </c>
      <c r="CF104" s="276">
        <f t="shared" si="12"/>
        <v>24</v>
      </c>
      <c r="CG104" s="276">
        <f t="shared" si="13"/>
        <v>10</v>
      </c>
    </row>
    <row r="105" spans="66:85">
      <c r="BN105" s="213">
        <v>0</v>
      </c>
      <c r="BO105" s="209">
        <v>0</v>
      </c>
      <c r="BP105" s="205">
        <v>0</v>
      </c>
      <c r="BQ105" s="205">
        <v>11</v>
      </c>
      <c r="BR105" s="302">
        <v>0</v>
      </c>
      <c r="BS105" s="139"/>
      <c r="BU105" s="213"/>
      <c r="BV105" s="209"/>
      <c r="BW105" s="205"/>
      <c r="BX105" s="302"/>
      <c r="BY105" s="302"/>
      <c r="CA105" s="276">
        <v>103</v>
      </c>
      <c r="CB105" s="276">
        <f t="shared" si="8"/>
        <v>-4</v>
      </c>
      <c r="CC105" s="276">
        <f t="shared" si="9"/>
        <v>24</v>
      </c>
      <c r="CD105" s="276">
        <f t="shared" si="10"/>
        <v>10</v>
      </c>
      <c r="CE105" s="276">
        <f t="shared" si="11"/>
        <v>-4</v>
      </c>
      <c r="CF105" s="276">
        <f t="shared" si="12"/>
        <v>24</v>
      </c>
      <c r="CG105" s="276">
        <f t="shared" si="13"/>
        <v>10</v>
      </c>
    </row>
    <row r="106" spans="66:85">
      <c r="BN106" s="213">
        <v>0</v>
      </c>
      <c r="BO106" s="209">
        <v>0</v>
      </c>
      <c r="BP106" s="205">
        <v>0</v>
      </c>
      <c r="BQ106" s="205">
        <v>20</v>
      </c>
      <c r="BR106" s="302">
        <v>0</v>
      </c>
      <c r="BS106" s="139"/>
      <c r="BU106" s="213"/>
      <c r="BV106" s="209"/>
      <c r="BW106" s="205"/>
      <c r="BX106" s="302"/>
      <c r="BY106" s="302"/>
      <c r="CA106" s="276">
        <v>104</v>
      </c>
      <c r="CB106" s="276">
        <f t="shared" si="8"/>
        <v>-4</v>
      </c>
      <c r="CC106" s="276">
        <f t="shared" si="9"/>
        <v>24</v>
      </c>
      <c r="CD106" s="276">
        <f t="shared" si="10"/>
        <v>10</v>
      </c>
      <c r="CE106" s="276">
        <f t="shared" si="11"/>
        <v>-4</v>
      </c>
      <c r="CF106" s="276">
        <f t="shared" si="12"/>
        <v>24</v>
      </c>
      <c r="CG106" s="276">
        <f t="shared" si="13"/>
        <v>10</v>
      </c>
    </row>
    <row r="107" spans="66:85">
      <c r="BN107" s="213">
        <v>0</v>
      </c>
      <c r="BO107" s="209">
        <v>0</v>
      </c>
      <c r="BP107" s="205">
        <v>0</v>
      </c>
      <c r="BQ107" s="205">
        <v>20</v>
      </c>
      <c r="BR107" s="302">
        <v>0</v>
      </c>
      <c r="BS107" s="139"/>
      <c r="BU107" s="213"/>
      <c r="BV107" s="209"/>
      <c r="BW107" s="205"/>
      <c r="BX107" s="302"/>
      <c r="BY107" s="302"/>
      <c r="CA107" s="276">
        <v>105</v>
      </c>
      <c r="CB107" s="276">
        <f t="shared" si="8"/>
        <v>-4</v>
      </c>
      <c r="CC107" s="276">
        <f t="shared" si="9"/>
        <v>24</v>
      </c>
      <c r="CD107" s="276">
        <f t="shared" si="10"/>
        <v>10</v>
      </c>
      <c r="CE107" s="276">
        <f t="shared" si="11"/>
        <v>-4</v>
      </c>
      <c r="CF107" s="276">
        <f t="shared" si="12"/>
        <v>24</v>
      </c>
      <c r="CG107" s="276">
        <f t="shared" si="13"/>
        <v>10</v>
      </c>
    </row>
    <row r="108" spans="66:85">
      <c r="BN108" s="213">
        <v>0</v>
      </c>
      <c r="BO108" s="209">
        <v>0</v>
      </c>
      <c r="BP108" s="205">
        <v>0</v>
      </c>
      <c r="BQ108" s="205">
        <v>21</v>
      </c>
      <c r="BR108" s="302">
        <v>0</v>
      </c>
      <c r="BS108" s="139"/>
      <c r="BU108" s="213"/>
      <c r="BV108" s="209"/>
      <c r="BW108" s="205"/>
      <c r="BX108" s="302"/>
      <c r="BY108" s="302"/>
      <c r="CA108" s="276">
        <v>106</v>
      </c>
      <c r="CB108" s="276">
        <f t="shared" si="8"/>
        <v>-4</v>
      </c>
      <c r="CC108" s="276">
        <f t="shared" si="9"/>
        <v>24</v>
      </c>
      <c r="CD108" s="276">
        <f t="shared" si="10"/>
        <v>10</v>
      </c>
      <c r="CE108" s="276">
        <f t="shared" si="11"/>
        <v>-4</v>
      </c>
      <c r="CF108" s="276">
        <f t="shared" si="12"/>
        <v>24</v>
      </c>
      <c r="CG108" s="276">
        <f t="shared" si="13"/>
        <v>10</v>
      </c>
    </row>
    <row r="109" spans="66:85">
      <c r="BN109" s="213">
        <v>0</v>
      </c>
      <c r="BO109" s="209">
        <v>0</v>
      </c>
      <c r="BP109" s="205">
        <v>0</v>
      </c>
      <c r="BQ109" s="205">
        <v>21</v>
      </c>
      <c r="BR109" s="302">
        <v>0</v>
      </c>
      <c r="BS109" s="139"/>
      <c r="BU109" s="213"/>
      <c r="BV109" s="209"/>
      <c r="BW109" s="205"/>
      <c r="BX109" s="302"/>
      <c r="BY109" s="302"/>
      <c r="CA109" s="276">
        <v>107</v>
      </c>
      <c r="CB109" s="276">
        <f t="shared" si="8"/>
        <v>-4</v>
      </c>
      <c r="CC109" s="276">
        <f t="shared" si="9"/>
        <v>24</v>
      </c>
      <c r="CD109" s="276">
        <f t="shared" si="10"/>
        <v>10</v>
      </c>
      <c r="CE109" s="276">
        <f t="shared" si="11"/>
        <v>-4</v>
      </c>
      <c r="CF109" s="276">
        <f t="shared" si="12"/>
        <v>24</v>
      </c>
      <c r="CG109" s="276">
        <f t="shared" si="13"/>
        <v>10</v>
      </c>
    </row>
    <row r="110" spans="66:85">
      <c r="BN110" s="213">
        <v>0</v>
      </c>
      <c r="BO110" s="209">
        <v>0</v>
      </c>
      <c r="BP110" s="205">
        <v>0</v>
      </c>
      <c r="BQ110" s="205">
        <v>3</v>
      </c>
      <c r="BR110" s="302">
        <v>0</v>
      </c>
      <c r="BS110" s="139"/>
      <c r="BU110" s="213"/>
      <c r="BV110" s="209"/>
      <c r="BW110" s="205"/>
      <c r="BX110" s="302"/>
      <c r="BY110" s="302"/>
      <c r="CA110" s="276">
        <v>108</v>
      </c>
      <c r="CB110" s="276">
        <f t="shared" si="8"/>
        <v>-4</v>
      </c>
      <c r="CC110" s="276">
        <f t="shared" si="9"/>
        <v>24</v>
      </c>
      <c r="CD110" s="276">
        <f t="shared" si="10"/>
        <v>10</v>
      </c>
      <c r="CE110" s="276">
        <f t="shared" si="11"/>
        <v>-4</v>
      </c>
      <c r="CF110" s="276">
        <f t="shared" si="12"/>
        <v>24</v>
      </c>
      <c r="CG110" s="276">
        <f t="shared" si="13"/>
        <v>10</v>
      </c>
    </row>
    <row r="111" spans="66:85">
      <c r="BN111" s="213">
        <v>0</v>
      </c>
      <c r="BO111" s="209">
        <v>0</v>
      </c>
      <c r="BP111" s="205">
        <v>0</v>
      </c>
      <c r="BQ111" s="205">
        <v>23</v>
      </c>
      <c r="BR111" s="302">
        <v>0</v>
      </c>
      <c r="BS111" s="139"/>
      <c r="BU111" s="213"/>
      <c r="BV111" s="209"/>
      <c r="BW111" s="205"/>
      <c r="BX111" s="302"/>
      <c r="BY111" s="302"/>
      <c r="CA111" s="276">
        <v>109</v>
      </c>
      <c r="CB111" s="276">
        <f t="shared" si="8"/>
        <v>-4</v>
      </c>
      <c r="CC111" s="276">
        <f t="shared" si="9"/>
        <v>24</v>
      </c>
      <c r="CD111" s="276">
        <f t="shared" si="10"/>
        <v>10</v>
      </c>
      <c r="CE111" s="276">
        <f t="shared" si="11"/>
        <v>-4</v>
      </c>
      <c r="CF111" s="276">
        <f t="shared" si="12"/>
        <v>24</v>
      </c>
      <c r="CG111" s="276">
        <f t="shared" si="13"/>
        <v>10</v>
      </c>
    </row>
    <row r="112" spans="66:85">
      <c r="BN112" s="213">
        <v>0</v>
      </c>
      <c r="BO112" s="209">
        <v>0</v>
      </c>
      <c r="BP112" s="205">
        <v>0</v>
      </c>
      <c r="BQ112" s="205">
        <v>11</v>
      </c>
      <c r="BR112" s="302">
        <v>0</v>
      </c>
      <c r="BS112" s="139"/>
      <c r="BU112" s="213"/>
      <c r="BV112" s="209"/>
      <c r="BW112" s="205"/>
      <c r="BX112" s="302"/>
      <c r="BY112" s="302"/>
      <c r="CA112" s="276">
        <v>110</v>
      </c>
      <c r="CB112" s="276">
        <f t="shared" si="8"/>
        <v>-4</v>
      </c>
      <c r="CC112" s="276">
        <f t="shared" si="9"/>
        <v>24</v>
      </c>
      <c r="CD112" s="276">
        <f t="shared" si="10"/>
        <v>10</v>
      </c>
      <c r="CE112" s="276">
        <f t="shared" si="11"/>
        <v>-4</v>
      </c>
      <c r="CF112" s="276">
        <f t="shared" si="12"/>
        <v>24</v>
      </c>
      <c r="CG112" s="276">
        <f t="shared" si="13"/>
        <v>10</v>
      </c>
    </row>
    <row r="113" spans="66:85">
      <c r="BN113" s="213">
        <v>0</v>
      </c>
      <c r="BO113" s="209">
        <v>0</v>
      </c>
      <c r="BP113" s="205">
        <v>0</v>
      </c>
      <c r="BQ113" s="205">
        <v>9</v>
      </c>
      <c r="BR113" s="302">
        <v>0</v>
      </c>
      <c r="BS113" s="139"/>
      <c r="BU113" s="213"/>
      <c r="BV113" s="209"/>
      <c r="BW113" s="205"/>
      <c r="BX113" s="302"/>
      <c r="BY113" s="302"/>
      <c r="CA113" s="276">
        <v>111</v>
      </c>
      <c r="CB113" s="276">
        <f t="shared" si="8"/>
        <v>-4</v>
      </c>
      <c r="CC113" s="276">
        <f t="shared" si="9"/>
        <v>24</v>
      </c>
      <c r="CD113" s="276">
        <f t="shared" si="10"/>
        <v>10</v>
      </c>
      <c r="CE113" s="276">
        <f t="shared" si="11"/>
        <v>-4</v>
      </c>
      <c r="CF113" s="276">
        <f t="shared" si="12"/>
        <v>24</v>
      </c>
      <c r="CG113" s="276">
        <f t="shared" si="13"/>
        <v>10</v>
      </c>
    </row>
    <row r="114" spans="66:85">
      <c r="BN114" s="213">
        <v>0</v>
      </c>
      <c r="BO114" s="209">
        <v>0</v>
      </c>
      <c r="BP114" s="205">
        <v>0</v>
      </c>
      <c r="BQ114" s="205">
        <v>23</v>
      </c>
      <c r="BR114" s="302">
        <v>0</v>
      </c>
      <c r="BS114" s="139"/>
      <c r="BU114" s="213"/>
      <c r="BV114" s="209"/>
      <c r="BW114" s="205"/>
      <c r="BX114" s="302"/>
      <c r="BY114" s="302"/>
      <c r="CA114" s="276">
        <v>112</v>
      </c>
      <c r="CB114" s="276">
        <f t="shared" si="8"/>
        <v>-4</v>
      </c>
      <c r="CC114" s="276">
        <f t="shared" si="9"/>
        <v>24</v>
      </c>
      <c r="CD114" s="276">
        <f t="shared" si="10"/>
        <v>10</v>
      </c>
      <c r="CE114" s="276">
        <f t="shared" si="11"/>
        <v>-4</v>
      </c>
      <c r="CF114" s="276">
        <f t="shared" si="12"/>
        <v>24</v>
      </c>
      <c r="CG114" s="276">
        <f t="shared" si="13"/>
        <v>10</v>
      </c>
    </row>
    <row r="115" spans="66:85">
      <c r="BN115" s="213">
        <v>0</v>
      </c>
      <c r="BO115" s="209">
        <v>0</v>
      </c>
      <c r="BP115" s="205">
        <v>0</v>
      </c>
      <c r="BQ115" s="205">
        <v>9</v>
      </c>
      <c r="BR115" s="302">
        <v>0</v>
      </c>
      <c r="BS115" s="139"/>
      <c r="BU115" s="213"/>
      <c r="BV115" s="209"/>
      <c r="BW115" s="205"/>
      <c r="BX115" s="302"/>
      <c r="BY115" s="302"/>
      <c r="CA115" s="276">
        <v>113</v>
      </c>
      <c r="CB115" s="276">
        <f t="shared" si="8"/>
        <v>-4</v>
      </c>
      <c r="CC115" s="276">
        <f t="shared" si="9"/>
        <v>24</v>
      </c>
      <c r="CD115" s="276">
        <f t="shared" si="10"/>
        <v>10</v>
      </c>
      <c r="CE115" s="276">
        <f t="shared" si="11"/>
        <v>-4</v>
      </c>
      <c r="CF115" s="276">
        <f t="shared" si="12"/>
        <v>24</v>
      </c>
      <c r="CG115" s="276">
        <f t="shared" si="13"/>
        <v>10</v>
      </c>
    </row>
    <row r="116" spans="66:85">
      <c r="BN116" s="213">
        <v>0</v>
      </c>
      <c r="BO116" s="209">
        <v>0</v>
      </c>
      <c r="BP116" s="205">
        <v>0</v>
      </c>
      <c r="BQ116" s="205">
        <v>23</v>
      </c>
      <c r="BR116" s="302">
        <v>0</v>
      </c>
      <c r="BS116" s="139"/>
      <c r="BU116" s="213"/>
      <c r="BV116" s="209"/>
      <c r="BW116" s="205"/>
      <c r="BX116" s="302"/>
      <c r="BY116" s="302"/>
      <c r="CA116" s="276">
        <v>114</v>
      </c>
      <c r="CB116" s="276">
        <f t="shared" si="8"/>
        <v>-4</v>
      </c>
      <c r="CC116" s="276">
        <f t="shared" si="9"/>
        <v>24</v>
      </c>
      <c r="CD116" s="276">
        <f t="shared" si="10"/>
        <v>10</v>
      </c>
      <c r="CE116" s="276">
        <f t="shared" si="11"/>
        <v>-4</v>
      </c>
      <c r="CF116" s="276">
        <f t="shared" si="12"/>
        <v>24</v>
      </c>
      <c r="CG116" s="276">
        <f t="shared" si="13"/>
        <v>10</v>
      </c>
    </row>
    <row r="117" spans="66:85">
      <c r="BN117" s="213">
        <v>0</v>
      </c>
      <c r="BO117" s="209">
        <v>0</v>
      </c>
      <c r="BP117" s="205">
        <v>0</v>
      </c>
      <c r="BQ117" s="205">
        <v>3</v>
      </c>
      <c r="BR117" s="302">
        <v>0</v>
      </c>
      <c r="BS117" s="139"/>
      <c r="BU117" s="213"/>
      <c r="BV117" s="209"/>
      <c r="BW117" s="205"/>
      <c r="BX117" s="302"/>
      <c r="BY117" s="302"/>
      <c r="CA117" s="276">
        <v>115</v>
      </c>
      <c r="CB117" s="276">
        <f t="shared" si="8"/>
        <v>-4</v>
      </c>
      <c r="CC117" s="276">
        <f t="shared" si="9"/>
        <v>24</v>
      </c>
      <c r="CD117" s="276">
        <f t="shared" si="10"/>
        <v>10</v>
      </c>
      <c r="CE117" s="276">
        <f t="shared" si="11"/>
        <v>-4</v>
      </c>
      <c r="CF117" s="276">
        <f t="shared" si="12"/>
        <v>24</v>
      </c>
      <c r="CG117" s="276">
        <f t="shared" si="13"/>
        <v>10</v>
      </c>
    </row>
    <row r="118" spans="66:85">
      <c r="BN118" s="213">
        <v>0</v>
      </c>
      <c r="BO118" s="209">
        <v>0</v>
      </c>
      <c r="BP118" s="205">
        <v>0</v>
      </c>
      <c r="BQ118" s="205">
        <v>23</v>
      </c>
      <c r="BR118" s="302">
        <v>0</v>
      </c>
      <c r="BS118" s="139"/>
      <c r="BU118" s="213"/>
      <c r="BV118" s="209"/>
      <c r="BW118" s="205"/>
      <c r="BX118" s="302"/>
      <c r="BY118" s="302"/>
      <c r="CA118" s="276">
        <v>116</v>
      </c>
      <c r="CB118" s="276">
        <f t="shared" si="8"/>
        <v>-4</v>
      </c>
      <c r="CC118" s="276">
        <f t="shared" si="9"/>
        <v>24</v>
      </c>
      <c r="CD118" s="276">
        <f t="shared" si="10"/>
        <v>10</v>
      </c>
      <c r="CE118" s="276">
        <f t="shared" si="11"/>
        <v>-4</v>
      </c>
      <c r="CF118" s="276">
        <f t="shared" si="12"/>
        <v>24</v>
      </c>
      <c r="CG118" s="276">
        <f t="shared" si="13"/>
        <v>10</v>
      </c>
    </row>
    <row r="119" spans="66:85">
      <c r="BN119" s="213">
        <v>0</v>
      </c>
      <c r="BO119" s="209">
        <v>0</v>
      </c>
      <c r="BP119" s="205">
        <v>0</v>
      </c>
      <c r="BQ119" s="205">
        <v>24</v>
      </c>
      <c r="BR119" s="302">
        <v>0</v>
      </c>
      <c r="BS119" s="139"/>
      <c r="BU119" s="213"/>
      <c r="BV119" s="209"/>
      <c r="BW119" s="205"/>
      <c r="BX119" s="302"/>
      <c r="BY119" s="302"/>
      <c r="CA119" s="276">
        <v>117</v>
      </c>
      <c r="CB119" s="276">
        <f t="shared" si="8"/>
        <v>-4</v>
      </c>
      <c r="CC119" s="276">
        <f t="shared" si="9"/>
        <v>24</v>
      </c>
      <c r="CD119" s="276">
        <f t="shared" si="10"/>
        <v>10</v>
      </c>
      <c r="CE119" s="276">
        <f t="shared" si="11"/>
        <v>-4</v>
      </c>
      <c r="CF119" s="276">
        <f t="shared" si="12"/>
        <v>24</v>
      </c>
      <c r="CG119" s="276">
        <f t="shared" si="13"/>
        <v>10</v>
      </c>
    </row>
    <row r="120" spans="66:85">
      <c r="BN120" s="213">
        <v>0</v>
      </c>
      <c r="BO120" s="209">
        <v>0</v>
      </c>
      <c r="BP120" s="205">
        <v>0</v>
      </c>
      <c r="BQ120" s="205">
        <v>16</v>
      </c>
      <c r="BR120" s="302">
        <v>0</v>
      </c>
      <c r="BS120" s="139"/>
      <c r="BU120" s="213"/>
      <c r="BV120" s="209"/>
      <c r="BW120" s="205"/>
      <c r="BX120" s="302"/>
      <c r="BY120" s="302"/>
      <c r="CA120" s="276">
        <v>118</v>
      </c>
      <c r="CB120" s="276">
        <f t="shared" si="8"/>
        <v>-4</v>
      </c>
      <c r="CC120" s="276">
        <f t="shared" si="9"/>
        <v>24</v>
      </c>
      <c r="CD120" s="276">
        <f t="shared" si="10"/>
        <v>10</v>
      </c>
      <c r="CE120" s="276">
        <f t="shared" si="11"/>
        <v>-4</v>
      </c>
      <c r="CF120" s="276">
        <f t="shared" si="12"/>
        <v>24</v>
      </c>
      <c r="CG120" s="276">
        <f t="shared" si="13"/>
        <v>10</v>
      </c>
    </row>
    <row r="121" spans="66:85">
      <c r="BN121" s="213">
        <v>0</v>
      </c>
      <c r="BO121" s="209">
        <v>0</v>
      </c>
      <c r="BP121" s="205">
        <v>0</v>
      </c>
      <c r="BQ121" s="205">
        <v>23</v>
      </c>
      <c r="BR121" s="302">
        <v>0</v>
      </c>
      <c r="BS121" s="139"/>
      <c r="BU121" s="213"/>
      <c r="BV121" s="209"/>
      <c r="BW121" s="205"/>
      <c r="BX121" s="302"/>
      <c r="BY121" s="302"/>
      <c r="CA121" s="276">
        <v>119</v>
      </c>
      <c r="CB121" s="276">
        <f t="shared" si="8"/>
        <v>-4</v>
      </c>
      <c r="CC121" s="276">
        <f t="shared" si="9"/>
        <v>24</v>
      </c>
      <c r="CD121" s="276">
        <f t="shared" si="10"/>
        <v>10</v>
      </c>
      <c r="CE121" s="276">
        <f t="shared" si="11"/>
        <v>-4</v>
      </c>
      <c r="CF121" s="276">
        <f t="shared" si="12"/>
        <v>24</v>
      </c>
      <c r="CG121" s="276">
        <f t="shared" si="13"/>
        <v>10</v>
      </c>
    </row>
    <row r="122" spans="66:85">
      <c r="BN122" s="213">
        <v>0</v>
      </c>
      <c r="BO122" s="209">
        <v>0</v>
      </c>
      <c r="BP122" s="205">
        <v>0</v>
      </c>
      <c r="BQ122" s="205">
        <v>20</v>
      </c>
      <c r="BR122" s="302">
        <v>0</v>
      </c>
      <c r="BS122" s="139"/>
      <c r="BU122" s="213"/>
      <c r="BV122" s="209"/>
      <c r="BW122" s="205"/>
      <c r="BX122" s="302"/>
      <c r="BY122" s="302"/>
      <c r="CA122" s="276">
        <v>120</v>
      </c>
      <c r="CB122" s="276">
        <f t="shared" si="8"/>
        <v>-4</v>
      </c>
      <c r="CC122" s="276">
        <f t="shared" si="9"/>
        <v>24</v>
      </c>
      <c r="CD122" s="276">
        <f t="shared" si="10"/>
        <v>10</v>
      </c>
      <c r="CE122" s="276">
        <f t="shared" si="11"/>
        <v>-4</v>
      </c>
      <c r="CF122" s="276">
        <f t="shared" si="12"/>
        <v>24</v>
      </c>
      <c r="CG122" s="276">
        <f t="shared" si="13"/>
        <v>10</v>
      </c>
    </row>
    <row r="123" spans="66:85">
      <c r="BN123" s="213">
        <v>0</v>
      </c>
      <c r="BO123" s="209">
        <v>0</v>
      </c>
      <c r="BP123" s="205">
        <v>0</v>
      </c>
      <c r="BQ123" s="205">
        <v>5</v>
      </c>
      <c r="BR123" s="302">
        <v>0</v>
      </c>
      <c r="BS123" s="139"/>
      <c r="BU123" s="213"/>
      <c r="BV123" s="209"/>
      <c r="BW123" s="205"/>
      <c r="BX123" s="302"/>
      <c r="BY123" s="302"/>
      <c r="CA123" s="276">
        <v>121</v>
      </c>
      <c r="CB123" s="276">
        <f t="shared" si="8"/>
        <v>-4</v>
      </c>
      <c r="CC123" s="276">
        <f t="shared" si="9"/>
        <v>24</v>
      </c>
      <c r="CD123" s="276">
        <f t="shared" si="10"/>
        <v>10</v>
      </c>
      <c r="CE123" s="276">
        <f t="shared" si="11"/>
        <v>-4</v>
      </c>
      <c r="CF123" s="276">
        <f t="shared" si="12"/>
        <v>24</v>
      </c>
      <c r="CG123" s="276">
        <f t="shared" si="13"/>
        <v>10</v>
      </c>
    </row>
    <row r="124" spans="66:85">
      <c r="BN124" s="213">
        <v>0</v>
      </c>
      <c r="BO124" s="209">
        <v>0</v>
      </c>
      <c r="BP124" s="205">
        <v>0</v>
      </c>
      <c r="BQ124" s="205">
        <v>16</v>
      </c>
      <c r="BR124" s="302">
        <v>0</v>
      </c>
      <c r="BS124" s="139"/>
      <c r="BU124" s="213"/>
      <c r="BV124" s="209"/>
      <c r="BW124" s="205"/>
      <c r="BX124" s="302"/>
      <c r="BY124" s="302"/>
      <c r="CA124" s="276">
        <v>122</v>
      </c>
      <c r="CB124" s="276">
        <f t="shared" si="8"/>
        <v>-4</v>
      </c>
      <c r="CC124" s="276">
        <f t="shared" si="9"/>
        <v>24</v>
      </c>
      <c r="CD124" s="276">
        <f t="shared" si="10"/>
        <v>10</v>
      </c>
      <c r="CE124" s="276">
        <f t="shared" si="11"/>
        <v>-4</v>
      </c>
      <c r="CF124" s="276">
        <f t="shared" si="12"/>
        <v>24</v>
      </c>
      <c r="CG124" s="276">
        <f t="shared" si="13"/>
        <v>10</v>
      </c>
    </row>
    <row r="125" spans="66:85">
      <c r="BN125" s="213">
        <v>0</v>
      </c>
      <c r="BO125" s="209">
        <v>0</v>
      </c>
      <c r="BP125" s="205">
        <v>0</v>
      </c>
      <c r="BQ125" s="205">
        <v>7</v>
      </c>
      <c r="BR125" s="302">
        <v>0</v>
      </c>
      <c r="BS125" s="139"/>
      <c r="BU125" s="213"/>
      <c r="BV125" s="209"/>
      <c r="BW125" s="205"/>
      <c r="BX125" s="302"/>
      <c r="BY125" s="302"/>
      <c r="CA125" s="276">
        <v>123</v>
      </c>
      <c r="CB125" s="276">
        <f t="shared" si="8"/>
        <v>-4</v>
      </c>
      <c r="CC125" s="276">
        <f t="shared" si="9"/>
        <v>24</v>
      </c>
      <c r="CD125" s="276">
        <f t="shared" si="10"/>
        <v>10</v>
      </c>
      <c r="CE125" s="276">
        <f t="shared" si="11"/>
        <v>-4</v>
      </c>
      <c r="CF125" s="276">
        <f t="shared" si="12"/>
        <v>24</v>
      </c>
      <c r="CG125" s="276">
        <f t="shared" si="13"/>
        <v>10</v>
      </c>
    </row>
    <row r="126" spans="66:85">
      <c r="BN126" s="213">
        <v>0</v>
      </c>
      <c r="BO126" s="209">
        <v>0</v>
      </c>
      <c r="BP126" s="205">
        <v>0</v>
      </c>
      <c r="BQ126" s="205">
        <v>19</v>
      </c>
      <c r="BR126" s="302">
        <v>0</v>
      </c>
      <c r="BS126" s="139"/>
      <c r="BU126" s="213"/>
      <c r="BV126" s="209"/>
      <c r="BW126" s="205"/>
      <c r="BX126" s="302"/>
      <c r="BY126" s="302"/>
      <c r="CA126" s="276">
        <v>124</v>
      </c>
      <c r="CB126" s="276">
        <f t="shared" si="8"/>
        <v>-4</v>
      </c>
      <c r="CC126" s="276">
        <f t="shared" si="9"/>
        <v>24</v>
      </c>
      <c r="CD126" s="276">
        <f t="shared" si="10"/>
        <v>10</v>
      </c>
      <c r="CE126" s="276">
        <f t="shared" si="11"/>
        <v>-4</v>
      </c>
      <c r="CF126" s="276">
        <f t="shared" si="12"/>
        <v>24</v>
      </c>
      <c r="CG126" s="276">
        <f t="shared" si="13"/>
        <v>10</v>
      </c>
    </row>
    <row r="127" spans="66:85">
      <c r="BN127" s="213">
        <v>0</v>
      </c>
      <c r="BO127" s="209">
        <v>0</v>
      </c>
      <c r="BP127" s="205">
        <v>0</v>
      </c>
      <c r="BQ127" s="205">
        <v>8</v>
      </c>
      <c r="BR127" s="302">
        <v>0</v>
      </c>
      <c r="BS127" s="139"/>
      <c r="BU127" s="213"/>
      <c r="BV127" s="209"/>
      <c r="BW127" s="205"/>
      <c r="BX127" s="302"/>
      <c r="BY127" s="302"/>
      <c r="CA127" s="276">
        <v>125</v>
      </c>
      <c r="CB127" s="276">
        <f t="shared" si="8"/>
        <v>-4</v>
      </c>
      <c r="CC127" s="276">
        <f t="shared" si="9"/>
        <v>24</v>
      </c>
      <c r="CD127" s="276">
        <f t="shared" si="10"/>
        <v>10</v>
      </c>
      <c r="CE127" s="276">
        <f t="shared" si="11"/>
        <v>-4</v>
      </c>
      <c r="CF127" s="276">
        <f t="shared" si="12"/>
        <v>24</v>
      </c>
      <c r="CG127" s="276">
        <f t="shared" si="13"/>
        <v>10</v>
      </c>
    </row>
    <row r="128" spans="66:85">
      <c r="BN128" s="213">
        <v>0</v>
      </c>
      <c r="BO128" s="209">
        <v>0</v>
      </c>
      <c r="BP128" s="205">
        <v>0</v>
      </c>
      <c r="BQ128" s="205">
        <v>22</v>
      </c>
      <c r="BR128" s="302">
        <v>0</v>
      </c>
      <c r="BS128" s="139"/>
      <c r="BU128" s="213"/>
      <c r="BV128" s="209"/>
      <c r="BW128" s="205"/>
      <c r="BX128" s="302"/>
      <c r="BY128" s="302"/>
      <c r="CA128" s="276">
        <v>126</v>
      </c>
      <c r="CB128" s="276">
        <f t="shared" si="8"/>
        <v>-4</v>
      </c>
      <c r="CC128" s="276">
        <f t="shared" si="9"/>
        <v>24</v>
      </c>
      <c r="CD128" s="276">
        <f t="shared" si="10"/>
        <v>10</v>
      </c>
      <c r="CE128" s="276">
        <f t="shared" si="11"/>
        <v>-4</v>
      </c>
      <c r="CF128" s="276">
        <f t="shared" si="12"/>
        <v>24</v>
      </c>
      <c r="CG128" s="276">
        <f t="shared" si="13"/>
        <v>10</v>
      </c>
    </row>
    <row r="129" spans="66:85">
      <c r="BN129" s="213">
        <v>0</v>
      </c>
      <c r="BO129" s="209">
        <v>0</v>
      </c>
      <c r="BP129" s="205">
        <v>0</v>
      </c>
      <c r="BQ129" s="205">
        <v>18</v>
      </c>
      <c r="BR129" s="302">
        <v>0</v>
      </c>
      <c r="BS129" s="139"/>
      <c r="BU129" s="213"/>
      <c r="BV129" s="209"/>
      <c r="BW129" s="205"/>
      <c r="BX129" s="302"/>
      <c r="BY129" s="302"/>
      <c r="CA129" s="276">
        <v>127</v>
      </c>
      <c r="CB129" s="276">
        <f t="shared" si="8"/>
        <v>-4</v>
      </c>
      <c r="CC129" s="276">
        <f t="shared" si="9"/>
        <v>24</v>
      </c>
      <c r="CD129" s="276">
        <f t="shared" si="10"/>
        <v>10</v>
      </c>
      <c r="CE129" s="276">
        <f t="shared" si="11"/>
        <v>-4</v>
      </c>
      <c r="CF129" s="276">
        <f t="shared" si="12"/>
        <v>24</v>
      </c>
      <c r="CG129" s="276">
        <f t="shared" si="13"/>
        <v>10</v>
      </c>
    </row>
    <row r="130" spans="66:85">
      <c r="BN130" s="213">
        <v>0</v>
      </c>
      <c r="BO130" s="209">
        <v>0</v>
      </c>
      <c r="BP130" s="205">
        <v>0</v>
      </c>
      <c r="BQ130" s="205">
        <v>16</v>
      </c>
      <c r="BR130" s="302">
        <v>0</v>
      </c>
      <c r="BS130" s="139"/>
      <c r="BU130" s="213"/>
      <c r="BV130" s="209"/>
      <c r="BW130" s="205"/>
      <c r="BX130" s="302"/>
      <c r="BY130" s="302"/>
      <c r="CA130" s="276">
        <v>128</v>
      </c>
      <c r="CB130" s="276">
        <f t="shared" si="8"/>
        <v>-4</v>
      </c>
      <c r="CC130" s="276">
        <f t="shared" si="9"/>
        <v>24</v>
      </c>
      <c r="CD130" s="276">
        <f t="shared" si="10"/>
        <v>10</v>
      </c>
      <c r="CE130" s="276">
        <f t="shared" si="11"/>
        <v>-4</v>
      </c>
      <c r="CF130" s="276">
        <f t="shared" si="12"/>
        <v>24</v>
      </c>
      <c r="CG130" s="276">
        <f t="shared" si="13"/>
        <v>10</v>
      </c>
    </row>
    <row r="131" spans="66:85">
      <c r="BN131" s="213">
        <v>0</v>
      </c>
      <c r="BO131" s="209">
        <v>0</v>
      </c>
      <c r="BP131" s="205">
        <v>0</v>
      </c>
      <c r="BQ131" s="205">
        <v>-65</v>
      </c>
      <c r="BR131" s="302">
        <v>0</v>
      </c>
      <c r="BS131" s="139"/>
      <c r="BU131" s="213"/>
      <c r="BV131" s="209"/>
      <c r="BW131" s="205"/>
      <c r="BX131" s="302"/>
      <c r="BY131" s="302"/>
      <c r="CA131" s="276">
        <v>129</v>
      </c>
      <c r="CB131" s="276">
        <f t="shared" si="8"/>
        <v>-4</v>
      </c>
      <c r="CC131" s="276">
        <f t="shared" si="9"/>
        <v>24</v>
      </c>
      <c r="CD131" s="276">
        <f t="shared" si="10"/>
        <v>10</v>
      </c>
      <c r="CE131" s="276">
        <f t="shared" si="11"/>
        <v>-4</v>
      </c>
      <c r="CF131" s="276">
        <f t="shared" si="12"/>
        <v>24</v>
      </c>
      <c r="CG131" s="276">
        <f t="shared" si="13"/>
        <v>10</v>
      </c>
    </row>
    <row r="132" spans="66:85">
      <c r="BN132" s="213">
        <v>0</v>
      </c>
      <c r="BO132" s="209">
        <v>0</v>
      </c>
      <c r="BP132" s="205">
        <v>0</v>
      </c>
      <c r="BQ132" s="205">
        <v>21</v>
      </c>
      <c r="BR132" s="302">
        <v>0</v>
      </c>
      <c r="BS132" s="139"/>
      <c r="BU132" s="213"/>
      <c r="BV132" s="209"/>
      <c r="BW132" s="205"/>
      <c r="BX132" s="302"/>
      <c r="BY132" s="302"/>
      <c r="CA132" s="276">
        <v>130</v>
      </c>
      <c r="CB132" s="276">
        <f t="shared" ref="CB132:CB192" si="14">$BL$2</f>
        <v>-4</v>
      </c>
      <c r="CC132" s="276">
        <f t="shared" ref="CC132:CC192" si="15">$BM$2</f>
        <v>24</v>
      </c>
      <c r="CD132" s="276">
        <f t="shared" ref="CD132:CD192" si="16">$BM$2-14</f>
        <v>10</v>
      </c>
      <c r="CE132" s="276">
        <f t="shared" ref="CE132:CE192" si="17">$BS$2</f>
        <v>-4</v>
      </c>
      <c r="CF132" s="276">
        <f t="shared" ref="CF132:CF192" si="18">$BT$2</f>
        <v>24</v>
      </c>
      <c r="CG132" s="276">
        <f t="shared" ref="CG132:CG192" si="19">$BT$2-14</f>
        <v>10</v>
      </c>
    </row>
    <row r="133" spans="66:85">
      <c r="BN133" s="213">
        <v>0</v>
      </c>
      <c r="BO133" s="209">
        <v>0</v>
      </c>
      <c r="BP133" s="205">
        <v>0</v>
      </c>
      <c r="BQ133" s="205">
        <v>0</v>
      </c>
      <c r="BR133" s="302">
        <v>0</v>
      </c>
      <c r="BS133" s="139"/>
      <c r="BU133" s="213"/>
      <c r="BV133" s="209"/>
      <c r="BW133" s="205"/>
      <c r="BX133" s="302"/>
      <c r="BY133" s="302"/>
      <c r="CA133" s="276">
        <v>131</v>
      </c>
      <c r="CB133" s="276">
        <f t="shared" si="14"/>
        <v>-4</v>
      </c>
      <c r="CC133" s="276">
        <f t="shared" si="15"/>
        <v>24</v>
      </c>
      <c r="CD133" s="276">
        <f t="shared" si="16"/>
        <v>10</v>
      </c>
      <c r="CE133" s="276">
        <f t="shared" si="17"/>
        <v>-4</v>
      </c>
      <c r="CF133" s="276">
        <f t="shared" si="18"/>
        <v>24</v>
      </c>
      <c r="CG133" s="276">
        <f t="shared" si="19"/>
        <v>10</v>
      </c>
    </row>
    <row r="134" spans="66:85">
      <c r="BN134" s="213">
        <v>0</v>
      </c>
      <c r="BO134" s="209">
        <v>0</v>
      </c>
      <c r="BP134" s="205">
        <v>0</v>
      </c>
      <c r="BQ134" s="205">
        <v>21</v>
      </c>
      <c r="BR134" s="302">
        <v>0</v>
      </c>
      <c r="BS134" s="139"/>
      <c r="BU134" s="213"/>
      <c r="BV134" s="209"/>
      <c r="BW134" s="205"/>
      <c r="BX134" s="302"/>
      <c r="BY134" s="302"/>
      <c r="CA134" s="276">
        <v>132</v>
      </c>
      <c r="CB134" s="276">
        <f t="shared" si="14"/>
        <v>-4</v>
      </c>
      <c r="CC134" s="276">
        <f t="shared" si="15"/>
        <v>24</v>
      </c>
      <c r="CD134" s="276">
        <f t="shared" si="16"/>
        <v>10</v>
      </c>
      <c r="CE134" s="276">
        <f t="shared" si="17"/>
        <v>-4</v>
      </c>
      <c r="CF134" s="276">
        <f t="shared" si="18"/>
        <v>24</v>
      </c>
      <c r="CG134" s="276">
        <f t="shared" si="19"/>
        <v>10</v>
      </c>
    </row>
    <row r="135" spans="66:85">
      <c r="BN135" s="213">
        <v>0</v>
      </c>
      <c r="BO135" s="209">
        <v>0</v>
      </c>
      <c r="BP135" s="205">
        <v>0</v>
      </c>
      <c r="BQ135" s="205">
        <v>22</v>
      </c>
      <c r="BR135" s="302">
        <v>0</v>
      </c>
      <c r="BS135" s="139"/>
      <c r="BU135" s="213"/>
      <c r="BV135" s="209"/>
      <c r="BW135" s="205"/>
      <c r="BX135" s="302"/>
      <c r="BY135" s="302"/>
      <c r="CA135" s="276">
        <v>133</v>
      </c>
      <c r="CB135" s="276">
        <f t="shared" si="14"/>
        <v>-4</v>
      </c>
      <c r="CC135" s="276">
        <f t="shared" si="15"/>
        <v>24</v>
      </c>
      <c r="CD135" s="276">
        <f t="shared" si="16"/>
        <v>10</v>
      </c>
      <c r="CE135" s="276">
        <f t="shared" si="17"/>
        <v>-4</v>
      </c>
      <c r="CF135" s="276">
        <f t="shared" si="18"/>
        <v>24</v>
      </c>
      <c r="CG135" s="276">
        <f t="shared" si="19"/>
        <v>10</v>
      </c>
    </row>
    <row r="136" spans="66:85">
      <c r="BN136" s="213">
        <v>0</v>
      </c>
      <c r="BO136" s="209">
        <v>0</v>
      </c>
      <c r="BP136" s="205">
        <v>0</v>
      </c>
      <c r="BQ136" s="205">
        <v>-5</v>
      </c>
      <c r="BR136" s="302">
        <v>0</v>
      </c>
      <c r="BS136" s="139"/>
      <c r="BU136" s="213"/>
      <c r="BV136" s="209"/>
      <c r="BW136" s="205"/>
      <c r="BX136" s="302"/>
      <c r="BY136" s="302"/>
      <c r="CA136" s="276">
        <v>134</v>
      </c>
      <c r="CB136" s="276">
        <f t="shared" si="14"/>
        <v>-4</v>
      </c>
      <c r="CC136" s="276">
        <f t="shared" si="15"/>
        <v>24</v>
      </c>
      <c r="CD136" s="276">
        <f t="shared" si="16"/>
        <v>10</v>
      </c>
      <c r="CE136" s="276">
        <f t="shared" si="17"/>
        <v>-4</v>
      </c>
      <c r="CF136" s="276">
        <f t="shared" si="18"/>
        <v>24</v>
      </c>
      <c r="CG136" s="276">
        <f t="shared" si="19"/>
        <v>10</v>
      </c>
    </row>
    <row r="137" spans="66:85">
      <c r="BN137" s="213">
        <v>0</v>
      </c>
      <c r="BO137" s="209">
        <v>0</v>
      </c>
      <c r="BP137" s="205">
        <v>0</v>
      </c>
      <c r="BQ137" s="205">
        <v>-19</v>
      </c>
      <c r="BR137" s="302">
        <v>0</v>
      </c>
      <c r="BS137" s="139"/>
      <c r="BU137" s="213"/>
      <c r="BV137" s="209"/>
      <c r="BW137" s="205"/>
      <c r="BX137" s="302"/>
      <c r="BY137" s="302"/>
      <c r="CA137" s="276">
        <v>135</v>
      </c>
      <c r="CB137" s="276">
        <f t="shared" si="14"/>
        <v>-4</v>
      </c>
      <c r="CC137" s="276">
        <f t="shared" si="15"/>
        <v>24</v>
      </c>
      <c r="CD137" s="276">
        <f t="shared" si="16"/>
        <v>10</v>
      </c>
      <c r="CE137" s="276">
        <f t="shared" si="17"/>
        <v>-4</v>
      </c>
      <c r="CF137" s="276">
        <f t="shared" si="18"/>
        <v>24</v>
      </c>
      <c r="CG137" s="276">
        <f t="shared" si="19"/>
        <v>10</v>
      </c>
    </row>
    <row r="138" spans="66:85">
      <c r="BN138" s="213">
        <v>0</v>
      </c>
      <c r="BO138" s="209">
        <v>0</v>
      </c>
      <c r="BP138" s="205">
        <v>0</v>
      </c>
      <c r="BQ138" s="205">
        <v>14</v>
      </c>
      <c r="BR138" s="302">
        <v>0</v>
      </c>
      <c r="BS138" s="139"/>
      <c r="BU138" s="213"/>
      <c r="BV138" s="209"/>
      <c r="BW138" s="205"/>
      <c r="BX138" s="302"/>
      <c r="BY138" s="302"/>
      <c r="CA138" s="276">
        <v>136</v>
      </c>
      <c r="CB138" s="276">
        <f t="shared" si="14"/>
        <v>-4</v>
      </c>
      <c r="CC138" s="276">
        <f t="shared" si="15"/>
        <v>24</v>
      </c>
      <c r="CD138" s="276">
        <f t="shared" si="16"/>
        <v>10</v>
      </c>
      <c r="CE138" s="276">
        <f t="shared" si="17"/>
        <v>-4</v>
      </c>
      <c r="CF138" s="276">
        <f t="shared" si="18"/>
        <v>24</v>
      </c>
      <c r="CG138" s="276">
        <f t="shared" si="19"/>
        <v>10</v>
      </c>
    </row>
    <row r="139" spans="66:85">
      <c r="BN139" s="213">
        <v>0</v>
      </c>
      <c r="BO139" s="209">
        <v>0</v>
      </c>
      <c r="BP139" s="205">
        <v>0</v>
      </c>
      <c r="BQ139" s="205">
        <v>23</v>
      </c>
      <c r="BR139" s="302">
        <v>0</v>
      </c>
      <c r="BS139" s="139"/>
      <c r="BU139" s="213"/>
      <c r="BV139" s="209"/>
      <c r="BW139" s="205"/>
      <c r="BX139" s="302"/>
      <c r="BY139" s="302"/>
      <c r="CA139" s="276">
        <v>137</v>
      </c>
      <c r="CB139" s="276">
        <f t="shared" si="14"/>
        <v>-4</v>
      </c>
      <c r="CC139" s="276">
        <f t="shared" si="15"/>
        <v>24</v>
      </c>
      <c r="CD139" s="276">
        <f t="shared" si="16"/>
        <v>10</v>
      </c>
      <c r="CE139" s="276">
        <f t="shared" si="17"/>
        <v>-4</v>
      </c>
      <c r="CF139" s="276">
        <f t="shared" si="18"/>
        <v>24</v>
      </c>
      <c r="CG139" s="276">
        <f t="shared" si="19"/>
        <v>10</v>
      </c>
    </row>
    <row r="140" spans="66:85">
      <c r="BN140" s="213">
        <v>0</v>
      </c>
      <c r="BO140" s="209">
        <v>0</v>
      </c>
      <c r="BP140" s="205">
        <v>0</v>
      </c>
      <c r="BQ140" s="205">
        <v>14</v>
      </c>
      <c r="BR140" s="302">
        <v>0</v>
      </c>
      <c r="BS140" s="139"/>
      <c r="BU140" s="213"/>
      <c r="BV140" s="209"/>
      <c r="BW140" s="205"/>
      <c r="BX140" s="302"/>
      <c r="BY140" s="302"/>
      <c r="CA140" s="276">
        <v>138</v>
      </c>
      <c r="CB140" s="276">
        <f t="shared" si="14"/>
        <v>-4</v>
      </c>
      <c r="CC140" s="276">
        <f t="shared" si="15"/>
        <v>24</v>
      </c>
      <c r="CD140" s="276">
        <f t="shared" si="16"/>
        <v>10</v>
      </c>
      <c r="CE140" s="276">
        <f t="shared" si="17"/>
        <v>-4</v>
      </c>
      <c r="CF140" s="276">
        <f t="shared" si="18"/>
        <v>24</v>
      </c>
      <c r="CG140" s="276">
        <f t="shared" si="19"/>
        <v>10</v>
      </c>
    </row>
    <row r="141" spans="66:85">
      <c r="BN141" s="213">
        <v>0</v>
      </c>
      <c r="BO141" s="209">
        <v>0</v>
      </c>
      <c r="BP141" s="205">
        <v>0</v>
      </c>
      <c r="BQ141" s="205">
        <v>18</v>
      </c>
      <c r="BR141" s="302">
        <v>0</v>
      </c>
      <c r="BS141" s="139"/>
      <c r="BU141" s="213"/>
      <c r="BV141" s="209"/>
      <c r="BW141" s="205"/>
      <c r="BX141" s="302"/>
      <c r="BY141" s="302"/>
      <c r="CA141" s="276">
        <v>139</v>
      </c>
      <c r="CB141" s="276">
        <f t="shared" si="14"/>
        <v>-4</v>
      </c>
      <c r="CC141" s="276">
        <f t="shared" si="15"/>
        <v>24</v>
      </c>
      <c r="CD141" s="276">
        <f t="shared" si="16"/>
        <v>10</v>
      </c>
      <c r="CE141" s="276">
        <f t="shared" si="17"/>
        <v>-4</v>
      </c>
      <c r="CF141" s="276">
        <f t="shared" si="18"/>
        <v>24</v>
      </c>
      <c r="CG141" s="276">
        <f t="shared" si="19"/>
        <v>10</v>
      </c>
    </row>
    <row r="142" spans="66:85">
      <c r="BN142" s="213">
        <v>0</v>
      </c>
      <c r="BO142" s="209">
        <v>0</v>
      </c>
      <c r="BP142" s="205">
        <v>0</v>
      </c>
      <c r="BQ142" s="205">
        <v>7</v>
      </c>
      <c r="BR142" s="302">
        <v>0</v>
      </c>
      <c r="BS142" s="139"/>
      <c r="BU142" s="213"/>
      <c r="BV142" s="209"/>
      <c r="BW142" s="205"/>
      <c r="BX142" s="302"/>
      <c r="BY142" s="302"/>
      <c r="CA142" s="276">
        <v>140</v>
      </c>
      <c r="CB142" s="276">
        <f t="shared" si="14"/>
        <v>-4</v>
      </c>
      <c r="CC142" s="276">
        <f t="shared" si="15"/>
        <v>24</v>
      </c>
      <c r="CD142" s="276">
        <f t="shared" si="16"/>
        <v>10</v>
      </c>
      <c r="CE142" s="276">
        <f t="shared" si="17"/>
        <v>-4</v>
      </c>
      <c r="CF142" s="276">
        <f t="shared" si="18"/>
        <v>24</v>
      </c>
      <c r="CG142" s="276">
        <f t="shared" si="19"/>
        <v>10</v>
      </c>
    </row>
    <row r="143" spans="66:85">
      <c r="BN143" s="213">
        <v>0</v>
      </c>
      <c r="BO143" s="209">
        <v>0</v>
      </c>
      <c r="BP143" s="205">
        <v>0</v>
      </c>
      <c r="BQ143" s="205">
        <v>21</v>
      </c>
      <c r="BR143" s="302">
        <v>0</v>
      </c>
      <c r="BS143" s="139"/>
      <c r="BU143" s="213"/>
      <c r="BV143" s="209"/>
      <c r="BW143" s="205"/>
      <c r="BX143" s="302"/>
      <c r="BY143" s="302"/>
      <c r="CA143" s="276">
        <v>141</v>
      </c>
      <c r="CB143" s="276">
        <f t="shared" si="14"/>
        <v>-4</v>
      </c>
      <c r="CC143" s="276">
        <f t="shared" si="15"/>
        <v>24</v>
      </c>
      <c r="CD143" s="276">
        <f t="shared" si="16"/>
        <v>10</v>
      </c>
      <c r="CE143" s="276">
        <f t="shared" si="17"/>
        <v>-4</v>
      </c>
      <c r="CF143" s="276">
        <f t="shared" si="18"/>
        <v>24</v>
      </c>
      <c r="CG143" s="276">
        <f t="shared" si="19"/>
        <v>10</v>
      </c>
    </row>
    <row r="144" spans="66:85">
      <c r="BN144" s="213">
        <v>0</v>
      </c>
      <c r="BO144" s="209">
        <v>0</v>
      </c>
      <c r="BP144" s="205">
        <v>0</v>
      </c>
      <c r="BQ144" s="205">
        <v>26</v>
      </c>
      <c r="BR144" s="302">
        <v>0</v>
      </c>
      <c r="BS144" s="139"/>
      <c r="BU144" s="213"/>
      <c r="BV144" s="209"/>
      <c r="BW144" s="205"/>
      <c r="BX144" s="302"/>
      <c r="BY144" s="302"/>
      <c r="CA144" s="276">
        <v>142</v>
      </c>
      <c r="CB144" s="276">
        <f t="shared" si="14"/>
        <v>-4</v>
      </c>
      <c r="CC144" s="276">
        <f t="shared" si="15"/>
        <v>24</v>
      </c>
      <c r="CD144" s="276">
        <f t="shared" si="16"/>
        <v>10</v>
      </c>
      <c r="CE144" s="276">
        <f t="shared" si="17"/>
        <v>-4</v>
      </c>
      <c r="CF144" s="276">
        <f t="shared" si="18"/>
        <v>24</v>
      </c>
      <c r="CG144" s="276">
        <f t="shared" si="19"/>
        <v>10</v>
      </c>
    </row>
    <row r="145" spans="66:85">
      <c r="BN145" s="213">
        <v>0</v>
      </c>
      <c r="BO145" s="209">
        <v>0</v>
      </c>
      <c r="BP145" s="205">
        <v>0</v>
      </c>
      <c r="BQ145" s="205">
        <v>13</v>
      </c>
      <c r="BR145" s="302">
        <v>0</v>
      </c>
      <c r="BS145" s="139"/>
      <c r="BU145" s="213"/>
      <c r="BV145" s="209"/>
      <c r="BW145" s="205"/>
      <c r="BX145" s="302"/>
      <c r="BY145" s="302"/>
      <c r="CA145" s="276">
        <v>143</v>
      </c>
      <c r="CB145" s="276">
        <f t="shared" si="14"/>
        <v>-4</v>
      </c>
      <c r="CC145" s="276">
        <f t="shared" si="15"/>
        <v>24</v>
      </c>
      <c r="CD145" s="276">
        <f t="shared" si="16"/>
        <v>10</v>
      </c>
      <c r="CE145" s="276">
        <f t="shared" si="17"/>
        <v>-4</v>
      </c>
      <c r="CF145" s="276">
        <f t="shared" si="18"/>
        <v>24</v>
      </c>
      <c r="CG145" s="276">
        <f t="shared" si="19"/>
        <v>10</v>
      </c>
    </row>
    <row r="146" spans="66:85">
      <c r="BN146" s="213">
        <v>0</v>
      </c>
      <c r="BO146" s="209">
        <v>0</v>
      </c>
      <c r="BP146" s="205">
        <v>0</v>
      </c>
      <c r="BQ146" s="205">
        <v>5</v>
      </c>
      <c r="BR146" s="302">
        <v>0</v>
      </c>
      <c r="BS146" s="139"/>
      <c r="BU146" s="213"/>
      <c r="BV146" s="209"/>
      <c r="BW146" s="205"/>
      <c r="BX146" s="302"/>
      <c r="BY146" s="302"/>
      <c r="CA146" s="276">
        <v>144</v>
      </c>
      <c r="CB146" s="276">
        <f t="shared" si="14"/>
        <v>-4</v>
      </c>
      <c r="CC146" s="276">
        <f t="shared" si="15"/>
        <v>24</v>
      </c>
      <c r="CD146" s="276">
        <f t="shared" si="16"/>
        <v>10</v>
      </c>
      <c r="CE146" s="276">
        <f t="shared" si="17"/>
        <v>-4</v>
      </c>
      <c r="CF146" s="276">
        <f t="shared" si="18"/>
        <v>24</v>
      </c>
      <c r="CG146" s="276">
        <f t="shared" si="19"/>
        <v>10</v>
      </c>
    </row>
    <row r="147" spans="66:85">
      <c r="BN147" s="213">
        <v>0</v>
      </c>
      <c r="BO147" s="209">
        <v>0</v>
      </c>
      <c r="BP147" s="205">
        <v>0</v>
      </c>
      <c r="BQ147" s="205">
        <v>2</v>
      </c>
      <c r="BR147" s="302">
        <v>0</v>
      </c>
      <c r="BS147" s="139"/>
      <c r="BU147" s="213"/>
      <c r="BV147" s="209"/>
      <c r="BW147" s="205"/>
      <c r="BX147" s="302"/>
      <c r="BY147" s="302"/>
      <c r="CA147" s="276">
        <v>145</v>
      </c>
      <c r="CB147" s="276">
        <f t="shared" si="14"/>
        <v>-4</v>
      </c>
      <c r="CC147" s="276">
        <f t="shared" si="15"/>
        <v>24</v>
      </c>
      <c r="CD147" s="276">
        <f t="shared" si="16"/>
        <v>10</v>
      </c>
      <c r="CE147" s="276">
        <f t="shared" si="17"/>
        <v>-4</v>
      </c>
      <c r="CF147" s="276">
        <f t="shared" si="18"/>
        <v>24</v>
      </c>
      <c r="CG147" s="276">
        <f t="shared" si="19"/>
        <v>10</v>
      </c>
    </row>
    <row r="148" spans="66:85">
      <c r="BN148" s="213">
        <v>0</v>
      </c>
      <c r="BO148" s="209">
        <v>0</v>
      </c>
      <c r="BP148" s="205">
        <v>0</v>
      </c>
      <c r="BQ148" s="205">
        <v>25</v>
      </c>
      <c r="BR148" s="302">
        <v>0</v>
      </c>
      <c r="BS148" s="139"/>
      <c r="BU148" s="213"/>
      <c r="BV148" s="209"/>
      <c r="BW148" s="205"/>
      <c r="BX148" s="302"/>
      <c r="BY148" s="302"/>
      <c r="CA148" s="276">
        <v>146</v>
      </c>
      <c r="CB148" s="276">
        <f t="shared" si="14"/>
        <v>-4</v>
      </c>
      <c r="CC148" s="276">
        <f t="shared" si="15"/>
        <v>24</v>
      </c>
      <c r="CD148" s="276">
        <f t="shared" si="16"/>
        <v>10</v>
      </c>
      <c r="CE148" s="276">
        <f t="shared" si="17"/>
        <v>-4</v>
      </c>
      <c r="CF148" s="276">
        <f t="shared" si="18"/>
        <v>24</v>
      </c>
      <c r="CG148" s="276">
        <f t="shared" si="19"/>
        <v>10</v>
      </c>
    </row>
    <row r="149" spans="66:85">
      <c r="BN149" s="213">
        <v>0</v>
      </c>
      <c r="BO149" s="209">
        <v>0</v>
      </c>
      <c r="BP149" s="205">
        <v>0</v>
      </c>
      <c r="BQ149" s="205">
        <v>12</v>
      </c>
      <c r="BR149" s="302">
        <v>0</v>
      </c>
      <c r="BS149" s="139"/>
      <c r="BU149" s="213"/>
      <c r="BV149" s="209"/>
      <c r="BW149" s="205"/>
      <c r="BX149" s="302"/>
      <c r="BY149" s="302"/>
      <c r="CA149" s="276">
        <v>147</v>
      </c>
      <c r="CB149" s="276">
        <f t="shared" si="14"/>
        <v>-4</v>
      </c>
      <c r="CC149" s="276">
        <f t="shared" si="15"/>
        <v>24</v>
      </c>
      <c r="CD149" s="276">
        <f t="shared" si="16"/>
        <v>10</v>
      </c>
      <c r="CE149" s="276">
        <f t="shared" si="17"/>
        <v>-4</v>
      </c>
      <c r="CF149" s="276">
        <f t="shared" si="18"/>
        <v>24</v>
      </c>
      <c r="CG149" s="276">
        <f t="shared" si="19"/>
        <v>10</v>
      </c>
    </row>
    <row r="150" spans="66:85">
      <c r="BN150" s="213">
        <v>0</v>
      </c>
      <c r="BO150" s="209">
        <v>0</v>
      </c>
      <c r="BP150" s="205">
        <v>0</v>
      </c>
      <c r="BQ150" s="205">
        <v>16</v>
      </c>
      <c r="BR150" s="302">
        <v>0</v>
      </c>
      <c r="BS150" s="139"/>
      <c r="BU150" s="213"/>
      <c r="BV150" s="209"/>
      <c r="BW150" s="205"/>
      <c r="BX150" s="302"/>
      <c r="BY150" s="302"/>
      <c r="CA150" s="276">
        <v>148</v>
      </c>
      <c r="CB150" s="276">
        <f t="shared" si="14"/>
        <v>-4</v>
      </c>
      <c r="CC150" s="276">
        <f t="shared" si="15"/>
        <v>24</v>
      </c>
      <c r="CD150" s="276">
        <f t="shared" si="16"/>
        <v>10</v>
      </c>
      <c r="CE150" s="276">
        <f t="shared" si="17"/>
        <v>-4</v>
      </c>
      <c r="CF150" s="276">
        <f t="shared" si="18"/>
        <v>24</v>
      </c>
      <c r="CG150" s="276">
        <f t="shared" si="19"/>
        <v>10</v>
      </c>
    </row>
    <row r="151" spans="66:85">
      <c r="BN151" s="213">
        <v>0</v>
      </c>
      <c r="BO151" s="209">
        <v>0</v>
      </c>
      <c r="BP151" s="205">
        <v>0</v>
      </c>
      <c r="BQ151" s="205">
        <v>24</v>
      </c>
      <c r="BR151" s="302">
        <v>0</v>
      </c>
      <c r="BS151" s="139"/>
      <c r="BU151" s="213"/>
      <c r="BV151" s="209"/>
      <c r="BW151" s="205"/>
      <c r="BX151" s="302"/>
      <c r="BY151" s="302"/>
      <c r="CA151" s="276">
        <v>149</v>
      </c>
      <c r="CB151" s="276">
        <f t="shared" si="14"/>
        <v>-4</v>
      </c>
      <c r="CC151" s="276">
        <f t="shared" si="15"/>
        <v>24</v>
      </c>
      <c r="CD151" s="276">
        <f t="shared" si="16"/>
        <v>10</v>
      </c>
      <c r="CE151" s="276">
        <f t="shared" si="17"/>
        <v>-4</v>
      </c>
      <c r="CF151" s="276">
        <f t="shared" si="18"/>
        <v>24</v>
      </c>
      <c r="CG151" s="276">
        <f t="shared" si="19"/>
        <v>10</v>
      </c>
    </row>
    <row r="152" spans="66:85">
      <c r="BN152" s="213">
        <v>0</v>
      </c>
      <c r="BO152" s="209">
        <v>0</v>
      </c>
      <c r="BP152" s="205">
        <v>0</v>
      </c>
      <c r="BQ152" s="205">
        <v>13</v>
      </c>
      <c r="BR152" s="302">
        <v>0</v>
      </c>
      <c r="BS152" s="139"/>
      <c r="BU152" s="213"/>
      <c r="BV152" s="209"/>
      <c r="BW152" s="205"/>
      <c r="BX152" s="302"/>
      <c r="BY152" s="302"/>
      <c r="CA152" s="276">
        <v>150</v>
      </c>
      <c r="CB152" s="276">
        <f t="shared" si="14"/>
        <v>-4</v>
      </c>
      <c r="CC152" s="276">
        <f t="shared" si="15"/>
        <v>24</v>
      </c>
      <c r="CD152" s="276">
        <f t="shared" si="16"/>
        <v>10</v>
      </c>
      <c r="CE152" s="276">
        <f t="shared" si="17"/>
        <v>-4</v>
      </c>
      <c r="CF152" s="276">
        <f t="shared" si="18"/>
        <v>24</v>
      </c>
      <c r="CG152" s="276">
        <f t="shared" si="19"/>
        <v>10</v>
      </c>
    </row>
    <row r="153" spans="66:85">
      <c r="BN153" s="213">
        <v>0</v>
      </c>
      <c r="BO153" s="209">
        <v>0</v>
      </c>
      <c r="BP153" s="205">
        <v>0</v>
      </c>
      <c r="BQ153" s="205">
        <v>23</v>
      </c>
      <c r="BR153" s="302">
        <v>0</v>
      </c>
      <c r="BS153" s="139"/>
      <c r="BU153" s="213"/>
      <c r="BV153" s="209"/>
      <c r="BW153" s="205"/>
      <c r="BX153" s="302"/>
      <c r="BY153" s="302"/>
      <c r="CA153" s="276">
        <v>151</v>
      </c>
      <c r="CB153" s="276">
        <f t="shared" si="14"/>
        <v>-4</v>
      </c>
      <c r="CC153" s="276">
        <f t="shared" si="15"/>
        <v>24</v>
      </c>
      <c r="CD153" s="276">
        <f t="shared" si="16"/>
        <v>10</v>
      </c>
      <c r="CE153" s="276">
        <f t="shared" si="17"/>
        <v>-4</v>
      </c>
      <c r="CF153" s="276">
        <f t="shared" si="18"/>
        <v>24</v>
      </c>
      <c r="CG153" s="276">
        <f t="shared" si="19"/>
        <v>10</v>
      </c>
    </row>
    <row r="154" spans="66:85">
      <c r="BN154" s="213">
        <v>0</v>
      </c>
      <c r="BO154" s="209">
        <v>0</v>
      </c>
      <c r="BP154" s="205">
        <v>0</v>
      </c>
      <c r="BQ154" s="205">
        <v>2</v>
      </c>
      <c r="BR154" s="302">
        <v>0</v>
      </c>
      <c r="BS154" s="139"/>
      <c r="BU154" s="213"/>
      <c r="BV154" s="209"/>
      <c r="BW154" s="205"/>
      <c r="BX154" s="302"/>
      <c r="BY154" s="302"/>
      <c r="CA154" s="276">
        <v>152</v>
      </c>
      <c r="CB154" s="276">
        <f t="shared" si="14"/>
        <v>-4</v>
      </c>
      <c r="CC154" s="276">
        <f t="shared" si="15"/>
        <v>24</v>
      </c>
      <c r="CD154" s="276">
        <f t="shared" si="16"/>
        <v>10</v>
      </c>
      <c r="CE154" s="276">
        <f t="shared" si="17"/>
        <v>-4</v>
      </c>
      <c r="CF154" s="276">
        <f t="shared" si="18"/>
        <v>24</v>
      </c>
      <c r="CG154" s="276">
        <f t="shared" si="19"/>
        <v>10</v>
      </c>
    </row>
    <row r="155" spans="66:85">
      <c r="BN155" s="213">
        <v>0</v>
      </c>
      <c r="BO155" s="209">
        <v>0</v>
      </c>
      <c r="BP155" s="205">
        <v>0</v>
      </c>
      <c r="BQ155" s="205">
        <v>12</v>
      </c>
      <c r="BR155" s="302">
        <v>0</v>
      </c>
      <c r="BS155" s="139"/>
      <c r="BU155" s="213"/>
      <c r="BV155" s="209"/>
      <c r="BW155" s="205"/>
      <c r="BX155" s="302"/>
      <c r="BY155" s="302"/>
      <c r="CA155" s="276">
        <v>153</v>
      </c>
      <c r="CB155" s="276">
        <f t="shared" si="14"/>
        <v>-4</v>
      </c>
      <c r="CC155" s="276">
        <f t="shared" si="15"/>
        <v>24</v>
      </c>
      <c r="CD155" s="276">
        <f t="shared" si="16"/>
        <v>10</v>
      </c>
      <c r="CE155" s="276">
        <f t="shared" si="17"/>
        <v>-4</v>
      </c>
      <c r="CF155" s="276">
        <f t="shared" si="18"/>
        <v>24</v>
      </c>
      <c r="CG155" s="276">
        <f t="shared" si="19"/>
        <v>10</v>
      </c>
    </row>
    <row r="156" spans="66:85">
      <c r="BN156" s="213">
        <v>0</v>
      </c>
      <c r="BO156" s="209">
        <v>0</v>
      </c>
      <c r="BP156" s="205">
        <v>0</v>
      </c>
      <c r="BQ156" s="205">
        <v>7</v>
      </c>
      <c r="BR156" s="302">
        <v>0</v>
      </c>
      <c r="BS156" s="139"/>
      <c r="BU156" s="213"/>
      <c r="BV156" s="209"/>
      <c r="BW156" s="205"/>
      <c r="BX156" s="302"/>
      <c r="BY156" s="302"/>
      <c r="CA156" s="276">
        <v>154</v>
      </c>
      <c r="CB156" s="276">
        <f t="shared" si="14"/>
        <v>-4</v>
      </c>
      <c r="CC156" s="276">
        <f t="shared" si="15"/>
        <v>24</v>
      </c>
      <c r="CD156" s="276">
        <f t="shared" si="16"/>
        <v>10</v>
      </c>
      <c r="CE156" s="276">
        <f t="shared" si="17"/>
        <v>-4</v>
      </c>
      <c r="CF156" s="276">
        <f t="shared" si="18"/>
        <v>24</v>
      </c>
      <c r="CG156" s="276">
        <f t="shared" si="19"/>
        <v>10</v>
      </c>
    </row>
    <row r="157" spans="66:85">
      <c r="BN157" s="213">
        <v>0</v>
      </c>
      <c r="BO157" s="209">
        <v>0</v>
      </c>
      <c r="BP157" s="205">
        <v>0</v>
      </c>
      <c r="BQ157" s="205">
        <v>21</v>
      </c>
      <c r="BR157" s="302">
        <v>0</v>
      </c>
      <c r="BS157" s="139"/>
      <c r="BU157" s="213"/>
      <c r="BV157" s="209"/>
      <c r="BW157" s="205"/>
      <c r="BX157" s="302"/>
      <c r="BY157" s="302"/>
      <c r="CA157" s="276">
        <v>155</v>
      </c>
      <c r="CB157" s="276">
        <f t="shared" si="14"/>
        <v>-4</v>
      </c>
      <c r="CC157" s="276">
        <f t="shared" si="15"/>
        <v>24</v>
      </c>
      <c r="CD157" s="276">
        <f t="shared" si="16"/>
        <v>10</v>
      </c>
      <c r="CE157" s="276">
        <f t="shared" si="17"/>
        <v>-4</v>
      </c>
      <c r="CF157" s="276">
        <f t="shared" si="18"/>
        <v>24</v>
      </c>
      <c r="CG157" s="276">
        <f t="shared" si="19"/>
        <v>10</v>
      </c>
    </row>
    <row r="158" spans="66:85">
      <c r="BN158" s="213">
        <v>0</v>
      </c>
      <c r="BO158" s="209">
        <v>0</v>
      </c>
      <c r="BP158" s="205">
        <v>0</v>
      </c>
      <c r="BQ158" s="205">
        <v>10</v>
      </c>
      <c r="BR158" s="302">
        <v>0</v>
      </c>
      <c r="BS158" s="139"/>
      <c r="BU158" s="213"/>
      <c r="BV158" s="209"/>
      <c r="BW158" s="205"/>
      <c r="BX158" s="302"/>
      <c r="BY158" s="302"/>
      <c r="CA158" s="276">
        <v>156</v>
      </c>
      <c r="CB158" s="276">
        <f t="shared" si="14"/>
        <v>-4</v>
      </c>
      <c r="CC158" s="276">
        <f t="shared" si="15"/>
        <v>24</v>
      </c>
      <c r="CD158" s="276">
        <f t="shared" si="16"/>
        <v>10</v>
      </c>
      <c r="CE158" s="276">
        <f t="shared" si="17"/>
        <v>-4</v>
      </c>
      <c r="CF158" s="276">
        <f t="shared" si="18"/>
        <v>24</v>
      </c>
      <c r="CG158" s="276">
        <f t="shared" si="19"/>
        <v>10</v>
      </c>
    </row>
    <row r="159" spans="66:85">
      <c r="BN159" s="213">
        <v>0</v>
      </c>
      <c r="BO159" s="209">
        <v>0</v>
      </c>
      <c r="BP159" s="205">
        <v>0</v>
      </c>
      <c r="BQ159" s="205">
        <v>21</v>
      </c>
      <c r="BR159" s="302">
        <v>0</v>
      </c>
      <c r="BS159" s="139"/>
      <c r="BU159" s="213"/>
      <c r="BV159" s="209"/>
      <c r="BW159" s="205"/>
      <c r="BX159" s="302"/>
      <c r="BY159" s="302"/>
      <c r="CA159" s="276">
        <v>157</v>
      </c>
      <c r="CB159" s="276">
        <f t="shared" si="14"/>
        <v>-4</v>
      </c>
      <c r="CC159" s="276">
        <f t="shared" si="15"/>
        <v>24</v>
      </c>
      <c r="CD159" s="276">
        <f t="shared" si="16"/>
        <v>10</v>
      </c>
      <c r="CE159" s="276">
        <f t="shared" si="17"/>
        <v>-4</v>
      </c>
      <c r="CF159" s="276">
        <f t="shared" si="18"/>
        <v>24</v>
      </c>
      <c r="CG159" s="276">
        <f t="shared" si="19"/>
        <v>10</v>
      </c>
    </row>
    <row r="160" spans="66:85">
      <c r="BN160" s="213"/>
      <c r="BO160" s="209"/>
      <c r="BP160" s="205"/>
      <c r="BQ160" s="205"/>
      <c r="BR160" s="302"/>
      <c r="BS160" s="139"/>
      <c r="BU160" s="213"/>
      <c r="BV160" s="209"/>
      <c r="BW160" s="205"/>
      <c r="BX160" s="302"/>
      <c r="BY160" s="302"/>
      <c r="CA160" s="276">
        <v>158</v>
      </c>
      <c r="CB160" s="276">
        <f t="shared" si="14"/>
        <v>-4</v>
      </c>
      <c r="CC160" s="276">
        <f t="shared" si="15"/>
        <v>24</v>
      </c>
      <c r="CD160" s="276">
        <f t="shared" si="16"/>
        <v>10</v>
      </c>
      <c r="CE160" s="276">
        <f t="shared" si="17"/>
        <v>-4</v>
      </c>
      <c r="CF160" s="276">
        <f t="shared" si="18"/>
        <v>24</v>
      </c>
      <c r="CG160" s="276">
        <f t="shared" si="19"/>
        <v>10</v>
      </c>
    </row>
    <row r="161" spans="66:85">
      <c r="BN161" s="213"/>
      <c r="BO161" s="209"/>
      <c r="BP161" s="205"/>
      <c r="BQ161" s="205"/>
      <c r="BR161" s="302"/>
      <c r="BS161" s="139"/>
      <c r="BU161" s="213"/>
      <c r="BV161" s="209"/>
      <c r="BW161" s="205"/>
      <c r="BX161" s="302"/>
      <c r="BY161" s="302"/>
      <c r="CA161" s="276">
        <v>159</v>
      </c>
      <c r="CB161" s="276">
        <f t="shared" si="14"/>
        <v>-4</v>
      </c>
      <c r="CC161" s="276">
        <f t="shared" si="15"/>
        <v>24</v>
      </c>
      <c r="CD161" s="276">
        <f t="shared" si="16"/>
        <v>10</v>
      </c>
      <c r="CE161" s="276">
        <f t="shared" si="17"/>
        <v>-4</v>
      </c>
      <c r="CF161" s="276">
        <f t="shared" si="18"/>
        <v>24</v>
      </c>
      <c r="CG161" s="276">
        <f t="shared" si="19"/>
        <v>10</v>
      </c>
    </row>
    <row r="162" spans="66:85">
      <c r="BN162" s="213"/>
      <c r="BO162" s="209"/>
      <c r="BP162" s="205"/>
      <c r="BQ162" s="205"/>
      <c r="BR162" s="302"/>
      <c r="BS162" s="139"/>
      <c r="BU162" s="213"/>
      <c r="BV162" s="209"/>
      <c r="BW162" s="205"/>
      <c r="BX162" s="302"/>
      <c r="BY162" s="302"/>
      <c r="CA162" s="276">
        <v>160</v>
      </c>
      <c r="CB162" s="276">
        <f t="shared" si="14"/>
        <v>-4</v>
      </c>
      <c r="CC162" s="276">
        <f t="shared" si="15"/>
        <v>24</v>
      </c>
      <c r="CD162" s="276">
        <f t="shared" si="16"/>
        <v>10</v>
      </c>
      <c r="CE162" s="276">
        <f t="shared" si="17"/>
        <v>-4</v>
      </c>
      <c r="CF162" s="276">
        <f t="shared" si="18"/>
        <v>24</v>
      </c>
      <c r="CG162" s="276">
        <f t="shared" si="19"/>
        <v>10</v>
      </c>
    </row>
    <row r="163" spans="66:85">
      <c r="BN163" s="213"/>
      <c r="BO163" s="209"/>
      <c r="BP163" s="205"/>
      <c r="BQ163" s="205"/>
      <c r="BR163" s="302"/>
      <c r="BS163" s="139"/>
      <c r="BU163" s="213"/>
      <c r="BV163" s="209"/>
      <c r="BW163" s="205"/>
      <c r="BX163" s="302"/>
      <c r="BY163" s="302"/>
      <c r="CA163" s="276">
        <v>161</v>
      </c>
      <c r="CB163" s="276">
        <f t="shared" si="14"/>
        <v>-4</v>
      </c>
      <c r="CC163" s="276">
        <f t="shared" si="15"/>
        <v>24</v>
      </c>
      <c r="CD163" s="276">
        <f t="shared" si="16"/>
        <v>10</v>
      </c>
      <c r="CE163" s="276">
        <f t="shared" si="17"/>
        <v>-4</v>
      </c>
      <c r="CF163" s="276">
        <f t="shared" si="18"/>
        <v>24</v>
      </c>
      <c r="CG163" s="276">
        <f t="shared" si="19"/>
        <v>10</v>
      </c>
    </row>
    <row r="164" spans="66:85">
      <c r="BN164" s="213"/>
      <c r="BO164" s="209"/>
      <c r="BP164" s="205"/>
      <c r="BQ164" s="205"/>
      <c r="BR164" s="302"/>
      <c r="BS164" s="139"/>
      <c r="BU164" s="213"/>
      <c r="BV164" s="209"/>
      <c r="BW164" s="205"/>
      <c r="BX164" s="302"/>
      <c r="BY164" s="302"/>
      <c r="CA164" s="276">
        <v>162</v>
      </c>
      <c r="CB164" s="276">
        <f t="shared" si="14"/>
        <v>-4</v>
      </c>
      <c r="CC164" s="276">
        <f t="shared" si="15"/>
        <v>24</v>
      </c>
      <c r="CD164" s="276">
        <f t="shared" si="16"/>
        <v>10</v>
      </c>
      <c r="CE164" s="276">
        <f t="shared" si="17"/>
        <v>-4</v>
      </c>
      <c r="CF164" s="276">
        <f t="shared" si="18"/>
        <v>24</v>
      </c>
      <c r="CG164" s="276">
        <f t="shared" si="19"/>
        <v>10</v>
      </c>
    </row>
    <row r="165" spans="66:85">
      <c r="BN165" s="213"/>
      <c r="BO165" s="209"/>
      <c r="BP165" s="205"/>
      <c r="BQ165" s="205"/>
      <c r="BR165" s="302"/>
      <c r="BS165" s="139"/>
      <c r="BU165" s="213"/>
      <c r="BV165" s="209"/>
      <c r="BW165" s="205"/>
      <c r="BX165" s="302"/>
      <c r="BY165" s="302"/>
      <c r="CA165" s="276">
        <v>163</v>
      </c>
      <c r="CB165" s="276">
        <f t="shared" si="14"/>
        <v>-4</v>
      </c>
      <c r="CC165" s="276">
        <f t="shared" si="15"/>
        <v>24</v>
      </c>
      <c r="CD165" s="276">
        <f t="shared" si="16"/>
        <v>10</v>
      </c>
      <c r="CE165" s="276">
        <f t="shared" si="17"/>
        <v>-4</v>
      </c>
      <c r="CF165" s="276">
        <f t="shared" si="18"/>
        <v>24</v>
      </c>
      <c r="CG165" s="276">
        <f t="shared" si="19"/>
        <v>10</v>
      </c>
    </row>
    <row r="166" spans="66:85">
      <c r="BN166" s="213"/>
      <c r="BO166" s="209"/>
      <c r="BP166" s="205"/>
      <c r="BQ166" s="205"/>
      <c r="BR166" s="302"/>
      <c r="BS166" s="139"/>
      <c r="BU166" s="213"/>
      <c r="BV166" s="209"/>
      <c r="BW166" s="205"/>
      <c r="BX166" s="302"/>
      <c r="BY166" s="302"/>
      <c r="CA166" s="276">
        <v>164</v>
      </c>
      <c r="CB166" s="276">
        <f t="shared" si="14"/>
        <v>-4</v>
      </c>
      <c r="CC166" s="276">
        <f t="shared" si="15"/>
        <v>24</v>
      </c>
      <c r="CD166" s="276">
        <f t="shared" si="16"/>
        <v>10</v>
      </c>
      <c r="CE166" s="276">
        <f t="shared" si="17"/>
        <v>-4</v>
      </c>
      <c r="CF166" s="276">
        <f t="shared" si="18"/>
        <v>24</v>
      </c>
      <c r="CG166" s="276">
        <f t="shared" si="19"/>
        <v>10</v>
      </c>
    </row>
    <row r="167" spans="66:85">
      <c r="BN167" s="213"/>
      <c r="BO167" s="209"/>
      <c r="BP167" s="205"/>
      <c r="BQ167" s="205"/>
      <c r="BR167" s="302"/>
      <c r="BS167" s="139"/>
      <c r="BU167" s="213"/>
      <c r="BV167" s="209"/>
      <c r="BW167" s="205"/>
      <c r="BX167" s="302"/>
      <c r="BY167" s="302"/>
      <c r="CA167" s="276">
        <v>165</v>
      </c>
      <c r="CB167" s="276">
        <f t="shared" si="14"/>
        <v>-4</v>
      </c>
      <c r="CC167" s="276">
        <f t="shared" si="15"/>
        <v>24</v>
      </c>
      <c r="CD167" s="276">
        <f t="shared" si="16"/>
        <v>10</v>
      </c>
      <c r="CE167" s="276">
        <f t="shared" si="17"/>
        <v>-4</v>
      </c>
      <c r="CF167" s="276">
        <f t="shared" si="18"/>
        <v>24</v>
      </c>
      <c r="CG167" s="276">
        <f t="shared" si="19"/>
        <v>10</v>
      </c>
    </row>
    <row r="168" spans="66:85">
      <c r="BN168" s="213"/>
      <c r="BO168" s="209"/>
      <c r="BP168" s="205"/>
      <c r="BQ168" s="205"/>
      <c r="BR168" s="302"/>
      <c r="BS168" s="139"/>
      <c r="BU168" s="213"/>
      <c r="BV168" s="209"/>
      <c r="BW168" s="205"/>
      <c r="BX168" s="302"/>
      <c r="BY168" s="302"/>
      <c r="CA168" s="276">
        <v>166</v>
      </c>
      <c r="CB168" s="276">
        <f t="shared" si="14"/>
        <v>-4</v>
      </c>
      <c r="CC168" s="276">
        <f t="shared" si="15"/>
        <v>24</v>
      </c>
      <c r="CD168" s="276">
        <f t="shared" si="16"/>
        <v>10</v>
      </c>
      <c r="CE168" s="276">
        <f t="shared" si="17"/>
        <v>-4</v>
      </c>
      <c r="CF168" s="276">
        <f t="shared" si="18"/>
        <v>24</v>
      </c>
      <c r="CG168" s="276">
        <f t="shared" si="19"/>
        <v>10</v>
      </c>
    </row>
    <row r="169" spans="66:85">
      <c r="BN169" s="213"/>
      <c r="BO169" s="209"/>
      <c r="BP169" s="205"/>
      <c r="BQ169" s="205"/>
      <c r="BR169" s="302"/>
      <c r="BS169" s="139"/>
      <c r="BU169" s="213"/>
      <c r="BV169" s="209"/>
      <c r="BW169" s="205"/>
      <c r="BX169" s="302"/>
      <c r="BY169" s="302"/>
      <c r="CA169" s="276">
        <v>167</v>
      </c>
      <c r="CB169" s="276">
        <f t="shared" si="14"/>
        <v>-4</v>
      </c>
      <c r="CC169" s="276">
        <f t="shared" si="15"/>
        <v>24</v>
      </c>
      <c r="CD169" s="276">
        <f t="shared" si="16"/>
        <v>10</v>
      </c>
      <c r="CE169" s="276">
        <f t="shared" si="17"/>
        <v>-4</v>
      </c>
      <c r="CF169" s="276">
        <f t="shared" si="18"/>
        <v>24</v>
      </c>
      <c r="CG169" s="276">
        <f t="shared" si="19"/>
        <v>10</v>
      </c>
    </row>
    <row r="170" spans="66:85">
      <c r="BN170" s="213"/>
      <c r="BO170" s="209"/>
      <c r="BP170" s="205"/>
      <c r="BQ170" s="205"/>
      <c r="BR170" s="302"/>
      <c r="BS170" s="139"/>
      <c r="BU170" s="213"/>
      <c r="BV170" s="209"/>
      <c r="BW170" s="302"/>
      <c r="BX170" s="302"/>
      <c r="BY170" s="302"/>
      <c r="CA170" s="276">
        <v>168</v>
      </c>
      <c r="CB170" s="276">
        <f t="shared" si="14"/>
        <v>-4</v>
      </c>
      <c r="CC170" s="276">
        <f t="shared" si="15"/>
        <v>24</v>
      </c>
      <c r="CD170" s="276">
        <f t="shared" si="16"/>
        <v>10</v>
      </c>
      <c r="CE170" s="276">
        <f t="shared" si="17"/>
        <v>-4</v>
      </c>
      <c r="CF170" s="276">
        <f t="shared" si="18"/>
        <v>24</v>
      </c>
      <c r="CG170" s="276">
        <f t="shared" si="19"/>
        <v>10</v>
      </c>
    </row>
    <row r="171" spans="66:85">
      <c r="BN171" s="213"/>
      <c r="BO171" s="209"/>
      <c r="BP171" s="205"/>
      <c r="BQ171" s="205"/>
      <c r="BR171" s="302"/>
      <c r="BS171" s="139"/>
      <c r="BU171" s="213"/>
      <c r="BV171" s="209"/>
      <c r="BW171" s="302"/>
      <c r="BX171" s="302"/>
      <c r="BY171" s="302"/>
      <c r="CA171" s="276">
        <v>169</v>
      </c>
      <c r="CB171" s="276">
        <f t="shared" si="14"/>
        <v>-4</v>
      </c>
      <c r="CC171" s="276">
        <f t="shared" si="15"/>
        <v>24</v>
      </c>
      <c r="CD171" s="276">
        <f t="shared" si="16"/>
        <v>10</v>
      </c>
      <c r="CE171" s="276">
        <f t="shared" si="17"/>
        <v>-4</v>
      </c>
      <c r="CF171" s="276">
        <f t="shared" si="18"/>
        <v>24</v>
      </c>
      <c r="CG171" s="276">
        <f t="shared" si="19"/>
        <v>10</v>
      </c>
    </row>
    <row r="172" spans="66:85">
      <c r="BN172" s="213"/>
      <c r="BO172" s="209"/>
      <c r="BP172" s="205"/>
      <c r="BQ172" s="205"/>
      <c r="BR172" s="302"/>
      <c r="BS172" s="139"/>
      <c r="BU172" s="213"/>
      <c r="BV172" s="209"/>
      <c r="BW172" s="302"/>
      <c r="BX172" s="302"/>
      <c r="BY172" s="302"/>
      <c r="CA172" s="276">
        <v>170</v>
      </c>
      <c r="CB172" s="276">
        <f t="shared" si="14"/>
        <v>-4</v>
      </c>
      <c r="CC172" s="276">
        <f t="shared" si="15"/>
        <v>24</v>
      </c>
      <c r="CD172" s="276">
        <f t="shared" si="16"/>
        <v>10</v>
      </c>
      <c r="CE172" s="276">
        <f t="shared" si="17"/>
        <v>-4</v>
      </c>
      <c r="CF172" s="276">
        <f t="shared" si="18"/>
        <v>24</v>
      </c>
      <c r="CG172" s="276">
        <f t="shared" si="19"/>
        <v>10</v>
      </c>
    </row>
    <row r="173" spans="66:85">
      <c r="BN173" s="213"/>
      <c r="BO173" s="209"/>
      <c r="BP173" s="205"/>
      <c r="BQ173" s="205"/>
      <c r="BR173" s="302"/>
      <c r="BS173" s="139"/>
      <c r="BU173" s="213"/>
      <c r="BV173" s="209"/>
      <c r="BW173" s="205"/>
      <c r="BX173" s="302"/>
      <c r="BY173" s="302"/>
      <c r="CA173" s="276">
        <v>171</v>
      </c>
      <c r="CB173" s="276">
        <f t="shared" si="14"/>
        <v>-4</v>
      </c>
      <c r="CC173" s="276">
        <f t="shared" si="15"/>
        <v>24</v>
      </c>
      <c r="CD173" s="276">
        <f t="shared" si="16"/>
        <v>10</v>
      </c>
      <c r="CE173" s="276">
        <f t="shared" si="17"/>
        <v>-4</v>
      </c>
      <c r="CF173" s="276">
        <f t="shared" si="18"/>
        <v>24</v>
      </c>
      <c r="CG173" s="276">
        <f t="shared" si="19"/>
        <v>10</v>
      </c>
    </row>
    <row r="174" spans="66:85">
      <c r="BN174" s="213"/>
      <c r="BO174" s="209"/>
      <c r="BP174" s="205"/>
      <c r="BQ174" s="205"/>
      <c r="BR174" s="302"/>
      <c r="BS174" s="139"/>
      <c r="BU174" s="213"/>
      <c r="BV174" s="209"/>
      <c r="BW174" s="205"/>
      <c r="BX174" s="302"/>
      <c r="BY174" s="302"/>
      <c r="CA174" s="276">
        <v>172</v>
      </c>
      <c r="CB174" s="276">
        <f t="shared" si="14"/>
        <v>-4</v>
      </c>
      <c r="CC174" s="276">
        <f t="shared" si="15"/>
        <v>24</v>
      </c>
      <c r="CD174" s="276">
        <f t="shared" si="16"/>
        <v>10</v>
      </c>
      <c r="CE174" s="276">
        <f t="shared" si="17"/>
        <v>-4</v>
      </c>
      <c r="CF174" s="276">
        <f t="shared" si="18"/>
        <v>24</v>
      </c>
      <c r="CG174" s="276">
        <f t="shared" si="19"/>
        <v>10</v>
      </c>
    </row>
    <row r="175" spans="66:85">
      <c r="BN175" s="213"/>
      <c r="BO175" s="209"/>
      <c r="BP175" s="205"/>
      <c r="BQ175" s="205"/>
      <c r="BR175" s="302"/>
      <c r="BS175" s="139"/>
      <c r="BU175" s="213"/>
      <c r="BV175" s="209"/>
      <c r="BW175" s="205"/>
      <c r="BX175" s="302"/>
      <c r="BY175" s="302"/>
      <c r="CA175" s="276">
        <v>173</v>
      </c>
      <c r="CB175" s="276">
        <f t="shared" si="14"/>
        <v>-4</v>
      </c>
      <c r="CC175" s="276">
        <f t="shared" si="15"/>
        <v>24</v>
      </c>
      <c r="CD175" s="276">
        <f t="shared" si="16"/>
        <v>10</v>
      </c>
      <c r="CE175" s="276">
        <f t="shared" si="17"/>
        <v>-4</v>
      </c>
      <c r="CF175" s="276">
        <f t="shared" si="18"/>
        <v>24</v>
      </c>
      <c r="CG175" s="276">
        <f t="shared" si="19"/>
        <v>10</v>
      </c>
    </row>
    <row r="176" spans="66:85">
      <c r="BN176" s="213"/>
      <c r="BO176" s="209"/>
      <c r="BP176" s="205"/>
      <c r="BQ176" s="205"/>
      <c r="BR176" s="302"/>
      <c r="BS176" s="139"/>
      <c r="BU176" s="213"/>
      <c r="BV176" s="209"/>
      <c r="BW176" s="205"/>
      <c r="BX176" s="302"/>
      <c r="BY176" s="302"/>
      <c r="CA176" s="276">
        <v>174</v>
      </c>
      <c r="CB176" s="276">
        <f t="shared" si="14"/>
        <v>-4</v>
      </c>
      <c r="CC176" s="276">
        <f t="shared" si="15"/>
        <v>24</v>
      </c>
      <c r="CD176" s="276">
        <f t="shared" si="16"/>
        <v>10</v>
      </c>
      <c r="CE176" s="276">
        <f t="shared" si="17"/>
        <v>-4</v>
      </c>
      <c r="CF176" s="276">
        <f t="shared" si="18"/>
        <v>24</v>
      </c>
      <c r="CG176" s="276">
        <f t="shared" si="19"/>
        <v>10</v>
      </c>
    </row>
    <row r="177" spans="66:85">
      <c r="BN177" s="213"/>
      <c r="BO177" s="209"/>
      <c r="BP177" s="205"/>
      <c r="BQ177" s="205"/>
      <c r="BR177" s="302"/>
      <c r="BS177" s="139"/>
      <c r="BU177" s="213"/>
      <c r="BV177" s="209"/>
      <c r="BW177" s="205"/>
      <c r="BX177" s="302"/>
      <c r="BY177" s="302"/>
      <c r="CA177" s="276">
        <v>175</v>
      </c>
      <c r="CB177" s="276">
        <f t="shared" si="14"/>
        <v>-4</v>
      </c>
      <c r="CC177" s="276">
        <f t="shared" si="15"/>
        <v>24</v>
      </c>
      <c r="CD177" s="276">
        <f t="shared" si="16"/>
        <v>10</v>
      </c>
      <c r="CE177" s="276">
        <f t="shared" si="17"/>
        <v>-4</v>
      </c>
      <c r="CF177" s="276">
        <f t="shared" si="18"/>
        <v>24</v>
      </c>
      <c r="CG177" s="276">
        <f t="shared" si="19"/>
        <v>10</v>
      </c>
    </row>
    <row r="178" spans="66:85">
      <c r="BN178" s="213"/>
      <c r="BO178" s="209"/>
      <c r="BP178" s="205"/>
      <c r="BQ178" s="205"/>
      <c r="BR178" s="302"/>
      <c r="BS178" s="139"/>
      <c r="BU178" s="213"/>
      <c r="BV178" s="209"/>
      <c r="BW178" s="205"/>
      <c r="BX178" s="302"/>
      <c r="BY178" s="302"/>
      <c r="CA178" s="276">
        <v>176</v>
      </c>
      <c r="CB178" s="276">
        <f t="shared" si="14"/>
        <v>-4</v>
      </c>
      <c r="CC178" s="276">
        <f t="shared" si="15"/>
        <v>24</v>
      </c>
      <c r="CD178" s="276">
        <f t="shared" si="16"/>
        <v>10</v>
      </c>
      <c r="CE178" s="276">
        <f t="shared" si="17"/>
        <v>-4</v>
      </c>
      <c r="CF178" s="276">
        <f t="shared" si="18"/>
        <v>24</v>
      </c>
      <c r="CG178" s="276">
        <f t="shared" si="19"/>
        <v>10</v>
      </c>
    </row>
    <row r="179" spans="66:85">
      <c r="BN179" s="213"/>
      <c r="BO179" s="209"/>
      <c r="BP179" s="205"/>
      <c r="BQ179" s="205"/>
      <c r="BR179" s="302"/>
      <c r="BS179" s="139"/>
      <c r="BU179" s="213"/>
      <c r="BV179" s="209"/>
      <c r="BW179" s="205"/>
      <c r="BX179" s="302"/>
      <c r="BY179" s="302"/>
      <c r="CA179" s="276">
        <v>177</v>
      </c>
      <c r="CB179" s="276">
        <f t="shared" si="14"/>
        <v>-4</v>
      </c>
      <c r="CC179" s="276">
        <f t="shared" si="15"/>
        <v>24</v>
      </c>
      <c r="CD179" s="276">
        <f t="shared" si="16"/>
        <v>10</v>
      </c>
      <c r="CE179" s="276">
        <f t="shared" si="17"/>
        <v>-4</v>
      </c>
      <c r="CF179" s="276">
        <f t="shared" si="18"/>
        <v>24</v>
      </c>
      <c r="CG179" s="276">
        <f t="shared" si="19"/>
        <v>10</v>
      </c>
    </row>
    <row r="180" spans="66:85">
      <c r="BN180" s="213"/>
      <c r="BO180" s="209"/>
      <c r="BP180" s="205"/>
      <c r="BQ180" s="205"/>
      <c r="BR180" s="302"/>
      <c r="BS180" s="139"/>
      <c r="BU180" s="213"/>
      <c r="BV180" s="209"/>
      <c r="BW180" s="205"/>
      <c r="BX180" s="302"/>
      <c r="BY180" s="302"/>
      <c r="CA180" s="276">
        <v>178</v>
      </c>
      <c r="CB180" s="276">
        <f t="shared" si="14"/>
        <v>-4</v>
      </c>
      <c r="CC180" s="276">
        <f t="shared" si="15"/>
        <v>24</v>
      </c>
      <c r="CD180" s="276">
        <f t="shared" si="16"/>
        <v>10</v>
      </c>
      <c r="CE180" s="276">
        <f t="shared" si="17"/>
        <v>-4</v>
      </c>
      <c r="CF180" s="276">
        <f t="shared" si="18"/>
        <v>24</v>
      </c>
      <c r="CG180" s="276">
        <f t="shared" si="19"/>
        <v>10</v>
      </c>
    </row>
    <row r="181" spans="66:85">
      <c r="BN181" s="213"/>
      <c r="BO181" s="209"/>
      <c r="BP181" s="205"/>
      <c r="BQ181" s="205"/>
      <c r="BR181" s="302"/>
      <c r="BS181" s="139"/>
      <c r="BU181" s="213"/>
      <c r="BV181" s="209"/>
      <c r="BW181" s="205"/>
      <c r="BX181" s="302"/>
      <c r="BY181" s="302"/>
      <c r="CA181" s="276">
        <v>179</v>
      </c>
      <c r="CB181" s="276">
        <f t="shared" si="14"/>
        <v>-4</v>
      </c>
      <c r="CC181" s="276">
        <f t="shared" si="15"/>
        <v>24</v>
      </c>
      <c r="CD181" s="276">
        <f t="shared" si="16"/>
        <v>10</v>
      </c>
      <c r="CE181" s="276">
        <f t="shared" si="17"/>
        <v>-4</v>
      </c>
      <c r="CF181" s="276">
        <f t="shared" si="18"/>
        <v>24</v>
      </c>
      <c r="CG181" s="276">
        <f t="shared" si="19"/>
        <v>10</v>
      </c>
    </row>
    <row r="182" spans="66:85">
      <c r="BN182" s="213"/>
      <c r="BO182" s="209"/>
      <c r="BP182" s="205"/>
      <c r="BQ182" s="205"/>
      <c r="BR182" s="302"/>
      <c r="BS182" s="139"/>
      <c r="BU182" s="213"/>
      <c r="BV182" s="209"/>
      <c r="BW182" s="205"/>
      <c r="BX182" s="302"/>
      <c r="BY182" s="302"/>
      <c r="CA182" s="276">
        <v>180</v>
      </c>
      <c r="CB182" s="276">
        <f t="shared" si="14"/>
        <v>-4</v>
      </c>
      <c r="CC182" s="276">
        <f t="shared" si="15"/>
        <v>24</v>
      </c>
      <c r="CD182" s="276">
        <f t="shared" si="16"/>
        <v>10</v>
      </c>
      <c r="CE182" s="276">
        <f t="shared" si="17"/>
        <v>-4</v>
      </c>
      <c r="CF182" s="276">
        <f t="shared" si="18"/>
        <v>24</v>
      </c>
      <c r="CG182" s="276">
        <f t="shared" si="19"/>
        <v>10</v>
      </c>
    </row>
    <row r="183" spans="66:85">
      <c r="BN183" s="213"/>
      <c r="BO183" s="209"/>
      <c r="BP183" s="205"/>
      <c r="BQ183" s="205"/>
      <c r="BR183" s="302"/>
      <c r="BS183" s="139"/>
      <c r="BU183" s="213"/>
      <c r="BV183" s="209"/>
      <c r="BW183" s="205"/>
      <c r="BX183" s="302"/>
      <c r="BY183" s="302"/>
      <c r="CA183" s="276">
        <v>181</v>
      </c>
      <c r="CB183" s="276">
        <f t="shared" si="14"/>
        <v>-4</v>
      </c>
      <c r="CC183" s="276">
        <f t="shared" si="15"/>
        <v>24</v>
      </c>
      <c r="CD183" s="276">
        <f t="shared" si="16"/>
        <v>10</v>
      </c>
      <c r="CE183" s="276">
        <f t="shared" si="17"/>
        <v>-4</v>
      </c>
      <c r="CF183" s="276">
        <f t="shared" si="18"/>
        <v>24</v>
      </c>
      <c r="CG183" s="276">
        <f t="shared" si="19"/>
        <v>10</v>
      </c>
    </row>
    <row r="184" spans="66:85">
      <c r="BN184" s="213"/>
      <c r="BO184" s="209"/>
      <c r="BP184" s="205"/>
      <c r="BQ184" s="205"/>
      <c r="BR184" s="302"/>
      <c r="BS184" s="139"/>
      <c r="BU184" s="213"/>
      <c r="BV184" s="209"/>
      <c r="BW184" s="205"/>
      <c r="BX184" s="302"/>
      <c r="BY184" s="302"/>
      <c r="CA184" s="276">
        <v>182</v>
      </c>
      <c r="CB184" s="276">
        <f t="shared" si="14"/>
        <v>-4</v>
      </c>
      <c r="CC184" s="276">
        <f t="shared" si="15"/>
        <v>24</v>
      </c>
      <c r="CD184" s="276">
        <f t="shared" si="16"/>
        <v>10</v>
      </c>
      <c r="CE184" s="276">
        <f t="shared" si="17"/>
        <v>-4</v>
      </c>
      <c r="CF184" s="276">
        <f t="shared" si="18"/>
        <v>24</v>
      </c>
      <c r="CG184" s="276">
        <f t="shared" si="19"/>
        <v>10</v>
      </c>
    </row>
    <row r="185" spans="66:85">
      <c r="BN185" s="213"/>
      <c r="BO185" s="209"/>
      <c r="BP185" s="205"/>
      <c r="BQ185" s="205"/>
      <c r="BR185" s="302"/>
      <c r="BS185" s="139"/>
      <c r="BU185" s="213"/>
      <c r="BV185" s="209"/>
      <c r="BW185" s="205"/>
      <c r="BX185" s="302"/>
      <c r="BY185" s="302"/>
      <c r="CA185" s="276">
        <v>183</v>
      </c>
      <c r="CB185" s="276">
        <f t="shared" si="14"/>
        <v>-4</v>
      </c>
      <c r="CC185" s="276">
        <f t="shared" si="15"/>
        <v>24</v>
      </c>
      <c r="CD185" s="276">
        <f t="shared" si="16"/>
        <v>10</v>
      </c>
      <c r="CE185" s="276">
        <f t="shared" si="17"/>
        <v>-4</v>
      </c>
      <c r="CF185" s="276">
        <f t="shared" si="18"/>
        <v>24</v>
      </c>
      <c r="CG185" s="276">
        <f t="shared" si="19"/>
        <v>10</v>
      </c>
    </row>
    <row r="186" spans="66:85">
      <c r="BN186" s="213"/>
      <c r="BO186" s="209"/>
      <c r="BP186" s="205"/>
      <c r="BQ186" s="205"/>
      <c r="BR186" s="302"/>
      <c r="BS186" s="139"/>
      <c r="BU186" s="213"/>
      <c r="BV186" s="209"/>
      <c r="BW186" s="205"/>
      <c r="BX186" s="302"/>
      <c r="BY186" s="302"/>
      <c r="CA186" s="276">
        <v>184</v>
      </c>
      <c r="CB186" s="276">
        <f t="shared" si="14"/>
        <v>-4</v>
      </c>
      <c r="CC186" s="276">
        <f t="shared" si="15"/>
        <v>24</v>
      </c>
      <c r="CD186" s="276">
        <f t="shared" si="16"/>
        <v>10</v>
      </c>
      <c r="CE186" s="276">
        <f t="shared" si="17"/>
        <v>-4</v>
      </c>
      <c r="CF186" s="276">
        <f t="shared" si="18"/>
        <v>24</v>
      </c>
      <c r="CG186" s="276">
        <f t="shared" si="19"/>
        <v>10</v>
      </c>
    </row>
    <row r="187" spans="66:85">
      <c r="BN187" s="213"/>
      <c r="BO187" s="209"/>
      <c r="BP187" s="205"/>
      <c r="BQ187" s="205"/>
      <c r="BR187" s="302"/>
      <c r="BS187" s="139"/>
      <c r="BU187" s="213"/>
      <c r="BV187" s="209"/>
      <c r="BW187" s="205"/>
      <c r="BX187" s="302"/>
      <c r="BY187" s="302"/>
      <c r="CA187" s="276">
        <v>185</v>
      </c>
      <c r="CB187" s="276">
        <f t="shared" si="14"/>
        <v>-4</v>
      </c>
      <c r="CC187" s="276">
        <f t="shared" si="15"/>
        <v>24</v>
      </c>
      <c r="CD187" s="276">
        <f t="shared" si="16"/>
        <v>10</v>
      </c>
      <c r="CE187" s="276">
        <f t="shared" si="17"/>
        <v>-4</v>
      </c>
      <c r="CF187" s="276">
        <f t="shared" si="18"/>
        <v>24</v>
      </c>
      <c r="CG187" s="276">
        <f t="shared" si="19"/>
        <v>10</v>
      </c>
    </row>
    <row r="188" spans="66:85">
      <c r="BN188" s="213"/>
      <c r="BO188" s="209"/>
      <c r="BP188" s="205"/>
      <c r="BQ188" s="205"/>
      <c r="BR188" s="302"/>
      <c r="BS188" s="139"/>
      <c r="BU188" s="213"/>
      <c r="BV188" s="209"/>
      <c r="BW188" s="205"/>
      <c r="BX188" s="302"/>
      <c r="BY188" s="302"/>
      <c r="CA188" s="276">
        <v>186</v>
      </c>
      <c r="CB188" s="276">
        <f t="shared" si="14"/>
        <v>-4</v>
      </c>
      <c r="CC188" s="276">
        <f t="shared" si="15"/>
        <v>24</v>
      </c>
      <c r="CD188" s="276">
        <f t="shared" si="16"/>
        <v>10</v>
      </c>
      <c r="CE188" s="276">
        <f t="shared" si="17"/>
        <v>-4</v>
      </c>
      <c r="CF188" s="276">
        <f t="shared" si="18"/>
        <v>24</v>
      </c>
      <c r="CG188" s="276">
        <f t="shared" si="19"/>
        <v>10</v>
      </c>
    </row>
    <row r="189" spans="66:85">
      <c r="BN189" s="213"/>
      <c r="BO189" s="209"/>
      <c r="BP189" s="205"/>
      <c r="BQ189" s="205"/>
      <c r="BR189" s="302"/>
      <c r="BS189" s="139"/>
      <c r="BU189" s="213"/>
      <c r="BV189" s="209"/>
      <c r="BW189" s="205"/>
      <c r="BX189" s="302"/>
      <c r="BY189" s="302"/>
      <c r="CA189" s="276">
        <v>187</v>
      </c>
      <c r="CB189" s="276">
        <f t="shared" si="14"/>
        <v>-4</v>
      </c>
      <c r="CC189" s="276">
        <f t="shared" si="15"/>
        <v>24</v>
      </c>
      <c r="CD189" s="276">
        <f t="shared" si="16"/>
        <v>10</v>
      </c>
      <c r="CE189" s="276">
        <f t="shared" si="17"/>
        <v>-4</v>
      </c>
      <c r="CF189" s="276">
        <f t="shared" si="18"/>
        <v>24</v>
      </c>
      <c r="CG189" s="276">
        <f t="shared" si="19"/>
        <v>10</v>
      </c>
    </row>
    <row r="190" spans="66:85">
      <c r="BN190" s="213"/>
      <c r="BO190" s="209"/>
      <c r="BP190" s="205"/>
      <c r="BQ190" s="205"/>
      <c r="BR190" s="302"/>
      <c r="BS190" s="139"/>
      <c r="BU190" s="213"/>
      <c r="BV190" s="209"/>
      <c r="BW190" s="205"/>
      <c r="BX190" s="302"/>
      <c r="BY190" s="302"/>
      <c r="CA190" s="276">
        <v>188</v>
      </c>
      <c r="CB190" s="276">
        <f t="shared" si="14"/>
        <v>-4</v>
      </c>
      <c r="CC190" s="276">
        <f t="shared" si="15"/>
        <v>24</v>
      </c>
      <c r="CD190" s="276">
        <f t="shared" si="16"/>
        <v>10</v>
      </c>
      <c r="CE190" s="276">
        <f t="shared" si="17"/>
        <v>-4</v>
      </c>
      <c r="CF190" s="276">
        <f t="shared" si="18"/>
        <v>24</v>
      </c>
      <c r="CG190" s="276">
        <f t="shared" si="19"/>
        <v>10</v>
      </c>
    </row>
    <row r="191" spans="66:85">
      <c r="BN191" s="213"/>
      <c r="BO191" s="209"/>
      <c r="BP191" s="205"/>
      <c r="BQ191" s="205"/>
      <c r="BR191" s="302"/>
      <c r="BS191" s="139"/>
      <c r="BU191" s="213"/>
      <c r="BV191" s="209"/>
      <c r="BW191" s="205"/>
      <c r="BX191" s="302"/>
      <c r="BY191" s="302"/>
      <c r="CA191" s="276">
        <v>189</v>
      </c>
      <c r="CB191" s="276">
        <f t="shared" si="14"/>
        <v>-4</v>
      </c>
      <c r="CC191" s="276">
        <f t="shared" si="15"/>
        <v>24</v>
      </c>
      <c r="CD191" s="276">
        <f t="shared" si="16"/>
        <v>10</v>
      </c>
      <c r="CE191" s="276">
        <f t="shared" si="17"/>
        <v>-4</v>
      </c>
      <c r="CF191" s="276">
        <f t="shared" si="18"/>
        <v>24</v>
      </c>
      <c r="CG191" s="276">
        <f t="shared" si="19"/>
        <v>10</v>
      </c>
    </row>
    <row r="192" spans="66:85">
      <c r="BN192" s="213"/>
      <c r="BO192" s="209"/>
      <c r="BP192" s="205"/>
      <c r="BQ192" s="205"/>
      <c r="BR192" s="302"/>
      <c r="BS192" s="139"/>
      <c r="BU192" s="213"/>
      <c r="BV192" s="209"/>
      <c r="BW192" s="205"/>
      <c r="BX192" s="302"/>
      <c r="BY192" s="302"/>
      <c r="CA192" s="276">
        <v>190</v>
      </c>
      <c r="CB192" s="276">
        <f t="shared" si="14"/>
        <v>-4</v>
      </c>
      <c r="CC192" s="276">
        <f t="shared" si="15"/>
        <v>24</v>
      </c>
      <c r="CD192" s="276">
        <f t="shared" si="16"/>
        <v>10</v>
      </c>
      <c r="CE192" s="276">
        <f t="shared" si="17"/>
        <v>-4</v>
      </c>
      <c r="CF192" s="276">
        <f t="shared" si="18"/>
        <v>24</v>
      </c>
      <c r="CG192" s="276">
        <f t="shared" si="19"/>
        <v>10</v>
      </c>
    </row>
    <row r="193" spans="66:75">
      <c r="BN193"/>
      <c r="BO193"/>
      <c r="BP193"/>
      <c r="BQ193"/>
      <c r="BS193"/>
      <c r="BT193"/>
      <c r="BU193"/>
      <c r="BV193"/>
      <c r="BW193"/>
    </row>
    <row r="194" spans="66:75">
      <c r="BN194"/>
      <c r="BO194"/>
      <c r="BP194"/>
      <c r="BQ194"/>
      <c r="BS194"/>
      <c r="BT194"/>
      <c r="BU194"/>
      <c r="BV194"/>
      <c r="BW194"/>
    </row>
    <row r="195" spans="66:75">
      <c r="BN195"/>
      <c r="BO195"/>
      <c r="BP195"/>
      <c r="BQ195"/>
      <c r="BS195"/>
      <c r="BT195"/>
      <c r="BU195"/>
      <c r="BV195"/>
      <c r="BW195"/>
    </row>
  </sheetData>
  <mergeCells count="63">
    <mergeCell ref="CB2:CD2"/>
    <mergeCell ref="CE2:CG2"/>
    <mergeCell ref="A36:B45"/>
    <mergeCell ref="AM38:AO39"/>
    <mergeCell ref="AR50:AU50"/>
    <mergeCell ref="A18:B35"/>
    <mergeCell ref="BH20:BJ21"/>
    <mergeCell ref="AR51:AS51"/>
    <mergeCell ref="AV50:AW50"/>
    <mergeCell ref="AM36:AO37"/>
    <mergeCell ref="AR64:AS64"/>
    <mergeCell ref="AM41:AO42"/>
    <mergeCell ref="AR61:AS61"/>
    <mergeCell ref="AR63:AS63"/>
    <mergeCell ref="AR60:AS60"/>
    <mergeCell ref="AR59:AS59"/>
    <mergeCell ref="AR55:AS55"/>
    <mergeCell ref="AR56:AS56"/>
    <mergeCell ref="AR57:AS57"/>
    <mergeCell ref="AR58:AS58"/>
    <mergeCell ref="AR52:AS52"/>
    <mergeCell ref="AR53:AS53"/>
    <mergeCell ref="AR54:AS54"/>
    <mergeCell ref="A1:B1"/>
    <mergeCell ref="A4:B17"/>
    <mergeCell ref="BH18:BJ19"/>
    <mergeCell ref="AJ1:AO3"/>
    <mergeCell ref="AB1:AH3"/>
    <mergeCell ref="AM10:AO11"/>
    <mergeCell ref="AM12:AO14"/>
    <mergeCell ref="AM18:AO19"/>
    <mergeCell ref="A2:B3"/>
    <mergeCell ref="C66:AD67"/>
    <mergeCell ref="C1:T3"/>
    <mergeCell ref="C48:AD49"/>
    <mergeCell ref="AW1:BC3"/>
    <mergeCell ref="AM4:AO5"/>
    <mergeCell ref="AM27:AO28"/>
    <mergeCell ref="AM29:AO32"/>
    <mergeCell ref="C58:AD59"/>
    <mergeCell ref="AM43:AO45"/>
    <mergeCell ref="AV53:AX53"/>
    <mergeCell ref="AV55:AX55"/>
    <mergeCell ref="AR62:AS62"/>
    <mergeCell ref="AR66:AU66"/>
    <mergeCell ref="AM22:AO23"/>
    <mergeCell ref="AM6:AO7"/>
    <mergeCell ref="AM20:AO21"/>
    <mergeCell ref="BN1:BR1"/>
    <mergeCell ref="BU1:BY1"/>
    <mergeCell ref="BH10:BJ11"/>
    <mergeCell ref="BH12:BJ14"/>
    <mergeCell ref="AV54:AX54"/>
    <mergeCell ref="BH41:BJ42"/>
    <mergeCell ref="BH43:BJ45"/>
    <mergeCell ref="BH38:BJ39"/>
    <mergeCell ref="BE1:BJ3"/>
    <mergeCell ref="BH36:BJ37"/>
    <mergeCell ref="BH6:BJ7"/>
    <mergeCell ref="BH22:BJ23"/>
    <mergeCell ref="BH4:BJ5"/>
    <mergeCell ref="BH27:BJ28"/>
    <mergeCell ref="BH29:BJ32"/>
  </mergeCells>
  <conditionalFormatting sqref="AT64">
    <cfRule type="containsText" dxfId="411" priority="8" operator="containsText" text="P3">
      <formula>NOT(ISERROR(SEARCH("P3",AT64)))</formula>
    </cfRule>
    <cfRule type="containsText" dxfId="410" priority="9" operator="containsText" text="P2">
      <formula>NOT(ISERROR(SEARCH("P2",AT64)))</formula>
    </cfRule>
  </conditionalFormatting>
  <conditionalFormatting sqref="AU52:AU63">
    <cfRule type="duplicateValues" dxfId="409" priority="7"/>
  </conditionalFormatting>
  <conditionalFormatting sqref="AT52:AT63">
    <cfRule type="containsText" dxfId="408" priority="5" operator="containsText" text="P3">
      <formula>NOT(ISERROR(SEARCH("P3",AT52)))</formula>
    </cfRule>
    <cfRule type="containsText" dxfId="407" priority="6" operator="containsText" text="P2">
      <formula>NOT(ISERROR(SEARCH("P2",AT52)))</formula>
    </cfRule>
  </conditionalFormatting>
  <conditionalFormatting sqref="AU52:AU64">
    <cfRule type="duplicateValues" dxfId="406" priority="10"/>
  </conditionalFormatting>
  <conditionalFormatting sqref="AU52:AU64">
    <cfRule type="duplicateValues" dxfId="405" priority="4"/>
  </conditionalFormatting>
  <conditionalFormatting sqref="AU68:AU82">
    <cfRule type="duplicateValues" dxfId="404" priority="2"/>
  </conditionalFormatting>
  <conditionalFormatting sqref="AU68:AU82">
    <cfRule type="duplicateValues" dxfId="403" priority="3"/>
  </conditionalFormatting>
  <conditionalFormatting sqref="AU68:AU82">
    <cfRule type="duplicateValues" dxfId="402" priority="1"/>
  </conditionalFormatting>
  <dataValidations disablePrompts="1" count="1">
    <dataValidation allowBlank="1" showInputMessage="1" showErrorMessage="1" sqref="AV51:AV52 AV49:AY49" xr:uid="{00000000-0002-0000-0000-000000000000}"/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ResultPicture">
                <anchor moveWithCells="1" sizeWithCells="1">
                  <from>
                    <xdr:col>32</xdr:col>
                    <xdr:colOff>95250</xdr:colOff>
                    <xdr:row>48</xdr:row>
                    <xdr:rowOff>76200</xdr:rowOff>
                  </from>
                  <to>
                    <xdr:col>39</xdr:col>
                    <xdr:colOff>85725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tabColor rgb="FF00B050"/>
    <pageSetUpPr fitToPage="1"/>
  </sheetPr>
  <dimension ref="A1:BY12576"/>
  <sheetViews>
    <sheetView zoomScale="70" zoomScaleNormal="70" workbookViewId="0">
      <selection activeCell="AG19" sqref="AG19"/>
    </sheetView>
  </sheetViews>
  <sheetFormatPr defaultRowHeight="15.75" customHeight="1"/>
  <cols>
    <col min="1" max="1" width="6.5" style="37" customWidth="1"/>
    <col min="2" max="2" width="6.5" style="2" customWidth="1"/>
    <col min="3" max="3" width="7.625" style="2" customWidth="1"/>
    <col min="4" max="4" width="18.5" style="2" customWidth="1"/>
    <col min="5" max="5" width="5.625" style="2" customWidth="1"/>
    <col min="6" max="6" width="4.75" style="2" customWidth="1"/>
    <col min="7" max="7" width="12.25" style="2" customWidth="1"/>
    <col min="8" max="8" width="5.125" style="2" customWidth="1"/>
    <col min="9" max="9" width="4.625" style="1" customWidth="1"/>
    <col min="10" max="10" width="9.375" style="2" customWidth="1"/>
    <col min="11" max="11" width="9.125" style="1" customWidth="1"/>
    <col min="12" max="12" width="5.5" style="2" customWidth="1"/>
    <col min="13" max="13" width="21.25" style="2" customWidth="1"/>
    <col min="14" max="14" width="15.5" style="2" customWidth="1"/>
    <col min="15" max="15" width="10" style="2" customWidth="1"/>
    <col min="16" max="16" width="16.125" style="2" customWidth="1"/>
    <col min="17" max="17" width="14.75" style="2" hidden="1" customWidth="1"/>
    <col min="18" max="18" width="15.625" style="2" hidden="1" customWidth="1"/>
    <col min="19" max="19" width="9.25" style="2" hidden="1" customWidth="1"/>
    <col min="20" max="20" width="18.125" style="1" hidden="1" customWidth="1"/>
    <col min="21" max="21" width="12.625" style="2" hidden="1" customWidth="1"/>
    <col min="22" max="22" width="8.125" style="2" hidden="1" customWidth="1"/>
    <col min="23" max="23" width="22.125" style="1" hidden="1" customWidth="1"/>
    <col min="24" max="26" width="9.125" style="1" hidden="1" customWidth="1"/>
    <col min="27" max="27" width="6.5" style="1" hidden="1" customWidth="1"/>
    <col min="28" max="29" width="9.625" style="1" hidden="1" customWidth="1"/>
    <col min="30" max="30" width="9.75" style="1" hidden="1" customWidth="1"/>
    <col min="31" max="31" width="2.5" style="1" hidden="1" customWidth="1"/>
    <col min="32" max="33" width="17.75" style="1" customWidth="1"/>
    <col min="34" max="34" width="9" style="116" customWidth="1"/>
    <col min="35" max="35" width="10.625" style="122" customWidth="1"/>
    <col min="36" max="36" width="13.25" style="1" customWidth="1"/>
    <col min="37" max="37" width="10.625" style="1" customWidth="1"/>
    <col min="38" max="38" width="9" style="1"/>
    <col min="39" max="39" width="3.75" style="113" customWidth="1"/>
    <col min="40" max="40" width="9.625" style="114" customWidth="1"/>
    <col min="42" max="42" width="12.375" style="1" customWidth="1"/>
    <col min="43" max="43" width="11.5" style="1" hidden="1" customWidth="1"/>
    <col min="44" max="44" width="14" style="1" hidden="1" customWidth="1"/>
    <col min="45" max="47" width="9" style="1" hidden="1" customWidth="1"/>
    <col min="48" max="48" width="9" style="241" hidden="1" customWidth="1"/>
    <col min="49" max="49" width="9.125" style="1" customWidth="1"/>
    <col min="50" max="51" width="9" style="1" customWidth="1"/>
    <col min="52" max="53" width="9" style="1"/>
    <col min="54" max="54" width="11.875" style="1" customWidth="1"/>
    <col min="55" max="65" width="9" style="1"/>
    <col min="66" max="66" width="9" style="1" customWidth="1"/>
    <col min="67" max="70" width="9" style="1"/>
    <col min="71" max="71" width="8.75" style="1" customWidth="1"/>
    <col min="72" max="72" width="7.625" style="1" customWidth="1"/>
    <col min="73" max="78" width="5.5" style="1" customWidth="1"/>
    <col min="79" max="16384" width="9" style="1"/>
  </cols>
  <sheetData>
    <row r="1" spans="1:76" ht="26.25">
      <c r="A1" s="129" t="s">
        <v>26</v>
      </c>
      <c r="B1" s="130" t="s">
        <v>27</v>
      </c>
      <c r="C1" s="130" t="s">
        <v>91</v>
      </c>
      <c r="D1" s="130" t="s">
        <v>28</v>
      </c>
      <c r="E1" s="130" t="s">
        <v>8</v>
      </c>
      <c r="F1" s="130" t="s">
        <v>37</v>
      </c>
      <c r="G1" s="130" t="s">
        <v>29</v>
      </c>
      <c r="H1" s="130" t="s">
        <v>57</v>
      </c>
      <c r="I1" s="132" t="s">
        <v>109</v>
      </c>
      <c r="J1" s="132" t="s">
        <v>36</v>
      </c>
      <c r="K1" s="131" t="s">
        <v>120</v>
      </c>
      <c r="L1" s="132" t="s">
        <v>109</v>
      </c>
      <c r="M1" s="133" t="s">
        <v>102</v>
      </c>
      <c r="N1" s="134"/>
      <c r="O1" s="135"/>
      <c r="P1" s="36"/>
      <c r="Q1" s="234" t="s">
        <v>30</v>
      </c>
      <c r="R1" s="235" t="s">
        <v>24</v>
      </c>
      <c r="S1" s="235" t="s">
        <v>23</v>
      </c>
      <c r="T1" s="235" t="s">
        <v>32</v>
      </c>
      <c r="U1" s="235" t="s">
        <v>31</v>
      </c>
      <c r="V1" s="236"/>
      <c r="W1" s="237"/>
      <c r="X1" s="237"/>
      <c r="Y1" s="237"/>
      <c r="Z1" s="237"/>
      <c r="AA1" s="237" t="s">
        <v>26</v>
      </c>
      <c r="AB1" s="237" t="s">
        <v>39</v>
      </c>
      <c r="AC1" s="237"/>
      <c r="AD1" s="237" t="s">
        <v>99</v>
      </c>
      <c r="AE1" s="237"/>
      <c r="AF1" s="100" t="s">
        <v>22</v>
      </c>
      <c r="AG1" s="21">
        <v>173</v>
      </c>
      <c r="AH1" s="41" t="s">
        <v>4</v>
      </c>
      <c r="AI1" s="127" t="s">
        <v>110</v>
      </c>
      <c r="AJ1" s="127" t="s">
        <v>111</v>
      </c>
      <c r="AK1" s="127" t="s">
        <v>112</v>
      </c>
      <c r="AL1" s="127" t="s">
        <v>27</v>
      </c>
      <c r="AM1" s="128"/>
      <c r="AN1" s="126" t="s">
        <v>109</v>
      </c>
      <c r="AQ1" s="563" t="s">
        <v>118</v>
      </c>
      <c r="AR1" s="563"/>
      <c r="AS1" s="563"/>
      <c r="AT1" s="563"/>
      <c r="AU1" s="563"/>
      <c r="AV1" s="563"/>
      <c r="AX1" s="564" t="s">
        <v>126</v>
      </c>
      <c r="AY1" s="565"/>
      <c r="AZ1" s="137" t="s">
        <v>121</v>
      </c>
      <c r="BA1" s="137" t="s">
        <v>122</v>
      </c>
      <c r="BB1" s="137" t="s">
        <v>123</v>
      </c>
      <c r="BC1" s="137" t="s">
        <v>124</v>
      </c>
      <c r="BD1" s="137" t="s">
        <v>125</v>
      </c>
      <c r="BM1" s="247" t="s">
        <v>109</v>
      </c>
      <c r="BN1" s="248" t="s">
        <v>26</v>
      </c>
      <c r="BS1" s="1" t="s">
        <v>26</v>
      </c>
      <c r="BT1" s="1" t="s">
        <v>91</v>
      </c>
      <c r="BX1" s="36"/>
    </row>
    <row r="2" spans="1:76" ht="14.25">
      <c r="A2" s="55">
        <v>10383</v>
      </c>
      <c r="B2" s="36" t="s">
        <v>82</v>
      </c>
      <c r="C2" s="36" t="s">
        <v>78</v>
      </c>
      <c r="D2" s="36" t="s">
        <v>906</v>
      </c>
      <c r="E2" s="36" t="s">
        <v>80</v>
      </c>
      <c r="F2" s="36" t="s">
        <v>86</v>
      </c>
      <c r="G2" s="36" t="s">
        <v>85</v>
      </c>
      <c r="H2" s="36" t="s">
        <v>58</v>
      </c>
      <c r="I2" s="36" t="s">
        <v>85</v>
      </c>
      <c r="J2" s="36" t="s">
        <v>2426</v>
      </c>
      <c r="K2" s="1" t="str">
        <f>IF(B2="722W","",IF(OR(C2="B1",C2="B9",C2="W1",C2="W2",C2="U9"),IF(MAX($A$2:$A$400)-A2&gt;10000,A2+100000,A2),""))</f>
        <v/>
      </c>
      <c r="L2" s="1" t="str">
        <f>IF(AND(MIN(I:I)&lt;20,MAX(I:I)&gt;980,I2&lt;20),I2,"")</f>
        <v/>
      </c>
      <c r="M2" s="94"/>
      <c r="N2" s="36"/>
      <c r="O2" s="95"/>
      <c r="P2" s="36"/>
      <c r="Q2" s="110" t="str">
        <f>IF(B2="664W",IF(OR(F2="C5",F2="C6",F2="Z3"),"Rich",IF(OR(F2="S2",F2="S1"),"Sport","Standard")),"")</f>
        <v>Standard</v>
      </c>
      <c r="R2" s="1" t="str">
        <f>IF(OR(G2="   ",G2=""),"",IF(G2="CVT","CVT",IF(G2="6MT","Mech","Auto")))</f>
        <v/>
      </c>
      <c r="S2" s="1">
        <f>IF(A2&gt;0,COUNT(A$2:A2),"")</f>
        <v>1</v>
      </c>
      <c r="T2" s="1" t="str">
        <f>IF(S2&gt;$AG$1,"",IF(S2&gt;0,D2,""))</f>
        <v xml:space="preserve">ASV70L-RETNKX </v>
      </c>
      <c r="U2" s="1" t="str">
        <f t="shared" ref="U2:U65" si="0">IF(S2&gt;$AG$1,"",IF(S2&gt;0,G2,""))</f>
        <v xml:space="preserve">   </v>
      </c>
      <c r="V2" s="111" t="str">
        <f t="shared" ref="V2:V65" si="1">IF(S2&gt;$AG$1,"",IF(AND(H2="Z",F2&lt;&gt;"BO"),"Special",""))</f>
        <v/>
      </c>
      <c r="W2" s="1" t="s">
        <v>1132</v>
      </c>
      <c r="Z2"/>
      <c r="AA2" s="1">
        <v>14162</v>
      </c>
      <c r="AB2" s="1" t="s">
        <v>245</v>
      </c>
      <c r="AD2" s="1" t="str">
        <f>IF(AND(C2&lt;&gt;"B0",C2&lt;&gt;"B1"),B2,"")</f>
        <v>664W</v>
      </c>
      <c r="AH2" s="116">
        <v>1</v>
      </c>
      <c r="AI2" s="122">
        <v>115</v>
      </c>
      <c r="AJ2" s="1" t="s">
        <v>1345</v>
      </c>
      <c r="AK2" s="1">
        <v>309397</v>
      </c>
      <c r="AL2" s="1" t="s">
        <v>930</v>
      </c>
      <c r="AN2" s="270">
        <v>96</v>
      </c>
      <c r="AP2" s="1">
        <v>1</v>
      </c>
      <c r="AQ2" s="1">
        <v>94</v>
      </c>
      <c r="AR2" s="1" t="s">
        <v>1187</v>
      </c>
      <c r="AS2" s="1">
        <v>309240</v>
      </c>
      <c r="AT2" s="1" t="s">
        <v>930</v>
      </c>
      <c r="AV2" s="241">
        <v>939</v>
      </c>
      <c r="AX2" s="1">
        <f t="shared" ref="AX2:AX65" si="2">IF(AND(C2&lt;&gt;"A0",C2&lt;&gt;"P9"),1,"")</f>
        <v>1</v>
      </c>
      <c r="AY2" s="1" t="str">
        <f>IF(COUNTIF($AX$2:AX2,1)&gt;$AG$1,"",IF(AX2="","",E2))</f>
        <v>089</v>
      </c>
      <c r="AZ2" s="41">
        <f>COUNT(K2:K622)</f>
        <v>46</v>
      </c>
      <c r="BA2" s="41">
        <f>MAX(K2:K622)</f>
        <v>11376</v>
      </c>
      <c r="BB2" s="41">
        <f>BA2-AZ2</f>
        <v>11330</v>
      </c>
      <c r="BC2" s="138">
        <f>COUNTIFS(A2:A650,"&gt;0")-COUNT(I2:I650)-AZ2-100</f>
        <v>165</v>
      </c>
      <c r="BD2" s="41">
        <f>IF(AND(MIN(I:I)&lt;20,MAX(I:I)&gt;980),MAX(L:L),MAX(I:I))</f>
        <v>95</v>
      </c>
      <c r="BM2" s="138" t="str">
        <f t="shared" ref="BM2:BM65" si="3">I2</f>
        <v xml:space="preserve">   </v>
      </c>
      <c r="BN2" s="42">
        <f t="shared" ref="BN2:BN65" si="4">A2</f>
        <v>10383</v>
      </c>
      <c r="BS2" s="1">
        <v>6508</v>
      </c>
      <c r="BT2" s="1" t="s">
        <v>244</v>
      </c>
      <c r="BX2" s="36"/>
    </row>
    <row r="3" spans="1:76" ht="15">
      <c r="A3" s="55">
        <v>11044</v>
      </c>
      <c r="B3" s="36" t="s">
        <v>82</v>
      </c>
      <c r="C3" s="36" t="s">
        <v>81</v>
      </c>
      <c r="D3" s="36" t="s">
        <v>906</v>
      </c>
      <c r="E3" s="36" t="s">
        <v>1128</v>
      </c>
      <c r="F3" s="36" t="s">
        <v>1129</v>
      </c>
      <c r="G3" s="36" t="s">
        <v>85</v>
      </c>
      <c r="H3" s="36" t="s">
        <v>58</v>
      </c>
      <c r="I3" s="1">
        <v>78</v>
      </c>
      <c r="J3" s="36" t="s">
        <v>1146</v>
      </c>
      <c r="K3" s="1" t="str">
        <f t="shared" ref="K3:K66" si="5">IF(B3="722W","",IF(OR(C3="B1",C3="B9",C3="W1",C3="W2",C3="U9"),IF(MAX($A$2:$A$400)-A3&gt;10000,A3+100000,A3),""))</f>
        <v/>
      </c>
      <c r="L3" s="1" t="str">
        <f>IF(AND(MIN(I:I)&lt;20,MAX(I:I)&gt;980,I3&lt;20),I3,"")</f>
        <v/>
      </c>
      <c r="M3" s="123" t="s">
        <v>103</v>
      </c>
      <c r="N3" s="124" t="s">
        <v>104</v>
      </c>
      <c r="O3" s="125" t="s">
        <v>105</v>
      </c>
      <c r="P3" s="36"/>
      <c r="Q3" s="110" t="str">
        <f t="shared" ref="Q3:Q66" si="6">IF(B3="664W",IF(OR(F3="C5",F3="C6",F3="Z3"),"Rich",IF(OR(F3="S2",F3="S1"),"Sport","Standard")),"")</f>
        <v>Sport</v>
      </c>
      <c r="R3" s="1" t="str">
        <f t="shared" ref="R3:R66" si="7">IF(OR(G3="   ",G3=""),"",IF(G3="CVT","CVT",IF(G3="6MT","Mech","Auto")))</f>
        <v/>
      </c>
      <c r="S3" s="1">
        <f>IF(A3&gt;0,COUNT(A$2:A3),"")</f>
        <v>2</v>
      </c>
      <c r="T3" s="1" t="str">
        <f t="shared" ref="T3:T65" si="8">IF(S3&gt;$AG$1,"",IF(S3&gt;0,D3,""))</f>
        <v xml:space="preserve">ASV70L-RETNKX </v>
      </c>
      <c r="U3" s="1" t="str">
        <f t="shared" si="0"/>
        <v xml:space="preserve">   </v>
      </c>
      <c r="V3" s="111" t="str">
        <f t="shared" si="1"/>
        <v/>
      </c>
      <c r="W3" s="36" t="s">
        <v>1656</v>
      </c>
      <c r="AA3" s="1">
        <v>14873</v>
      </c>
      <c r="AB3" s="1" t="s">
        <v>244</v>
      </c>
      <c r="AD3" s="1" t="str">
        <f t="shared" ref="AD3:AD65" si="9">IF(AND(C3&lt;&gt;"B0",C3&lt;&gt;"B1"),B3,"")</f>
        <v>664W</v>
      </c>
      <c r="AF3" s="570" t="s">
        <v>73</v>
      </c>
      <c r="AG3" s="570"/>
      <c r="AH3" s="116">
        <v>2</v>
      </c>
      <c r="AI3" s="122">
        <v>116</v>
      </c>
      <c r="AJ3" s="1" t="s">
        <v>1346</v>
      </c>
      <c r="AK3" s="1">
        <v>309398</v>
      </c>
      <c r="AL3" s="1" t="s">
        <v>115</v>
      </c>
      <c r="AN3" s="270">
        <v>97</v>
      </c>
      <c r="AP3" s="1">
        <v>2</v>
      </c>
      <c r="AQ3" s="1">
        <v>95</v>
      </c>
      <c r="AR3" s="1" t="s">
        <v>1188</v>
      </c>
      <c r="AS3" s="1">
        <v>309241</v>
      </c>
      <c r="AT3" s="1" t="s">
        <v>115</v>
      </c>
      <c r="AV3" s="241">
        <v>940</v>
      </c>
      <c r="AX3" s="1" t="str">
        <f t="shared" si="2"/>
        <v/>
      </c>
      <c r="AY3" s="1" t="str">
        <f>IF(COUNTIF($AX$2:AX3,1)&gt;$AG$1,"",IF(AX3="","",E3))</f>
        <v/>
      </c>
      <c r="AZ3" s="139"/>
      <c r="BA3" s="139"/>
      <c r="BB3" s="139"/>
      <c r="BC3" s="139"/>
      <c r="BD3" s="139"/>
      <c r="BM3" s="138">
        <f t="shared" si="3"/>
        <v>78</v>
      </c>
      <c r="BN3" s="42">
        <f t="shared" si="4"/>
        <v>11044</v>
      </c>
      <c r="BS3" s="1">
        <v>6563</v>
      </c>
      <c r="BT3" s="1" t="s">
        <v>902</v>
      </c>
      <c r="BX3" s="36"/>
    </row>
    <row r="4" spans="1:76" ht="15">
      <c r="A4" s="55">
        <v>11055</v>
      </c>
      <c r="B4" s="36" t="s">
        <v>1158</v>
      </c>
      <c r="C4" s="36" t="s">
        <v>246</v>
      </c>
      <c r="D4" s="36" t="s">
        <v>916</v>
      </c>
      <c r="E4" s="36" t="s">
        <v>1128</v>
      </c>
      <c r="F4" s="36" t="s">
        <v>1154</v>
      </c>
      <c r="G4" s="36" t="s">
        <v>894</v>
      </c>
      <c r="H4" s="36" t="s">
        <v>58</v>
      </c>
      <c r="I4" s="1" t="s">
        <v>85</v>
      </c>
      <c r="J4" s="36" t="s">
        <v>1146</v>
      </c>
      <c r="K4" s="1" t="str">
        <f t="shared" si="5"/>
        <v/>
      </c>
      <c r="L4" s="1" t="str">
        <f t="shared" ref="L4:L67" si="10">IF(AND(MIN(I:I)&lt;20,MAX(I:I)&gt;980,I4&lt;20),I4,"")</f>
        <v/>
      </c>
      <c r="M4" s="94"/>
      <c r="N4" s="36"/>
      <c r="O4" s="95"/>
      <c r="P4" s="36"/>
      <c r="Q4" s="110" t="str">
        <f t="shared" si="6"/>
        <v/>
      </c>
      <c r="R4" s="1" t="str">
        <f t="shared" si="7"/>
        <v>CVT</v>
      </c>
      <c r="S4" s="1">
        <f>IF(A4&gt;0,COUNT(A$2:A4),"")</f>
        <v>3</v>
      </c>
      <c r="T4" s="1" t="str">
        <f t="shared" si="8"/>
        <v>MXAA54L-RNXMBX</v>
      </c>
      <c r="U4" s="1" t="str">
        <f>IF(S4&gt;$AG$1,"",IF(S4&gt;0,G4,""))</f>
        <v>CVT</v>
      </c>
      <c r="V4" s="111" t="str">
        <f t="shared" si="1"/>
        <v/>
      </c>
      <c r="AA4" s="1">
        <v>15226</v>
      </c>
      <c r="AB4" s="1" t="s">
        <v>244</v>
      </c>
      <c r="AD4" s="1" t="str">
        <f>IF(AND(C4&lt;&gt;"B0",C4&lt;&gt;"B1"),B4,"")</f>
        <v>831W</v>
      </c>
      <c r="AF4" s="570"/>
      <c r="AG4" s="570"/>
      <c r="AH4" s="116">
        <v>3</v>
      </c>
      <c r="AI4" s="122">
        <v>117</v>
      </c>
      <c r="AJ4" s="1" t="s">
        <v>1347</v>
      </c>
      <c r="AK4" s="1">
        <v>309399</v>
      </c>
      <c r="AL4" s="1" t="s">
        <v>930</v>
      </c>
      <c r="AN4" s="270">
        <v>98</v>
      </c>
      <c r="AP4" s="1">
        <v>3</v>
      </c>
      <c r="AQ4" s="1">
        <v>96</v>
      </c>
      <c r="AR4" s="1" t="s">
        <v>1189</v>
      </c>
      <c r="AS4" s="1">
        <v>309242</v>
      </c>
      <c r="AT4" s="1" t="s">
        <v>930</v>
      </c>
      <c r="AV4" s="241">
        <v>941</v>
      </c>
      <c r="AX4" s="1">
        <f t="shared" si="2"/>
        <v>1</v>
      </c>
      <c r="AY4" s="1" t="str">
        <f>IF(COUNTIF($AX$2:AX4,1)&gt;$AG$1,"",IF(AX4="","",E4))</f>
        <v>2PS</v>
      </c>
      <c r="AZ4" s="139"/>
      <c r="BA4" s="570" t="s">
        <v>954</v>
      </c>
      <c r="BB4" s="570"/>
      <c r="BC4" s="570"/>
      <c r="BD4" s="139"/>
      <c r="BE4" s="570" t="s">
        <v>955</v>
      </c>
      <c r="BF4" s="570"/>
      <c r="BG4" s="570"/>
      <c r="BM4" s="138" t="str">
        <f t="shared" si="3"/>
        <v xml:space="preserve">   </v>
      </c>
      <c r="BN4" s="42">
        <f t="shared" si="4"/>
        <v>11055</v>
      </c>
      <c r="BS4" s="1">
        <v>6595</v>
      </c>
      <c r="BT4" s="1" t="s">
        <v>244</v>
      </c>
      <c r="BX4" s="36"/>
    </row>
    <row r="5" spans="1:76" ht="15">
      <c r="A5" s="55">
        <v>11065</v>
      </c>
      <c r="B5" s="36" t="s">
        <v>82</v>
      </c>
      <c r="C5" s="36" t="s">
        <v>247</v>
      </c>
      <c r="D5" s="36" t="s">
        <v>906</v>
      </c>
      <c r="E5" s="36" t="s">
        <v>1128</v>
      </c>
      <c r="F5" s="36" t="s">
        <v>1129</v>
      </c>
      <c r="G5" s="36" t="s">
        <v>85</v>
      </c>
      <c r="H5" s="36" t="s">
        <v>58</v>
      </c>
      <c r="I5" s="1" t="s">
        <v>85</v>
      </c>
      <c r="J5" s="36" t="s">
        <v>1146</v>
      </c>
      <c r="K5" s="1" t="str">
        <f t="shared" si="5"/>
        <v/>
      </c>
      <c r="L5" s="1" t="str">
        <f>IF(AND(MIN(I:I)&lt;20,MAX(I:I)&gt;980,I5&lt;20),I5,"")</f>
        <v/>
      </c>
      <c r="M5" s="94" t="s">
        <v>106</v>
      </c>
      <c r="N5" s="36" t="s">
        <v>107</v>
      </c>
      <c r="O5" s="95" t="s">
        <v>108</v>
      </c>
      <c r="P5" s="36"/>
      <c r="Q5" s="110" t="str">
        <f t="shared" si="6"/>
        <v>Sport</v>
      </c>
      <c r="R5" s="1" t="str">
        <f>IF(OR(G5="   ",G5=""),"",IF(G5="CVT","CVT",IF(G5="6MT","Mech","Auto")))</f>
        <v/>
      </c>
      <c r="S5" s="1">
        <f>IF(A5&gt;0,COUNT(A$2:A5),"")</f>
        <v>4</v>
      </c>
      <c r="T5" s="1" t="str">
        <f t="shared" si="8"/>
        <v xml:space="preserve">ASV70L-RETNKX </v>
      </c>
      <c r="U5" s="1" t="str">
        <f t="shared" si="0"/>
        <v xml:space="preserve">   </v>
      </c>
      <c r="V5" s="111" t="str">
        <f t="shared" si="1"/>
        <v/>
      </c>
      <c r="AA5" s="1">
        <v>15228</v>
      </c>
      <c r="AB5" s="1" t="s">
        <v>244</v>
      </c>
      <c r="AD5" s="1" t="str">
        <f t="shared" si="9"/>
        <v>664W</v>
      </c>
      <c r="AF5" s="570"/>
      <c r="AG5" s="570"/>
      <c r="AH5" s="116">
        <v>4</v>
      </c>
      <c r="AI5" s="122">
        <v>118</v>
      </c>
      <c r="AJ5" s="1" t="s">
        <v>1348</v>
      </c>
      <c r="AK5" s="1">
        <v>309400</v>
      </c>
      <c r="AL5" s="1" t="s">
        <v>115</v>
      </c>
      <c r="AN5" s="270">
        <v>99</v>
      </c>
      <c r="AP5" s="1">
        <v>4</v>
      </c>
      <c r="AQ5" s="1">
        <v>97</v>
      </c>
      <c r="AR5" s="1" t="s">
        <v>1190</v>
      </c>
      <c r="AS5" s="1">
        <v>309243</v>
      </c>
      <c r="AT5" s="1" t="s">
        <v>115</v>
      </c>
      <c r="AV5" s="241">
        <v>942</v>
      </c>
      <c r="AX5" s="1">
        <f t="shared" si="2"/>
        <v>1</v>
      </c>
      <c r="AY5" s="1" t="str">
        <f>IF(COUNTIF($AX$2:AX5,1)&gt;$AG$1,"",IF(AX5="","",E5))</f>
        <v>2PS</v>
      </c>
      <c r="AZ5" s="139"/>
      <c r="BA5" s="570"/>
      <c r="BB5" s="570"/>
      <c r="BC5" s="570"/>
      <c r="BD5" s="139"/>
      <c r="BE5" s="570"/>
      <c r="BF5" s="570"/>
      <c r="BG5" s="570"/>
      <c r="BM5" s="138" t="str">
        <f t="shared" si="3"/>
        <v xml:space="preserve">   </v>
      </c>
      <c r="BN5" s="42">
        <f t="shared" si="4"/>
        <v>11065</v>
      </c>
      <c r="BS5" s="1">
        <v>6621</v>
      </c>
      <c r="BT5" s="1" t="s">
        <v>244</v>
      </c>
      <c r="BX5" s="36"/>
    </row>
    <row r="6" spans="1:76" ht="15">
      <c r="A6" s="55">
        <v>11076</v>
      </c>
      <c r="B6" s="36" t="s">
        <v>1158</v>
      </c>
      <c r="C6" s="36" t="s">
        <v>44</v>
      </c>
      <c r="D6" s="36" t="s">
        <v>916</v>
      </c>
      <c r="E6" s="36" t="s">
        <v>1128</v>
      </c>
      <c r="F6" s="36" t="s">
        <v>1154</v>
      </c>
      <c r="G6" s="36" t="s">
        <v>894</v>
      </c>
      <c r="H6" s="36" t="s">
        <v>58</v>
      </c>
      <c r="I6" s="1">
        <v>80</v>
      </c>
      <c r="J6" s="36" t="s">
        <v>1146</v>
      </c>
      <c r="K6" s="1" t="str">
        <f t="shared" si="5"/>
        <v/>
      </c>
      <c r="L6" s="1" t="str">
        <f t="shared" si="10"/>
        <v/>
      </c>
      <c r="M6" s="94">
        <v>1</v>
      </c>
      <c r="N6" s="36" t="s">
        <v>1656</v>
      </c>
      <c r="O6" s="95">
        <v>309708</v>
      </c>
      <c r="P6" s="120"/>
      <c r="Q6" s="110" t="str">
        <f t="shared" si="6"/>
        <v/>
      </c>
      <c r="R6" s="1" t="str">
        <f t="shared" si="7"/>
        <v>CVT</v>
      </c>
      <c r="S6" s="1">
        <f>IF(A6&gt;0,COUNT(A$2:A6),"")</f>
        <v>5</v>
      </c>
      <c r="T6" s="1" t="str">
        <f t="shared" si="8"/>
        <v>MXAA54L-RNXMBX</v>
      </c>
      <c r="U6" s="1" t="str">
        <f t="shared" si="0"/>
        <v>CVT</v>
      </c>
      <c r="V6" s="111" t="str">
        <f t="shared" si="1"/>
        <v/>
      </c>
      <c r="AA6" s="1">
        <v>15564</v>
      </c>
      <c r="AB6" s="1" t="s">
        <v>244</v>
      </c>
      <c r="AD6" s="1" t="str">
        <f t="shared" si="9"/>
        <v>831W</v>
      </c>
      <c r="AF6" s="593">
        <f>IF((RIGHT(BB2,3)-BC2-BD2)&lt;0,RIGHT(BB2,3)-BC2-BD2+1000,RIGHT(BB2,3)-BC2-BD2)</f>
        <v>70</v>
      </c>
      <c r="AG6" s="594"/>
      <c r="AH6" s="116">
        <v>5</v>
      </c>
      <c r="AI6" s="122">
        <v>119</v>
      </c>
      <c r="AJ6" s="1" t="s">
        <v>1349</v>
      </c>
      <c r="AK6" s="1">
        <v>309401</v>
      </c>
      <c r="AL6" s="1" t="s">
        <v>930</v>
      </c>
      <c r="AN6" s="270">
        <v>100</v>
      </c>
      <c r="AP6" s="1">
        <v>5</v>
      </c>
      <c r="AQ6" s="1">
        <v>98</v>
      </c>
      <c r="AR6" s="1" t="s">
        <v>1191</v>
      </c>
      <c r="AS6" s="1">
        <v>309244</v>
      </c>
      <c r="AT6" s="1" t="s">
        <v>930</v>
      </c>
      <c r="AV6" s="241">
        <v>943</v>
      </c>
      <c r="AX6" s="1" t="str">
        <f t="shared" si="2"/>
        <v/>
      </c>
      <c r="AY6" s="1" t="str">
        <f>IF(COUNTIF($AX$2:AX6,1)&gt;$AG$1,"",IF(AX6="","",E6))</f>
        <v/>
      </c>
      <c r="AZ6" s="139"/>
      <c r="BA6" s="570"/>
      <c r="BB6" s="570"/>
      <c r="BC6" s="570"/>
      <c r="BD6" s="599" t="str">
        <f>IF(BA7=BE7,"OK","NG")</f>
        <v>OK</v>
      </c>
      <c r="BE6" s="570"/>
      <c r="BF6" s="570"/>
      <c r="BG6" s="570"/>
      <c r="BM6" s="138">
        <f t="shared" si="3"/>
        <v>80</v>
      </c>
      <c r="BN6" s="42">
        <f t="shared" si="4"/>
        <v>11076</v>
      </c>
      <c r="BS6" s="1">
        <v>6623</v>
      </c>
      <c r="BT6" s="1" t="s">
        <v>902</v>
      </c>
      <c r="BX6" s="36"/>
    </row>
    <row r="7" spans="1:76" ht="15">
      <c r="A7" s="55">
        <v>11087</v>
      </c>
      <c r="B7" s="36" t="s">
        <v>1158</v>
      </c>
      <c r="C7" s="36" t="s">
        <v>45</v>
      </c>
      <c r="D7" s="36" t="s">
        <v>916</v>
      </c>
      <c r="E7" s="36" t="s">
        <v>1128</v>
      </c>
      <c r="F7" s="36" t="s">
        <v>1154</v>
      </c>
      <c r="G7" s="36" t="s">
        <v>894</v>
      </c>
      <c r="H7" s="36" t="s">
        <v>58</v>
      </c>
      <c r="I7" s="1" t="s">
        <v>85</v>
      </c>
      <c r="J7" s="36" t="s">
        <v>1146</v>
      </c>
      <c r="K7" s="1" t="str">
        <f t="shared" si="5"/>
        <v/>
      </c>
      <c r="L7" s="1" t="str">
        <f t="shared" si="10"/>
        <v/>
      </c>
      <c r="M7" s="94">
        <v>2</v>
      </c>
      <c r="N7" s="36" t="s">
        <v>1657</v>
      </c>
      <c r="O7" s="95">
        <v>309709</v>
      </c>
      <c r="P7" s="36"/>
      <c r="Q7" s="110" t="str">
        <f t="shared" si="6"/>
        <v/>
      </c>
      <c r="R7" s="1" t="str">
        <f t="shared" si="7"/>
        <v>CVT</v>
      </c>
      <c r="S7" s="1">
        <f>IF(A7&gt;0,COUNT(A$2:A7),"")</f>
        <v>6</v>
      </c>
      <c r="T7" s="1" t="str">
        <f t="shared" si="8"/>
        <v>MXAA54L-RNXMBX</v>
      </c>
      <c r="U7" s="1" t="str">
        <f t="shared" si="0"/>
        <v>CVT</v>
      </c>
      <c r="V7" s="111" t="str">
        <f t="shared" si="1"/>
        <v/>
      </c>
      <c r="AA7" s="1">
        <v>15901</v>
      </c>
      <c r="AB7" s="1" t="s">
        <v>244</v>
      </c>
      <c r="AD7" s="1" t="str">
        <f t="shared" si="9"/>
        <v>831W</v>
      </c>
      <c r="AF7" s="595"/>
      <c r="AG7" s="596"/>
      <c r="AH7" s="116">
        <v>6</v>
      </c>
      <c r="AI7" s="122">
        <v>120</v>
      </c>
      <c r="AJ7" s="1" t="s">
        <v>1350</v>
      </c>
      <c r="AK7" s="1">
        <v>309402</v>
      </c>
      <c r="AL7" s="1" t="s">
        <v>115</v>
      </c>
      <c r="AN7" s="270">
        <v>101</v>
      </c>
      <c r="AP7" s="1">
        <v>6</v>
      </c>
      <c r="AQ7" s="1">
        <v>99</v>
      </c>
      <c r="AR7" s="1" t="s">
        <v>1192</v>
      </c>
      <c r="AS7" s="1">
        <v>309245</v>
      </c>
      <c r="AT7" s="1" t="s">
        <v>115</v>
      </c>
      <c r="AV7" s="241">
        <v>944</v>
      </c>
      <c r="AX7" s="1">
        <f t="shared" si="2"/>
        <v>1</v>
      </c>
      <c r="AY7" s="1" t="str">
        <f>IF(COUNTIF($AX$2:AX7,1)&gt;$AG$1,"",IF(AX7="","",E7))</f>
        <v>2PS</v>
      </c>
      <c r="AZ7" s="139"/>
      <c r="BA7" s="584">
        <f>IF((RIGHT(BB2,3)-BC2-BD2)&lt;0,RIGHT(BB2,3)-BC2-BD2+1000,RIGHT(BB2,3)-BC2-BD2)</f>
        <v>70</v>
      </c>
      <c r="BB7" s="585"/>
      <c r="BC7" s="586"/>
      <c r="BD7" s="599"/>
      <c r="BE7" s="584">
        <v>70</v>
      </c>
      <c r="BF7" s="585"/>
      <c r="BG7" s="586"/>
      <c r="BM7" s="138" t="str">
        <f t="shared" si="3"/>
        <v xml:space="preserve">   </v>
      </c>
      <c r="BN7" s="42">
        <f t="shared" si="4"/>
        <v>11087</v>
      </c>
      <c r="BS7" s="1">
        <v>7096</v>
      </c>
      <c r="BT7" s="1" t="s">
        <v>902</v>
      </c>
      <c r="BX7" s="36"/>
    </row>
    <row r="8" spans="1:76" ht="15">
      <c r="A8" s="55">
        <v>11090</v>
      </c>
      <c r="B8" s="36" t="s">
        <v>1158</v>
      </c>
      <c r="C8" s="36" t="s">
        <v>45</v>
      </c>
      <c r="D8" s="36" t="s">
        <v>913</v>
      </c>
      <c r="E8" s="36" t="s">
        <v>21</v>
      </c>
      <c r="F8" s="36" t="s">
        <v>931</v>
      </c>
      <c r="G8" s="36" t="s">
        <v>894</v>
      </c>
      <c r="H8" s="36" t="s">
        <v>58</v>
      </c>
      <c r="I8" s="1" t="s">
        <v>85</v>
      </c>
      <c r="J8" s="36" t="s">
        <v>1146</v>
      </c>
      <c r="K8" s="1" t="str">
        <f t="shared" si="5"/>
        <v/>
      </c>
      <c r="L8" s="1" t="str">
        <f t="shared" si="10"/>
        <v/>
      </c>
      <c r="M8" s="94">
        <v>3</v>
      </c>
      <c r="N8" s="36" t="s">
        <v>1658</v>
      </c>
      <c r="O8" s="95">
        <v>309710</v>
      </c>
      <c r="P8" s="36"/>
      <c r="Q8" s="110" t="str">
        <f t="shared" si="6"/>
        <v/>
      </c>
      <c r="R8" s="1" t="str">
        <f>IF(OR(G8="   ",G8=""),"",IF(G8="CVT","CVT",IF(G8="6MT","Mech","Auto")))</f>
        <v>CVT</v>
      </c>
      <c r="S8" s="1">
        <f>IF(A8&gt;0,COUNT(A$2:A8),"")</f>
        <v>7</v>
      </c>
      <c r="T8" s="1" t="str">
        <f t="shared" si="8"/>
        <v>MXAA52L-RNXMBX</v>
      </c>
      <c r="U8" s="1" t="str">
        <f t="shared" si="0"/>
        <v>CVT</v>
      </c>
      <c r="V8" s="111" t="str">
        <f t="shared" si="1"/>
        <v/>
      </c>
      <c r="AA8" s="1">
        <v>15903</v>
      </c>
      <c r="AB8" s="1" t="s">
        <v>244</v>
      </c>
      <c r="AD8" s="1" t="str">
        <f t="shared" si="9"/>
        <v>831W</v>
      </c>
      <c r="AF8" s="597"/>
      <c r="AG8" s="598"/>
      <c r="AH8" s="116">
        <v>7</v>
      </c>
      <c r="AI8" s="122">
        <v>121</v>
      </c>
      <c r="AJ8" s="1" t="s">
        <v>1351</v>
      </c>
      <c r="AK8" s="1">
        <v>309403</v>
      </c>
      <c r="AL8" s="1" t="s">
        <v>930</v>
      </c>
      <c r="AN8" s="270">
        <v>102</v>
      </c>
      <c r="AP8" s="1">
        <v>7</v>
      </c>
      <c r="AQ8" s="1">
        <v>100</v>
      </c>
      <c r="AR8" s="1" t="s">
        <v>1193</v>
      </c>
      <c r="AS8" s="1">
        <v>309246</v>
      </c>
      <c r="AT8" s="1" t="s">
        <v>930</v>
      </c>
      <c r="AV8" s="241">
        <v>945</v>
      </c>
      <c r="AX8" s="1">
        <f t="shared" si="2"/>
        <v>1</v>
      </c>
      <c r="AY8" s="1" t="str">
        <f>IF(COUNTIF($AX$2:AX8,1)&gt;$AG$1,"",IF(AX8="","",E8))</f>
        <v>040</v>
      </c>
      <c r="AZ8" s="139"/>
      <c r="BA8" s="587"/>
      <c r="BB8" s="588"/>
      <c r="BC8" s="589"/>
      <c r="BD8" s="139"/>
      <c r="BE8" s="587"/>
      <c r="BF8" s="588"/>
      <c r="BG8" s="589"/>
      <c r="BM8" s="138" t="str">
        <f t="shared" si="3"/>
        <v xml:space="preserve">   </v>
      </c>
      <c r="BN8" s="42">
        <f t="shared" si="4"/>
        <v>11090</v>
      </c>
      <c r="BS8" s="1">
        <v>7137</v>
      </c>
      <c r="BT8" s="1" t="s">
        <v>244</v>
      </c>
      <c r="BX8" s="36"/>
    </row>
    <row r="9" spans="1:76" ht="15">
      <c r="A9" s="55">
        <v>11097</v>
      </c>
      <c r="B9" s="36" t="s">
        <v>1158</v>
      </c>
      <c r="C9" s="36" t="s">
        <v>246</v>
      </c>
      <c r="D9" s="36" t="s">
        <v>910</v>
      </c>
      <c r="E9" s="36" t="s">
        <v>1128</v>
      </c>
      <c r="F9" s="36" t="s">
        <v>1164</v>
      </c>
      <c r="G9" s="36" t="s">
        <v>921</v>
      </c>
      <c r="H9" s="36" t="s">
        <v>58</v>
      </c>
      <c r="I9" s="1" t="s">
        <v>85</v>
      </c>
      <c r="J9" s="36" t="s">
        <v>1146</v>
      </c>
      <c r="K9" s="1" t="str">
        <f t="shared" si="5"/>
        <v/>
      </c>
      <c r="L9" s="1" t="str">
        <f t="shared" si="10"/>
        <v/>
      </c>
      <c r="M9" s="94">
        <v>4</v>
      </c>
      <c r="N9" s="36" t="s">
        <v>1659</v>
      </c>
      <c r="O9" s="95">
        <v>309711</v>
      </c>
      <c r="P9" s="36"/>
      <c r="Q9" s="110" t="str">
        <f t="shared" si="6"/>
        <v/>
      </c>
      <c r="R9" s="1" t="str">
        <f t="shared" si="7"/>
        <v>Auto</v>
      </c>
      <c r="S9" s="1">
        <f>IF(A9&gt;0,COUNT(A$2:A9),"")</f>
        <v>8</v>
      </c>
      <c r="T9" s="1" t="str">
        <f t="shared" si="8"/>
        <v>AXAA54L-RNZMBX</v>
      </c>
      <c r="U9" s="1" t="str">
        <f t="shared" si="0"/>
        <v>8AT</v>
      </c>
      <c r="V9" s="111" t="str">
        <f t="shared" si="1"/>
        <v/>
      </c>
      <c r="AA9" s="1">
        <v>16216</v>
      </c>
      <c r="AB9" s="1" t="s">
        <v>244</v>
      </c>
      <c r="AD9" s="1" t="str">
        <f t="shared" si="9"/>
        <v>831W</v>
      </c>
      <c r="AH9" s="116">
        <v>8</v>
      </c>
      <c r="AI9" s="122">
        <v>122</v>
      </c>
      <c r="AJ9" s="1" t="s">
        <v>1352</v>
      </c>
      <c r="AK9" s="1">
        <v>309404</v>
      </c>
      <c r="AL9" s="1" t="s">
        <v>930</v>
      </c>
      <c r="AN9" s="270">
        <v>103</v>
      </c>
      <c r="AP9" s="1">
        <v>8</v>
      </c>
      <c r="AQ9" s="1">
        <v>101</v>
      </c>
      <c r="AR9" s="1" t="s">
        <v>1194</v>
      </c>
      <c r="AS9" s="1">
        <v>309247</v>
      </c>
      <c r="AT9" s="1" t="s">
        <v>930</v>
      </c>
      <c r="AV9" s="241">
        <v>946</v>
      </c>
      <c r="AX9" s="1">
        <f t="shared" si="2"/>
        <v>1</v>
      </c>
      <c r="AY9" s="1" t="str">
        <f>IF(COUNTIF($AX$2:AX9,1)&gt;$AG$1,"",IF(AX9="","",E9))</f>
        <v>2PS</v>
      </c>
      <c r="AZ9" s="139"/>
      <c r="BA9" s="590"/>
      <c r="BB9" s="591"/>
      <c r="BC9" s="592"/>
      <c r="BD9" s="139"/>
      <c r="BE9" s="590"/>
      <c r="BF9" s="591"/>
      <c r="BG9" s="592"/>
      <c r="BM9" s="138" t="str">
        <f t="shared" si="3"/>
        <v xml:space="preserve">   </v>
      </c>
      <c r="BN9" s="42">
        <f t="shared" si="4"/>
        <v>11097</v>
      </c>
      <c r="BS9" s="1">
        <v>7173</v>
      </c>
      <c r="BT9" s="1" t="s">
        <v>244</v>
      </c>
      <c r="BX9" s="36"/>
    </row>
    <row r="10" spans="1:76" ht="14.25">
      <c r="A10" s="55">
        <v>11108</v>
      </c>
      <c r="B10" s="36" t="s">
        <v>1158</v>
      </c>
      <c r="C10" s="36" t="s">
        <v>1150</v>
      </c>
      <c r="D10" s="36" t="s">
        <v>916</v>
      </c>
      <c r="E10" s="36" t="s">
        <v>1128</v>
      </c>
      <c r="F10" s="36" t="s">
        <v>1154</v>
      </c>
      <c r="G10" s="36" t="s">
        <v>894</v>
      </c>
      <c r="H10" s="36" t="s">
        <v>58</v>
      </c>
      <c r="I10" s="1" t="s">
        <v>85</v>
      </c>
      <c r="J10" s="36" t="s">
        <v>1146</v>
      </c>
      <c r="K10" s="1" t="str">
        <f t="shared" si="5"/>
        <v/>
      </c>
      <c r="L10" s="1" t="str">
        <f t="shared" si="10"/>
        <v/>
      </c>
      <c r="M10" s="94">
        <v>5</v>
      </c>
      <c r="N10" s="36" t="s">
        <v>1660</v>
      </c>
      <c r="O10" s="95">
        <v>309712</v>
      </c>
      <c r="P10" s="36"/>
      <c r="Q10" s="110" t="str">
        <f t="shared" si="6"/>
        <v/>
      </c>
      <c r="R10" s="1" t="str">
        <f t="shared" si="7"/>
        <v>CVT</v>
      </c>
      <c r="S10" s="1">
        <f>IF(A10&gt;0,COUNT(A$2:A10),"")</f>
        <v>9</v>
      </c>
      <c r="T10" s="1" t="str">
        <f t="shared" si="8"/>
        <v>MXAA54L-RNXMBX</v>
      </c>
      <c r="U10" s="1" t="str">
        <f t="shared" si="0"/>
        <v>CVT</v>
      </c>
      <c r="V10" s="111" t="str">
        <f t="shared" si="1"/>
        <v/>
      </c>
      <c r="AA10" s="1">
        <v>16218</v>
      </c>
      <c r="AB10" s="1" t="s">
        <v>244</v>
      </c>
      <c r="AD10" s="1" t="str">
        <f t="shared" si="9"/>
        <v>831W</v>
      </c>
      <c r="AF10" s="555" t="s">
        <v>113</v>
      </c>
      <c r="AG10" s="556">
        <f>IF(AND(MIN(I:I)&lt;20,MAX(I:I)&gt;980),MAX(L:L),MAX(I:I))</f>
        <v>95</v>
      </c>
      <c r="AH10" s="116">
        <v>9</v>
      </c>
      <c r="AI10" s="122">
        <v>123</v>
      </c>
      <c r="AJ10" s="1" t="s">
        <v>1353</v>
      </c>
      <c r="AK10" s="1">
        <v>309405</v>
      </c>
      <c r="AL10" s="1" t="s">
        <v>115</v>
      </c>
      <c r="AN10" s="270">
        <v>104</v>
      </c>
      <c r="AP10" s="1">
        <v>9</v>
      </c>
      <c r="AQ10" s="1">
        <v>102</v>
      </c>
      <c r="AR10" s="1" t="s">
        <v>1195</v>
      </c>
      <c r="AS10" s="1">
        <v>309248</v>
      </c>
      <c r="AT10" s="1" t="s">
        <v>115</v>
      </c>
      <c r="AV10" s="241">
        <v>947</v>
      </c>
      <c r="AX10" s="1">
        <f t="shared" si="2"/>
        <v>1</v>
      </c>
      <c r="AY10" s="1" t="str">
        <f>IF(COUNTIF($AX$2:AX10,1)&gt;$AG$1,"",IF(AX10="","",E10))</f>
        <v>2PS</v>
      </c>
      <c r="BM10" s="138" t="str">
        <f t="shared" si="3"/>
        <v xml:space="preserve">   </v>
      </c>
      <c r="BN10" s="42">
        <f t="shared" si="4"/>
        <v>11108</v>
      </c>
      <c r="BS10" s="1">
        <v>9523</v>
      </c>
      <c r="BT10" s="1" t="s">
        <v>902</v>
      </c>
      <c r="BX10" s="36"/>
    </row>
    <row r="11" spans="1:76" ht="14.25">
      <c r="A11" s="55">
        <v>11118</v>
      </c>
      <c r="B11" s="36" t="s">
        <v>1158</v>
      </c>
      <c r="C11" s="36" t="s">
        <v>1150</v>
      </c>
      <c r="D11" s="36" t="s">
        <v>910</v>
      </c>
      <c r="E11" s="36" t="s">
        <v>1128</v>
      </c>
      <c r="F11" s="36" t="s">
        <v>1154</v>
      </c>
      <c r="G11" s="36" t="s">
        <v>921</v>
      </c>
      <c r="H11" s="36" t="s">
        <v>58</v>
      </c>
      <c r="I11" s="1" t="s">
        <v>85</v>
      </c>
      <c r="J11" s="36" t="s">
        <v>1146</v>
      </c>
      <c r="K11" s="1" t="str">
        <f t="shared" si="5"/>
        <v/>
      </c>
      <c r="L11" s="1" t="str">
        <f t="shared" si="10"/>
        <v/>
      </c>
      <c r="M11" s="94">
        <v>6</v>
      </c>
      <c r="N11" s="36" t="s">
        <v>1661</v>
      </c>
      <c r="O11" s="95">
        <v>309713</v>
      </c>
      <c r="P11" s="36"/>
      <c r="Q11" s="110" t="str">
        <f t="shared" si="6"/>
        <v/>
      </c>
      <c r="R11" s="1" t="str">
        <f t="shared" si="7"/>
        <v>Auto</v>
      </c>
      <c r="S11" s="1">
        <f>IF(A11&gt;0,COUNT(A$2:A11),"")</f>
        <v>10</v>
      </c>
      <c r="T11" s="1" t="str">
        <f t="shared" si="8"/>
        <v>AXAA54L-RNZMBX</v>
      </c>
      <c r="U11" s="1" t="str">
        <f t="shared" si="0"/>
        <v>8AT</v>
      </c>
      <c r="V11" s="111" t="str">
        <f t="shared" si="1"/>
        <v/>
      </c>
      <c r="AA11" s="1">
        <v>17630</v>
      </c>
      <c r="AB11" s="1" t="s">
        <v>244</v>
      </c>
      <c r="AD11" s="1" t="str">
        <f t="shared" si="9"/>
        <v>831W</v>
      </c>
      <c r="AF11" s="555"/>
      <c r="AG11" s="556"/>
      <c r="AH11" s="116">
        <v>10</v>
      </c>
      <c r="AI11" s="122">
        <v>124</v>
      </c>
      <c r="AJ11" s="1" t="s">
        <v>1354</v>
      </c>
      <c r="AK11" s="1">
        <v>309406</v>
      </c>
      <c r="AL11" s="1" t="s">
        <v>930</v>
      </c>
      <c r="AN11" s="270">
        <v>105</v>
      </c>
      <c r="AP11" s="1">
        <v>10</v>
      </c>
      <c r="AQ11" s="1">
        <v>103</v>
      </c>
      <c r="AR11" s="1" t="s">
        <v>1196</v>
      </c>
      <c r="AS11" s="1">
        <v>309249</v>
      </c>
      <c r="AT11" s="1" t="s">
        <v>930</v>
      </c>
      <c r="AV11" s="241">
        <v>948</v>
      </c>
      <c r="AX11" s="1">
        <f t="shared" si="2"/>
        <v>1</v>
      </c>
      <c r="AY11" s="1" t="str">
        <f>IF(COUNTIF($AX$2:AX11,1)&gt;$AG$1,"",IF(AX11="","",E11))</f>
        <v>2PS</v>
      </c>
      <c r="BA11" s="566" t="s">
        <v>157</v>
      </c>
      <c r="BB11" s="566"/>
      <c r="BC11" s="566"/>
      <c r="BD11" s="41">
        <f>COUNTIFS(BC16:BC101,"&gt;0",BD16:BD101,"",BF16:BF101,"Да")</f>
        <v>0</v>
      </c>
      <c r="BE11" s="6"/>
      <c r="BF11" s="6"/>
      <c r="BM11" s="138" t="str">
        <f t="shared" si="3"/>
        <v xml:space="preserve">   </v>
      </c>
      <c r="BN11" s="42">
        <f t="shared" si="4"/>
        <v>11118</v>
      </c>
      <c r="BS11" s="1">
        <v>9539</v>
      </c>
      <c r="BT11" s="1" t="s">
        <v>902</v>
      </c>
      <c r="BX11" s="36"/>
    </row>
    <row r="12" spans="1:76" s="6" customFormat="1" ht="14.25">
      <c r="A12" s="55">
        <v>11120</v>
      </c>
      <c r="B12" s="36" t="s">
        <v>1158</v>
      </c>
      <c r="C12" s="36" t="s">
        <v>129</v>
      </c>
      <c r="D12" s="36" t="s">
        <v>910</v>
      </c>
      <c r="E12" s="36" t="s">
        <v>20</v>
      </c>
      <c r="F12" s="36" t="s">
        <v>1139</v>
      </c>
      <c r="G12" s="36" t="s">
        <v>921</v>
      </c>
      <c r="H12" s="36" t="s">
        <v>58</v>
      </c>
      <c r="I12" s="1" t="s">
        <v>85</v>
      </c>
      <c r="J12" s="36" t="s">
        <v>1146</v>
      </c>
      <c r="K12" s="1" t="str">
        <f t="shared" si="5"/>
        <v/>
      </c>
      <c r="L12" s="1" t="str">
        <f t="shared" si="10"/>
        <v/>
      </c>
      <c r="M12" s="94">
        <v>7</v>
      </c>
      <c r="N12" s="36" t="s">
        <v>1662</v>
      </c>
      <c r="O12" s="95">
        <v>309714</v>
      </c>
      <c r="P12" s="36"/>
      <c r="Q12" s="110" t="str">
        <f t="shared" si="6"/>
        <v/>
      </c>
      <c r="R12" s="1" t="str">
        <f t="shared" si="7"/>
        <v>Auto</v>
      </c>
      <c r="S12" s="1">
        <f>IF(A12&gt;0,COUNT(A$2:A12),"")</f>
        <v>11</v>
      </c>
      <c r="T12" s="1" t="str">
        <f t="shared" si="8"/>
        <v>AXAA54L-RNZMBX</v>
      </c>
      <c r="U12" s="1" t="str">
        <f t="shared" si="0"/>
        <v>8AT</v>
      </c>
      <c r="V12" s="111" t="str">
        <f t="shared" si="1"/>
        <v/>
      </c>
      <c r="AA12" s="6">
        <v>17990</v>
      </c>
      <c r="AB12" s="6" t="s">
        <v>244</v>
      </c>
      <c r="AD12" s="1" t="str">
        <f t="shared" si="9"/>
        <v>831W</v>
      </c>
      <c r="AF12" s="555"/>
      <c r="AG12" s="556"/>
      <c r="AH12" s="116">
        <v>11</v>
      </c>
      <c r="AI12" s="122">
        <v>125</v>
      </c>
      <c r="AJ12" s="1" t="s">
        <v>1355</v>
      </c>
      <c r="AK12" s="1">
        <v>309407</v>
      </c>
      <c r="AL12" s="1" t="s">
        <v>115</v>
      </c>
      <c r="AM12" s="113"/>
      <c r="AN12" s="270">
        <v>106</v>
      </c>
      <c r="AO12"/>
      <c r="AP12" s="1">
        <v>11</v>
      </c>
      <c r="AQ12" s="1">
        <v>104</v>
      </c>
      <c r="AR12" s="6" t="s">
        <v>1197</v>
      </c>
      <c r="AS12" s="6">
        <v>309250</v>
      </c>
      <c r="AT12" s="6" t="s">
        <v>115</v>
      </c>
      <c r="AV12" s="242">
        <v>949</v>
      </c>
      <c r="AX12" s="1">
        <f t="shared" si="2"/>
        <v>1</v>
      </c>
      <c r="AY12" s="1" t="str">
        <f>IF(COUNTIF($AX$2:AX12,1)&gt;$AG$1,"",IF(AX12="","",E12))</f>
        <v>218</v>
      </c>
      <c r="BA12" s="243"/>
      <c r="BB12" s="243"/>
      <c r="BC12" s="243"/>
      <c r="BD12" s="1"/>
      <c r="BE12" s="1"/>
      <c r="BF12" s="1"/>
      <c r="BM12" s="138" t="str">
        <f t="shared" si="3"/>
        <v xml:space="preserve">   </v>
      </c>
      <c r="BN12" s="42">
        <f t="shared" si="4"/>
        <v>11120</v>
      </c>
      <c r="BS12" s="6">
        <v>9553</v>
      </c>
      <c r="BT12" s="6" t="s">
        <v>902</v>
      </c>
      <c r="BX12" s="54"/>
    </row>
    <row r="13" spans="1:76" ht="14.25">
      <c r="A13" s="55">
        <v>11123</v>
      </c>
      <c r="B13" s="36" t="s">
        <v>82</v>
      </c>
      <c r="C13" s="36" t="s">
        <v>47</v>
      </c>
      <c r="D13" s="36" t="s">
        <v>906</v>
      </c>
      <c r="E13" s="36" t="s">
        <v>1128</v>
      </c>
      <c r="F13" s="36" t="s">
        <v>1129</v>
      </c>
      <c r="G13" s="36" t="s">
        <v>85</v>
      </c>
      <c r="H13" s="36" t="s">
        <v>58</v>
      </c>
      <c r="I13" s="1" t="s">
        <v>85</v>
      </c>
      <c r="J13" s="36" t="s">
        <v>1146</v>
      </c>
      <c r="K13" s="1" t="str">
        <f t="shared" si="5"/>
        <v/>
      </c>
      <c r="L13" s="1" t="str">
        <f t="shared" si="10"/>
        <v/>
      </c>
      <c r="M13" s="94">
        <v>8</v>
      </c>
      <c r="N13" s="36" t="s">
        <v>1663</v>
      </c>
      <c r="O13" s="95">
        <v>309715</v>
      </c>
      <c r="P13" s="36"/>
      <c r="Q13" s="110" t="str">
        <f t="shared" si="6"/>
        <v>Sport</v>
      </c>
      <c r="R13" s="1" t="str">
        <f t="shared" si="7"/>
        <v/>
      </c>
      <c r="S13" s="1">
        <f>IF(A13&gt;0,COUNT(A$2:A13),"")</f>
        <v>12</v>
      </c>
      <c r="T13" s="1" t="str">
        <f t="shared" si="8"/>
        <v xml:space="preserve">ASV70L-RETNKX </v>
      </c>
      <c r="U13" s="1" t="str">
        <f t="shared" si="0"/>
        <v xml:space="preserve">   </v>
      </c>
      <c r="V13" s="111" t="str">
        <f t="shared" si="1"/>
        <v/>
      </c>
      <c r="AA13" s="1">
        <v>17991</v>
      </c>
      <c r="AB13" s="1" t="s">
        <v>244</v>
      </c>
      <c r="AD13" s="1" t="str">
        <f t="shared" si="9"/>
        <v>664W</v>
      </c>
      <c r="AF13" s="555"/>
      <c r="AG13" s="556"/>
      <c r="AH13" s="116">
        <v>12</v>
      </c>
      <c r="AI13" s="122">
        <v>126</v>
      </c>
      <c r="AJ13" s="1" t="s">
        <v>1356</v>
      </c>
      <c r="AK13" s="1">
        <v>309408</v>
      </c>
      <c r="AL13" s="1" t="s">
        <v>930</v>
      </c>
      <c r="AN13" s="270">
        <v>107</v>
      </c>
      <c r="AP13" s="1">
        <v>12</v>
      </c>
      <c r="AQ13" s="1">
        <v>105</v>
      </c>
      <c r="AR13" s="1" t="s">
        <v>1198</v>
      </c>
      <c r="AS13" s="1">
        <v>309251</v>
      </c>
      <c r="AT13" s="1" t="s">
        <v>930</v>
      </c>
      <c r="AV13" s="241">
        <v>950</v>
      </c>
      <c r="AX13" s="1">
        <f t="shared" si="2"/>
        <v>1</v>
      </c>
      <c r="AY13" s="1" t="str">
        <f>IF(COUNTIF($AX$2:AX13,1)&gt;$AG$1,"",IF(AX13="","",E13))</f>
        <v>2PS</v>
      </c>
      <c r="BM13" s="138" t="str">
        <f t="shared" si="3"/>
        <v xml:space="preserve">   </v>
      </c>
      <c r="BN13" s="42">
        <f t="shared" si="4"/>
        <v>11123</v>
      </c>
      <c r="BS13" s="1">
        <v>9566</v>
      </c>
      <c r="BT13" s="1" t="s">
        <v>902</v>
      </c>
      <c r="BX13" s="36"/>
    </row>
    <row r="14" spans="1:76" ht="14.25">
      <c r="A14" s="55">
        <v>11134</v>
      </c>
      <c r="B14" s="36" t="s">
        <v>1158</v>
      </c>
      <c r="C14" s="36" t="s">
        <v>1150</v>
      </c>
      <c r="D14" s="36" t="s">
        <v>916</v>
      </c>
      <c r="E14" s="36" t="s">
        <v>1128</v>
      </c>
      <c r="F14" s="36" t="s">
        <v>1154</v>
      </c>
      <c r="G14" s="36" t="s">
        <v>894</v>
      </c>
      <c r="H14" s="36" t="s">
        <v>58</v>
      </c>
      <c r="I14" s="1" t="s">
        <v>85</v>
      </c>
      <c r="J14" s="36" t="s">
        <v>1146</v>
      </c>
      <c r="K14" s="1" t="str">
        <f t="shared" si="5"/>
        <v/>
      </c>
      <c r="L14" s="1" t="str">
        <f t="shared" si="10"/>
        <v/>
      </c>
      <c r="M14" s="94">
        <v>9</v>
      </c>
      <c r="N14" s="36" t="s">
        <v>1664</v>
      </c>
      <c r="O14" s="95">
        <v>309716</v>
      </c>
      <c r="P14" s="36"/>
      <c r="Q14" s="110" t="str">
        <f t="shared" si="6"/>
        <v/>
      </c>
      <c r="R14" s="1" t="str">
        <f t="shared" si="7"/>
        <v>CVT</v>
      </c>
      <c r="S14" s="1">
        <f>IF(A14&gt;0,COUNT(A$2:A14),"")</f>
        <v>13</v>
      </c>
      <c r="T14" s="1" t="str">
        <f t="shared" si="8"/>
        <v>MXAA54L-RNXMBX</v>
      </c>
      <c r="U14" s="1" t="str">
        <f t="shared" si="0"/>
        <v>CVT</v>
      </c>
      <c r="V14" s="111" t="str">
        <f t="shared" si="1"/>
        <v/>
      </c>
      <c r="AA14" s="1">
        <v>29106</v>
      </c>
      <c r="AB14" s="1" t="s">
        <v>244</v>
      </c>
      <c r="AD14" s="1" t="str">
        <f t="shared" si="9"/>
        <v>831W</v>
      </c>
      <c r="AF14" s="555"/>
      <c r="AG14" s="556"/>
      <c r="AH14" s="116">
        <v>13</v>
      </c>
      <c r="AI14" s="122">
        <v>127</v>
      </c>
      <c r="AJ14" s="1" t="s">
        <v>1357</v>
      </c>
      <c r="AK14" s="1">
        <v>309409</v>
      </c>
      <c r="AL14" s="1" t="s">
        <v>115</v>
      </c>
      <c r="AN14" s="270">
        <v>108</v>
      </c>
      <c r="AP14" s="1">
        <v>13</v>
      </c>
      <c r="AQ14" s="1">
        <v>106</v>
      </c>
      <c r="AR14" s="1" t="s">
        <v>1199</v>
      </c>
      <c r="AS14" s="1">
        <v>309252</v>
      </c>
      <c r="AT14" s="1" t="s">
        <v>115</v>
      </c>
      <c r="AV14" s="241">
        <v>951</v>
      </c>
      <c r="AX14" s="1">
        <f t="shared" si="2"/>
        <v>1</v>
      </c>
      <c r="AY14" s="1" t="str">
        <f>IF(COUNTIF($AX$2:AX14,1)&gt;$AG$1,"",IF(AX14="","",E14))</f>
        <v>2PS</v>
      </c>
      <c r="BA14" s="567" t="s">
        <v>158</v>
      </c>
      <c r="BB14" s="567"/>
      <c r="BC14" s="567"/>
      <c r="BD14" s="583" t="s">
        <v>159</v>
      </c>
      <c r="BF14" s="583" t="s">
        <v>160</v>
      </c>
      <c r="BM14" s="138" t="str">
        <f t="shared" si="3"/>
        <v xml:space="preserve">   </v>
      </c>
      <c r="BN14" s="42">
        <f t="shared" si="4"/>
        <v>11134</v>
      </c>
      <c r="BS14" s="1">
        <v>9571</v>
      </c>
      <c r="BT14" s="1" t="s">
        <v>902</v>
      </c>
      <c r="BX14" s="36"/>
    </row>
    <row r="15" spans="1:76" ht="14.25">
      <c r="A15" s="55">
        <v>11144</v>
      </c>
      <c r="B15" s="36" t="s">
        <v>82</v>
      </c>
      <c r="C15" s="36" t="s">
        <v>129</v>
      </c>
      <c r="D15" s="36" t="s">
        <v>906</v>
      </c>
      <c r="E15" s="36" t="s">
        <v>1128</v>
      </c>
      <c r="F15" s="36" t="s">
        <v>1129</v>
      </c>
      <c r="G15" s="36" t="s">
        <v>85</v>
      </c>
      <c r="H15" s="36" t="s">
        <v>58</v>
      </c>
      <c r="I15" s="1" t="s">
        <v>85</v>
      </c>
      <c r="J15" s="36" t="s">
        <v>1146</v>
      </c>
      <c r="K15" s="1" t="str">
        <f t="shared" si="5"/>
        <v/>
      </c>
      <c r="L15" s="1" t="str">
        <f t="shared" si="10"/>
        <v/>
      </c>
      <c r="M15" s="94">
        <v>10</v>
      </c>
      <c r="N15" s="36" t="s">
        <v>1665</v>
      </c>
      <c r="O15" s="95">
        <v>309717</v>
      </c>
      <c r="P15" s="36"/>
      <c r="Q15" s="110" t="str">
        <f t="shared" si="6"/>
        <v>Sport</v>
      </c>
      <c r="R15" s="1" t="str">
        <f t="shared" si="7"/>
        <v/>
      </c>
      <c r="S15" s="1">
        <f>IF(A15&gt;0,COUNT(A$2:A15),"")</f>
        <v>14</v>
      </c>
      <c r="T15" s="1" t="str">
        <f t="shared" si="8"/>
        <v xml:space="preserve">ASV70L-RETNKX </v>
      </c>
      <c r="U15" s="1" t="str">
        <f t="shared" si="0"/>
        <v xml:space="preserve">   </v>
      </c>
      <c r="V15" s="111" t="str">
        <f t="shared" si="1"/>
        <v/>
      </c>
      <c r="AA15" s="1">
        <v>29111</v>
      </c>
      <c r="AB15" s="1" t="s">
        <v>900</v>
      </c>
      <c r="AD15" s="1" t="str">
        <f t="shared" si="9"/>
        <v>664W</v>
      </c>
      <c r="AF15" s="136" t="s">
        <v>114</v>
      </c>
      <c r="AG15" s="136">
        <f>IFERROR(MATCH(AG10,AN:AN,0),"-")</f>
        <v>1001</v>
      </c>
      <c r="AH15" s="116">
        <v>14</v>
      </c>
      <c r="AI15" s="122">
        <v>128</v>
      </c>
      <c r="AJ15" s="1" t="s">
        <v>1358</v>
      </c>
      <c r="AK15" s="1">
        <v>309410</v>
      </c>
      <c r="AL15" s="1" t="s">
        <v>930</v>
      </c>
      <c r="AN15" s="270">
        <v>109</v>
      </c>
      <c r="AP15" s="1">
        <v>14</v>
      </c>
      <c r="AQ15" s="1">
        <v>107</v>
      </c>
      <c r="AR15" s="1" t="s">
        <v>1200</v>
      </c>
      <c r="AS15" s="1">
        <v>309253</v>
      </c>
      <c r="AT15" s="1" t="s">
        <v>930</v>
      </c>
      <c r="AV15" s="241">
        <v>952</v>
      </c>
      <c r="AX15" s="1">
        <f t="shared" si="2"/>
        <v>1</v>
      </c>
      <c r="AY15" s="1" t="str">
        <f>IF(COUNTIF($AX$2:AX15,1)&gt;$AG$1,"",IF(AX15="","",E15))</f>
        <v>2PS</v>
      </c>
      <c r="BA15" s="567"/>
      <c r="BB15" s="567"/>
      <c r="BC15" s="567"/>
      <c r="BD15" s="583"/>
      <c r="BF15" s="583"/>
      <c r="BM15" s="138" t="str">
        <f t="shared" si="3"/>
        <v xml:space="preserve">   </v>
      </c>
      <c r="BN15" s="42">
        <f t="shared" si="4"/>
        <v>11144</v>
      </c>
      <c r="BS15" s="1">
        <v>9575</v>
      </c>
      <c r="BT15" s="1" t="s">
        <v>902</v>
      </c>
      <c r="BX15" s="36"/>
    </row>
    <row r="16" spans="1:76" ht="14.25">
      <c r="A16" s="55">
        <v>11154</v>
      </c>
      <c r="B16" s="36" t="s">
        <v>1158</v>
      </c>
      <c r="C16" s="36" t="s">
        <v>129</v>
      </c>
      <c r="D16" s="36" t="s">
        <v>916</v>
      </c>
      <c r="E16" s="36" t="s">
        <v>1128</v>
      </c>
      <c r="F16" s="36" t="s">
        <v>1154</v>
      </c>
      <c r="G16" s="36" t="s">
        <v>894</v>
      </c>
      <c r="H16" s="36" t="s">
        <v>58</v>
      </c>
      <c r="I16" s="1" t="s">
        <v>85</v>
      </c>
      <c r="J16" s="36" t="s">
        <v>1146</v>
      </c>
      <c r="K16" s="1" t="str">
        <f t="shared" si="5"/>
        <v/>
      </c>
      <c r="L16" s="1" t="str">
        <f t="shared" si="10"/>
        <v/>
      </c>
      <c r="M16" s="94">
        <v>11</v>
      </c>
      <c r="N16" s="36" t="s">
        <v>1666</v>
      </c>
      <c r="O16" s="95">
        <v>309718</v>
      </c>
      <c r="P16" s="36"/>
      <c r="Q16" s="110" t="str">
        <f t="shared" si="6"/>
        <v/>
      </c>
      <c r="R16" s="1" t="str">
        <f t="shared" si="7"/>
        <v>CVT</v>
      </c>
      <c r="S16" s="1">
        <f>IF(A16&gt;0,COUNT(A$2:A16),"")</f>
        <v>15</v>
      </c>
      <c r="T16" s="1" t="str">
        <f t="shared" si="8"/>
        <v>MXAA54L-RNXMBX</v>
      </c>
      <c r="U16" s="1" t="str">
        <f t="shared" si="0"/>
        <v>CVT</v>
      </c>
      <c r="V16" s="111" t="str">
        <f t="shared" si="1"/>
        <v/>
      </c>
      <c r="AA16" s="1">
        <v>29208</v>
      </c>
      <c r="AB16" s="1" t="s">
        <v>893</v>
      </c>
      <c r="AD16" s="1" t="str">
        <f t="shared" si="9"/>
        <v>831W</v>
      </c>
      <c r="AH16" s="116">
        <v>15</v>
      </c>
      <c r="AI16" s="122">
        <v>129</v>
      </c>
      <c r="AJ16" s="1" t="s">
        <v>1359</v>
      </c>
      <c r="AK16" s="1">
        <v>309411</v>
      </c>
      <c r="AL16" s="1" t="s">
        <v>115</v>
      </c>
      <c r="AN16" s="270">
        <v>110</v>
      </c>
      <c r="AP16" s="1">
        <v>15</v>
      </c>
      <c r="AQ16" s="1">
        <v>108</v>
      </c>
      <c r="AR16" s="1" t="s">
        <v>1201</v>
      </c>
      <c r="AS16" s="1">
        <v>309254</v>
      </c>
      <c r="AT16" s="1" t="s">
        <v>115</v>
      </c>
      <c r="AV16" s="241">
        <v>953</v>
      </c>
      <c r="AX16" s="1">
        <f t="shared" si="2"/>
        <v>1</v>
      </c>
      <c r="AY16" s="1" t="str">
        <f>IF(COUNTIF($AX$2:AX16,1)&gt;$AG$1,"",IF(AX16="","",E16))</f>
        <v>2PS</v>
      </c>
      <c r="BA16" s="41" t="s">
        <v>161</v>
      </c>
      <c r="BB16" s="41" t="s">
        <v>162</v>
      </c>
      <c r="BC16" s="41">
        <v>88769</v>
      </c>
      <c r="BD16" s="244" t="s">
        <v>163</v>
      </c>
      <c r="BF16" s="41" t="str">
        <f t="shared" ref="BF16:BF56" si="11">IF(BC16="","",IF(IFERROR(VLOOKUP(BC16,A:C,3,FALSE),"Нет")="Нет","Нет","Да"))</f>
        <v>Нет</v>
      </c>
      <c r="BM16" s="138" t="str">
        <f t="shared" si="3"/>
        <v xml:space="preserve">   </v>
      </c>
      <c r="BN16" s="42">
        <f t="shared" si="4"/>
        <v>11154</v>
      </c>
      <c r="BS16" s="1">
        <v>9581</v>
      </c>
      <c r="BT16" s="1" t="s">
        <v>902</v>
      </c>
      <c r="BX16" s="36"/>
    </row>
    <row r="17" spans="1:76" ht="14.25">
      <c r="A17" s="55">
        <v>11155</v>
      </c>
      <c r="B17" s="36" t="s">
        <v>82</v>
      </c>
      <c r="C17" s="36" t="s">
        <v>44</v>
      </c>
      <c r="D17" s="36" t="s">
        <v>906</v>
      </c>
      <c r="E17" s="36" t="s">
        <v>20</v>
      </c>
      <c r="F17" s="36" t="s">
        <v>1148</v>
      </c>
      <c r="G17" s="36" t="s">
        <v>85</v>
      </c>
      <c r="H17" s="36" t="s">
        <v>58</v>
      </c>
      <c r="I17" s="1">
        <v>83</v>
      </c>
      <c r="J17" s="36" t="s">
        <v>1146</v>
      </c>
      <c r="K17" s="1" t="str">
        <f t="shared" si="5"/>
        <v/>
      </c>
      <c r="L17" s="1" t="str">
        <f t="shared" si="10"/>
        <v/>
      </c>
      <c r="M17" s="94">
        <v>12</v>
      </c>
      <c r="N17" s="36" t="s">
        <v>1667</v>
      </c>
      <c r="O17" s="95">
        <v>309719</v>
      </c>
      <c r="P17" s="36"/>
      <c r="Q17" s="110" t="str">
        <f t="shared" si="6"/>
        <v>Standard</v>
      </c>
      <c r="R17" s="1" t="str">
        <f t="shared" si="7"/>
        <v/>
      </c>
      <c r="S17" s="1">
        <f>IF(A17&gt;0,COUNT(A$2:A17),"")</f>
        <v>16</v>
      </c>
      <c r="T17" s="1" t="str">
        <f t="shared" si="8"/>
        <v xml:space="preserve">ASV70L-RETNKX </v>
      </c>
      <c r="U17" s="1" t="str">
        <f t="shared" si="0"/>
        <v xml:space="preserve">   </v>
      </c>
      <c r="V17" s="111" t="str">
        <f t="shared" si="1"/>
        <v/>
      </c>
      <c r="AA17" s="1">
        <v>29433</v>
      </c>
      <c r="AB17" s="1" t="s">
        <v>246</v>
      </c>
      <c r="AD17" s="1" t="str">
        <f t="shared" si="9"/>
        <v>664W</v>
      </c>
      <c r="AH17" s="116">
        <v>16</v>
      </c>
      <c r="AI17" s="122">
        <v>130</v>
      </c>
      <c r="AJ17" s="1" t="s">
        <v>1360</v>
      </c>
      <c r="AK17" s="1">
        <v>309412</v>
      </c>
      <c r="AL17" s="1" t="s">
        <v>930</v>
      </c>
      <c r="AN17" s="270">
        <v>111</v>
      </c>
      <c r="AP17" s="1">
        <v>16</v>
      </c>
      <c r="AQ17" s="1">
        <v>109</v>
      </c>
      <c r="AR17" s="1" t="s">
        <v>1202</v>
      </c>
      <c r="AS17" s="1">
        <v>309255</v>
      </c>
      <c r="AT17" s="1" t="s">
        <v>930</v>
      </c>
      <c r="AV17" s="241">
        <v>954</v>
      </c>
      <c r="AX17" s="1" t="str">
        <f t="shared" si="2"/>
        <v/>
      </c>
      <c r="AY17" s="1" t="str">
        <f>IF(COUNTIF($AX$2:AX17,1)&gt;$AG$1,"",IF(AX17="","",E17))</f>
        <v/>
      </c>
      <c r="BA17" s="41" t="s">
        <v>164</v>
      </c>
      <c r="BB17" s="41" t="s">
        <v>165</v>
      </c>
      <c r="BC17" s="41">
        <v>90449</v>
      </c>
      <c r="BD17" s="41"/>
      <c r="BF17" s="41" t="str">
        <f t="shared" si="11"/>
        <v>Нет</v>
      </c>
      <c r="BM17" s="138">
        <f t="shared" si="3"/>
        <v>83</v>
      </c>
      <c r="BN17" s="42">
        <f t="shared" si="4"/>
        <v>11155</v>
      </c>
      <c r="BS17" s="1">
        <v>9582</v>
      </c>
      <c r="BT17" s="1" t="s">
        <v>902</v>
      </c>
      <c r="BX17" s="36"/>
    </row>
    <row r="18" spans="1:76" ht="14.25">
      <c r="A18" s="55">
        <v>11157</v>
      </c>
      <c r="B18" s="36" t="s">
        <v>1158</v>
      </c>
      <c r="C18" s="36" t="s">
        <v>44</v>
      </c>
      <c r="D18" s="36" t="s">
        <v>909</v>
      </c>
      <c r="E18" s="36" t="s">
        <v>80</v>
      </c>
      <c r="F18" s="36" t="s">
        <v>904</v>
      </c>
      <c r="G18" s="36" t="s">
        <v>921</v>
      </c>
      <c r="H18" s="36" t="s">
        <v>58</v>
      </c>
      <c r="I18" s="1">
        <v>82</v>
      </c>
      <c r="J18" s="36" t="s">
        <v>1146</v>
      </c>
      <c r="K18" s="1" t="str">
        <f t="shared" si="5"/>
        <v/>
      </c>
      <c r="L18" s="1" t="str">
        <f t="shared" si="10"/>
        <v/>
      </c>
      <c r="M18" s="94">
        <v>13</v>
      </c>
      <c r="N18" s="36" t="s">
        <v>1668</v>
      </c>
      <c r="O18" s="95">
        <v>309720</v>
      </c>
      <c r="P18" s="36"/>
      <c r="Q18" s="110" t="str">
        <f t="shared" si="6"/>
        <v/>
      </c>
      <c r="R18" s="1" t="str">
        <f t="shared" si="7"/>
        <v>Auto</v>
      </c>
      <c r="S18" s="1">
        <f>IF(A18&gt;0,COUNT(A$2:A18),"")</f>
        <v>17</v>
      </c>
      <c r="T18" s="1" t="str">
        <f t="shared" si="8"/>
        <v>AXAA54L-RNZGBX</v>
      </c>
      <c r="U18" s="1" t="str">
        <f t="shared" si="0"/>
        <v>8AT</v>
      </c>
      <c r="V18" s="111" t="str">
        <f t="shared" si="1"/>
        <v/>
      </c>
      <c r="AA18" s="1">
        <v>29434</v>
      </c>
      <c r="AB18" s="1" t="s">
        <v>43</v>
      </c>
      <c r="AD18" s="1" t="str">
        <f t="shared" si="9"/>
        <v>831W</v>
      </c>
      <c r="AH18" s="116">
        <v>17</v>
      </c>
      <c r="AI18" s="122">
        <v>131</v>
      </c>
      <c r="AJ18" s="1" t="s">
        <v>1361</v>
      </c>
      <c r="AK18" s="1">
        <v>309413</v>
      </c>
      <c r="AL18" s="1" t="s">
        <v>930</v>
      </c>
      <c r="AN18" s="270">
        <v>112</v>
      </c>
      <c r="AP18" s="1">
        <v>17</v>
      </c>
      <c r="AQ18" s="1">
        <v>110</v>
      </c>
      <c r="AR18" s="1" t="s">
        <v>1203</v>
      </c>
      <c r="AS18" s="1">
        <v>309256</v>
      </c>
      <c r="AT18" s="1" t="s">
        <v>930</v>
      </c>
      <c r="AV18" s="241">
        <v>955</v>
      </c>
      <c r="AX18" s="1" t="str">
        <f t="shared" si="2"/>
        <v/>
      </c>
      <c r="AY18" s="1" t="str">
        <f>IF(COUNTIF($AX$2:AX18,1)&gt;$AG$1,"",IF(AX18="","",E18))</f>
        <v/>
      </c>
      <c r="BA18" s="41" t="s">
        <v>166</v>
      </c>
      <c r="BB18" s="41" t="s">
        <v>167</v>
      </c>
      <c r="BC18" s="41">
        <v>90799</v>
      </c>
      <c r="BD18" s="41"/>
      <c r="BF18" s="41" t="str">
        <f t="shared" si="11"/>
        <v>Нет</v>
      </c>
      <c r="BM18" s="138">
        <f t="shared" si="3"/>
        <v>82</v>
      </c>
      <c r="BN18" s="42">
        <f t="shared" si="4"/>
        <v>11157</v>
      </c>
      <c r="BS18" s="1">
        <v>9587</v>
      </c>
      <c r="BT18" s="1" t="s">
        <v>902</v>
      </c>
      <c r="BX18" s="36"/>
    </row>
    <row r="19" spans="1:76" ht="14.25">
      <c r="A19" s="55">
        <v>11162</v>
      </c>
      <c r="B19" s="36" t="s">
        <v>82</v>
      </c>
      <c r="C19" s="36" t="s">
        <v>44</v>
      </c>
      <c r="D19" s="36" t="s">
        <v>908</v>
      </c>
      <c r="E19" s="36" t="s">
        <v>10</v>
      </c>
      <c r="F19" s="36" t="s">
        <v>1175</v>
      </c>
      <c r="G19" s="36" t="s">
        <v>85</v>
      </c>
      <c r="H19" s="36" t="s">
        <v>58</v>
      </c>
      <c r="I19" s="1">
        <v>90</v>
      </c>
      <c r="J19" s="36" t="s">
        <v>1146</v>
      </c>
      <c r="K19" s="1" t="str">
        <f t="shared" si="5"/>
        <v/>
      </c>
      <c r="L19" s="1" t="str">
        <f t="shared" si="10"/>
        <v/>
      </c>
      <c r="M19" s="94">
        <v>14</v>
      </c>
      <c r="N19" s="36" t="s">
        <v>1669</v>
      </c>
      <c r="O19" s="95">
        <v>309721</v>
      </c>
      <c r="P19" s="36"/>
      <c r="Q19" s="110" t="str">
        <f t="shared" si="6"/>
        <v>Rich</v>
      </c>
      <c r="R19" s="1" t="str">
        <f t="shared" si="7"/>
        <v/>
      </c>
      <c r="S19" s="1">
        <f>IF(A19&gt;0,COUNT(A$2:A19),"")</f>
        <v>18</v>
      </c>
      <c r="T19" s="1" t="str">
        <f t="shared" si="8"/>
        <v xml:space="preserve">GSV70L-REZGBX </v>
      </c>
      <c r="U19" s="1" t="str">
        <f t="shared" si="0"/>
        <v xml:space="preserve">   </v>
      </c>
      <c r="V19" s="111" t="str">
        <f t="shared" si="1"/>
        <v/>
      </c>
      <c r="AA19" s="1">
        <v>29628</v>
      </c>
      <c r="AB19" s="1" t="s">
        <v>895</v>
      </c>
      <c r="AD19" s="1" t="str">
        <f t="shared" si="9"/>
        <v>664W</v>
      </c>
      <c r="AH19" s="116">
        <v>18</v>
      </c>
      <c r="AI19" s="122">
        <v>132</v>
      </c>
      <c r="AJ19" s="1" t="s">
        <v>1362</v>
      </c>
      <c r="AK19" s="1">
        <v>309414</v>
      </c>
      <c r="AL19" s="1" t="s">
        <v>115</v>
      </c>
      <c r="AN19" s="270">
        <v>113</v>
      </c>
      <c r="AP19" s="1">
        <v>18</v>
      </c>
      <c r="AQ19" s="1">
        <v>111</v>
      </c>
      <c r="AR19" s="1" t="s">
        <v>1204</v>
      </c>
      <c r="AS19" s="1">
        <v>309257</v>
      </c>
      <c r="AT19" s="1" t="s">
        <v>115</v>
      </c>
      <c r="AV19" s="241">
        <v>956</v>
      </c>
      <c r="AX19" s="1" t="str">
        <f t="shared" si="2"/>
        <v/>
      </c>
      <c r="AY19" s="1" t="str">
        <f>IF(COUNTIF($AX$2:AX19,1)&gt;$AG$1,"",IF(AX19="","",E19))</f>
        <v/>
      </c>
      <c r="BA19" s="41" t="s">
        <v>168</v>
      </c>
      <c r="BB19" s="41" t="s">
        <v>169</v>
      </c>
      <c r="BC19" s="41">
        <v>91147</v>
      </c>
      <c r="BD19" s="41"/>
      <c r="BF19" s="41" t="str">
        <f t="shared" si="11"/>
        <v>Нет</v>
      </c>
      <c r="BM19" s="138">
        <f t="shared" si="3"/>
        <v>90</v>
      </c>
      <c r="BN19" s="42">
        <f t="shared" si="4"/>
        <v>11162</v>
      </c>
      <c r="BS19" s="1">
        <v>9592</v>
      </c>
      <c r="BT19" s="1" t="s">
        <v>902</v>
      </c>
      <c r="BX19" s="36"/>
    </row>
    <row r="20" spans="1:76" ht="14.25">
      <c r="A20" s="55">
        <v>11164</v>
      </c>
      <c r="B20" s="36" t="s">
        <v>82</v>
      </c>
      <c r="C20" s="36" t="s">
        <v>44</v>
      </c>
      <c r="D20" s="36" t="s">
        <v>906</v>
      </c>
      <c r="E20" s="36" t="s">
        <v>80</v>
      </c>
      <c r="F20" s="36" t="s">
        <v>87</v>
      </c>
      <c r="G20" s="36" t="s">
        <v>85</v>
      </c>
      <c r="H20" s="36" t="s">
        <v>58</v>
      </c>
      <c r="I20" s="1">
        <v>81</v>
      </c>
      <c r="J20" s="36" t="s">
        <v>1146</v>
      </c>
      <c r="K20" s="1" t="str">
        <f t="shared" si="5"/>
        <v/>
      </c>
      <c r="L20" s="1" t="str">
        <f t="shared" si="10"/>
        <v/>
      </c>
      <c r="M20" s="94">
        <v>15</v>
      </c>
      <c r="N20" s="36" t="s">
        <v>1670</v>
      </c>
      <c r="O20" s="95">
        <v>309722</v>
      </c>
      <c r="P20" s="36"/>
      <c r="Q20" s="110" t="str">
        <f t="shared" si="6"/>
        <v>Standard</v>
      </c>
      <c r="R20" s="1" t="str">
        <f t="shared" si="7"/>
        <v/>
      </c>
      <c r="S20" s="1">
        <f>IF(A20&gt;0,COUNT(A$2:A20),"")</f>
        <v>19</v>
      </c>
      <c r="T20" s="1" t="str">
        <f t="shared" si="8"/>
        <v xml:space="preserve">ASV70L-RETNKX </v>
      </c>
      <c r="U20" s="1" t="str">
        <f t="shared" si="0"/>
        <v xml:space="preserve">   </v>
      </c>
      <c r="V20" s="111" t="str">
        <f t="shared" si="1"/>
        <v/>
      </c>
      <c r="AA20" s="1">
        <v>29735</v>
      </c>
      <c r="AB20" s="1" t="s">
        <v>897</v>
      </c>
      <c r="AD20" s="1" t="str">
        <f t="shared" si="9"/>
        <v>664W</v>
      </c>
      <c r="AH20" s="116">
        <v>19</v>
      </c>
      <c r="AI20" s="122">
        <v>133</v>
      </c>
      <c r="AJ20" s="1" t="s">
        <v>1363</v>
      </c>
      <c r="AK20" s="1">
        <v>309415</v>
      </c>
      <c r="AL20" s="1" t="s">
        <v>930</v>
      </c>
      <c r="AN20" s="270">
        <v>114</v>
      </c>
      <c r="AP20" s="1">
        <v>19</v>
      </c>
      <c r="AQ20" s="1">
        <v>112</v>
      </c>
      <c r="AR20" s="1" t="s">
        <v>1205</v>
      </c>
      <c r="AS20" s="1">
        <v>309258</v>
      </c>
      <c r="AT20" s="1" t="s">
        <v>930</v>
      </c>
      <c r="AV20" s="241">
        <v>957</v>
      </c>
      <c r="AX20" s="1" t="str">
        <f t="shared" si="2"/>
        <v/>
      </c>
      <c r="AY20" s="1" t="str">
        <f>IF(COUNTIF($AX$2:AX20,1)&gt;$AG$1,"",IF(AX20="","",E20))</f>
        <v/>
      </c>
      <c r="BA20" s="41" t="s">
        <v>170</v>
      </c>
      <c r="BB20" s="41" t="s">
        <v>171</v>
      </c>
      <c r="BC20" s="41">
        <v>91498</v>
      </c>
      <c r="BD20" s="41"/>
      <c r="BF20" s="41" t="str">
        <f t="shared" si="11"/>
        <v>Нет</v>
      </c>
      <c r="BM20" s="138">
        <f t="shared" si="3"/>
        <v>81</v>
      </c>
      <c r="BN20" s="42">
        <f t="shared" si="4"/>
        <v>11164</v>
      </c>
      <c r="BS20" s="1">
        <v>9596</v>
      </c>
      <c r="BT20" s="1" t="s">
        <v>902</v>
      </c>
      <c r="BX20" s="36"/>
    </row>
    <row r="21" spans="1:76" ht="14.25">
      <c r="A21" s="55">
        <v>11165</v>
      </c>
      <c r="B21" s="36" t="s">
        <v>1158</v>
      </c>
      <c r="C21" s="36" t="s">
        <v>81</v>
      </c>
      <c r="D21" s="36" t="s">
        <v>915</v>
      </c>
      <c r="E21" s="36" t="s">
        <v>20</v>
      </c>
      <c r="F21" s="36" t="s">
        <v>903</v>
      </c>
      <c r="G21" s="36" t="s">
        <v>894</v>
      </c>
      <c r="H21" s="36" t="s">
        <v>58</v>
      </c>
      <c r="I21" s="1">
        <v>77</v>
      </c>
      <c r="J21" s="36" t="s">
        <v>1146</v>
      </c>
      <c r="K21" s="1" t="str">
        <f t="shared" si="5"/>
        <v/>
      </c>
      <c r="L21" s="1" t="str">
        <f t="shared" si="10"/>
        <v/>
      </c>
      <c r="M21" s="94">
        <v>16</v>
      </c>
      <c r="N21" s="36" t="s">
        <v>1671</v>
      </c>
      <c r="O21" s="95">
        <v>309723</v>
      </c>
      <c r="P21" s="36"/>
      <c r="Q21" s="110" t="str">
        <f t="shared" si="6"/>
        <v/>
      </c>
      <c r="R21" s="1" t="str">
        <f t="shared" si="7"/>
        <v>CVT</v>
      </c>
      <c r="S21" s="1">
        <f>IF(A21&gt;0,COUNT(A$2:A21),"")</f>
        <v>20</v>
      </c>
      <c r="T21" s="1" t="str">
        <f t="shared" si="8"/>
        <v>MXAA54L-RNXGBX</v>
      </c>
      <c r="U21" s="1" t="str">
        <f t="shared" si="0"/>
        <v>CVT</v>
      </c>
      <c r="V21" s="111" t="str">
        <f t="shared" si="1"/>
        <v/>
      </c>
      <c r="AA21" s="1">
        <v>29737</v>
      </c>
      <c r="AB21" s="1" t="s">
        <v>131</v>
      </c>
      <c r="AD21" s="1" t="str">
        <f t="shared" si="9"/>
        <v>831W</v>
      </c>
      <c r="AH21" s="116">
        <v>20</v>
      </c>
      <c r="AI21" s="122">
        <v>134</v>
      </c>
      <c r="AJ21" s="1" t="s">
        <v>1364</v>
      </c>
      <c r="AK21" s="1">
        <v>309416</v>
      </c>
      <c r="AL21" s="1" t="s">
        <v>115</v>
      </c>
      <c r="AN21" s="270">
        <v>115</v>
      </c>
      <c r="AP21" s="1">
        <v>20</v>
      </c>
      <c r="AQ21" s="1">
        <v>113</v>
      </c>
      <c r="AR21" s="1" t="s">
        <v>1206</v>
      </c>
      <c r="AS21" s="1">
        <v>309259</v>
      </c>
      <c r="AT21" s="1" t="s">
        <v>115</v>
      </c>
      <c r="AV21" s="241">
        <v>958</v>
      </c>
      <c r="AX21" s="1" t="str">
        <f t="shared" si="2"/>
        <v/>
      </c>
      <c r="AY21" s="1" t="str">
        <f>IF(COUNTIF($AX$2:AX21,1)&gt;$AG$1,"",IF(AX21="","",E21))</f>
        <v/>
      </c>
      <c r="BA21" s="41" t="s">
        <v>172</v>
      </c>
      <c r="BB21" s="41" t="s">
        <v>173</v>
      </c>
      <c r="BC21" s="41">
        <v>91843</v>
      </c>
      <c r="BD21" s="41"/>
      <c r="BF21" s="41" t="str">
        <f t="shared" si="11"/>
        <v>Нет</v>
      </c>
      <c r="BM21" s="138">
        <f t="shared" si="3"/>
        <v>77</v>
      </c>
      <c r="BN21" s="42">
        <f t="shared" si="4"/>
        <v>11165</v>
      </c>
      <c r="BS21" s="1">
        <v>9598</v>
      </c>
      <c r="BT21" s="1" t="s">
        <v>902</v>
      </c>
      <c r="BX21" s="36"/>
    </row>
    <row r="22" spans="1:76" ht="14.25">
      <c r="A22" s="55">
        <v>11166</v>
      </c>
      <c r="B22" s="36" t="s">
        <v>1158</v>
      </c>
      <c r="C22" s="36" t="s">
        <v>46</v>
      </c>
      <c r="D22" s="36" t="s">
        <v>910</v>
      </c>
      <c r="E22" s="36" t="s">
        <v>1128</v>
      </c>
      <c r="F22" s="36" t="s">
        <v>1164</v>
      </c>
      <c r="G22" s="36" t="s">
        <v>921</v>
      </c>
      <c r="H22" s="36" t="s">
        <v>58</v>
      </c>
      <c r="I22" s="1" t="s">
        <v>85</v>
      </c>
      <c r="J22" s="36" t="s">
        <v>1146</v>
      </c>
      <c r="K22" s="1" t="str">
        <f t="shared" si="5"/>
        <v/>
      </c>
      <c r="L22" s="1" t="str">
        <f t="shared" si="10"/>
        <v/>
      </c>
      <c r="M22" s="94">
        <v>17</v>
      </c>
      <c r="N22" s="36" t="s">
        <v>1672</v>
      </c>
      <c r="O22" s="95">
        <v>309724</v>
      </c>
      <c r="P22" s="36"/>
      <c r="Q22" s="110" t="str">
        <f t="shared" si="6"/>
        <v/>
      </c>
      <c r="R22" s="1" t="str">
        <f t="shared" si="7"/>
        <v>Auto</v>
      </c>
      <c r="S22" s="1">
        <f>IF(A22&gt;0,COUNT(A$2:A22),"")</f>
        <v>21</v>
      </c>
      <c r="T22" s="1" t="str">
        <f t="shared" si="8"/>
        <v>AXAA54L-RNZMBX</v>
      </c>
      <c r="U22" s="1" t="str">
        <f t="shared" si="0"/>
        <v>8AT</v>
      </c>
      <c r="V22" s="111" t="str">
        <f t="shared" si="1"/>
        <v/>
      </c>
      <c r="AA22" s="1">
        <v>29738</v>
      </c>
      <c r="AB22" s="1" t="s">
        <v>131</v>
      </c>
      <c r="AD22" s="1" t="str">
        <f t="shared" si="9"/>
        <v>831W</v>
      </c>
      <c r="AH22" s="116">
        <v>21</v>
      </c>
      <c r="AI22" s="122">
        <v>135</v>
      </c>
      <c r="AJ22" s="1" t="s">
        <v>1365</v>
      </c>
      <c r="AK22" s="1">
        <v>309417</v>
      </c>
      <c r="AL22" s="1" t="s">
        <v>930</v>
      </c>
      <c r="AN22" s="270">
        <v>116</v>
      </c>
      <c r="AP22" s="1">
        <v>21</v>
      </c>
      <c r="AQ22" s="1">
        <v>114</v>
      </c>
      <c r="AR22" s="1" t="s">
        <v>1207</v>
      </c>
      <c r="AS22" s="1">
        <v>309260</v>
      </c>
      <c r="AT22" s="1" t="s">
        <v>930</v>
      </c>
      <c r="AV22" s="241">
        <v>959</v>
      </c>
      <c r="AX22" s="1">
        <f t="shared" si="2"/>
        <v>1</v>
      </c>
      <c r="AY22" s="1" t="str">
        <f>IF(COUNTIF($AX$2:AX22,1)&gt;$AG$1,"",IF(AX22="","",E22))</f>
        <v>2PS</v>
      </c>
      <c r="BA22" s="41" t="s">
        <v>174</v>
      </c>
      <c r="BB22" s="41" t="s">
        <v>175</v>
      </c>
      <c r="BC22" s="41">
        <v>92116</v>
      </c>
      <c r="BD22" s="41"/>
      <c r="BF22" s="41" t="str">
        <f t="shared" si="11"/>
        <v>Нет</v>
      </c>
      <c r="BM22" s="138" t="str">
        <f t="shared" si="3"/>
        <v xml:space="preserve">   </v>
      </c>
      <c r="BN22" s="42">
        <f t="shared" si="4"/>
        <v>11166</v>
      </c>
      <c r="BS22" s="1">
        <v>9600</v>
      </c>
      <c r="BT22" s="1" t="s">
        <v>902</v>
      </c>
      <c r="BX22" s="36"/>
    </row>
    <row r="23" spans="1:76" ht="14.25">
      <c r="A23" s="55">
        <v>11167</v>
      </c>
      <c r="B23" s="36" t="s">
        <v>82</v>
      </c>
      <c r="C23" s="36" t="s">
        <v>44</v>
      </c>
      <c r="D23" s="36" t="s">
        <v>906</v>
      </c>
      <c r="E23" s="36" t="s">
        <v>80</v>
      </c>
      <c r="F23" s="36" t="s">
        <v>86</v>
      </c>
      <c r="G23" s="36" t="s">
        <v>85</v>
      </c>
      <c r="H23" s="36" t="s">
        <v>58</v>
      </c>
      <c r="I23" s="1">
        <v>85</v>
      </c>
      <c r="J23" s="36" t="s">
        <v>1146</v>
      </c>
      <c r="K23" s="1" t="str">
        <f t="shared" si="5"/>
        <v/>
      </c>
      <c r="L23" s="1" t="str">
        <f t="shared" si="10"/>
        <v/>
      </c>
      <c r="M23" s="94">
        <v>18</v>
      </c>
      <c r="N23" s="36" t="s">
        <v>1673</v>
      </c>
      <c r="O23" s="95">
        <v>309725</v>
      </c>
      <c r="P23" s="36"/>
      <c r="Q23" s="110" t="str">
        <f t="shared" si="6"/>
        <v>Standard</v>
      </c>
      <c r="R23" s="1" t="str">
        <f t="shared" si="7"/>
        <v/>
      </c>
      <c r="S23" s="1">
        <f>IF(A23&gt;0,COUNT(A$2:A23),"")</f>
        <v>22</v>
      </c>
      <c r="T23" s="1" t="str">
        <f t="shared" si="8"/>
        <v xml:space="preserve">ASV70L-RETNKX </v>
      </c>
      <c r="U23" s="1" t="str">
        <f t="shared" si="0"/>
        <v xml:space="preserve">   </v>
      </c>
      <c r="V23" s="111" t="str">
        <f t="shared" si="1"/>
        <v/>
      </c>
      <c r="AA23" s="1">
        <v>29740</v>
      </c>
      <c r="AB23" s="1" t="s">
        <v>246</v>
      </c>
      <c r="AD23" s="1" t="str">
        <f t="shared" si="9"/>
        <v>664W</v>
      </c>
      <c r="AH23" s="116">
        <v>22</v>
      </c>
      <c r="AI23" s="122">
        <v>136</v>
      </c>
      <c r="AJ23" s="1" t="s">
        <v>1366</v>
      </c>
      <c r="AK23" s="1">
        <v>309418</v>
      </c>
      <c r="AL23" s="1" t="s">
        <v>115</v>
      </c>
      <c r="AN23" s="270">
        <v>117</v>
      </c>
      <c r="AP23" s="1">
        <v>22</v>
      </c>
      <c r="AQ23" s="1">
        <v>115</v>
      </c>
      <c r="AR23" s="1" t="s">
        <v>1208</v>
      </c>
      <c r="AS23" s="1">
        <v>309261</v>
      </c>
      <c r="AT23" s="1" t="s">
        <v>115</v>
      </c>
      <c r="AV23" s="241">
        <v>960</v>
      </c>
      <c r="AX23" s="1" t="str">
        <f t="shared" si="2"/>
        <v/>
      </c>
      <c r="AY23" s="1" t="str">
        <f>IF(COUNTIF($AX$2:AX23,1)&gt;$AG$1,"",IF(AX23="","",E23))</f>
        <v/>
      </c>
      <c r="BA23" s="41" t="s">
        <v>176</v>
      </c>
      <c r="BB23" s="41" t="s">
        <v>177</v>
      </c>
      <c r="BC23" s="41">
        <v>92118</v>
      </c>
      <c r="BD23" s="244" t="s">
        <v>163</v>
      </c>
      <c r="BF23" s="41" t="str">
        <f t="shared" si="11"/>
        <v>Нет</v>
      </c>
      <c r="BM23" s="138">
        <f t="shared" si="3"/>
        <v>85</v>
      </c>
      <c r="BN23" s="42">
        <f t="shared" si="4"/>
        <v>11167</v>
      </c>
      <c r="BS23" s="1">
        <v>9603</v>
      </c>
      <c r="BT23" s="1" t="s">
        <v>902</v>
      </c>
      <c r="BX23" s="36"/>
    </row>
    <row r="24" spans="1:76" ht="14.25">
      <c r="A24" s="55">
        <v>11169</v>
      </c>
      <c r="B24" s="36" t="s">
        <v>82</v>
      </c>
      <c r="C24" s="36" t="s">
        <v>44</v>
      </c>
      <c r="D24" s="36" t="s">
        <v>906</v>
      </c>
      <c r="E24" s="36" t="s">
        <v>20</v>
      </c>
      <c r="F24" s="36" t="s">
        <v>90</v>
      </c>
      <c r="G24" s="36" t="s">
        <v>85</v>
      </c>
      <c r="H24" s="36" t="s">
        <v>58</v>
      </c>
      <c r="I24" s="1">
        <v>92</v>
      </c>
      <c r="J24" s="36" t="s">
        <v>1146</v>
      </c>
      <c r="K24" s="1" t="str">
        <f t="shared" si="5"/>
        <v/>
      </c>
      <c r="L24" s="1" t="str">
        <f t="shared" si="10"/>
        <v/>
      </c>
      <c r="M24" s="94">
        <v>19</v>
      </c>
      <c r="N24" s="36" t="s">
        <v>1674</v>
      </c>
      <c r="O24" s="95">
        <v>309726</v>
      </c>
      <c r="P24" s="36"/>
      <c r="Q24" s="110" t="str">
        <f t="shared" si="6"/>
        <v>Standard</v>
      </c>
      <c r="R24" s="1" t="str">
        <f t="shared" si="7"/>
        <v/>
      </c>
      <c r="S24" s="1">
        <f>IF(A24&gt;0,COUNT(A$2:A24),"")</f>
        <v>23</v>
      </c>
      <c r="T24" s="1" t="str">
        <f t="shared" si="8"/>
        <v xml:space="preserve">ASV70L-RETNKX </v>
      </c>
      <c r="U24" s="1" t="str">
        <f t="shared" si="0"/>
        <v xml:space="preserve">   </v>
      </c>
      <c r="V24" s="111" t="str">
        <f t="shared" si="1"/>
        <v/>
      </c>
      <c r="AA24" s="1">
        <v>29745</v>
      </c>
      <c r="AB24" s="1" t="s">
        <v>245</v>
      </c>
      <c r="AD24" s="1" t="str">
        <f t="shared" si="9"/>
        <v>664W</v>
      </c>
      <c r="AH24" s="116">
        <v>23</v>
      </c>
      <c r="AI24" s="122">
        <v>137</v>
      </c>
      <c r="AJ24" s="1" t="s">
        <v>1367</v>
      </c>
      <c r="AK24" s="1">
        <v>309419</v>
      </c>
      <c r="AL24" s="1" t="s">
        <v>930</v>
      </c>
      <c r="AN24" s="270">
        <v>118</v>
      </c>
      <c r="AP24" s="1">
        <v>23</v>
      </c>
      <c r="AQ24" s="1">
        <v>116</v>
      </c>
      <c r="AR24" s="1" t="s">
        <v>1209</v>
      </c>
      <c r="AS24" s="1">
        <v>309262</v>
      </c>
      <c r="AT24" s="1" t="s">
        <v>930</v>
      </c>
      <c r="AV24" s="241">
        <v>961</v>
      </c>
      <c r="AX24" s="1" t="str">
        <f t="shared" si="2"/>
        <v/>
      </c>
      <c r="AY24" s="1" t="str">
        <f>IF(COUNTIF($AX$2:AX24,1)&gt;$AG$1,"",IF(AX24="","",E24))</f>
        <v/>
      </c>
      <c r="BA24" s="41" t="s">
        <v>178</v>
      </c>
      <c r="BB24" s="41" t="s">
        <v>179</v>
      </c>
      <c r="BC24" s="41">
        <v>92120</v>
      </c>
      <c r="BD24" s="244" t="s">
        <v>163</v>
      </c>
      <c r="BF24" s="41" t="str">
        <f t="shared" si="11"/>
        <v>Нет</v>
      </c>
      <c r="BM24" s="138">
        <f t="shared" si="3"/>
        <v>92</v>
      </c>
      <c r="BN24" s="42">
        <f t="shared" si="4"/>
        <v>11169</v>
      </c>
      <c r="BS24" s="1">
        <v>9607</v>
      </c>
      <c r="BT24" s="1" t="s">
        <v>902</v>
      </c>
      <c r="BX24" s="36"/>
    </row>
    <row r="25" spans="1:76" ht="14.25">
      <c r="A25" s="55">
        <v>11170</v>
      </c>
      <c r="B25" s="36" t="s">
        <v>1158</v>
      </c>
      <c r="C25" s="36" t="s">
        <v>44</v>
      </c>
      <c r="D25" s="36" t="s">
        <v>909</v>
      </c>
      <c r="E25" s="36" t="s">
        <v>21</v>
      </c>
      <c r="F25" s="36" t="s">
        <v>1149</v>
      </c>
      <c r="G25" s="36" t="s">
        <v>921</v>
      </c>
      <c r="H25" s="36" t="s">
        <v>58</v>
      </c>
      <c r="I25" s="1">
        <v>79</v>
      </c>
      <c r="J25" s="36" t="s">
        <v>1146</v>
      </c>
      <c r="K25" s="1" t="str">
        <f t="shared" si="5"/>
        <v/>
      </c>
      <c r="L25" s="1" t="str">
        <f t="shared" si="10"/>
        <v/>
      </c>
      <c r="M25" s="94">
        <v>20</v>
      </c>
      <c r="N25" s="36" t="s">
        <v>1675</v>
      </c>
      <c r="O25" s="95">
        <v>309727</v>
      </c>
      <c r="P25" s="36"/>
      <c r="Q25" s="110" t="str">
        <f t="shared" si="6"/>
        <v/>
      </c>
      <c r="R25" s="1" t="str">
        <f t="shared" si="7"/>
        <v>Auto</v>
      </c>
      <c r="S25" s="1">
        <f>IF(A25&gt;0,COUNT(A$2:A25),"")</f>
        <v>24</v>
      </c>
      <c r="T25" s="1" t="str">
        <f t="shared" si="8"/>
        <v>AXAA54L-RNZGBX</v>
      </c>
      <c r="U25" s="1" t="str">
        <f t="shared" si="0"/>
        <v>8AT</v>
      </c>
      <c r="V25" s="111" t="str">
        <f t="shared" si="1"/>
        <v/>
      </c>
      <c r="AA25" s="1">
        <v>29782</v>
      </c>
      <c r="AB25" s="1" t="s">
        <v>898</v>
      </c>
      <c r="AD25" s="1" t="str">
        <f t="shared" si="9"/>
        <v>831W</v>
      </c>
      <c r="AH25" s="116">
        <v>24</v>
      </c>
      <c r="AI25" s="122">
        <v>138</v>
      </c>
      <c r="AJ25" s="1" t="s">
        <v>1368</v>
      </c>
      <c r="AK25" s="1">
        <v>309420</v>
      </c>
      <c r="AL25" s="1" t="s">
        <v>930</v>
      </c>
      <c r="AN25" s="270">
        <v>119</v>
      </c>
      <c r="AP25" s="1">
        <v>24</v>
      </c>
      <c r="AQ25" s="1">
        <v>117</v>
      </c>
      <c r="AR25" s="1" t="s">
        <v>1210</v>
      </c>
      <c r="AS25" s="1">
        <v>309263</v>
      </c>
      <c r="AT25" s="1" t="s">
        <v>930</v>
      </c>
      <c r="AV25" s="241">
        <v>962</v>
      </c>
      <c r="AX25" s="1" t="str">
        <f t="shared" si="2"/>
        <v/>
      </c>
      <c r="AY25" s="1" t="str">
        <f>IF(COUNTIF($AX$2:AX25,1)&gt;$AG$1,"",IF(AX25="","",E25))</f>
        <v/>
      </c>
      <c r="BA25" s="41" t="s">
        <v>180</v>
      </c>
      <c r="BB25" s="41" t="s">
        <v>181</v>
      </c>
      <c r="BC25" s="41">
        <v>92452</v>
      </c>
      <c r="BD25" s="41"/>
      <c r="BF25" s="41" t="str">
        <f t="shared" si="11"/>
        <v>Нет</v>
      </c>
      <c r="BM25" s="138">
        <f t="shared" si="3"/>
        <v>79</v>
      </c>
      <c r="BN25" s="42">
        <f t="shared" si="4"/>
        <v>11170</v>
      </c>
      <c r="BS25" s="1">
        <v>9610</v>
      </c>
      <c r="BT25" s="1" t="s">
        <v>902</v>
      </c>
      <c r="BX25" s="36"/>
    </row>
    <row r="26" spans="1:76" ht="14.25">
      <c r="A26" s="55">
        <v>11171</v>
      </c>
      <c r="B26" s="36" t="s">
        <v>82</v>
      </c>
      <c r="C26" s="36" t="s">
        <v>44</v>
      </c>
      <c r="D26" s="36" t="s">
        <v>906</v>
      </c>
      <c r="E26" s="36" t="s">
        <v>20</v>
      </c>
      <c r="F26" s="36" t="s">
        <v>2708</v>
      </c>
      <c r="G26" s="36" t="s">
        <v>85</v>
      </c>
      <c r="H26" s="36" t="s">
        <v>58</v>
      </c>
      <c r="I26" s="1">
        <v>88</v>
      </c>
      <c r="J26" s="36" t="s">
        <v>1146</v>
      </c>
      <c r="K26" s="1" t="str">
        <f t="shared" si="5"/>
        <v/>
      </c>
      <c r="L26" s="1" t="str">
        <f t="shared" si="10"/>
        <v/>
      </c>
      <c r="M26" s="94">
        <v>21</v>
      </c>
      <c r="N26" s="36" t="s">
        <v>1676</v>
      </c>
      <c r="O26" s="95">
        <v>309728</v>
      </c>
      <c r="P26" s="36"/>
      <c r="Q26" s="110" t="str">
        <f t="shared" si="6"/>
        <v>Sport</v>
      </c>
      <c r="R26" s="1" t="str">
        <f t="shared" si="7"/>
        <v/>
      </c>
      <c r="S26" s="1">
        <f>IF(A26&gt;0,COUNT(A$2:A26),"")</f>
        <v>25</v>
      </c>
      <c r="T26" s="1" t="str">
        <f t="shared" si="8"/>
        <v xml:space="preserve">ASV70L-RETNKX </v>
      </c>
      <c r="U26" s="1" t="str">
        <f t="shared" si="0"/>
        <v xml:space="preserve">   </v>
      </c>
      <c r="V26" s="111" t="str">
        <f t="shared" si="1"/>
        <v/>
      </c>
      <c r="AA26" s="1">
        <v>29809</v>
      </c>
      <c r="AB26" s="1" t="s">
        <v>899</v>
      </c>
      <c r="AD26" s="1" t="str">
        <f t="shared" si="9"/>
        <v>664W</v>
      </c>
      <c r="AH26" s="116">
        <v>25</v>
      </c>
      <c r="AI26" s="122">
        <v>139</v>
      </c>
      <c r="AJ26" s="1" t="s">
        <v>1369</v>
      </c>
      <c r="AK26" s="1">
        <v>309421</v>
      </c>
      <c r="AL26" s="1" t="s">
        <v>115</v>
      </c>
      <c r="AN26" s="270">
        <v>120</v>
      </c>
      <c r="AP26" s="1">
        <v>25</v>
      </c>
      <c r="AQ26" s="1">
        <v>118</v>
      </c>
      <c r="AR26" s="1" t="s">
        <v>1211</v>
      </c>
      <c r="AS26" s="1">
        <v>309264</v>
      </c>
      <c r="AT26" s="1" t="s">
        <v>115</v>
      </c>
      <c r="AV26" s="241">
        <v>963</v>
      </c>
      <c r="AX26" s="1" t="str">
        <f t="shared" si="2"/>
        <v/>
      </c>
      <c r="AY26" s="1" t="str">
        <f>IF(COUNTIF($AX$2:AX26,1)&gt;$AG$1,"",IF(AX26="","",E26))</f>
        <v/>
      </c>
      <c r="BA26" s="41" t="s">
        <v>182</v>
      </c>
      <c r="BB26" s="41" t="s">
        <v>183</v>
      </c>
      <c r="BC26" s="41">
        <v>92454</v>
      </c>
      <c r="BD26" s="41"/>
      <c r="BF26" s="41" t="str">
        <f t="shared" si="11"/>
        <v>Нет</v>
      </c>
      <c r="BM26" s="138">
        <f t="shared" si="3"/>
        <v>88</v>
      </c>
      <c r="BN26" s="42">
        <f t="shared" si="4"/>
        <v>11171</v>
      </c>
      <c r="BS26" s="1">
        <v>9613</v>
      </c>
      <c r="BT26" s="1" t="s">
        <v>902</v>
      </c>
      <c r="BX26" s="36"/>
    </row>
    <row r="27" spans="1:76" ht="18">
      <c r="A27" s="55">
        <v>11172</v>
      </c>
      <c r="B27" s="36" t="s">
        <v>1158</v>
      </c>
      <c r="C27" s="36" t="s">
        <v>44</v>
      </c>
      <c r="D27" s="36" t="s">
        <v>916</v>
      </c>
      <c r="E27" s="36" t="s">
        <v>80</v>
      </c>
      <c r="F27" s="36" t="s">
        <v>1139</v>
      </c>
      <c r="G27" s="36" t="s">
        <v>894</v>
      </c>
      <c r="H27" s="36" t="s">
        <v>58</v>
      </c>
      <c r="I27" s="1">
        <v>86</v>
      </c>
      <c r="J27" s="36" t="s">
        <v>1146</v>
      </c>
      <c r="K27" s="1" t="str">
        <f t="shared" si="5"/>
        <v/>
      </c>
      <c r="L27" s="1" t="str">
        <f t="shared" si="10"/>
        <v/>
      </c>
      <c r="M27" s="94">
        <v>22</v>
      </c>
      <c r="N27" s="36" t="s">
        <v>1677</v>
      </c>
      <c r="O27" s="95">
        <v>309729</v>
      </c>
      <c r="P27" s="36"/>
      <c r="Q27" s="110" t="str">
        <f t="shared" si="6"/>
        <v/>
      </c>
      <c r="R27" s="1" t="str">
        <f t="shared" si="7"/>
        <v>CVT</v>
      </c>
      <c r="S27" s="1">
        <f>IF(A27&gt;0,COUNT(A$2:A27),"")</f>
        <v>26</v>
      </c>
      <c r="T27" s="1" t="str">
        <f t="shared" si="8"/>
        <v>MXAA54L-RNXMBX</v>
      </c>
      <c r="U27" s="1" t="str">
        <f t="shared" si="0"/>
        <v>CVT</v>
      </c>
      <c r="V27" s="111" t="str">
        <f t="shared" si="1"/>
        <v/>
      </c>
      <c r="W27" s="568" t="s">
        <v>14</v>
      </c>
      <c r="X27" s="569"/>
      <c r="Y27" s="3" t="s">
        <v>1</v>
      </c>
      <c r="AA27" s="1">
        <v>29815</v>
      </c>
      <c r="AB27" s="1" t="s">
        <v>898</v>
      </c>
      <c r="AD27" s="1" t="str">
        <f t="shared" si="9"/>
        <v>831W</v>
      </c>
      <c r="AH27" s="116">
        <v>26</v>
      </c>
      <c r="AI27" s="122">
        <v>140</v>
      </c>
      <c r="AJ27" s="1" t="s">
        <v>1370</v>
      </c>
      <c r="AK27" s="1">
        <v>309422</v>
      </c>
      <c r="AL27" s="1" t="s">
        <v>930</v>
      </c>
      <c r="AN27" s="270">
        <v>121</v>
      </c>
      <c r="AP27" s="1">
        <v>26</v>
      </c>
      <c r="AQ27" s="1">
        <v>119</v>
      </c>
      <c r="AR27" s="1" t="s">
        <v>1212</v>
      </c>
      <c r="AS27" s="1">
        <v>309265</v>
      </c>
      <c r="AT27" s="1" t="s">
        <v>930</v>
      </c>
      <c r="AV27" s="241">
        <v>964</v>
      </c>
      <c r="AX27" s="1" t="str">
        <f t="shared" si="2"/>
        <v/>
      </c>
      <c r="AY27" s="1" t="str">
        <f>IF(COUNTIF($AX$2:AX27,1)&gt;$AG$1,"",IF(AX27="","",E27))</f>
        <v/>
      </c>
      <c r="BA27" s="41" t="s">
        <v>184</v>
      </c>
      <c r="BB27" s="41" t="s">
        <v>185</v>
      </c>
      <c r="BC27" s="41">
        <v>92457</v>
      </c>
      <c r="BD27" s="244" t="s">
        <v>163</v>
      </c>
      <c r="BF27" s="41" t="str">
        <f t="shared" si="11"/>
        <v>Нет</v>
      </c>
      <c r="BM27" s="138">
        <f t="shared" si="3"/>
        <v>86</v>
      </c>
      <c r="BN27" s="42">
        <f t="shared" si="4"/>
        <v>11172</v>
      </c>
      <c r="BS27" s="1">
        <v>9624</v>
      </c>
      <c r="BT27" s="1" t="s">
        <v>902</v>
      </c>
      <c r="BX27" s="36"/>
    </row>
    <row r="28" spans="1:76" ht="18">
      <c r="A28" s="55">
        <v>11173</v>
      </c>
      <c r="B28" s="36" t="s">
        <v>1158</v>
      </c>
      <c r="C28" s="36" t="s">
        <v>44</v>
      </c>
      <c r="D28" s="36" t="s">
        <v>911</v>
      </c>
      <c r="E28" s="36" t="s">
        <v>20</v>
      </c>
      <c r="F28" s="36" t="s">
        <v>202</v>
      </c>
      <c r="G28" s="36" t="s">
        <v>922</v>
      </c>
      <c r="H28" s="36" t="s">
        <v>58</v>
      </c>
      <c r="I28" s="1">
        <v>91</v>
      </c>
      <c r="J28" s="36" t="s">
        <v>1146</v>
      </c>
      <c r="K28" s="1" t="str">
        <f t="shared" si="5"/>
        <v/>
      </c>
      <c r="L28" s="1" t="str">
        <f t="shared" si="10"/>
        <v/>
      </c>
      <c r="M28" s="94">
        <v>23</v>
      </c>
      <c r="N28" s="36" t="s">
        <v>1678</v>
      </c>
      <c r="O28" s="95">
        <v>309730</v>
      </c>
      <c r="P28" s="36"/>
      <c r="Q28" s="110" t="str">
        <f t="shared" si="6"/>
        <v/>
      </c>
      <c r="R28" s="1" t="str">
        <f t="shared" si="7"/>
        <v>Mech</v>
      </c>
      <c r="S28" s="1">
        <f>IF(A28&gt;0,COUNT(A$2:A28),"")</f>
        <v>27</v>
      </c>
      <c r="T28" s="1" t="str">
        <f t="shared" si="8"/>
        <v>MXAA52L-RNFXBX</v>
      </c>
      <c r="U28" s="1" t="str">
        <f t="shared" si="0"/>
        <v>6MT</v>
      </c>
      <c r="V28" s="111" t="str">
        <f t="shared" si="1"/>
        <v/>
      </c>
      <c r="W28" s="101" t="s">
        <v>30</v>
      </c>
      <c r="X28" s="4">
        <f>X39+X40+X41</f>
        <v>75</v>
      </c>
      <c r="Y28" s="5">
        <f>X28/$X$30</f>
        <v>0.43352601156069365</v>
      </c>
      <c r="AA28" s="1">
        <v>29867</v>
      </c>
      <c r="AB28" s="1" t="s">
        <v>155</v>
      </c>
      <c r="AD28" s="1" t="str">
        <f t="shared" si="9"/>
        <v>831W</v>
      </c>
      <c r="AH28" s="116">
        <v>27</v>
      </c>
      <c r="AI28" s="122">
        <v>141</v>
      </c>
      <c r="AJ28" s="1" t="s">
        <v>1371</v>
      </c>
      <c r="AK28" s="1">
        <v>309423</v>
      </c>
      <c r="AL28" s="1" t="s">
        <v>115</v>
      </c>
      <c r="AN28" s="270">
        <v>122</v>
      </c>
      <c r="AP28" s="1">
        <v>27</v>
      </c>
      <c r="AQ28" s="1">
        <v>120</v>
      </c>
      <c r="AR28" s="1" t="s">
        <v>1213</v>
      </c>
      <c r="AS28" s="1">
        <v>309266</v>
      </c>
      <c r="AT28" s="1" t="s">
        <v>115</v>
      </c>
      <c r="AV28" s="241">
        <v>965</v>
      </c>
      <c r="AX28" s="1" t="str">
        <f t="shared" si="2"/>
        <v/>
      </c>
      <c r="AY28" s="1" t="str">
        <f>IF(COUNTIF($AX$2:AX28,1)&gt;$AG$1,"",IF(AX28="","",E28))</f>
        <v/>
      </c>
      <c r="BA28" s="41" t="s">
        <v>186</v>
      </c>
      <c r="BB28" s="41" t="s">
        <v>187</v>
      </c>
      <c r="BC28" s="41">
        <v>92775</v>
      </c>
      <c r="BD28" s="41"/>
      <c r="BF28" s="41" t="str">
        <f t="shared" si="11"/>
        <v>Нет</v>
      </c>
      <c r="BM28" s="138">
        <f t="shared" si="3"/>
        <v>91</v>
      </c>
      <c r="BN28" s="42">
        <f t="shared" si="4"/>
        <v>11173</v>
      </c>
      <c r="BS28" s="1">
        <v>9631</v>
      </c>
      <c r="BT28" s="1" t="s">
        <v>902</v>
      </c>
      <c r="BX28" s="36"/>
    </row>
    <row r="29" spans="1:76" ht="18">
      <c r="A29" s="55">
        <v>11174</v>
      </c>
      <c r="B29" s="36" t="s">
        <v>82</v>
      </c>
      <c r="C29" s="36" t="s">
        <v>44</v>
      </c>
      <c r="D29" s="36" t="s">
        <v>906</v>
      </c>
      <c r="E29" s="36" t="s">
        <v>80</v>
      </c>
      <c r="F29" s="36" t="s">
        <v>87</v>
      </c>
      <c r="G29" s="36" t="s">
        <v>85</v>
      </c>
      <c r="H29" s="36" t="s">
        <v>58</v>
      </c>
      <c r="I29" s="1">
        <v>94</v>
      </c>
      <c r="J29" s="36" t="s">
        <v>1146</v>
      </c>
      <c r="K29" s="1" t="str">
        <f t="shared" si="5"/>
        <v/>
      </c>
      <c r="L29" s="1" t="str">
        <f t="shared" si="10"/>
        <v/>
      </c>
      <c r="M29" s="94">
        <v>24</v>
      </c>
      <c r="N29" s="36" t="s">
        <v>1679</v>
      </c>
      <c r="O29" s="95">
        <v>309731</v>
      </c>
      <c r="P29" s="36"/>
      <c r="Q29" s="110" t="str">
        <f t="shared" si="6"/>
        <v>Standard</v>
      </c>
      <c r="R29" s="1" t="str">
        <f t="shared" si="7"/>
        <v/>
      </c>
      <c r="S29" s="1">
        <f>IF(A29&gt;0,COUNT(A$2:A29),"")</f>
        <v>28</v>
      </c>
      <c r="T29" s="1" t="str">
        <f t="shared" si="8"/>
        <v xml:space="preserve">ASV70L-RETNKX </v>
      </c>
      <c r="U29" s="1" t="str">
        <f t="shared" si="0"/>
        <v xml:space="preserve">   </v>
      </c>
      <c r="V29" s="111" t="str">
        <f t="shared" si="1"/>
        <v/>
      </c>
      <c r="W29" s="102" t="s">
        <v>24</v>
      </c>
      <c r="X29" s="4">
        <f>X43+X44+X45</f>
        <v>98</v>
      </c>
      <c r="Y29" s="5">
        <f>X29/$X$30</f>
        <v>0.56647398843930641</v>
      </c>
      <c r="AA29" s="1">
        <v>29878</v>
      </c>
      <c r="AB29" s="1" t="s">
        <v>901</v>
      </c>
      <c r="AD29" s="1" t="str">
        <f t="shared" si="9"/>
        <v>664W</v>
      </c>
      <c r="AH29" s="116">
        <v>28</v>
      </c>
      <c r="AI29" s="122">
        <v>142</v>
      </c>
      <c r="AJ29" s="1" t="s">
        <v>1372</v>
      </c>
      <c r="AK29" s="1">
        <v>309424</v>
      </c>
      <c r="AL29" s="1" t="s">
        <v>930</v>
      </c>
      <c r="AN29" s="270">
        <v>123</v>
      </c>
      <c r="AP29" s="1">
        <v>28</v>
      </c>
      <c r="AQ29" s="1">
        <v>121</v>
      </c>
      <c r="AR29" s="1" t="s">
        <v>1214</v>
      </c>
      <c r="AS29" s="1">
        <v>309267</v>
      </c>
      <c r="AT29" s="1" t="s">
        <v>930</v>
      </c>
      <c r="AV29" s="241">
        <v>966</v>
      </c>
      <c r="AX29" s="1" t="str">
        <f t="shared" si="2"/>
        <v/>
      </c>
      <c r="AY29" s="1" t="str">
        <f>IF(COUNTIF($AX$2:AX29,1)&gt;$AG$1,"",IF(AX29="","",E29))</f>
        <v/>
      </c>
      <c r="BA29" s="41" t="s">
        <v>188</v>
      </c>
      <c r="BB29" s="41" t="s">
        <v>189</v>
      </c>
      <c r="BC29" s="41">
        <v>92777</v>
      </c>
      <c r="BD29" s="41"/>
      <c r="BF29" s="41" t="str">
        <f t="shared" si="11"/>
        <v>Нет</v>
      </c>
      <c r="BM29" s="138">
        <f t="shared" si="3"/>
        <v>94</v>
      </c>
      <c r="BN29" s="42">
        <f t="shared" si="4"/>
        <v>11174</v>
      </c>
      <c r="BS29" s="1">
        <v>9634</v>
      </c>
      <c r="BT29" s="1" t="s">
        <v>902</v>
      </c>
      <c r="BX29" s="36"/>
    </row>
    <row r="30" spans="1:76" ht="18.75" thickBot="1">
      <c r="A30" s="55">
        <v>11175</v>
      </c>
      <c r="B30" s="36" t="s">
        <v>1158</v>
      </c>
      <c r="C30" s="36" t="s">
        <v>43</v>
      </c>
      <c r="D30" s="36" t="s">
        <v>916</v>
      </c>
      <c r="E30" s="36" t="s">
        <v>10</v>
      </c>
      <c r="F30" s="36" t="s">
        <v>1139</v>
      </c>
      <c r="G30" s="36" t="s">
        <v>894</v>
      </c>
      <c r="H30" s="36" t="s">
        <v>58</v>
      </c>
      <c r="I30" s="1" t="s">
        <v>85</v>
      </c>
      <c r="J30" s="36" t="s">
        <v>1146</v>
      </c>
      <c r="K30" s="1" t="str">
        <f t="shared" si="5"/>
        <v/>
      </c>
      <c r="L30" s="1" t="str">
        <f t="shared" si="10"/>
        <v/>
      </c>
      <c r="M30" s="94">
        <v>25</v>
      </c>
      <c r="N30" s="36" t="s">
        <v>1680</v>
      </c>
      <c r="O30" s="95">
        <v>309732</v>
      </c>
      <c r="P30" s="36"/>
      <c r="Q30" s="110" t="str">
        <f t="shared" si="6"/>
        <v/>
      </c>
      <c r="R30" s="1" t="str">
        <f t="shared" si="7"/>
        <v>CVT</v>
      </c>
      <c r="S30" s="1">
        <f>IF(A30&gt;0,COUNT(A$2:A30),"")</f>
        <v>29</v>
      </c>
      <c r="T30" s="1" t="str">
        <f t="shared" si="8"/>
        <v>MXAA54L-RNXMBX</v>
      </c>
      <c r="U30" s="1" t="str">
        <f t="shared" si="0"/>
        <v>CVT</v>
      </c>
      <c r="V30" s="111" t="str">
        <f t="shared" si="1"/>
        <v/>
      </c>
      <c r="W30" s="103" t="s">
        <v>0</v>
      </c>
      <c r="X30" s="4">
        <f>X28+X29</f>
        <v>173</v>
      </c>
      <c r="Y30" s="3"/>
      <c r="AA30" s="1">
        <v>29886</v>
      </c>
      <c r="AB30" s="1" t="s">
        <v>898</v>
      </c>
      <c r="AD30" s="1" t="str">
        <f t="shared" si="9"/>
        <v>831W</v>
      </c>
      <c r="AH30" s="116">
        <v>29</v>
      </c>
      <c r="AI30" s="122">
        <v>143</v>
      </c>
      <c r="AJ30" s="1" t="s">
        <v>1373</v>
      </c>
      <c r="AK30" s="1">
        <v>309425</v>
      </c>
      <c r="AL30" s="1" t="s">
        <v>115</v>
      </c>
      <c r="AN30" s="270">
        <v>124</v>
      </c>
      <c r="AP30" s="1">
        <v>29</v>
      </c>
      <c r="AQ30" s="1">
        <v>122</v>
      </c>
      <c r="AR30" s="1" t="s">
        <v>1215</v>
      </c>
      <c r="AS30" s="1">
        <v>309268</v>
      </c>
      <c r="AT30" s="1" t="s">
        <v>115</v>
      </c>
      <c r="AV30" s="241">
        <v>967</v>
      </c>
      <c r="AX30" s="1">
        <f t="shared" si="2"/>
        <v>1</v>
      </c>
      <c r="AY30" s="1" t="str">
        <f>IF(COUNTIF($AX$2:AX30,1)&gt;$AG$1,"",IF(AX30="","",E30))</f>
        <v>1F7</v>
      </c>
      <c r="BA30" s="41" t="s">
        <v>190</v>
      </c>
      <c r="BB30" s="41" t="s">
        <v>191</v>
      </c>
      <c r="BC30" s="41">
        <v>92780</v>
      </c>
      <c r="BD30" s="244" t="s">
        <v>163</v>
      </c>
      <c r="BF30" s="41" t="str">
        <f t="shared" si="11"/>
        <v>Нет</v>
      </c>
      <c r="BM30" s="138" t="str">
        <f t="shared" si="3"/>
        <v xml:space="preserve">   </v>
      </c>
      <c r="BN30" s="42">
        <f t="shared" si="4"/>
        <v>11175</v>
      </c>
      <c r="BS30" s="1">
        <v>9639</v>
      </c>
      <c r="BT30" s="1" t="s">
        <v>902</v>
      </c>
      <c r="BX30" s="36"/>
    </row>
    <row r="31" spans="1:76" ht="18.75" thickBot="1">
      <c r="A31" s="55">
        <v>11176</v>
      </c>
      <c r="B31" s="36" t="s">
        <v>82</v>
      </c>
      <c r="C31" s="36" t="s">
        <v>45</v>
      </c>
      <c r="D31" s="36" t="s">
        <v>906</v>
      </c>
      <c r="E31" s="36" t="s">
        <v>80</v>
      </c>
      <c r="F31" s="36" t="s">
        <v>1148</v>
      </c>
      <c r="G31" s="36" t="s">
        <v>85</v>
      </c>
      <c r="H31" s="36" t="s">
        <v>58</v>
      </c>
      <c r="I31" s="1" t="s">
        <v>85</v>
      </c>
      <c r="J31" s="36" t="s">
        <v>1146</v>
      </c>
      <c r="K31" s="1" t="str">
        <f t="shared" si="5"/>
        <v/>
      </c>
      <c r="L31" s="1" t="str">
        <f t="shared" si="10"/>
        <v/>
      </c>
      <c r="M31" s="94">
        <v>26</v>
      </c>
      <c r="N31" s="36" t="s">
        <v>1681</v>
      </c>
      <c r="O31" s="95">
        <v>309733</v>
      </c>
      <c r="P31" s="36"/>
      <c r="Q31" s="110" t="str">
        <f t="shared" si="6"/>
        <v>Standard</v>
      </c>
      <c r="R31" s="1" t="str">
        <f t="shared" si="7"/>
        <v/>
      </c>
      <c r="S31" s="1">
        <f>IF(A31&gt;0,COUNT(A$2:A31),"")</f>
        <v>30</v>
      </c>
      <c r="T31" s="1" t="str">
        <f t="shared" si="8"/>
        <v xml:space="preserve">ASV70L-RETNKX </v>
      </c>
      <c r="U31" s="1" t="str">
        <f t="shared" si="0"/>
        <v xml:space="preserve">   </v>
      </c>
      <c r="V31" s="111" t="str">
        <f t="shared" si="1"/>
        <v/>
      </c>
      <c r="W31" s="3"/>
      <c r="X31" s="3"/>
      <c r="Y31" s="3" t="s">
        <v>2</v>
      </c>
      <c r="AA31" s="1">
        <v>29887</v>
      </c>
      <c r="AB31" s="1" t="s">
        <v>891</v>
      </c>
      <c r="AD31" s="1" t="str">
        <f t="shared" si="9"/>
        <v>664W</v>
      </c>
      <c r="AF31" s="557" t="s">
        <v>890</v>
      </c>
      <c r="AG31" s="558"/>
      <c r="AH31" s="116">
        <v>30</v>
      </c>
      <c r="AI31" s="122">
        <v>144</v>
      </c>
      <c r="AJ31" s="1" t="s">
        <v>1374</v>
      </c>
      <c r="AK31" s="1">
        <v>309426</v>
      </c>
      <c r="AL31" s="1" t="s">
        <v>930</v>
      </c>
      <c r="AN31" s="270">
        <v>125</v>
      </c>
      <c r="AP31" s="1">
        <v>30</v>
      </c>
      <c r="AQ31" s="1">
        <v>123</v>
      </c>
      <c r="AR31" s="1" t="s">
        <v>1216</v>
      </c>
      <c r="AS31" s="1">
        <v>309269</v>
      </c>
      <c r="AT31" s="1" t="s">
        <v>930</v>
      </c>
      <c r="AV31" s="241">
        <v>968</v>
      </c>
      <c r="AX31" s="1">
        <f t="shared" si="2"/>
        <v>1</v>
      </c>
      <c r="AY31" s="1" t="str">
        <f>IF(COUNTIF($AX$2:AX31,1)&gt;$AG$1,"",IF(AX31="","",E31))</f>
        <v>089</v>
      </c>
      <c r="BA31" s="41" t="s">
        <v>192</v>
      </c>
      <c r="BB31" s="41" t="s">
        <v>193</v>
      </c>
      <c r="BC31" s="41">
        <v>93128</v>
      </c>
      <c r="BD31" s="41"/>
      <c r="BF31" s="41" t="str">
        <f t="shared" si="11"/>
        <v>Нет</v>
      </c>
      <c r="BM31" s="138" t="str">
        <f t="shared" si="3"/>
        <v xml:space="preserve">   </v>
      </c>
      <c r="BN31" s="42">
        <f t="shared" si="4"/>
        <v>11176</v>
      </c>
      <c r="BS31" s="1">
        <v>9645</v>
      </c>
      <c r="BT31" s="1" t="s">
        <v>902</v>
      </c>
      <c r="BX31" s="36"/>
    </row>
    <row r="32" spans="1:76" ht="18">
      <c r="A32" s="55">
        <v>11177</v>
      </c>
      <c r="B32" s="36" t="s">
        <v>1158</v>
      </c>
      <c r="C32" s="36" t="s">
        <v>46</v>
      </c>
      <c r="D32" s="36" t="s">
        <v>910</v>
      </c>
      <c r="E32" s="36" t="s">
        <v>1128</v>
      </c>
      <c r="F32" s="36" t="s">
        <v>1154</v>
      </c>
      <c r="G32" s="36" t="s">
        <v>921</v>
      </c>
      <c r="H32" s="36" t="s">
        <v>58</v>
      </c>
      <c r="I32" s="36" t="s">
        <v>85</v>
      </c>
      <c r="J32" s="36" t="s">
        <v>1146</v>
      </c>
      <c r="K32" s="1" t="str">
        <f t="shared" si="5"/>
        <v/>
      </c>
      <c r="L32" s="1" t="str">
        <f t="shared" si="10"/>
        <v/>
      </c>
      <c r="M32" s="94">
        <v>27</v>
      </c>
      <c r="N32" s="36" t="s">
        <v>1682</v>
      </c>
      <c r="O32" s="95">
        <v>309734</v>
      </c>
      <c r="P32" s="36"/>
      <c r="Q32" s="110" t="str">
        <f t="shared" si="6"/>
        <v/>
      </c>
      <c r="R32" s="1" t="str">
        <f t="shared" si="7"/>
        <v>Auto</v>
      </c>
      <c r="S32" s="1">
        <f>IF(A32&gt;0,COUNT(A$2:A32),"")</f>
        <v>31</v>
      </c>
      <c r="T32" s="1" t="str">
        <f t="shared" si="8"/>
        <v>AXAA54L-RNZMBX</v>
      </c>
      <c r="U32" s="1" t="str">
        <f t="shared" si="0"/>
        <v>8AT</v>
      </c>
      <c r="V32" s="111" t="str">
        <f t="shared" si="1"/>
        <v/>
      </c>
      <c r="W32" s="104" t="s">
        <v>25</v>
      </c>
      <c r="X32" s="7">
        <f>X41</f>
        <v>7</v>
      </c>
      <c r="Y32" s="5">
        <f>IFERROR(X30/X32,"-")</f>
        <v>24.714285714285715</v>
      </c>
      <c r="AA32" s="1">
        <v>29889</v>
      </c>
      <c r="AB32" s="1" t="s">
        <v>898</v>
      </c>
      <c r="AD32" s="1" t="str">
        <f t="shared" si="9"/>
        <v>831W</v>
      </c>
      <c r="AF32" s="559">
        <f>MAX(M6:M3000)</f>
        <v>1601</v>
      </c>
      <c r="AG32" s="561" t="str">
        <f>IF(AF32&lt;600,"NG","OK")</f>
        <v>OK</v>
      </c>
      <c r="AH32" s="116">
        <v>31</v>
      </c>
      <c r="AI32" s="122">
        <v>145</v>
      </c>
      <c r="AJ32" s="1" t="s">
        <v>1375</v>
      </c>
      <c r="AK32" s="1">
        <v>309427</v>
      </c>
      <c r="AL32" s="1" t="s">
        <v>115</v>
      </c>
      <c r="AN32" s="270">
        <v>126</v>
      </c>
      <c r="AP32" s="1">
        <v>31</v>
      </c>
      <c r="AQ32" s="1">
        <v>124</v>
      </c>
      <c r="AR32" s="1" t="s">
        <v>1217</v>
      </c>
      <c r="AS32" s="1">
        <v>309270</v>
      </c>
      <c r="AT32" s="1" t="s">
        <v>930</v>
      </c>
      <c r="AV32" s="241">
        <v>969</v>
      </c>
      <c r="AX32" s="1">
        <f t="shared" si="2"/>
        <v>1</v>
      </c>
      <c r="AY32" s="1" t="str">
        <f>IF(COUNTIF($AX$2:AX32,1)&gt;$AG$1,"",IF(AX32="","",E32))</f>
        <v>2PS</v>
      </c>
      <c r="BA32" s="41" t="s">
        <v>194</v>
      </c>
      <c r="BB32" s="41" t="s">
        <v>195</v>
      </c>
      <c r="BC32" s="41">
        <v>93131</v>
      </c>
      <c r="BD32" s="41"/>
      <c r="BF32" s="41" t="str">
        <f t="shared" si="11"/>
        <v>Нет</v>
      </c>
      <c r="BM32" s="138" t="str">
        <f t="shared" si="3"/>
        <v xml:space="preserve">   </v>
      </c>
      <c r="BN32" s="42">
        <f t="shared" si="4"/>
        <v>11177</v>
      </c>
      <c r="BS32" s="1">
        <v>9646</v>
      </c>
      <c r="BT32" s="1" t="s">
        <v>902</v>
      </c>
      <c r="BX32" s="36"/>
    </row>
    <row r="33" spans="1:76" ht="18.75" thickBot="1">
      <c r="A33" s="55">
        <v>11178</v>
      </c>
      <c r="B33" s="36" t="s">
        <v>82</v>
      </c>
      <c r="C33" s="36" t="s">
        <v>45</v>
      </c>
      <c r="D33" s="36" t="s">
        <v>908</v>
      </c>
      <c r="E33" s="36" t="s">
        <v>20</v>
      </c>
      <c r="F33" s="36" t="s">
        <v>84</v>
      </c>
      <c r="G33" s="36" t="s">
        <v>85</v>
      </c>
      <c r="H33" s="36" t="s">
        <v>58</v>
      </c>
      <c r="I33" s="36" t="s">
        <v>85</v>
      </c>
      <c r="J33" s="36" t="s">
        <v>1146</v>
      </c>
      <c r="K33" s="1" t="str">
        <f t="shared" si="5"/>
        <v/>
      </c>
      <c r="L33" s="1" t="str">
        <f t="shared" si="10"/>
        <v/>
      </c>
      <c r="M33" s="94">
        <v>28</v>
      </c>
      <c r="N33" s="36" t="s">
        <v>1683</v>
      </c>
      <c r="O33" s="95">
        <v>309735</v>
      </c>
      <c r="P33" s="36"/>
      <c r="Q33" s="110" t="str">
        <f t="shared" si="6"/>
        <v>Rich</v>
      </c>
      <c r="R33" s="1" t="str">
        <f t="shared" si="7"/>
        <v/>
      </c>
      <c r="S33" s="1">
        <f>IF(A33&gt;0,COUNT(A$2:A33),"")</f>
        <v>32</v>
      </c>
      <c r="T33" s="1" t="str">
        <f t="shared" si="8"/>
        <v xml:space="preserve">GSV70L-REZGBX </v>
      </c>
      <c r="U33" s="1" t="str">
        <f t="shared" si="0"/>
        <v xml:space="preserve">   </v>
      </c>
      <c r="V33" s="111" t="str">
        <f t="shared" si="1"/>
        <v/>
      </c>
      <c r="W33" s="105" t="s">
        <v>38</v>
      </c>
      <c r="X33" s="7">
        <f>COUNTIF(V2:V236,"Special")</f>
        <v>0</v>
      </c>
      <c r="Y33" s="5" t="str">
        <f>IFERROR(X30/X33,"-")</f>
        <v>-</v>
      </c>
      <c r="AA33" s="1">
        <v>29894</v>
      </c>
      <c r="AB33" s="1" t="s">
        <v>155</v>
      </c>
      <c r="AD33" s="1" t="str">
        <f t="shared" si="9"/>
        <v>664W</v>
      </c>
      <c r="AF33" s="560"/>
      <c r="AG33" s="562"/>
      <c r="AH33" s="116">
        <v>32</v>
      </c>
      <c r="AI33" s="122">
        <v>146</v>
      </c>
      <c r="AJ33" s="1" t="s">
        <v>1376</v>
      </c>
      <c r="AK33" s="1">
        <v>309428</v>
      </c>
      <c r="AL33" s="1" t="s">
        <v>930</v>
      </c>
      <c r="AN33" s="270">
        <v>127</v>
      </c>
      <c r="AP33" s="1">
        <v>32</v>
      </c>
      <c r="AQ33" s="1">
        <v>125</v>
      </c>
      <c r="AR33" s="1" t="s">
        <v>1218</v>
      </c>
      <c r="AS33" s="1">
        <v>309271</v>
      </c>
      <c r="AT33" s="1" t="s">
        <v>115</v>
      </c>
      <c r="AV33" s="241">
        <v>970</v>
      </c>
      <c r="AX33" s="1">
        <f t="shared" si="2"/>
        <v>1</v>
      </c>
      <c r="AY33" s="1" t="str">
        <f>IF(COUNTIF($AX$2:AX33,1)&gt;$AG$1,"",IF(AX33="","",E33))</f>
        <v>218</v>
      </c>
      <c r="BA33" s="41" t="s">
        <v>196</v>
      </c>
      <c r="BB33" s="41" t="s">
        <v>197</v>
      </c>
      <c r="BC33" s="41">
        <v>93133</v>
      </c>
      <c r="BD33" s="244" t="s">
        <v>163</v>
      </c>
      <c r="BF33" s="41" t="str">
        <f t="shared" si="11"/>
        <v>Нет</v>
      </c>
      <c r="BM33" s="138" t="str">
        <f t="shared" si="3"/>
        <v xml:space="preserve">   </v>
      </c>
      <c r="BN33" s="42">
        <f t="shared" si="4"/>
        <v>11178</v>
      </c>
      <c r="BS33" s="1">
        <v>9652</v>
      </c>
      <c r="BT33" s="1" t="s">
        <v>902</v>
      </c>
      <c r="BX33" s="36"/>
    </row>
    <row r="34" spans="1:76" ht="18">
      <c r="A34" s="55">
        <v>11179</v>
      </c>
      <c r="B34" s="36" t="s">
        <v>1158</v>
      </c>
      <c r="C34" s="36" t="s">
        <v>44</v>
      </c>
      <c r="D34" s="36" t="s">
        <v>915</v>
      </c>
      <c r="E34" s="36" t="s">
        <v>80</v>
      </c>
      <c r="F34" s="36" t="s">
        <v>903</v>
      </c>
      <c r="G34" s="36" t="s">
        <v>894</v>
      </c>
      <c r="H34" s="36" t="s">
        <v>58</v>
      </c>
      <c r="I34" s="36">
        <v>84</v>
      </c>
      <c r="J34" s="36" t="s">
        <v>1146</v>
      </c>
      <c r="K34" s="1" t="str">
        <f t="shared" si="5"/>
        <v/>
      </c>
      <c r="L34" s="1" t="str">
        <f t="shared" si="10"/>
        <v/>
      </c>
      <c r="M34" s="94">
        <v>29</v>
      </c>
      <c r="N34" s="36" t="s">
        <v>1684</v>
      </c>
      <c r="O34" s="95">
        <v>309736</v>
      </c>
      <c r="P34" s="36"/>
      <c r="Q34" s="110" t="str">
        <f t="shared" si="6"/>
        <v/>
      </c>
      <c r="R34" s="1" t="str">
        <f t="shared" si="7"/>
        <v>CVT</v>
      </c>
      <c r="S34" s="1">
        <f>IF(A34&gt;0,COUNT(A$2:A34),"")</f>
        <v>33</v>
      </c>
      <c r="T34" s="1" t="str">
        <f t="shared" si="8"/>
        <v>MXAA54L-RNXGBX</v>
      </c>
      <c r="U34" s="1" t="str">
        <f t="shared" si="0"/>
        <v>CVT</v>
      </c>
      <c r="V34" s="111" t="str">
        <f t="shared" si="1"/>
        <v/>
      </c>
      <c r="W34" s="106" t="s">
        <v>924</v>
      </c>
      <c r="X34" s="7">
        <f>SUM(X44:X45)</f>
        <v>62</v>
      </c>
      <c r="Y34" s="5">
        <f>IFERROR(X30/X34,"-")</f>
        <v>2.7903225806451615</v>
      </c>
      <c r="AA34" s="1">
        <v>29897</v>
      </c>
      <c r="AB34" s="1" t="s">
        <v>891</v>
      </c>
      <c r="AD34" s="1" t="str">
        <f t="shared" si="9"/>
        <v>831W</v>
      </c>
      <c r="AH34" s="116">
        <v>33</v>
      </c>
      <c r="AI34" s="122">
        <v>147</v>
      </c>
      <c r="AJ34" s="1" t="s">
        <v>1377</v>
      </c>
      <c r="AK34" s="1">
        <v>309429</v>
      </c>
      <c r="AL34" s="1" t="s">
        <v>930</v>
      </c>
      <c r="AN34" s="270">
        <v>128</v>
      </c>
      <c r="AP34" s="1">
        <v>33</v>
      </c>
      <c r="AQ34" s="1">
        <v>126</v>
      </c>
      <c r="AR34" s="1" t="s">
        <v>1219</v>
      </c>
      <c r="AS34" s="1">
        <v>309272</v>
      </c>
      <c r="AT34" s="1" t="s">
        <v>930</v>
      </c>
      <c r="AV34" s="241">
        <v>971</v>
      </c>
      <c r="AX34" s="1" t="str">
        <f t="shared" si="2"/>
        <v/>
      </c>
      <c r="AY34" s="1" t="str">
        <f>IF(COUNTIF($AX$2:AX34,1)&gt;$AG$1,"",IF(AX34="","",E34))</f>
        <v/>
      </c>
      <c r="BA34" s="41" t="s">
        <v>198</v>
      </c>
      <c r="BB34" s="41" t="s">
        <v>199</v>
      </c>
      <c r="BC34" s="41">
        <v>93476</v>
      </c>
      <c r="BD34" s="41"/>
      <c r="BF34" s="41" t="str">
        <f t="shared" si="11"/>
        <v>Нет</v>
      </c>
      <c r="BM34" s="138">
        <f t="shared" si="3"/>
        <v>84</v>
      </c>
      <c r="BN34" s="42">
        <f t="shared" si="4"/>
        <v>11179</v>
      </c>
      <c r="BS34" s="1">
        <v>9656</v>
      </c>
      <c r="BT34" s="1" t="s">
        <v>902</v>
      </c>
      <c r="BX34" s="36"/>
    </row>
    <row r="35" spans="1:76" ht="18">
      <c r="A35" s="55">
        <v>11180</v>
      </c>
      <c r="B35" s="36" t="s">
        <v>82</v>
      </c>
      <c r="C35" s="36" t="s">
        <v>45</v>
      </c>
      <c r="D35" s="36" t="s">
        <v>906</v>
      </c>
      <c r="E35" s="36" t="s">
        <v>20</v>
      </c>
      <c r="F35" s="36" t="s">
        <v>88</v>
      </c>
      <c r="G35" s="36" t="s">
        <v>85</v>
      </c>
      <c r="H35" s="36" t="s">
        <v>58</v>
      </c>
      <c r="I35" s="36" t="s">
        <v>85</v>
      </c>
      <c r="J35" s="36" t="s">
        <v>1146</v>
      </c>
      <c r="K35" s="1" t="str">
        <f t="shared" si="5"/>
        <v/>
      </c>
      <c r="L35" s="1" t="str">
        <f t="shared" si="10"/>
        <v/>
      </c>
      <c r="M35" s="94">
        <v>30</v>
      </c>
      <c r="N35" s="36" t="s">
        <v>1685</v>
      </c>
      <c r="O35" s="95">
        <v>309737</v>
      </c>
      <c r="P35" s="36"/>
      <c r="Q35" s="110" t="str">
        <f t="shared" si="6"/>
        <v>Standard</v>
      </c>
      <c r="R35" s="1" t="str">
        <f t="shared" si="7"/>
        <v/>
      </c>
      <c r="S35" s="1">
        <f>IF(A35&gt;0,COUNT(A$2:A35),"")</f>
        <v>34</v>
      </c>
      <c r="T35" s="1" t="str">
        <f t="shared" si="8"/>
        <v xml:space="preserve">ASV70L-RETNKX </v>
      </c>
      <c r="U35" s="1" t="str">
        <f t="shared" si="0"/>
        <v xml:space="preserve">   </v>
      </c>
      <c r="V35" s="111" t="str">
        <f t="shared" si="1"/>
        <v/>
      </c>
      <c r="W35" s="267" t="s">
        <v>925</v>
      </c>
      <c r="X35" s="269">
        <f>COUNTIF(T2:T236,"AXAA54L-RNZGBX")+COUNTIF(T2:T236,"AXAA54L-RNZMBX")+COUNTIF(T2:T236,"MXAA54L-RNFMBX")+COUNTIF(T2:T236,"MXAA54L-RNXGBX")+COUNTIF(T2:T236,"MXAA54L-RNXMBX")+COUNTIF(T2:T236,"MXAA54L-RNXXBX")</f>
        <v>85</v>
      </c>
      <c r="Y35" s="5">
        <f>IFERROR(X30/X35,"-")</f>
        <v>2.0352941176470587</v>
      </c>
      <c r="AA35" s="1">
        <v>29901</v>
      </c>
      <c r="AB35" s="1" t="s">
        <v>155</v>
      </c>
      <c r="AD35" s="1" t="str">
        <f t="shared" si="9"/>
        <v>664W</v>
      </c>
      <c r="AH35" s="116">
        <v>34</v>
      </c>
      <c r="AI35" s="122">
        <v>148</v>
      </c>
      <c r="AJ35" s="1" t="s">
        <v>1378</v>
      </c>
      <c r="AK35" s="1">
        <v>309430</v>
      </c>
      <c r="AL35" s="1" t="s">
        <v>115</v>
      </c>
      <c r="AN35" s="270">
        <v>129</v>
      </c>
      <c r="AP35" s="1">
        <v>34</v>
      </c>
      <c r="AQ35" s="1">
        <v>127</v>
      </c>
      <c r="AR35" s="1" t="s">
        <v>1220</v>
      </c>
      <c r="AS35" s="1">
        <v>309273</v>
      </c>
      <c r="AT35" s="1" t="s">
        <v>115</v>
      </c>
      <c r="AV35" s="241">
        <v>972</v>
      </c>
      <c r="AX35" s="1">
        <f t="shared" si="2"/>
        <v>1</v>
      </c>
      <c r="AY35" s="1" t="str">
        <f>IF(COUNTIF($AX$2:AX35,1)&gt;$AG$1,"",IF(AX35="","",E35))</f>
        <v>218</v>
      </c>
      <c r="BA35" s="41" t="s">
        <v>200</v>
      </c>
      <c r="BB35" s="41" t="s">
        <v>201</v>
      </c>
      <c r="BC35" s="41">
        <v>93479</v>
      </c>
      <c r="BD35" s="41"/>
      <c r="BF35" s="41" t="str">
        <f t="shared" si="11"/>
        <v>Нет</v>
      </c>
      <c r="BM35" s="138" t="str">
        <f t="shared" si="3"/>
        <v xml:space="preserve">   </v>
      </c>
      <c r="BN35" s="42">
        <f t="shared" si="4"/>
        <v>11180</v>
      </c>
      <c r="BS35" s="1">
        <v>9657</v>
      </c>
      <c r="BT35" s="1" t="s">
        <v>902</v>
      </c>
      <c r="BX35" s="36"/>
    </row>
    <row r="36" spans="1:76" ht="18">
      <c r="A36" s="55">
        <v>11181</v>
      </c>
      <c r="B36" s="36" t="s">
        <v>1158</v>
      </c>
      <c r="C36" s="36" t="s">
        <v>44</v>
      </c>
      <c r="D36" s="36" t="s">
        <v>913</v>
      </c>
      <c r="E36" s="36" t="s">
        <v>80</v>
      </c>
      <c r="F36" s="36" t="s">
        <v>931</v>
      </c>
      <c r="G36" s="36" t="s">
        <v>894</v>
      </c>
      <c r="H36" s="36" t="s">
        <v>58</v>
      </c>
      <c r="I36" s="36">
        <v>87</v>
      </c>
      <c r="J36" s="36" t="s">
        <v>1146</v>
      </c>
      <c r="K36" s="1" t="str">
        <f t="shared" si="5"/>
        <v/>
      </c>
      <c r="L36" s="1" t="str">
        <f t="shared" si="10"/>
        <v/>
      </c>
      <c r="M36" s="94">
        <v>31</v>
      </c>
      <c r="N36" s="36" t="s">
        <v>1686</v>
      </c>
      <c r="O36" s="95">
        <v>309738</v>
      </c>
      <c r="P36" s="36"/>
      <c r="Q36" s="110" t="str">
        <f t="shared" si="6"/>
        <v/>
      </c>
      <c r="R36" s="1" t="str">
        <f t="shared" si="7"/>
        <v>CVT</v>
      </c>
      <c r="S36" s="1">
        <f>IF(A36&gt;0,COUNT(A$2:A36),"")</f>
        <v>35</v>
      </c>
      <c r="T36" s="1" t="str">
        <f t="shared" si="8"/>
        <v>MXAA52L-RNXMBX</v>
      </c>
      <c r="U36" s="1" t="str">
        <f t="shared" si="0"/>
        <v>CVT</v>
      </c>
      <c r="V36" s="111" t="str">
        <f t="shared" si="1"/>
        <v/>
      </c>
      <c r="W36" s="268" t="s">
        <v>926</v>
      </c>
      <c r="X36" s="269">
        <f>COUNTIF(T2:T236,"MXAA52L-RNFXBX")+COUNTIF(T2:T236,"MXAA52L-RNXGBX")+COUNTIF(T2:T236,"MXAA52L-RNXMBX")+COUNTIF(T2:T236,"MXAA52L-RNXXBX")</f>
        <v>13</v>
      </c>
      <c r="Y36" s="5">
        <f>IFERROR(X30/X36,"-")</f>
        <v>13.307692307692308</v>
      </c>
      <c r="AA36" s="1">
        <v>29912</v>
      </c>
      <c r="AB36" s="1" t="s">
        <v>891</v>
      </c>
      <c r="AD36" s="1" t="str">
        <f t="shared" si="9"/>
        <v>831W</v>
      </c>
      <c r="AH36" s="116">
        <v>35</v>
      </c>
      <c r="AI36" s="122">
        <v>149</v>
      </c>
      <c r="AJ36" s="1" t="s">
        <v>1379</v>
      </c>
      <c r="AK36" s="1">
        <v>309431</v>
      </c>
      <c r="AL36" s="1" t="s">
        <v>930</v>
      </c>
      <c r="AN36" s="270">
        <v>130</v>
      </c>
      <c r="AP36" s="1">
        <v>35</v>
      </c>
      <c r="AQ36" s="1">
        <v>128</v>
      </c>
      <c r="AR36" s="1" t="s">
        <v>1221</v>
      </c>
      <c r="AS36" s="1">
        <v>309274</v>
      </c>
      <c r="AT36" s="1" t="s">
        <v>930</v>
      </c>
      <c r="AV36" s="241">
        <v>973</v>
      </c>
      <c r="AX36" s="1" t="str">
        <f t="shared" si="2"/>
        <v/>
      </c>
      <c r="AY36" s="1" t="str">
        <f>IF(COUNTIF($AX$2:AX36,1)&gt;$AG$1,"",IF(AX36="","",E36))</f>
        <v/>
      </c>
      <c r="BA36" s="41" t="s">
        <v>202</v>
      </c>
      <c r="BB36" s="41" t="s">
        <v>203</v>
      </c>
      <c r="BC36" s="41">
        <v>93823</v>
      </c>
      <c r="BD36" s="41"/>
      <c r="BF36" s="41" t="str">
        <f t="shared" si="11"/>
        <v>Нет</v>
      </c>
      <c r="BM36" s="138">
        <f t="shared" si="3"/>
        <v>87</v>
      </c>
      <c r="BN36" s="42">
        <f t="shared" si="4"/>
        <v>11181</v>
      </c>
      <c r="BS36" s="1">
        <v>9659</v>
      </c>
      <c r="BT36" s="1" t="s">
        <v>902</v>
      </c>
      <c r="BX36" s="36"/>
    </row>
    <row r="37" spans="1:76" ht="15" thickBot="1">
      <c r="A37" s="55">
        <v>11182</v>
      </c>
      <c r="B37" s="36" t="s">
        <v>1158</v>
      </c>
      <c r="C37" s="36" t="s">
        <v>44</v>
      </c>
      <c r="D37" s="36" t="s">
        <v>910</v>
      </c>
      <c r="E37" s="36" t="s">
        <v>20</v>
      </c>
      <c r="F37" s="36" t="s">
        <v>1139</v>
      </c>
      <c r="G37" s="36" t="s">
        <v>921</v>
      </c>
      <c r="H37" s="36" t="s">
        <v>58</v>
      </c>
      <c r="I37" s="36">
        <v>89</v>
      </c>
      <c r="J37" s="36" t="s">
        <v>1146</v>
      </c>
      <c r="K37" s="1" t="str">
        <f t="shared" si="5"/>
        <v/>
      </c>
      <c r="L37" s="1" t="str">
        <f t="shared" si="10"/>
        <v/>
      </c>
      <c r="M37" s="94">
        <v>32</v>
      </c>
      <c r="N37" s="36" t="s">
        <v>1687</v>
      </c>
      <c r="O37" s="95">
        <v>309739</v>
      </c>
      <c r="P37" s="36"/>
      <c r="Q37" s="110" t="str">
        <f t="shared" si="6"/>
        <v/>
      </c>
      <c r="R37" s="1" t="str">
        <f t="shared" si="7"/>
        <v>Auto</v>
      </c>
      <c r="S37" s="1">
        <f>IF(A37&gt;0,COUNT(A$2:A37),"")</f>
        <v>36</v>
      </c>
      <c r="T37" s="1" t="str">
        <f t="shared" si="8"/>
        <v>AXAA54L-RNZMBX</v>
      </c>
      <c r="U37" s="1" t="str">
        <f t="shared" si="0"/>
        <v>8AT</v>
      </c>
      <c r="V37" s="111" t="str">
        <f t="shared" si="1"/>
        <v/>
      </c>
      <c r="AA37" s="1">
        <v>29923</v>
      </c>
      <c r="AB37" s="1" t="s">
        <v>42</v>
      </c>
      <c r="AD37" s="1" t="str">
        <f t="shared" si="9"/>
        <v>831W</v>
      </c>
      <c r="AH37" s="116">
        <v>36</v>
      </c>
      <c r="AI37" s="122">
        <v>150</v>
      </c>
      <c r="AJ37" s="1" t="s">
        <v>1380</v>
      </c>
      <c r="AK37" s="1">
        <v>309432</v>
      </c>
      <c r="AL37" s="1" t="s">
        <v>115</v>
      </c>
      <c r="AN37" s="270">
        <v>131</v>
      </c>
      <c r="AP37" s="1">
        <v>36</v>
      </c>
      <c r="AQ37" s="1">
        <v>129</v>
      </c>
      <c r="AR37" s="1" t="s">
        <v>1222</v>
      </c>
      <c r="AS37" s="1">
        <v>309275</v>
      </c>
      <c r="AT37" s="1" t="s">
        <v>115</v>
      </c>
      <c r="AV37" s="241">
        <v>974</v>
      </c>
      <c r="AX37" s="1" t="str">
        <f t="shared" si="2"/>
        <v/>
      </c>
      <c r="AY37" s="1" t="str">
        <f>IF(COUNTIF($AX$2:AX37,1)&gt;$AG$1,"",IF(AX37="","",E37))</f>
        <v/>
      </c>
      <c r="BA37" s="41" t="s">
        <v>204</v>
      </c>
      <c r="BB37" s="41" t="s">
        <v>205</v>
      </c>
      <c r="BC37" s="41">
        <v>93825</v>
      </c>
      <c r="BD37" s="244" t="s">
        <v>163</v>
      </c>
      <c r="BF37" s="41" t="str">
        <f t="shared" si="11"/>
        <v>Нет</v>
      </c>
      <c r="BM37" s="138">
        <f t="shared" si="3"/>
        <v>89</v>
      </c>
      <c r="BN37" s="42">
        <f t="shared" si="4"/>
        <v>11182</v>
      </c>
      <c r="BS37" s="1">
        <v>9660</v>
      </c>
      <c r="BT37" s="1" t="s">
        <v>902</v>
      </c>
      <c r="BX37" s="36"/>
    </row>
    <row r="38" spans="1:76" ht="18.75" thickBot="1">
      <c r="A38" s="55">
        <v>11183</v>
      </c>
      <c r="B38" s="36" t="s">
        <v>82</v>
      </c>
      <c r="C38" s="36" t="s">
        <v>45</v>
      </c>
      <c r="D38" s="36" t="s">
        <v>906</v>
      </c>
      <c r="E38" s="36" t="s">
        <v>80</v>
      </c>
      <c r="F38" s="36" t="s">
        <v>86</v>
      </c>
      <c r="G38" s="36" t="s">
        <v>85</v>
      </c>
      <c r="H38" s="36" t="s">
        <v>58</v>
      </c>
      <c r="I38" s="36" t="s">
        <v>85</v>
      </c>
      <c r="J38" s="36" t="s">
        <v>1146</v>
      </c>
      <c r="K38" s="1" t="str">
        <f t="shared" si="5"/>
        <v/>
      </c>
      <c r="L38" s="1" t="str">
        <f t="shared" si="10"/>
        <v/>
      </c>
      <c r="M38" s="94">
        <v>33</v>
      </c>
      <c r="N38" s="36" t="s">
        <v>1688</v>
      </c>
      <c r="O38" s="95">
        <v>309740</v>
      </c>
      <c r="P38" s="36"/>
      <c r="Q38" s="110" t="str">
        <f t="shared" si="6"/>
        <v>Standard</v>
      </c>
      <c r="R38" s="1" t="str">
        <f t="shared" si="7"/>
        <v/>
      </c>
      <c r="S38" s="1">
        <f>IF(A38&gt;0,COUNT(A$2:A38),"")</f>
        <v>37</v>
      </c>
      <c r="T38" s="1" t="str">
        <f t="shared" si="8"/>
        <v xml:space="preserve">ASV70L-RETNKX </v>
      </c>
      <c r="U38" s="1" t="str">
        <f t="shared" si="0"/>
        <v xml:space="preserve">   </v>
      </c>
      <c r="V38" s="111" t="str">
        <f t="shared" si="1"/>
        <v/>
      </c>
      <c r="W38" s="553" t="s">
        <v>30</v>
      </c>
      <c r="X38" s="554"/>
      <c r="AA38" s="1">
        <v>29925</v>
      </c>
      <c r="AB38" s="1" t="s">
        <v>891</v>
      </c>
      <c r="AD38" s="1" t="str">
        <f t="shared" si="9"/>
        <v>664W</v>
      </c>
      <c r="AH38" s="116">
        <v>37</v>
      </c>
      <c r="AI38" s="122">
        <v>151</v>
      </c>
      <c r="AJ38" s="1" t="s">
        <v>1381</v>
      </c>
      <c r="AK38" s="1">
        <v>309433</v>
      </c>
      <c r="AL38" s="1" t="s">
        <v>930</v>
      </c>
      <c r="AN38" s="270">
        <v>132</v>
      </c>
      <c r="AP38" s="1">
        <v>37</v>
      </c>
      <c r="AQ38" s="1">
        <v>130</v>
      </c>
      <c r="AR38" s="1" t="s">
        <v>1223</v>
      </c>
      <c r="AS38" s="1">
        <v>309276</v>
      </c>
      <c r="AT38" s="1" t="s">
        <v>930</v>
      </c>
      <c r="AV38" s="241">
        <v>975</v>
      </c>
      <c r="AX38" s="1">
        <f t="shared" si="2"/>
        <v>1</v>
      </c>
      <c r="AY38" s="1" t="str">
        <f>IF(COUNTIF($AX$2:AX38,1)&gt;$AG$1,"",IF(AX38="","",E38))</f>
        <v>089</v>
      </c>
      <c r="BA38" s="41" t="s">
        <v>206</v>
      </c>
      <c r="BB38" s="41" t="s">
        <v>207</v>
      </c>
      <c r="BC38" s="41">
        <v>94157</v>
      </c>
      <c r="BD38" s="41"/>
      <c r="BF38" s="41" t="str">
        <f t="shared" si="11"/>
        <v>Нет</v>
      </c>
      <c r="BM38" s="138" t="str">
        <f t="shared" si="3"/>
        <v xml:space="preserve">   </v>
      </c>
      <c r="BN38" s="42">
        <f t="shared" si="4"/>
        <v>11183</v>
      </c>
      <c r="BS38" s="1">
        <v>9662</v>
      </c>
      <c r="BT38" s="1" t="s">
        <v>902</v>
      </c>
      <c r="BX38" s="36"/>
    </row>
    <row r="39" spans="1:76" ht="14.25">
      <c r="A39" s="55">
        <v>11184</v>
      </c>
      <c r="B39" s="36" t="s">
        <v>1158</v>
      </c>
      <c r="C39" s="36" t="s">
        <v>44</v>
      </c>
      <c r="D39" s="36" t="s">
        <v>915</v>
      </c>
      <c r="E39" s="36" t="s">
        <v>20</v>
      </c>
      <c r="F39" s="36" t="s">
        <v>903</v>
      </c>
      <c r="G39" s="36" t="s">
        <v>894</v>
      </c>
      <c r="H39" s="36" t="s">
        <v>58</v>
      </c>
      <c r="I39" s="36">
        <v>93</v>
      </c>
      <c r="J39" s="36" t="s">
        <v>1146</v>
      </c>
      <c r="K39" s="1" t="str">
        <f t="shared" si="5"/>
        <v/>
      </c>
      <c r="L39" s="1" t="str">
        <f t="shared" si="10"/>
        <v/>
      </c>
      <c r="M39" s="94">
        <v>34</v>
      </c>
      <c r="N39" s="36" t="s">
        <v>1689</v>
      </c>
      <c r="O39" s="95">
        <v>309741</v>
      </c>
      <c r="P39" s="36"/>
      <c r="Q39" s="110" t="str">
        <f t="shared" si="6"/>
        <v/>
      </c>
      <c r="R39" s="1" t="str">
        <f t="shared" si="7"/>
        <v>CVT</v>
      </c>
      <c r="S39" s="1">
        <f>IF(A39&gt;0,COUNT(A$2:A39),"")</f>
        <v>38</v>
      </c>
      <c r="T39" s="1" t="str">
        <f t="shared" si="8"/>
        <v>MXAA54L-RNXGBX</v>
      </c>
      <c r="U39" s="1" t="str">
        <f t="shared" si="0"/>
        <v>CVT</v>
      </c>
      <c r="V39" s="111" t="str">
        <f t="shared" si="1"/>
        <v/>
      </c>
      <c r="W39" s="107" t="s">
        <v>33</v>
      </c>
      <c r="X39" s="25">
        <f>COUNTIF(T2:T236,"ASV71L-RETNHX ")</f>
        <v>6</v>
      </c>
      <c r="AA39" s="1">
        <v>29930</v>
      </c>
      <c r="AB39" s="1" t="s">
        <v>898</v>
      </c>
      <c r="AD39" s="1" t="str">
        <f t="shared" si="9"/>
        <v>831W</v>
      </c>
      <c r="AH39" s="116">
        <v>38</v>
      </c>
      <c r="AI39" s="122">
        <v>152</v>
      </c>
      <c r="AJ39" s="1" t="s">
        <v>1382</v>
      </c>
      <c r="AK39" s="1">
        <v>309434</v>
      </c>
      <c r="AL39" s="1" t="s">
        <v>115</v>
      </c>
      <c r="AN39" s="270">
        <v>133</v>
      </c>
      <c r="AP39" s="1">
        <v>38</v>
      </c>
      <c r="AQ39" s="1">
        <v>131</v>
      </c>
      <c r="AR39" s="1" t="s">
        <v>1224</v>
      </c>
      <c r="AS39" s="1">
        <v>309277</v>
      </c>
      <c r="AT39" s="1" t="s">
        <v>930</v>
      </c>
      <c r="AV39" s="241">
        <v>976</v>
      </c>
      <c r="AX39" s="1" t="str">
        <f t="shared" si="2"/>
        <v/>
      </c>
      <c r="AY39" s="1" t="str">
        <f>IF(COUNTIF($AX$2:AX39,1)&gt;$AG$1,"",IF(AX39="","",E39))</f>
        <v/>
      </c>
      <c r="BA39" s="41" t="s">
        <v>208</v>
      </c>
      <c r="BB39" s="41" t="s">
        <v>209</v>
      </c>
      <c r="BC39" s="41">
        <v>94160</v>
      </c>
      <c r="BD39" s="244" t="s">
        <v>163</v>
      </c>
      <c r="BF39" s="41" t="str">
        <f t="shared" si="11"/>
        <v>Нет</v>
      </c>
      <c r="BM39" s="138">
        <f t="shared" si="3"/>
        <v>93</v>
      </c>
      <c r="BN39" s="42">
        <f t="shared" si="4"/>
        <v>11184</v>
      </c>
      <c r="BS39" s="1">
        <v>9664</v>
      </c>
      <c r="BT39" s="1" t="s">
        <v>902</v>
      </c>
      <c r="BX39" s="36"/>
    </row>
    <row r="40" spans="1:76" ht="14.25">
      <c r="A40" s="55">
        <v>11185</v>
      </c>
      <c r="B40" s="36" t="s">
        <v>82</v>
      </c>
      <c r="C40" s="36" t="s">
        <v>47</v>
      </c>
      <c r="D40" s="36" t="s">
        <v>907</v>
      </c>
      <c r="E40" s="36" t="s">
        <v>80</v>
      </c>
      <c r="F40" s="36" t="s">
        <v>41</v>
      </c>
      <c r="G40" s="36" t="s">
        <v>85</v>
      </c>
      <c r="H40" s="36" t="s">
        <v>58</v>
      </c>
      <c r="I40" s="36" t="s">
        <v>85</v>
      </c>
      <c r="J40" s="36" t="s">
        <v>1146</v>
      </c>
      <c r="K40" s="1" t="str">
        <f t="shared" si="5"/>
        <v/>
      </c>
      <c r="L40" s="1" t="str">
        <f t="shared" si="10"/>
        <v/>
      </c>
      <c r="M40" s="94">
        <v>35</v>
      </c>
      <c r="N40" s="36" t="s">
        <v>1690</v>
      </c>
      <c r="O40" s="95">
        <v>309742</v>
      </c>
      <c r="P40" s="36"/>
      <c r="Q40" s="110" t="str">
        <f t="shared" si="6"/>
        <v>Standard</v>
      </c>
      <c r="R40" s="1" t="str">
        <f t="shared" si="7"/>
        <v/>
      </c>
      <c r="S40" s="1">
        <f>IF(A40&gt;0,COUNT(A$2:A40),"")</f>
        <v>39</v>
      </c>
      <c r="T40" s="1" t="str">
        <f t="shared" si="8"/>
        <v xml:space="preserve">ASV71L-RETNHX </v>
      </c>
      <c r="U40" s="1" t="str">
        <f t="shared" si="0"/>
        <v xml:space="preserve">   </v>
      </c>
      <c r="V40" s="111" t="str">
        <f t="shared" si="1"/>
        <v/>
      </c>
      <c r="W40" s="108" t="s">
        <v>12</v>
      </c>
      <c r="X40" s="23">
        <f>COUNTIF(T2:T236,"ASV70L-RETNKX ")</f>
        <v>62</v>
      </c>
      <c r="AA40" s="1">
        <v>29931</v>
      </c>
      <c r="AB40" s="1" t="s">
        <v>898</v>
      </c>
      <c r="AD40" s="1" t="str">
        <f t="shared" si="9"/>
        <v>664W</v>
      </c>
      <c r="AH40" s="116">
        <v>39</v>
      </c>
      <c r="AI40" s="122">
        <v>153</v>
      </c>
      <c r="AJ40" s="1" t="s">
        <v>1383</v>
      </c>
      <c r="AK40" s="1">
        <v>309435</v>
      </c>
      <c r="AL40" s="1" t="s">
        <v>930</v>
      </c>
      <c r="AN40" s="270">
        <v>134</v>
      </c>
      <c r="AP40" s="1">
        <v>39</v>
      </c>
      <c r="AQ40" s="1">
        <v>132</v>
      </c>
      <c r="AR40" s="1" t="s">
        <v>1225</v>
      </c>
      <c r="AS40" s="1">
        <v>309278</v>
      </c>
      <c r="AT40" s="1" t="s">
        <v>115</v>
      </c>
      <c r="AV40" s="241">
        <v>977</v>
      </c>
      <c r="AX40" s="1">
        <f t="shared" si="2"/>
        <v>1</v>
      </c>
      <c r="AY40" s="1" t="str">
        <f>IF(COUNTIF($AX$2:AX40,1)&gt;$AG$1,"",IF(AX40="","",E40))</f>
        <v>089</v>
      </c>
      <c r="BA40" s="41" t="s">
        <v>210</v>
      </c>
      <c r="BB40" s="41" t="s">
        <v>211</v>
      </c>
      <c r="BC40" s="41">
        <v>94163</v>
      </c>
      <c r="BD40" s="244" t="s">
        <v>163</v>
      </c>
      <c r="BF40" s="41" t="str">
        <f t="shared" si="11"/>
        <v>Нет</v>
      </c>
      <c r="BM40" s="138" t="str">
        <f t="shared" si="3"/>
        <v xml:space="preserve">   </v>
      </c>
      <c r="BN40" s="42">
        <f t="shared" si="4"/>
        <v>11185</v>
      </c>
      <c r="BS40" s="1">
        <v>9665</v>
      </c>
      <c r="BT40" s="1" t="s">
        <v>902</v>
      </c>
      <c r="BX40" s="36"/>
    </row>
    <row r="41" spans="1:76" ht="15" thickBot="1">
      <c r="A41" s="55">
        <v>11186</v>
      </c>
      <c r="B41" s="36" t="s">
        <v>1158</v>
      </c>
      <c r="C41" s="36" t="s">
        <v>44</v>
      </c>
      <c r="D41" s="36" t="s">
        <v>910</v>
      </c>
      <c r="E41" s="36" t="s">
        <v>20</v>
      </c>
      <c r="F41" s="36" t="s">
        <v>1139</v>
      </c>
      <c r="G41" s="36" t="s">
        <v>921</v>
      </c>
      <c r="H41" s="36" t="s">
        <v>58</v>
      </c>
      <c r="I41" s="36">
        <v>95</v>
      </c>
      <c r="J41" s="36" t="s">
        <v>1146</v>
      </c>
      <c r="K41" s="1" t="str">
        <f t="shared" si="5"/>
        <v/>
      </c>
      <c r="L41" s="1" t="str">
        <f t="shared" si="10"/>
        <v/>
      </c>
      <c r="M41" s="94">
        <v>36</v>
      </c>
      <c r="N41" s="36" t="s">
        <v>1691</v>
      </c>
      <c r="O41" s="95">
        <v>309743</v>
      </c>
      <c r="P41" s="36"/>
      <c r="Q41" s="110" t="str">
        <f t="shared" si="6"/>
        <v/>
      </c>
      <c r="R41" s="1" t="str">
        <f t="shared" si="7"/>
        <v>Auto</v>
      </c>
      <c r="S41" s="1">
        <f>IF(A41&gt;0,COUNT(A$2:A41),"")</f>
        <v>40</v>
      </c>
      <c r="T41" s="1" t="str">
        <f t="shared" si="8"/>
        <v>AXAA54L-RNZMBX</v>
      </c>
      <c r="U41" s="1" t="str">
        <f t="shared" si="0"/>
        <v>8AT</v>
      </c>
      <c r="V41" s="111" t="str">
        <f t="shared" si="1"/>
        <v/>
      </c>
      <c r="W41" s="109" t="s">
        <v>13</v>
      </c>
      <c r="X41" s="24">
        <f>COUNTIF(T2:T236,"GSV70L-REZGBX ")</f>
        <v>7</v>
      </c>
      <c r="AA41" s="1">
        <v>29933</v>
      </c>
      <c r="AB41" s="1" t="s">
        <v>891</v>
      </c>
      <c r="AD41" s="1" t="str">
        <f t="shared" si="9"/>
        <v>831W</v>
      </c>
      <c r="AH41" s="116">
        <v>40</v>
      </c>
      <c r="AI41" s="122">
        <v>154</v>
      </c>
      <c r="AJ41" s="1" t="s">
        <v>1384</v>
      </c>
      <c r="AK41" s="1">
        <v>309436</v>
      </c>
      <c r="AL41" s="1" t="s">
        <v>930</v>
      </c>
      <c r="AN41" s="270">
        <v>135</v>
      </c>
      <c r="AP41" s="1">
        <v>40</v>
      </c>
      <c r="AQ41" s="1">
        <v>133</v>
      </c>
      <c r="AR41" s="1" t="s">
        <v>1226</v>
      </c>
      <c r="AS41" s="1">
        <v>309279</v>
      </c>
      <c r="AT41" s="1" t="s">
        <v>930</v>
      </c>
      <c r="AV41" s="241">
        <v>978</v>
      </c>
      <c r="AX41" s="1" t="str">
        <f t="shared" si="2"/>
        <v/>
      </c>
      <c r="AY41" s="1" t="str">
        <f>IF(COUNTIF($AX$2:AX41,1)&gt;$AG$1,"",IF(AX41="","",E41))</f>
        <v/>
      </c>
      <c r="BA41" s="41" t="s">
        <v>212</v>
      </c>
      <c r="BB41" s="41" t="s">
        <v>213</v>
      </c>
      <c r="BC41" s="41">
        <v>94519</v>
      </c>
      <c r="BD41" s="41"/>
      <c r="BF41" s="41" t="str">
        <f t="shared" si="11"/>
        <v>Нет</v>
      </c>
      <c r="BM41" s="138">
        <f t="shared" si="3"/>
        <v>95</v>
      </c>
      <c r="BN41" s="42">
        <f t="shared" si="4"/>
        <v>11186</v>
      </c>
      <c r="BS41" s="1">
        <v>9666</v>
      </c>
      <c r="BT41" s="1" t="s">
        <v>902</v>
      </c>
      <c r="BX41" s="36"/>
    </row>
    <row r="42" spans="1:76" ht="18.75" thickBot="1">
      <c r="A42" s="55">
        <v>11187</v>
      </c>
      <c r="B42" s="36" t="s">
        <v>82</v>
      </c>
      <c r="C42" s="36" t="s">
        <v>45</v>
      </c>
      <c r="D42" s="36" t="s">
        <v>906</v>
      </c>
      <c r="E42" s="36" t="s">
        <v>10</v>
      </c>
      <c r="F42" s="36" t="s">
        <v>86</v>
      </c>
      <c r="G42" s="36" t="s">
        <v>85</v>
      </c>
      <c r="H42" s="36" t="s">
        <v>58</v>
      </c>
      <c r="I42" s="36" t="s">
        <v>85</v>
      </c>
      <c r="J42" s="36" t="s">
        <v>1146</v>
      </c>
      <c r="K42" s="1" t="str">
        <f t="shared" si="5"/>
        <v/>
      </c>
      <c r="L42" s="1" t="str">
        <f t="shared" si="10"/>
        <v/>
      </c>
      <c r="M42" s="94">
        <v>37</v>
      </c>
      <c r="N42" s="36" t="s">
        <v>1692</v>
      </c>
      <c r="O42" s="95">
        <v>309744</v>
      </c>
      <c r="P42" s="36"/>
      <c r="Q42" s="110" t="str">
        <f t="shared" si="6"/>
        <v>Standard</v>
      </c>
      <c r="R42" s="1" t="str">
        <f t="shared" si="7"/>
        <v/>
      </c>
      <c r="S42" s="1">
        <f>IF(A42&gt;0,COUNT(A$2:A42),"")</f>
        <v>41</v>
      </c>
      <c r="T42" s="1" t="str">
        <f t="shared" si="8"/>
        <v xml:space="preserve">ASV70L-RETNKX </v>
      </c>
      <c r="U42" s="1" t="str">
        <f t="shared" si="0"/>
        <v xml:space="preserve">   </v>
      </c>
      <c r="V42" s="111" t="str">
        <f t="shared" si="1"/>
        <v/>
      </c>
      <c r="W42" s="553" t="s">
        <v>24</v>
      </c>
      <c r="X42" s="554"/>
      <c r="AA42" s="1">
        <v>29936</v>
      </c>
      <c r="AB42" s="1" t="s">
        <v>42</v>
      </c>
      <c r="AD42" s="1" t="str">
        <f t="shared" si="9"/>
        <v>664W</v>
      </c>
      <c r="AH42" s="116">
        <v>41</v>
      </c>
      <c r="AI42" s="122">
        <v>155</v>
      </c>
      <c r="AJ42" s="1" t="s">
        <v>1385</v>
      </c>
      <c r="AK42" s="1">
        <v>309437</v>
      </c>
      <c r="AL42" s="1" t="s">
        <v>115</v>
      </c>
      <c r="AN42" s="270">
        <v>136</v>
      </c>
      <c r="AP42" s="1">
        <v>41</v>
      </c>
      <c r="AQ42" s="1">
        <v>134</v>
      </c>
      <c r="AR42" s="1" t="s">
        <v>1227</v>
      </c>
      <c r="AS42" s="1">
        <v>309280</v>
      </c>
      <c r="AT42" s="1" t="s">
        <v>115</v>
      </c>
      <c r="AV42" s="241">
        <v>979</v>
      </c>
      <c r="AX42" s="1">
        <f t="shared" si="2"/>
        <v>1</v>
      </c>
      <c r="AY42" s="1" t="str">
        <f>IF(COUNTIF($AX$2:AX42,1)&gt;$AG$1,"",IF(AX42="","",E42))</f>
        <v>1F7</v>
      </c>
      <c r="BA42" s="41" t="s">
        <v>214</v>
      </c>
      <c r="BB42" s="41" t="s">
        <v>215</v>
      </c>
      <c r="BC42" s="41">
        <v>94522</v>
      </c>
      <c r="BD42" s="244" t="s">
        <v>163</v>
      </c>
      <c r="BF42" s="41" t="str">
        <f t="shared" si="11"/>
        <v>Нет</v>
      </c>
      <c r="BM42" s="138" t="str">
        <f t="shared" si="3"/>
        <v xml:space="preserve">   </v>
      </c>
      <c r="BN42" s="42">
        <f t="shared" si="4"/>
        <v>11187</v>
      </c>
      <c r="BS42" s="1">
        <v>9668</v>
      </c>
      <c r="BT42" s="1" t="s">
        <v>902</v>
      </c>
      <c r="BX42" s="36"/>
    </row>
    <row r="43" spans="1:76" ht="15">
      <c r="A43" s="55">
        <v>11188</v>
      </c>
      <c r="B43" s="36" t="s">
        <v>1158</v>
      </c>
      <c r="C43" s="36" t="s">
        <v>3263</v>
      </c>
      <c r="D43" s="36" t="s">
        <v>916</v>
      </c>
      <c r="E43" s="36" t="s">
        <v>1128</v>
      </c>
      <c r="F43" s="36" t="s">
        <v>1154</v>
      </c>
      <c r="G43" s="36" t="s">
        <v>894</v>
      </c>
      <c r="H43" s="36" t="s">
        <v>58</v>
      </c>
      <c r="I43" s="36" t="s">
        <v>85</v>
      </c>
      <c r="J43" s="36" t="s">
        <v>1146</v>
      </c>
      <c r="K43" s="1" t="str">
        <f t="shared" si="5"/>
        <v/>
      </c>
      <c r="L43" s="1" t="str">
        <f t="shared" si="10"/>
        <v/>
      </c>
      <c r="M43" s="94">
        <v>38</v>
      </c>
      <c r="N43" s="36" t="s">
        <v>1693</v>
      </c>
      <c r="O43" s="95">
        <v>309745</v>
      </c>
      <c r="P43" s="120"/>
      <c r="Q43" s="110" t="str">
        <f t="shared" si="6"/>
        <v/>
      </c>
      <c r="R43" s="1" t="str">
        <f t="shared" si="7"/>
        <v>CVT</v>
      </c>
      <c r="S43" s="1">
        <f>IF(A43&gt;0,COUNT(A$2:A43),"")</f>
        <v>42</v>
      </c>
      <c r="T43" s="1" t="str">
        <f t="shared" si="8"/>
        <v>MXAA54L-RNXMBX</v>
      </c>
      <c r="U43" s="1" t="str">
        <f t="shared" si="0"/>
        <v>CVT</v>
      </c>
      <c r="V43" s="111" t="str">
        <f t="shared" si="1"/>
        <v/>
      </c>
      <c r="W43" s="262" t="s">
        <v>921</v>
      </c>
      <c r="X43" s="25">
        <f>COUNTIF(T2:T236,"AXAA54L-RNZGBX")+COUNTIF(T2:T236,"AXAA54L-RNZMBX")</f>
        <v>36</v>
      </c>
      <c r="AA43" s="1">
        <v>29940</v>
      </c>
      <c r="AB43" s="1" t="s">
        <v>54</v>
      </c>
      <c r="AD43" s="1" t="str">
        <f t="shared" si="9"/>
        <v>831W</v>
      </c>
      <c r="AH43" s="116">
        <v>42</v>
      </c>
      <c r="AI43" s="122">
        <v>156</v>
      </c>
      <c r="AJ43" s="1" t="s">
        <v>1386</v>
      </c>
      <c r="AK43" s="1">
        <v>309438</v>
      </c>
      <c r="AL43" s="1" t="s">
        <v>930</v>
      </c>
      <c r="AN43" s="270">
        <v>137</v>
      </c>
      <c r="AP43" s="1">
        <v>42</v>
      </c>
      <c r="AQ43" s="1">
        <v>135</v>
      </c>
      <c r="AR43" s="1" t="s">
        <v>1228</v>
      </c>
      <c r="AS43" s="1">
        <v>309281</v>
      </c>
      <c r="AT43" s="1" t="s">
        <v>930</v>
      </c>
      <c r="AV43" s="241">
        <v>980</v>
      </c>
      <c r="AX43" s="1">
        <f t="shared" si="2"/>
        <v>1</v>
      </c>
      <c r="AY43" s="1" t="str">
        <f>IF(COUNTIF($AX$2:AX43,1)&gt;$AG$1,"",IF(AX43="","",E43))</f>
        <v>2PS</v>
      </c>
      <c r="BA43" s="41" t="s">
        <v>216</v>
      </c>
      <c r="BB43" s="41" t="s">
        <v>217</v>
      </c>
      <c r="BC43" s="41">
        <v>94524</v>
      </c>
      <c r="BD43" s="244" t="s">
        <v>163</v>
      </c>
      <c r="BF43" s="41" t="str">
        <f t="shared" si="11"/>
        <v>Нет</v>
      </c>
      <c r="BM43" s="138" t="str">
        <f t="shared" si="3"/>
        <v xml:space="preserve">   </v>
      </c>
      <c r="BN43" s="42">
        <f t="shared" si="4"/>
        <v>11188</v>
      </c>
      <c r="BS43" s="1">
        <v>9669</v>
      </c>
      <c r="BT43" s="1" t="s">
        <v>902</v>
      </c>
      <c r="BX43" s="36"/>
    </row>
    <row r="44" spans="1:76" ht="14.25">
      <c r="A44" s="55">
        <v>11189</v>
      </c>
      <c r="B44" s="36" t="s">
        <v>1158</v>
      </c>
      <c r="C44" s="36" t="s">
        <v>247</v>
      </c>
      <c r="D44" s="36" t="s">
        <v>909</v>
      </c>
      <c r="E44" s="36" t="s">
        <v>80</v>
      </c>
      <c r="F44" s="36" t="s">
        <v>1149</v>
      </c>
      <c r="G44" s="36" t="s">
        <v>921</v>
      </c>
      <c r="H44" s="36" t="s">
        <v>58</v>
      </c>
      <c r="I44" s="36" t="s">
        <v>85</v>
      </c>
      <c r="J44" s="36" t="s">
        <v>1146</v>
      </c>
      <c r="K44" s="1" t="str">
        <f t="shared" si="5"/>
        <v/>
      </c>
      <c r="L44" s="1" t="str">
        <f t="shared" si="10"/>
        <v/>
      </c>
      <c r="M44" s="94">
        <v>39</v>
      </c>
      <c r="N44" s="36" t="s">
        <v>1694</v>
      </c>
      <c r="O44" s="95">
        <v>309746</v>
      </c>
      <c r="P44" s="36"/>
      <c r="Q44" s="110" t="str">
        <f t="shared" si="6"/>
        <v/>
      </c>
      <c r="R44" s="1" t="str">
        <f t="shared" si="7"/>
        <v>Auto</v>
      </c>
      <c r="S44" s="1">
        <f>IF(A44&gt;0,COUNT(A$2:A44),"")</f>
        <v>43</v>
      </c>
      <c r="T44" s="1" t="str">
        <f t="shared" si="8"/>
        <v>AXAA54L-RNZGBX</v>
      </c>
      <c r="U44" s="1" t="str">
        <f t="shared" si="0"/>
        <v>8AT</v>
      </c>
      <c r="V44" s="111" t="str">
        <f t="shared" si="1"/>
        <v/>
      </c>
      <c r="W44" s="263" t="s">
        <v>922</v>
      </c>
      <c r="X44" s="23">
        <f>COUNTIF(T2:T236,"MXAA52L-RNFXBX")+COUNTIF(T2:T236,"MXAA54L-RNFMBX")</f>
        <v>5</v>
      </c>
      <c r="AA44" s="1">
        <v>29943</v>
      </c>
      <c r="AB44" s="1" t="s">
        <v>245</v>
      </c>
      <c r="AD44" s="1" t="str">
        <f t="shared" si="9"/>
        <v>831W</v>
      </c>
      <c r="AH44" s="116">
        <v>43</v>
      </c>
      <c r="AI44" s="122">
        <v>157</v>
      </c>
      <c r="AJ44" s="1" t="s">
        <v>1387</v>
      </c>
      <c r="AK44" s="1">
        <v>309439</v>
      </c>
      <c r="AL44" s="1" t="s">
        <v>115</v>
      </c>
      <c r="AN44" s="270">
        <v>138</v>
      </c>
      <c r="AP44" s="1">
        <v>43</v>
      </c>
      <c r="AQ44" s="1">
        <v>136</v>
      </c>
      <c r="AR44" s="1" t="s">
        <v>1229</v>
      </c>
      <c r="AS44" s="1">
        <v>309282</v>
      </c>
      <c r="AT44" s="1" t="s">
        <v>115</v>
      </c>
      <c r="AV44" s="241">
        <v>981</v>
      </c>
      <c r="AX44" s="1">
        <f t="shared" si="2"/>
        <v>1</v>
      </c>
      <c r="AY44" s="1" t="str">
        <f>IF(COUNTIF($AX$2:AX44,1)&gt;$AG$1,"",IF(AX44="","",E44))</f>
        <v>089</v>
      </c>
      <c r="BA44" s="41" t="s">
        <v>218</v>
      </c>
      <c r="BB44" s="41" t="s">
        <v>219</v>
      </c>
      <c r="BC44" s="41">
        <v>94857</v>
      </c>
      <c r="BD44" s="41"/>
      <c r="BF44" s="41" t="str">
        <f t="shared" si="11"/>
        <v>Нет</v>
      </c>
      <c r="BM44" s="138" t="str">
        <f t="shared" si="3"/>
        <v xml:space="preserve">   </v>
      </c>
      <c r="BN44" s="42">
        <f t="shared" si="4"/>
        <v>11189</v>
      </c>
      <c r="BS44" s="1">
        <v>9670</v>
      </c>
      <c r="BT44" s="1" t="s">
        <v>902</v>
      </c>
      <c r="BX44" s="36"/>
    </row>
    <row r="45" spans="1:76" ht="14.25">
      <c r="A45" s="55">
        <v>11190</v>
      </c>
      <c r="B45" s="36" t="s">
        <v>82</v>
      </c>
      <c r="C45" s="36" t="s">
        <v>246</v>
      </c>
      <c r="D45" s="36" t="s">
        <v>906</v>
      </c>
      <c r="E45" s="36" t="s">
        <v>20</v>
      </c>
      <c r="F45" s="36" t="s">
        <v>90</v>
      </c>
      <c r="G45" s="36" t="s">
        <v>85</v>
      </c>
      <c r="H45" s="36" t="s">
        <v>58</v>
      </c>
      <c r="I45" s="36" t="s">
        <v>85</v>
      </c>
      <c r="J45" s="36" t="s">
        <v>1146</v>
      </c>
      <c r="K45" s="1" t="str">
        <f t="shared" si="5"/>
        <v/>
      </c>
      <c r="L45" s="1" t="str">
        <f t="shared" si="10"/>
        <v/>
      </c>
      <c r="M45" s="94">
        <v>40</v>
      </c>
      <c r="N45" s="36" t="s">
        <v>1695</v>
      </c>
      <c r="O45" s="95">
        <v>309747</v>
      </c>
      <c r="P45" s="36"/>
      <c r="Q45" s="110" t="str">
        <f t="shared" si="6"/>
        <v>Standard</v>
      </c>
      <c r="R45" s="1" t="str">
        <f t="shared" si="7"/>
        <v/>
      </c>
      <c r="S45" s="1">
        <f>IF(A45&gt;0,COUNT(A$2:A45),"")</f>
        <v>44</v>
      </c>
      <c r="T45" s="1" t="str">
        <f t="shared" si="8"/>
        <v xml:space="preserve">ASV70L-RETNKX </v>
      </c>
      <c r="U45" s="1" t="str">
        <f t="shared" si="0"/>
        <v xml:space="preserve">   </v>
      </c>
      <c r="V45" s="111" t="str">
        <f t="shared" si="1"/>
        <v/>
      </c>
      <c r="W45" s="264" t="s">
        <v>894</v>
      </c>
      <c r="X45" s="266">
        <f>COUNTIF(T2:T236,"MXAA52L-RNXGBX")+COUNTIF(T2:T236,"MXAA52L-RNXMBX")+COUNTIF(T2:T236,"MXAA52L-RNXXBX")+COUNTIF(T2:T236,"MXAA54L-RNXGBX")+COUNTIF(T2:T236,"MXAA54L-RNXMBX")+COUNTIF(T2:T236,"MXAA54L-RNXXBX")</f>
        <v>57</v>
      </c>
      <c r="AA45" s="1">
        <v>29945</v>
      </c>
      <c r="AB45" s="1" t="s">
        <v>89</v>
      </c>
      <c r="AD45" s="1" t="str">
        <f t="shared" si="9"/>
        <v>664W</v>
      </c>
      <c r="AH45" s="116">
        <v>44</v>
      </c>
      <c r="AI45" s="122">
        <v>158</v>
      </c>
      <c r="AJ45" s="1" t="s">
        <v>1388</v>
      </c>
      <c r="AK45" s="1">
        <v>309440</v>
      </c>
      <c r="AL45" s="1" t="s">
        <v>930</v>
      </c>
      <c r="AN45" s="270">
        <v>139</v>
      </c>
      <c r="AP45" s="1">
        <v>44</v>
      </c>
      <c r="AQ45" s="1">
        <v>137</v>
      </c>
      <c r="AR45" s="1" t="s">
        <v>1230</v>
      </c>
      <c r="AS45" s="1">
        <v>309283</v>
      </c>
      <c r="AT45" s="1" t="s">
        <v>930</v>
      </c>
      <c r="AV45" s="241">
        <v>982</v>
      </c>
      <c r="AX45" s="1">
        <f t="shared" si="2"/>
        <v>1</v>
      </c>
      <c r="AY45" s="1" t="str">
        <f>IF(COUNTIF($AX$2:AX45,1)&gt;$AG$1,"",IF(AX45="","",E45))</f>
        <v>218</v>
      </c>
      <c r="BA45" s="41" t="s">
        <v>220</v>
      </c>
      <c r="BB45" s="41" t="s">
        <v>221</v>
      </c>
      <c r="BC45" s="41">
        <v>94860</v>
      </c>
      <c r="BD45" s="244" t="s">
        <v>163</v>
      </c>
      <c r="BF45" s="41" t="str">
        <f t="shared" si="11"/>
        <v>Нет</v>
      </c>
      <c r="BM45" s="138" t="str">
        <f t="shared" si="3"/>
        <v xml:space="preserve">   </v>
      </c>
      <c r="BN45" s="42">
        <f t="shared" si="4"/>
        <v>11190</v>
      </c>
      <c r="BS45" s="1">
        <v>9671</v>
      </c>
      <c r="BT45" s="1" t="s">
        <v>902</v>
      </c>
      <c r="BX45" s="36"/>
    </row>
    <row r="46" spans="1:76" ht="14.25">
      <c r="A46" s="55">
        <v>11191</v>
      </c>
      <c r="B46" s="36" t="s">
        <v>1158</v>
      </c>
      <c r="C46" s="36" t="s">
        <v>246</v>
      </c>
      <c r="D46" s="36" t="s">
        <v>916</v>
      </c>
      <c r="E46" s="36" t="s">
        <v>80</v>
      </c>
      <c r="F46" s="36" t="s">
        <v>1139</v>
      </c>
      <c r="G46" s="36" t="s">
        <v>894</v>
      </c>
      <c r="H46" s="36" t="s">
        <v>58</v>
      </c>
      <c r="I46" s="36" t="s">
        <v>85</v>
      </c>
      <c r="J46" s="36" t="s">
        <v>1146</v>
      </c>
      <c r="K46" s="1" t="str">
        <f t="shared" si="5"/>
        <v/>
      </c>
      <c r="L46" s="1" t="str">
        <f t="shared" si="10"/>
        <v/>
      </c>
      <c r="M46" s="94">
        <v>41</v>
      </c>
      <c r="N46" s="36" t="s">
        <v>1696</v>
      </c>
      <c r="O46" s="95">
        <v>309748</v>
      </c>
      <c r="P46" s="36"/>
      <c r="Q46" s="110" t="str">
        <f t="shared" si="6"/>
        <v/>
      </c>
      <c r="R46" s="1" t="str">
        <f t="shared" si="7"/>
        <v>CVT</v>
      </c>
      <c r="S46" s="1">
        <f>IF(A46&gt;0,COUNT(A$2:A46),"")</f>
        <v>45</v>
      </c>
      <c r="T46" s="1" t="str">
        <f t="shared" si="8"/>
        <v>MXAA54L-RNXMBX</v>
      </c>
      <c r="U46" s="1" t="str">
        <f t="shared" si="0"/>
        <v>CVT</v>
      </c>
      <c r="V46" s="111" t="str">
        <f t="shared" si="1"/>
        <v/>
      </c>
      <c r="W46" s="261" t="s">
        <v>923</v>
      </c>
      <c r="X46" s="266">
        <f>COUNTIF(T2:T236,"AXAA54L-RNZGBX")+COUNTIF(T2:T236,"MXAA54L-RNXGBX")</f>
        <v>28</v>
      </c>
      <c r="Y46" s="1">
        <f>IFERROR(X30/X46,"-")</f>
        <v>6.1785714285714288</v>
      </c>
      <c r="AA46" s="1">
        <v>29946</v>
      </c>
      <c r="AB46" s="1" t="s">
        <v>245</v>
      </c>
      <c r="AD46" s="1" t="str">
        <f t="shared" si="9"/>
        <v>831W</v>
      </c>
      <c r="AH46" s="116">
        <v>45</v>
      </c>
      <c r="AI46" s="122">
        <v>159</v>
      </c>
      <c r="AJ46" s="1" t="s">
        <v>1389</v>
      </c>
      <c r="AK46" s="1">
        <v>309441</v>
      </c>
      <c r="AL46" s="1" t="s">
        <v>115</v>
      </c>
      <c r="AN46" s="270">
        <v>140</v>
      </c>
      <c r="AP46" s="1">
        <v>45</v>
      </c>
      <c r="AQ46" s="1">
        <v>138</v>
      </c>
      <c r="AR46" s="1" t="s">
        <v>1231</v>
      </c>
      <c r="AS46" s="1">
        <v>309284</v>
      </c>
      <c r="AT46" s="1" t="s">
        <v>930</v>
      </c>
      <c r="AV46" s="241">
        <v>983</v>
      </c>
      <c r="AX46" s="1">
        <f t="shared" si="2"/>
        <v>1</v>
      </c>
      <c r="AY46" s="1" t="str">
        <f>IF(COUNTIF($AX$2:AX46,1)&gt;$AG$1,"",IF(AX46="","",E46))</f>
        <v>089</v>
      </c>
      <c r="BA46" s="41" t="s">
        <v>222</v>
      </c>
      <c r="BB46" s="41" t="s">
        <v>223</v>
      </c>
      <c r="BC46" s="41">
        <v>94863</v>
      </c>
      <c r="BD46" s="244" t="s">
        <v>163</v>
      </c>
      <c r="BF46" s="41" t="str">
        <f t="shared" si="11"/>
        <v>Нет</v>
      </c>
      <c r="BM46" s="138" t="str">
        <f t="shared" si="3"/>
        <v xml:space="preserve">   </v>
      </c>
      <c r="BN46" s="42">
        <f t="shared" si="4"/>
        <v>11191</v>
      </c>
      <c r="BS46" s="1">
        <v>9673</v>
      </c>
      <c r="BT46" s="1" t="s">
        <v>902</v>
      </c>
      <c r="BX46" s="36"/>
    </row>
    <row r="47" spans="1:76" ht="15" thickBot="1">
      <c r="A47" s="55">
        <v>11192</v>
      </c>
      <c r="B47" s="36" t="s">
        <v>82</v>
      </c>
      <c r="C47" s="36" t="s">
        <v>247</v>
      </c>
      <c r="D47" s="36" t="s">
        <v>906</v>
      </c>
      <c r="E47" s="36" t="s">
        <v>20</v>
      </c>
      <c r="F47" s="36" t="s">
        <v>87</v>
      </c>
      <c r="G47" s="36" t="s">
        <v>85</v>
      </c>
      <c r="H47" s="36" t="s">
        <v>58</v>
      </c>
      <c r="I47" s="36" t="s">
        <v>85</v>
      </c>
      <c r="J47" s="36" t="s">
        <v>1146</v>
      </c>
      <c r="K47" s="1" t="str">
        <f t="shared" si="5"/>
        <v/>
      </c>
      <c r="L47" s="1" t="str">
        <f t="shared" si="10"/>
        <v/>
      </c>
      <c r="M47" s="94">
        <v>42</v>
      </c>
      <c r="N47" s="36" t="s">
        <v>1697</v>
      </c>
      <c r="O47" s="95">
        <v>309749</v>
      </c>
      <c r="P47" s="36"/>
      <c r="Q47" s="110" t="str">
        <f t="shared" si="6"/>
        <v>Standard</v>
      </c>
      <c r="R47" s="1" t="str">
        <f t="shared" si="7"/>
        <v/>
      </c>
      <c r="S47" s="1">
        <f>IF(A47&gt;0,COUNT(A$2:A47),"")</f>
        <v>46</v>
      </c>
      <c r="T47" s="1" t="str">
        <f t="shared" si="8"/>
        <v xml:space="preserve">ASV70L-RETNKX </v>
      </c>
      <c r="U47" s="1" t="str">
        <f t="shared" si="0"/>
        <v xml:space="preserve">   </v>
      </c>
      <c r="V47" s="111" t="str">
        <f t="shared" si="1"/>
        <v/>
      </c>
      <c r="W47" s="265"/>
      <c r="X47" s="26"/>
      <c r="AA47" s="1">
        <v>29947</v>
      </c>
      <c r="AB47" s="1" t="s">
        <v>89</v>
      </c>
      <c r="AD47" s="1" t="str">
        <f t="shared" si="9"/>
        <v>664W</v>
      </c>
      <c r="AH47" s="116">
        <v>46</v>
      </c>
      <c r="AI47" s="122">
        <v>160</v>
      </c>
      <c r="AJ47" s="1" t="s">
        <v>1390</v>
      </c>
      <c r="AK47" s="1">
        <v>309442</v>
      </c>
      <c r="AL47" s="1" t="s">
        <v>930</v>
      </c>
      <c r="AN47" s="270">
        <v>141</v>
      </c>
      <c r="AP47" s="1">
        <v>46</v>
      </c>
      <c r="AQ47" s="1">
        <v>139</v>
      </c>
      <c r="AR47" s="1" t="s">
        <v>1232</v>
      </c>
      <c r="AS47" s="1">
        <v>309285</v>
      </c>
      <c r="AT47" s="1" t="s">
        <v>115</v>
      </c>
      <c r="AV47" s="241">
        <v>984</v>
      </c>
      <c r="AX47" s="1">
        <f t="shared" si="2"/>
        <v>1</v>
      </c>
      <c r="AY47" s="1" t="str">
        <f>IF(COUNTIF($AX$2:AX47,1)&gt;$AG$1,"",IF(AX47="","",E47))</f>
        <v>218</v>
      </c>
      <c r="BA47" s="41" t="s">
        <v>224</v>
      </c>
      <c r="BB47" s="41" t="s">
        <v>225</v>
      </c>
      <c r="BC47" s="41">
        <v>95142</v>
      </c>
      <c r="BD47" s="244" t="s">
        <v>163</v>
      </c>
      <c r="BF47" s="41" t="str">
        <f t="shared" si="11"/>
        <v>Нет</v>
      </c>
      <c r="BM47" s="138" t="str">
        <f t="shared" si="3"/>
        <v xml:space="preserve">   </v>
      </c>
      <c r="BN47" s="42">
        <f t="shared" si="4"/>
        <v>11192</v>
      </c>
      <c r="BS47" s="1">
        <v>9674</v>
      </c>
      <c r="BT47" s="1" t="s">
        <v>902</v>
      </c>
      <c r="BX47" s="36"/>
    </row>
    <row r="48" spans="1:76" ht="14.25">
      <c r="A48" s="55">
        <v>11193</v>
      </c>
      <c r="B48" s="36" t="s">
        <v>1158</v>
      </c>
      <c r="C48" s="36" t="s">
        <v>45</v>
      </c>
      <c r="D48" s="36" t="s">
        <v>916</v>
      </c>
      <c r="E48" s="36" t="s">
        <v>79</v>
      </c>
      <c r="F48" s="36" t="s">
        <v>1166</v>
      </c>
      <c r="G48" s="36" t="s">
        <v>894</v>
      </c>
      <c r="H48" s="36" t="s">
        <v>58</v>
      </c>
      <c r="I48" s="36" t="s">
        <v>85</v>
      </c>
      <c r="J48" s="36" t="s">
        <v>1146</v>
      </c>
      <c r="K48" s="1" t="str">
        <f t="shared" si="5"/>
        <v/>
      </c>
      <c r="L48" s="1" t="str">
        <f t="shared" si="10"/>
        <v/>
      </c>
      <c r="M48" s="94">
        <v>43</v>
      </c>
      <c r="N48" s="36" t="s">
        <v>1698</v>
      </c>
      <c r="O48" s="95">
        <v>309750</v>
      </c>
      <c r="P48" s="36"/>
      <c r="Q48" s="110" t="str">
        <f t="shared" si="6"/>
        <v/>
      </c>
      <c r="R48" s="1" t="str">
        <f t="shared" si="7"/>
        <v>CVT</v>
      </c>
      <c r="S48" s="1">
        <f>IF(A48&gt;0,COUNT(A$2:A48),"")</f>
        <v>47</v>
      </c>
      <c r="T48" s="1" t="str">
        <f t="shared" si="8"/>
        <v>MXAA54L-RNXMBX</v>
      </c>
      <c r="U48" s="1" t="str">
        <f t="shared" si="0"/>
        <v>CVT</v>
      </c>
      <c r="V48" s="111" t="str">
        <f t="shared" si="1"/>
        <v/>
      </c>
      <c r="AA48" s="1">
        <v>29950</v>
      </c>
      <c r="AB48" s="1" t="s">
        <v>245</v>
      </c>
      <c r="AD48" s="1" t="str">
        <f t="shared" si="9"/>
        <v>831W</v>
      </c>
      <c r="AH48" s="116">
        <v>47</v>
      </c>
      <c r="AI48" s="122">
        <v>161</v>
      </c>
      <c r="AJ48" s="1" t="s">
        <v>1391</v>
      </c>
      <c r="AK48" s="1">
        <v>309443</v>
      </c>
      <c r="AL48" s="1" t="s">
        <v>115</v>
      </c>
      <c r="AN48" s="270">
        <v>142</v>
      </c>
      <c r="AP48" s="1">
        <v>47</v>
      </c>
      <c r="AQ48" s="1">
        <v>140</v>
      </c>
      <c r="AR48" s="1" t="s">
        <v>1233</v>
      </c>
      <c r="AS48" s="1">
        <v>309286</v>
      </c>
      <c r="AT48" s="1" t="s">
        <v>930</v>
      </c>
      <c r="AV48" s="241">
        <v>985</v>
      </c>
      <c r="AX48" s="1">
        <f t="shared" si="2"/>
        <v>1</v>
      </c>
      <c r="AY48" s="1" t="str">
        <f>IF(COUNTIF($AX$2:AX48,1)&gt;$AG$1,"",IF(AX48="","",E48))</f>
        <v>4X7</v>
      </c>
      <c r="BA48" s="41" t="s">
        <v>226</v>
      </c>
      <c r="BB48" s="41" t="s">
        <v>227</v>
      </c>
      <c r="BC48" s="41">
        <v>95471</v>
      </c>
      <c r="BD48" s="41"/>
      <c r="BF48" s="41" t="str">
        <f t="shared" si="11"/>
        <v>Нет</v>
      </c>
      <c r="BM48" s="138" t="str">
        <f t="shared" si="3"/>
        <v xml:space="preserve">   </v>
      </c>
      <c r="BN48" s="42">
        <f t="shared" si="4"/>
        <v>11193</v>
      </c>
      <c r="BS48" s="1">
        <v>9675</v>
      </c>
      <c r="BT48" s="1" t="s">
        <v>902</v>
      </c>
      <c r="BX48" s="36"/>
    </row>
    <row r="49" spans="1:77" ht="14.25">
      <c r="A49" s="55">
        <v>11194</v>
      </c>
      <c r="B49" s="36" t="s">
        <v>82</v>
      </c>
      <c r="C49" s="36" t="s">
        <v>78</v>
      </c>
      <c r="D49" s="36" t="s">
        <v>906</v>
      </c>
      <c r="E49" s="36" t="s">
        <v>80</v>
      </c>
      <c r="F49" s="36" t="s">
        <v>88</v>
      </c>
      <c r="G49" s="36" t="s">
        <v>85</v>
      </c>
      <c r="H49" s="36" t="s">
        <v>58</v>
      </c>
      <c r="I49" s="36" t="s">
        <v>85</v>
      </c>
      <c r="J49" s="36" t="s">
        <v>1146</v>
      </c>
      <c r="K49" s="1" t="str">
        <f t="shared" si="5"/>
        <v/>
      </c>
      <c r="L49" s="1" t="str">
        <f t="shared" si="10"/>
        <v/>
      </c>
      <c r="M49" s="94">
        <v>44</v>
      </c>
      <c r="N49" s="36" t="s">
        <v>1699</v>
      </c>
      <c r="O49" s="95">
        <v>309751</v>
      </c>
      <c r="P49" s="36"/>
      <c r="Q49" s="110" t="str">
        <f t="shared" si="6"/>
        <v>Standard</v>
      </c>
      <c r="R49" s="1" t="str">
        <f t="shared" si="7"/>
        <v/>
      </c>
      <c r="S49" s="1">
        <f>IF(A49&gt;0,COUNT(A$2:A49),"")</f>
        <v>48</v>
      </c>
      <c r="T49" s="1" t="str">
        <f t="shared" si="8"/>
        <v xml:space="preserve">ASV70L-RETNKX </v>
      </c>
      <c r="U49" s="1" t="str">
        <f t="shared" si="0"/>
        <v xml:space="preserve">   </v>
      </c>
      <c r="V49" s="111" t="str">
        <f t="shared" si="1"/>
        <v/>
      </c>
      <c r="AA49" s="1">
        <v>29951</v>
      </c>
      <c r="AB49" s="1" t="s">
        <v>245</v>
      </c>
      <c r="AD49" s="1" t="str">
        <f t="shared" si="9"/>
        <v>664W</v>
      </c>
      <c r="AH49" s="116">
        <v>48</v>
      </c>
      <c r="AI49" s="122">
        <v>162</v>
      </c>
      <c r="AJ49" s="1" t="s">
        <v>1392</v>
      </c>
      <c r="AK49" s="1">
        <v>309444</v>
      </c>
      <c r="AL49" s="1" t="s">
        <v>930</v>
      </c>
      <c r="AN49" s="270">
        <v>143</v>
      </c>
      <c r="AP49" s="1">
        <v>48</v>
      </c>
      <c r="AQ49" s="1">
        <v>141</v>
      </c>
      <c r="AR49" s="1" t="s">
        <v>1234</v>
      </c>
      <c r="AS49" s="1">
        <v>309287</v>
      </c>
      <c r="AT49" s="1" t="s">
        <v>115</v>
      </c>
      <c r="AV49" s="241">
        <v>986</v>
      </c>
      <c r="AX49" s="1">
        <f t="shared" si="2"/>
        <v>1</v>
      </c>
      <c r="AY49" s="1" t="str">
        <f>IF(COUNTIF($AX$2:AX49,1)&gt;$AG$1,"",IF(AX49="","",E49))</f>
        <v>089</v>
      </c>
      <c r="BA49" s="41" t="s">
        <v>228</v>
      </c>
      <c r="BB49" s="41" t="s">
        <v>229</v>
      </c>
      <c r="BC49" s="41">
        <v>95473</v>
      </c>
      <c r="BD49" s="244" t="s">
        <v>163</v>
      </c>
      <c r="BF49" s="41" t="str">
        <f t="shared" si="11"/>
        <v>Нет</v>
      </c>
      <c r="BM49" s="138" t="str">
        <f t="shared" si="3"/>
        <v xml:space="preserve">   </v>
      </c>
      <c r="BN49" s="42">
        <f t="shared" si="4"/>
        <v>11194</v>
      </c>
      <c r="BS49" s="1">
        <v>9676</v>
      </c>
      <c r="BT49" s="1" t="s">
        <v>902</v>
      </c>
      <c r="BX49" s="36"/>
    </row>
    <row r="50" spans="1:77" ht="14.25">
      <c r="A50" s="55">
        <v>11195</v>
      </c>
      <c r="B50" s="36" t="s">
        <v>1158</v>
      </c>
      <c r="C50" s="36" t="s">
        <v>78</v>
      </c>
      <c r="D50" s="36" t="s">
        <v>915</v>
      </c>
      <c r="E50" s="36" t="s">
        <v>20</v>
      </c>
      <c r="F50" s="36" t="s">
        <v>903</v>
      </c>
      <c r="G50" s="36" t="s">
        <v>894</v>
      </c>
      <c r="H50" s="36" t="s">
        <v>58</v>
      </c>
      <c r="I50" s="36" t="s">
        <v>85</v>
      </c>
      <c r="J50" s="36" t="s">
        <v>1146</v>
      </c>
      <c r="K50" s="1" t="str">
        <f t="shared" si="5"/>
        <v/>
      </c>
      <c r="L50" s="1" t="str">
        <f t="shared" si="10"/>
        <v/>
      </c>
      <c r="M50" s="94">
        <v>45</v>
      </c>
      <c r="N50" s="36" t="s">
        <v>1700</v>
      </c>
      <c r="O50" s="95">
        <v>309752</v>
      </c>
      <c r="P50" s="36"/>
      <c r="Q50" s="110" t="str">
        <f t="shared" si="6"/>
        <v/>
      </c>
      <c r="R50" s="1" t="str">
        <f t="shared" si="7"/>
        <v>CVT</v>
      </c>
      <c r="S50" s="1">
        <f>IF(A50&gt;0,COUNT(A$2:A50),"")</f>
        <v>49</v>
      </c>
      <c r="T50" s="1" t="str">
        <f t="shared" si="8"/>
        <v>MXAA54L-RNXGBX</v>
      </c>
      <c r="U50" s="1" t="str">
        <f t="shared" si="0"/>
        <v>CVT</v>
      </c>
      <c r="V50" s="111" t="str">
        <f t="shared" si="1"/>
        <v/>
      </c>
      <c r="AA50" s="1">
        <v>29952</v>
      </c>
      <c r="AB50" s="1" t="s">
        <v>891</v>
      </c>
      <c r="AD50" s="1" t="str">
        <f t="shared" si="9"/>
        <v>831W</v>
      </c>
      <c r="AG50" s="41"/>
      <c r="AH50" s="116">
        <v>49</v>
      </c>
      <c r="AI50" s="122">
        <v>163</v>
      </c>
      <c r="AJ50" s="1" t="s">
        <v>1393</v>
      </c>
      <c r="AK50" s="1">
        <v>309445</v>
      </c>
      <c r="AL50" s="1" t="s">
        <v>930</v>
      </c>
      <c r="AN50" s="270">
        <v>144</v>
      </c>
      <c r="AP50" s="1">
        <v>49</v>
      </c>
      <c r="AQ50" s="1">
        <v>142</v>
      </c>
      <c r="AR50" s="1" t="s">
        <v>1235</v>
      </c>
      <c r="AS50" s="1">
        <v>309288</v>
      </c>
      <c r="AT50" s="1" t="s">
        <v>930</v>
      </c>
      <c r="AV50" s="241">
        <v>987</v>
      </c>
      <c r="AX50" s="1">
        <f t="shared" si="2"/>
        <v>1</v>
      </c>
      <c r="AY50" s="1" t="str">
        <f>IF(COUNTIF($AX$2:AX50,1)&gt;$AG$1,"",IF(AX50="","",E50))</f>
        <v>218</v>
      </c>
      <c r="BA50" s="41" t="s">
        <v>230</v>
      </c>
      <c r="BB50" s="41" t="s">
        <v>231</v>
      </c>
      <c r="BC50" s="41">
        <v>95476</v>
      </c>
      <c r="BD50" s="244" t="s">
        <v>163</v>
      </c>
      <c r="BF50" s="41" t="str">
        <f t="shared" si="11"/>
        <v>Нет</v>
      </c>
      <c r="BM50" s="138" t="str">
        <f t="shared" si="3"/>
        <v xml:space="preserve">   </v>
      </c>
      <c r="BN50" s="42">
        <f t="shared" si="4"/>
        <v>11195</v>
      </c>
      <c r="BS50" s="1">
        <v>9677</v>
      </c>
      <c r="BT50" s="1" t="s">
        <v>902</v>
      </c>
      <c r="BX50" s="36"/>
    </row>
    <row r="51" spans="1:77" ht="14.25">
      <c r="A51" s="55">
        <v>11196</v>
      </c>
      <c r="B51" s="36" t="s">
        <v>82</v>
      </c>
      <c r="C51" s="36" t="s">
        <v>246</v>
      </c>
      <c r="D51" s="36" t="s">
        <v>907</v>
      </c>
      <c r="E51" s="36" t="s">
        <v>21</v>
      </c>
      <c r="F51" s="36" t="s">
        <v>40</v>
      </c>
      <c r="G51" s="36" t="s">
        <v>85</v>
      </c>
      <c r="H51" s="36" t="s">
        <v>58</v>
      </c>
      <c r="I51" s="36" t="s">
        <v>85</v>
      </c>
      <c r="J51" s="36" t="s">
        <v>1146</v>
      </c>
      <c r="K51" s="1" t="str">
        <f t="shared" si="5"/>
        <v/>
      </c>
      <c r="L51" s="1" t="str">
        <f t="shared" si="10"/>
        <v/>
      </c>
      <c r="M51" s="94">
        <v>46</v>
      </c>
      <c r="N51" s="36" t="s">
        <v>1701</v>
      </c>
      <c r="O51" s="95">
        <v>309753</v>
      </c>
      <c r="P51" s="36"/>
      <c r="Q51" s="110" t="str">
        <f t="shared" si="6"/>
        <v>Standard</v>
      </c>
      <c r="R51" s="1" t="str">
        <f t="shared" si="7"/>
        <v/>
      </c>
      <c r="S51" s="1">
        <f>IF(A51&gt;0,COUNT(A$2:A51),"")</f>
        <v>50</v>
      </c>
      <c r="T51" s="1" t="str">
        <f t="shared" si="8"/>
        <v xml:space="preserve">ASV71L-RETNHX </v>
      </c>
      <c r="U51" s="1" t="str">
        <f t="shared" si="0"/>
        <v xml:space="preserve">   </v>
      </c>
      <c r="V51" s="111" t="str">
        <f t="shared" si="1"/>
        <v/>
      </c>
      <c r="AA51" s="1">
        <v>29953</v>
      </c>
      <c r="AB51" s="1" t="s">
        <v>245</v>
      </c>
      <c r="AD51" s="1" t="str">
        <f t="shared" si="9"/>
        <v>664W</v>
      </c>
      <c r="AG51" s="41"/>
      <c r="AH51" s="116">
        <v>50</v>
      </c>
      <c r="AI51" s="122">
        <v>164</v>
      </c>
      <c r="AJ51" s="1" t="s">
        <v>1394</v>
      </c>
      <c r="AK51" s="1">
        <v>309446</v>
      </c>
      <c r="AL51" s="1" t="s">
        <v>115</v>
      </c>
      <c r="AN51" s="270">
        <v>145</v>
      </c>
      <c r="AP51" s="1">
        <v>50</v>
      </c>
      <c r="AQ51" s="1">
        <v>143</v>
      </c>
      <c r="AR51" s="1" t="s">
        <v>1236</v>
      </c>
      <c r="AS51" s="1">
        <v>309289</v>
      </c>
      <c r="AT51" s="1" t="s">
        <v>115</v>
      </c>
      <c r="AV51" s="241">
        <v>988</v>
      </c>
      <c r="AX51" s="1">
        <f t="shared" si="2"/>
        <v>1</v>
      </c>
      <c r="AY51" s="1" t="str">
        <f>IF(COUNTIF($AX$2:AX51,1)&gt;$AG$1,"",IF(AX51="","",E51))</f>
        <v>040</v>
      </c>
      <c r="BA51" s="41" t="s">
        <v>232</v>
      </c>
      <c r="BB51" s="41" t="s">
        <v>233</v>
      </c>
      <c r="BC51" s="41">
        <v>95773</v>
      </c>
      <c r="BD51" s="41"/>
      <c r="BF51" s="41" t="str">
        <f t="shared" si="11"/>
        <v>Нет</v>
      </c>
      <c r="BM51" s="138" t="str">
        <f t="shared" si="3"/>
        <v xml:space="preserve">   </v>
      </c>
      <c r="BN51" s="42">
        <f t="shared" si="4"/>
        <v>11196</v>
      </c>
      <c r="BS51" s="1">
        <v>9678</v>
      </c>
      <c r="BT51" s="1" t="s">
        <v>902</v>
      </c>
      <c r="BX51" s="36"/>
    </row>
    <row r="52" spans="1:77" ht="14.25">
      <c r="A52" s="55">
        <v>11197</v>
      </c>
      <c r="B52" s="36" t="s">
        <v>1158</v>
      </c>
      <c r="C52" s="36" t="s">
        <v>246</v>
      </c>
      <c r="D52" s="36" t="s">
        <v>910</v>
      </c>
      <c r="E52" s="36" t="s">
        <v>20</v>
      </c>
      <c r="F52" s="36" t="s">
        <v>1139</v>
      </c>
      <c r="G52" s="36" t="s">
        <v>921</v>
      </c>
      <c r="H52" s="36" t="s">
        <v>58</v>
      </c>
      <c r="I52" s="36" t="s">
        <v>85</v>
      </c>
      <c r="J52" s="36" t="s">
        <v>1146</v>
      </c>
      <c r="K52" s="1" t="str">
        <f t="shared" si="5"/>
        <v/>
      </c>
      <c r="L52" s="1" t="str">
        <f t="shared" si="10"/>
        <v/>
      </c>
      <c r="M52" s="94">
        <v>47</v>
      </c>
      <c r="N52" s="36" t="s">
        <v>1702</v>
      </c>
      <c r="O52" s="95">
        <v>309754</v>
      </c>
      <c r="P52" s="36"/>
      <c r="Q52" s="110" t="str">
        <f t="shared" si="6"/>
        <v/>
      </c>
      <c r="R52" s="1" t="str">
        <f t="shared" si="7"/>
        <v>Auto</v>
      </c>
      <c r="S52" s="1">
        <f>IF(A52&gt;0,COUNT(A$2:A52),"")</f>
        <v>51</v>
      </c>
      <c r="T52" s="1" t="str">
        <f t="shared" si="8"/>
        <v>AXAA54L-RNZMBX</v>
      </c>
      <c r="U52" s="1" t="str">
        <f t="shared" si="0"/>
        <v>8AT</v>
      </c>
      <c r="V52" s="111" t="str">
        <f t="shared" si="1"/>
        <v/>
      </c>
      <c r="Y52"/>
      <c r="AA52" s="1">
        <v>29955</v>
      </c>
      <c r="AB52" s="1" t="s">
        <v>89</v>
      </c>
      <c r="AD52" s="1" t="str">
        <f t="shared" si="9"/>
        <v>831W</v>
      </c>
      <c r="AG52" s="41" t="s">
        <v>892</v>
      </c>
      <c r="AH52" s="116">
        <v>51</v>
      </c>
      <c r="AI52" s="122">
        <v>165</v>
      </c>
      <c r="AJ52" s="1" t="s">
        <v>1395</v>
      </c>
      <c r="AK52" s="1">
        <v>309447</v>
      </c>
      <c r="AL52" s="1" t="s">
        <v>930</v>
      </c>
      <c r="AN52" s="270">
        <v>146</v>
      </c>
      <c r="AP52" s="1">
        <v>51</v>
      </c>
      <c r="AQ52" s="1">
        <v>144</v>
      </c>
      <c r="AR52" s="1" t="s">
        <v>1237</v>
      </c>
      <c r="AS52" s="1">
        <v>309290</v>
      </c>
      <c r="AT52" s="1" t="s">
        <v>930</v>
      </c>
      <c r="AV52" s="241">
        <v>989</v>
      </c>
      <c r="AX52" s="1">
        <f t="shared" si="2"/>
        <v>1</v>
      </c>
      <c r="AY52" s="1" t="str">
        <f>IF(COUNTIF($AX$2:AX52,1)&gt;$AG$1,"",IF(AX52="","",E52))</f>
        <v>218</v>
      </c>
      <c r="BA52" s="41" t="s">
        <v>234</v>
      </c>
      <c r="BB52" s="41" t="s">
        <v>235</v>
      </c>
      <c r="BC52" s="41">
        <v>95776</v>
      </c>
      <c r="BD52" s="244" t="s">
        <v>163</v>
      </c>
      <c r="BF52" s="41" t="str">
        <f t="shared" si="11"/>
        <v>Нет</v>
      </c>
      <c r="BM52" s="138" t="str">
        <f t="shared" si="3"/>
        <v xml:space="preserve">   </v>
      </c>
      <c r="BN52" s="42">
        <f t="shared" si="4"/>
        <v>11197</v>
      </c>
      <c r="BS52" s="1">
        <v>9679</v>
      </c>
      <c r="BT52" s="1" t="s">
        <v>902</v>
      </c>
      <c r="BX52" s="36"/>
    </row>
    <row r="53" spans="1:77" thickBot="1">
      <c r="A53" s="55">
        <v>11198</v>
      </c>
      <c r="B53" s="36" t="s">
        <v>1158</v>
      </c>
      <c r="C53" s="36" t="s">
        <v>47</v>
      </c>
      <c r="D53" s="36" t="s">
        <v>913</v>
      </c>
      <c r="E53" s="36" t="s">
        <v>80</v>
      </c>
      <c r="F53" s="36" t="s">
        <v>931</v>
      </c>
      <c r="G53" s="36" t="s">
        <v>894</v>
      </c>
      <c r="H53" s="36" t="s">
        <v>58</v>
      </c>
      <c r="I53" s="36" t="s">
        <v>85</v>
      </c>
      <c r="J53" s="36" t="s">
        <v>1146</v>
      </c>
      <c r="K53" s="1" t="str">
        <f t="shared" si="5"/>
        <v/>
      </c>
      <c r="L53" s="1" t="str">
        <f t="shared" si="10"/>
        <v/>
      </c>
      <c r="M53" s="94">
        <v>48</v>
      </c>
      <c r="N53" s="36" t="s">
        <v>1703</v>
      </c>
      <c r="O53" s="95">
        <v>309755</v>
      </c>
      <c r="P53" s="36"/>
      <c r="Q53" s="110" t="str">
        <f t="shared" si="6"/>
        <v/>
      </c>
      <c r="R53" s="1" t="str">
        <f t="shared" si="7"/>
        <v>CVT</v>
      </c>
      <c r="S53" s="1">
        <f>IF(A53&gt;0,COUNT(A$2:A53),"")</f>
        <v>52</v>
      </c>
      <c r="T53" s="1" t="str">
        <f t="shared" si="8"/>
        <v>MXAA52L-RNXMBX</v>
      </c>
      <c r="U53" s="1" t="str">
        <f t="shared" si="0"/>
        <v>CVT</v>
      </c>
      <c r="V53" s="111" t="str">
        <f t="shared" si="1"/>
        <v/>
      </c>
      <c r="Y53"/>
      <c r="AA53" s="1">
        <v>29956</v>
      </c>
      <c r="AB53" s="1" t="s">
        <v>245</v>
      </c>
      <c r="AD53" s="1" t="str">
        <f t="shared" si="9"/>
        <v>831W</v>
      </c>
      <c r="AF53" s="137" t="s">
        <v>933</v>
      </c>
      <c r="AG53" s="137">
        <f>MATCH(AF57,AH:AH,0)</f>
        <v>12</v>
      </c>
      <c r="AH53" s="116">
        <v>52</v>
      </c>
      <c r="AI53" s="122">
        <v>166</v>
      </c>
      <c r="AJ53" s="1" t="s">
        <v>1396</v>
      </c>
      <c r="AK53" s="1">
        <v>309448</v>
      </c>
      <c r="AL53" s="1" t="s">
        <v>115</v>
      </c>
      <c r="AN53" s="270">
        <v>147</v>
      </c>
      <c r="AP53" s="1">
        <v>52</v>
      </c>
      <c r="AQ53" s="1">
        <v>145</v>
      </c>
      <c r="AR53" s="1" t="s">
        <v>1238</v>
      </c>
      <c r="AS53" s="1">
        <v>309291</v>
      </c>
      <c r="AT53" s="1" t="s">
        <v>930</v>
      </c>
      <c r="AV53" s="241">
        <v>990</v>
      </c>
      <c r="AX53" s="1">
        <f t="shared" si="2"/>
        <v>1</v>
      </c>
      <c r="AY53" s="1" t="str">
        <f>IF(COUNTIF($AX$2:AX53,1)&gt;$AG$1,"",IF(AX53="","",E53))</f>
        <v>089</v>
      </c>
      <c r="BA53" s="41" t="s">
        <v>236</v>
      </c>
      <c r="BB53" s="41" t="s">
        <v>237</v>
      </c>
      <c r="BC53" s="41">
        <v>95778</v>
      </c>
      <c r="BD53" s="244" t="s">
        <v>163</v>
      </c>
      <c r="BF53" s="41" t="str">
        <f t="shared" si="11"/>
        <v>Нет</v>
      </c>
      <c r="BM53" s="138" t="str">
        <f t="shared" si="3"/>
        <v xml:space="preserve">   </v>
      </c>
      <c r="BN53" s="42">
        <f t="shared" si="4"/>
        <v>11198</v>
      </c>
      <c r="BS53" s="1">
        <v>9680</v>
      </c>
      <c r="BT53" s="1" t="s">
        <v>902</v>
      </c>
      <c r="BX53" s="36"/>
    </row>
    <row r="54" spans="1:77" ht="14.25">
      <c r="A54" s="55">
        <v>11199</v>
      </c>
      <c r="B54" s="36" t="s">
        <v>82</v>
      </c>
      <c r="C54" s="36" t="s">
        <v>47</v>
      </c>
      <c r="D54" s="36" t="s">
        <v>906</v>
      </c>
      <c r="E54" s="36" t="s">
        <v>1128</v>
      </c>
      <c r="F54" s="36" t="s">
        <v>1129</v>
      </c>
      <c r="G54" s="36" t="s">
        <v>85</v>
      </c>
      <c r="H54" s="36" t="s">
        <v>58</v>
      </c>
      <c r="I54" s="36" t="s">
        <v>85</v>
      </c>
      <c r="J54" s="36" t="s">
        <v>1146</v>
      </c>
      <c r="K54" s="1" t="str">
        <f t="shared" si="5"/>
        <v/>
      </c>
      <c r="L54" s="1" t="str">
        <f t="shared" si="10"/>
        <v/>
      </c>
      <c r="M54" s="94">
        <v>49</v>
      </c>
      <c r="N54" s="36" t="s">
        <v>1704</v>
      </c>
      <c r="O54" s="95">
        <v>309756</v>
      </c>
      <c r="P54" s="36"/>
      <c r="Q54" s="110" t="str">
        <f t="shared" si="6"/>
        <v>Sport</v>
      </c>
      <c r="R54" s="1" t="str">
        <f t="shared" si="7"/>
        <v/>
      </c>
      <c r="S54" s="1">
        <f>IF(A54&gt;0,COUNT(A$2:A54),"")</f>
        <v>53</v>
      </c>
      <c r="T54" s="1" t="str">
        <f t="shared" si="8"/>
        <v xml:space="preserve">ASV70L-RETNKX </v>
      </c>
      <c r="U54" s="1" t="str">
        <f t="shared" si="0"/>
        <v xml:space="preserve">   </v>
      </c>
      <c r="V54" s="111" t="str">
        <f t="shared" si="1"/>
        <v/>
      </c>
      <c r="Y54"/>
      <c r="AA54" s="1">
        <v>29957</v>
      </c>
      <c r="AB54" s="1" t="s">
        <v>89</v>
      </c>
      <c r="AD54" s="1" t="str">
        <f t="shared" si="9"/>
        <v>664W</v>
      </c>
      <c r="AF54" s="571" t="s">
        <v>932</v>
      </c>
      <c r="AG54" s="572"/>
      <c r="AH54" s="116">
        <v>53</v>
      </c>
      <c r="AI54" s="122">
        <v>167</v>
      </c>
      <c r="AJ54" s="1" t="s">
        <v>1397</v>
      </c>
      <c r="AK54" s="1">
        <v>309449</v>
      </c>
      <c r="AL54" s="1" t="s">
        <v>930</v>
      </c>
      <c r="AN54" s="270">
        <v>148</v>
      </c>
      <c r="AP54" s="1">
        <v>53</v>
      </c>
      <c r="AQ54" s="1">
        <v>146</v>
      </c>
      <c r="AR54" s="1" t="s">
        <v>1239</v>
      </c>
      <c r="AS54" s="1">
        <v>309292</v>
      </c>
      <c r="AT54" s="1" t="s">
        <v>115</v>
      </c>
      <c r="AV54" s="241">
        <v>991</v>
      </c>
      <c r="AX54" s="1">
        <f t="shared" si="2"/>
        <v>1</v>
      </c>
      <c r="AY54" s="1" t="str">
        <f>IF(COUNTIF($AX$2:AX54,1)&gt;$AG$1,"",IF(AX54="","",E54))</f>
        <v>2PS</v>
      </c>
      <c r="BA54" s="41" t="s">
        <v>238</v>
      </c>
      <c r="BB54" s="41" t="s">
        <v>239</v>
      </c>
      <c r="BC54" s="41"/>
      <c r="BD54" s="41"/>
      <c r="BF54" s="41" t="str">
        <f t="shared" si="11"/>
        <v/>
      </c>
      <c r="BM54" s="138" t="str">
        <f t="shared" si="3"/>
        <v xml:space="preserve">   </v>
      </c>
      <c r="BN54" s="42">
        <f t="shared" si="4"/>
        <v>11199</v>
      </c>
      <c r="BS54" s="1">
        <v>9681</v>
      </c>
      <c r="BT54" s="1" t="s">
        <v>902</v>
      </c>
      <c r="BX54" s="36"/>
    </row>
    <row r="55" spans="1:77" ht="14.25">
      <c r="A55" s="55">
        <v>11200</v>
      </c>
      <c r="B55" s="36" t="s">
        <v>1158</v>
      </c>
      <c r="C55" s="36" t="s">
        <v>78</v>
      </c>
      <c r="D55" s="36" t="s">
        <v>909</v>
      </c>
      <c r="E55" s="36" t="s">
        <v>80</v>
      </c>
      <c r="F55" s="36" t="s">
        <v>1149</v>
      </c>
      <c r="G55" s="36" t="s">
        <v>921</v>
      </c>
      <c r="H55" s="36" t="s">
        <v>58</v>
      </c>
      <c r="I55" s="36" t="s">
        <v>85</v>
      </c>
      <c r="J55" s="36" t="s">
        <v>1146</v>
      </c>
      <c r="K55" s="1" t="str">
        <f t="shared" si="5"/>
        <v/>
      </c>
      <c r="L55" s="1" t="str">
        <f t="shared" si="10"/>
        <v/>
      </c>
      <c r="M55" s="94">
        <v>50</v>
      </c>
      <c r="N55" s="36" t="s">
        <v>1705</v>
      </c>
      <c r="O55" s="95">
        <v>309757</v>
      </c>
      <c r="P55" s="36"/>
      <c r="Q55" s="110" t="str">
        <f t="shared" si="6"/>
        <v/>
      </c>
      <c r="R55" s="1" t="str">
        <f t="shared" si="7"/>
        <v>Auto</v>
      </c>
      <c r="S55" s="1">
        <f>IF(A55&gt;0,COUNT(A$2:A55),"")</f>
        <v>54</v>
      </c>
      <c r="T55" s="1" t="str">
        <f t="shared" si="8"/>
        <v>AXAA54L-RNZGBX</v>
      </c>
      <c r="U55" s="1" t="str">
        <f t="shared" si="0"/>
        <v>8AT</v>
      </c>
      <c r="V55" s="111" t="str">
        <f t="shared" si="1"/>
        <v/>
      </c>
      <c r="AA55" s="1">
        <v>29958</v>
      </c>
      <c r="AB55" s="1" t="s">
        <v>89</v>
      </c>
      <c r="AD55" s="1" t="str">
        <f t="shared" si="9"/>
        <v>831W</v>
      </c>
      <c r="AF55" s="573"/>
      <c r="AG55" s="574"/>
      <c r="AH55" s="116">
        <v>54</v>
      </c>
      <c r="AI55" s="122">
        <v>168</v>
      </c>
      <c r="AJ55" s="1" t="s">
        <v>1398</v>
      </c>
      <c r="AK55" s="1">
        <v>309450</v>
      </c>
      <c r="AL55" s="1" t="s">
        <v>115</v>
      </c>
      <c r="AN55" s="270">
        <v>149</v>
      </c>
      <c r="AP55" s="1">
        <v>54</v>
      </c>
      <c r="AQ55" s="1">
        <v>147</v>
      </c>
      <c r="AR55" s="1" t="s">
        <v>1240</v>
      </c>
      <c r="AS55" s="1">
        <v>309293</v>
      </c>
      <c r="AT55" s="1" t="s">
        <v>930</v>
      </c>
      <c r="AV55" s="241">
        <v>992</v>
      </c>
      <c r="AX55" s="1">
        <f t="shared" si="2"/>
        <v>1</v>
      </c>
      <c r="AY55" s="1" t="str">
        <f>IF(COUNTIF($AX$2:AX55,1)&gt;$AG$1,"",IF(AX55="","",E55))</f>
        <v>089</v>
      </c>
      <c r="BA55" s="41" t="s">
        <v>240</v>
      </c>
      <c r="BB55" s="41" t="s">
        <v>241</v>
      </c>
      <c r="BC55" s="41"/>
      <c r="BD55" s="41"/>
      <c r="BF55" s="41" t="str">
        <f t="shared" si="11"/>
        <v/>
      </c>
      <c r="BM55" s="138" t="str">
        <f t="shared" si="3"/>
        <v xml:space="preserve">   </v>
      </c>
      <c r="BN55" s="42">
        <f t="shared" si="4"/>
        <v>11200</v>
      </c>
      <c r="BS55" s="1">
        <v>9682</v>
      </c>
      <c r="BT55" s="1" t="s">
        <v>902</v>
      </c>
      <c r="BX55" s="36"/>
    </row>
    <row r="56" spans="1:77" ht="15" thickBot="1">
      <c r="A56" s="55">
        <v>11201</v>
      </c>
      <c r="B56" s="36" t="s">
        <v>82</v>
      </c>
      <c r="C56" s="36" t="s">
        <v>78</v>
      </c>
      <c r="D56" s="36" t="s">
        <v>906</v>
      </c>
      <c r="E56" s="36" t="s">
        <v>20</v>
      </c>
      <c r="F56" s="36" t="s">
        <v>86</v>
      </c>
      <c r="G56" s="36" t="s">
        <v>85</v>
      </c>
      <c r="H56" s="36" t="s">
        <v>58</v>
      </c>
      <c r="I56" s="36" t="s">
        <v>85</v>
      </c>
      <c r="J56" s="36" t="s">
        <v>1146</v>
      </c>
      <c r="K56" s="1" t="str">
        <f t="shared" si="5"/>
        <v/>
      </c>
      <c r="L56" s="1" t="str">
        <f t="shared" si="10"/>
        <v/>
      </c>
      <c r="M56" s="94">
        <v>51</v>
      </c>
      <c r="N56" s="36" t="s">
        <v>1706</v>
      </c>
      <c r="O56" s="95">
        <v>309758</v>
      </c>
      <c r="P56" s="36"/>
      <c r="Q56" s="110" t="str">
        <f t="shared" si="6"/>
        <v>Standard</v>
      </c>
      <c r="R56" s="1" t="str">
        <f t="shared" si="7"/>
        <v/>
      </c>
      <c r="S56" s="1">
        <f>IF(A56&gt;0,COUNT(A$2:A56),"")</f>
        <v>55</v>
      </c>
      <c r="T56" s="1" t="str">
        <f t="shared" si="8"/>
        <v xml:space="preserve">ASV70L-RETNKX </v>
      </c>
      <c r="U56" s="1" t="str">
        <f t="shared" si="0"/>
        <v xml:space="preserve">   </v>
      </c>
      <c r="V56" s="111" t="str">
        <f t="shared" si="1"/>
        <v/>
      </c>
      <c r="X56" s="41" t="s">
        <v>74</v>
      </c>
      <c r="Y56" s="41"/>
      <c r="AA56" s="1">
        <v>29959</v>
      </c>
      <c r="AB56" s="1" t="s">
        <v>89</v>
      </c>
      <c r="AD56" s="1" t="str">
        <f t="shared" si="9"/>
        <v>664W</v>
      </c>
      <c r="AF56" s="575"/>
      <c r="AG56" s="576"/>
      <c r="AH56" s="116">
        <v>55</v>
      </c>
      <c r="AI56" s="122">
        <v>169</v>
      </c>
      <c r="AJ56" s="1" t="s">
        <v>1399</v>
      </c>
      <c r="AK56" s="1">
        <v>309451</v>
      </c>
      <c r="AL56" s="1" t="s">
        <v>930</v>
      </c>
      <c r="AN56" s="270">
        <v>150</v>
      </c>
      <c r="AP56" s="1">
        <v>55</v>
      </c>
      <c r="AQ56" s="1">
        <v>148</v>
      </c>
      <c r="AR56" s="1" t="s">
        <v>1241</v>
      </c>
      <c r="AS56" s="1">
        <v>309294</v>
      </c>
      <c r="AT56" s="1" t="s">
        <v>115</v>
      </c>
      <c r="AV56" s="241">
        <v>993</v>
      </c>
      <c r="AX56" s="1">
        <f t="shared" si="2"/>
        <v>1</v>
      </c>
      <c r="AY56" s="1" t="str">
        <f>IF(COUNTIF($AX$2:AX56,1)&gt;$AG$1,"",IF(AX56="","",E56))</f>
        <v>218</v>
      </c>
      <c r="BA56" s="41" t="s">
        <v>242</v>
      </c>
      <c r="BB56" s="41" t="s">
        <v>243</v>
      </c>
      <c r="BC56" s="41"/>
      <c r="BD56" s="41"/>
      <c r="BF56" s="41" t="str">
        <f t="shared" si="11"/>
        <v/>
      </c>
      <c r="BM56" s="138" t="str">
        <f t="shared" si="3"/>
        <v xml:space="preserve">   </v>
      </c>
      <c r="BN56" s="42">
        <f t="shared" si="4"/>
        <v>11201</v>
      </c>
      <c r="BS56" s="1">
        <v>9683</v>
      </c>
      <c r="BT56" s="1" t="s">
        <v>902</v>
      </c>
      <c r="BX56" s="36"/>
    </row>
    <row r="57" spans="1:77" ht="14.25">
      <c r="A57" s="55">
        <v>11202</v>
      </c>
      <c r="B57" s="36" t="s">
        <v>1158</v>
      </c>
      <c r="C57" s="36" t="s">
        <v>246</v>
      </c>
      <c r="D57" s="36" t="s">
        <v>916</v>
      </c>
      <c r="E57" s="36" t="s">
        <v>10</v>
      </c>
      <c r="F57" s="36" t="s">
        <v>1139</v>
      </c>
      <c r="G57" s="36" t="s">
        <v>894</v>
      </c>
      <c r="H57" s="36" t="s">
        <v>58</v>
      </c>
      <c r="I57" s="36" t="s">
        <v>85</v>
      </c>
      <c r="J57" s="36" t="s">
        <v>1146</v>
      </c>
      <c r="K57" s="1" t="str">
        <f t="shared" si="5"/>
        <v/>
      </c>
      <c r="L57" s="1" t="str">
        <f t="shared" si="10"/>
        <v/>
      </c>
      <c r="M57" s="94">
        <v>52</v>
      </c>
      <c r="N57" s="36" t="s">
        <v>1707</v>
      </c>
      <c r="O57" s="95">
        <v>309759</v>
      </c>
      <c r="P57" s="36"/>
      <c r="Q57" s="110" t="str">
        <f t="shared" si="6"/>
        <v/>
      </c>
      <c r="R57" s="1" t="str">
        <f t="shared" si="7"/>
        <v>CVT</v>
      </c>
      <c r="S57" s="1">
        <f>IF(A57&gt;0,COUNT(A$2:A57),"")</f>
        <v>56</v>
      </c>
      <c r="T57" s="1" t="str">
        <f t="shared" si="8"/>
        <v>MXAA54L-RNXMBX</v>
      </c>
      <c r="U57" s="1" t="str">
        <f t="shared" si="0"/>
        <v>CVT</v>
      </c>
      <c r="V57" s="111" t="str">
        <f t="shared" si="1"/>
        <v/>
      </c>
      <c r="X57" s="42">
        <f>MAX(A2:A250)</f>
        <v>11395</v>
      </c>
      <c r="Y57" s="41">
        <f>IF(X57&lt;1000,0,IF(X57&lt;10000,LEFT(X57,1)*1000,IF(AND(X57&gt;99000,MIN(A2:A250)&lt;1000),100000,LEFT(X57,2)*1000)))</f>
        <v>11000</v>
      </c>
      <c r="AA57" s="1">
        <v>29960</v>
      </c>
      <c r="AB57" s="1" t="s">
        <v>41</v>
      </c>
      <c r="AD57" s="1" t="str">
        <f t="shared" si="9"/>
        <v>831W</v>
      </c>
      <c r="AF57" s="577">
        <v>11</v>
      </c>
      <c r="AG57" s="578"/>
      <c r="AH57" s="116">
        <v>56</v>
      </c>
      <c r="AI57" s="122">
        <v>170</v>
      </c>
      <c r="AJ57" s="1" t="s">
        <v>1400</v>
      </c>
      <c r="AK57" s="1">
        <v>309452</v>
      </c>
      <c r="AL57" s="1" t="s">
        <v>930</v>
      </c>
      <c r="AN57" s="270">
        <v>151</v>
      </c>
      <c r="AP57" s="1">
        <v>56</v>
      </c>
      <c r="AQ57" s="1">
        <v>149</v>
      </c>
      <c r="AR57" s="1" t="s">
        <v>1242</v>
      </c>
      <c r="AS57" s="1">
        <v>309295</v>
      </c>
      <c r="AT57" s="1" t="s">
        <v>930</v>
      </c>
      <c r="AV57" s="241">
        <v>994</v>
      </c>
      <c r="AX57" s="1">
        <f t="shared" si="2"/>
        <v>1</v>
      </c>
      <c r="AY57" s="1" t="str">
        <f>IF(COUNTIF($AX$2:AX57,1)&gt;$AG$1,"",IF(AX57="","",E57))</f>
        <v>1F7</v>
      </c>
      <c r="BM57" s="138" t="str">
        <f t="shared" si="3"/>
        <v xml:space="preserve">   </v>
      </c>
      <c r="BN57" s="42">
        <f t="shared" si="4"/>
        <v>11202</v>
      </c>
      <c r="BS57" s="1">
        <v>9684</v>
      </c>
      <c r="BT57" s="1" t="s">
        <v>902</v>
      </c>
      <c r="BX57" s="36"/>
    </row>
    <row r="58" spans="1:77" ht="14.25">
      <c r="A58" s="55">
        <v>11203</v>
      </c>
      <c r="B58" s="36" t="s">
        <v>82</v>
      </c>
      <c r="C58" s="36" t="s">
        <v>246</v>
      </c>
      <c r="D58" s="36" t="s">
        <v>906</v>
      </c>
      <c r="E58" s="36" t="s">
        <v>80</v>
      </c>
      <c r="F58" s="36" t="s">
        <v>87</v>
      </c>
      <c r="G58" s="36" t="s">
        <v>85</v>
      </c>
      <c r="H58" s="36" t="s">
        <v>58</v>
      </c>
      <c r="I58" s="36" t="s">
        <v>85</v>
      </c>
      <c r="J58" s="36" t="s">
        <v>1146</v>
      </c>
      <c r="K58" s="1" t="str">
        <f t="shared" si="5"/>
        <v/>
      </c>
      <c r="L58" s="1" t="str">
        <f t="shared" si="10"/>
        <v/>
      </c>
      <c r="M58" s="94">
        <v>53</v>
      </c>
      <c r="N58" s="36" t="s">
        <v>1708</v>
      </c>
      <c r="O58" s="95">
        <v>309760</v>
      </c>
      <c r="P58" s="36"/>
      <c r="Q58" s="110" t="str">
        <f t="shared" si="6"/>
        <v>Standard</v>
      </c>
      <c r="R58" s="1" t="str">
        <f t="shared" si="7"/>
        <v/>
      </c>
      <c r="S58" s="1">
        <f>IF(A58&gt;0,COUNT(A$2:A58),"")</f>
        <v>57</v>
      </c>
      <c r="T58" s="1" t="str">
        <f t="shared" si="8"/>
        <v xml:space="preserve">ASV70L-RETNKX </v>
      </c>
      <c r="U58" s="1" t="str">
        <f t="shared" si="0"/>
        <v xml:space="preserve">   </v>
      </c>
      <c r="V58" s="111" t="str">
        <f t="shared" si="1"/>
        <v/>
      </c>
      <c r="AA58" s="1">
        <v>29961</v>
      </c>
      <c r="AB58" s="1" t="s">
        <v>78</v>
      </c>
      <c r="AD58" s="1" t="str">
        <f t="shared" si="9"/>
        <v>664W</v>
      </c>
      <c r="AF58" s="579"/>
      <c r="AG58" s="580"/>
      <c r="AH58" s="116">
        <v>57</v>
      </c>
      <c r="AI58" s="122">
        <v>171</v>
      </c>
      <c r="AJ58" s="1" t="s">
        <v>1401</v>
      </c>
      <c r="AK58" s="1">
        <v>309453</v>
      </c>
      <c r="AL58" s="1" t="s">
        <v>115</v>
      </c>
      <c r="AN58" s="270">
        <v>152</v>
      </c>
      <c r="AP58" s="1">
        <v>57</v>
      </c>
      <c r="AQ58" s="1">
        <v>150</v>
      </c>
      <c r="AR58" s="1" t="s">
        <v>1243</v>
      </c>
      <c r="AS58" s="1">
        <v>309296</v>
      </c>
      <c r="AT58" s="1" t="s">
        <v>115</v>
      </c>
      <c r="AV58" s="241">
        <v>995</v>
      </c>
      <c r="AX58" s="1">
        <f t="shared" si="2"/>
        <v>1</v>
      </c>
      <c r="AY58" s="1" t="str">
        <f>IF(COUNTIF($AX$2:AX58,1)&gt;$AG$1,"",IF(AX58="","",E58))</f>
        <v>089</v>
      </c>
      <c r="BM58" s="138" t="str">
        <f t="shared" si="3"/>
        <v xml:space="preserve">   </v>
      </c>
      <c r="BN58" s="42">
        <f t="shared" si="4"/>
        <v>11203</v>
      </c>
      <c r="BS58" s="1">
        <v>9685</v>
      </c>
      <c r="BT58" s="1" t="s">
        <v>902</v>
      </c>
      <c r="BX58" s="36"/>
    </row>
    <row r="59" spans="1:77" s="2" customFormat="1" ht="14.25">
      <c r="A59" s="55">
        <v>11204</v>
      </c>
      <c r="B59" s="36" t="s">
        <v>1158</v>
      </c>
      <c r="C59" s="36" t="s">
        <v>246</v>
      </c>
      <c r="D59" s="36" t="s">
        <v>915</v>
      </c>
      <c r="E59" s="36" t="s">
        <v>20</v>
      </c>
      <c r="F59" s="36" t="s">
        <v>903</v>
      </c>
      <c r="G59" s="36" t="s">
        <v>894</v>
      </c>
      <c r="H59" s="36" t="s">
        <v>58</v>
      </c>
      <c r="I59" s="36" t="s">
        <v>85</v>
      </c>
      <c r="J59" s="36" t="s">
        <v>1146</v>
      </c>
      <c r="K59" s="1" t="str">
        <f t="shared" si="5"/>
        <v/>
      </c>
      <c r="L59" s="1" t="str">
        <f t="shared" si="10"/>
        <v/>
      </c>
      <c r="M59" s="94">
        <v>54</v>
      </c>
      <c r="N59" s="36" t="s">
        <v>1709</v>
      </c>
      <c r="O59" s="95">
        <v>309761</v>
      </c>
      <c r="P59" s="36"/>
      <c r="Q59" s="110" t="str">
        <f t="shared" si="6"/>
        <v/>
      </c>
      <c r="R59" s="1" t="str">
        <f t="shared" si="7"/>
        <v>CVT</v>
      </c>
      <c r="S59" s="1">
        <f>IF(A59&gt;0,COUNT(A$2:A59),"")</f>
        <v>58</v>
      </c>
      <c r="T59" s="1" t="str">
        <f t="shared" si="8"/>
        <v>MXAA54L-RNXGBX</v>
      </c>
      <c r="U59" s="1" t="str">
        <f t="shared" si="0"/>
        <v>CVT</v>
      </c>
      <c r="V59" s="111" t="str">
        <f t="shared" si="1"/>
        <v/>
      </c>
      <c r="Z59" s="1"/>
      <c r="AA59" s="1">
        <v>29962</v>
      </c>
      <c r="AB59" s="1" t="s">
        <v>89</v>
      </c>
      <c r="AC59" s="1"/>
      <c r="AD59" s="1" t="str">
        <f t="shared" si="9"/>
        <v>831W</v>
      </c>
      <c r="AE59" s="1"/>
      <c r="AF59" s="579"/>
      <c r="AG59" s="580"/>
      <c r="AH59" s="116">
        <v>58</v>
      </c>
      <c r="AI59" s="122">
        <v>172</v>
      </c>
      <c r="AJ59" s="1" t="s">
        <v>1402</v>
      </c>
      <c r="AK59" s="1">
        <v>309454</v>
      </c>
      <c r="AL59" s="1" t="s">
        <v>930</v>
      </c>
      <c r="AM59" s="113"/>
      <c r="AN59" s="270">
        <v>153</v>
      </c>
      <c r="AO59"/>
      <c r="AP59" s="1">
        <v>58</v>
      </c>
      <c r="AQ59" s="1">
        <v>151</v>
      </c>
      <c r="AR59" s="1" t="s">
        <v>1244</v>
      </c>
      <c r="AS59" s="1">
        <v>309297</v>
      </c>
      <c r="AT59" s="1" t="s">
        <v>930</v>
      </c>
      <c r="AV59" s="241">
        <v>996</v>
      </c>
      <c r="AX59" s="1">
        <f t="shared" si="2"/>
        <v>1</v>
      </c>
      <c r="AY59" s="1" t="str">
        <f>IF(COUNTIF($AX$2:AX59,1)&gt;$AG$1,"",IF(AX59="","",E59))</f>
        <v>218</v>
      </c>
      <c r="BM59" s="138" t="str">
        <f t="shared" si="3"/>
        <v xml:space="preserve">   </v>
      </c>
      <c r="BN59" s="42">
        <f t="shared" si="4"/>
        <v>11204</v>
      </c>
      <c r="BS59" s="2">
        <v>9686</v>
      </c>
      <c r="BT59" s="2" t="s">
        <v>902</v>
      </c>
      <c r="BX59" s="36"/>
      <c r="BY59" s="1"/>
    </row>
    <row r="60" spans="1:77" s="2" customFormat="1" ht="15" thickBot="1">
      <c r="A60" s="55">
        <v>11205</v>
      </c>
      <c r="B60" s="36" t="s">
        <v>1158</v>
      </c>
      <c r="C60" s="36" t="s">
        <v>246</v>
      </c>
      <c r="D60" s="36" t="s">
        <v>910</v>
      </c>
      <c r="E60" s="36" t="s">
        <v>79</v>
      </c>
      <c r="F60" s="36" t="s">
        <v>1139</v>
      </c>
      <c r="G60" s="36" t="s">
        <v>921</v>
      </c>
      <c r="H60" s="36" t="s">
        <v>58</v>
      </c>
      <c r="I60" s="36" t="s">
        <v>85</v>
      </c>
      <c r="J60" s="36" t="s">
        <v>1146</v>
      </c>
      <c r="K60" s="1" t="str">
        <f t="shared" si="5"/>
        <v/>
      </c>
      <c r="L60" s="1" t="str">
        <f t="shared" si="10"/>
        <v/>
      </c>
      <c r="M60" s="94">
        <v>55</v>
      </c>
      <c r="N60" s="36" t="s">
        <v>1710</v>
      </c>
      <c r="O60" s="95">
        <v>309762</v>
      </c>
      <c r="P60" s="36"/>
      <c r="Q60" s="110" t="str">
        <f t="shared" si="6"/>
        <v/>
      </c>
      <c r="R60" s="1" t="str">
        <f t="shared" si="7"/>
        <v>Auto</v>
      </c>
      <c r="S60" s="1">
        <f>IF(A60&gt;0,COUNT(A$2:A60),"")</f>
        <v>59</v>
      </c>
      <c r="T60" s="1" t="str">
        <f t="shared" si="8"/>
        <v>AXAA54L-RNZMBX</v>
      </c>
      <c r="U60" s="1" t="str">
        <f t="shared" si="0"/>
        <v>8AT</v>
      </c>
      <c r="V60" s="111" t="str">
        <f t="shared" si="1"/>
        <v/>
      </c>
      <c r="W60" s="2" t="s">
        <v>909</v>
      </c>
      <c r="X60" s="2" t="s">
        <v>12</v>
      </c>
      <c r="Y60" s="2" t="s">
        <v>918</v>
      </c>
      <c r="Z60" s="1"/>
      <c r="AA60" s="1">
        <v>29963</v>
      </c>
      <c r="AB60" s="1" t="s">
        <v>89</v>
      </c>
      <c r="AC60" s="1"/>
      <c r="AD60" s="1" t="str">
        <f t="shared" si="9"/>
        <v>831W</v>
      </c>
      <c r="AE60" s="1"/>
      <c r="AF60" s="581"/>
      <c r="AG60" s="582"/>
      <c r="AH60" s="116">
        <v>59</v>
      </c>
      <c r="AI60" s="122">
        <v>173</v>
      </c>
      <c r="AJ60" s="1" t="s">
        <v>1403</v>
      </c>
      <c r="AK60" s="1">
        <v>309455</v>
      </c>
      <c r="AL60" s="1" t="s">
        <v>115</v>
      </c>
      <c r="AM60" s="113"/>
      <c r="AN60" s="270">
        <v>154</v>
      </c>
      <c r="AO60"/>
      <c r="AP60" s="1">
        <v>59</v>
      </c>
      <c r="AQ60" s="1">
        <v>152</v>
      </c>
      <c r="AR60" s="1" t="s">
        <v>1245</v>
      </c>
      <c r="AS60" s="1">
        <v>309298</v>
      </c>
      <c r="AT60" s="1" t="s">
        <v>930</v>
      </c>
      <c r="AV60" s="241">
        <v>997</v>
      </c>
      <c r="AX60" s="1">
        <f t="shared" si="2"/>
        <v>1</v>
      </c>
      <c r="AY60" s="1" t="str">
        <f>IF(COUNTIF($AX$2:AX60,1)&gt;$AG$1,"",IF(AX60="","",E60))</f>
        <v>4X7</v>
      </c>
      <c r="BM60" s="138" t="str">
        <f t="shared" si="3"/>
        <v xml:space="preserve">   </v>
      </c>
      <c r="BN60" s="42">
        <f t="shared" si="4"/>
        <v>11205</v>
      </c>
      <c r="BS60" s="2">
        <v>9687</v>
      </c>
      <c r="BT60" s="2" t="s">
        <v>902</v>
      </c>
      <c r="BX60" s="36"/>
      <c r="BY60" s="1"/>
    </row>
    <row r="61" spans="1:77" s="2" customFormat="1" ht="14.25">
      <c r="A61" s="55">
        <v>11206</v>
      </c>
      <c r="B61" s="36" t="s">
        <v>82</v>
      </c>
      <c r="C61" s="36" t="s">
        <v>47</v>
      </c>
      <c r="D61" s="36" t="s">
        <v>906</v>
      </c>
      <c r="E61" s="36" t="s">
        <v>80</v>
      </c>
      <c r="F61" s="36" t="s">
        <v>1148</v>
      </c>
      <c r="G61" s="36" t="s">
        <v>85</v>
      </c>
      <c r="H61" s="36" t="s">
        <v>58</v>
      </c>
      <c r="I61" s="36" t="s">
        <v>85</v>
      </c>
      <c r="J61" s="36" t="s">
        <v>1146</v>
      </c>
      <c r="K61" s="1" t="str">
        <f t="shared" si="5"/>
        <v/>
      </c>
      <c r="L61" s="1" t="str">
        <f t="shared" si="10"/>
        <v/>
      </c>
      <c r="M61" s="94">
        <v>56</v>
      </c>
      <c r="N61" s="36" t="s">
        <v>1711</v>
      </c>
      <c r="O61" s="95">
        <v>309763</v>
      </c>
      <c r="P61" s="36"/>
      <c r="Q61" s="110" t="str">
        <f t="shared" si="6"/>
        <v>Standard</v>
      </c>
      <c r="R61" s="1" t="str">
        <f t="shared" si="7"/>
        <v/>
      </c>
      <c r="S61" s="1">
        <f>IF(A61&gt;0,COUNT(A$2:A61),"")</f>
        <v>60</v>
      </c>
      <c r="T61" s="1" t="str">
        <f t="shared" si="8"/>
        <v xml:space="preserve">ASV70L-RETNKX </v>
      </c>
      <c r="U61" s="1" t="str">
        <f t="shared" si="0"/>
        <v xml:space="preserve">   </v>
      </c>
      <c r="V61" s="111" t="str">
        <f t="shared" si="1"/>
        <v/>
      </c>
      <c r="W61" s="2" t="s">
        <v>910</v>
      </c>
      <c r="X61" s="2" t="s">
        <v>12</v>
      </c>
      <c r="Y61" s="2" t="s">
        <v>918</v>
      </c>
      <c r="Z61" s="1"/>
      <c r="AA61" s="1">
        <v>29964</v>
      </c>
      <c r="AB61" s="1" t="s">
        <v>42</v>
      </c>
      <c r="AC61" s="1"/>
      <c r="AD61" s="1" t="str">
        <f t="shared" si="9"/>
        <v>664W</v>
      </c>
      <c r="AE61" s="1"/>
      <c r="AG61" s="1"/>
      <c r="AH61" s="116">
        <v>60</v>
      </c>
      <c r="AI61" s="122">
        <v>174</v>
      </c>
      <c r="AJ61" s="1" t="s">
        <v>1404</v>
      </c>
      <c r="AK61" s="1">
        <v>309456</v>
      </c>
      <c r="AL61" s="1" t="s">
        <v>930</v>
      </c>
      <c r="AM61" s="113"/>
      <c r="AN61" s="270">
        <v>155</v>
      </c>
      <c r="AO61"/>
      <c r="AP61" s="1">
        <v>60</v>
      </c>
      <c r="AQ61" s="1">
        <v>153</v>
      </c>
      <c r="AR61" s="1" t="s">
        <v>1246</v>
      </c>
      <c r="AS61" s="1">
        <v>309299</v>
      </c>
      <c r="AT61" s="1" t="s">
        <v>115</v>
      </c>
      <c r="AV61" s="241">
        <v>998</v>
      </c>
      <c r="AX61" s="1">
        <f t="shared" si="2"/>
        <v>1</v>
      </c>
      <c r="AY61" s="1" t="str">
        <f>IF(COUNTIF($AX$2:AX61,1)&gt;$AG$1,"",IF(AX61="","",E61))</f>
        <v>089</v>
      </c>
      <c r="BM61" s="138" t="str">
        <f t="shared" si="3"/>
        <v xml:space="preserve">   </v>
      </c>
      <c r="BN61" s="42">
        <f t="shared" si="4"/>
        <v>11206</v>
      </c>
      <c r="BS61" s="2">
        <v>9688</v>
      </c>
      <c r="BT61" s="2" t="s">
        <v>902</v>
      </c>
      <c r="BX61" s="36"/>
      <c r="BY61" s="1"/>
    </row>
    <row r="62" spans="1:77" s="2" customFormat="1" ht="14.25">
      <c r="A62" s="55">
        <v>11207</v>
      </c>
      <c r="B62" s="36" t="s">
        <v>1158</v>
      </c>
      <c r="C62" s="36" t="s">
        <v>47</v>
      </c>
      <c r="D62" s="36" t="s">
        <v>911</v>
      </c>
      <c r="E62" s="36" t="s">
        <v>20</v>
      </c>
      <c r="F62" s="36" t="s">
        <v>202</v>
      </c>
      <c r="G62" s="36" t="s">
        <v>922</v>
      </c>
      <c r="H62" s="36" t="s">
        <v>58</v>
      </c>
      <c r="I62" s="36" t="s">
        <v>85</v>
      </c>
      <c r="J62" s="36" t="s">
        <v>1146</v>
      </c>
      <c r="K62" s="1" t="str">
        <f t="shared" si="5"/>
        <v/>
      </c>
      <c r="L62" s="1" t="str">
        <f t="shared" si="10"/>
        <v/>
      </c>
      <c r="M62" s="94">
        <v>57</v>
      </c>
      <c r="N62" s="36" t="s">
        <v>1712</v>
      </c>
      <c r="O62" s="95">
        <v>309764</v>
      </c>
      <c r="P62" s="36"/>
      <c r="Q62" s="110" t="str">
        <f t="shared" si="6"/>
        <v/>
      </c>
      <c r="R62" s="1" t="str">
        <f t="shared" si="7"/>
        <v>Mech</v>
      </c>
      <c r="S62" s="1">
        <f>IF(A62&gt;0,COUNT(A$2:A62),"")</f>
        <v>61</v>
      </c>
      <c r="T62" s="1" t="str">
        <f t="shared" si="8"/>
        <v>MXAA52L-RNFXBX</v>
      </c>
      <c r="U62" s="1" t="str">
        <f t="shared" si="0"/>
        <v>6MT</v>
      </c>
      <c r="V62" s="111" t="str">
        <f t="shared" si="1"/>
        <v/>
      </c>
      <c r="W62" s="2" t="s">
        <v>911</v>
      </c>
      <c r="X62" s="2" t="s">
        <v>11</v>
      </c>
      <c r="Y62" s="2" t="s">
        <v>919</v>
      </c>
      <c r="Z62" s="1"/>
      <c r="AA62" s="1">
        <v>29965</v>
      </c>
      <c r="AB62" s="1" t="s">
        <v>42</v>
      </c>
      <c r="AC62" s="1"/>
      <c r="AD62" s="1" t="str">
        <f t="shared" si="9"/>
        <v>831W</v>
      </c>
      <c r="AE62" s="1"/>
      <c r="AG62" s="1"/>
      <c r="AH62" s="116">
        <v>61</v>
      </c>
      <c r="AI62" s="122">
        <v>175</v>
      </c>
      <c r="AJ62" s="1" t="s">
        <v>1405</v>
      </c>
      <c r="AK62" s="1">
        <v>309457</v>
      </c>
      <c r="AL62" s="1" t="s">
        <v>115</v>
      </c>
      <c r="AM62" s="113"/>
      <c r="AN62" s="270">
        <v>156</v>
      </c>
      <c r="AO62"/>
      <c r="AP62" s="1">
        <v>61</v>
      </c>
      <c r="AQ62" s="1">
        <v>154</v>
      </c>
      <c r="AR62" s="1" t="s">
        <v>1247</v>
      </c>
      <c r="AS62" s="1">
        <v>309300</v>
      </c>
      <c r="AT62" s="1" t="s">
        <v>930</v>
      </c>
      <c r="AV62" s="241">
        <v>999</v>
      </c>
      <c r="AX62" s="1">
        <f t="shared" si="2"/>
        <v>1</v>
      </c>
      <c r="AY62" s="1" t="str">
        <f>IF(COUNTIF($AX$2:AX62,1)&gt;$AG$1,"",IF(AX62="","",E62))</f>
        <v>218</v>
      </c>
      <c r="BM62" s="138" t="str">
        <f t="shared" si="3"/>
        <v xml:space="preserve">   </v>
      </c>
      <c r="BN62" s="42">
        <f t="shared" si="4"/>
        <v>11207</v>
      </c>
      <c r="BS62" s="2">
        <v>9689</v>
      </c>
      <c r="BT62" s="2" t="s">
        <v>902</v>
      </c>
      <c r="BX62" s="36"/>
      <c r="BY62" s="1"/>
    </row>
    <row r="63" spans="1:77" s="2" customFormat="1" ht="14.25">
      <c r="A63" s="55">
        <v>11208</v>
      </c>
      <c r="B63" s="36" t="s">
        <v>82</v>
      </c>
      <c r="C63" s="36" t="s">
        <v>78</v>
      </c>
      <c r="D63" s="36" t="s">
        <v>906</v>
      </c>
      <c r="E63" s="36" t="s">
        <v>20</v>
      </c>
      <c r="F63" s="36" t="s">
        <v>86</v>
      </c>
      <c r="G63" s="36" t="s">
        <v>85</v>
      </c>
      <c r="H63" s="36" t="s">
        <v>58</v>
      </c>
      <c r="I63" s="36" t="s">
        <v>85</v>
      </c>
      <c r="J63" s="36" t="s">
        <v>1146</v>
      </c>
      <c r="K63" s="1" t="str">
        <f t="shared" si="5"/>
        <v/>
      </c>
      <c r="L63" s="1" t="str">
        <f t="shared" si="10"/>
        <v/>
      </c>
      <c r="M63" s="94">
        <v>58</v>
      </c>
      <c r="N63" s="36" t="s">
        <v>1713</v>
      </c>
      <c r="O63" s="95">
        <v>309765</v>
      </c>
      <c r="P63" s="36"/>
      <c r="Q63" s="110" t="str">
        <f t="shared" si="6"/>
        <v>Standard</v>
      </c>
      <c r="R63" s="1" t="str">
        <f t="shared" si="7"/>
        <v/>
      </c>
      <c r="S63" s="1">
        <f>IF(A63&gt;0,COUNT(A$2:A63),"")</f>
        <v>62</v>
      </c>
      <c r="T63" s="1" t="str">
        <f t="shared" si="8"/>
        <v xml:space="preserve">ASV70L-RETNKX </v>
      </c>
      <c r="U63" s="1" t="str">
        <f t="shared" si="0"/>
        <v xml:space="preserve">   </v>
      </c>
      <c r="V63" s="111" t="str">
        <f t="shared" si="1"/>
        <v/>
      </c>
      <c r="W63" s="2" t="s">
        <v>912</v>
      </c>
      <c r="X63" s="2" t="s">
        <v>11</v>
      </c>
      <c r="Y63" s="2" t="s">
        <v>919</v>
      </c>
      <c r="Z63" s="1"/>
      <c r="AA63" s="1">
        <v>29966</v>
      </c>
      <c r="AB63" s="1" t="s">
        <v>42</v>
      </c>
      <c r="AC63" s="1"/>
      <c r="AD63" s="1" t="str">
        <f t="shared" si="9"/>
        <v>664W</v>
      </c>
      <c r="AE63" s="1"/>
      <c r="AF63" s="1"/>
      <c r="AG63" s="1"/>
      <c r="AH63" s="116">
        <v>62</v>
      </c>
      <c r="AI63" s="122">
        <v>176</v>
      </c>
      <c r="AJ63" s="1" t="s">
        <v>1406</v>
      </c>
      <c r="AK63" s="1">
        <v>309458</v>
      </c>
      <c r="AL63" s="1" t="s">
        <v>930</v>
      </c>
      <c r="AM63" s="113"/>
      <c r="AN63" s="270">
        <v>157</v>
      </c>
      <c r="AO63"/>
      <c r="AP63" s="1">
        <v>62</v>
      </c>
      <c r="AQ63" s="1">
        <v>155</v>
      </c>
      <c r="AR63" s="1" t="s">
        <v>1248</v>
      </c>
      <c r="AS63" s="1">
        <v>309301</v>
      </c>
      <c r="AT63" s="1" t="s">
        <v>115</v>
      </c>
      <c r="AV63" s="241">
        <v>0</v>
      </c>
      <c r="AX63" s="1">
        <f t="shared" si="2"/>
        <v>1</v>
      </c>
      <c r="AY63" s="1" t="str">
        <f>IF(COUNTIF($AX$2:AX63,1)&gt;$AG$1,"",IF(AX63="","",E63))</f>
        <v>218</v>
      </c>
      <c r="BM63" s="138" t="str">
        <f t="shared" si="3"/>
        <v xml:space="preserve">   </v>
      </c>
      <c r="BN63" s="42">
        <f t="shared" si="4"/>
        <v>11208</v>
      </c>
      <c r="BS63" s="2">
        <v>9690</v>
      </c>
      <c r="BT63" s="2" t="s">
        <v>902</v>
      </c>
      <c r="BX63" s="36"/>
      <c r="BY63" s="1"/>
    </row>
    <row r="64" spans="1:77" s="2" customFormat="1" ht="14.25">
      <c r="A64" s="55">
        <v>11209</v>
      </c>
      <c r="B64" s="36" t="s">
        <v>1158</v>
      </c>
      <c r="C64" s="36" t="s">
        <v>47</v>
      </c>
      <c r="D64" s="36" t="s">
        <v>916</v>
      </c>
      <c r="E64" s="36" t="s">
        <v>1128</v>
      </c>
      <c r="F64" s="36" t="s">
        <v>1154</v>
      </c>
      <c r="G64" s="36" t="s">
        <v>894</v>
      </c>
      <c r="H64" s="36" t="s">
        <v>58</v>
      </c>
      <c r="I64" s="36" t="s">
        <v>85</v>
      </c>
      <c r="J64" s="36" t="s">
        <v>1146</v>
      </c>
      <c r="K64" s="1" t="str">
        <f t="shared" si="5"/>
        <v/>
      </c>
      <c r="L64" s="1" t="str">
        <f t="shared" si="10"/>
        <v/>
      </c>
      <c r="M64" s="94">
        <v>59</v>
      </c>
      <c r="N64" s="36" t="s">
        <v>1714</v>
      </c>
      <c r="O64" s="95">
        <v>309766</v>
      </c>
      <c r="P64" s="36"/>
      <c r="Q64" s="110" t="str">
        <f t="shared" si="6"/>
        <v/>
      </c>
      <c r="R64" s="1" t="str">
        <f t="shared" si="7"/>
        <v>CVT</v>
      </c>
      <c r="S64" s="1">
        <f>IF(A64&gt;0,COUNT(A$2:A64),"")</f>
        <v>63</v>
      </c>
      <c r="T64" s="1" t="str">
        <f t="shared" si="8"/>
        <v>MXAA54L-RNXMBX</v>
      </c>
      <c r="U64" s="1" t="str">
        <f t="shared" si="0"/>
        <v>CVT</v>
      </c>
      <c r="V64" s="111" t="str">
        <f t="shared" si="1"/>
        <v/>
      </c>
      <c r="W64" s="2" t="s">
        <v>913</v>
      </c>
      <c r="X64" s="2" t="s">
        <v>11</v>
      </c>
      <c r="Y64" s="2" t="s">
        <v>919</v>
      </c>
      <c r="Z64" s="1"/>
      <c r="AA64" s="1">
        <v>29967</v>
      </c>
      <c r="AB64" s="1" t="s">
        <v>42</v>
      </c>
      <c r="AC64" s="1"/>
      <c r="AD64" s="1" t="str">
        <f t="shared" si="9"/>
        <v>831W</v>
      </c>
      <c r="AE64" s="1"/>
      <c r="AF64" s="1"/>
      <c r="AG64" s="1"/>
      <c r="AH64" s="116">
        <v>63</v>
      </c>
      <c r="AI64" s="122">
        <v>177</v>
      </c>
      <c r="AJ64" s="1" t="s">
        <v>1407</v>
      </c>
      <c r="AK64" s="1">
        <v>309459</v>
      </c>
      <c r="AL64" s="1" t="s">
        <v>115</v>
      </c>
      <c r="AM64" s="113"/>
      <c r="AN64" s="270">
        <v>158</v>
      </c>
      <c r="AO64"/>
      <c r="AP64" s="1">
        <v>63</v>
      </c>
      <c r="AQ64" s="1">
        <v>156</v>
      </c>
      <c r="AR64" s="1" t="s">
        <v>1249</v>
      </c>
      <c r="AS64" s="1">
        <v>309302</v>
      </c>
      <c r="AT64" s="1" t="s">
        <v>930</v>
      </c>
      <c r="AV64" s="241">
        <v>1</v>
      </c>
      <c r="AX64" s="1">
        <f t="shared" si="2"/>
        <v>1</v>
      </c>
      <c r="AY64" s="1" t="str">
        <f>IF(COUNTIF($AX$2:AX64,1)&gt;$AG$1,"",IF(AX64="","",E64))</f>
        <v>2PS</v>
      </c>
      <c r="BM64" s="138" t="str">
        <f t="shared" si="3"/>
        <v xml:space="preserve">   </v>
      </c>
      <c r="BN64" s="42">
        <f t="shared" si="4"/>
        <v>11209</v>
      </c>
      <c r="BS64" s="2">
        <v>9691</v>
      </c>
      <c r="BT64" s="2" t="s">
        <v>902</v>
      </c>
      <c r="BX64" s="36"/>
      <c r="BY64" s="1"/>
    </row>
    <row r="65" spans="1:77" s="2" customFormat="1" ht="14.25">
      <c r="A65" s="55">
        <v>11210</v>
      </c>
      <c r="B65" s="36" t="s">
        <v>82</v>
      </c>
      <c r="C65" s="36" t="s">
        <v>47</v>
      </c>
      <c r="D65" s="36" t="s">
        <v>906</v>
      </c>
      <c r="E65" s="36" t="s">
        <v>80</v>
      </c>
      <c r="F65" s="36" t="s">
        <v>87</v>
      </c>
      <c r="G65" s="36" t="s">
        <v>85</v>
      </c>
      <c r="H65" s="36" t="s">
        <v>58</v>
      </c>
      <c r="I65" s="36" t="s">
        <v>85</v>
      </c>
      <c r="J65" s="36" t="s">
        <v>1146</v>
      </c>
      <c r="K65" s="1" t="str">
        <f t="shared" si="5"/>
        <v/>
      </c>
      <c r="L65" s="1" t="str">
        <f t="shared" si="10"/>
        <v/>
      </c>
      <c r="M65" s="94">
        <v>60</v>
      </c>
      <c r="N65" s="36" t="s">
        <v>1715</v>
      </c>
      <c r="O65" s="95">
        <v>309767</v>
      </c>
      <c r="P65" s="36"/>
      <c r="Q65" s="110" t="str">
        <f t="shared" si="6"/>
        <v>Standard</v>
      </c>
      <c r="R65" s="1" t="str">
        <f t="shared" si="7"/>
        <v/>
      </c>
      <c r="S65" s="1">
        <f>IF(A65&gt;0,COUNT(A$2:A65),"")</f>
        <v>64</v>
      </c>
      <c r="T65" s="1" t="str">
        <f t="shared" si="8"/>
        <v xml:space="preserve">ASV70L-RETNKX </v>
      </c>
      <c r="U65" s="1" t="str">
        <f t="shared" si="0"/>
        <v xml:space="preserve">   </v>
      </c>
      <c r="V65" s="111" t="str">
        <f t="shared" si="1"/>
        <v/>
      </c>
      <c r="W65" s="2" t="s">
        <v>905</v>
      </c>
      <c r="X65" s="2" t="s">
        <v>11</v>
      </c>
      <c r="Y65" s="2" t="s">
        <v>919</v>
      </c>
      <c r="Z65" s="1"/>
      <c r="AA65" s="1">
        <v>29968</v>
      </c>
      <c r="AB65" s="1" t="s">
        <v>89</v>
      </c>
      <c r="AC65" s="1"/>
      <c r="AD65" s="1" t="str">
        <f t="shared" si="9"/>
        <v>664W</v>
      </c>
      <c r="AE65" s="1"/>
      <c r="AF65" s="1"/>
      <c r="AG65" s="1"/>
      <c r="AH65" s="116">
        <v>64</v>
      </c>
      <c r="AI65" s="122">
        <v>178</v>
      </c>
      <c r="AJ65" s="1" t="s">
        <v>1408</v>
      </c>
      <c r="AK65" s="1">
        <v>309460</v>
      </c>
      <c r="AL65" s="1" t="s">
        <v>930</v>
      </c>
      <c r="AM65" s="113"/>
      <c r="AN65" s="270">
        <v>159</v>
      </c>
      <c r="AO65"/>
      <c r="AP65" s="1">
        <v>64</v>
      </c>
      <c r="AQ65" s="1">
        <v>157</v>
      </c>
      <c r="AR65" s="1" t="s">
        <v>1250</v>
      </c>
      <c r="AS65" s="1">
        <v>309303</v>
      </c>
      <c r="AT65" s="1" t="s">
        <v>115</v>
      </c>
      <c r="AV65" s="241">
        <v>2</v>
      </c>
      <c r="AX65" s="1">
        <f t="shared" si="2"/>
        <v>1</v>
      </c>
      <c r="AY65" s="1" t="str">
        <f>IF(COUNTIF($AX$2:AX65,1)&gt;$AG$1,"",IF(AX65="","",E65))</f>
        <v>089</v>
      </c>
      <c r="BM65" s="138" t="str">
        <f t="shared" si="3"/>
        <v xml:space="preserve">   </v>
      </c>
      <c r="BN65" s="42">
        <f t="shared" si="4"/>
        <v>11210</v>
      </c>
      <c r="BS65" s="2">
        <v>9692</v>
      </c>
      <c r="BT65" s="2" t="s">
        <v>902</v>
      </c>
      <c r="BX65" s="36"/>
      <c r="BY65" s="1"/>
    </row>
    <row r="66" spans="1:77" s="2" customFormat="1" ht="14.25">
      <c r="A66" s="55">
        <v>11211</v>
      </c>
      <c r="B66" s="36" t="s">
        <v>1158</v>
      </c>
      <c r="C66" s="36" t="s">
        <v>78</v>
      </c>
      <c r="D66" s="36" t="s">
        <v>910</v>
      </c>
      <c r="E66" s="36" t="s">
        <v>20</v>
      </c>
      <c r="F66" s="36" t="s">
        <v>1139</v>
      </c>
      <c r="G66" s="36" t="s">
        <v>921</v>
      </c>
      <c r="H66" s="36" t="s">
        <v>58</v>
      </c>
      <c r="I66" s="36" t="s">
        <v>85</v>
      </c>
      <c r="J66" s="36" t="s">
        <v>1146</v>
      </c>
      <c r="K66" s="1" t="str">
        <f t="shared" si="5"/>
        <v/>
      </c>
      <c r="L66" s="1" t="str">
        <f t="shared" si="10"/>
        <v/>
      </c>
      <c r="M66" s="94">
        <v>61</v>
      </c>
      <c r="N66" s="36" t="s">
        <v>1716</v>
      </c>
      <c r="O66" s="95">
        <v>309768</v>
      </c>
      <c r="P66" s="36"/>
      <c r="Q66" s="110" t="str">
        <f t="shared" si="6"/>
        <v/>
      </c>
      <c r="R66" s="1" t="str">
        <f t="shared" si="7"/>
        <v>Auto</v>
      </c>
      <c r="S66" s="1">
        <f>IF(A66&gt;0,COUNT(A$2:A66),"")</f>
        <v>65</v>
      </c>
      <c r="T66" s="1" t="str">
        <f t="shared" ref="T66:T129" si="12">IF(S66&gt;$AG$1,"",IF(S66&gt;0,D66,""))</f>
        <v>AXAA54L-RNZMBX</v>
      </c>
      <c r="U66" s="1" t="str">
        <f t="shared" ref="U66:U129" si="13">IF(S66&gt;$AG$1,"",IF(S66&gt;0,G66,""))</f>
        <v>8AT</v>
      </c>
      <c r="V66" s="111" t="str">
        <f t="shared" ref="V66:V129" si="14">IF(S66&gt;$AG$1,"",IF(AND(H66="Z",F66&lt;&gt;"BO"),"Special",""))</f>
        <v/>
      </c>
      <c r="W66" s="2" t="s">
        <v>914</v>
      </c>
      <c r="X66" s="2" t="s">
        <v>11</v>
      </c>
      <c r="Y66" s="2" t="s">
        <v>918</v>
      </c>
      <c r="Z66" s="1"/>
      <c r="AA66" s="1">
        <v>29969</v>
      </c>
      <c r="AB66" s="1" t="s">
        <v>41</v>
      </c>
      <c r="AC66" s="1"/>
      <c r="AD66" s="1" t="str">
        <f t="shared" ref="AD66:AD129" si="15">IF(AND(C66&lt;&gt;"B0",C66&lt;&gt;"B1"),B66,"")</f>
        <v>831W</v>
      </c>
      <c r="AE66" s="1"/>
      <c r="AF66" s="1"/>
      <c r="AG66" s="1"/>
      <c r="AH66" s="116">
        <v>65</v>
      </c>
      <c r="AI66" s="122">
        <v>179</v>
      </c>
      <c r="AJ66" s="1" t="s">
        <v>1409</v>
      </c>
      <c r="AK66" s="1">
        <v>309461</v>
      </c>
      <c r="AL66" s="1" t="s">
        <v>930</v>
      </c>
      <c r="AM66" s="113"/>
      <c r="AN66" s="270">
        <v>160</v>
      </c>
      <c r="AO66"/>
      <c r="AP66" s="1">
        <v>65</v>
      </c>
      <c r="AQ66" s="1">
        <v>158</v>
      </c>
      <c r="AR66" s="1" t="s">
        <v>1251</v>
      </c>
      <c r="AS66" s="1">
        <v>309304</v>
      </c>
      <c r="AT66" s="1" t="s">
        <v>930</v>
      </c>
      <c r="AV66" s="241">
        <v>3</v>
      </c>
      <c r="AX66" s="1">
        <f t="shared" ref="AX66:AX129" si="16">IF(AND(C66&lt;&gt;"A0",C66&lt;&gt;"P9"),1,"")</f>
        <v>1</v>
      </c>
      <c r="AY66" s="1" t="str">
        <f>IF(COUNTIF($AX$2:AX66,1)&gt;$AG$1,"",IF(AX66="","",E66))</f>
        <v>218</v>
      </c>
      <c r="BM66" s="138" t="str">
        <f t="shared" ref="BM66:BM129" si="17">I66</f>
        <v xml:space="preserve">   </v>
      </c>
      <c r="BN66" s="42">
        <f t="shared" ref="BN66:BN129" si="18">A66</f>
        <v>11211</v>
      </c>
      <c r="BS66" s="2">
        <v>9693</v>
      </c>
      <c r="BT66" s="2" t="s">
        <v>902</v>
      </c>
      <c r="BX66" s="36"/>
      <c r="BY66" s="1"/>
    </row>
    <row r="67" spans="1:77" s="2" customFormat="1" ht="14.25">
      <c r="A67" s="55">
        <v>11212</v>
      </c>
      <c r="B67" s="36" t="s">
        <v>82</v>
      </c>
      <c r="C67" s="36" t="s">
        <v>78</v>
      </c>
      <c r="D67" s="36" t="s">
        <v>908</v>
      </c>
      <c r="E67" s="36" t="s">
        <v>20</v>
      </c>
      <c r="F67" s="36" t="s">
        <v>84</v>
      </c>
      <c r="G67" s="36" t="s">
        <v>85</v>
      </c>
      <c r="H67" s="36" t="s">
        <v>58</v>
      </c>
      <c r="I67" s="36" t="s">
        <v>85</v>
      </c>
      <c r="J67" s="36" t="s">
        <v>1146</v>
      </c>
      <c r="K67" s="1" t="str">
        <f t="shared" ref="K67:K130" si="19">IF(B67="722W","",IF(OR(C67="B1",C67="B9",C67="W1",C67="W2",C67="U9"),IF(MAX($A$2:$A$400)-A67&gt;10000,A67+100000,A67),""))</f>
        <v/>
      </c>
      <c r="L67" s="1" t="str">
        <f t="shared" si="10"/>
        <v/>
      </c>
      <c r="M67" s="94">
        <v>62</v>
      </c>
      <c r="N67" s="36" t="s">
        <v>1717</v>
      </c>
      <c r="O67" s="95">
        <v>309769</v>
      </c>
      <c r="P67" s="36"/>
      <c r="Q67" s="110" t="str">
        <f t="shared" ref="Q67:Q130" si="20">IF(B67="664W",IF(OR(F67="C5",F67="C6",F67="Z3"),"Rich",IF(OR(F67="S2",F67="S1"),"Sport","Standard")),"")</f>
        <v>Rich</v>
      </c>
      <c r="R67" s="1" t="str">
        <f t="shared" ref="R67:R130" si="21">IF(OR(G67="   ",G67=""),"",IF(G67="CVT","CVT",IF(G67="6MT","Mech","Auto")))</f>
        <v/>
      </c>
      <c r="S67" s="1">
        <f>IF(A67&gt;0,COUNT(A$2:A67),"")</f>
        <v>66</v>
      </c>
      <c r="T67" s="1" t="str">
        <f t="shared" si="12"/>
        <v xml:space="preserve">GSV70L-REZGBX </v>
      </c>
      <c r="U67" s="1" t="str">
        <f t="shared" si="13"/>
        <v xml:space="preserve">   </v>
      </c>
      <c r="V67" s="111" t="str">
        <f t="shared" si="14"/>
        <v/>
      </c>
      <c r="W67" s="2" t="s">
        <v>915</v>
      </c>
      <c r="X67" s="2" t="s">
        <v>11</v>
      </c>
      <c r="Y67" s="2" t="s">
        <v>918</v>
      </c>
      <c r="Z67" s="1"/>
      <c r="AA67" s="1">
        <v>29970</v>
      </c>
      <c r="AB67" s="1" t="s">
        <v>40</v>
      </c>
      <c r="AC67" s="1"/>
      <c r="AD67" s="1" t="str">
        <f t="shared" si="15"/>
        <v>664W</v>
      </c>
      <c r="AE67" s="1"/>
      <c r="AF67" s="1"/>
      <c r="AG67" s="1"/>
      <c r="AH67" s="116">
        <v>66</v>
      </c>
      <c r="AI67" s="122">
        <v>180</v>
      </c>
      <c r="AJ67" s="1" t="s">
        <v>1410</v>
      </c>
      <c r="AK67" s="1">
        <v>309462</v>
      </c>
      <c r="AL67" s="1" t="s">
        <v>115</v>
      </c>
      <c r="AM67" s="113"/>
      <c r="AN67" s="270">
        <v>161</v>
      </c>
      <c r="AO67"/>
      <c r="AP67" s="1">
        <v>66</v>
      </c>
      <c r="AQ67" s="1">
        <v>159</v>
      </c>
      <c r="AR67" s="1" t="s">
        <v>1252</v>
      </c>
      <c r="AS67" s="1">
        <v>309305</v>
      </c>
      <c r="AT67" s="1" t="s">
        <v>930</v>
      </c>
      <c r="AV67" s="241">
        <v>4</v>
      </c>
      <c r="AX67" s="1">
        <f t="shared" si="16"/>
        <v>1</v>
      </c>
      <c r="AY67" s="1" t="str">
        <f>IF(COUNTIF($AX$2:AX67,1)&gt;$AG$1,"",IF(AX67="","",E67))</f>
        <v>218</v>
      </c>
      <c r="BM67" s="138" t="str">
        <f t="shared" si="17"/>
        <v xml:space="preserve">   </v>
      </c>
      <c r="BN67" s="42">
        <f t="shared" si="18"/>
        <v>11212</v>
      </c>
      <c r="BS67" s="2">
        <v>9694</v>
      </c>
      <c r="BT67" s="2" t="s">
        <v>902</v>
      </c>
      <c r="BX67" s="36"/>
      <c r="BY67" s="1"/>
    </row>
    <row r="68" spans="1:77" s="2" customFormat="1" ht="14.25">
      <c r="A68" s="55">
        <v>11213</v>
      </c>
      <c r="B68" s="36" t="s">
        <v>1158</v>
      </c>
      <c r="C68" s="36" t="s">
        <v>78</v>
      </c>
      <c r="D68" s="36" t="s">
        <v>915</v>
      </c>
      <c r="E68" s="36" t="s">
        <v>80</v>
      </c>
      <c r="F68" s="36" t="s">
        <v>903</v>
      </c>
      <c r="G68" s="36" t="s">
        <v>894</v>
      </c>
      <c r="H68" s="36" t="s">
        <v>58</v>
      </c>
      <c r="I68" s="36" t="s">
        <v>85</v>
      </c>
      <c r="J68" s="36" t="s">
        <v>1146</v>
      </c>
      <c r="K68" s="1" t="str">
        <f t="shared" si="19"/>
        <v/>
      </c>
      <c r="L68" s="1" t="str">
        <f t="shared" ref="L68:L131" si="22">IF(AND(MIN(I:I)&lt;20,MAX(I:I)&gt;980,I68&lt;20),I68,"")</f>
        <v/>
      </c>
      <c r="M68" s="94">
        <v>63</v>
      </c>
      <c r="N68" s="36" t="s">
        <v>1718</v>
      </c>
      <c r="O68" s="95">
        <v>309770</v>
      </c>
      <c r="P68" s="36"/>
      <c r="Q68" s="110" t="str">
        <f t="shared" si="20"/>
        <v/>
      </c>
      <c r="R68" s="1" t="str">
        <f t="shared" si="21"/>
        <v>CVT</v>
      </c>
      <c r="S68" s="1">
        <f>IF(A68&gt;0,COUNT(A$2:A68),"")</f>
        <v>67</v>
      </c>
      <c r="T68" s="1" t="str">
        <f t="shared" si="12"/>
        <v>MXAA54L-RNXGBX</v>
      </c>
      <c r="U68" s="1" t="str">
        <f t="shared" si="13"/>
        <v>CVT</v>
      </c>
      <c r="V68" s="111" t="str">
        <f t="shared" si="14"/>
        <v/>
      </c>
      <c r="W68" s="2" t="s">
        <v>916</v>
      </c>
      <c r="X68" s="2" t="s">
        <v>11</v>
      </c>
      <c r="Y68" s="2" t="s">
        <v>918</v>
      </c>
      <c r="Z68" s="1"/>
      <c r="AA68" s="1">
        <v>29971</v>
      </c>
      <c r="AB68" s="1" t="s">
        <v>54</v>
      </c>
      <c r="AC68" s="1"/>
      <c r="AD68" s="1" t="str">
        <f t="shared" si="15"/>
        <v>831W</v>
      </c>
      <c r="AE68" s="1"/>
      <c r="AF68" s="1"/>
      <c r="AG68" s="1"/>
      <c r="AH68" s="116">
        <v>67</v>
      </c>
      <c r="AI68" s="122">
        <v>181</v>
      </c>
      <c r="AJ68" s="1" t="s">
        <v>1411</v>
      </c>
      <c r="AK68" s="1">
        <v>309463</v>
      </c>
      <c r="AL68" s="1" t="s">
        <v>930</v>
      </c>
      <c r="AM68" s="113"/>
      <c r="AN68" s="270">
        <v>162</v>
      </c>
      <c r="AO68"/>
      <c r="AP68" s="1">
        <v>67</v>
      </c>
      <c r="AQ68" s="1">
        <v>160</v>
      </c>
      <c r="AR68" s="1" t="s">
        <v>1253</v>
      </c>
      <c r="AS68" s="1">
        <v>309306</v>
      </c>
      <c r="AT68" s="1" t="s">
        <v>115</v>
      </c>
      <c r="AV68" s="241">
        <v>5</v>
      </c>
      <c r="AX68" s="1">
        <f t="shared" si="16"/>
        <v>1</v>
      </c>
      <c r="AY68" s="1" t="str">
        <f>IF(COUNTIF($AX$2:AX68,1)&gt;$AG$1,"",IF(AX68="","",E68))</f>
        <v>089</v>
      </c>
      <c r="BM68" s="138" t="str">
        <f t="shared" si="17"/>
        <v xml:space="preserve">   </v>
      </c>
      <c r="BN68" s="42">
        <f t="shared" si="18"/>
        <v>11213</v>
      </c>
      <c r="BS68" s="2">
        <v>9695</v>
      </c>
      <c r="BT68" s="2" t="s">
        <v>902</v>
      </c>
      <c r="BX68" s="36"/>
      <c r="BY68" s="1"/>
    </row>
    <row r="69" spans="1:77" s="2" customFormat="1" ht="14.25">
      <c r="A69" s="55">
        <v>11214</v>
      </c>
      <c r="B69" s="36" t="s">
        <v>1158</v>
      </c>
      <c r="C69" s="36" t="s">
        <v>78</v>
      </c>
      <c r="D69" s="36" t="s">
        <v>916</v>
      </c>
      <c r="E69" s="36" t="s">
        <v>10</v>
      </c>
      <c r="F69" s="36" t="s">
        <v>1139</v>
      </c>
      <c r="G69" s="36" t="s">
        <v>894</v>
      </c>
      <c r="H69" s="36" t="s">
        <v>58</v>
      </c>
      <c r="I69" s="36" t="s">
        <v>85</v>
      </c>
      <c r="J69" s="36" t="s">
        <v>1146</v>
      </c>
      <c r="K69" s="1" t="str">
        <f t="shared" si="19"/>
        <v/>
      </c>
      <c r="L69" s="1" t="str">
        <f t="shared" si="22"/>
        <v/>
      </c>
      <c r="M69" s="94">
        <v>64</v>
      </c>
      <c r="N69" s="36" t="s">
        <v>1719</v>
      </c>
      <c r="O69" s="95">
        <v>309771</v>
      </c>
      <c r="P69" s="36"/>
      <c r="Q69" s="110" t="str">
        <f t="shared" si="20"/>
        <v/>
      </c>
      <c r="R69" s="1" t="str">
        <f t="shared" si="21"/>
        <v>CVT</v>
      </c>
      <c r="S69" s="1">
        <f>IF(A69&gt;0,COUNT(A$2:A69),"")</f>
        <v>68</v>
      </c>
      <c r="T69" s="1" t="str">
        <f t="shared" si="12"/>
        <v>MXAA54L-RNXMBX</v>
      </c>
      <c r="U69" s="1" t="str">
        <f t="shared" si="13"/>
        <v>CVT</v>
      </c>
      <c r="V69" s="111" t="str">
        <f t="shared" si="14"/>
        <v/>
      </c>
      <c r="W69" s="2" t="s">
        <v>917</v>
      </c>
      <c r="X69" s="2" t="s">
        <v>11</v>
      </c>
      <c r="Y69" s="2" t="s">
        <v>918</v>
      </c>
      <c r="Z69" s="1"/>
      <c r="AA69" s="1">
        <v>29972</v>
      </c>
      <c r="AB69" s="1" t="s">
        <v>54</v>
      </c>
      <c r="AC69" s="1"/>
      <c r="AD69" s="1" t="str">
        <f t="shared" si="15"/>
        <v>831W</v>
      </c>
      <c r="AE69" s="1"/>
      <c r="AF69" s="1"/>
      <c r="AG69" s="1"/>
      <c r="AH69" s="116">
        <v>68</v>
      </c>
      <c r="AI69" s="122">
        <v>182</v>
      </c>
      <c r="AJ69" s="1" t="s">
        <v>1412</v>
      </c>
      <c r="AK69" s="1">
        <v>309464</v>
      </c>
      <c r="AL69" s="1" t="s">
        <v>115</v>
      </c>
      <c r="AM69" s="113"/>
      <c r="AN69" s="270">
        <v>163</v>
      </c>
      <c r="AO69"/>
      <c r="AP69" s="1">
        <v>68</v>
      </c>
      <c r="AQ69" s="1">
        <v>161</v>
      </c>
      <c r="AR69" s="1" t="s">
        <v>1254</v>
      </c>
      <c r="AS69" s="1">
        <v>309307</v>
      </c>
      <c r="AT69" s="1" t="s">
        <v>930</v>
      </c>
      <c r="AV69" s="241">
        <v>6</v>
      </c>
      <c r="AX69" s="1">
        <f t="shared" si="16"/>
        <v>1</v>
      </c>
      <c r="AY69" s="1" t="str">
        <f>IF(COUNTIF($AX$2:AX69,1)&gt;$AG$1,"",IF(AX69="","",E69))</f>
        <v>1F7</v>
      </c>
      <c r="BM69" s="138" t="str">
        <f t="shared" si="17"/>
        <v xml:space="preserve">   </v>
      </c>
      <c r="BN69" s="42">
        <f t="shared" si="18"/>
        <v>11214</v>
      </c>
      <c r="BS69" s="2">
        <v>9696</v>
      </c>
      <c r="BT69" s="2" t="s">
        <v>902</v>
      </c>
      <c r="BX69" s="36"/>
      <c r="BY69" s="1"/>
    </row>
    <row r="70" spans="1:77" s="2" customFormat="1" ht="14.25">
      <c r="A70" s="55">
        <v>11215</v>
      </c>
      <c r="B70" s="36" t="s">
        <v>82</v>
      </c>
      <c r="C70" s="36" t="s">
        <v>78</v>
      </c>
      <c r="D70" s="36" t="s">
        <v>906</v>
      </c>
      <c r="E70" s="36" t="s">
        <v>80</v>
      </c>
      <c r="F70" s="36" t="s">
        <v>88</v>
      </c>
      <c r="G70" s="36" t="s">
        <v>85</v>
      </c>
      <c r="H70" s="36" t="s">
        <v>58</v>
      </c>
      <c r="I70" s="36" t="s">
        <v>85</v>
      </c>
      <c r="J70" s="36" t="s">
        <v>1146</v>
      </c>
      <c r="K70" s="1" t="str">
        <f t="shared" si="19"/>
        <v/>
      </c>
      <c r="L70" s="1" t="str">
        <f t="shared" si="22"/>
        <v/>
      </c>
      <c r="M70" s="94">
        <v>65</v>
      </c>
      <c r="N70" s="36" t="s">
        <v>1720</v>
      </c>
      <c r="O70" s="95">
        <v>309772</v>
      </c>
      <c r="P70" s="36"/>
      <c r="Q70" s="110" t="str">
        <f t="shared" si="20"/>
        <v>Standard</v>
      </c>
      <c r="R70" s="1" t="str">
        <f t="shared" si="21"/>
        <v/>
      </c>
      <c r="S70" s="1">
        <f>IF(A70&gt;0,COUNT(A$2:A70),"")</f>
        <v>69</v>
      </c>
      <c r="T70" s="1" t="str">
        <f t="shared" si="12"/>
        <v xml:space="preserve">ASV70L-RETNKX </v>
      </c>
      <c r="U70" s="1" t="str">
        <f t="shared" si="13"/>
        <v xml:space="preserve">   </v>
      </c>
      <c r="V70" s="111" t="str">
        <f t="shared" si="14"/>
        <v/>
      </c>
      <c r="Z70" s="1"/>
      <c r="AA70" s="1">
        <v>29973</v>
      </c>
      <c r="AB70" s="1" t="s">
        <v>42</v>
      </c>
      <c r="AC70" s="1"/>
      <c r="AD70" s="1" t="str">
        <f t="shared" si="15"/>
        <v>664W</v>
      </c>
      <c r="AE70" s="1"/>
      <c r="AF70" s="1"/>
      <c r="AG70" s="1"/>
      <c r="AH70" s="116">
        <v>69</v>
      </c>
      <c r="AI70" s="122">
        <v>183</v>
      </c>
      <c r="AJ70" s="1" t="s">
        <v>1413</v>
      </c>
      <c r="AK70" s="1">
        <v>309465</v>
      </c>
      <c r="AL70" s="1" t="s">
        <v>930</v>
      </c>
      <c r="AM70" s="113"/>
      <c r="AN70" s="270">
        <v>164</v>
      </c>
      <c r="AO70"/>
      <c r="AP70" s="1">
        <v>69</v>
      </c>
      <c r="AQ70" s="1">
        <v>162</v>
      </c>
      <c r="AR70" s="1" t="s">
        <v>1255</v>
      </c>
      <c r="AS70" s="1">
        <v>309308</v>
      </c>
      <c r="AT70" s="1" t="s">
        <v>115</v>
      </c>
      <c r="AV70" s="241">
        <v>7</v>
      </c>
      <c r="AX70" s="1">
        <f t="shared" si="16"/>
        <v>1</v>
      </c>
      <c r="AY70" s="1" t="str">
        <f>IF(COUNTIF($AX$2:AX70,1)&gt;$AG$1,"",IF(AX70="","",E70))</f>
        <v>089</v>
      </c>
      <c r="BM70" s="138" t="str">
        <f t="shared" si="17"/>
        <v xml:space="preserve">   </v>
      </c>
      <c r="BN70" s="42">
        <f t="shared" si="18"/>
        <v>11215</v>
      </c>
      <c r="BS70" s="2">
        <v>9697</v>
      </c>
      <c r="BT70" s="2" t="s">
        <v>902</v>
      </c>
      <c r="BX70" s="36"/>
      <c r="BY70" s="1"/>
    </row>
    <row r="71" spans="1:77" s="2" customFormat="1" ht="14.25">
      <c r="A71" s="55">
        <v>11216</v>
      </c>
      <c r="B71" s="36" t="s">
        <v>1158</v>
      </c>
      <c r="C71" s="36" t="s">
        <v>78</v>
      </c>
      <c r="D71" s="36" t="s">
        <v>910</v>
      </c>
      <c r="E71" s="36" t="s">
        <v>20</v>
      </c>
      <c r="F71" s="36" t="s">
        <v>1139</v>
      </c>
      <c r="G71" s="36" t="s">
        <v>921</v>
      </c>
      <c r="H71" s="36" t="s">
        <v>58</v>
      </c>
      <c r="I71" s="36" t="s">
        <v>85</v>
      </c>
      <c r="J71" s="36" t="s">
        <v>1146</v>
      </c>
      <c r="K71" s="1" t="str">
        <f t="shared" si="19"/>
        <v/>
      </c>
      <c r="L71" s="1" t="str">
        <f t="shared" si="22"/>
        <v/>
      </c>
      <c r="M71" s="94">
        <v>66</v>
      </c>
      <c r="N71" s="36" t="s">
        <v>1721</v>
      </c>
      <c r="O71" s="95">
        <v>309773</v>
      </c>
      <c r="P71" s="36"/>
      <c r="Q71" s="110" t="str">
        <f t="shared" si="20"/>
        <v/>
      </c>
      <c r="R71" s="1" t="str">
        <f t="shared" si="21"/>
        <v>Auto</v>
      </c>
      <c r="S71" s="1">
        <f>IF(A71&gt;0,COUNT(A$2:A71),"")</f>
        <v>70</v>
      </c>
      <c r="T71" s="1" t="str">
        <f t="shared" si="12"/>
        <v>AXAA54L-RNZMBX</v>
      </c>
      <c r="U71" s="1" t="str">
        <f t="shared" si="13"/>
        <v>8AT</v>
      </c>
      <c r="V71" s="111" t="str">
        <f t="shared" si="14"/>
        <v/>
      </c>
      <c r="Z71" s="1"/>
      <c r="AA71" s="1">
        <v>29974</v>
      </c>
      <c r="AB71" s="1" t="s">
        <v>41</v>
      </c>
      <c r="AC71" s="1"/>
      <c r="AD71" s="1" t="str">
        <f t="shared" si="15"/>
        <v>831W</v>
      </c>
      <c r="AE71" s="1"/>
      <c r="AF71" s="1"/>
      <c r="AG71" s="1"/>
      <c r="AH71" s="116">
        <v>70</v>
      </c>
      <c r="AI71" s="122">
        <v>184</v>
      </c>
      <c r="AJ71" s="1" t="s">
        <v>1414</v>
      </c>
      <c r="AK71" s="1">
        <v>309466</v>
      </c>
      <c r="AL71" s="1" t="s">
        <v>115</v>
      </c>
      <c r="AM71" s="113"/>
      <c r="AN71" s="270">
        <v>165</v>
      </c>
      <c r="AO71"/>
      <c r="AP71" s="1">
        <v>70</v>
      </c>
      <c r="AQ71" s="1">
        <v>163</v>
      </c>
      <c r="AR71" s="1" t="s">
        <v>1256</v>
      </c>
      <c r="AS71" s="1">
        <v>309309</v>
      </c>
      <c r="AT71" s="1" t="s">
        <v>930</v>
      </c>
      <c r="AV71" s="241">
        <v>8</v>
      </c>
      <c r="AX71" s="1">
        <f t="shared" si="16"/>
        <v>1</v>
      </c>
      <c r="AY71" s="1" t="str">
        <f>IF(COUNTIF($AX$2:AX71,1)&gt;$AG$1,"",IF(AX71="","",E71))</f>
        <v>218</v>
      </c>
      <c r="BM71" s="138" t="str">
        <f t="shared" si="17"/>
        <v xml:space="preserve">   </v>
      </c>
      <c r="BN71" s="42">
        <f t="shared" si="18"/>
        <v>11216</v>
      </c>
      <c r="BS71" s="2">
        <v>9698</v>
      </c>
      <c r="BT71" s="2" t="s">
        <v>902</v>
      </c>
      <c r="BX71" s="36"/>
      <c r="BY71" s="1"/>
    </row>
    <row r="72" spans="1:77" s="2" customFormat="1" ht="14.25">
      <c r="A72" s="55">
        <v>11217</v>
      </c>
      <c r="B72" s="36" t="s">
        <v>82</v>
      </c>
      <c r="C72" s="36" t="s">
        <v>78</v>
      </c>
      <c r="D72" s="36" t="s">
        <v>906</v>
      </c>
      <c r="E72" s="36" t="s">
        <v>80</v>
      </c>
      <c r="F72" s="36" t="s">
        <v>86</v>
      </c>
      <c r="G72" s="36" t="s">
        <v>85</v>
      </c>
      <c r="H72" s="36" t="s">
        <v>58</v>
      </c>
      <c r="I72" s="36" t="s">
        <v>85</v>
      </c>
      <c r="J72" s="36" t="s">
        <v>1146</v>
      </c>
      <c r="K72" s="1" t="str">
        <f t="shared" si="19"/>
        <v/>
      </c>
      <c r="L72" s="1" t="str">
        <f t="shared" si="22"/>
        <v/>
      </c>
      <c r="M72" s="94">
        <v>67</v>
      </c>
      <c r="N72" s="36" t="s">
        <v>1722</v>
      </c>
      <c r="O72" s="95">
        <v>309774</v>
      </c>
      <c r="P72" s="36"/>
      <c r="Q72" s="110" t="str">
        <f t="shared" si="20"/>
        <v>Standard</v>
      </c>
      <c r="R72" s="1" t="str">
        <f t="shared" si="21"/>
        <v/>
      </c>
      <c r="S72" s="1">
        <f>IF(A72&gt;0,COUNT(A$2:A72),"")</f>
        <v>71</v>
      </c>
      <c r="T72" s="1" t="str">
        <f t="shared" si="12"/>
        <v xml:space="preserve">ASV70L-RETNKX </v>
      </c>
      <c r="U72" s="1" t="str">
        <f t="shared" si="13"/>
        <v xml:space="preserve">   </v>
      </c>
      <c r="V72" s="111" t="str">
        <f t="shared" si="14"/>
        <v/>
      </c>
      <c r="W72" s="1"/>
      <c r="X72" s="1"/>
      <c r="Y72" s="1"/>
      <c r="Z72" s="1"/>
      <c r="AA72" s="1">
        <v>29975</v>
      </c>
      <c r="AB72" s="1" t="s">
        <v>41</v>
      </c>
      <c r="AC72" s="1"/>
      <c r="AD72" s="1" t="str">
        <f t="shared" si="15"/>
        <v>664W</v>
      </c>
      <c r="AE72" s="1"/>
      <c r="AF72" s="1"/>
      <c r="AG72" s="1"/>
      <c r="AH72" s="116">
        <v>71</v>
      </c>
      <c r="AI72" s="122">
        <v>185</v>
      </c>
      <c r="AJ72" s="1" t="s">
        <v>1415</v>
      </c>
      <c r="AK72" s="1">
        <v>309467</v>
      </c>
      <c r="AL72" s="1" t="s">
        <v>930</v>
      </c>
      <c r="AM72" s="113"/>
      <c r="AN72" s="270">
        <v>166</v>
      </c>
      <c r="AO72"/>
      <c r="AP72" s="1">
        <v>71</v>
      </c>
      <c r="AQ72" s="1">
        <v>164</v>
      </c>
      <c r="AR72" s="1" t="s">
        <v>1257</v>
      </c>
      <c r="AS72" s="1">
        <v>309310</v>
      </c>
      <c r="AT72" s="1" t="s">
        <v>115</v>
      </c>
      <c r="AV72" s="241">
        <v>9</v>
      </c>
      <c r="AX72" s="1">
        <f t="shared" si="16"/>
        <v>1</v>
      </c>
      <c r="AY72" s="1" t="str">
        <f>IF(COUNTIF($AX$2:AX72,1)&gt;$AG$1,"",IF(AX72="","",E72))</f>
        <v>089</v>
      </c>
      <c r="BM72" s="138" t="str">
        <f t="shared" si="17"/>
        <v xml:space="preserve">   </v>
      </c>
      <c r="BN72" s="42">
        <f t="shared" si="18"/>
        <v>11217</v>
      </c>
      <c r="BS72" s="2">
        <v>9699</v>
      </c>
      <c r="BT72" s="2" t="s">
        <v>902</v>
      </c>
      <c r="BX72" s="36"/>
      <c r="BY72" s="1"/>
    </row>
    <row r="73" spans="1:77" s="2" customFormat="1" ht="14.25">
      <c r="A73" s="55">
        <v>11218</v>
      </c>
      <c r="B73" s="36" t="s">
        <v>1158</v>
      </c>
      <c r="C73" s="36" t="s">
        <v>78</v>
      </c>
      <c r="D73" s="36" t="s">
        <v>915</v>
      </c>
      <c r="E73" s="36" t="s">
        <v>20</v>
      </c>
      <c r="F73" s="36" t="s">
        <v>903</v>
      </c>
      <c r="G73" s="36" t="s">
        <v>894</v>
      </c>
      <c r="H73" s="36" t="s">
        <v>58</v>
      </c>
      <c r="I73" s="36" t="s">
        <v>85</v>
      </c>
      <c r="J73" s="36" t="s">
        <v>1146</v>
      </c>
      <c r="K73" s="1" t="str">
        <f t="shared" si="19"/>
        <v/>
      </c>
      <c r="L73" s="1" t="str">
        <f t="shared" si="22"/>
        <v/>
      </c>
      <c r="M73" s="94">
        <v>68</v>
      </c>
      <c r="N73" s="36" t="s">
        <v>1723</v>
      </c>
      <c r="O73" s="95">
        <v>309775</v>
      </c>
      <c r="P73" s="36"/>
      <c r="Q73" s="110" t="str">
        <f t="shared" si="20"/>
        <v/>
      </c>
      <c r="R73" s="1" t="str">
        <f t="shared" si="21"/>
        <v>CVT</v>
      </c>
      <c r="S73" s="1">
        <f>IF(A73&gt;0,COUNT(A$2:A73),"")</f>
        <v>72</v>
      </c>
      <c r="T73" s="1" t="str">
        <f t="shared" si="12"/>
        <v>MXAA54L-RNXGBX</v>
      </c>
      <c r="U73" s="1" t="str">
        <f t="shared" si="13"/>
        <v>CVT</v>
      </c>
      <c r="V73" s="111" t="str">
        <f t="shared" si="14"/>
        <v/>
      </c>
      <c r="W73" s="1"/>
      <c r="X73" s="1"/>
      <c r="Y73" s="1"/>
      <c r="Z73" s="1"/>
      <c r="AA73" s="1">
        <v>29976</v>
      </c>
      <c r="AB73" s="1" t="s">
        <v>54</v>
      </c>
      <c r="AC73" s="1"/>
      <c r="AD73" s="1" t="str">
        <f t="shared" si="15"/>
        <v>831W</v>
      </c>
      <c r="AE73" s="1"/>
      <c r="AF73" s="1"/>
      <c r="AG73" s="1"/>
      <c r="AH73" s="116">
        <v>72</v>
      </c>
      <c r="AI73" s="122">
        <v>186</v>
      </c>
      <c r="AJ73" s="1" t="s">
        <v>1416</v>
      </c>
      <c r="AK73" s="1">
        <v>309468</v>
      </c>
      <c r="AL73" s="1" t="s">
        <v>930</v>
      </c>
      <c r="AM73" s="113"/>
      <c r="AN73" s="270">
        <v>167</v>
      </c>
      <c r="AO73"/>
      <c r="AP73" s="1">
        <v>72</v>
      </c>
      <c r="AQ73" s="1">
        <v>165</v>
      </c>
      <c r="AR73" s="1" t="s">
        <v>1258</v>
      </c>
      <c r="AS73" s="1">
        <v>309311</v>
      </c>
      <c r="AT73" s="1" t="s">
        <v>930</v>
      </c>
      <c r="AV73" s="241">
        <v>10</v>
      </c>
      <c r="AX73" s="1">
        <f t="shared" si="16"/>
        <v>1</v>
      </c>
      <c r="AY73" s="1" t="str">
        <f>IF(COUNTIF($AX$2:AX73,1)&gt;$AG$1,"",IF(AX73="","",E73))</f>
        <v>218</v>
      </c>
      <c r="BM73" s="138" t="str">
        <f t="shared" si="17"/>
        <v xml:space="preserve">   </v>
      </c>
      <c r="BN73" s="42">
        <f t="shared" si="18"/>
        <v>11218</v>
      </c>
      <c r="BS73" s="2">
        <v>9700</v>
      </c>
      <c r="BT73" s="2" t="s">
        <v>902</v>
      </c>
      <c r="BX73" s="36"/>
      <c r="BY73" s="1"/>
    </row>
    <row r="74" spans="1:77" s="2" customFormat="1" ht="14.25">
      <c r="A74" s="55">
        <v>11219</v>
      </c>
      <c r="B74" s="36" t="s">
        <v>82</v>
      </c>
      <c r="C74" s="36" t="s">
        <v>78</v>
      </c>
      <c r="D74" s="36" t="s">
        <v>906</v>
      </c>
      <c r="E74" s="36" t="s">
        <v>1128</v>
      </c>
      <c r="F74" s="36" t="s">
        <v>1129</v>
      </c>
      <c r="G74" s="36" t="s">
        <v>85</v>
      </c>
      <c r="H74" s="36" t="s">
        <v>58</v>
      </c>
      <c r="I74" s="36" t="s">
        <v>85</v>
      </c>
      <c r="J74" s="36" t="s">
        <v>1146</v>
      </c>
      <c r="K74" s="1" t="str">
        <f t="shared" si="19"/>
        <v/>
      </c>
      <c r="L74" s="1" t="str">
        <f t="shared" si="22"/>
        <v/>
      </c>
      <c r="M74" s="94">
        <v>69</v>
      </c>
      <c r="N74" s="36" t="s">
        <v>1724</v>
      </c>
      <c r="O74" s="95">
        <v>309776</v>
      </c>
      <c r="P74" s="36"/>
      <c r="Q74" s="110" t="str">
        <f t="shared" si="20"/>
        <v>Sport</v>
      </c>
      <c r="R74" s="1" t="str">
        <f t="shared" si="21"/>
        <v/>
      </c>
      <c r="S74" s="1">
        <f>IF(A74&gt;0,COUNT(A$2:A74),"")</f>
        <v>73</v>
      </c>
      <c r="T74" s="1" t="str">
        <f t="shared" si="12"/>
        <v xml:space="preserve">ASV70L-RETNKX </v>
      </c>
      <c r="U74" s="1" t="str">
        <f t="shared" si="13"/>
        <v xml:space="preserve">   </v>
      </c>
      <c r="V74" s="111" t="str">
        <f t="shared" si="14"/>
        <v/>
      </c>
      <c r="W74" s="1"/>
      <c r="X74" s="1"/>
      <c r="Y74" s="1"/>
      <c r="Z74" s="1"/>
      <c r="AA74" s="1">
        <v>29977</v>
      </c>
      <c r="AB74" s="1" t="s">
        <v>54</v>
      </c>
      <c r="AC74" s="1"/>
      <c r="AD74" s="1" t="str">
        <f t="shared" si="15"/>
        <v>664W</v>
      </c>
      <c r="AE74" s="1"/>
      <c r="AF74" s="1"/>
      <c r="AG74" s="1"/>
      <c r="AH74" s="116">
        <v>73</v>
      </c>
      <c r="AI74" s="122">
        <v>187</v>
      </c>
      <c r="AJ74" s="1" t="s">
        <v>1417</v>
      </c>
      <c r="AK74" s="1">
        <v>309469</v>
      </c>
      <c r="AL74" s="1" t="s">
        <v>115</v>
      </c>
      <c r="AM74" s="113"/>
      <c r="AN74" s="270">
        <v>168</v>
      </c>
      <c r="AO74"/>
      <c r="AP74" s="1">
        <v>73</v>
      </c>
      <c r="AQ74" s="1">
        <v>166</v>
      </c>
      <c r="AR74" s="1" t="s">
        <v>1259</v>
      </c>
      <c r="AS74" s="1">
        <v>309312</v>
      </c>
      <c r="AT74" s="1" t="s">
        <v>930</v>
      </c>
      <c r="AV74" s="241">
        <v>11</v>
      </c>
      <c r="AX74" s="1">
        <f t="shared" si="16"/>
        <v>1</v>
      </c>
      <c r="AY74" s="1" t="str">
        <f>IF(COUNTIF($AX$2:AX74,1)&gt;$AG$1,"",IF(AX74="","",E74))</f>
        <v>2PS</v>
      </c>
      <c r="BM74" s="138" t="str">
        <f t="shared" si="17"/>
        <v xml:space="preserve">   </v>
      </c>
      <c r="BN74" s="42">
        <f t="shared" si="18"/>
        <v>11219</v>
      </c>
      <c r="BS74" s="2">
        <v>9701</v>
      </c>
      <c r="BT74" s="2" t="s">
        <v>902</v>
      </c>
      <c r="BX74" s="36"/>
      <c r="BY74" s="1"/>
    </row>
    <row r="75" spans="1:77" s="2" customFormat="1" ht="14.25">
      <c r="A75" s="55">
        <v>11220</v>
      </c>
      <c r="B75" s="36" t="s">
        <v>1158</v>
      </c>
      <c r="C75" s="36" t="s">
        <v>78</v>
      </c>
      <c r="D75" s="36" t="s">
        <v>913</v>
      </c>
      <c r="E75" s="36" t="s">
        <v>80</v>
      </c>
      <c r="F75" s="36" t="s">
        <v>931</v>
      </c>
      <c r="G75" s="36" t="s">
        <v>894</v>
      </c>
      <c r="H75" s="36" t="s">
        <v>58</v>
      </c>
      <c r="I75" s="36" t="s">
        <v>85</v>
      </c>
      <c r="J75" s="36" t="s">
        <v>1146</v>
      </c>
      <c r="K75" s="1" t="str">
        <f t="shared" si="19"/>
        <v/>
      </c>
      <c r="L75" s="1" t="str">
        <f t="shared" si="22"/>
        <v/>
      </c>
      <c r="M75" s="94">
        <v>70</v>
      </c>
      <c r="N75" s="36" t="s">
        <v>1725</v>
      </c>
      <c r="O75" s="95">
        <v>309777</v>
      </c>
      <c r="P75" s="36"/>
      <c r="Q75" s="110" t="str">
        <f t="shared" si="20"/>
        <v/>
      </c>
      <c r="R75" s="1" t="str">
        <f t="shared" si="21"/>
        <v>CVT</v>
      </c>
      <c r="S75" s="1">
        <f>IF(A75&gt;0,COUNT(A$2:A75),"")</f>
        <v>74</v>
      </c>
      <c r="T75" s="1" t="str">
        <f t="shared" si="12"/>
        <v>MXAA52L-RNXMBX</v>
      </c>
      <c r="U75" s="1" t="str">
        <f t="shared" si="13"/>
        <v>CVT</v>
      </c>
      <c r="V75" s="111" t="str">
        <f t="shared" si="14"/>
        <v/>
      </c>
      <c r="W75" s="1"/>
      <c r="X75" s="1"/>
      <c r="Y75" s="1"/>
      <c r="Z75" s="1"/>
      <c r="AA75" s="1">
        <v>29978</v>
      </c>
      <c r="AB75" s="1" t="s">
        <v>42</v>
      </c>
      <c r="AC75" s="1"/>
      <c r="AD75" s="1" t="str">
        <f t="shared" si="15"/>
        <v>831W</v>
      </c>
      <c r="AE75" s="1"/>
      <c r="AF75" s="1"/>
      <c r="AG75" s="1"/>
      <c r="AH75" s="116">
        <v>74</v>
      </c>
      <c r="AI75" s="122">
        <v>188</v>
      </c>
      <c r="AJ75" s="1" t="s">
        <v>1418</v>
      </c>
      <c r="AK75" s="1">
        <v>309470</v>
      </c>
      <c r="AL75" s="1" t="s">
        <v>930</v>
      </c>
      <c r="AM75" s="113"/>
      <c r="AN75" s="270">
        <v>169</v>
      </c>
      <c r="AO75"/>
      <c r="AP75" s="1">
        <v>74</v>
      </c>
      <c r="AQ75" s="1">
        <v>167</v>
      </c>
      <c r="AR75" s="1" t="s">
        <v>1260</v>
      </c>
      <c r="AS75" s="1">
        <v>309313</v>
      </c>
      <c r="AT75" s="1" t="s">
        <v>115</v>
      </c>
      <c r="AV75" s="241">
        <v>12</v>
      </c>
      <c r="AX75" s="1">
        <f t="shared" si="16"/>
        <v>1</v>
      </c>
      <c r="AY75" s="1" t="str">
        <f>IF(COUNTIF($AX$2:AX75,1)&gt;$AG$1,"",IF(AX75="","",E75))</f>
        <v>089</v>
      </c>
      <c r="BM75" s="138" t="str">
        <f t="shared" si="17"/>
        <v xml:space="preserve">   </v>
      </c>
      <c r="BN75" s="42">
        <f t="shared" si="18"/>
        <v>11220</v>
      </c>
      <c r="BS75" s="2">
        <v>9702</v>
      </c>
      <c r="BT75" s="2" t="s">
        <v>902</v>
      </c>
      <c r="BX75" s="36"/>
      <c r="BY75" s="1"/>
    </row>
    <row r="76" spans="1:77" s="2" customFormat="1" ht="14.25">
      <c r="A76" s="55">
        <v>11221</v>
      </c>
      <c r="B76" s="36" t="s">
        <v>1158</v>
      </c>
      <c r="C76" s="36" t="s">
        <v>78</v>
      </c>
      <c r="D76" s="36" t="s">
        <v>909</v>
      </c>
      <c r="E76" s="36" t="s">
        <v>79</v>
      </c>
      <c r="F76" s="36" t="s">
        <v>1149</v>
      </c>
      <c r="G76" s="36" t="s">
        <v>921</v>
      </c>
      <c r="H76" s="36" t="s">
        <v>58</v>
      </c>
      <c r="I76" s="36" t="s">
        <v>85</v>
      </c>
      <c r="J76" s="36" t="s">
        <v>1146</v>
      </c>
      <c r="K76" s="1" t="str">
        <f t="shared" si="19"/>
        <v/>
      </c>
      <c r="L76" s="1" t="str">
        <f t="shared" si="22"/>
        <v/>
      </c>
      <c r="M76" s="94">
        <v>71</v>
      </c>
      <c r="N76" s="36" t="s">
        <v>1726</v>
      </c>
      <c r="O76" s="95">
        <v>309778</v>
      </c>
      <c r="P76" s="36"/>
      <c r="Q76" s="110" t="str">
        <f t="shared" si="20"/>
        <v/>
      </c>
      <c r="R76" s="1" t="str">
        <f t="shared" si="21"/>
        <v>Auto</v>
      </c>
      <c r="S76" s="1">
        <f>IF(A76&gt;0,COUNT(A$2:A76),"")</f>
        <v>75</v>
      </c>
      <c r="T76" s="1" t="str">
        <f t="shared" si="12"/>
        <v>AXAA54L-RNZGBX</v>
      </c>
      <c r="U76" s="1" t="str">
        <f t="shared" si="13"/>
        <v>8AT</v>
      </c>
      <c r="V76" s="111" t="str">
        <f t="shared" si="14"/>
        <v/>
      </c>
      <c r="W76" s="1"/>
      <c r="X76" s="1"/>
      <c r="Y76" s="1"/>
      <c r="Z76" s="1"/>
      <c r="AA76" s="1">
        <v>29979</v>
      </c>
      <c r="AB76" s="1" t="s">
        <v>42</v>
      </c>
      <c r="AC76" s="1"/>
      <c r="AD76" s="1" t="str">
        <f t="shared" si="15"/>
        <v>831W</v>
      </c>
      <c r="AE76" s="1"/>
      <c r="AF76" s="1"/>
      <c r="AG76" s="1"/>
      <c r="AH76" s="116">
        <v>75</v>
      </c>
      <c r="AI76" s="122">
        <v>189</v>
      </c>
      <c r="AJ76" s="1" t="s">
        <v>1419</v>
      </c>
      <c r="AK76" s="1">
        <v>309471</v>
      </c>
      <c r="AL76" s="1" t="s">
        <v>115</v>
      </c>
      <c r="AM76" s="113"/>
      <c r="AN76" s="270">
        <v>170</v>
      </c>
      <c r="AO76"/>
      <c r="AP76" s="1">
        <v>75</v>
      </c>
      <c r="AQ76" s="1">
        <v>168</v>
      </c>
      <c r="AR76" s="1" t="s">
        <v>1261</v>
      </c>
      <c r="AS76" s="1">
        <v>309314</v>
      </c>
      <c r="AT76" s="1" t="s">
        <v>930</v>
      </c>
      <c r="AV76" s="241">
        <v>13</v>
      </c>
      <c r="AX76" s="1">
        <f t="shared" si="16"/>
        <v>1</v>
      </c>
      <c r="AY76" s="1" t="str">
        <f>IF(COUNTIF($AX$2:AX76,1)&gt;$AG$1,"",IF(AX76="","",E76))</f>
        <v>4X7</v>
      </c>
      <c r="BM76" s="138" t="str">
        <f t="shared" si="17"/>
        <v xml:space="preserve">   </v>
      </c>
      <c r="BN76" s="42">
        <f t="shared" si="18"/>
        <v>11221</v>
      </c>
      <c r="BS76" s="2">
        <v>9703</v>
      </c>
      <c r="BT76" s="2" t="s">
        <v>902</v>
      </c>
      <c r="BX76" s="36"/>
      <c r="BY76" s="1"/>
    </row>
    <row r="77" spans="1:77" s="2" customFormat="1" ht="14.25">
      <c r="A77" s="55">
        <v>11222</v>
      </c>
      <c r="B77" s="36" t="s">
        <v>82</v>
      </c>
      <c r="C77" s="36" t="s">
        <v>78</v>
      </c>
      <c r="D77" s="36" t="s">
        <v>906</v>
      </c>
      <c r="E77" s="36" t="s">
        <v>80</v>
      </c>
      <c r="F77" s="36" t="s">
        <v>88</v>
      </c>
      <c r="G77" s="36" t="s">
        <v>85</v>
      </c>
      <c r="H77" s="36" t="s">
        <v>58</v>
      </c>
      <c r="I77" s="36" t="s">
        <v>85</v>
      </c>
      <c r="J77" s="36" t="s">
        <v>1146</v>
      </c>
      <c r="K77" s="1" t="str">
        <f t="shared" si="19"/>
        <v/>
      </c>
      <c r="L77" s="1" t="str">
        <f t="shared" si="22"/>
        <v/>
      </c>
      <c r="M77" s="94">
        <v>72</v>
      </c>
      <c r="N77" s="36" t="s">
        <v>1727</v>
      </c>
      <c r="O77" s="95">
        <v>309779</v>
      </c>
      <c r="P77" s="36"/>
      <c r="Q77" s="110" t="str">
        <f t="shared" si="20"/>
        <v>Standard</v>
      </c>
      <c r="R77" s="1" t="str">
        <f t="shared" si="21"/>
        <v/>
      </c>
      <c r="S77" s="1">
        <f>IF(A77&gt;0,COUNT(A$2:A77),"")</f>
        <v>76</v>
      </c>
      <c r="T77" s="1" t="str">
        <f t="shared" si="12"/>
        <v xml:space="preserve">ASV70L-RETNKX </v>
      </c>
      <c r="U77" s="1" t="str">
        <f t="shared" si="13"/>
        <v xml:space="preserve">   </v>
      </c>
      <c r="V77" s="111" t="str">
        <f t="shared" si="14"/>
        <v/>
      </c>
      <c r="W77" s="1"/>
      <c r="X77" s="1"/>
      <c r="Y77" s="1"/>
      <c r="Z77" s="1"/>
      <c r="AA77" s="1">
        <v>29980</v>
      </c>
      <c r="AB77" s="1" t="s">
        <v>41</v>
      </c>
      <c r="AC77" s="1"/>
      <c r="AD77" s="1" t="str">
        <f t="shared" si="15"/>
        <v>664W</v>
      </c>
      <c r="AE77" s="1"/>
      <c r="AF77" s="1"/>
      <c r="AG77" s="1"/>
      <c r="AH77" s="116">
        <v>76</v>
      </c>
      <c r="AI77" s="122">
        <v>190</v>
      </c>
      <c r="AJ77" s="1" t="s">
        <v>1420</v>
      </c>
      <c r="AK77" s="1">
        <v>309472</v>
      </c>
      <c r="AL77" s="1" t="s">
        <v>930</v>
      </c>
      <c r="AM77" s="113"/>
      <c r="AN77" s="270">
        <v>171</v>
      </c>
      <c r="AO77"/>
      <c r="AP77" s="1">
        <v>76</v>
      </c>
      <c r="AQ77" s="1">
        <v>33</v>
      </c>
      <c r="AR77" s="1" t="s">
        <v>1262</v>
      </c>
      <c r="AS77" s="1">
        <v>309315</v>
      </c>
      <c r="AT77" s="1" t="s">
        <v>115</v>
      </c>
      <c r="AV77" s="241">
        <v>14</v>
      </c>
      <c r="AX77" s="1">
        <f t="shared" si="16"/>
        <v>1</v>
      </c>
      <c r="AY77" s="1" t="str">
        <f>IF(COUNTIF($AX$2:AX77,1)&gt;$AG$1,"",IF(AX77="","",E77))</f>
        <v>089</v>
      </c>
      <c r="BM77" s="138" t="str">
        <f t="shared" si="17"/>
        <v xml:space="preserve">   </v>
      </c>
      <c r="BN77" s="42">
        <f t="shared" si="18"/>
        <v>11222</v>
      </c>
      <c r="BS77" s="2">
        <v>9704</v>
      </c>
      <c r="BT77" s="2" t="s">
        <v>902</v>
      </c>
      <c r="BX77" s="36"/>
      <c r="BY77" s="1"/>
    </row>
    <row r="78" spans="1:77" s="2" customFormat="1" ht="14.25">
      <c r="A78" s="55">
        <v>11223</v>
      </c>
      <c r="B78" s="36" t="s">
        <v>1158</v>
      </c>
      <c r="C78" s="36" t="s">
        <v>78</v>
      </c>
      <c r="D78" s="36" t="s">
        <v>910</v>
      </c>
      <c r="E78" s="36" t="s">
        <v>20</v>
      </c>
      <c r="F78" s="36" t="s">
        <v>1139</v>
      </c>
      <c r="G78" s="36" t="s">
        <v>921</v>
      </c>
      <c r="H78" s="36" t="s">
        <v>58</v>
      </c>
      <c r="I78" s="36" t="s">
        <v>85</v>
      </c>
      <c r="J78" s="36" t="s">
        <v>1146</v>
      </c>
      <c r="K78" s="1" t="str">
        <f t="shared" si="19"/>
        <v/>
      </c>
      <c r="L78" s="1" t="str">
        <f t="shared" si="22"/>
        <v/>
      </c>
      <c r="M78" s="94">
        <v>73</v>
      </c>
      <c r="N78" s="36" t="s">
        <v>1728</v>
      </c>
      <c r="O78" s="95">
        <v>309780</v>
      </c>
      <c r="P78" s="36"/>
      <c r="Q78" s="110" t="str">
        <f t="shared" si="20"/>
        <v/>
      </c>
      <c r="R78" s="1" t="str">
        <f t="shared" si="21"/>
        <v>Auto</v>
      </c>
      <c r="S78" s="1">
        <f>IF(A78&gt;0,COUNT(A$2:A78),"")</f>
        <v>77</v>
      </c>
      <c r="T78" s="1" t="str">
        <f t="shared" si="12"/>
        <v>AXAA54L-RNZMBX</v>
      </c>
      <c r="U78" s="1" t="str">
        <f t="shared" si="13"/>
        <v>8AT</v>
      </c>
      <c r="V78" s="111" t="str">
        <f t="shared" si="14"/>
        <v/>
      </c>
      <c r="W78" s="1"/>
      <c r="X78" s="1"/>
      <c r="Y78" s="1"/>
      <c r="Z78" s="1"/>
      <c r="AA78" s="1">
        <v>29981</v>
      </c>
      <c r="AB78" s="1" t="s">
        <v>41</v>
      </c>
      <c r="AC78" s="1"/>
      <c r="AD78" s="1" t="str">
        <f t="shared" si="15"/>
        <v>831W</v>
      </c>
      <c r="AE78" s="1"/>
      <c r="AF78" s="1"/>
      <c r="AG78" s="1"/>
      <c r="AH78" s="116">
        <v>77</v>
      </c>
      <c r="AI78" s="122">
        <v>191</v>
      </c>
      <c r="AJ78" s="1" t="s">
        <v>1421</v>
      </c>
      <c r="AK78" s="1">
        <v>309473</v>
      </c>
      <c r="AL78" s="1" t="s">
        <v>115</v>
      </c>
      <c r="AM78" s="113"/>
      <c r="AN78" s="270">
        <v>172</v>
      </c>
      <c r="AO78"/>
      <c r="AP78" s="1">
        <v>77</v>
      </c>
      <c r="AQ78" s="1">
        <v>34</v>
      </c>
      <c r="AR78" s="1" t="s">
        <v>1263</v>
      </c>
      <c r="AS78" s="1">
        <v>309316</v>
      </c>
      <c r="AT78" s="1" t="s">
        <v>930</v>
      </c>
      <c r="AV78" s="241">
        <v>15</v>
      </c>
      <c r="AX78" s="1">
        <f t="shared" si="16"/>
        <v>1</v>
      </c>
      <c r="AY78" s="1" t="str">
        <f>IF(COUNTIF($AX$2:AX78,1)&gt;$AG$1,"",IF(AX78="","",E78))</f>
        <v>218</v>
      </c>
      <c r="BM78" s="138" t="str">
        <f t="shared" si="17"/>
        <v xml:space="preserve">   </v>
      </c>
      <c r="BN78" s="42">
        <f t="shared" si="18"/>
        <v>11223</v>
      </c>
      <c r="BS78" s="2">
        <v>9705</v>
      </c>
      <c r="BT78" s="2" t="s">
        <v>902</v>
      </c>
      <c r="BX78" s="36"/>
      <c r="BY78" s="1"/>
    </row>
    <row r="79" spans="1:77" s="2" customFormat="1" ht="14.25">
      <c r="A79" s="55">
        <v>11224</v>
      </c>
      <c r="B79" s="36" t="s">
        <v>82</v>
      </c>
      <c r="C79" s="36" t="s">
        <v>78</v>
      </c>
      <c r="D79" s="36" t="s">
        <v>906</v>
      </c>
      <c r="E79" s="36" t="s">
        <v>20</v>
      </c>
      <c r="F79" s="36" t="s">
        <v>90</v>
      </c>
      <c r="G79" s="36" t="s">
        <v>85</v>
      </c>
      <c r="H79" s="36" t="s">
        <v>58</v>
      </c>
      <c r="I79" s="36" t="s">
        <v>85</v>
      </c>
      <c r="J79" s="36" t="s">
        <v>1146</v>
      </c>
      <c r="K79" s="1" t="str">
        <f t="shared" si="19"/>
        <v/>
      </c>
      <c r="L79" s="1" t="str">
        <f t="shared" si="22"/>
        <v/>
      </c>
      <c r="M79" s="94">
        <v>74</v>
      </c>
      <c r="N79" s="36" t="s">
        <v>1729</v>
      </c>
      <c r="O79" s="95">
        <v>309781</v>
      </c>
      <c r="P79" s="36"/>
      <c r="Q79" s="110" t="str">
        <f t="shared" si="20"/>
        <v>Standard</v>
      </c>
      <c r="R79" s="1" t="str">
        <f t="shared" si="21"/>
        <v/>
      </c>
      <c r="S79" s="1">
        <f>IF(A79&gt;0,COUNT(A$2:A79),"")</f>
        <v>78</v>
      </c>
      <c r="T79" s="1" t="str">
        <f t="shared" si="12"/>
        <v xml:space="preserve">ASV70L-RETNKX </v>
      </c>
      <c r="U79" s="1" t="str">
        <f t="shared" si="13"/>
        <v xml:space="preserve">   </v>
      </c>
      <c r="V79" s="111" t="str">
        <f t="shared" si="14"/>
        <v/>
      </c>
      <c r="W79" s="1"/>
      <c r="X79" s="1"/>
      <c r="Y79" s="1"/>
      <c r="Z79" s="1"/>
      <c r="AA79" s="1">
        <v>29982</v>
      </c>
      <c r="AB79" s="1" t="s">
        <v>54</v>
      </c>
      <c r="AC79" s="1"/>
      <c r="AD79" s="1" t="str">
        <f t="shared" si="15"/>
        <v>664W</v>
      </c>
      <c r="AE79" s="1"/>
      <c r="AF79" s="1"/>
      <c r="AG79" s="1"/>
      <c r="AH79" s="116">
        <v>78</v>
      </c>
      <c r="AI79" s="122">
        <v>192</v>
      </c>
      <c r="AJ79" s="1" t="s">
        <v>1422</v>
      </c>
      <c r="AK79" s="1">
        <v>309474</v>
      </c>
      <c r="AL79" s="1" t="s">
        <v>930</v>
      </c>
      <c r="AM79" s="113"/>
      <c r="AN79" s="270">
        <v>173</v>
      </c>
      <c r="AO79"/>
      <c r="AP79" s="1">
        <v>78</v>
      </c>
      <c r="AQ79" s="1">
        <v>35</v>
      </c>
      <c r="AR79" s="1" t="s">
        <v>1264</v>
      </c>
      <c r="AS79" s="1">
        <v>309317</v>
      </c>
      <c r="AT79" s="1" t="s">
        <v>115</v>
      </c>
      <c r="AV79" s="241">
        <v>16</v>
      </c>
      <c r="AX79" s="1">
        <f t="shared" si="16"/>
        <v>1</v>
      </c>
      <c r="AY79" s="1" t="str">
        <f>IF(COUNTIF($AX$2:AX79,1)&gt;$AG$1,"",IF(AX79="","",E79))</f>
        <v>218</v>
      </c>
      <c r="BM79" s="138" t="str">
        <f t="shared" si="17"/>
        <v xml:space="preserve">   </v>
      </c>
      <c r="BN79" s="42">
        <f t="shared" si="18"/>
        <v>11224</v>
      </c>
      <c r="BS79" s="2">
        <v>9706</v>
      </c>
      <c r="BT79" s="2" t="s">
        <v>902</v>
      </c>
      <c r="BX79" s="36"/>
      <c r="BY79" s="1"/>
    </row>
    <row r="80" spans="1:77" s="2" customFormat="1" ht="14.25">
      <c r="A80" s="55">
        <v>11225</v>
      </c>
      <c r="B80" s="36" t="s">
        <v>1158</v>
      </c>
      <c r="C80" s="36" t="s">
        <v>78</v>
      </c>
      <c r="D80" s="36" t="s">
        <v>916</v>
      </c>
      <c r="E80" s="36" t="s">
        <v>80</v>
      </c>
      <c r="F80" s="36" t="s">
        <v>1174</v>
      </c>
      <c r="G80" s="36" t="s">
        <v>894</v>
      </c>
      <c r="H80" s="36" t="s">
        <v>58</v>
      </c>
      <c r="I80" s="36" t="s">
        <v>85</v>
      </c>
      <c r="J80" s="36" t="s">
        <v>1146</v>
      </c>
      <c r="K80" s="1" t="str">
        <f t="shared" si="19"/>
        <v/>
      </c>
      <c r="L80" s="1" t="str">
        <f t="shared" si="22"/>
        <v/>
      </c>
      <c r="M80" s="94">
        <v>75</v>
      </c>
      <c r="N80" s="36" t="s">
        <v>1730</v>
      </c>
      <c r="O80" s="95">
        <v>309782</v>
      </c>
      <c r="P80" s="36"/>
      <c r="Q80" s="110" t="str">
        <f t="shared" si="20"/>
        <v/>
      </c>
      <c r="R80" s="1" t="str">
        <f t="shared" si="21"/>
        <v>CVT</v>
      </c>
      <c r="S80" s="1">
        <f>IF(A80&gt;0,COUNT(A$2:A80),"")</f>
        <v>79</v>
      </c>
      <c r="T80" s="1" t="str">
        <f t="shared" si="12"/>
        <v>MXAA54L-RNXMBX</v>
      </c>
      <c r="U80" s="1" t="str">
        <f t="shared" si="13"/>
        <v>CVT</v>
      </c>
      <c r="V80" s="111" t="str">
        <f t="shared" si="14"/>
        <v/>
      </c>
      <c r="W80" s="1"/>
      <c r="X80" s="1"/>
      <c r="Y80" s="1"/>
      <c r="Z80" s="1"/>
      <c r="AA80" s="1">
        <v>29983</v>
      </c>
      <c r="AB80" s="1" t="s">
        <v>42</v>
      </c>
      <c r="AC80" s="1"/>
      <c r="AD80" s="1" t="str">
        <f t="shared" si="15"/>
        <v>831W</v>
      </c>
      <c r="AE80" s="1"/>
      <c r="AF80" s="1"/>
      <c r="AG80" s="1"/>
      <c r="AH80" s="116">
        <v>79</v>
      </c>
      <c r="AI80" s="122">
        <v>193</v>
      </c>
      <c r="AJ80" s="1" t="s">
        <v>1423</v>
      </c>
      <c r="AK80" s="1">
        <v>309475</v>
      </c>
      <c r="AL80" s="1" t="s">
        <v>115</v>
      </c>
      <c r="AM80" s="113"/>
      <c r="AN80" s="270">
        <v>174</v>
      </c>
      <c r="AO80"/>
      <c r="AP80" s="1">
        <v>79</v>
      </c>
      <c r="AQ80" s="1">
        <v>36</v>
      </c>
      <c r="AR80" s="1" t="s">
        <v>1265</v>
      </c>
      <c r="AS80" s="1">
        <v>309318</v>
      </c>
      <c r="AT80" s="1" t="s">
        <v>930</v>
      </c>
      <c r="AV80" s="241">
        <v>17</v>
      </c>
      <c r="AX80" s="1">
        <f t="shared" si="16"/>
        <v>1</v>
      </c>
      <c r="AY80" s="1" t="str">
        <f>IF(COUNTIF($AX$2:AX80,1)&gt;$AG$1,"",IF(AX80="","",E80))</f>
        <v>089</v>
      </c>
      <c r="BM80" s="138" t="str">
        <f t="shared" si="17"/>
        <v xml:space="preserve">   </v>
      </c>
      <c r="BN80" s="42">
        <f t="shared" si="18"/>
        <v>11225</v>
      </c>
      <c r="BS80" s="2">
        <v>9707</v>
      </c>
      <c r="BT80" s="2" t="s">
        <v>902</v>
      </c>
      <c r="BX80" s="36"/>
      <c r="BY80" s="1"/>
    </row>
    <row r="81" spans="1:77" s="2" customFormat="1" ht="14.25">
      <c r="A81" s="55">
        <v>11226</v>
      </c>
      <c r="B81" s="36" t="s">
        <v>82</v>
      </c>
      <c r="C81" s="36" t="s">
        <v>78</v>
      </c>
      <c r="D81" s="36" t="s">
        <v>907</v>
      </c>
      <c r="E81" s="36" t="s">
        <v>20</v>
      </c>
      <c r="F81" s="36" t="s">
        <v>42</v>
      </c>
      <c r="G81" s="36" t="s">
        <v>85</v>
      </c>
      <c r="H81" s="36" t="s">
        <v>58</v>
      </c>
      <c r="I81" s="36" t="s">
        <v>85</v>
      </c>
      <c r="J81" s="36" t="s">
        <v>1146</v>
      </c>
      <c r="K81" s="1" t="str">
        <f t="shared" si="19"/>
        <v/>
      </c>
      <c r="L81" s="1" t="str">
        <f t="shared" si="22"/>
        <v/>
      </c>
      <c r="M81" s="94">
        <v>76</v>
      </c>
      <c r="N81" s="36" t="s">
        <v>1731</v>
      </c>
      <c r="O81" s="95">
        <v>309783</v>
      </c>
      <c r="P81" s="36"/>
      <c r="Q81" s="110" t="str">
        <f t="shared" si="20"/>
        <v>Standard</v>
      </c>
      <c r="R81" s="1" t="str">
        <f t="shared" si="21"/>
        <v/>
      </c>
      <c r="S81" s="1">
        <f>IF(A81&gt;0,COUNT(A$2:A81),"")</f>
        <v>80</v>
      </c>
      <c r="T81" s="1" t="str">
        <f t="shared" si="12"/>
        <v xml:space="preserve">ASV71L-RETNHX </v>
      </c>
      <c r="U81" s="1" t="str">
        <f t="shared" si="13"/>
        <v xml:space="preserve">   </v>
      </c>
      <c r="V81" s="111" t="str">
        <f t="shared" si="14"/>
        <v/>
      </c>
      <c r="W81" s="1"/>
      <c r="X81" s="1"/>
      <c r="Y81" s="1"/>
      <c r="Z81" s="1"/>
      <c r="AA81" s="1">
        <v>29984</v>
      </c>
      <c r="AB81" s="1" t="s">
        <v>54</v>
      </c>
      <c r="AC81" s="1"/>
      <c r="AD81" s="1" t="str">
        <f t="shared" si="15"/>
        <v>664W</v>
      </c>
      <c r="AE81" s="1"/>
      <c r="AF81" s="1"/>
      <c r="AG81" s="1"/>
      <c r="AH81" s="116">
        <v>80</v>
      </c>
      <c r="AI81" s="122">
        <v>194</v>
      </c>
      <c r="AJ81" s="1" t="s">
        <v>1424</v>
      </c>
      <c r="AK81" s="1">
        <v>309476</v>
      </c>
      <c r="AL81" s="1" t="s">
        <v>930</v>
      </c>
      <c r="AM81" s="113"/>
      <c r="AN81" s="270">
        <v>175</v>
      </c>
      <c r="AO81"/>
      <c r="AP81" s="1">
        <v>80</v>
      </c>
      <c r="AQ81" s="1">
        <v>37</v>
      </c>
      <c r="AR81" s="1" t="s">
        <v>1266</v>
      </c>
      <c r="AS81" s="1">
        <v>309319</v>
      </c>
      <c r="AT81" s="1" t="s">
        <v>930</v>
      </c>
      <c r="AV81" s="241">
        <v>18</v>
      </c>
      <c r="AX81" s="1">
        <f t="shared" si="16"/>
        <v>1</v>
      </c>
      <c r="AY81" s="1" t="str">
        <f>IF(COUNTIF($AX$2:AX81,1)&gt;$AG$1,"",IF(AX81="","",E81))</f>
        <v>218</v>
      </c>
      <c r="BM81" s="138" t="str">
        <f t="shared" si="17"/>
        <v xml:space="preserve">   </v>
      </c>
      <c r="BN81" s="42">
        <f t="shared" si="18"/>
        <v>11226</v>
      </c>
      <c r="BS81" s="2">
        <v>9708</v>
      </c>
      <c r="BT81" s="2" t="s">
        <v>902</v>
      </c>
      <c r="BX81" s="36"/>
      <c r="BY81" s="1"/>
    </row>
    <row r="82" spans="1:77" s="2" customFormat="1" ht="14.25">
      <c r="A82" s="55">
        <v>11227</v>
      </c>
      <c r="B82" s="36" t="s">
        <v>1158</v>
      </c>
      <c r="C82" s="36" t="s">
        <v>46</v>
      </c>
      <c r="D82" s="36" t="s">
        <v>916</v>
      </c>
      <c r="E82" s="36" t="s">
        <v>80</v>
      </c>
      <c r="F82" s="36" t="s">
        <v>1139</v>
      </c>
      <c r="G82" s="36" t="s">
        <v>894</v>
      </c>
      <c r="H82" s="36" t="s">
        <v>58</v>
      </c>
      <c r="I82" s="36" t="s">
        <v>85</v>
      </c>
      <c r="J82" s="36" t="s">
        <v>1146</v>
      </c>
      <c r="K82" s="1" t="str">
        <f t="shared" si="19"/>
        <v/>
      </c>
      <c r="L82" s="1" t="str">
        <f t="shared" si="22"/>
        <v/>
      </c>
      <c r="M82" s="94">
        <v>77</v>
      </c>
      <c r="N82" s="36" t="s">
        <v>1732</v>
      </c>
      <c r="O82" s="95">
        <v>309784</v>
      </c>
      <c r="P82" s="36"/>
      <c r="Q82" s="110" t="str">
        <f t="shared" si="20"/>
        <v/>
      </c>
      <c r="R82" s="1" t="str">
        <f t="shared" si="21"/>
        <v>CVT</v>
      </c>
      <c r="S82" s="1">
        <f>IF(A82&gt;0,COUNT(A$2:A82),"")</f>
        <v>81</v>
      </c>
      <c r="T82" s="1" t="str">
        <f t="shared" si="12"/>
        <v>MXAA54L-RNXMBX</v>
      </c>
      <c r="U82" s="1" t="str">
        <f t="shared" si="13"/>
        <v>CVT</v>
      </c>
      <c r="V82" s="111" t="str">
        <f t="shared" si="14"/>
        <v/>
      </c>
      <c r="W82" s="1"/>
      <c r="X82" s="1"/>
      <c r="Y82" s="1"/>
      <c r="Z82" s="1"/>
      <c r="AA82" s="1">
        <v>29985</v>
      </c>
      <c r="AB82" s="1" t="s">
        <v>89</v>
      </c>
      <c r="AC82" s="1"/>
      <c r="AD82" s="1" t="str">
        <f t="shared" si="15"/>
        <v>831W</v>
      </c>
      <c r="AE82" s="1"/>
      <c r="AF82" s="1"/>
      <c r="AG82" s="1"/>
      <c r="AH82" s="116">
        <v>81</v>
      </c>
      <c r="AI82" s="122">
        <v>195</v>
      </c>
      <c r="AJ82" s="1" t="s">
        <v>1425</v>
      </c>
      <c r="AK82" s="1">
        <v>309477</v>
      </c>
      <c r="AL82" s="1" t="s">
        <v>930</v>
      </c>
      <c r="AM82" s="113"/>
      <c r="AN82" s="270">
        <v>176</v>
      </c>
      <c r="AO82"/>
      <c r="AP82" s="250">
        <v>81</v>
      </c>
      <c r="AQ82" s="250">
        <v>38</v>
      </c>
      <c r="AR82" s="250" t="s">
        <v>1267</v>
      </c>
      <c r="AS82" s="250">
        <v>309320</v>
      </c>
      <c r="AT82" s="250" t="s">
        <v>115</v>
      </c>
      <c r="AU82" s="251"/>
      <c r="AV82" s="252">
        <v>19</v>
      </c>
      <c r="AW82" s="251"/>
      <c r="AX82" s="1">
        <f t="shared" si="16"/>
        <v>1</v>
      </c>
      <c r="AY82" s="1" t="str">
        <f>IF(COUNTIF($AX$2:AX82,1)&gt;$AG$1,"",IF(AX82="","",E82))</f>
        <v>089</v>
      </c>
      <c r="BM82" s="138" t="str">
        <f t="shared" si="17"/>
        <v xml:space="preserve">   </v>
      </c>
      <c r="BN82" s="42">
        <f t="shared" si="18"/>
        <v>11227</v>
      </c>
      <c r="BS82" s="2">
        <v>9709</v>
      </c>
      <c r="BT82" s="2" t="s">
        <v>902</v>
      </c>
      <c r="BX82" s="36"/>
      <c r="BY82" s="1"/>
    </row>
    <row r="83" spans="1:77" s="2" customFormat="1" ht="14.25">
      <c r="A83" s="55">
        <v>11228</v>
      </c>
      <c r="B83" s="36" t="s">
        <v>82</v>
      </c>
      <c r="C83" s="36" t="s">
        <v>78</v>
      </c>
      <c r="D83" s="36" t="s">
        <v>906</v>
      </c>
      <c r="E83" s="36" t="s">
        <v>83</v>
      </c>
      <c r="F83" s="36" t="s">
        <v>86</v>
      </c>
      <c r="G83" s="36" t="s">
        <v>85</v>
      </c>
      <c r="H83" s="54" t="s">
        <v>58</v>
      </c>
      <c r="I83" s="54" t="s">
        <v>85</v>
      </c>
      <c r="J83" s="54" t="s">
        <v>1146</v>
      </c>
      <c r="K83" s="1" t="str">
        <f t="shared" si="19"/>
        <v/>
      </c>
      <c r="L83" s="1" t="str">
        <f t="shared" si="22"/>
        <v/>
      </c>
      <c r="M83" s="94">
        <v>78</v>
      </c>
      <c r="N83" s="36" t="s">
        <v>1733</v>
      </c>
      <c r="O83" s="95">
        <v>309785</v>
      </c>
      <c r="P83" s="36"/>
      <c r="Q83" s="110" t="str">
        <f t="shared" si="20"/>
        <v>Standard</v>
      </c>
      <c r="R83" s="1" t="str">
        <f t="shared" si="21"/>
        <v/>
      </c>
      <c r="S83" s="1">
        <f>IF(A83&gt;0,COUNT(A$2:A83),"")</f>
        <v>82</v>
      </c>
      <c r="T83" s="1" t="str">
        <f t="shared" si="12"/>
        <v xml:space="preserve">ASV70L-RETNKX </v>
      </c>
      <c r="U83" s="1" t="str">
        <f t="shared" si="13"/>
        <v xml:space="preserve">   </v>
      </c>
      <c r="V83" s="111" t="str">
        <f t="shared" si="14"/>
        <v/>
      </c>
      <c r="W83" s="1"/>
      <c r="X83" s="1"/>
      <c r="Y83" s="1"/>
      <c r="Z83" s="1"/>
      <c r="AA83" s="1">
        <v>29986</v>
      </c>
      <c r="AB83" s="1" t="s">
        <v>42</v>
      </c>
      <c r="AC83" s="1"/>
      <c r="AD83" s="1" t="str">
        <f t="shared" si="15"/>
        <v>664W</v>
      </c>
      <c r="AE83" s="1"/>
      <c r="AF83" s="1"/>
      <c r="AG83" s="1"/>
      <c r="AH83" s="116">
        <v>82</v>
      </c>
      <c r="AI83" s="122">
        <v>196</v>
      </c>
      <c r="AJ83" s="1" t="s">
        <v>1426</v>
      </c>
      <c r="AK83" s="1">
        <v>309478</v>
      </c>
      <c r="AL83" s="1" t="s">
        <v>115</v>
      </c>
      <c r="AM83" s="113"/>
      <c r="AN83" s="270">
        <v>177</v>
      </c>
      <c r="AO83"/>
      <c r="AP83" s="250">
        <v>82</v>
      </c>
      <c r="AQ83" s="250">
        <v>39</v>
      </c>
      <c r="AR83" s="250" t="s">
        <v>1268</v>
      </c>
      <c r="AS83" s="250">
        <v>309321</v>
      </c>
      <c r="AT83" s="250" t="s">
        <v>930</v>
      </c>
      <c r="AU83" s="251"/>
      <c r="AV83" s="252">
        <v>20</v>
      </c>
      <c r="AW83" s="251"/>
      <c r="AX83" s="1">
        <f t="shared" si="16"/>
        <v>1</v>
      </c>
      <c r="AY83" s="1" t="str">
        <f>IF(COUNTIF($AX$2:AX83,1)&gt;$AG$1,"",IF(AX83="","",E83))</f>
        <v>221</v>
      </c>
      <c r="BM83" s="138" t="str">
        <f t="shared" si="17"/>
        <v xml:space="preserve">   </v>
      </c>
      <c r="BN83" s="42">
        <f t="shared" si="18"/>
        <v>11228</v>
      </c>
      <c r="BS83" s="2">
        <v>9710</v>
      </c>
      <c r="BT83" s="2" t="s">
        <v>902</v>
      </c>
      <c r="BX83" s="36"/>
      <c r="BY83" s="1"/>
    </row>
    <row r="84" spans="1:77" s="2" customFormat="1" ht="14.25">
      <c r="A84" s="55">
        <v>11229</v>
      </c>
      <c r="B84" s="36" t="s">
        <v>1158</v>
      </c>
      <c r="C84" s="36" t="s">
        <v>78</v>
      </c>
      <c r="D84" s="36" t="s">
        <v>916</v>
      </c>
      <c r="E84" s="36" t="s">
        <v>1128</v>
      </c>
      <c r="F84" s="36" t="s">
        <v>1154</v>
      </c>
      <c r="G84" s="36" t="s">
        <v>894</v>
      </c>
      <c r="H84" s="36" t="s">
        <v>58</v>
      </c>
      <c r="I84" s="36" t="s">
        <v>85</v>
      </c>
      <c r="J84" s="36" t="s">
        <v>1146</v>
      </c>
      <c r="K84" s="1" t="str">
        <f t="shared" si="19"/>
        <v/>
      </c>
      <c r="L84" s="1" t="str">
        <f t="shared" si="22"/>
        <v/>
      </c>
      <c r="M84" s="94">
        <v>79</v>
      </c>
      <c r="N84" s="36" t="s">
        <v>1734</v>
      </c>
      <c r="O84" s="95">
        <v>309786</v>
      </c>
      <c r="P84" s="36"/>
      <c r="Q84" s="110" t="str">
        <f t="shared" si="20"/>
        <v/>
      </c>
      <c r="R84" s="1" t="str">
        <f t="shared" si="21"/>
        <v>CVT</v>
      </c>
      <c r="S84" s="1">
        <f>IF(A84&gt;0,COUNT(A$2:A84),"")</f>
        <v>83</v>
      </c>
      <c r="T84" s="1" t="str">
        <f t="shared" si="12"/>
        <v>MXAA54L-RNXMBX</v>
      </c>
      <c r="U84" s="1" t="str">
        <f t="shared" si="13"/>
        <v>CVT</v>
      </c>
      <c r="V84" s="111" t="str">
        <f t="shared" si="14"/>
        <v/>
      </c>
      <c r="W84" s="1"/>
      <c r="X84" s="1"/>
      <c r="Y84" s="1"/>
      <c r="Z84" s="1"/>
      <c r="AA84" s="1">
        <v>29987</v>
      </c>
      <c r="AB84" s="1" t="s">
        <v>40</v>
      </c>
      <c r="AC84" s="1"/>
      <c r="AD84" s="1" t="str">
        <f t="shared" si="15"/>
        <v>831W</v>
      </c>
      <c r="AE84" s="1"/>
      <c r="AF84" s="1"/>
      <c r="AG84" s="1"/>
      <c r="AH84" s="116">
        <v>83</v>
      </c>
      <c r="AI84" s="122">
        <v>197</v>
      </c>
      <c r="AJ84" s="1" t="s">
        <v>1427</v>
      </c>
      <c r="AK84" s="1">
        <v>309479</v>
      </c>
      <c r="AL84" s="1" t="s">
        <v>930</v>
      </c>
      <c r="AM84" s="113"/>
      <c r="AN84" s="270">
        <v>178</v>
      </c>
      <c r="AO84"/>
      <c r="AP84" s="250">
        <v>83</v>
      </c>
      <c r="AQ84" s="250">
        <v>40</v>
      </c>
      <c r="AR84" s="250" t="s">
        <v>1269</v>
      </c>
      <c r="AS84" s="250">
        <v>309322</v>
      </c>
      <c r="AT84" s="250" t="s">
        <v>115</v>
      </c>
      <c r="AU84" s="251"/>
      <c r="AV84" s="252">
        <v>21</v>
      </c>
      <c r="AW84" s="251"/>
      <c r="AX84" s="1">
        <f t="shared" si="16"/>
        <v>1</v>
      </c>
      <c r="AY84" s="1" t="str">
        <f>IF(COUNTIF($AX$2:AX84,1)&gt;$AG$1,"",IF(AX84="","",E84))</f>
        <v>2PS</v>
      </c>
      <c r="BM84" s="138" t="str">
        <f t="shared" si="17"/>
        <v xml:space="preserve">   </v>
      </c>
      <c r="BN84" s="42">
        <f t="shared" si="18"/>
        <v>11229</v>
      </c>
      <c r="BS84" s="2">
        <v>9711</v>
      </c>
      <c r="BT84" s="2" t="s">
        <v>902</v>
      </c>
      <c r="BX84" s="36"/>
      <c r="BY84" s="1"/>
    </row>
    <row r="85" spans="1:77" s="2" customFormat="1" ht="14.25">
      <c r="A85" s="55">
        <v>11230</v>
      </c>
      <c r="B85" s="36" t="s">
        <v>1158</v>
      </c>
      <c r="C85" s="36" t="s">
        <v>78</v>
      </c>
      <c r="D85" s="36" t="s">
        <v>909</v>
      </c>
      <c r="E85" s="36" t="s">
        <v>21</v>
      </c>
      <c r="F85" s="36" t="s">
        <v>1149</v>
      </c>
      <c r="G85" s="36" t="s">
        <v>921</v>
      </c>
      <c r="H85" s="36" t="s">
        <v>58</v>
      </c>
      <c r="I85" s="36" t="s">
        <v>85</v>
      </c>
      <c r="J85" s="36" t="s">
        <v>1146</v>
      </c>
      <c r="K85" s="1" t="str">
        <f t="shared" si="19"/>
        <v/>
      </c>
      <c r="L85" s="1" t="str">
        <f t="shared" si="22"/>
        <v/>
      </c>
      <c r="M85" s="94">
        <v>80</v>
      </c>
      <c r="N85" s="36" t="s">
        <v>1735</v>
      </c>
      <c r="O85" s="95">
        <v>309787</v>
      </c>
      <c r="P85" s="36"/>
      <c r="Q85" s="110" t="str">
        <f t="shared" si="20"/>
        <v/>
      </c>
      <c r="R85" s="1" t="str">
        <f t="shared" si="21"/>
        <v>Auto</v>
      </c>
      <c r="S85" s="1">
        <f>IF(A85&gt;0,COUNT(A$2:A85),"")</f>
        <v>84</v>
      </c>
      <c r="T85" s="1" t="str">
        <f t="shared" si="12"/>
        <v>AXAA54L-RNZGBX</v>
      </c>
      <c r="U85" s="1" t="str">
        <f t="shared" si="13"/>
        <v>8AT</v>
      </c>
      <c r="V85" s="111" t="str">
        <f t="shared" si="14"/>
        <v/>
      </c>
      <c r="W85" s="1"/>
      <c r="X85" s="1"/>
      <c r="Y85" s="1"/>
      <c r="Z85" s="1"/>
      <c r="AA85" s="1">
        <v>29988</v>
      </c>
      <c r="AB85" s="1" t="s">
        <v>41</v>
      </c>
      <c r="AC85" s="1"/>
      <c r="AD85" s="1" t="str">
        <f t="shared" si="15"/>
        <v>831W</v>
      </c>
      <c r="AE85" s="1"/>
      <c r="AF85" s="1"/>
      <c r="AG85" s="1"/>
      <c r="AH85" s="116">
        <v>84</v>
      </c>
      <c r="AI85" s="122">
        <v>37</v>
      </c>
      <c r="AJ85" s="1" t="s">
        <v>1428</v>
      </c>
      <c r="AK85" s="1">
        <v>309480</v>
      </c>
      <c r="AL85" s="1" t="s">
        <v>115</v>
      </c>
      <c r="AM85" s="113"/>
      <c r="AN85" s="270">
        <v>179</v>
      </c>
      <c r="AO85"/>
      <c r="AP85" s="250">
        <v>84</v>
      </c>
      <c r="AQ85" s="250">
        <v>41</v>
      </c>
      <c r="AR85" s="250" t="s">
        <v>1270</v>
      </c>
      <c r="AS85" s="250">
        <v>309323</v>
      </c>
      <c r="AT85" s="250" t="s">
        <v>930</v>
      </c>
      <c r="AU85" s="251"/>
      <c r="AV85" s="252">
        <v>22</v>
      </c>
      <c r="AW85" s="251"/>
      <c r="AX85" s="1">
        <f t="shared" si="16"/>
        <v>1</v>
      </c>
      <c r="AY85" s="1" t="str">
        <f>IF(COUNTIF($AX$2:AX85,1)&gt;$AG$1,"",IF(AX85="","",E85))</f>
        <v>040</v>
      </c>
      <c r="BM85" s="138" t="str">
        <f t="shared" si="17"/>
        <v xml:space="preserve">   </v>
      </c>
      <c r="BN85" s="42">
        <f t="shared" si="18"/>
        <v>11230</v>
      </c>
      <c r="BS85" s="2">
        <v>9712</v>
      </c>
      <c r="BT85" s="2" t="s">
        <v>902</v>
      </c>
      <c r="BX85" s="36"/>
      <c r="BY85" s="1"/>
    </row>
    <row r="86" spans="1:77" s="2" customFormat="1" ht="14.25">
      <c r="A86" s="55">
        <v>11231</v>
      </c>
      <c r="B86" s="36" t="s">
        <v>82</v>
      </c>
      <c r="C86" s="36" t="s">
        <v>78</v>
      </c>
      <c r="D86" s="36" t="s">
        <v>906</v>
      </c>
      <c r="E86" s="36" t="s">
        <v>20</v>
      </c>
      <c r="F86" s="36" t="s">
        <v>1148</v>
      </c>
      <c r="G86" s="36" t="s">
        <v>85</v>
      </c>
      <c r="H86" s="36" t="s">
        <v>58</v>
      </c>
      <c r="I86" s="36" t="s">
        <v>85</v>
      </c>
      <c r="J86" s="36" t="s">
        <v>1146</v>
      </c>
      <c r="K86" s="1" t="str">
        <f t="shared" si="19"/>
        <v/>
      </c>
      <c r="L86" s="1" t="str">
        <f t="shared" si="22"/>
        <v/>
      </c>
      <c r="M86" s="94">
        <v>81</v>
      </c>
      <c r="N86" s="36" t="s">
        <v>1736</v>
      </c>
      <c r="O86" s="95">
        <v>309788</v>
      </c>
      <c r="P86" s="36"/>
      <c r="Q86" s="110" t="str">
        <f t="shared" si="20"/>
        <v>Standard</v>
      </c>
      <c r="R86" s="1" t="str">
        <f t="shared" si="21"/>
        <v/>
      </c>
      <c r="S86" s="1">
        <f>IF(A86&gt;0,COUNT(A$2:A86),"")</f>
        <v>85</v>
      </c>
      <c r="T86" s="1" t="str">
        <f t="shared" si="12"/>
        <v xml:space="preserve">ASV70L-RETNKX </v>
      </c>
      <c r="U86" s="1" t="str">
        <f t="shared" si="13"/>
        <v xml:space="preserve">   </v>
      </c>
      <c r="V86" s="111" t="str">
        <f t="shared" si="14"/>
        <v/>
      </c>
      <c r="W86" s="1"/>
      <c r="X86" s="1"/>
      <c r="Y86" s="1"/>
      <c r="Z86" s="1"/>
      <c r="AA86" s="1">
        <v>29989</v>
      </c>
      <c r="AB86" s="1" t="s">
        <v>54</v>
      </c>
      <c r="AC86" s="1"/>
      <c r="AD86" s="1" t="str">
        <f t="shared" si="15"/>
        <v>664W</v>
      </c>
      <c r="AE86" s="1"/>
      <c r="AF86" s="1"/>
      <c r="AG86" s="1"/>
      <c r="AH86" s="116">
        <v>85</v>
      </c>
      <c r="AI86" s="122">
        <v>38</v>
      </c>
      <c r="AJ86" s="1" t="s">
        <v>1429</v>
      </c>
      <c r="AK86" s="1">
        <v>309481</v>
      </c>
      <c r="AL86" s="1" t="s">
        <v>930</v>
      </c>
      <c r="AM86" s="113"/>
      <c r="AN86" s="270">
        <v>180</v>
      </c>
      <c r="AO86"/>
      <c r="AP86" s="250">
        <v>85</v>
      </c>
      <c r="AQ86" s="250">
        <v>42</v>
      </c>
      <c r="AR86" s="250" t="s">
        <v>1271</v>
      </c>
      <c r="AS86" s="250">
        <v>309324</v>
      </c>
      <c r="AT86" s="250" t="s">
        <v>115</v>
      </c>
      <c r="AU86" s="251"/>
      <c r="AV86" s="252">
        <v>23</v>
      </c>
      <c r="AW86" s="251"/>
      <c r="AX86" s="1">
        <f t="shared" si="16"/>
        <v>1</v>
      </c>
      <c r="AY86" s="1" t="str">
        <f>IF(COUNTIF($AX$2:AX86,1)&gt;$AG$1,"",IF(AX86="","",E86))</f>
        <v>218</v>
      </c>
      <c r="BM86" s="138" t="str">
        <f t="shared" si="17"/>
        <v xml:space="preserve">   </v>
      </c>
      <c r="BN86" s="42">
        <f t="shared" si="18"/>
        <v>11231</v>
      </c>
      <c r="BS86" s="2">
        <v>9713</v>
      </c>
      <c r="BT86" s="2" t="s">
        <v>902</v>
      </c>
      <c r="BX86" s="36"/>
      <c r="BY86" s="1"/>
    </row>
    <row r="87" spans="1:77" s="2" customFormat="1" ht="14.25">
      <c r="A87" s="55">
        <v>11232</v>
      </c>
      <c r="B87" s="36" t="s">
        <v>1158</v>
      </c>
      <c r="C87" s="36" t="s">
        <v>78</v>
      </c>
      <c r="D87" s="36" t="s">
        <v>916</v>
      </c>
      <c r="E87" s="36" t="s">
        <v>80</v>
      </c>
      <c r="F87" s="36" t="s">
        <v>1139</v>
      </c>
      <c r="G87" s="36" t="s">
        <v>894</v>
      </c>
      <c r="H87" s="36" t="s">
        <v>58</v>
      </c>
      <c r="I87" s="36" t="s">
        <v>85</v>
      </c>
      <c r="J87" s="36" t="s">
        <v>1146</v>
      </c>
      <c r="K87" s="1" t="str">
        <f t="shared" si="19"/>
        <v/>
      </c>
      <c r="L87" s="1" t="str">
        <f t="shared" si="22"/>
        <v/>
      </c>
      <c r="M87" s="94">
        <v>82</v>
      </c>
      <c r="N87" s="36" t="s">
        <v>1737</v>
      </c>
      <c r="O87" s="95">
        <v>309789</v>
      </c>
      <c r="P87" s="36"/>
      <c r="Q87" s="110" t="str">
        <f t="shared" si="20"/>
        <v/>
      </c>
      <c r="R87" s="1" t="str">
        <f t="shared" si="21"/>
        <v>CVT</v>
      </c>
      <c r="S87" s="1">
        <f>IF(A87&gt;0,COUNT(A$2:A87),"")</f>
        <v>86</v>
      </c>
      <c r="T87" s="1" t="str">
        <f t="shared" si="12"/>
        <v>MXAA54L-RNXMBX</v>
      </c>
      <c r="U87" s="1" t="str">
        <f t="shared" si="13"/>
        <v>CVT</v>
      </c>
      <c r="V87" s="111" t="str">
        <f t="shared" si="14"/>
        <v/>
      </c>
      <c r="AA87" s="1">
        <v>29990</v>
      </c>
      <c r="AB87" s="2" t="s">
        <v>42</v>
      </c>
      <c r="AD87" s="1" t="str">
        <f t="shared" si="15"/>
        <v>831W</v>
      </c>
      <c r="AF87" s="1"/>
      <c r="AH87" s="116">
        <v>86</v>
      </c>
      <c r="AI87" s="122">
        <v>39</v>
      </c>
      <c r="AJ87" s="1" t="s">
        <v>1430</v>
      </c>
      <c r="AK87" s="1">
        <v>309482</v>
      </c>
      <c r="AL87" s="1" t="s">
        <v>115</v>
      </c>
      <c r="AM87" s="113"/>
      <c r="AN87" s="270">
        <v>181</v>
      </c>
      <c r="AO87"/>
      <c r="AP87" s="250">
        <v>86</v>
      </c>
      <c r="AQ87" s="250">
        <v>43</v>
      </c>
      <c r="AR87" s="251" t="s">
        <v>1272</v>
      </c>
      <c r="AS87" s="250">
        <v>309325</v>
      </c>
      <c r="AT87" s="250" t="s">
        <v>930</v>
      </c>
      <c r="AU87" s="251"/>
      <c r="AV87" s="252">
        <v>24</v>
      </c>
      <c r="AW87" s="251"/>
      <c r="AX87" s="1">
        <f t="shared" si="16"/>
        <v>1</v>
      </c>
      <c r="AY87" s="1" t="str">
        <f>IF(COUNTIF($AX$2:AX87,1)&gt;$AG$1,"",IF(AX87="","",E87))</f>
        <v>089</v>
      </c>
      <c r="BM87" s="138" t="str">
        <f t="shared" si="17"/>
        <v xml:space="preserve">   </v>
      </c>
      <c r="BN87" s="42">
        <f t="shared" si="18"/>
        <v>11232</v>
      </c>
      <c r="BS87" s="2">
        <v>9714</v>
      </c>
      <c r="BT87" s="2" t="s">
        <v>902</v>
      </c>
      <c r="BX87" s="36"/>
      <c r="BY87" s="1"/>
    </row>
    <row r="88" spans="1:77" s="2" customFormat="1" ht="14.25">
      <c r="A88" s="55">
        <v>11233</v>
      </c>
      <c r="B88" s="36" t="s">
        <v>82</v>
      </c>
      <c r="C88" s="36" t="s">
        <v>78</v>
      </c>
      <c r="D88" s="36" t="s">
        <v>908</v>
      </c>
      <c r="E88" s="36" t="s">
        <v>20</v>
      </c>
      <c r="F88" s="36" t="s">
        <v>84</v>
      </c>
      <c r="G88" s="36" t="s">
        <v>85</v>
      </c>
      <c r="H88" s="36" t="s">
        <v>58</v>
      </c>
      <c r="I88" s="36" t="s">
        <v>85</v>
      </c>
      <c r="J88" s="36" t="s">
        <v>1146</v>
      </c>
      <c r="K88" s="1" t="str">
        <f t="shared" si="19"/>
        <v/>
      </c>
      <c r="L88" s="1" t="str">
        <f t="shared" si="22"/>
        <v/>
      </c>
      <c r="M88" s="94">
        <v>83</v>
      </c>
      <c r="N88" s="36" t="s">
        <v>1738</v>
      </c>
      <c r="O88" s="95">
        <v>309790</v>
      </c>
      <c r="P88" s="36"/>
      <c r="Q88" s="110" t="str">
        <f t="shared" si="20"/>
        <v>Rich</v>
      </c>
      <c r="R88" s="1" t="str">
        <f t="shared" si="21"/>
        <v/>
      </c>
      <c r="S88" s="1">
        <f>IF(A88&gt;0,COUNT(A$2:A88),"")</f>
        <v>87</v>
      </c>
      <c r="T88" s="1" t="str">
        <f t="shared" si="12"/>
        <v xml:space="preserve">GSV70L-REZGBX </v>
      </c>
      <c r="U88" s="1" t="str">
        <f t="shared" si="13"/>
        <v xml:space="preserve">   </v>
      </c>
      <c r="V88" s="111" t="str">
        <f t="shared" si="14"/>
        <v/>
      </c>
      <c r="AA88" s="1">
        <v>29991</v>
      </c>
      <c r="AB88" s="2" t="s">
        <v>41</v>
      </c>
      <c r="AD88" s="1" t="str">
        <f t="shared" si="15"/>
        <v>664W</v>
      </c>
      <c r="AF88" s="1"/>
      <c r="AH88" s="116">
        <v>87</v>
      </c>
      <c r="AI88" s="122">
        <v>40</v>
      </c>
      <c r="AJ88" s="1" t="s">
        <v>1431</v>
      </c>
      <c r="AK88" s="1">
        <v>309483</v>
      </c>
      <c r="AL88" s="1" t="s">
        <v>930</v>
      </c>
      <c r="AM88" s="113"/>
      <c r="AN88" s="270">
        <v>182</v>
      </c>
      <c r="AO88"/>
      <c r="AP88" s="250">
        <v>87</v>
      </c>
      <c r="AQ88" s="250">
        <v>44</v>
      </c>
      <c r="AR88" s="251" t="s">
        <v>1273</v>
      </c>
      <c r="AS88" s="250">
        <v>309326</v>
      </c>
      <c r="AT88" s="250" t="s">
        <v>115</v>
      </c>
      <c r="AU88" s="251"/>
      <c r="AV88" s="252">
        <v>25</v>
      </c>
      <c r="AW88" s="251"/>
      <c r="AX88" s="1">
        <f t="shared" si="16"/>
        <v>1</v>
      </c>
      <c r="AY88" s="1" t="str">
        <f>IF(COUNTIF($AX$2:AX88,1)&gt;$AG$1,"",IF(AX88="","",E88))</f>
        <v>218</v>
      </c>
      <c r="BM88" s="138" t="str">
        <f t="shared" si="17"/>
        <v xml:space="preserve">   </v>
      </c>
      <c r="BN88" s="42">
        <f t="shared" si="18"/>
        <v>11233</v>
      </c>
      <c r="BS88" s="2">
        <v>9715</v>
      </c>
      <c r="BT88" s="2" t="s">
        <v>902</v>
      </c>
      <c r="BX88" s="36"/>
      <c r="BY88" s="1"/>
    </row>
    <row r="89" spans="1:77" s="2" customFormat="1" ht="14.25">
      <c r="A89" s="55">
        <v>11234</v>
      </c>
      <c r="B89" s="36" t="s">
        <v>1158</v>
      </c>
      <c r="C89" s="36" t="s">
        <v>78</v>
      </c>
      <c r="D89" s="36" t="s">
        <v>913</v>
      </c>
      <c r="E89" s="36" t="s">
        <v>80</v>
      </c>
      <c r="F89" s="36" t="s">
        <v>931</v>
      </c>
      <c r="G89" s="36" t="s">
        <v>894</v>
      </c>
      <c r="H89" s="36" t="s">
        <v>58</v>
      </c>
      <c r="I89" s="36" t="s">
        <v>85</v>
      </c>
      <c r="J89" s="36" t="s">
        <v>1146</v>
      </c>
      <c r="K89" s="1" t="str">
        <f t="shared" si="19"/>
        <v/>
      </c>
      <c r="L89" s="1" t="str">
        <f t="shared" si="22"/>
        <v/>
      </c>
      <c r="M89" s="94">
        <v>84</v>
      </c>
      <c r="N89" s="36" t="s">
        <v>1739</v>
      </c>
      <c r="O89" s="95">
        <v>309791</v>
      </c>
      <c r="P89" s="36"/>
      <c r="Q89" s="110" t="str">
        <f t="shared" si="20"/>
        <v/>
      </c>
      <c r="R89" s="1" t="str">
        <f t="shared" si="21"/>
        <v>CVT</v>
      </c>
      <c r="S89" s="1">
        <f>IF(A89&gt;0,COUNT(A$2:A89),"")</f>
        <v>88</v>
      </c>
      <c r="T89" s="1" t="str">
        <f t="shared" si="12"/>
        <v>MXAA52L-RNXMBX</v>
      </c>
      <c r="U89" s="1" t="str">
        <f t="shared" si="13"/>
        <v>CVT</v>
      </c>
      <c r="V89" s="111" t="str">
        <f t="shared" si="14"/>
        <v/>
      </c>
      <c r="AA89" s="1">
        <v>29992</v>
      </c>
      <c r="AB89" s="2" t="s">
        <v>42</v>
      </c>
      <c r="AD89" s="1" t="str">
        <f t="shared" si="15"/>
        <v>831W</v>
      </c>
      <c r="AF89" s="1"/>
      <c r="AH89" s="116">
        <v>88</v>
      </c>
      <c r="AI89" s="122">
        <v>41</v>
      </c>
      <c r="AJ89" s="1" t="s">
        <v>1432</v>
      </c>
      <c r="AK89" s="1">
        <v>309484</v>
      </c>
      <c r="AL89" s="1" t="s">
        <v>930</v>
      </c>
      <c r="AM89" s="113"/>
      <c r="AN89" s="270">
        <v>183</v>
      </c>
      <c r="AO89"/>
      <c r="AP89" s="250">
        <v>88</v>
      </c>
      <c r="AQ89" s="250">
        <v>45</v>
      </c>
      <c r="AR89" s="251" t="s">
        <v>1274</v>
      </c>
      <c r="AS89" s="250">
        <v>309327</v>
      </c>
      <c r="AT89" s="250" t="s">
        <v>930</v>
      </c>
      <c r="AU89" s="251"/>
      <c r="AV89" s="252">
        <v>26</v>
      </c>
      <c r="AW89" s="251"/>
      <c r="AX89" s="1">
        <f t="shared" si="16"/>
        <v>1</v>
      </c>
      <c r="AY89" s="1" t="str">
        <f>IF(COUNTIF($AX$2:AX89,1)&gt;$AG$1,"",IF(AX89="","",E89))</f>
        <v>089</v>
      </c>
      <c r="BM89" s="138" t="str">
        <f t="shared" si="17"/>
        <v xml:space="preserve">   </v>
      </c>
      <c r="BN89" s="42">
        <f t="shared" si="18"/>
        <v>11234</v>
      </c>
      <c r="BS89" s="2">
        <v>9716</v>
      </c>
      <c r="BT89" s="2" t="s">
        <v>902</v>
      </c>
      <c r="BX89" s="36"/>
      <c r="BY89" s="1"/>
    </row>
    <row r="90" spans="1:77" s="2" customFormat="1" ht="14.25">
      <c r="A90" s="55">
        <v>11235</v>
      </c>
      <c r="B90" s="36" t="s">
        <v>82</v>
      </c>
      <c r="C90" s="36" t="s">
        <v>78</v>
      </c>
      <c r="D90" s="36" t="s">
        <v>906</v>
      </c>
      <c r="E90" s="36" t="s">
        <v>10</v>
      </c>
      <c r="F90" s="36" t="s">
        <v>86</v>
      </c>
      <c r="G90" s="36" t="s">
        <v>85</v>
      </c>
      <c r="H90" s="36" t="s">
        <v>58</v>
      </c>
      <c r="I90" s="36" t="s">
        <v>85</v>
      </c>
      <c r="J90" s="36" t="s">
        <v>1146</v>
      </c>
      <c r="K90" s="1" t="str">
        <f t="shared" si="19"/>
        <v/>
      </c>
      <c r="L90" s="1" t="str">
        <f t="shared" si="22"/>
        <v/>
      </c>
      <c r="M90" s="94">
        <v>85</v>
      </c>
      <c r="N90" s="36" t="s">
        <v>1740</v>
      </c>
      <c r="O90" s="95">
        <v>309792</v>
      </c>
      <c r="P90" s="36"/>
      <c r="Q90" s="110" t="str">
        <f t="shared" si="20"/>
        <v>Standard</v>
      </c>
      <c r="R90" s="1" t="str">
        <f t="shared" si="21"/>
        <v/>
      </c>
      <c r="S90" s="1">
        <f>IF(A90&gt;0,COUNT(A$2:A90),"")</f>
        <v>89</v>
      </c>
      <c r="T90" s="1" t="str">
        <f t="shared" si="12"/>
        <v xml:space="preserve">ASV70L-RETNKX </v>
      </c>
      <c r="U90" s="1" t="str">
        <f t="shared" si="13"/>
        <v xml:space="preserve">   </v>
      </c>
      <c r="V90" s="111" t="str">
        <f t="shared" si="14"/>
        <v/>
      </c>
      <c r="AA90" s="1">
        <v>29993</v>
      </c>
      <c r="AB90" s="2" t="s">
        <v>42</v>
      </c>
      <c r="AD90" s="1" t="str">
        <f t="shared" si="15"/>
        <v>664W</v>
      </c>
      <c r="AF90" s="1"/>
      <c r="AH90" s="116">
        <v>89</v>
      </c>
      <c r="AI90" s="122">
        <v>42</v>
      </c>
      <c r="AJ90" s="1" t="s">
        <v>1433</v>
      </c>
      <c r="AK90" s="1">
        <v>309485</v>
      </c>
      <c r="AL90" s="1" t="s">
        <v>115</v>
      </c>
      <c r="AM90" s="113"/>
      <c r="AN90" s="270">
        <v>184</v>
      </c>
      <c r="AO90"/>
      <c r="AP90" s="250">
        <v>89</v>
      </c>
      <c r="AQ90" s="250">
        <v>46</v>
      </c>
      <c r="AR90" s="251" t="s">
        <v>1275</v>
      </c>
      <c r="AS90" s="250">
        <v>309328</v>
      </c>
      <c r="AT90" s="250" t="s">
        <v>930</v>
      </c>
      <c r="AU90" s="251"/>
      <c r="AV90" s="252">
        <v>27</v>
      </c>
      <c r="AW90" s="251"/>
      <c r="AX90" s="1">
        <f t="shared" si="16"/>
        <v>1</v>
      </c>
      <c r="AY90" s="1" t="str">
        <f>IF(COUNTIF($AX$2:AX90,1)&gt;$AG$1,"",IF(AX90="","",E90))</f>
        <v>1F7</v>
      </c>
      <c r="BM90" s="138" t="str">
        <f t="shared" si="17"/>
        <v xml:space="preserve">   </v>
      </c>
      <c r="BN90" s="42">
        <f t="shared" si="18"/>
        <v>11235</v>
      </c>
      <c r="BS90" s="2">
        <v>9717</v>
      </c>
      <c r="BT90" s="2" t="s">
        <v>902</v>
      </c>
      <c r="BX90" s="36"/>
      <c r="BY90" s="1"/>
    </row>
    <row r="91" spans="1:77" s="2" customFormat="1" ht="14.25">
      <c r="A91" s="55">
        <v>11236</v>
      </c>
      <c r="B91" s="36" t="s">
        <v>1158</v>
      </c>
      <c r="C91" s="36" t="s">
        <v>78</v>
      </c>
      <c r="D91" s="36" t="s">
        <v>909</v>
      </c>
      <c r="E91" s="36" t="s">
        <v>80</v>
      </c>
      <c r="F91" s="36" t="s">
        <v>903</v>
      </c>
      <c r="G91" s="36" t="s">
        <v>921</v>
      </c>
      <c r="H91" s="36" t="s">
        <v>58</v>
      </c>
      <c r="I91" s="36" t="s">
        <v>85</v>
      </c>
      <c r="J91" s="36" t="s">
        <v>1146</v>
      </c>
      <c r="K91" s="1" t="str">
        <f t="shared" si="19"/>
        <v/>
      </c>
      <c r="L91" s="1" t="str">
        <f t="shared" si="22"/>
        <v/>
      </c>
      <c r="M91" s="94">
        <v>86</v>
      </c>
      <c r="N91" s="36" t="s">
        <v>1741</v>
      </c>
      <c r="O91" s="95">
        <v>309793</v>
      </c>
      <c r="P91" s="36"/>
      <c r="Q91" s="110" t="str">
        <f t="shared" si="20"/>
        <v/>
      </c>
      <c r="R91" s="1" t="str">
        <f t="shared" si="21"/>
        <v>Auto</v>
      </c>
      <c r="S91" s="1">
        <f>IF(A91&gt;0,COUNT(A$2:A91),"")</f>
        <v>90</v>
      </c>
      <c r="T91" s="1" t="str">
        <f t="shared" si="12"/>
        <v>AXAA54L-RNZGBX</v>
      </c>
      <c r="U91" s="1" t="str">
        <f t="shared" si="13"/>
        <v>8AT</v>
      </c>
      <c r="V91" s="111" t="str">
        <f t="shared" si="14"/>
        <v/>
      </c>
      <c r="AA91" s="1">
        <v>29994</v>
      </c>
      <c r="AB91" s="2" t="s">
        <v>41</v>
      </c>
      <c r="AD91" s="1" t="str">
        <f t="shared" si="15"/>
        <v>831W</v>
      </c>
      <c r="AF91" s="1"/>
      <c r="AH91" s="116">
        <v>90</v>
      </c>
      <c r="AI91" s="122">
        <v>43</v>
      </c>
      <c r="AJ91" s="1" t="s">
        <v>1434</v>
      </c>
      <c r="AK91" s="1">
        <v>309486</v>
      </c>
      <c r="AL91" s="1" t="s">
        <v>930</v>
      </c>
      <c r="AM91" s="113"/>
      <c r="AN91" s="270">
        <v>185</v>
      </c>
      <c r="AO91"/>
      <c r="AP91" s="1">
        <v>90</v>
      </c>
      <c r="AQ91" s="1">
        <v>47</v>
      </c>
      <c r="AR91" s="2" t="s">
        <v>1276</v>
      </c>
      <c r="AS91" s="1">
        <v>309329</v>
      </c>
      <c r="AT91" s="1" t="s">
        <v>115</v>
      </c>
      <c r="AV91" s="241">
        <v>28</v>
      </c>
      <c r="AX91" s="1">
        <f t="shared" si="16"/>
        <v>1</v>
      </c>
      <c r="AY91" s="1" t="str">
        <f>IF(COUNTIF($AX$2:AX91,1)&gt;$AG$1,"",IF(AX91="","",E91))</f>
        <v>089</v>
      </c>
      <c r="BM91" s="138" t="str">
        <f t="shared" si="17"/>
        <v xml:space="preserve">   </v>
      </c>
      <c r="BN91" s="42">
        <f t="shared" si="18"/>
        <v>11236</v>
      </c>
      <c r="BS91" s="2">
        <v>9718</v>
      </c>
      <c r="BT91" s="2" t="s">
        <v>902</v>
      </c>
      <c r="BX91" s="36"/>
      <c r="BY91" s="1"/>
    </row>
    <row r="92" spans="1:77" s="2" customFormat="1" ht="14.25">
      <c r="A92" s="55">
        <v>11237</v>
      </c>
      <c r="B92" s="36" t="s">
        <v>1158</v>
      </c>
      <c r="C92" s="36" t="s">
        <v>129</v>
      </c>
      <c r="D92" s="36" t="s">
        <v>916</v>
      </c>
      <c r="E92" s="36" t="s">
        <v>10</v>
      </c>
      <c r="F92" s="36" t="s">
        <v>1139</v>
      </c>
      <c r="G92" s="36" t="s">
        <v>894</v>
      </c>
      <c r="H92" s="36" t="s">
        <v>58</v>
      </c>
      <c r="I92" s="36" t="s">
        <v>85</v>
      </c>
      <c r="J92" s="36" t="s">
        <v>1146</v>
      </c>
      <c r="K92" s="1" t="str">
        <f t="shared" si="19"/>
        <v/>
      </c>
      <c r="L92" s="1" t="str">
        <f t="shared" si="22"/>
        <v/>
      </c>
      <c r="M92" s="94">
        <v>87</v>
      </c>
      <c r="N92" s="36" t="s">
        <v>1742</v>
      </c>
      <c r="O92" s="95">
        <v>309794</v>
      </c>
      <c r="P92" s="36"/>
      <c r="Q92" s="110" t="str">
        <f t="shared" si="20"/>
        <v/>
      </c>
      <c r="R92" s="1" t="str">
        <f t="shared" si="21"/>
        <v>CVT</v>
      </c>
      <c r="S92" s="1">
        <f>IF(A92&gt;0,COUNT(A$2:A92),"")</f>
        <v>91</v>
      </c>
      <c r="T92" s="1" t="str">
        <f t="shared" si="12"/>
        <v>MXAA54L-RNXMBX</v>
      </c>
      <c r="U92" s="1" t="str">
        <f t="shared" si="13"/>
        <v>CVT</v>
      </c>
      <c r="V92" s="111" t="str">
        <f t="shared" si="14"/>
        <v/>
      </c>
      <c r="AA92" s="1">
        <v>29995</v>
      </c>
      <c r="AB92" s="2" t="s">
        <v>40</v>
      </c>
      <c r="AD92" s="1" t="str">
        <f t="shared" si="15"/>
        <v>831W</v>
      </c>
      <c r="AF92" s="1"/>
      <c r="AH92" s="116">
        <v>91</v>
      </c>
      <c r="AI92" s="122">
        <v>44</v>
      </c>
      <c r="AJ92" s="1" t="s">
        <v>1435</v>
      </c>
      <c r="AK92" s="1">
        <v>309487</v>
      </c>
      <c r="AL92" s="1" t="s">
        <v>115</v>
      </c>
      <c r="AM92" s="113"/>
      <c r="AN92" s="270">
        <v>186</v>
      </c>
      <c r="AO92"/>
      <c r="AP92" s="1">
        <v>91</v>
      </c>
      <c r="AQ92" s="1">
        <v>48</v>
      </c>
      <c r="AR92" s="2" t="s">
        <v>1277</v>
      </c>
      <c r="AS92" s="1">
        <v>309330</v>
      </c>
      <c r="AT92" s="1" t="s">
        <v>930</v>
      </c>
      <c r="AV92" s="241">
        <v>29</v>
      </c>
      <c r="AX92" s="1">
        <f t="shared" si="16"/>
        <v>1</v>
      </c>
      <c r="AY92" s="1" t="str">
        <f>IF(COUNTIF($AX$2:AX92,1)&gt;$AG$1,"",IF(AX92="","",E92))</f>
        <v>1F7</v>
      </c>
      <c r="BM92" s="138" t="str">
        <f t="shared" si="17"/>
        <v xml:space="preserve">   </v>
      </c>
      <c r="BN92" s="42">
        <f t="shared" si="18"/>
        <v>11237</v>
      </c>
      <c r="BS92" s="2">
        <v>9719</v>
      </c>
      <c r="BT92" s="2" t="s">
        <v>902</v>
      </c>
      <c r="BX92" s="36"/>
      <c r="BY92" s="1"/>
    </row>
    <row r="93" spans="1:77" s="2" customFormat="1" ht="14.25">
      <c r="A93" s="55">
        <v>11238</v>
      </c>
      <c r="B93" s="36" t="s">
        <v>82</v>
      </c>
      <c r="C93" s="36" t="s">
        <v>78</v>
      </c>
      <c r="D93" s="36" t="s">
        <v>906</v>
      </c>
      <c r="E93" s="36" t="s">
        <v>20</v>
      </c>
      <c r="F93" s="36" t="s">
        <v>87</v>
      </c>
      <c r="G93" s="36" t="s">
        <v>85</v>
      </c>
      <c r="H93" s="36" t="s">
        <v>58</v>
      </c>
      <c r="I93" s="36" t="s">
        <v>85</v>
      </c>
      <c r="J93" s="36" t="s">
        <v>1146</v>
      </c>
      <c r="K93" s="1" t="str">
        <f t="shared" si="19"/>
        <v/>
      </c>
      <c r="L93" s="1" t="str">
        <f t="shared" si="22"/>
        <v/>
      </c>
      <c r="M93" s="94">
        <v>88</v>
      </c>
      <c r="N93" s="36" t="s">
        <v>1743</v>
      </c>
      <c r="O93" s="95">
        <v>309795</v>
      </c>
      <c r="P93" s="36"/>
      <c r="Q93" s="110" t="str">
        <f t="shared" si="20"/>
        <v>Standard</v>
      </c>
      <c r="R93" s="1" t="str">
        <f t="shared" si="21"/>
        <v/>
      </c>
      <c r="S93" s="1">
        <f>IF(A93&gt;0,COUNT(A$2:A93),"")</f>
        <v>92</v>
      </c>
      <c r="T93" s="1" t="str">
        <f t="shared" si="12"/>
        <v xml:space="preserve">ASV70L-RETNKX </v>
      </c>
      <c r="U93" s="1" t="str">
        <f t="shared" si="13"/>
        <v xml:space="preserve">   </v>
      </c>
      <c r="V93" s="111" t="str">
        <f t="shared" si="14"/>
        <v/>
      </c>
      <c r="AA93" s="1">
        <v>29996</v>
      </c>
      <c r="AB93" s="2" t="s">
        <v>41</v>
      </c>
      <c r="AD93" s="1" t="str">
        <f t="shared" si="15"/>
        <v>664W</v>
      </c>
      <c r="AF93" s="1"/>
      <c r="AH93" s="116">
        <v>92</v>
      </c>
      <c r="AI93" s="122">
        <v>45</v>
      </c>
      <c r="AJ93" s="1" t="s">
        <v>1436</v>
      </c>
      <c r="AK93" s="1">
        <v>309488</v>
      </c>
      <c r="AL93" s="1" t="s">
        <v>930</v>
      </c>
      <c r="AM93" s="113"/>
      <c r="AN93" s="270">
        <v>187</v>
      </c>
      <c r="AO93"/>
      <c r="AP93" s="1">
        <v>92</v>
      </c>
      <c r="AQ93" s="1">
        <v>49</v>
      </c>
      <c r="AR93" s="2" t="s">
        <v>1278</v>
      </c>
      <c r="AS93" s="1">
        <v>309331</v>
      </c>
      <c r="AT93" s="1" t="s">
        <v>115</v>
      </c>
      <c r="AV93" s="241">
        <v>30</v>
      </c>
      <c r="AX93" s="1">
        <f t="shared" si="16"/>
        <v>1</v>
      </c>
      <c r="AY93" s="1" t="str">
        <f>IF(COUNTIF($AX$2:AX93,1)&gt;$AG$1,"",IF(AX93="","",E93))</f>
        <v>218</v>
      </c>
      <c r="BM93" s="138" t="str">
        <f t="shared" si="17"/>
        <v xml:space="preserve">   </v>
      </c>
      <c r="BN93" s="42">
        <f t="shared" si="18"/>
        <v>11238</v>
      </c>
      <c r="BS93" s="2">
        <v>9720</v>
      </c>
      <c r="BT93" s="2" t="s">
        <v>902</v>
      </c>
      <c r="BX93" s="36"/>
      <c r="BY93" s="1"/>
    </row>
    <row r="94" spans="1:77" s="2" customFormat="1" ht="14.25">
      <c r="A94" s="55">
        <v>11239</v>
      </c>
      <c r="B94" s="36" t="s">
        <v>1158</v>
      </c>
      <c r="C94" s="36" t="s">
        <v>78</v>
      </c>
      <c r="D94" s="36" t="s">
        <v>910</v>
      </c>
      <c r="E94" s="36" t="s">
        <v>1128</v>
      </c>
      <c r="F94" s="36" t="s">
        <v>1154</v>
      </c>
      <c r="G94" s="36" t="s">
        <v>921</v>
      </c>
      <c r="H94" s="36" t="s">
        <v>58</v>
      </c>
      <c r="I94" s="36" t="s">
        <v>85</v>
      </c>
      <c r="J94" s="36" t="s">
        <v>1146</v>
      </c>
      <c r="K94" s="1" t="str">
        <f t="shared" si="19"/>
        <v/>
      </c>
      <c r="L94" s="1" t="str">
        <f t="shared" si="22"/>
        <v/>
      </c>
      <c r="M94" s="94">
        <v>89</v>
      </c>
      <c r="N94" s="36" t="s">
        <v>1744</v>
      </c>
      <c r="O94" s="95">
        <v>309796</v>
      </c>
      <c r="P94" s="36"/>
      <c r="Q94" s="110" t="str">
        <f t="shared" si="20"/>
        <v/>
      </c>
      <c r="R94" s="1" t="str">
        <f t="shared" si="21"/>
        <v>Auto</v>
      </c>
      <c r="S94" s="1">
        <f>IF(A94&gt;0,COUNT(A$2:A94),"")</f>
        <v>93</v>
      </c>
      <c r="T94" s="1" t="str">
        <f t="shared" si="12"/>
        <v>AXAA54L-RNZMBX</v>
      </c>
      <c r="U94" s="1" t="str">
        <f t="shared" si="13"/>
        <v>8AT</v>
      </c>
      <c r="V94" s="111" t="str">
        <f t="shared" si="14"/>
        <v/>
      </c>
      <c r="AA94" s="1">
        <v>29997</v>
      </c>
      <c r="AB94" s="2" t="s">
        <v>41</v>
      </c>
      <c r="AD94" s="1" t="str">
        <f t="shared" si="15"/>
        <v>831W</v>
      </c>
      <c r="AF94" s="1"/>
      <c r="AH94" s="116">
        <v>93</v>
      </c>
      <c r="AI94" s="122">
        <v>46</v>
      </c>
      <c r="AJ94" s="1" t="s">
        <v>1437</v>
      </c>
      <c r="AK94" s="1">
        <v>309489</v>
      </c>
      <c r="AL94" s="1" t="s">
        <v>115</v>
      </c>
      <c r="AM94" s="113"/>
      <c r="AN94" s="270">
        <v>188</v>
      </c>
      <c r="AO94"/>
      <c r="AP94" s="1">
        <v>93</v>
      </c>
      <c r="AQ94" s="1">
        <v>50</v>
      </c>
      <c r="AR94" s="2" t="s">
        <v>1279</v>
      </c>
      <c r="AS94" s="1">
        <v>309332</v>
      </c>
      <c r="AT94" s="1" t="s">
        <v>930</v>
      </c>
      <c r="AV94" s="241">
        <v>31</v>
      </c>
      <c r="AX94" s="1">
        <f t="shared" si="16"/>
        <v>1</v>
      </c>
      <c r="AY94" s="1" t="str">
        <f>IF(COUNTIF($AX$2:AX94,1)&gt;$AG$1,"",IF(AX94="","",E94))</f>
        <v>2PS</v>
      </c>
      <c r="BM94" s="138" t="str">
        <f t="shared" si="17"/>
        <v xml:space="preserve">   </v>
      </c>
      <c r="BN94" s="42">
        <f t="shared" si="18"/>
        <v>11239</v>
      </c>
      <c r="BS94" s="2">
        <v>9721</v>
      </c>
      <c r="BT94" s="2" t="s">
        <v>902</v>
      </c>
      <c r="BX94" s="36"/>
      <c r="BY94" s="1"/>
    </row>
    <row r="95" spans="1:77" s="2" customFormat="1" ht="14.25">
      <c r="A95" s="55">
        <v>11240</v>
      </c>
      <c r="B95" s="36" t="s">
        <v>82</v>
      </c>
      <c r="C95" s="36" t="s">
        <v>78</v>
      </c>
      <c r="D95" s="36" t="s">
        <v>906</v>
      </c>
      <c r="E95" s="36" t="s">
        <v>80</v>
      </c>
      <c r="F95" s="36" t="s">
        <v>87</v>
      </c>
      <c r="G95" s="36" t="s">
        <v>85</v>
      </c>
      <c r="H95" s="36" t="s">
        <v>58</v>
      </c>
      <c r="I95" s="36" t="s">
        <v>85</v>
      </c>
      <c r="J95" s="36" t="s">
        <v>1146</v>
      </c>
      <c r="K95" s="1" t="str">
        <f t="shared" si="19"/>
        <v/>
      </c>
      <c r="L95" s="1" t="str">
        <f t="shared" si="22"/>
        <v/>
      </c>
      <c r="M95" s="94">
        <v>90</v>
      </c>
      <c r="N95" s="36" t="s">
        <v>1745</v>
      </c>
      <c r="O95" s="95">
        <v>309797</v>
      </c>
      <c r="P95" s="36"/>
      <c r="Q95" s="110" t="str">
        <f t="shared" si="20"/>
        <v>Standard</v>
      </c>
      <c r="R95" s="1" t="str">
        <f t="shared" si="21"/>
        <v/>
      </c>
      <c r="S95" s="1">
        <f>IF(A95&gt;0,COUNT(A$2:A95),"")</f>
        <v>94</v>
      </c>
      <c r="T95" s="1" t="str">
        <f t="shared" si="12"/>
        <v xml:space="preserve">ASV70L-RETNKX </v>
      </c>
      <c r="U95" s="1" t="str">
        <f t="shared" si="13"/>
        <v xml:space="preserve">   </v>
      </c>
      <c r="V95" s="111" t="str">
        <f t="shared" si="14"/>
        <v/>
      </c>
      <c r="AA95" s="1">
        <v>29998</v>
      </c>
      <c r="AB95" s="2" t="s">
        <v>41</v>
      </c>
      <c r="AD95" s="1" t="str">
        <f t="shared" si="15"/>
        <v>664W</v>
      </c>
      <c r="AF95" s="1"/>
      <c r="AH95" s="116">
        <v>94</v>
      </c>
      <c r="AI95" s="122">
        <v>47</v>
      </c>
      <c r="AJ95" s="1" t="s">
        <v>1438</v>
      </c>
      <c r="AK95" s="1">
        <v>309490</v>
      </c>
      <c r="AL95" s="1" t="s">
        <v>930</v>
      </c>
      <c r="AM95" s="113"/>
      <c r="AN95" s="270">
        <v>189</v>
      </c>
      <c r="AO95"/>
      <c r="AP95" s="1">
        <v>94</v>
      </c>
      <c r="AQ95" s="1">
        <v>51</v>
      </c>
      <c r="AR95" s="2" t="s">
        <v>1280</v>
      </c>
      <c r="AS95" s="1">
        <v>309333</v>
      </c>
      <c r="AT95" s="1" t="s">
        <v>115</v>
      </c>
      <c r="AV95" s="241">
        <v>32</v>
      </c>
      <c r="AX95" s="1">
        <f t="shared" si="16"/>
        <v>1</v>
      </c>
      <c r="AY95" s="1" t="str">
        <f>IF(COUNTIF($AX$2:AX95,1)&gt;$AG$1,"",IF(AX95="","",E95))</f>
        <v>089</v>
      </c>
      <c r="BM95" s="138" t="str">
        <f t="shared" si="17"/>
        <v xml:space="preserve">   </v>
      </c>
      <c r="BN95" s="42">
        <f t="shared" si="18"/>
        <v>11240</v>
      </c>
      <c r="BS95" s="2">
        <v>9722</v>
      </c>
      <c r="BT95" s="2" t="s">
        <v>902</v>
      </c>
      <c r="BX95" s="36"/>
      <c r="BY95" s="1"/>
    </row>
    <row r="96" spans="1:77" s="2" customFormat="1" ht="14.25">
      <c r="A96" s="55">
        <v>11241</v>
      </c>
      <c r="B96" s="36" t="s">
        <v>1158</v>
      </c>
      <c r="C96" s="36" t="s">
        <v>78</v>
      </c>
      <c r="D96" s="36" t="s">
        <v>915</v>
      </c>
      <c r="E96" s="36" t="s">
        <v>20</v>
      </c>
      <c r="F96" s="36" t="s">
        <v>903</v>
      </c>
      <c r="G96" s="36" t="s">
        <v>894</v>
      </c>
      <c r="H96" s="36" t="s">
        <v>58</v>
      </c>
      <c r="I96" s="36" t="s">
        <v>85</v>
      </c>
      <c r="J96" s="36" t="s">
        <v>1146</v>
      </c>
      <c r="K96" s="1" t="str">
        <f t="shared" si="19"/>
        <v/>
      </c>
      <c r="L96" s="1" t="str">
        <f t="shared" si="22"/>
        <v/>
      </c>
      <c r="M96" s="94">
        <v>91</v>
      </c>
      <c r="N96" s="36" t="s">
        <v>1746</v>
      </c>
      <c r="O96" s="95">
        <v>309798</v>
      </c>
      <c r="P96" s="36"/>
      <c r="Q96" s="110" t="str">
        <f t="shared" si="20"/>
        <v/>
      </c>
      <c r="R96" s="1" t="str">
        <f t="shared" si="21"/>
        <v>CVT</v>
      </c>
      <c r="S96" s="1">
        <f>IF(A96&gt;0,COUNT(A$2:A96),"")</f>
        <v>95</v>
      </c>
      <c r="T96" s="1" t="str">
        <f t="shared" si="12"/>
        <v>MXAA54L-RNXGBX</v>
      </c>
      <c r="U96" s="1" t="str">
        <f t="shared" si="13"/>
        <v>CVT</v>
      </c>
      <c r="V96" s="111" t="str">
        <f t="shared" si="14"/>
        <v/>
      </c>
      <c r="AA96" s="1">
        <v>29999</v>
      </c>
      <c r="AB96" s="2" t="s">
        <v>41</v>
      </c>
      <c r="AD96" s="1" t="str">
        <f t="shared" si="15"/>
        <v>831W</v>
      </c>
      <c r="AF96" s="1"/>
      <c r="AH96" s="116">
        <v>95</v>
      </c>
      <c r="AI96" s="122">
        <v>48</v>
      </c>
      <c r="AJ96" s="1" t="s">
        <v>1439</v>
      </c>
      <c r="AK96" s="1">
        <v>309491</v>
      </c>
      <c r="AL96" s="1" t="s">
        <v>115</v>
      </c>
      <c r="AM96" s="113"/>
      <c r="AN96" s="270">
        <v>190</v>
      </c>
      <c r="AO96"/>
      <c r="AP96" s="1">
        <v>95</v>
      </c>
      <c r="AQ96" s="1">
        <v>52</v>
      </c>
      <c r="AR96" s="2" t="s">
        <v>1281</v>
      </c>
      <c r="AS96" s="1">
        <v>309334</v>
      </c>
      <c r="AT96" s="1" t="s">
        <v>930</v>
      </c>
      <c r="AV96" s="241">
        <v>33</v>
      </c>
      <c r="AX96" s="1">
        <f t="shared" si="16"/>
        <v>1</v>
      </c>
      <c r="AY96" s="1" t="str">
        <f>IF(COUNTIF($AX$2:AX96,1)&gt;$AG$1,"",IF(AX96="","",E96))</f>
        <v>218</v>
      </c>
      <c r="BM96" s="138" t="str">
        <f t="shared" si="17"/>
        <v xml:space="preserve">   </v>
      </c>
      <c r="BN96" s="42">
        <f t="shared" si="18"/>
        <v>11241</v>
      </c>
      <c r="BS96" s="2">
        <v>9723</v>
      </c>
      <c r="BT96" s="2" t="s">
        <v>902</v>
      </c>
      <c r="BX96" s="36"/>
      <c r="BY96" s="1"/>
    </row>
    <row r="97" spans="1:77" s="2" customFormat="1" ht="14.25">
      <c r="A97" s="55">
        <v>11242</v>
      </c>
      <c r="B97" s="36" t="s">
        <v>82</v>
      </c>
      <c r="C97" s="36" t="s">
        <v>78</v>
      </c>
      <c r="D97" s="36" t="s">
        <v>906</v>
      </c>
      <c r="E97" s="36" t="s">
        <v>80</v>
      </c>
      <c r="F97" s="36" t="s">
        <v>1148</v>
      </c>
      <c r="G97" s="36" t="s">
        <v>85</v>
      </c>
      <c r="H97" s="36" t="s">
        <v>58</v>
      </c>
      <c r="I97" s="36" t="s">
        <v>85</v>
      </c>
      <c r="J97" s="36" t="s">
        <v>1146</v>
      </c>
      <c r="K97" s="1" t="str">
        <f t="shared" si="19"/>
        <v/>
      </c>
      <c r="L97" s="1" t="str">
        <f t="shared" si="22"/>
        <v/>
      </c>
      <c r="M97" s="94">
        <v>92</v>
      </c>
      <c r="N97" s="36" t="s">
        <v>1747</v>
      </c>
      <c r="O97" s="95">
        <v>309799</v>
      </c>
      <c r="P97" s="36"/>
      <c r="Q97" s="110" t="str">
        <f t="shared" si="20"/>
        <v>Standard</v>
      </c>
      <c r="R97" s="1" t="str">
        <f t="shared" si="21"/>
        <v/>
      </c>
      <c r="S97" s="1">
        <f>IF(A97&gt;0,COUNT(A$2:A97),"")</f>
        <v>96</v>
      </c>
      <c r="T97" s="1" t="str">
        <f t="shared" si="12"/>
        <v xml:space="preserve">ASV70L-RETNKX </v>
      </c>
      <c r="U97" s="1" t="str">
        <f t="shared" si="13"/>
        <v xml:space="preserve">   </v>
      </c>
      <c r="V97" s="111" t="str">
        <f t="shared" si="14"/>
        <v/>
      </c>
      <c r="AA97" s="1">
        <v>30000</v>
      </c>
      <c r="AB97" s="2" t="s">
        <v>41</v>
      </c>
      <c r="AD97" s="1" t="str">
        <f t="shared" si="15"/>
        <v>664W</v>
      </c>
      <c r="AF97" s="1"/>
      <c r="AH97" s="116">
        <v>96</v>
      </c>
      <c r="AI97" s="122">
        <v>49</v>
      </c>
      <c r="AJ97" s="1" t="s">
        <v>1440</v>
      </c>
      <c r="AK97" s="1">
        <v>309492</v>
      </c>
      <c r="AL97" s="1" t="s">
        <v>930</v>
      </c>
      <c r="AM97" s="113"/>
      <c r="AN97" s="270">
        <v>191</v>
      </c>
      <c r="AO97"/>
      <c r="AP97" s="1">
        <v>96</v>
      </c>
      <c r="AQ97" s="1">
        <v>53</v>
      </c>
      <c r="AR97" s="2" t="s">
        <v>1282</v>
      </c>
      <c r="AS97" s="1">
        <v>309335</v>
      </c>
      <c r="AT97" s="1" t="s">
        <v>930</v>
      </c>
      <c r="AV97" s="241">
        <v>34</v>
      </c>
      <c r="AX97" s="1">
        <f t="shared" si="16"/>
        <v>1</v>
      </c>
      <c r="AY97" s="1" t="str">
        <f>IF(COUNTIF($AX$2:AX97,1)&gt;$AG$1,"",IF(AX97="","",E97))</f>
        <v>089</v>
      </c>
      <c r="BM97" s="138" t="str">
        <f t="shared" si="17"/>
        <v xml:space="preserve">   </v>
      </c>
      <c r="BN97" s="42">
        <f t="shared" si="18"/>
        <v>11242</v>
      </c>
      <c r="BS97" s="2">
        <v>9724</v>
      </c>
      <c r="BT97" s="2" t="s">
        <v>902</v>
      </c>
      <c r="BX97" s="36"/>
      <c r="BY97" s="1"/>
    </row>
    <row r="98" spans="1:77" s="2" customFormat="1" ht="14.25">
      <c r="A98" s="55">
        <v>11243</v>
      </c>
      <c r="B98" s="36" t="s">
        <v>1158</v>
      </c>
      <c r="C98" s="36" t="s">
        <v>78</v>
      </c>
      <c r="D98" s="36" t="s">
        <v>910</v>
      </c>
      <c r="E98" s="36" t="s">
        <v>20</v>
      </c>
      <c r="F98" s="36" t="s">
        <v>1139</v>
      </c>
      <c r="G98" s="36" t="s">
        <v>921</v>
      </c>
      <c r="H98" s="36" t="s">
        <v>58</v>
      </c>
      <c r="I98" s="36" t="s">
        <v>85</v>
      </c>
      <c r="J98" s="36" t="s">
        <v>1146</v>
      </c>
      <c r="K98" s="1" t="str">
        <f t="shared" si="19"/>
        <v/>
      </c>
      <c r="L98" s="1" t="str">
        <f t="shared" si="22"/>
        <v/>
      </c>
      <c r="M98" s="94">
        <v>93</v>
      </c>
      <c r="N98" s="36" t="s">
        <v>1748</v>
      </c>
      <c r="O98" s="95">
        <v>309800</v>
      </c>
      <c r="P98" s="36"/>
      <c r="Q98" s="110" t="str">
        <f t="shared" si="20"/>
        <v/>
      </c>
      <c r="R98" s="1" t="str">
        <f t="shared" si="21"/>
        <v>Auto</v>
      </c>
      <c r="S98" s="1">
        <f>IF(A98&gt;0,COUNT(A$2:A98),"")</f>
        <v>97</v>
      </c>
      <c r="T98" s="1" t="str">
        <f t="shared" si="12"/>
        <v>AXAA54L-RNZMBX</v>
      </c>
      <c r="U98" s="1" t="str">
        <f t="shared" si="13"/>
        <v>8AT</v>
      </c>
      <c r="V98" s="111" t="str">
        <f t="shared" si="14"/>
        <v/>
      </c>
      <c r="AA98" s="1">
        <v>30001</v>
      </c>
      <c r="AB98" s="2" t="s">
        <v>41</v>
      </c>
      <c r="AD98" s="1" t="str">
        <f t="shared" si="15"/>
        <v>831W</v>
      </c>
      <c r="AF98" s="1"/>
      <c r="AH98" s="116">
        <v>97</v>
      </c>
      <c r="AI98" s="122">
        <v>50</v>
      </c>
      <c r="AJ98" s="1" t="s">
        <v>1441</v>
      </c>
      <c r="AK98" s="1">
        <v>309493</v>
      </c>
      <c r="AL98" s="1" t="s">
        <v>930</v>
      </c>
      <c r="AM98" s="113"/>
      <c r="AN98" s="270">
        <v>192</v>
      </c>
      <c r="AO98"/>
      <c r="AP98" s="1">
        <v>97</v>
      </c>
      <c r="AQ98" s="1">
        <v>54</v>
      </c>
      <c r="AR98" s="2" t="s">
        <v>1283</v>
      </c>
      <c r="AS98" s="1">
        <v>309336</v>
      </c>
      <c r="AT98" s="1" t="s">
        <v>115</v>
      </c>
      <c r="AV98" s="241">
        <v>35</v>
      </c>
      <c r="AX98" s="1">
        <f t="shared" si="16"/>
        <v>1</v>
      </c>
      <c r="AY98" s="1" t="str">
        <f>IF(COUNTIF($AX$2:AX98,1)&gt;$AG$1,"",IF(AX98="","",E98))</f>
        <v>218</v>
      </c>
      <c r="BM98" s="138" t="str">
        <f t="shared" si="17"/>
        <v xml:space="preserve">   </v>
      </c>
      <c r="BN98" s="42">
        <f t="shared" si="18"/>
        <v>11243</v>
      </c>
      <c r="BS98" s="2">
        <v>9725</v>
      </c>
      <c r="BT98" s="2" t="s">
        <v>902</v>
      </c>
      <c r="BX98" s="36"/>
      <c r="BY98" s="1"/>
    </row>
    <row r="99" spans="1:77" s="2" customFormat="1" ht="14.25">
      <c r="A99" s="55">
        <v>11244</v>
      </c>
      <c r="B99" s="36" t="s">
        <v>82</v>
      </c>
      <c r="C99" s="36" t="s">
        <v>78</v>
      </c>
      <c r="D99" s="36" t="s">
        <v>907</v>
      </c>
      <c r="E99" s="36" t="s">
        <v>21</v>
      </c>
      <c r="F99" s="36" t="s">
        <v>40</v>
      </c>
      <c r="G99" s="36" t="s">
        <v>85</v>
      </c>
      <c r="H99" s="36" t="s">
        <v>58</v>
      </c>
      <c r="I99" s="36" t="s">
        <v>85</v>
      </c>
      <c r="J99" s="36" t="s">
        <v>1146</v>
      </c>
      <c r="K99" s="1" t="str">
        <f t="shared" si="19"/>
        <v/>
      </c>
      <c r="L99" s="1" t="str">
        <f t="shared" si="22"/>
        <v/>
      </c>
      <c r="M99" s="94">
        <v>94</v>
      </c>
      <c r="N99" s="36" t="s">
        <v>1749</v>
      </c>
      <c r="O99" s="95">
        <v>309801</v>
      </c>
      <c r="P99" s="36"/>
      <c r="Q99" s="110" t="str">
        <f t="shared" si="20"/>
        <v>Standard</v>
      </c>
      <c r="R99" s="1" t="str">
        <f t="shared" si="21"/>
        <v/>
      </c>
      <c r="S99" s="1">
        <f>IF(A99&gt;0,COUNT(A$2:A99),"")</f>
        <v>98</v>
      </c>
      <c r="T99" s="1" t="str">
        <f t="shared" si="12"/>
        <v xml:space="preserve">ASV71L-RETNHX </v>
      </c>
      <c r="U99" s="1" t="str">
        <f t="shared" si="13"/>
        <v xml:space="preserve">   </v>
      </c>
      <c r="V99" s="111" t="str">
        <f t="shared" si="14"/>
        <v/>
      </c>
      <c r="AA99" s="1">
        <v>30002</v>
      </c>
      <c r="AB99" s="2" t="s">
        <v>40</v>
      </c>
      <c r="AD99" s="1" t="str">
        <f t="shared" si="15"/>
        <v>664W</v>
      </c>
      <c r="AF99" s="1"/>
      <c r="AH99" s="116">
        <v>98</v>
      </c>
      <c r="AI99" s="122">
        <v>51</v>
      </c>
      <c r="AJ99" s="1" t="s">
        <v>1442</v>
      </c>
      <c r="AK99" s="1">
        <v>309494</v>
      </c>
      <c r="AL99" s="1" t="s">
        <v>115</v>
      </c>
      <c r="AM99" s="113"/>
      <c r="AN99" s="270">
        <v>193</v>
      </c>
      <c r="AO99"/>
      <c r="AP99" s="1">
        <v>98</v>
      </c>
      <c r="AQ99" s="1">
        <v>55</v>
      </c>
      <c r="AR99" s="2" t="s">
        <v>1284</v>
      </c>
      <c r="AS99" s="1">
        <v>309337</v>
      </c>
      <c r="AT99" s="1" t="s">
        <v>930</v>
      </c>
      <c r="AV99" s="241">
        <v>36</v>
      </c>
      <c r="AX99" s="1">
        <f t="shared" si="16"/>
        <v>1</v>
      </c>
      <c r="AY99" s="1" t="str">
        <f>IF(COUNTIF($AX$2:AX99,1)&gt;$AG$1,"",IF(AX99="","",E99))</f>
        <v>040</v>
      </c>
      <c r="BM99" s="138" t="str">
        <f t="shared" si="17"/>
        <v xml:space="preserve">   </v>
      </c>
      <c r="BN99" s="42">
        <f t="shared" si="18"/>
        <v>11244</v>
      </c>
      <c r="BS99" s="2">
        <v>9726</v>
      </c>
      <c r="BT99" s="2" t="s">
        <v>902</v>
      </c>
      <c r="BX99" s="36"/>
      <c r="BY99" s="1"/>
    </row>
    <row r="100" spans="1:77" s="2" customFormat="1" ht="14.25">
      <c r="A100" s="55">
        <v>11245</v>
      </c>
      <c r="B100" s="36" t="s">
        <v>1158</v>
      </c>
      <c r="C100" s="36" t="s">
        <v>129</v>
      </c>
      <c r="D100" s="36" t="s">
        <v>911</v>
      </c>
      <c r="E100" s="36" t="s">
        <v>20</v>
      </c>
      <c r="F100" s="36" t="s">
        <v>202</v>
      </c>
      <c r="G100" s="36" t="s">
        <v>922</v>
      </c>
      <c r="H100" s="36" t="s">
        <v>58</v>
      </c>
      <c r="I100" s="36" t="s">
        <v>85</v>
      </c>
      <c r="J100" s="36" t="s">
        <v>1146</v>
      </c>
      <c r="K100" s="1" t="str">
        <f t="shared" si="19"/>
        <v/>
      </c>
      <c r="L100" s="1" t="str">
        <f t="shared" si="22"/>
        <v/>
      </c>
      <c r="M100" s="94">
        <v>95</v>
      </c>
      <c r="N100" s="36" t="s">
        <v>1750</v>
      </c>
      <c r="O100" s="95">
        <v>309802</v>
      </c>
      <c r="P100" s="36"/>
      <c r="Q100" s="110" t="str">
        <f t="shared" si="20"/>
        <v/>
      </c>
      <c r="R100" s="1" t="str">
        <f t="shared" si="21"/>
        <v>Mech</v>
      </c>
      <c r="S100" s="1">
        <f>IF(A100&gt;0,COUNT(A$2:A100),"")</f>
        <v>99</v>
      </c>
      <c r="T100" s="1" t="str">
        <f t="shared" si="12"/>
        <v>MXAA52L-RNFXBX</v>
      </c>
      <c r="U100" s="1" t="str">
        <f t="shared" si="13"/>
        <v>6MT</v>
      </c>
      <c r="V100" s="111" t="str">
        <f t="shared" si="14"/>
        <v/>
      </c>
      <c r="AA100" s="1">
        <v>30003</v>
      </c>
      <c r="AB100" s="2" t="s">
        <v>44</v>
      </c>
      <c r="AD100" s="1" t="str">
        <f t="shared" si="15"/>
        <v>831W</v>
      </c>
      <c r="AF100" s="1"/>
      <c r="AH100" s="116">
        <v>99</v>
      </c>
      <c r="AI100" s="122">
        <v>52</v>
      </c>
      <c r="AJ100" s="1" t="s">
        <v>1443</v>
      </c>
      <c r="AK100" s="1">
        <v>309495</v>
      </c>
      <c r="AL100" s="1" t="s">
        <v>930</v>
      </c>
      <c r="AM100" s="113"/>
      <c r="AN100" s="270">
        <v>194</v>
      </c>
      <c r="AO100"/>
      <c r="AP100" s="1">
        <v>99</v>
      </c>
      <c r="AQ100" s="1">
        <v>56</v>
      </c>
      <c r="AR100" s="2" t="s">
        <v>1285</v>
      </c>
      <c r="AS100" s="1">
        <v>309338</v>
      </c>
      <c r="AT100" s="1" t="s">
        <v>115</v>
      </c>
      <c r="AV100" s="241">
        <v>37</v>
      </c>
      <c r="AX100" s="1">
        <f t="shared" si="16"/>
        <v>1</v>
      </c>
      <c r="AY100" s="1" t="str">
        <f>IF(COUNTIF($AX$2:AX100,1)&gt;$AG$1,"",IF(AX100="","",E100))</f>
        <v>218</v>
      </c>
      <c r="BM100" s="138" t="str">
        <f t="shared" si="17"/>
        <v xml:space="preserve">   </v>
      </c>
      <c r="BN100" s="42">
        <f t="shared" si="18"/>
        <v>11245</v>
      </c>
      <c r="BS100" s="2">
        <v>9727</v>
      </c>
      <c r="BT100" s="2" t="s">
        <v>902</v>
      </c>
      <c r="BX100" s="36"/>
      <c r="BY100" s="1"/>
    </row>
    <row r="101" spans="1:77" s="2" customFormat="1" ht="14.25">
      <c r="A101" s="55">
        <v>11246</v>
      </c>
      <c r="B101" s="36" t="s">
        <v>1158</v>
      </c>
      <c r="C101" s="36" t="s">
        <v>129</v>
      </c>
      <c r="D101" s="36" t="s">
        <v>916</v>
      </c>
      <c r="E101" s="36" t="s">
        <v>80</v>
      </c>
      <c r="F101" s="36" t="s">
        <v>1139</v>
      </c>
      <c r="G101" s="36" t="s">
        <v>894</v>
      </c>
      <c r="H101" s="36" t="s">
        <v>58</v>
      </c>
      <c r="I101" s="36" t="s">
        <v>85</v>
      </c>
      <c r="J101" s="36" t="s">
        <v>1146</v>
      </c>
      <c r="K101" s="1" t="str">
        <f t="shared" si="19"/>
        <v/>
      </c>
      <c r="L101" s="1" t="str">
        <f t="shared" si="22"/>
        <v/>
      </c>
      <c r="M101" s="94">
        <v>96</v>
      </c>
      <c r="N101" s="36" t="s">
        <v>1751</v>
      </c>
      <c r="O101" s="95">
        <v>309803</v>
      </c>
      <c r="P101" s="36"/>
      <c r="Q101" s="110" t="str">
        <f t="shared" si="20"/>
        <v/>
      </c>
      <c r="R101" s="1" t="str">
        <f t="shared" si="21"/>
        <v>CVT</v>
      </c>
      <c r="S101" s="1">
        <f>IF(A101&gt;0,COUNT(A$2:A101),"")</f>
        <v>100</v>
      </c>
      <c r="T101" s="1" t="str">
        <f t="shared" si="12"/>
        <v>MXAA54L-RNXMBX</v>
      </c>
      <c r="U101" s="1" t="str">
        <f t="shared" si="13"/>
        <v>CVT</v>
      </c>
      <c r="V101" s="111" t="str">
        <f t="shared" si="14"/>
        <v/>
      </c>
      <c r="AA101" s="1">
        <v>30004</v>
      </c>
      <c r="AB101" s="2" t="s">
        <v>41</v>
      </c>
      <c r="AD101" s="1" t="str">
        <f t="shared" si="15"/>
        <v>831W</v>
      </c>
      <c r="AF101" s="1"/>
      <c r="AH101" s="116">
        <v>100</v>
      </c>
      <c r="AI101" s="122">
        <v>53</v>
      </c>
      <c r="AJ101" s="1" t="s">
        <v>1444</v>
      </c>
      <c r="AK101" s="1">
        <v>309496</v>
      </c>
      <c r="AL101" s="1" t="s">
        <v>115</v>
      </c>
      <c r="AM101" s="113"/>
      <c r="AN101" s="270">
        <v>195</v>
      </c>
      <c r="AO101"/>
      <c r="AP101" s="1">
        <v>100</v>
      </c>
      <c r="AQ101" s="1">
        <v>57</v>
      </c>
      <c r="AR101" s="2" t="s">
        <v>1286</v>
      </c>
      <c r="AS101" s="1">
        <v>309339</v>
      </c>
      <c r="AT101" s="1" t="s">
        <v>930</v>
      </c>
      <c r="AV101" s="241">
        <v>38</v>
      </c>
      <c r="AX101" s="1">
        <f t="shared" si="16"/>
        <v>1</v>
      </c>
      <c r="AY101" s="1" t="str">
        <f>IF(COUNTIF($AX$2:AX101,1)&gt;$AG$1,"",IF(AX101="","",E101))</f>
        <v>089</v>
      </c>
      <c r="BM101" s="138" t="str">
        <f t="shared" si="17"/>
        <v xml:space="preserve">   </v>
      </c>
      <c r="BN101" s="42">
        <f t="shared" si="18"/>
        <v>11246</v>
      </c>
      <c r="BS101" s="2">
        <v>9728</v>
      </c>
      <c r="BT101" s="2" t="s">
        <v>902</v>
      </c>
      <c r="BX101" s="36"/>
      <c r="BY101" s="1"/>
    </row>
    <row r="102" spans="1:77" s="2" customFormat="1" ht="14.25">
      <c r="A102" s="55">
        <v>11247</v>
      </c>
      <c r="B102" s="36" t="s">
        <v>82</v>
      </c>
      <c r="C102" s="36" t="s">
        <v>129</v>
      </c>
      <c r="D102" s="36" t="s">
        <v>906</v>
      </c>
      <c r="E102" s="36" t="s">
        <v>20</v>
      </c>
      <c r="F102" s="36" t="s">
        <v>90</v>
      </c>
      <c r="G102" s="36" t="s">
        <v>85</v>
      </c>
      <c r="H102" s="36" t="s">
        <v>58</v>
      </c>
      <c r="I102" s="36" t="s">
        <v>85</v>
      </c>
      <c r="J102" s="36" t="s">
        <v>1146</v>
      </c>
      <c r="K102" s="1" t="str">
        <f t="shared" si="19"/>
        <v/>
      </c>
      <c r="L102" s="1" t="str">
        <f t="shared" si="22"/>
        <v/>
      </c>
      <c r="M102" s="94">
        <v>97</v>
      </c>
      <c r="N102" s="36" t="s">
        <v>1752</v>
      </c>
      <c r="O102" s="95">
        <v>309804</v>
      </c>
      <c r="P102" s="36"/>
      <c r="Q102" s="110" t="str">
        <f t="shared" si="20"/>
        <v>Standard</v>
      </c>
      <c r="R102" s="1" t="str">
        <f t="shared" si="21"/>
        <v/>
      </c>
      <c r="S102" s="1">
        <f>IF(A102&gt;0,COUNT(A$2:A102),"")</f>
        <v>101</v>
      </c>
      <c r="T102" s="1" t="str">
        <f t="shared" si="12"/>
        <v xml:space="preserve">ASV70L-RETNKX </v>
      </c>
      <c r="U102" s="1" t="str">
        <f t="shared" si="13"/>
        <v xml:space="preserve">   </v>
      </c>
      <c r="V102" s="111" t="str">
        <f t="shared" si="14"/>
        <v/>
      </c>
      <c r="AA102" s="1">
        <v>30005</v>
      </c>
      <c r="AB102" s="2" t="s">
        <v>44</v>
      </c>
      <c r="AD102" s="1" t="str">
        <f t="shared" si="15"/>
        <v>664W</v>
      </c>
      <c r="AF102" s="1"/>
      <c r="AH102" s="116">
        <v>101</v>
      </c>
      <c r="AI102" s="122">
        <v>54</v>
      </c>
      <c r="AJ102" s="1" t="s">
        <v>1445</v>
      </c>
      <c r="AK102" s="1">
        <v>309497</v>
      </c>
      <c r="AL102" s="1" t="s">
        <v>930</v>
      </c>
      <c r="AM102" s="113"/>
      <c r="AN102" s="270">
        <v>196</v>
      </c>
      <c r="AO102"/>
      <c r="AP102" s="1">
        <v>101</v>
      </c>
      <c r="AQ102" s="1">
        <v>58</v>
      </c>
      <c r="AR102" s="2" t="s">
        <v>1287</v>
      </c>
      <c r="AS102" s="1">
        <v>309340</v>
      </c>
      <c r="AT102" s="1" t="s">
        <v>115</v>
      </c>
      <c r="AV102" s="241">
        <v>39</v>
      </c>
      <c r="AX102" s="1">
        <f t="shared" si="16"/>
        <v>1</v>
      </c>
      <c r="AY102" s="1" t="str">
        <f>IF(COUNTIF($AX$2:AX102,1)&gt;$AG$1,"",IF(AX102="","",E102))</f>
        <v>218</v>
      </c>
      <c r="BM102" s="138" t="str">
        <f t="shared" si="17"/>
        <v xml:space="preserve">   </v>
      </c>
      <c r="BN102" s="42">
        <f t="shared" si="18"/>
        <v>11247</v>
      </c>
      <c r="BS102" s="2">
        <v>9729</v>
      </c>
      <c r="BT102" s="2" t="s">
        <v>902</v>
      </c>
      <c r="BX102" s="36"/>
      <c r="BY102" s="1"/>
    </row>
    <row r="103" spans="1:77" s="2" customFormat="1" ht="14.25">
      <c r="A103" s="55">
        <v>11248</v>
      </c>
      <c r="B103" s="36" t="s">
        <v>1158</v>
      </c>
      <c r="C103" s="36" t="s">
        <v>897</v>
      </c>
      <c r="D103" s="36" t="s">
        <v>915</v>
      </c>
      <c r="E103" s="36" t="s">
        <v>80</v>
      </c>
      <c r="F103" s="36" t="s">
        <v>904</v>
      </c>
      <c r="G103" s="36" t="s">
        <v>894</v>
      </c>
      <c r="H103" s="36" t="s">
        <v>58</v>
      </c>
      <c r="I103" s="36" t="s">
        <v>85</v>
      </c>
      <c r="J103" s="36" t="s">
        <v>2426</v>
      </c>
      <c r="K103" s="1">
        <f t="shared" si="19"/>
        <v>11248</v>
      </c>
      <c r="L103" s="1" t="str">
        <f t="shared" si="22"/>
        <v/>
      </c>
      <c r="M103" s="94">
        <v>98</v>
      </c>
      <c r="N103" s="36" t="s">
        <v>1753</v>
      </c>
      <c r="O103" s="95">
        <v>309805</v>
      </c>
      <c r="P103" s="36"/>
      <c r="Q103" s="110" t="str">
        <f t="shared" si="20"/>
        <v/>
      </c>
      <c r="R103" s="1" t="str">
        <f t="shared" si="21"/>
        <v>CVT</v>
      </c>
      <c r="S103" s="1">
        <f>IF(A103&gt;0,COUNT(A$2:A103),"")</f>
        <v>102</v>
      </c>
      <c r="T103" s="1" t="str">
        <f t="shared" si="12"/>
        <v>MXAA54L-RNXGBX</v>
      </c>
      <c r="U103" s="1" t="str">
        <f t="shared" si="13"/>
        <v>CVT</v>
      </c>
      <c r="V103" s="111" t="str">
        <f t="shared" si="14"/>
        <v/>
      </c>
      <c r="AA103" s="1">
        <v>30006</v>
      </c>
      <c r="AB103" s="2" t="s">
        <v>44</v>
      </c>
      <c r="AD103" s="1" t="str">
        <f t="shared" si="15"/>
        <v>831W</v>
      </c>
      <c r="AF103" s="1"/>
      <c r="AH103" s="116">
        <v>102</v>
      </c>
      <c r="AI103" s="122">
        <v>55</v>
      </c>
      <c r="AJ103" s="1" t="s">
        <v>1446</v>
      </c>
      <c r="AK103" s="1">
        <v>309498</v>
      </c>
      <c r="AL103" s="1" t="s">
        <v>115</v>
      </c>
      <c r="AM103" s="113"/>
      <c r="AN103" s="270">
        <v>197</v>
      </c>
      <c r="AO103"/>
      <c r="AP103" s="1">
        <v>102</v>
      </c>
      <c r="AQ103" s="1">
        <v>59</v>
      </c>
      <c r="AR103" s="2" t="s">
        <v>1288</v>
      </c>
      <c r="AS103" s="1">
        <v>309341</v>
      </c>
      <c r="AT103" s="1" t="s">
        <v>930</v>
      </c>
      <c r="AV103" s="241">
        <v>40</v>
      </c>
      <c r="AX103" s="1">
        <f t="shared" si="16"/>
        <v>1</v>
      </c>
      <c r="AY103" s="1" t="str">
        <f>IF(COUNTIF($AX$2:AX103,1)&gt;$AG$1,"",IF(AX103="","",E103))</f>
        <v>089</v>
      </c>
      <c r="BM103" s="138" t="str">
        <f t="shared" si="17"/>
        <v xml:space="preserve">   </v>
      </c>
      <c r="BN103" s="42">
        <f t="shared" si="18"/>
        <v>11248</v>
      </c>
      <c r="BS103" s="2">
        <v>9730</v>
      </c>
      <c r="BT103" s="2" t="s">
        <v>902</v>
      </c>
      <c r="BX103" s="36"/>
      <c r="BY103" s="1"/>
    </row>
    <row r="104" spans="1:77" s="2" customFormat="1" ht="14.25">
      <c r="A104" s="55">
        <v>11249</v>
      </c>
      <c r="B104" s="36" t="s">
        <v>82</v>
      </c>
      <c r="C104" s="36" t="s">
        <v>46</v>
      </c>
      <c r="D104" s="36" t="s">
        <v>906</v>
      </c>
      <c r="E104" s="36" t="s">
        <v>20</v>
      </c>
      <c r="F104" s="36" t="s">
        <v>88</v>
      </c>
      <c r="G104" s="36" t="s">
        <v>85</v>
      </c>
      <c r="H104" s="36" t="s">
        <v>58</v>
      </c>
      <c r="I104" s="36" t="s">
        <v>85</v>
      </c>
      <c r="J104" s="36" t="s">
        <v>1146</v>
      </c>
      <c r="K104" s="1" t="str">
        <f t="shared" si="19"/>
        <v/>
      </c>
      <c r="L104" s="1" t="str">
        <f t="shared" si="22"/>
        <v/>
      </c>
      <c r="M104" s="94">
        <v>99</v>
      </c>
      <c r="N104" s="36" t="s">
        <v>1754</v>
      </c>
      <c r="O104" s="95">
        <v>309806</v>
      </c>
      <c r="P104" s="36"/>
      <c r="Q104" s="110" t="str">
        <f t="shared" si="20"/>
        <v>Standard</v>
      </c>
      <c r="R104" s="1" t="str">
        <f t="shared" si="21"/>
        <v/>
      </c>
      <c r="S104" s="1">
        <f>IF(A104&gt;0,COUNT(A$2:A104),"")</f>
        <v>103</v>
      </c>
      <c r="T104" s="1" t="str">
        <f t="shared" si="12"/>
        <v xml:space="preserve">ASV70L-RETNKX </v>
      </c>
      <c r="U104" s="1" t="str">
        <f t="shared" si="13"/>
        <v xml:space="preserve">   </v>
      </c>
      <c r="V104" s="111" t="str">
        <f t="shared" si="14"/>
        <v/>
      </c>
      <c r="AA104" s="1">
        <v>30007</v>
      </c>
      <c r="AB104" s="2" t="s">
        <v>43</v>
      </c>
      <c r="AD104" s="1" t="str">
        <f t="shared" si="15"/>
        <v>664W</v>
      </c>
      <c r="AF104" s="1"/>
      <c r="AH104" s="116">
        <v>103</v>
      </c>
      <c r="AI104" s="122">
        <v>56</v>
      </c>
      <c r="AJ104" s="1" t="s">
        <v>1447</v>
      </c>
      <c r="AK104" s="1">
        <v>309499</v>
      </c>
      <c r="AL104" s="1" t="s">
        <v>930</v>
      </c>
      <c r="AM104" s="113"/>
      <c r="AN104" s="270">
        <v>198</v>
      </c>
      <c r="AO104"/>
      <c r="AP104" s="1">
        <v>103</v>
      </c>
      <c r="AQ104" s="1">
        <v>60</v>
      </c>
      <c r="AR104" s="2" t="s">
        <v>1289</v>
      </c>
      <c r="AS104" s="1">
        <v>309342</v>
      </c>
      <c r="AT104" s="1" t="s">
        <v>930</v>
      </c>
      <c r="AV104" s="241">
        <v>41</v>
      </c>
      <c r="AX104" s="1">
        <f t="shared" si="16"/>
        <v>1</v>
      </c>
      <c r="AY104" s="1" t="str">
        <f>IF(COUNTIF($AX$2:AX104,1)&gt;$AG$1,"",IF(AX104="","",E104))</f>
        <v>218</v>
      </c>
      <c r="BM104" s="138" t="str">
        <f t="shared" si="17"/>
        <v xml:space="preserve">   </v>
      </c>
      <c r="BN104" s="42">
        <f t="shared" si="18"/>
        <v>11249</v>
      </c>
      <c r="BS104" s="2">
        <v>9731</v>
      </c>
      <c r="BT104" s="2" t="s">
        <v>902</v>
      </c>
      <c r="BX104" s="36"/>
      <c r="BY104" s="1"/>
    </row>
    <row r="105" spans="1:77" s="2" customFormat="1" ht="14.25">
      <c r="A105" s="55">
        <v>11250</v>
      </c>
      <c r="B105" s="36" t="s">
        <v>1158</v>
      </c>
      <c r="C105" s="36" t="s">
        <v>46</v>
      </c>
      <c r="D105" s="36" t="s">
        <v>910</v>
      </c>
      <c r="E105" s="36" t="s">
        <v>1128</v>
      </c>
      <c r="F105" s="36" t="s">
        <v>1154</v>
      </c>
      <c r="G105" s="36" t="s">
        <v>921</v>
      </c>
      <c r="H105" s="36" t="s">
        <v>58</v>
      </c>
      <c r="I105" s="36" t="s">
        <v>85</v>
      </c>
      <c r="J105" s="36" t="s">
        <v>1146</v>
      </c>
      <c r="K105" s="1" t="str">
        <f t="shared" si="19"/>
        <v/>
      </c>
      <c r="L105" s="1" t="str">
        <f t="shared" si="22"/>
        <v/>
      </c>
      <c r="M105" s="94">
        <v>100</v>
      </c>
      <c r="N105" s="36" t="s">
        <v>1755</v>
      </c>
      <c r="O105" s="95">
        <v>309807</v>
      </c>
      <c r="P105" s="36"/>
      <c r="Q105" s="110" t="str">
        <f t="shared" si="20"/>
        <v/>
      </c>
      <c r="R105" s="1" t="str">
        <f t="shared" si="21"/>
        <v>Auto</v>
      </c>
      <c r="S105" s="1">
        <f>IF(A105&gt;0,COUNT(A$2:A105),"")</f>
        <v>104</v>
      </c>
      <c r="T105" s="1" t="str">
        <f t="shared" si="12"/>
        <v>AXAA54L-RNZMBX</v>
      </c>
      <c r="U105" s="1" t="str">
        <f t="shared" si="13"/>
        <v>8AT</v>
      </c>
      <c r="V105" s="111" t="str">
        <f t="shared" si="14"/>
        <v/>
      </c>
      <c r="AA105" s="1">
        <v>30008</v>
      </c>
      <c r="AB105" s="2" t="s">
        <v>40</v>
      </c>
      <c r="AD105" s="1" t="str">
        <f t="shared" si="15"/>
        <v>831W</v>
      </c>
      <c r="AF105" s="1"/>
      <c r="AH105" s="116">
        <v>104</v>
      </c>
      <c r="AI105" s="122">
        <v>57</v>
      </c>
      <c r="AJ105" s="1" t="s">
        <v>1448</v>
      </c>
      <c r="AK105" s="1">
        <v>309500</v>
      </c>
      <c r="AL105" s="1" t="s">
        <v>930</v>
      </c>
      <c r="AM105" s="113"/>
      <c r="AN105" s="270">
        <v>199</v>
      </c>
      <c r="AO105"/>
      <c r="AP105" s="1">
        <v>104</v>
      </c>
      <c r="AQ105" s="1">
        <v>61</v>
      </c>
      <c r="AR105" s="2" t="s">
        <v>1290</v>
      </c>
      <c r="AS105" s="1">
        <v>309343</v>
      </c>
      <c r="AT105" s="1" t="s">
        <v>115</v>
      </c>
      <c r="AV105" s="241">
        <v>42</v>
      </c>
      <c r="AX105" s="1">
        <f t="shared" si="16"/>
        <v>1</v>
      </c>
      <c r="AY105" s="1" t="str">
        <f>IF(COUNTIF($AX$2:AX105,1)&gt;$AG$1,"",IF(AX105="","",E105))</f>
        <v>2PS</v>
      </c>
      <c r="BM105" s="138" t="str">
        <f t="shared" si="17"/>
        <v xml:space="preserve">   </v>
      </c>
      <c r="BN105" s="42">
        <f t="shared" si="18"/>
        <v>11250</v>
      </c>
      <c r="BS105" s="2">
        <v>9732</v>
      </c>
      <c r="BT105" s="2" t="s">
        <v>902</v>
      </c>
      <c r="BX105" s="36"/>
      <c r="BY105" s="1"/>
    </row>
    <row r="106" spans="1:77" s="2" customFormat="1" ht="14.25">
      <c r="A106" s="55">
        <v>11251</v>
      </c>
      <c r="B106" s="36" t="s">
        <v>82</v>
      </c>
      <c r="C106" s="36" t="s">
        <v>46</v>
      </c>
      <c r="D106" s="36" t="s">
        <v>906</v>
      </c>
      <c r="E106" s="36" t="s">
        <v>80</v>
      </c>
      <c r="F106" s="36" t="s">
        <v>86</v>
      </c>
      <c r="G106" s="36" t="s">
        <v>85</v>
      </c>
      <c r="H106" s="36" t="s">
        <v>58</v>
      </c>
      <c r="I106" s="36" t="s">
        <v>85</v>
      </c>
      <c r="J106" s="36" t="s">
        <v>1146</v>
      </c>
      <c r="K106" s="1" t="str">
        <f t="shared" si="19"/>
        <v/>
      </c>
      <c r="L106" s="1" t="str">
        <f t="shared" si="22"/>
        <v/>
      </c>
      <c r="M106" s="94">
        <v>101</v>
      </c>
      <c r="N106" s="36" t="s">
        <v>1756</v>
      </c>
      <c r="O106" s="95">
        <v>309808</v>
      </c>
      <c r="P106" s="36"/>
      <c r="Q106" s="110" t="str">
        <f t="shared" si="20"/>
        <v>Standard</v>
      </c>
      <c r="R106" s="1" t="str">
        <f t="shared" si="21"/>
        <v/>
      </c>
      <c r="S106" s="1">
        <f>IF(A106&gt;0,COUNT(A$2:A106),"")</f>
        <v>105</v>
      </c>
      <c r="T106" s="1" t="str">
        <f t="shared" si="12"/>
        <v xml:space="preserve">ASV70L-RETNKX </v>
      </c>
      <c r="U106" s="1" t="str">
        <f t="shared" si="13"/>
        <v xml:space="preserve">   </v>
      </c>
      <c r="V106" s="111" t="str">
        <f t="shared" si="14"/>
        <v/>
      </c>
      <c r="AA106" s="1">
        <v>30009</v>
      </c>
      <c r="AB106" s="2" t="s">
        <v>41</v>
      </c>
      <c r="AD106" s="1" t="str">
        <f t="shared" si="15"/>
        <v>664W</v>
      </c>
      <c r="AF106" s="1"/>
      <c r="AH106" s="116">
        <v>105</v>
      </c>
      <c r="AI106" s="122">
        <v>58</v>
      </c>
      <c r="AJ106" s="1" t="s">
        <v>1449</v>
      </c>
      <c r="AK106" s="1">
        <v>309501</v>
      </c>
      <c r="AL106" s="1" t="s">
        <v>115</v>
      </c>
      <c r="AM106" s="113"/>
      <c r="AN106" s="270">
        <v>200</v>
      </c>
      <c r="AO106"/>
      <c r="AP106" s="1">
        <v>105</v>
      </c>
      <c r="AQ106" s="1">
        <v>62</v>
      </c>
      <c r="AR106" s="2" t="s">
        <v>1291</v>
      </c>
      <c r="AS106" s="1">
        <v>309344</v>
      </c>
      <c r="AT106" s="1" t="s">
        <v>930</v>
      </c>
      <c r="AV106" s="241">
        <v>43</v>
      </c>
      <c r="AX106" s="1">
        <f t="shared" si="16"/>
        <v>1</v>
      </c>
      <c r="AY106" s="1" t="str">
        <f>IF(COUNTIF($AX$2:AX106,1)&gt;$AG$1,"",IF(AX106="","",E106))</f>
        <v>089</v>
      </c>
      <c r="BM106" s="138" t="str">
        <f t="shared" si="17"/>
        <v xml:space="preserve">   </v>
      </c>
      <c r="BN106" s="42">
        <f t="shared" si="18"/>
        <v>11251</v>
      </c>
      <c r="BS106" s="2">
        <v>9733</v>
      </c>
      <c r="BT106" s="2" t="s">
        <v>902</v>
      </c>
      <c r="BX106" s="36"/>
      <c r="BY106" s="1"/>
    </row>
    <row r="107" spans="1:77" s="2" customFormat="1" ht="14.25">
      <c r="A107" s="55">
        <v>11252</v>
      </c>
      <c r="B107" s="36" t="s">
        <v>1158</v>
      </c>
      <c r="C107" s="36" t="s">
        <v>46</v>
      </c>
      <c r="D107" s="36" t="s">
        <v>916</v>
      </c>
      <c r="E107" s="36" t="s">
        <v>10</v>
      </c>
      <c r="F107" s="36" t="s">
        <v>1139</v>
      </c>
      <c r="G107" s="36" t="s">
        <v>894</v>
      </c>
      <c r="H107" s="36" t="s">
        <v>58</v>
      </c>
      <c r="I107" s="36" t="s">
        <v>85</v>
      </c>
      <c r="J107" s="36" t="s">
        <v>1146</v>
      </c>
      <c r="K107" s="1" t="str">
        <f t="shared" si="19"/>
        <v/>
      </c>
      <c r="L107" s="1" t="str">
        <f t="shared" si="22"/>
        <v/>
      </c>
      <c r="M107" s="94">
        <v>102</v>
      </c>
      <c r="N107" s="36" t="s">
        <v>1757</v>
      </c>
      <c r="O107" s="95">
        <v>309809</v>
      </c>
      <c r="P107" s="36"/>
      <c r="Q107" s="110" t="str">
        <f t="shared" si="20"/>
        <v/>
      </c>
      <c r="R107" s="1" t="str">
        <f t="shared" si="21"/>
        <v>CVT</v>
      </c>
      <c r="S107" s="1">
        <f>IF(A107&gt;0,COUNT(A$2:A107),"")</f>
        <v>106</v>
      </c>
      <c r="T107" s="1" t="str">
        <f t="shared" si="12"/>
        <v>MXAA54L-RNXMBX</v>
      </c>
      <c r="U107" s="1" t="str">
        <f t="shared" si="13"/>
        <v>CVT</v>
      </c>
      <c r="V107" s="111" t="str">
        <f t="shared" si="14"/>
        <v/>
      </c>
      <c r="AA107" s="1">
        <v>30010</v>
      </c>
      <c r="AB107" s="2" t="s">
        <v>41</v>
      </c>
      <c r="AD107" s="1" t="str">
        <f t="shared" si="15"/>
        <v>831W</v>
      </c>
      <c r="AF107" s="1"/>
      <c r="AH107" s="116">
        <v>106</v>
      </c>
      <c r="AI107" s="122">
        <v>59</v>
      </c>
      <c r="AJ107" s="1" t="s">
        <v>1450</v>
      </c>
      <c r="AK107" s="1">
        <v>309502</v>
      </c>
      <c r="AL107" s="1" t="s">
        <v>930</v>
      </c>
      <c r="AM107" s="113"/>
      <c r="AN107" s="270">
        <v>201</v>
      </c>
      <c r="AO107"/>
      <c r="AP107" s="1">
        <v>106</v>
      </c>
      <c r="AQ107" s="1">
        <v>63</v>
      </c>
      <c r="AR107" s="2" t="s">
        <v>1292</v>
      </c>
      <c r="AS107" s="1">
        <v>309345</v>
      </c>
      <c r="AT107" s="1" t="s">
        <v>115</v>
      </c>
      <c r="AV107" s="241">
        <v>44</v>
      </c>
      <c r="AX107" s="1">
        <f t="shared" si="16"/>
        <v>1</v>
      </c>
      <c r="AY107" s="1" t="str">
        <f>IF(COUNTIF($AX$2:AX107,1)&gt;$AG$1,"",IF(AX107="","",E107))</f>
        <v>1F7</v>
      </c>
      <c r="BM107" s="138" t="str">
        <f t="shared" si="17"/>
        <v xml:space="preserve">   </v>
      </c>
      <c r="BN107" s="42">
        <f t="shared" si="18"/>
        <v>11252</v>
      </c>
      <c r="BS107" s="2">
        <v>9734</v>
      </c>
      <c r="BT107" s="2" t="s">
        <v>902</v>
      </c>
      <c r="BX107" s="36"/>
      <c r="BY107" s="1"/>
    </row>
    <row r="108" spans="1:77" s="2" customFormat="1" ht="14.25">
      <c r="A108" s="55">
        <v>11253</v>
      </c>
      <c r="B108" s="36" t="s">
        <v>1158</v>
      </c>
      <c r="C108" s="36" t="s">
        <v>101</v>
      </c>
      <c r="D108" s="36" t="s">
        <v>909</v>
      </c>
      <c r="E108" s="36" t="s">
        <v>79</v>
      </c>
      <c r="F108" s="36" t="s">
        <v>1149</v>
      </c>
      <c r="G108" s="36" t="s">
        <v>921</v>
      </c>
      <c r="H108" s="36" t="s">
        <v>58</v>
      </c>
      <c r="I108" s="36" t="s">
        <v>85</v>
      </c>
      <c r="J108" s="36" t="s">
        <v>1146</v>
      </c>
      <c r="K108" s="1" t="str">
        <f t="shared" si="19"/>
        <v/>
      </c>
      <c r="L108" s="1" t="str">
        <f t="shared" si="22"/>
        <v/>
      </c>
      <c r="M108" s="94">
        <v>103</v>
      </c>
      <c r="N108" s="36" t="s">
        <v>1758</v>
      </c>
      <c r="O108" s="95">
        <v>309810</v>
      </c>
      <c r="P108" s="36"/>
      <c r="Q108" s="110" t="str">
        <f t="shared" si="20"/>
        <v/>
      </c>
      <c r="R108" s="1" t="str">
        <f t="shared" si="21"/>
        <v>Auto</v>
      </c>
      <c r="S108" s="1">
        <f>IF(A108&gt;0,COUNT(A$2:A108),"")</f>
        <v>107</v>
      </c>
      <c r="T108" s="1" t="str">
        <f t="shared" si="12"/>
        <v>AXAA54L-RNZGBX</v>
      </c>
      <c r="U108" s="1" t="str">
        <f t="shared" si="13"/>
        <v>8AT</v>
      </c>
      <c r="V108" s="111" t="str">
        <f t="shared" si="14"/>
        <v/>
      </c>
      <c r="AA108" s="1">
        <v>30011</v>
      </c>
      <c r="AB108" s="2" t="s">
        <v>41</v>
      </c>
      <c r="AD108" s="1" t="str">
        <f t="shared" si="15"/>
        <v>831W</v>
      </c>
      <c r="AF108" s="1"/>
      <c r="AH108" s="116">
        <v>107</v>
      </c>
      <c r="AI108" s="122">
        <v>60</v>
      </c>
      <c r="AJ108" s="1" t="s">
        <v>1451</v>
      </c>
      <c r="AK108" s="1">
        <v>309503</v>
      </c>
      <c r="AL108" s="1" t="s">
        <v>115</v>
      </c>
      <c r="AM108" s="113"/>
      <c r="AN108" s="270">
        <v>202</v>
      </c>
      <c r="AO108"/>
      <c r="AP108" s="1">
        <v>107</v>
      </c>
      <c r="AQ108" s="1">
        <v>64</v>
      </c>
      <c r="AR108" s="2" t="s">
        <v>1293</v>
      </c>
      <c r="AS108" s="1">
        <v>309346</v>
      </c>
      <c r="AT108" s="1" t="s">
        <v>930</v>
      </c>
      <c r="AV108" s="241">
        <v>45</v>
      </c>
      <c r="AX108" s="1">
        <f t="shared" si="16"/>
        <v>1</v>
      </c>
      <c r="AY108" s="1" t="str">
        <f>IF(COUNTIF($AX$2:AX108,1)&gt;$AG$1,"",IF(AX108="","",E108))</f>
        <v>4X7</v>
      </c>
      <c r="BM108" s="138" t="str">
        <f t="shared" si="17"/>
        <v xml:space="preserve">   </v>
      </c>
      <c r="BN108" s="42">
        <f t="shared" si="18"/>
        <v>11253</v>
      </c>
      <c r="BS108" s="2">
        <v>9735</v>
      </c>
      <c r="BT108" s="2" t="s">
        <v>902</v>
      </c>
      <c r="BX108" s="36"/>
      <c r="BY108" s="1"/>
    </row>
    <row r="109" spans="1:77" s="2" customFormat="1" ht="14.25">
      <c r="A109" s="55">
        <v>11254</v>
      </c>
      <c r="B109" s="36" t="s">
        <v>82</v>
      </c>
      <c r="C109" s="36" t="s">
        <v>101</v>
      </c>
      <c r="D109" s="36" t="s">
        <v>906</v>
      </c>
      <c r="E109" s="36" t="s">
        <v>80</v>
      </c>
      <c r="F109" s="36" t="s">
        <v>87</v>
      </c>
      <c r="G109" s="36" t="s">
        <v>85</v>
      </c>
      <c r="H109" s="36" t="s">
        <v>58</v>
      </c>
      <c r="I109" s="36" t="s">
        <v>85</v>
      </c>
      <c r="J109" s="36" t="s">
        <v>1146</v>
      </c>
      <c r="K109" s="1" t="str">
        <f t="shared" si="19"/>
        <v/>
      </c>
      <c r="L109" s="1" t="str">
        <f t="shared" si="22"/>
        <v/>
      </c>
      <c r="M109" s="94">
        <v>104</v>
      </c>
      <c r="N109" s="36" t="s">
        <v>1759</v>
      </c>
      <c r="O109" s="95">
        <v>309811</v>
      </c>
      <c r="P109" s="36"/>
      <c r="Q109" s="110" t="str">
        <f t="shared" si="20"/>
        <v>Standard</v>
      </c>
      <c r="R109" s="1" t="str">
        <f t="shared" si="21"/>
        <v/>
      </c>
      <c r="S109" s="1">
        <f>IF(A109&gt;0,COUNT(A$2:A109),"")</f>
        <v>108</v>
      </c>
      <c r="T109" s="1" t="str">
        <f t="shared" si="12"/>
        <v xml:space="preserve">ASV70L-RETNKX </v>
      </c>
      <c r="U109" s="1" t="str">
        <f t="shared" si="13"/>
        <v xml:space="preserve">   </v>
      </c>
      <c r="V109" s="111" t="str">
        <f t="shared" si="14"/>
        <v/>
      </c>
      <c r="AA109" s="1">
        <v>30012</v>
      </c>
      <c r="AB109" s="2" t="s">
        <v>45</v>
      </c>
      <c r="AD109" s="1" t="str">
        <f t="shared" si="15"/>
        <v>664W</v>
      </c>
      <c r="AF109" s="1"/>
      <c r="AH109" s="116">
        <v>108</v>
      </c>
      <c r="AI109" s="122">
        <v>61</v>
      </c>
      <c r="AJ109" s="1" t="s">
        <v>1452</v>
      </c>
      <c r="AK109" s="1">
        <v>309504</v>
      </c>
      <c r="AL109" s="1" t="s">
        <v>930</v>
      </c>
      <c r="AM109" s="113"/>
      <c r="AN109" s="270">
        <v>203</v>
      </c>
      <c r="AO109"/>
      <c r="AP109" s="1">
        <v>108</v>
      </c>
      <c r="AQ109" s="1">
        <v>65</v>
      </c>
      <c r="AR109" s="2" t="s">
        <v>1294</v>
      </c>
      <c r="AS109" s="1">
        <v>309347</v>
      </c>
      <c r="AT109" s="1" t="s">
        <v>115</v>
      </c>
      <c r="AV109" s="241">
        <v>46</v>
      </c>
      <c r="AX109" s="1">
        <f t="shared" si="16"/>
        <v>1</v>
      </c>
      <c r="AY109" s="1" t="str">
        <f>IF(COUNTIF($AX$2:AX109,1)&gt;$AG$1,"",IF(AX109="","",E109))</f>
        <v>089</v>
      </c>
      <c r="BM109" s="138" t="str">
        <f t="shared" si="17"/>
        <v xml:space="preserve">   </v>
      </c>
      <c r="BN109" s="42">
        <f t="shared" si="18"/>
        <v>11254</v>
      </c>
      <c r="BS109" s="2">
        <v>9736</v>
      </c>
      <c r="BT109" s="2" t="s">
        <v>902</v>
      </c>
      <c r="BX109" s="36"/>
      <c r="BY109" s="1"/>
    </row>
    <row r="110" spans="1:77" s="2" customFormat="1" ht="14.25">
      <c r="A110" s="55">
        <v>11255</v>
      </c>
      <c r="B110" s="36" t="s">
        <v>1158</v>
      </c>
      <c r="C110" s="36" t="s">
        <v>101</v>
      </c>
      <c r="D110" s="36" t="s">
        <v>916</v>
      </c>
      <c r="E110" s="36" t="s">
        <v>156</v>
      </c>
      <c r="F110" s="36" t="s">
        <v>1139</v>
      </c>
      <c r="G110" s="36" t="s">
        <v>894</v>
      </c>
      <c r="H110" s="36" t="s">
        <v>58</v>
      </c>
      <c r="I110" s="36" t="s">
        <v>85</v>
      </c>
      <c r="J110" s="36" t="s">
        <v>1146</v>
      </c>
      <c r="K110" s="1" t="str">
        <f t="shared" si="19"/>
        <v/>
      </c>
      <c r="L110" s="1" t="str">
        <f t="shared" si="22"/>
        <v/>
      </c>
      <c r="M110" s="94">
        <v>105</v>
      </c>
      <c r="N110" s="36" t="s">
        <v>1760</v>
      </c>
      <c r="O110" s="95">
        <v>309812</v>
      </c>
      <c r="P110" s="36"/>
      <c r="Q110" s="110" t="str">
        <f t="shared" si="20"/>
        <v/>
      </c>
      <c r="R110" s="1" t="str">
        <f t="shared" si="21"/>
        <v>CVT</v>
      </c>
      <c r="S110" s="1">
        <f>IF(A110&gt;0,COUNT(A$2:A110),"")</f>
        <v>109</v>
      </c>
      <c r="T110" s="1" t="str">
        <f t="shared" si="12"/>
        <v>MXAA54L-RNXMBX</v>
      </c>
      <c r="U110" s="1" t="str">
        <f t="shared" si="13"/>
        <v>CVT</v>
      </c>
      <c r="V110" s="111" t="str">
        <f t="shared" si="14"/>
        <v/>
      </c>
      <c r="AA110" s="1">
        <v>30013</v>
      </c>
      <c r="AB110" s="2" t="s">
        <v>40</v>
      </c>
      <c r="AD110" s="1" t="str">
        <f t="shared" si="15"/>
        <v>831W</v>
      </c>
      <c r="AF110" s="1"/>
      <c r="AH110" s="116">
        <v>109</v>
      </c>
      <c r="AI110" s="122">
        <v>62</v>
      </c>
      <c r="AJ110" s="1" t="s">
        <v>1453</v>
      </c>
      <c r="AK110" s="1">
        <v>309505</v>
      </c>
      <c r="AL110" s="1" t="s">
        <v>115</v>
      </c>
      <c r="AM110" s="113"/>
      <c r="AN110" s="270">
        <v>204</v>
      </c>
      <c r="AO110"/>
      <c r="AP110" s="1">
        <v>109</v>
      </c>
      <c r="AQ110" s="1">
        <v>66</v>
      </c>
      <c r="AR110" s="2" t="s">
        <v>1295</v>
      </c>
      <c r="AS110" s="1">
        <v>309348</v>
      </c>
      <c r="AT110" s="1" t="s">
        <v>930</v>
      </c>
      <c r="AV110" s="241">
        <v>47</v>
      </c>
      <c r="AX110" s="1">
        <f t="shared" si="16"/>
        <v>1</v>
      </c>
      <c r="AY110" s="1" t="str">
        <f>IF(COUNTIF($AX$2:AX110,1)&gt;$AG$1,"",IF(AX110="","",E110))</f>
        <v>8W9</v>
      </c>
      <c r="BM110" s="138" t="str">
        <f t="shared" si="17"/>
        <v xml:space="preserve">   </v>
      </c>
      <c r="BN110" s="42">
        <f t="shared" si="18"/>
        <v>11255</v>
      </c>
      <c r="BS110" s="2">
        <v>9737</v>
      </c>
      <c r="BT110" s="2" t="s">
        <v>902</v>
      </c>
      <c r="BX110" s="36"/>
      <c r="BY110" s="1"/>
    </row>
    <row r="111" spans="1:77" s="2" customFormat="1" ht="14.25">
      <c r="A111" s="55">
        <v>11256</v>
      </c>
      <c r="B111" s="36" t="s">
        <v>82</v>
      </c>
      <c r="C111" s="36" t="s">
        <v>101</v>
      </c>
      <c r="D111" s="36" t="s">
        <v>908</v>
      </c>
      <c r="E111" s="36" t="s">
        <v>20</v>
      </c>
      <c r="F111" s="36" t="s">
        <v>1175</v>
      </c>
      <c r="G111" s="36" t="s">
        <v>85</v>
      </c>
      <c r="H111" s="36" t="s">
        <v>58</v>
      </c>
      <c r="I111" s="36" t="s">
        <v>85</v>
      </c>
      <c r="J111" s="36" t="s">
        <v>1146</v>
      </c>
      <c r="K111" s="1" t="str">
        <f t="shared" si="19"/>
        <v/>
      </c>
      <c r="L111" s="1" t="str">
        <f t="shared" si="22"/>
        <v/>
      </c>
      <c r="M111" s="94">
        <v>106</v>
      </c>
      <c r="N111" s="36" t="s">
        <v>1761</v>
      </c>
      <c r="O111" s="95">
        <v>309813</v>
      </c>
      <c r="P111" s="36"/>
      <c r="Q111" s="110" t="str">
        <f t="shared" si="20"/>
        <v>Rich</v>
      </c>
      <c r="R111" s="1" t="str">
        <f t="shared" si="21"/>
        <v/>
      </c>
      <c r="S111" s="1">
        <f>IF(A111&gt;0,COUNT(A$2:A111),"")</f>
        <v>110</v>
      </c>
      <c r="T111" s="1" t="str">
        <f t="shared" si="12"/>
        <v xml:space="preserve">GSV70L-REZGBX </v>
      </c>
      <c r="U111" s="1" t="str">
        <f t="shared" si="13"/>
        <v xml:space="preserve">   </v>
      </c>
      <c r="V111" s="111" t="str">
        <f t="shared" si="14"/>
        <v/>
      </c>
      <c r="AA111" s="1">
        <v>30014</v>
      </c>
      <c r="AB111" s="2" t="s">
        <v>41</v>
      </c>
      <c r="AD111" s="1" t="str">
        <f t="shared" si="15"/>
        <v>664W</v>
      </c>
      <c r="AF111" s="1"/>
      <c r="AH111" s="116">
        <v>110</v>
      </c>
      <c r="AI111" s="122">
        <v>63</v>
      </c>
      <c r="AJ111" s="1" t="s">
        <v>1454</v>
      </c>
      <c r="AK111" s="1">
        <v>309506</v>
      </c>
      <c r="AL111" s="1" t="s">
        <v>930</v>
      </c>
      <c r="AM111" s="113"/>
      <c r="AN111" s="270">
        <v>205</v>
      </c>
      <c r="AO111"/>
      <c r="AP111" s="1">
        <v>110</v>
      </c>
      <c r="AQ111" s="1">
        <v>67</v>
      </c>
      <c r="AR111" s="2" t="s">
        <v>1296</v>
      </c>
      <c r="AS111" s="1">
        <v>309349</v>
      </c>
      <c r="AT111" s="1" t="s">
        <v>930</v>
      </c>
      <c r="AV111" s="241">
        <v>48</v>
      </c>
      <c r="AX111" s="1">
        <f t="shared" si="16"/>
        <v>1</v>
      </c>
      <c r="AY111" s="1" t="str">
        <f>IF(COUNTIF($AX$2:AX111,1)&gt;$AG$1,"",IF(AX111="","",E111))</f>
        <v>218</v>
      </c>
      <c r="BM111" s="138" t="str">
        <f t="shared" si="17"/>
        <v xml:space="preserve">   </v>
      </c>
      <c r="BN111" s="42">
        <f t="shared" si="18"/>
        <v>11256</v>
      </c>
      <c r="BS111" s="2">
        <v>9738</v>
      </c>
      <c r="BT111" s="2" t="s">
        <v>902</v>
      </c>
      <c r="BX111" s="36"/>
      <c r="BY111" s="1"/>
    </row>
    <row r="112" spans="1:77" s="2" customFormat="1" ht="14.25">
      <c r="A112" s="55">
        <v>11257</v>
      </c>
      <c r="B112" s="36" t="s">
        <v>1158</v>
      </c>
      <c r="C112" s="36" t="s">
        <v>101</v>
      </c>
      <c r="D112" s="36" t="s">
        <v>913</v>
      </c>
      <c r="E112" s="36" t="s">
        <v>80</v>
      </c>
      <c r="F112" s="36" t="s">
        <v>931</v>
      </c>
      <c r="G112" s="36" t="s">
        <v>894</v>
      </c>
      <c r="H112" s="36" t="s">
        <v>58</v>
      </c>
      <c r="I112" s="36" t="s">
        <v>85</v>
      </c>
      <c r="J112" s="36" t="s">
        <v>1146</v>
      </c>
      <c r="K112" s="1" t="str">
        <f t="shared" si="19"/>
        <v/>
      </c>
      <c r="L112" s="1" t="str">
        <f t="shared" si="22"/>
        <v/>
      </c>
      <c r="M112" s="94">
        <v>107</v>
      </c>
      <c r="N112" s="36" t="s">
        <v>1762</v>
      </c>
      <c r="O112" s="95">
        <v>309814</v>
      </c>
      <c r="P112" s="36"/>
      <c r="Q112" s="110" t="str">
        <f t="shared" si="20"/>
        <v/>
      </c>
      <c r="R112" s="1" t="str">
        <f t="shared" si="21"/>
        <v>CVT</v>
      </c>
      <c r="S112" s="1">
        <f>IF(A112&gt;0,COUNT(A$2:A112),"")</f>
        <v>111</v>
      </c>
      <c r="T112" s="1" t="str">
        <f t="shared" si="12"/>
        <v>MXAA52L-RNXMBX</v>
      </c>
      <c r="U112" s="1" t="str">
        <f t="shared" si="13"/>
        <v>CVT</v>
      </c>
      <c r="V112" s="111" t="str">
        <f t="shared" si="14"/>
        <v/>
      </c>
      <c r="AA112" s="1">
        <v>30015</v>
      </c>
      <c r="AB112" s="2" t="s">
        <v>41</v>
      </c>
      <c r="AD112" s="1" t="str">
        <f t="shared" si="15"/>
        <v>831W</v>
      </c>
      <c r="AF112" s="1"/>
      <c r="AH112" s="116">
        <v>111</v>
      </c>
      <c r="AI112" s="122">
        <v>64</v>
      </c>
      <c r="AJ112" s="1" t="s">
        <v>1455</v>
      </c>
      <c r="AK112" s="1">
        <v>309507</v>
      </c>
      <c r="AL112" s="1" t="s">
        <v>115</v>
      </c>
      <c r="AM112" s="113"/>
      <c r="AN112" s="270">
        <v>206</v>
      </c>
      <c r="AO112"/>
      <c r="AP112" s="1">
        <v>111</v>
      </c>
      <c r="AQ112" s="1">
        <v>68</v>
      </c>
      <c r="AR112" s="2" t="s">
        <v>1297</v>
      </c>
      <c r="AS112" s="1">
        <v>309350</v>
      </c>
      <c r="AT112" s="1" t="s">
        <v>115</v>
      </c>
      <c r="AV112" s="241">
        <v>49</v>
      </c>
      <c r="AX112" s="1">
        <f t="shared" si="16"/>
        <v>1</v>
      </c>
      <c r="AY112" s="1" t="str">
        <f>IF(COUNTIF($AX$2:AX112,1)&gt;$AG$1,"",IF(AX112="","",E112))</f>
        <v>089</v>
      </c>
      <c r="BM112" s="138" t="str">
        <f t="shared" si="17"/>
        <v xml:space="preserve">   </v>
      </c>
      <c r="BN112" s="42">
        <f t="shared" si="18"/>
        <v>11257</v>
      </c>
      <c r="BS112" s="2">
        <v>9739</v>
      </c>
      <c r="BT112" s="2" t="s">
        <v>902</v>
      </c>
      <c r="BX112" s="36"/>
      <c r="BY112" s="1"/>
    </row>
    <row r="113" spans="1:77" s="2" customFormat="1" ht="14.25">
      <c r="A113" s="55">
        <v>11258</v>
      </c>
      <c r="B113" s="36" t="s">
        <v>82</v>
      </c>
      <c r="C113" s="36" t="s">
        <v>101</v>
      </c>
      <c r="D113" s="36" t="s">
        <v>906</v>
      </c>
      <c r="E113" s="36" t="s">
        <v>20</v>
      </c>
      <c r="F113" s="36" t="s">
        <v>2427</v>
      </c>
      <c r="G113" s="36" t="s">
        <v>85</v>
      </c>
      <c r="H113" s="36" t="s">
        <v>58</v>
      </c>
      <c r="I113" s="36" t="s">
        <v>85</v>
      </c>
      <c r="J113" s="36" t="s">
        <v>1146</v>
      </c>
      <c r="K113" s="1" t="str">
        <f t="shared" si="19"/>
        <v/>
      </c>
      <c r="L113" s="1" t="str">
        <f t="shared" si="22"/>
        <v/>
      </c>
      <c r="M113" s="94">
        <v>108</v>
      </c>
      <c r="N113" s="36" t="s">
        <v>1763</v>
      </c>
      <c r="O113" s="95">
        <v>309815</v>
      </c>
      <c r="P113" s="36"/>
      <c r="Q113" s="110" t="str">
        <f t="shared" si="20"/>
        <v>Standard</v>
      </c>
      <c r="R113" s="1" t="str">
        <f t="shared" si="21"/>
        <v/>
      </c>
      <c r="S113" s="1">
        <f>IF(A113&gt;0,COUNT(A$2:A113),"")</f>
        <v>112</v>
      </c>
      <c r="T113" s="1" t="str">
        <f t="shared" si="12"/>
        <v xml:space="preserve">ASV70L-RETNKX </v>
      </c>
      <c r="U113" s="1" t="str">
        <f t="shared" si="13"/>
        <v xml:space="preserve">   </v>
      </c>
      <c r="V113" s="111" t="str">
        <f t="shared" si="14"/>
        <v/>
      </c>
      <c r="AA113" s="1">
        <v>30016</v>
      </c>
      <c r="AB113" s="2" t="s">
        <v>41</v>
      </c>
      <c r="AD113" s="1" t="str">
        <f t="shared" si="15"/>
        <v>664W</v>
      </c>
      <c r="AF113" s="1"/>
      <c r="AH113" s="116">
        <v>112</v>
      </c>
      <c r="AI113" s="122">
        <v>65</v>
      </c>
      <c r="AJ113" s="1" t="s">
        <v>1456</v>
      </c>
      <c r="AK113" s="1">
        <v>309508</v>
      </c>
      <c r="AL113" s="1" t="s">
        <v>930</v>
      </c>
      <c r="AM113" s="113"/>
      <c r="AN113" s="270">
        <v>207</v>
      </c>
      <c r="AO113"/>
      <c r="AP113" s="1">
        <v>112</v>
      </c>
      <c r="AQ113" s="1">
        <v>69</v>
      </c>
      <c r="AR113" s="2" t="s">
        <v>1298</v>
      </c>
      <c r="AS113" s="1">
        <v>309351</v>
      </c>
      <c r="AT113" s="1" t="s">
        <v>930</v>
      </c>
      <c r="AV113" s="241">
        <v>50</v>
      </c>
      <c r="AX113" s="1">
        <f t="shared" si="16"/>
        <v>1</v>
      </c>
      <c r="AY113" s="1" t="str">
        <f>IF(COUNTIF($AX$2:AX113,1)&gt;$AG$1,"",IF(AX113="","",E113))</f>
        <v>218</v>
      </c>
      <c r="BM113" s="138" t="str">
        <f t="shared" si="17"/>
        <v xml:space="preserve">   </v>
      </c>
      <c r="BN113" s="42">
        <f t="shared" si="18"/>
        <v>11258</v>
      </c>
      <c r="BS113" s="2">
        <v>9740</v>
      </c>
      <c r="BT113" s="2" t="s">
        <v>902</v>
      </c>
      <c r="BX113" s="36"/>
      <c r="BY113" s="1"/>
    </row>
    <row r="114" spans="1:77" s="2" customFormat="1" ht="14.25">
      <c r="A114" s="55">
        <v>11259</v>
      </c>
      <c r="B114" s="36" t="s">
        <v>1158</v>
      </c>
      <c r="C114" s="36" t="s">
        <v>101</v>
      </c>
      <c r="D114" s="36" t="s">
        <v>915</v>
      </c>
      <c r="E114" s="36" t="s">
        <v>80</v>
      </c>
      <c r="F114" s="36" t="s">
        <v>903</v>
      </c>
      <c r="G114" s="36" t="s">
        <v>894</v>
      </c>
      <c r="H114" s="36" t="s">
        <v>58</v>
      </c>
      <c r="I114" s="36" t="s">
        <v>85</v>
      </c>
      <c r="J114" s="36" t="s">
        <v>1146</v>
      </c>
      <c r="K114" s="1" t="str">
        <f t="shared" si="19"/>
        <v/>
      </c>
      <c r="L114" s="1" t="str">
        <f t="shared" si="22"/>
        <v/>
      </c>
      <c r="M114" s="94">
        <v>109</v>
      </c>
      <c r="N114" s="36" t="s">
        <v>1764</v>
      </c>
      <c r="O114" s="95">
        <v>309816</v>
      </c>
      <c r="P114" s="36"/>
      <c r="Q114" s="110" t="str">
        <f t="shared" si="20"/>
        <v/>
      </c>
      <c r="R114" s="1" t="str">
        <f t="shared" si="21"/>
        <v>CVT</v>
      </c>
      <c r="S114" s="1">
        <f>IF(A114&gt;0,COUNT(A$2:A114),"")</f>
        <v>113</v>
      </c>
      <c r="T114" s="1" t="str">
        <f t="shared" si="12"/>
        <v>MXAA54L-RNXGBX</v>
      </c>
      <c r="U114" s="1" t="str">
        <f t="shared" si="13"/>
        <v>CVT</v>
      </c>
      <c r="V114" s="111" t="str">
        <f t="shared" si="14"/>
        <v/>
      </c>
      <c r="AA114" s="1">
        <v>30017</v>
      </c>
      <c r="AB114" s="2" t="s">
        <v>41</v>
      </c>
      <c r="AD114" s="1" t="str">
        <f t="shared" si="15"/>
        <v>831W</v>
      </c>
      <c r="AF114" s="1"/>
      <c r="AH114" s="116">
        <v>113</v>
      </c>
      <c r="AI114" s="122">
        <v>66</v>
      </c>
      <c r="AJ114" s="1" t="s">
        <v>1457</v>
      </c>
      <c r="AK114" s="1">
        <v>309509</v>
      </c>
      <c r="AL114" s="1" t="s">
        <v>930</v>
      </c>
      <c r="AM114" s="113"/>
      <c r="AN114" s="270">
        <v>208</v>
      </c>
      <c r="AO114"/>
      <c r="AP114" s="1">
        <v>113</v>
      </c>
      <c r="AQ114" s="1">
        <v>70</v>
      </c>
      <c r="AR114" s="2" t="s">
        <v>1299</v>
      </c>
      <c r="AS114" s="1">
        <v>309352</v>
      </c>
      <c r="AT114" s="1" t="s">
        <v>115</v>
      </c>
      <c r="AV114" s="241">
        <v>51</v>
      </c>
      <c r="AX114" s="1">
        <f t="shared" si="16"/>
        <v>1</v>
      </c>
      <c r="AY114" s="1" t="str">
        <f>IF(COUNTIF($AX$2:AX114,1)&gt;$AG$1,"",IF(AX114="","",E114))</f>
        <v>089</v>
      </c>
      <c r="BM114" s="138" t="str">
        <f t="shared" si="17"/>
        <v xml:space="preserve">   </v>
      </c>
      <c r="BN114" s="42">
        <f t="shared" si="18"/>
        <v>11259</v>
      </c>
      <c r="BS114" s="2">
        <v>9741</v>
      </c>
      <c r="BT114" s="2" t="s">
        <v>902</v>
      </c>
      <c r="BX114" s="36"/>
      <c r="BY114" s="1"/>
    </row>
    <row r="115" spans="1:77" s="2" customFormat="1" ht="14.25">
      <c r="A115" s="55">
        <v>11260</v>
      </c>
      <c r="B115" s="36" t="s">
        <v>82</v>
      </c>
      <c r="C115" s="36" t="s">
        <v>101</v>
      </c>
      <c r="D115" s="36" t="s">
        <v>906</v>
      </c>
      <c r="E115" s="36" t="s">
        <v>20</v>
      </c>
      <c r="F115" s="36" t="s">
        <v>88</v>
      </c>
      <c r="G115" s="36" t="s">
        <v>85</v>
      </c>
      <c r="H115" s="36" t="s">
        <v>58</v>
      </c>
      <c r="I115" s="36" t="s">
        <v>85</v>
      </c>
      <c r="J115" s="36" t="s">
        <v>1146</v>
      </c>
      <c r="K115" s="1" t="str">
        <f t="shared" si="19"/>
        <v/>
      </c>
      <c r="L115" s="1" t="str">
        <f t="shared" si="22"/>
        <v/>
      </c>
      <c r="M115" s="94">
        <v>110</v>
      </c>
      <c r="N115" s="36" t="s">
        <v>1765</v>
      </c>
      <c r="O115" s="95">
        <v>309817</v>
      </c>
      <c r="P115" s="36"/>
      <c r="Q115" s="110" t="str">
        <f t="shared" si="20"/>
        <v>Standard</v>
      </c>
      <c r="R115" s="1" t="str">
        <f t="shared" si="21"/>
        <v/>
      </c>
      <c r="S115" s="1">
        <f>IF(A115&gt;0,COUNT(A$2:A115),"")</f>
        <v>114</v>
      </c>
      <c r="T115" s="1" t="str">
        <f t="shared" si="12"/>
        <v xml:space="preserve">ASV70L-RETNKX </v>
      </c>
      <c r="U115" s="1" t="str">
        <f t="shared" si="13"/>
        <v xml:space="preserve">   </v>
      </c>
      <c r="V115" s="111" t="str">
        <f t="shared" si="14"/>
        <v/>
      </c>
      <c r="AA115" s="1">
        <v>30018</v>
      </c>
      <c r="AB115" s="2" t="s">
        <v>41</v>
      </c>
      <c r="AD115" s="1" t="str">
        <f t="shared" si="15"/>
        <v>664W</v>
      </c>
      <c r="AF115" s="1"/>
      <c r="AH115" s="116">
        <v>114</v>
      </c>
      <c r="AI115" s="122">
        <v>67</v>
      </c>
      <c r="AJ115" s="1" t="s">
        <v>1458</v>
      </c>
      <c r="AK115" s="1">
        <v>309510</v>
      </c>
      <c r="AL115" s="1" t="s">
        <v>115</v>
      </c>
      <c r="AM115" s="113"/>
      <c r="AN115" s="270">
        <v>209</v>
      </c>
      <c r="AO115"/>
      <c r="AP115" s="1">
        <v>114</v>
      </c>
      <c r="AQ115" s="1">
        <v>71</v>
      </c>
      <c r="AR115" s="2" t="s">
        <v>1300</v>
      </c>
      <c r="AS115" s="1">
        <v>309353</v>
      </c>
      <c r="AT115" s="1" t="s">
        <v>930</v>
      </c>
      <c r="AV115" s="241">
        <v>52</v>
      </c>
      <c r="AX115" s="1">
        <f t="shared" si="16"/>
        <v>1</v>
      </c>
      <c r="AY115" s="1" t="str">
        <f>IF(COUNTIF($AX$2:AX115,1)&gt;$AG$1,"",IF(AX115="","",E115))</f>
        <v>218</v>
      </c>
      <c r="BM115" s="138" t="str">
        <f t="shared" si="17"/>
        <v xml:space="preserve">   </v>
      </c>
      <c r="BN115" s="42">
        <f t="shared" si="18"/>
        <v>11260</v>
      </c>
      <c r="BS115" s="2">
        <v>9742</v>
      </c>
      <c r="BT115" s="2" t="s">
        <v>902</v>
      </c>
      <c r="BX115" s="36"/>
      <c r="BY115" s="1"/>
    </row>
    <row r="116" spans="1:77" s="2" customFormat="1" ht="14.25">
      <c r="A116" s="55">
        <v>11261</v>
      </c>
      <c r="B116" s="36" t="s">
        <v>1158</v>
      </c>
      <c r="C116" s="36" t="s">
        <v>101</v>
      </c>
      <c r="D116" s="36" t="s">
        <v>910</v>
      </c>
      <c r="E116" s="36" t="s">
        <v>1128</v>
      </c>
      <c r="F116" s="36" t="s">
        <v>1154</v>
      </c>
      <c r="G116" s="36" t="s">
        <v>921</v>
      </c>
      <c r="H116" s="36" t="s">
        <v>58</v>
      </c>
      <c r="I116" s="36" t="s">
        <v>85</v>
      </c>
      <c r="J116" s="36" t="s">
        <v>1146</v>
      </c>
      <c r="K116" s="1" t="str">
        <f t="shared" si="19"/>
        <v/>
      </c>
      <c r="L116" s="1" t="str">
        <f t="shared" si="22"/>
        <v/>
      </c>
      <c r="M116" s="94">
        <v>111</v>
      </c>
      <c r="N116" s="36" t="s">
        <v>1766</v>
      </c>
      <c r="O116" s="95">
        <v>309818</v>
      </c>
      <c r="P116" s="36"/>
      <c r="Q116" s="110" t="str">
        <f t="shared" si="20"/>
        <v/>
      </c>
      <c r="R116" s="1" t="str">
        <f t="shared" si="21"/>
        <v>Auto</v>
      </c>
      <c r="S116" s="1">
        <f>IF(A116&gt;0,COUNT(A$2:A116),"")</f>
        <v>115</v>
      </c>
      <c r="T116" s="1" t="str">
        <f t="shared" si="12"/>
        <v>AXAA54L-RNZMBX</v>
      </c>
      <c r="U116" s="1" t="str">
        <f t="shared" si="13"/>
        <v>8AT</v>
      </c>
      <c r="V116" s="111" t="str">
        <f t="shared" si="14"/>
        <v/>
      </c>
      <c r="AA116" s="1">
        <v>30019</v>
      </c>
      <c r="AB116" s="2" t="s">
        <v>40</v>
      </c>
      <c r="AD116" s="1" t="str">
        <f t="shared" si="15"/>
        <v>831W</v>
      </c>
      <c r="AF116" s="1"/>
      <c r="AH116" s="116">
        <v>115</v>
      </c>
      <c r="AI116" s="122">
        <v>68</v>
      </c>
      <c r="AJ116" s="1" t="s">
        <v>1459</v>
      </c>
      <c r="AK116" s="1">
        <v>309511</v>
      </c>
      <c r="AL116" s="1" t="s">
        <v>930</v>
      </c>
      <c r="AM116" s="113"/>
      <c r="AN116" s="270">
        <v>210</v>
      </c>
      <c r="AO116"/>
      <c r="AP116" s="1">
        <v>115</v>
      </c>
      <c r="AQ116" s="1">
        <v>72</v>
      </c>
      <c r="AR116" s="2" t="s">
        <v>1301</v>
      </c>
      <c r="AS116" s="1">
        <v>309354</v>
      </c>
      <c r="AT116" s="1" t="s">
        <v>115</v>
      </c>
      <c r="AV116" s="241">
        <v>53</v>
      </c>
      <c r="AX116" s="1">
        <f t="shared" si="16"/>
        <v>1</v>
      </c>
      <c r="AY116" s="1" t="str">
        <f>IF(COUNTIF($AX$2:AX116,1)&gt;$AG$1,"",IF(AX116="","",E116))</f>
        <v>2PS</v>
      </c>
      <c r="BM116" s="138" t="str">
        <f t="shared" si="17"/>
        <v xml:space="preserve">   </v>
      </c>
      <c r="BN116" s="42">
        <f t="shared" si="18"/>
        <v>11261</v>
      </c>
      <c r="BS116" s="2">
        <v>9743</v>
      </c>
      <c r="BT116" s="2" t="s">
        <v>902</v>
      </c>
      <c r="BX116" s="36"/>
      <c r="BY116" s="1"/>
    </row>
    <row r="117" spans="1:77" s="2" customFormat="1" ht="14.25">
      <c r="A117" s="55">
        <v>11262</v>
      </c>
      <c r="B117" s="36" t="s">
        <v>1158</v>
      </c>
      <c r="C117" s="36" t="s">
        <v>101</v>
      </c>
      <c r="D117" s="36" t="s">
        <v>916</v>
      </c>
      <c r="E117" s="36" t="s">
        <v>80</v>
      </c>
      <c r="F117" s="36" t="s">
        <v>1139</v>
      </c>
      <c r="G117" s="36" t="s">
        <v>894</v>
      </c>
      <c r="H117" s="36" t="s">
        <v>58</v>
      </c>
      <c r="I117" s="36" t="s">
        <v>85</v>
      </c>
      <c r="J117" s="36" t="s">
        <v>1146</v>
      </c>
      <c r="K117" s="1" t="str">
        <f t="shared" si="19"/>
        <v/>
      </c>
      <c r="L117" s="1" t="str">
        <f t="shared" si="22"/>
        <v/>
      </c>
      <c r="M117" s="94">
        <v>112</v>
      </c>
      <c r="N117" s="36" t="s">
        <v>1767</v>
      </c>
      <c r="O117" s="95">
        <v>309819</v>
      </c>
      <c r="P117" s="36"/>
      <c r="Q117" s="110" t="str">
        <f t="shared" si="20"/>
        <v/>
      </c>
      <c r="R117" s="1" t="str">
        <f t="shared" si="21"/>
        <v>CVT</v>
      </c>
      <c r="S117" s="1">
        <f>IF(A117&gt;0,COUNT(A$2:A117),"")</f>
        <v>116</v>
      </c>
      <c r="T117" s="1" t="str">
        <f t="shared" si="12"/>
        <v>MXAA54L-RNXMBX</v>
      </c>
      <c r="U117" s="1" t="str">
        <f t="shared" si="13"/>
        <v>CVT</v>
      </c>
      <c r="V117" s="111" t="str">
        <f t="shared" si="14"/>
        <v/>
      </c>
      <c r="AA117" s="1">
        <v>30020</v>
      </c>
      <c r="AB117" s="2" t="s">
        <v>41</v>
      </c>
      <c r="AD117" s="1" t="str">
        <f t="shared" si="15"/>
        <v>831W</v>
      </c>
      <c r="AF117" s="1"/>
      <c r="AH117" s="116">
        <v>116</v>
      </c>
      <c r="AI117" s="122">
        <v>69</v>
      </c>
      <c r="AJ117" s="1" t="s">
        <v>1460</v>
      </c>
      <c r="AK117" s="1">
        <v>309512</v>
      </c>
      <c r="AL117" s="1" t="s">
        <v>115</v>
      </c>
      <c r="AM117" s="113"/>
      <c r="AN117" s="270">
        <v>211</v>
      </c>
      <c r="AO117"/>
      <c r="AP117" s="1">
        <v>116</v>
      </c>
      <c r="AQ117" s="1">
        <v>73</v>
      </c>
      <c r="AR117" s="2" t="s">
        <v>1302</v>
      </c>
      <c r="AS117" s="1">
        <v>309355</v>
      </c>
      <c r="AT117" s="1" t="s">
        <v>930</v>
      </c>
      <c r="AV117" s="241">
        <v>54</v>
      </c>
      <c r="AX117" s="1">
        <f t="shared" si="16"/>
        <v>1</v>
      </c>
      <c r="AY117" s="1" t="str">
        <f>IF(COUNTIF($AX$2:AX117,1)&gt;$AG$1,"",IF(AX117="","",E117))</f>
        <v>089</v>
      </c>
      <c r="BM117" s="138" t="str">
        <f t="shared" si="17"/>
        <v xml:space="preserve">   </v>
      </c>
      <c r="BN117" s="42">
        <f t="shared" si="18"/>
        <v>11262</v>
      </c>
      <c r="BS117" s="2">
        <v>9744</v>
      </c>
      <c r="BT117" s="2" t="s">
        <v>902</v>
      </c>
      <c r="BX117" s="36"/>
      <c r="BY117" s="1"/>
    </row>
    <row r="118" spans="1:77" ht="14.25">
      <c r="A118" s="55">
        <v>11263</v>
      </c>
      <c r="B118" s="36" t="s">
        <v>82</v>
      </c>
      <c r="C118" s="36" t="s">
        <v>101</v>
      </c>
      <c r="D118" s="36" t="s">
        <v>906</v>
      </c>
      <c r="E118" s="36" t="s">
        <v>20</v>
      </c>
      <c r="F118" s="36" t="s">
        <v>86</v>
      </c>
      <c r="G118" s="36" t="s">
        <v>85</v>
      </c>
      <c r="H118" s="36" t="s">
        <v>58</v>
      </c>
      <c r="I118" s="36" t="s">
        <v>85</v>
      </c>
      <c r="J118" s="36" t="s">
        <v>1146</v>
      </c>
      <c r="K118" s="1" t="str">
        <f t="shared" si="19"/>
        <v/>
      </c>
      <c r="L118" s="1" t="str">
        <f t="shared" si="22"/>
        <v/>
      </c>
      <c r="M118" s="94">
        <v>113</v>
      </c>
      <c r="N118" s="36" t="s">
        <v>1768</v>
      </c>
      <c r="O118" s="95">
        <v>309820</v>
      </c>
      <c r="P118" s="36"/>
      <c r="Q118" s="110" t="str">
        <f t="shared" si="20"/>
        <v>Standard</v>
      </c>
      <c r="R118" s="1" t="str">
        <f t="shared" si="21"/>
        <v/>
      </c>
      <c r="S118" s="1">
        <f>IF(A118&gt;0,COUNT(A$2:A118),"")</f>
        <v>117</v>
      </c>
      <c r="T118" s="1" t="str">
        <f t="shared" si="12"/>
        <v xml:space="preserve">ASV70L-RETNKX </v>
      </c>
      <c r="U118" s="1" t="str">
        <f t="shared" si="13"/>
        <v xml:space="preserve">   </v>
      </c>
      <c r="V118" s="111" t="str">
        <f t="shared" si="14"/>
        <v/>
      </c>
      <c r="AA118" s="1">
        <v>30021</v>
      </c>
      <c r="AB118" s="1" t="s">
        <v>41</v>
      </c>
      <c r="AD118" s="1" t="str">
        <f t="shared" si="15"/>
        <v>664W</v>
      </c>
      <c r="AH118" s="116">
        <v>117</v>
      </c>
      <c r="AI118" s="122">
        <v>70</v>
      </c>
      <c r="AJ118" s="1" t="s">
        <v>1461</v>
      </c>
      <c r="AK118" s="1">
        <v>309513</v>
      </c>
      <c r="AL118" s="1" t="s">
        <v>930</v>
      </c>
      <c r="AN118" s="270">
        <v>212</v>
      </c>
      <c r="AP118" s="1">
        <v>117</v>
      </c>
      <c r="AQ118" s="1">
        <v>74</v>
      </c>
      <c r="AR118" s="1" t="s">
        <v>1304</v>
      </c>
      <c r="AS118" s="1">
        <v>309356</v>
      </c>
      <c r="AT118" s="1" t="s">
        <v>930</v>
      </c>
      <c r="AV118" s="241">
        <v>55</v>
      </c>
      <c r="AX118" s="1">
        <f t="shared" si="16"/>
        <v>1</v>
      </c>
      <c r="AY118" s="1" t="str">
        <f>IF(COUNTIF($AX$2:AX118,1)&gt;$AG$1,"",IF(AX118="","",E118))</f>
        <v>218</v>
      </c>
      <c r="BM118" s="138" t="str">
        <f t="shared" si="17"/>
        <v xml:space="preserve">   </v>
      </c>
      <c r="BN118" s="42">
        <f t="shared" si="18"/>
        <v>11263</v>
      </c>
      <c r="BS118" s="1">
        <v>9745</v>
      </c>
      <c r="BT118" s="1" t="s">
        <v>902</v>
      </c>
      <c r="BX118" s="36"/>
    </row>
    <row r="119" spans="1:77" ht="14.25">
      <c r="A119" s="55">
        <v>11264</v>
      </c>
      <c r="B119" s="36" t="s">
        <v>1158</v>
      </c>
      <c r="C119" s="36" t="s">
        <v>101</v>
      </c>
      <c r="D119" s="36" t="s">
        <v>909</v>
      </c>
      <c r="E119" s="36" t="s">
        <v>80</v>
      </c>
      <c r="F119" s="36" t="s">
        <v>1149</v>
      </c>
      <c r="G119" s="36" t="s">
        <v>921</v>
      </c>
      <c r="H119" s="36" t="s">
        <v>58</v>
      </c>
      <c r="I119" s="36" t="s">
        <v>85</v>
      </c>
      <c r="J119" s="36" t="s">
        <v>1146</v>
      </c>
      <c r="K119" s="1" t="str">
        <f t="shared" si="19"/>
        <v/>
      </c>
      <c r="L119" s="1" t="str">
        <f t="shared" si="22"/>
        <v/>
      </c>
      <c r="M119" s="94">
        <v>114</v>
      </c>
      <c r="N119" s="36" t="s">
        <v>1769</v>
      </c>
      <c r="O119" s="95">
        <v>309821</v>
      </c>
      <c r="P119" s="36"/>
      <c r="Q119" s="110" t="str">
        <f t="shared" si="20"/>
        <v/>
      </c>
      <c r="R119" s="1" t="str">
        <f t="shared" si="21"/>
        <v>Auto</v>
      </c>
      <c r="S119" s="1">
        <f>IF(A119&gt;0,COUNT(A$2:A119),"")</f>
        <v>118</v>
      </c>
      <c r="T119" s="1" t="str">
        <f t="shared" si="12"/>
        <v>AXAA54L-RNZGBX</v>
      </c>
      <c r="U119" s="1" t="str">
        <f t="shared" si="13"/>
        <v>8AT</v>
      </c>
      <c r="V119" s="111" t="str">
        <f t="shared" si="14"/>
        <v/>
      </c>
      <c r="AA119" s="1">
        <v>30022</v>
      </c>
      <c r="AB119" s="1" t="s">
        <v>897</v>
      </c>
      <c r="AD119" s="1" t="str">
        <f t="shared" si="15"/>
        <v>831W</v>
      </c>
      <c r="AH119" s="116">
        <v>118</v>
      </c>
      <c r="AI119" s="122">
        <v>71</v>
      </c>
      <c r="AJ119" s="1" t="s">
        <v>1462</v>
      </c>
      <c r="AK119" s="1">
        <v>309514</v>
      </c>
      <c r="AL119" s="1" t="s">
        <v>115</v>
      </c>
      <c r="AN119" s="270">
        <v>213</v>
      </c>
      <c r="AP119" s="1">
        <v>118</v>
      </c>
      <c r="AQ119" s="1">
        <v>75</v>
      </c>
      <c r="AR119" s="1" t="s">
        <v>1305</v>
      </c>
      <c r="AS119" s="1">
        <v>309357</v>
      </c>
      <c r="AT119" s="1" t="s">
        <v>115</v>
      </c>
      <c r="AV119" s="241">
        <v>56</v>
      </c>
      <c r="AX119" s="1">
        <f t="shared" si="16"/>
        <v>1</v>
      </c>
      <c r="AY119" s="1" t="str">
        <f>IF(COUNTIF($AX$2:AX119,1)&gt;$AG$1,"",IF(AX119="","",E119))</f>
        <v>089</v>
      </c>
      <c r="BM119" s="138" t="str">
        <f t="shared" si="17"/>
        <v xml:space="preserve">   </v>
      </c>
      <c r="BN119" s="42">
        <f t="shared" si="18"/>
        <v>11264</v>
      </c>
      <c r="BS119" s="1">
        <v>9746</v>
      </c>
      <c r="BT119" s="1" t="s">
        <v>902</v>
      </c>
      <c r="BX119" s="36"/>
    </row>
    <row r="120" spans="1:77" ht="14.25">
      <c r="A120" s="55">
        <v>11265</v>
      </c>
      <c r="B120" s="36" t="s">
        <v>82</v>
      </c>
      <c r="C120" s="36" t="s">
        <v>101</v>
      </c>
      <c r="D120" s="36" t="s">
        <v>906</v>
      </c>
      <c r="E120" s="36" t="s">
        <v>20</v>
      </c>
      <c r="F120" s="36" t="s">
        <v>90</v>
      </c>
      <c r="G120" s="36" t="s">
        <v>85</v>
      </c>
      <c r="H120" s="36" t="s">
        <v>58</v>
      </c>
      <c r="I120" s="36" t="s">
        <v>85</v>
      </c>
      <c r="J120" s="36" t="s">
        <v>1146</v>
      </c>
      <c r="K120" s="1" t="str">
        <f t="shared" si="19"/>
        <v/>
      </c>
      <c r="L120" s="1" t="str">
        <f t="shared" si="22"/>
        <v/>
      </c>
      <c r="M120" s="94">
        <v>115</v>
      </c>
      <c r="N120" s="36" t="s">
        <v>1770</v>
      </c>
      <c r="O120" s="95">
        <v>309822</v>
      </c>
      <c r="P120" s="36"/>
      <c r="Q120" s="110" t="str">
        <f t="shared" si="20"/>
        <v>Standard</v>
      </c>
      <c r="R120" s="1" t="str">
        <f t="shared" si="21"/>
        <v/>
      </c>
      <c r="S120" s="1">
        <f>IF(A120&gt;0,COUNT(A$2:A120),"")</f>
        <v>119</v>
      </c>
      <c r="T120" s="1" t="str">
        <f t="shared" si="12"/>
        <v xml:space="preserve">ASV70L-RETNKX </v>
      </c>
      <c r="U120" s="1" t="str">
        <f t="shared" si="13"/>
        <v xml:space="preserve">   </v>
      </c>
      <c r="V120" s="111" t="str">
        <f t="shared" si="14"/>
        <v/>
      </c>
      <c r="AA120" s="1">
        <v>30023</v>
      </c>
      <c r="AB120" s="1" t="s">
        <v>41</v>
      </c>
      <c r="AD120" s="1" t="str">
        <f t="shared" si="15"/>
        <v>664W</v>
      </c>
      <c r="AH120" s="116">
        <v>119</v>
      </c>
      <c r="AI120" s="122">
        <v>72</v>
      </c>
      <c r="AJ120" s="1" t="s">
        <v>1463</v>
      </c>
      <c r="AK120" s="1">
        <v>309515</v>
      </c>
      <c r="AL120" s="1" t="s">
        <v>930</v>
      </c>
      <c r="AN120" s="270">
        <v>214</v>
      </c>
      <c r="AP120" s="1">
        <v>119</v>
      </c>
      <c r="AQ120" s="1">
        <v>76</v>
      </c>
      <c r="AR120" s="1" t="s">
        <v>1306</v>
      </c>
      <c r="AS120" s="1">
        <v>309358</v>
      </c>
      <c r="AT120" s="1" t="s">
        <v>930</v>
      </c>
      <c r="AV120" s="241">
        <v>57</v>
      </c>
      <c r="AX120" s="1">
        <f t="shared" si="16"/>
        <v>1</v>
      </c>
      <c r="AY120" s="1" t="str">
        <f>IF(COUNTIF($AX$2:AX120,1)&gt;$AG$1,"",IF(AX120="","",E120))</f>
        <v>218</v>
      </c>
      <c r="BM120" s="138" t="str">
        <f t="shared" si="17"/>
        <v xml:space="preserve">   </v>
      </c>
      <c r="BN120" s="42">
        <f t="shared" si="18"/>
        <v>11265</v>
      </c>
      <c r="BS120" s="1">
        <v>9747</v>
      </c>
      <c r="BT120" s="1" t="s">
        <v>902</v>
      </c>
      <c r="BX120" s="36"/>
    </row>
    <row r="121" spans="1:77" ht="14.25">
      <c r="A121" s="55">
        <v>11266</v>
      </c>
      <c r="B121" s="36" t="s">
        <v>1158</v>
      </c>
      <c r="C121" s="36" t="s">
        <v>101</v>
      </c>
      <c r="D121" s="36" t="s">
        <v>916</v>
      </c>
      <c r="E121" s="36" t="s">
        <v>80</v>
      </c>
      <c r="F121" s="36" t="s">
        <v>1139</v>
      </c>
      <c r="G121" s="36" t="s">
        <v>894</v>
      </c>
      <c r="H121" s="36" t="s">
        <v>58</v>
      </c>
      <c r="I121" s="36" t="s">
        <v>85</v>
      </c>
      <c r="J121" s="36" t="s">
        <v>1146</v>
      </c>
      <c r="K121" s="1" t="str">
        <f t="shared" si="19"/>
        <v/>
      </c>
      <c r="L121" s="1" t="str">
        <f t="shared" si="22"/>
        <v/>
      </c>
      <c r="M121" s="94">
        <v>116</v>
      </c>
      <c r="N121" s="36" t="s">
        <v>1771</v>
      </c>
      <c r="O121" s="95">
        <v>309823</v>
      </c>
      <c r="P121" s="36"/>
      <c r="Q121" s="110" t="str">
        <f t="shared" si="20"/>
        <v/>
      </c>
      <c r="R121" s="1" t="str">
        <f t="shared" si="21"/>
        <v>CVT</v>
      </c>
      <c r="S121" s="1">
        <f>IF(A121&gt;0,COUNT(A$2:A121),"")</f>
        <v>120</v>
      </c>
      <c r="T121" s="1" t="str">
        <f t="shared" si="12"/>
        <v>MXAA54L-RNXMBX</v>
      </c>
      <c r="U121" s="1" t="str">
        <f t="shared" si="13"/>
        <v>CVT</v>
      </c>
      <c r="V121" s="111" t="str">
        <f t="shared" si="14"/>
        <v/>
      </c>
      <c r="AA121" s="1">
        <v>30024</v>
      </c>
      <c r="AB121" s="1" t="s">
        <v>41</v>
      </c>
      <c r="AD121" s="1" t="str">
        <f t="shared" si="15"/>
        <v>831W</v>
      </c>
      <c r="AH121" s="116">
        <v>120</v>
      </c>
      <c r="AI121" s="122">
        <v>73</v>
      </c>
      <c r="AJ121" s="1" t="s">
        <v>1464</v>
      </c>
      <c r="AK121" s="1">
        <v>309516</v>
      </c>
      <c r="AL121" s="1" t="s">
        <v>930</v>
      </c>
      <c r="AN121" s="270">
        <v>215</v>
      </c>
      <c r="AP121" s="1">
        <v>120</v>
      </c>
      <c r="AQ121" s="1">
        <v>77</v>
      </c>
      <c r="AR121" s="1" t="s">
        <v>1307</v>
      </c>
      <c r="AS121" s="1">
        <v>309359</v>
      </c>
      <c r="AT121" s="1" t="s">
        <v>115</v>
      </c>
      <c r="AV121" s="241">
        <v>58</v>
      </c>
      <c r="AX121" s="1">
        <f t="shared" si="16"/>
        <v>1</v>
      </c>
      <c r="AY121" s="1" t="str">
        <f>IF(COUNTIF($AX$2:AX121,1)&gt;$AG$1,"",IF(AX121="","",E121))</f>
        <v>089</v>
      </c>
      <c r="BM121" s="138" t="str">
        <f t="shared" si="17"/>
        <v xml:space="preserve">   </v>
      </c>
      <c r="BN121" s="42">
        <f t="shared" si="18"/>
        <v>11266</v>
      </c>
      <c r="BS121" s="1">
        <v>9748</v>
      </c>
      <c r="BT121" s="1" t="s">
        <v>902</v>
      </c>
      <c r="BX121" s="36"/>
    </row>
    <row r="122" spans="1:77" ht="14.25">
      <c r="A122" s="55">
        <v>11267</v>
      </c>
      <c r="B122" s="36" t="s">
        <v>82</v>
      </c>
      <c r="C122" s="36" t="s">
        <v>101</v>
      </c>
      <c r="D122" s="36" t="s">
        <v>906</v>
      </c>
      <c r="E122" s="36" t="s">
        <v>79</v>
      </c>
      <c r="F122" s="36" t="s">
        <v>1148</v>
      </c>
      <c r="G122" s="36" t="s">
        <v>85</v>
      </c>
      <c r="H122" s="36" t="s">
        <v>58</v>
      </c>
      <c r="I122" s="36" t="s">
        <v>85</v>
      </c>
      <c r="J122" s="36" t="s">
        <v>1146</v>
      </c>
      <c r="K122" s="1" t="str">
        <f t="shared" si="19"/>
        <v/>
      </c>
      <c r="L122" s="1" t="str">
        <f t="shared" si="22"/>
        <v/>
      </c>
      <c r="M122" s="94">
        <v>117</v>
      </c>
      <c r="N122" s="36" t="s">
        <v>1772</v>
      </c>
      <c r="O122" s="95">
        <v>309824</v>
      </c>
      <c r="P122" s="36"/>
      <c r="Q122" s="110" t="str">
        <f t="shared" si="20"/>
        <v>Standard</v>
      </c>
      <c r="R122" s="1" t="str">
        <f t="shared" si="21"/>
        <v/>
      </c>
      <c r="S122" s="1">
        <f>IF(A122&gt;0,COUNT(A$2:A122),"")</f>
        <v>121</v>
      </c>
      <c r="T122" s="1" t="str">
        <f t="shared" si="12"/>
        <v xml:space="preserve">ASV70L-RETNKX </v>
      </c>
      <c r="U122" s="1" t="str">
        <f t="shared" si="13"/>
        <v xml:space="preserve">   </v>
      </c>
      <c r="V122" s="111" t="str">
        <f t="shared" si="14"/>
        <v/>
      </c>
      <c r="AA122" s="1">
        <v>30025</v>
      </c>
      <c r="AB122" s="1" t="s">
        <v>41</v>
      </c>
      <c r="AD122" s="1" t="str">
        <f t="shared" si="15"/>
        <v>664W</v>
      </c>
      <c r="AH122" s="116">
        <v>121</v>
      </c>
      <c r="AI122" s="122">
        <v>74</v>
      </c>
      <c r="AJ122" s="1" t="s">
        <v>1465</v>
      </c>
      <c r="AK122" s="1">
        <v>309517</v>
      </c>
      <c r="AL122" s="1" t="s">
        <v>115</v>
      </c>
      <c r="AN122" s="270">
        <v>216</v>
      </c>
      <c r="AP122" s="1">
        <v>121</v>
      </c>
      <c r="AQ122" s="1">
        <v>78</v>
      </c>
      <c r="AR122" s="1" t="s">
        <v>1308</v>
      </c>
      <c r="AS122" s="1">
        <v>309360</v>
      </c>
      <c r="AT122" s="1" t="s">
        <v>930</v>
      </c>
      <c r="AV122" s="241">
        <v>59</v>
      </c>
      <c r="AX122" s="1">
        <f t="shared" si="16"/>
        <v>1</v>
      </c>
      <c r="AY122" s="1" t="str">
        <f>IF(COUNTIF($AX$2:AX122,1)&gt;$AG$1,"",IF(AX122="","",E122))</f>
        <v>4X7</v>
      </c>
      <c r="BM122" s="138" t="str">
        <f t="shared" si="17"/>
        <v xml:space="preserve">   </v>
      </c>
      <c r="BN122" s="42">
        <f t="shared" si="18"/>
        <v>11267</v>
      </c>
      <c r="BS122" s="1">
        <v>9749</v>
      </c>
      <c r="BT122" s="1" t="s">
        <v>902</v>
      </c>
      <c r="BX122" s="36"/>
    </row>
    <row r="123" spans="1:77" ht="14.25">
      <c r="A123" s="55">
        <v>11268</v>
      </c>
      <c r="B123" s="36" t="s">
        <v>1158</v>
      </c>
      <c r="C123" s="36" t="s">
        <v>101</v>
      </c>
      <c r="D123" s="36" t="s">
        <v>910</v>
      </c>
      <c r="E123" s="36" t="s">
        <v>10</v>
      </c>
      <c r="F123" s="36" t="s">
        <v>1166</v>
      </c>
      <c r="G123" s="36" t="s">
        <v>921</v>
      </c>
      <c r="H123" s="36" t="s">
        <v>58</v>
      </c>
      <c r="I123" s="36" t="s">
        <v>85</v>
      </c>
      <c r="J123" s="36" t="s">
        <v>1146</v>
      </c>
      <c r="K123" s="1" t="str">
        <f t="shared" si="19"/>
        <v/>
      </c>
      <c r="L123" s="1" t="str">
        <f t="shared" si="22"/>
        <v/>
      </c>
      <c r="M123" s="94">
        <v>118</v>
      </c>
      <c r="N123" s="36" t="s">
        <v>1773</v>
      </c>
      <c r="O123" s="95">
        <v>309825</v>
      </c>
      <c r="P123" s="36"/>
      <c r="Q123" s="110" t="str">
        <f t="shared" si="20"/>
        <v/>
      </c>
      <c r="R123" s="1" t="str">
        <f t="shared" si="21"/>
        <v>Auto</v>
      </c>
      <c r="S123" s="1">
        <f>IF(A123&gt;0,COUNT(A$2:A123),"")</f>
        <v>122</v>
      </c>
      <c r="T123" s="1" t="str">
        <f t="shared" si="12"/>
        <v>AXAA54L-RNZMBX</v>
      </c>
      <c r="U123" s="1" t="str">
        <f t="shared" si="13"/>
        <v>8AT</v>
      </c>
      <c r="V123" s="111" t="str">
        <f t="shared" si="14"/>
        <v/>
      </c>
      <c r="AA123" s="1">
        <v>30026</v>
      </c>
      <c r="AB123" s="1" t="s">
        <v>41</v>
      </c>
      <c r="AD123" s="1" t="str">
        <f t="shared" si="15"/>
        <v>831W</v>
      </c>
      <c r="AH123" s="116">
        <v>122</v>
      </c>
      <c r="AI123" s="122">
        <v>75</v>
      </c>
      <c r="AJ123" s="1" t="s">
        <v>1466</v>
      </c>
      <c r="AK123" s="1">
        <v>309518</v>
      </c>
      <c r="AL123" s="1" t="s">
        <v>930</v>
      </c>
      <c r="AN123" s="270">
        <v>217</v>
      </c>
      <c r="AP123" s="1">
        <v>122</v>
      </c>
      <c r="AQ123" s="1">
        <v>79</v>
      </c>
      <c r="AR123" s="1" t="s">
        <v>1309</v>
      </c>
      <c r="AS123" s="1">
        <v>309361</v>
      </c>
      <c r="AT123" s="1" t="s">
        <v>115</v>
      </c>
      <c r="AV123" s="241">
        <v>60</v>
      </c>
      <c r="AX123" s="1">
        <f t="shared" si="16"/>
        <v>1</v>
      </c>
      <c r="AY123" s="1" t="str">
        <f>IF(COUNTIF($AX$2:AX123,1)&gt;$AG$1,"",IF(AX123="","",E123))</f>
        <v>1F7</v>
      </c>
      <c r="BM123" s="138" t="str">
        <f t="shared" si="17"/>
        <v xml:space="preserve">   </v>
      </c>
      <c r="BN123" s="42">
        <f t="shared" si="18"/>
        <v>11268</v>
      </c>
      <c r="BS123" s="1">
        <v>9750</v>
      </c>
      <c r="BT123" s="1" t="s">
        <v>902</v>
      </c>
      <c r="BX123" s="36"/>
    </row>
    <row r="124" spans="1:77" ht="14.25">
      <c r="A124" s="55">
        <v>11269</v>
      </c>
      <c r="B124" s="36" t="s">
        <v>1158</v>
      </c>
      <c r="C124" s="36" t="s">
        <v>101</v>
      </c>
      <c r="D124" s="36" t="s">
        <v>915</v>
      </c>
      <c r="E124" s="36" t="s">
        <v>20</v>
      </c>
      <c r="F124" s="36" t="s">
        <v>903</v>
      </c>
      <c r="G124" s="36" t="s">
        <v>894</v>
      </c>
      <c r="H124" s="36" t="s">
        <v>58</v>
      </c>
      <c r="I124" s="36" t="s">
        <v>85</v>
      </c>
      <c r="J124" s="36" t="s">
        <v>1146</v>
      </c>
      <c r="K124" s="1" t="str">
        <f t="shared" si="19"/>
        <v/>
      </c>
      <c r="L124" s="1" t="str">
        <f t="shared" si="22"/>
        <v/>
      </c>
      <c r="M124" s="94">
        <v>119</v>
      </c>
      <c r="N124" s="36" t="s">
        <v>1774</v>
      </c>
      <c r="O124" s="95">
        <v>309826</v>
      </c>
      <c r="P124" s="36"/>
      <c r="Q124" s="110" t="str">
        <f t="shared" si="20"/>
        <v/>
      </c>
      <c r="R124" s="1" t="str">
        <f t="shared" si="21"/>
        <v>CVT</v>
      </c>
      <c r="S124" s="1">
        <f>IF(A124&gt;0,COUNT(A$2:A124),"")</f>
        <v>123</v>
      </c>
      <c r="T124" s="1" t="str">
        <f t="shared" si="12"/>
        <v>MXAA54L-RNXGBX</v>
      </c>
      <c r="U124" s="1" t="str">
        <f t="shared" si="13"/>
        <v>CVT</v>
      </c>
      <c r="V124" s="111" t="str">
        <f t="shared" si="14"/>
        <v/>
      </c>
      <c r="AA124" s="1">
        <v>30027</v>
      </c>
      <c r="AB124" s="1" t="s">
        <v>41</v>
      </c>
      <c r="AD124" s="1" t="str">
        <f t="shared" si="15"/>
        <v>831W</v>
      </c>
      <c r="AH124" s="116">
        <v>123</v>
      </c>
      <c r="AI124" s="122">
        <v>76</v>
      </c>
      <c r="AJ124" s="1" t="s">
        <v>1467</v>
      </c>
      <c r="AK124" s="1">
        <v>309519</v>
      </c>
      <c r="AL124" s="1" t="s">
        <v>115</v>
      </c>
      <c r="AN124" s="270">
        <v>218</v>
      </c>
      <c r="AP124" s="1">
        <v>123</v>
      </c>
      <c r="AQ124" s="1">
        <v>80</v>
      </c>
      <c r="AR124" s="1" t="s">
        <v>1310</v>
      </c>
      <c r="AS124" s="1">
        <v>309362</v>
      </c>
      <c r="AT124" s="1" t="s">
        <v>930</v>
      </c>
      <c r="AV124" s="241">
        <v>61</v>
      </c>
      <c r="AX124" s="1">
        <f t="shared" si="16"/>
        <v>1</v>
      </c>
      <c r="AY124" s="1" t="str">
        <f>IF(COUNTIF($AX$2:AX124,1)&gt;$AG$1,"",IF(AX124="","",E124))</f>
        <v>218</v>
      </c>
      <c r="BM124" s="138" t="str">
        <f t="shared" si="17"/>
        <v xml:space="preserve">   </v>
      </c>
      <c r="BN124" s="42">
        <f t="shared" si="18"/>
        <v>11269</v>
      </c>
      <c r="BS124" s="1">
        <v>9751</v>
      </c>
      <c r="BT124" s="1" t="s">
        <v>902</v>
      </c>
      <c r="BX124" s="36"/>
    </row>
    <row r="125" spans="1:77" ht="14.25">
      <c r="A125" s="55">
        <v>11270</v>
      </c>
      <c r="B125" s="36" t="s">
        <v>82</v>
      </c>
      <c r="C125" s="36" t="s">
        <v>101</v>
      </c>
      <c r="D125" s="36" t="s">
        <v>907</v>
      </c>
      <c r="E125" s="36" t="s">
        <v>80</v>
      </c>
      <c r="F125" s="36" t="s">
        <v>41</v>
      </c>
      <c r="G125" s="36" t="s">
        <v>85</v>
      </c>
      <c r="H125" s="36" t="s">
        <v>58</v>
      </c>
      <c r="I125" s="36" t="s">
        <v>85</v>
      </c>
      <c r="J125" s="36" t="s">
        <v>1146</v>
      </c>
      <c r="K125" s="1" t="str">
        <f t="shared" si="19"/>
        <v/>
      </c>
      <c r="L125" s="1" t="str">
        <f t="shared" si="22"/>
        <v/>
      </c>
      <c r="M125" s="94">
        <v>120</v>
      </c>
      <c r="N125" s="36" t="s">
        <v>1775</v>
      </c>
      <c r="O125" s="95">
        <v>309827</v>
      </c>
      <c r="P125" s="36"/>
      <c r="Q125" s="110" t="str">
        <f t="shared" si="20"/>
        <v>Standard</v>
      </c>
      <c r="R125" s="1" t="str">
        <f t="shared" si="21"/>
        <v/>
      </c>
      <c r="S125" s="1">
        <f>IF(A125&gt;0,COUNT(A$2:A125),"")</f>
        <v>124</v>
      </c>
      <c r="T125" s="1" t="str">
        <f t="shared" si="12"/>
        <v xml:space="preserve">ASV71L-RETNHX </v>
      </c>
      <c r="U125" s="1" t="str">
        <f t="shared" si="13"/>
        <v xml:space="preserve">   </v>
      </c>
      <c r="V125" s="111" t="str">
        <f t="shared" si="14"/>
        <v/>
      </c>
      <c r="AA125" s="1">
        <v>30028</v>
      </c>
      <c r="AB125" s="1" t="s">
        <v>41</v>
      </c>
      <c r="AD125" s="1" t="str">
        <f t="shared" si="15"/>
        <v>664W</v>
      </c>
      <c r="AH125" s="116">
        <v>124</v>
      </c>
      <c r="AI125" s="122">
        <v>77</v>
      </c>
      <c r="AJ125" s="1" t="s">
        <v>1468</v>
      </c>
      <c r="AK125" s="1">
        <v>309520</v>
      </c>
      <c r="AL125" s="1" t="s">
        <v>930</v>
      </c>
      <c r="AN125" s="270">
        <v>219</v>
      </c>
      <c r="AP125" s="1">
        <v>124</v>
      </c>
      <c r="AQ125" s="1">
        <v>81</v>
      </c>
      <c r="AR125" s="1" t="s">
        <v>1311</v>
      </c>
      <c r="AS125" s="1">
        <v>309363</v>
      </c>
      <c r="AT125" s="1" t="s">
        <v>115</v>
      </c>
      <c r="AV125" s="241">
        <v>62</v>
      </c>
      <c r="AX125" s="1">
        <f t="shared" si="16"/>
        <v>1</v>
      </c>
      <c r="AY125" s="1" t="str">
        <f>IF(COUNTIF($AX$2:AX125,1)&gt;$AG$1,"",IF(AX125="","",E125))</f>
        <v>089</v>
      </c>
      <c r="BM125" s="138" t="str">
        <f t="shared" si="17"/>
        <v xml:space="preserve">   </v>
      </c>
      <c r="BN125" s="42">
        <f t="shared" si="18"/>
        <v>11270</v>
      </c>
      <c r="BS125" s="1">
        <v>9752</v>
      </c>
      <c r="BT125" s="1" t="s">
        <v>902</v>
      </c>
      <c r="BX125" s="36"/>
    </row>
    <row r="126" spans="1:77" ht="14.25">
      <c r="A126" s="55">
        <v>11271</v>
      </c>
      <c r="B126" s="36" t="s">
        <v>1158</v>
      </c>
      <c r="C126" s="36" t="s">
        <v>49</v>
      </c>
      <c r="D126" s="36" t="s">
        <v>916</v>
      </c>
      <c r="E126" s="36" t="s">
        <v>1128</v>
      </c>
      <c r="F126" s="36" t="s">
        <v>1154</v>
      </c>
      <c r="G126" s="36" t="s">
        <v>894</v>
      </c>
      <c r="H126" s="36" t="s">
        <v>58</v>
      </c>
      <c r="I126" s="36" t="s">
        <v>85</v>
      </c>
      <c r="J126" s="36" t="s">
        <v>1146</v>
      </c>
      <c r="K126" s="1" t="str">
        <f t="shared" si="19"/>
        <v/>
      </c>
      <c r="L126" s="1" t="str">
        <f t="shared" si="22"/>
        <v/>
      </c>
      <c r="M126" s="94">
        <v>121</v>
      </c>
      <c r="N126" s="36" t="s">
        <v>1776</v>
      </c>
      <c r="O126" s="95">
        <v>309828</v>
      </c>
      <c r="P126" s="36"/>
      <c r="Q126" s="110" t="str">
        <f t="shared" si="20"/>
        <v/>
      </c>
      <c r="R126" s="1" t="str">
        <f t="shared" si="21"/>
        <v>CVT</v>
      </c>
      <c r="S126" s="1">
        <f>IF(A126&gt;0,COUNT(A$2:A126),"")</f>
        <v>125</v>
      </c>
      <c r="T126" s="1" t="str">
        <f t="shared" si="12"/>
        <v>MXAA54L-RNXMBX</v>
      </c>
      <c r="U126" s="1" t="str">
        <f t="shared" si="13"/>
        <v>CVT</v>
      </c>
      <c r="V126" s="111" t="str">
        <f t="shared" si="14"/>
        <v/>
      </c>
      <c r="AA126" s="1">
        <v>30029</v>
      </c>
      <c r="AB126" s="1" t="s">
        <v>41</v>
      </c>
      <c r="AD126" s="1" t="str">
        <f t="shared" si="15"/>
        <v>831W</v>
      </c>
      <c r="AH126" s="116">
        <v>125</v>
      </c>
      <c r="AI126" s="122">
        <v>78</v>
      </c>
      <c r="AJ126" s="1" t="s">
        <v>1469</v>
      </c>
      <c r="AK126" s="1">
        <v>309521</v>
      </c>
      <c r="AL126" s="1" t="s">
        <v>115</v>
      </c>
      <c r="AN126" s="270">
        <v>220</v>
      </c>
      <c r="AP126" s="1">
        <v>125</v>
      </c>
      <c r="AQ126" s="1">
        <v>82</v>
      </c>
      <c r="AR126" s="1" t="s">
        <v>1312</v>
      </c>
      <c r="AS126" s="1">
        <v>309364</v>
      </c>
      <c r="AT126" s="1" t="s">
        <v>930</v>
      </c>
      <c r="AV126" s="241">
        <v>63</v>
      </c>
      <c r="AX126" s="1">
        <f t="shared" si="16"/>
        <v>1</v>
      </c>
      <c r="AY126" s="1" t="str">
        <f>IF(COUNTIF($AX$2:AX126,1)&gt;$AG$1,"",IF(AX126="","",E126))</f>
        <v>2PS</v>
      </c>
      <c r="BM126" s="138" t="str">
        <f t="shared" si="17"/>
        <v xml:space="preserve">   </v>
      </c>
      <c r="BN126" s="42">
        <f t="shared" si="18"/>
        <v>11271</v>
      </c>
      <c r="BS126" s="1">
        <v>9753</v>
      </c>
      <c r="BT126" s="1" t="s">
        <v>902</v>
      </c>
      <c r="BX126" s="36"/>
    </row>
    <row r="127" spans="1:77" ht="14.25">
      <c r="A127" s="55">
        <v>11272</v>
      </c>
      <c r="B127" s="36" t="s">
        <v>82</v>
      </c>
      <c r="C127" s="36" t="s">
        <v>49</v>
      </c>
      <c r="D127" s="36" t="s">
        <v>906</v>
      </c>
      <c r="E127" s="36" t="s">
        <v>80</v>
      </c>
      <c r="F127" s="36" t="s">
        <v>86</v>
      </c>
      <c r="G127" s="36" t="s">
        <v>85</v>
      </c>
      <c r="H127" s="36" t="s">
        <v>58</v>
      </c>
      <c r="I127" s="36" t="s">
        <v>85</v>
      </c>
      <c r="J127" s="36" t="s">
        <v>1146</v>
      </c>
      <c r="K127" s="1" t="str">
        <f t="shared" si="19"/>
        <v/>
      </c>
      <c r="L127" s="1" t="str">
        <f t="shared" si="22"/>
        <v/>
      </c>
      <c r="M127" s="94">
        <v>122</v>
      </c>
      <c r="N127" s="36" t="s">
        <v>1777</v>
      </c>
      <c r="O127" s="95">
        <v>309829</v>
      </c>
      <c r="P127" s="36"/>
      <c r="Q127" s="110" t="str">
        <f t="shared" si="20"/>
        <v>Standard</v>
      </c>
      <c r="R127" s="1" t="str">
        <f t="shared" si="21"/>
        <v/>
      </c>
      <c r="S127" s="1">
        <f>IF(A127&gt;0,COUNT(A$2:A127),"")</f>
        <v>126</v>
      </c>
      <c r="T127" s="1" t="str">
        <f t="shared" si="12"/>
        <v xml:space="preserve">ASV70L-RETNKX </v>
      </c>
      <c r="U127" s="1" t="str">
        <f t="shared" si="13"/>
        <v xml:space="preserve">   </v>
      </c>
      <c r="V127" s="111" t="str">
        <f t="shared" si="14"/>
        <v/>
      </c>
      <c r="AA127" s="1">
        <v>30030</v>
      </c>
      <c r="AB127" s="1" t="s">
        <v>41</v>
      </c>
      <c r="AD127" s="1" t="str">
        <f t="shared" si="15"/>
        <v>664W</v>
      </c>
      <c r="AH127" s="116">
        <v>126</v>
      </c>
      <c r="AI127" s="122">
        <v>79</v>
      </c>
      <c r="AJ127" s="1" t="s">
        <v>1470</v>
      </c>
      <c r="AK127" s="1">
        <v>309522</v>
      </c>
      <c r="AL127" s="1" t="s">
        <v>930</v>
      </c>
      <c r="AN127" s="270">
        <v>221</v>
      </c>
      <c r="AP127" s="1">
        <v>126</v>
      </c>
      <c r="AQ127" s="1">
        <v>83</v>
      </c>
      <c r="AR127" s="1" t="s">
        <v>1313</v>
      </c>
      <c r="AS127" s="1">
        <v>309365</v>
      </c>
      <c r="AT127" s="1" t="s">
        <v>930</v>
      </c>
      <c r="AV127" s="241">
        <v>64</v>
      </c>
      <c r="AX127" s="1">
        <f t="shared" si="16"/>
        <v>1</v>
      </c>
      <c r="AY127" s="1" t="str">
        <f>IF(COUNTIF($AX$2:AX127,1)&gt;$AG$1,"",IF(AX127="","",E127))</f>
        <v>089</v>
      </c>
      <c r="BM127" s="138" t="str">
        <f t="shared" si="17"/>
        <v xml:space="preserve">   </v>
      </c>
      <c r="BN127" s="42">
        <f t="shared" si="18"/>
        <v>11272</v>
      </c>
      <c r="BS127" s="1">
        <v>9754</v>
      </c>
      <c r="BT127" s="1" t="s">
        <v>902</v>
      </c>
      <c r="BX127" s="36"/>
    </row>
    <row r="128" spans="1:77" ht="14.25">
      <c r="A128" s="55">
        <v>11273</v>
      </c>
      <c r="B128" s="36" t="s">
        <v>1158</v>
      </c>
      <c r="C128" s="36" t="s">
        <v>49</v>
      </c>
      <c r="D128" s="36" t="s">
        <v>911</v>
      </c>
      <c r="E128" s="36" t="s">
        <v>20</v>
      </c>
      <c r="F128" s="36" t="s">
        <v>202</v>
      </c>
      <c r="G128" s="36" t="s">
        <v>922</v>
      </c>
      <c r="H128" s="36" t="s">
        <v>58</v>
      </c>
      <c r="I128" s="36" t="s">
        <v>85</v>
      </c>
      <c r="J128" s="36" t="s">
        <v>1146</v>
      </c>
      <c r="K128" s="1" t="str">
        <f t="shared" si="19"/>
        <v/>
      </c>
      <c r="L128" s="1" t="str">
        <f t="shared" si="22"/>
        <v/>
      </c>
      <c r="M128" s="94">
        <v>123</v>
      </c>
      <c r="N128" s="36" t="s">
        <v>1778</v>
      </c>
      <c r="O128" s="95">
        <v>309830</v>
      </c>
      <c r="P128" s="36"/>
      <c r="Q128" s="110" t="str">
        <f t="shared" si="20"/>
        <v/>
      </c>
      <c r="R128" s="1" t="str">
        <f t="shared" si="21"/>
        <v>Mech</v>
      </c>
      <c r="S128" s="1">
        <f>IF(A128&gt;0,COUNT(A$2:A128),"")</f>
        <v>127</v>
      </c>
      <c r="T128" s="1" t="str">
        <f t="shared" si="12"/>
        <v>MXAA52L-RNFXBX</v>
      </c>
      <c r="U128" s="1" t="str">
        <f t="shared" si="13"/>
        <v>6MT</v>
      </c>
      <c r="V128" s="111" t="str">
        <f t="shared" si="14"/>
        <v/>
      </c>
      <c r="AA128" s="1">
        <v>30031</v>
      </c>
      <c r="AB128" s="1" t="s">
        <v>40</v>
      </c>
      <c r="AD128" s="1" t="str">
        <f t="shared" si="15"/>
        <v>831W</v>
      </c>
      <c r="AH128" s="116">
        <v>127</v>
      </c>
      <c r="AI128" s="122">
        <v>80</v>
      </c>
      <c r="AJ128" s="1" t="s">
        <v>1471</v>
      </c>
      <c r="AK128" s="1">
        <v>309523</v>
      </c>
      <c r="AL128" s="1" t="s">
        <v>115</v>
      </c>
      <c r="AN128" s="270">
        <v>222</v>
      </c>
      <c r="AP128" s="1">
        <v>127</v>
      </c>
      <c r="AQ128" s="1">
        <v>84</v>
      </c>
      <c r="AR128" s="1" t="s">
        <v>1314</v>
      </c>
      <c r="AS128" s="1">
        <v>309366</v>
      </c>
      <c r="AT128" s="1" t="s">
        <v>115</v>
      </c>
      <c r="AV128" s="241">
        <v>65</v>
      </c>
      <c r="AX128" s="1">
        <f t="shared" si="16"/>
        <v>1</v>
      </c>
      <c r="AY128" s="1" t="str">
        <f>IF(COUNTIF($AX$2:AX128,1)&gt;$AG$1,"",IF(AX128="","",E128))</f>
        <v>218</v>
      </c>
      <c r="BM128" s="138" t="str">
        <f t="shared" si="17"/>
        <v xml:space="preserve">   </v>
      </c>
      <c r="BN128" s="42">
        <f t="shared" si="18"/>
        <v>11273</v>
      </c>
      <c r="BS128" s="1">
        <v>9755</v>
      </c>
      <c r="BT128" s="1" t="s">
        <v>902</v>
      </c>
      <c r="BX128" s="36"/>
    </row>
    <row r="129" spans="1:76" ht="14.25">
      <c r="A129" s="55">
        <v>11274</v>
      </c>
      <c r="B129" s="36" t="s">
        <v>82</v>
      </c>
      <c r="C129" s="36" t="s">
        <v>49</v>
      </c>
      <c r="D129" s="36" t="s">
        <v>906</v>
      </c>
      <c r="E129" s="36" t="s">
        <v>80</v>
      </c>
      <c r="F129" s="36" t="s">
        <v>87</v>
      </c>
      <c r="G129" s="36" t="s">
        <v>85</v>
      </c>
      <c r="H129" s="36" t="s">
        <v>58</v>
      </c>
      <c r="I129" s="36" t="s">
        <v>85</v>
      </c>
      <c r="J129" s="36" t="s">
        <v>1146</v>
      </c>
      <c r="K129" s="1" t="str">
        <f t="shared" si="19"/>
        <v/>
      </c>
      <c r="L129" s="1" t="str">
        <f t="shared" si="22"/>
        <v/>
      </c>
      <c r="M129" s="94">
        <v>124</v>
      </c>
      <c r="N129" s="36" t="s">
        <v>1779</v>
      </c>
      <c r="O129" s="95">
        <v>309831</v>
      </c>
      <c r="P129" s="36"/>
      <c r="Q129" s="110" t="str">
        <f t="shared" si="20"/>
        <v>Standard</v>
      </c>
      <c r="R129" s="1" t="str">
        <f t="shared" si="21"/>
        <v/>
      </c>
      <c r="S129" s="1">
        <f>IF(A129&gt;0,COUNT(A$2:A129),"")</f>
        <v>128</v>
      </c>
      <c r="T129" s="1" t="str">
        <f t="shared" si="12"/>
        <v xml:space="preserve">ASV70L-RETNKX </v>
      </c>
      <c r="U129" s="1" t="str">
        <f t="shared" si="13"/>
        <v xml:space="preserve">   </v>
      </c>
      <c r="V129" s="111" t="str">
        <f t="shared" si="14"/>
        <v/>
      </c>
      <c r="AA129" s="1">
        <v>30032</v>
      </c>
      <c r="AB129" s="1" t="s">
        <v>40</v>
      </c>
      <c r="AD129" s="1" t="str">
        <f t="shared" si="15"/>
        <v>664W</v>
      </c>
      <c r="AH129" s="116">
        <v>128</v>
      </c>
      <c r="AI129" s="122">
        <v>81</v>
      </c>
      <c r="AJ129" s="1" t="s">
        <v>1472</v>
      </c>
      <c r="AK129" s="1">
        <v>309524</v>
      </c>
      <c r="AL129" s="1" t="s">
        <v>930</v>
      </c>
      <c r="AN129" s="270">
        <v>223</v>
      </c>
      <c r="AP129" s="1">
        <v>128</v>
      </c>
      <c r="AQ129" s="1">
        <v>85</v>
      </c>
      <c r="AR129" s="1" t="s">
        <v>1315</v>
      </c>
      <c r="AS129" s="1">
        <v>309367</v>
      </c>
      <c r="AT129" s="1" t="s">
        <v>930</v>
      </c>
      <c r="AV129" s="241">
        <v>66</v>
      </c>
      <c r="AX129" s="1">
        <f t="shared" si="16"/>
        <v>1</v>
      </c>
      <c r="AY129" s="1" t="str">
        <f>IF(COUNTIF($AX$2:AX129,1)&gt;$AG$1,"",IF(AX129="","",E129))</f>
        <v>089</v>
      </c>
      <c r="BM129" s="138" t="str">
        <f t="shared" si="17"/>
        <v xml:space="preserve">   </v>
      </c>
      <c r="BN129" s="42">
        <f t="shared" si="18"/>
        <v>11274</v>
      </c>
      <c r="BS129" s="1">
        <v>9756</v>
      </c>
      <c r="BT129" s="1" t="s">
        <v>902</v>
      </c>
      <c r="BX129" s="36"/>
    </row>
    <row r="130" spans="1:76" ht="14.25">
      <c r="A130" s="55">
        <v>11275</v>
      </c>
      <c r="B130" s="36" t="s">
        <v>1158</v>
      </c>
      <c r="C130" s="36" t="s">
        <v>49</v>
      </c>
      <c r="D130" s="36" t="s">
        <v>910</v>
      </c>
      <c r="E130" s="36" t="s">
        <v>20</v>
      </c>
      <c r="F130" s="36" t="s">
        <v>1139</v>
      </c>
      <c r="G130" s="36" t="s">
        <v>921</v>
      </c>
      <c r="H130" s="36" t="s">
        <v>58</v>
      </c>
      <c r="I130" s="36" t="s">
        <v>85</v>
      </c>
      <c r="J130" s="36" t="s">
        <v>1146</v>
      </c>
      <c r="K130" s="1" t="str">
        <f t="shared" si="19"/>
        <v/>
      </c>
      <c r="L130" s="1" t="str">
        <f t="shared" si="22"/>
        <v/>
      </c>
      <c r="M130" s="94">
        <v>125</v>
      </c>
      <c r="N130" s="36" t="s">
        <v>1780</v>
      </c>
      <c r="O130" s="95">
        <v>309832</v>
      </c>
      <c r="P130" s="36"/>
      <c r="Q130" s="110" t="str">
        <f t="shared" si="20"/>
        <v/>
      </c>
      <c r="R130" s="1" t="str">
        <f t="shared" si="21"/>
        <v>Auto</v>
      </c>
      <c r="S130" s="1">
        <f>IF(A130&gt;0,COUNT(A$2:A130),"")</f>
        <v>129</v>
      </c>
      <c r="T130" s="1" t="str">
        <f t="shared" ref="T130:T193" si="23">IF(S130&gt;$AG$1,"",IF(S130&gt;0,D130,""))</f>
        <v>AXAA54L-RNZMBX</v>
      </c>
      <c r="U130" s="1" t="str">
        <f t="shared" ref="U130:U193" si="24">IF(S130&gt;$AG$1,"",IF(S130&gt;0,G130,""))</f>
        <v>8AT</v>
      </c>
      <c r="V130" s="111" t="str">
        <f t="shared" ref="V130:V193" si="25">IF(S130&gt;$AG$1,"",IF(AND(H130="Z",F130&lt;&gt;"BO"),"Special",""))</f>
        <v/>
      </c>
      <c r="AA130" s="1">
        <v>30033</v>
      </c>
      <c r="AB130" s="1" t="s">
        <v>40</v>
      </c>
      <c r="AD130" s="1" t="str">
        <f t="shared" ref="AD130:AD193" si="26">IF(AND(C130&lt;&gt;"B0",C130&lt;&gt;"B1"),B130,"")</f>
        <v>831W</v>
      </c>
      <c r="AH130" s="116">
        <v>129</v>
      </c>
      <c r="AI130" s="122">
        <v>82</v>
      </c>
      <c r="AJ130" s="1" t="s">
        <v>1473</v>
      </c>
      <c r="AK130" s="1">
        <v>309525</v>
      </c>
      <c r="AL130" s="1" t="s">
        <v>930</v>
      </c>
      <c r="AN130" s="270">
        <v>224</v>
      </c>
      <c r="AP130" s="1">
        <v>129</v>
      </c>
      <c r="AQ130" s="1">
        <v>86</v>
      </c>
      <c r="AR130" s="1" t="s">
        <v>1316</v>
      </c>
      <c r="AS130" s="1">
        <v>309368</v>
      </c>
      <c r="AT130" s="1" t="s">
        <v>115</v>
      </c>
      <c r="AV130" s="241">
        <v>67</v>
      </c>
      <c r="AX130" s="1">
        <f t="shared" ref="AX130:AX193" si="27">IF(AND(C130&lt;&gt;"A0",C130&lt;&gt;"P9"),1,"")</f>
        <v>1</v>
      </c>
      <c r="AY130" s="1" t="str">
        <f>IF(COUNTIF($AX$2:AX130,1)&gt;$AG$1,"",IF(AX130="","",E130))</f>
        <v>218</v>
      </c>
      <c r="BM130" s="138" t="str">
        <f t="shared" ref="BM130:BM193" si="28">I130</f>
        <v xml:space="preserve">   </v>
      </c>
      <c r="BN130" s="42">
        <f t="shared" ref="BN130:BN193" si="29">A130</f>
        <v>11275</v>
      </c>
      <c r="BS130" s="1">
        <v>9757</v>
      </c>
      <c r="BT130" s="1" t="s">
        <v>902</v>
      </c>
      <c r="BX130" s="36"/>
    </row>
    <row r="131" spans="1:76" ht="14.25">
      <c r="A131" s="55">
        <v>11276</v>
      </c>
      <c r="B131" s="36" t="s">
        <v>82</v>
      </c>
      <c r="C131" s="36" t="s">
        <v>50</v>
      </c>
      <c r="D131" s="36" t="s">
        <v>906</v>
      </c>
      <c r="E131" s="36" t="s">
        <v>20</v>
      </c>
      <c r="F131" s="36" t="s">
        <v>2708</v>
      </c>
      <c r="G131" s="36" t="s">
        <v>85</v>
      </c>
      <c r="H131" s="36" t="s">
        <v>58</v>
      </c>
      <c r="I131" s="36" t="s">
        <v>85</v>
      </c>
      <c r="J131" s="36" t="s">
        <v>1146</v>
      </c>
      <c r="K131" s="1" t="str">
        <f t="shared" ref="K131:K194" si="30">IF(B131="722W","",IF(OR(C131="B1",C131="B9",C131="W1",C131="W2",C131="U9"),IF(MAX($A$2:$A$400)-A131&gt;10000,A131+100000,A131),""))</f>
        <v/>
      </c>
      <c r="L131" s="1" t="str">
        <f t="shared" si="22"/>
        <v/>
      </c>
      <c r="M131" s="94">
        <v>126</v>
      </c>
      <c r="N131" s="36" t="s">
        <v>1781</v>
      </c>
      <c r="O131" s="95">
        <v>309833</v>
      </c>
      <c r="P131" s="36"/>
      <c r="Q131" s="110" t="str">
        <f t="shared" ref="Q131:Q194" si="31">IF(B131="664W",IF(OR(F131="C5",F131="C6",F131="Z3"),"Rich",IF(OR(F131="S2",F131="S1"),"Sport","Standard")),"")</f>
        <v>Sport</v>
      </c>
      <c r="R131" s="1" t="str">
        <f t="shared" ref="R131:R194" si="32">IF(OR(G131="   ",G131=""),"",IF(G131="CVT","CVT",IF(G131="6MT","Mech","Auto")))</f>
        <v/>
      </c>
      <c r="S131" s="1">
        <f>IF(A131&gt;0,COUNT(A$2:A131),"")</f>
        <v>130</v>
      </c>
      <c r="T131" s="1" t="str">
        <f t="shared" si="23"/>
        <v xml:space="preserve">ASV70L-RETNKX </v>
      </c>
      <c r="U131" s="1" t="str">
        <f t="shared" si="24"/>
        <v xml:space="preserve">   </v>
      </c>
      <c r="V131" s="111" t="str">
        <f t="shared" si="25"/>
        <v/>
      </c>
      <c r="AA131" s="1">
        <v>30034</v>
      </c>
      <c r="AB131" s="1" t="s">
        <v>40</v>
      </c>
      <c r="AD131" s="1" t="str">
        <f t="shared" si="26"/>
        <v>664W</v>
      </c>
      <c r="AH131" s="116">
        <v>130</v>
      </c>
      <c r="AI131" s="122">
        <v>83</v>
      </c>
      <c r="AJ131" s="1" t="s">
        <v>1474</v>
      </c>
      <c r="AK131" s="1">
        <v>309526</v>
      </c>
      <c r="AL131" s="1" t="s">
        <v>115</v>
      </c>
      <c r="AN131" s="270">
        <v>225</v>
      </c>
      <c r="AP131" s="1">
        <v>130</v>
      </c>
      <c r="AQ131" s="1">
        <v>87</v>
      </c>
      <c r="AR131" s="1" t="s">
        <v>1317</v>
      </c>
      <c r="AS131" s="1">
        <v>309369</v>
      </c>
      <c r="AT131" s="1" t="s">
        <v>930</v>
      </c>
      <c r="AV131" s="241">
        <v>68</v>
      </c>
      <c r="AX131" s="1">
        <f t="shared" si="27"/>
        <v>1</v>
      </c>
      <c r="AY131" s="1" t="str">
        <f>IF(COUNTIF($AX$2:AX131,1)&gt;$AG$1,"",IF(AX131="","",E131))</f>
        <v>218</v>
      </c>
      <c r="BM131" s="138" t="str">
        <f t="shared" si="28"/>
        <v xml:space="preserve">   </v>
      </c>
      <c r="BN131" s="42">
        <f t="shared" si="29"/>
        <v>11276</v>
      </c>
      <c r="BS131" s="1">
        <v>9758</v>
      </c>
      <c r="BT131" s="1" t="s">
        <v>902</v>
      </c>
      <c r="BX131" s="36"/>
    </row>
    <row r="132" spans="1:76" ht="14.25">
      <c r="A132" s="55">
        <v>11277</v>
      </c>
      <c r="B132" s="36" t="s">
        <v>1158</v>
      </c>
      <c r="C132" s="36" t="s">
        <v>50</v>
      </c>
      <c r="D132" s="36" t="s">
        <v>916</v>
      </c>
      <c r="E132" s="36" t="s">
        <v>80</v>
      </c>
      <c r="F132" s="36" t="s">
        <v>1139</v>
      </c>
      <c r="G132" s="36" t="s">
        <v>894</v>
      </c>
      <c r="H132" s="36" t="s">
        <v>58</v>
      </c>
      <c r="I132" s="36" t="s">
        <v>85</v>
      </c>
      <c r="J132" s="36" t="s">
        <v>1146</v>
      </c>
      <c r="K132" s="1" t="str">
        <f t="shared" si="30"/>
        <v/>
      </c>
      <c r="L132" s="1" t="str">
        <f t="shared" ref="L132:L195" si="33">IF(AND(MIN(I:I)&lt;20,MAX(I:I)&gt;980,I132&lt;20),I132,"")</f>
        <v/>
      </c>
      <c r="M132" s="94">
        <v>127</v>
      </c>
      <c r="N132" s="36" t="s">
        <v>1782</v>
      </c>
      <c r="O132" s="95">
        <v>309834</v>
      </c>
      <c r="P132" s="36"/>
      <c r="Q132" s="110" t="str">
        <f t="shared" si="31"/>
        <v/>
      </c>
      <c r="R132" s="1" t="str">
        <f t="shared" si="32"/>
        <v>CVT</v>
      </c>
      <c r="S132" s="1">
        <f>IF(A132&gt;0,COUNT(A$2:A132),"")</f>
        <v>131</v>
      </c>
      <c r="T132" s="1" t="str">
        <f t="shared" si="23"/>
        <v>MXAA54L-RNXMBX</v>
      </c>
      <c r="U132" s="1" t="str">
        <f t="shared" si="24"/>
        <v>CVT</v>
      </c>
      <c r="V132" s="111" t="str">
        <f t="shared" si="25"/>
        <v/>
      </c>
      <c r="AA132" s="1">
        <v>30035</v>
      </c>
      <c r="AB132" s="1" t="s">
        <v>40</v>
      </c>
      <c r="AD132" s="1" t="str">
        <f t="shared" si="26"/>
        <v>831W</v>
      </c>
      <c r="AH132" s="116">
        <v>131</v>
      </c>
      <c r="AI132" s="122">
        <v>84</v>
      </c>
      <c r="AJ132" s="1" t="s">
        <v>1475</v>
      </c>
      <c r="AK132" s="1">
        <v>309527</v>
      </c>
      <c r="AL132" s="1" t="s">
        <v>930</v>
      </c>
      <c r="AN132" s="270">
        <v>226</v>
      </c>
      <c r="AP132" s="1">
        <v>131</v>
      </c>
      <c r="AQ132" s="1">
        <v>88</v>
      </c>
      <c r="AR132" s="1" t="s">
        <v>1318</v>
      </c>
      <c r="AS132" s="1">
        <v>309370</v>
      </c>
      <c r="AT132" s="1" t="s">
        <v>115</v>
      </c>
      <c r="AV132" s="241">
        <v>69</v>
      </c>
      <c r="AX132" s="1">
        <f t="shared" si="27"/>
        <v>1</v>
      </c>
      <c r="AY132" s="1" t="str">
        <f>IF(COUNTIF($AX$2:AX132,1)&gt;$AG$1,"",IF(AX132="","",E132))</f>
        <v>089</v>
      </c>
      <c r="BM132" s="138" t="str">
        <f t="shared" si="28"/>
        <v xml:space="preserve">   </v>
      </c>
      <c r="BN132" s="42">
        <f t="shared" si="29"/>
        <v>11277</v>
      </c>
      <c r="BS132" s="1">
        <v>9759</v>
      </c>
      <c r="BT132" s="1" t="s">
        <v>902</v>
      </c>
      <c r="BX132" s="36"/>
    </row>
    <row r="133" spans="1:76" ht="14.25">
      <c r="A133" s="55">
        <v>11278</v>
      </c>
      <c r="B133" s="36" t="s">
        <v>1158</v>
      </c>
      <c r="C133" s="36" t="s">
        <v>50</v>
      </c>
      <c r="D133" s="36" t="s">
        <v>915</v>
      </c>
      <c r="E133" s="36" t="s">
        <v>20</v>
      </c>
      <c r="F133" s="36" t="s">
        <v>903</v>
      </c>
      <c r="G133" s="36" t="s">
        <v>894</v>
      </c>
      <c r="H133" s="36" t="s">
        <v>58</v>
      </c>
      <c r="I133" s="36" t="s">
        <v>85</v>
      </c>
      <c r="J133" s="36" t="s">
        <v>1146</v>
      </c>
      <c r="K133" s="1" t="str">
        <f t="shared" si="30"/>
        <v/>
      </c>
      <c r="L133" s="1" t="str">
        <f t="shared" si="33"/>
        <v/>
      </c>
      <c r="M133" s="94">
        <v>128</v>
      </c>
      <c r="N133" s="36" t="s">
        <v>1783</v>
      </c>
      <c r="O133" s="95">
        <v>309835</v>
      </c>
      <c r="P133" s="36"/>
      <c r="Q133" s="110" t="str">
        <f t="shared" si="31"/>
        <v/>
      </c>
      <c r="R133" s="1" t="str">
        <f t="shared" si="32"/>
        <v>CVT</v>
      </c>
      <c r="S133" s="1">
        <f>IF(A133&gt;0,COUNT(A$2:A133),"")</f>
        <v>132</v>
      </c>
      <c r="T133" s="1" t="str">
        <f t="shared" si="23"/>
        <v>MXAA54L-RNXGBX</v>
      </c>
      <c r="U133" s="1" t="str">
        <f t="shared" si="24"/>
        <v>CVT</v>
      </c>
      <c r="V133" s="111" t="str">
        <f t="shared" si="25"/>
        <v/>
      </c>
      <c r="AA133" s="1">
        <v>30036</v>
      </c>
      <c r="AB133" s="1" t="s">
        <v>40</v>
      </c>
      <c r="AD133" s="1" t="str">
        <f t="shared" si="26"/>
        <v>831W</v>
      </c>
      <c r="AH133" s="116">
        <v>132</v>
      </c>
      <c r="AI133" s="122">
        <v>85</v>
      </c>
      <c r="AJ133" s="1" t="s">
        <v>1476</v>
      </c>
      <c r="AK133" s="1">
        <v>309528</v>
      </c>
      <c r="AL133" s="1" t="s">
        <v>115</v>
      </c>
      <c r="AN133" s="270">
        <v>227</v>
      </c>
      <c r="AP133" s="1">
        <v>132</v>
      </c>
      <c r="AQ133" s="1">
        <v>89</v>
      </c>
      <c r="AR133" s="1" t="s">
        <v>1319</v>
      </c>
      <c r="AS133" s="1">
        <v>309371</v>
      </c>
      <c r="AT133" s="1" t="s">
        <v>930</v>
      </c>
      <c r="AV133" s="241">
        <v>70</v>
      </c>
      <c r="AX133" s="1">
        <f t="shared" si="27"/>
        <v>1</v>
      </c>
      <c r="AY133" s="1" t="str">
        <f>IF(COUNTIF($AX$2:AX133,1)&gt;$AG$1,"",IF(AX133="","",E133))</f>
        <v>218</v>
      </c>
      <c r="BM133" s="138" t="str">
        <f t="shared" si="28"/>
        <v xml:space="preserve">   </v>
      </c>
      <c r="BN133" s="42">
        <f t="shared" si="29"/>
        <v>11278</v>
      </c>
      <c r="BS133" s="1">
        <v>9760</v>
      </c>
      <c r="BT133" s="1" t="s">
        <v>902</v>
      </c>
      <c r="BX133" s="36"/>
    </row>
    <row r="134" spans="1:76" ht="14.25">
      <c r="A134" s="55">
        <v>11279</v>
      </c>
      <c r="B134" s="36" t="s">
        <v>82</v>
      </c>
      <c r="C134" s="36" t="s">
        <v>50</v>
      </c>
      <c r="D134" s="36" t="s">
        <v>906</v>
      </c>
      <c r="E134" s="36" t="s">
        <v>80</v>
      </c>
      <c r="F134" s="36" t="s">
        <v>86</v>
      </c>
      <c r="G134" s="36" t="s">
        <v>85</v>
      </c>
      <c r="H134" s="36" t="s">
        <v>58</v>
      </c>
      <c r="I134" s="36" t="s">
        <v>85</v>
      </c>
      <c r="J134" s="36" t="s">
        <v>1146</v>
      </c>
      <c r="K134" s="1" t="str">
        <f t="shared" si="30"/>
        <v/>
      </c>
      <c r="L134" s="1" t="str">
        <f t="shared" si="33"/>
        <v/>
      </c>
      <c r="M134" s="94">
        <v>129</v>
      </c>
      <c r="N134" s="36" t="s">
        <v>1784</v>
      </c>
      <c r="O134" s="95">
        <v>309836</v>
      </c>
      <c r="P134" s="36"/>
      <c r="Q134" s="110" t="str">
        <f t="shared" si="31"/>
        <v>Standard</v>
      </c>
      <c r="R134" s="1" t="str">
        <f t="shared" si="32"/>
        <v/>
      </c>
      <c r="S134" s="1">
        <f>IF(A134&gt;0,COUNT(A$2:A134),"")</f>
        <v>133</v>
      </c>
      <c r="T134" s="1" t="str">
        <f t="shared" si="23"/>
        <v xml:space="preserve">ASV70L-RETNKX </v>
      </c>
      <c r="U134" s="1" t="str">
        <f t="shared" si="24"/>
        <v xml:space="preserve">   </v>
      </c>
      <c r="V134" s="111" t="str">
        <f t="shared" si="25"/>
        <v/>
      </c>
      <c r="AA134" s="1">
        <v>30037</v>
      </c>
      <c r="AB134" s="1" t="s">
        <v>40</v>
      </c>
      <c r="AD134" s="1" t="str">
        <f t="shared" si="26"/>
        <v>664W</v>
      </c>
      <c r="AH134" s="116">
        <v>133</v>
      </c>
      <c r="AI134" s="122">
        <v>86</v>
      </c>
      <c r="AJ134" s="1" t="s">
        <v>1477</v>
      </c>
      <c r="AK134" s="1">
        <v>309529</v>
      </c>
      <c r="AL134" s="1" t="s">
        <v>930</v>
      </c>
      <c r="AN134" s="270">
        <v>228</v>
      </c>
      <c r="AP134" s="1">
        <v>133</v>
      </c>
      <c r="AQ134" s="1">
        <v>90</v>
      </c>
      <c r="AR134" s="1" t="s">
        <v>1320</v>
      </c>
      <c r="AS134" s="1">
        <v>309372</v>
      </c>
      <c r="AT134" s="1" t="s">
        <v>930</v>
      </c>
      <c r="AV134" s="241">
        <v>71</v>
      </c>
      <c r="AX134" s="1">
        <f t="shared" si="27"/>
        <v>1</v>
      </c>
      <c r="AY134" s="1" t="str">
        <f>IF(COUNTIF($AX$2:AX134,1)&gt;$AG$1,"",IF(AX134="","",E134))</f>
        <v>089</v>
      </c>
      <c r="BM134" s="138" t="str">
        <f t="shared" si="28"/>
        <v xml:space="preserve">   </v>
      </c>
      <c r="BN134" s="42">
        <f t="shared" si="29"/>
        <v>11279</v>
      </c>
      <c r="BS134" s="1">
        <v>9761</v>
      </c>
      <c r="BT134" s="1" t="s">
        <v>902</v>
      </c>
      <c r="BX134" s="36"/>
    </row>
    <row r="135" spans="1:76" ht="14.25">
      <c r="A135" s="55">
        <v>11280</v>
      </c>
      <c r="B135" s="36" t="s">
        <v>1158</v>
      </c>
      <c r="C135" s="36" t="s">
        <v>50</v>
      </c>
      <c r="D135" s="36" t="s">
        <v>910</v>
      </c>
      <c r="E135" s="36" t="s">
        <v>79</v>
      </c>
      <c r="F135" s="36" t="s">
        <v>1139</v>
      </c>
      <c r="G135" s="36" t="s">
        <v>921</v>
      </c>
      <c r="H135" s="36" t="s">
        <v>58</v>
      </c>
      <c r="I135" s="36" t="s">
        <v>85</v>
      </c>
      <c r="J135" s="36" t="s">
        <v>1146</v>
      </c>
      <c r="K135" s="1" t="str">
        <f t="shared" si="30"/>
        <v/>
      </c>
      <c r="L135" s="1" t="str">
        <f t="shared" si="33"/>
        <v/>
      </c>
      <c r="M135" s="94">
        <v>130</v>
      </c>
      <c r="N135" s="36" t="s">
        <v>1785</v>
      </c>
      <c r="O135" s="95">
        <v>309837</v>
      </c>
      <c r="P135" s="36"/>
      <c r="Q135" s="110" t="str">
        <f t="shared" si="31"/>
        <v/>
      </c>
      <c r="R135" s="1" t="str">
        <f t="shared" si="32"/>
        <v>Auto</v>
      </c>
      <c r="S135" s="1">
        <f>IF(A135&gt;0,COUNT(A$2:A135),"")</f>
        <v>134</v>
      </c>
      <c r="T135" s="1" t="str">
        <f t="shared" si="23"/>
        <v>AXAA54L-RNZMBX</v>
      </c>
      <c r="U135" s="1" t="str">
        <f t="shared" si="24"/>
        <v>8AT</v>
      </c>
      <c r="V135" s="111" t="str">
        <f t="shared" si="25"/>
        <v/>
      </c>
      <c r="AA135" s="1">
        <v>30038</v>
      </c>
      <c r="AB135" s="1" t="s">
        <v>40</v>
      </c>
      <c r="AD135" s="1" t="str">
        <f t="shared" si="26"/>
        <v>831W</v>
      </c>
      <c r="AH135" s="116">
        <v>134</v>
      </c>
      <c r="AI135" s="122">
        <v>87</v>
      </c>
      <c r="AJ135" s="1" t="s">
        <v>1478</v>
      </c>
      <c r="AK135" s="1">
        <v>309530</v>
      </c>
      <c r="AL135" s="1" t="s">
        <v>115</v>
      </c>
      <c r="AN135" s="270">
        <v>229</v>
      </c>
      <c r="AP135" s="1">
        <v>134</v>
      </c>
      <c r="AQ135" s="1">
        <v>91</v>
      </c>
      <c r="AR135" s="1" t="s">
        <v>1321</v>
      </c>
      <c r="AS135" s="1">
        <v>309373</v>
      </c>
      <c r="AT135" s="1" t="s">
        <v>115</v>
      </c>
      <c r="AV135" s="241">
        <v>72</v>
      </c>
      <c r="AX135" s="1">
        <f t="shared" si="27"/>
        <v>1</v>
      </c>
      <c r="AY135" s="1" t="str">
        <f>IF(COUNTIF($AX$2:AX135,1)&gt;$AG$1,"",IF(AX135="","",E135))</f>
        <v>4X7</v>
      </c>
      <c r="BM135" s="138" t="str">
        <f t="shared" si="28"/>
        <v xml:space="preserve">   </v>
      </c>
      <c r="BN135" s="42">
        <f t="shared" si="29"/>
        <v>11280</v>
      </c>
      <c r="BS135" s="1">
        <v>9762</v>
      </c>
      <c r="BT135" s="1" t="s">
        <v>902</v>
      </c>
      <c r="BX135" s="36"/>
    </row>
    <row r="136" spans="1:76" ht="14.25">
      <c r="A136" s="55">
        <v>11281</v>
      </c>
      <c r="B136" s="36" t="s">
        <v>82</v>
      </c>
      <c r="C136" s="36" t="s">
        <v>50</v>
      </c>
      <c r="D136" s="36" t="s">
        <v>908</v>
      </c>
      <c r="E136" s="36" t="s">
        <v>20</v>
      </c>
      <c r="F136" s="36" t="s">
        <v>84</v>
      </c>
      <c r="G136" s="36" t="s">
        <v>85</v>
      </c>
      <c r="H136" s="36" t="s">
        <v>58</v>
      </c>
      <c r="I136" s="36" t="s">
        <v>85</v>
      </c>
      <c r="J136" s="36" t="s">
        <v>1146</v>
      </c>
      <c r="K136" s="1" t="str">
        <f t="shared" si="30"/>
        <v/>
      </c>
      <c r="L136" s="1" t="str">
        <f t="shared" si="33"/>
        <v/>
      </c>
      <c r="M136" s="94">
        <v>131</v>
      </c>
      <c r="N136" s="36" t="s">
        <v>1786</v>
      </c>
      <c r="O136" s="95">
        <v>309838</v>
      </c>
      <c r="P136" s="36"/>
      <c r="Q136" s="110" t="str">
        <f t="shared" si="31"/>
        <v>Rich</v>
      </c>
      <c r="R136" s="1" t="str">
        <f t="shared" si="32"/>
        <v/>
      </c>
      <c r="S136" s="1">
        <f>IF(A136&gt;0,COUNT(A$2:A136),"")</f>
        <v>135</v>
      </c>
      <c r="T136" s="1" t="str">
        <f t="shared" si="23"/>
        <v xml:space="preserve">GSV70L-REZGBX </v>
      </c>
      <c r="U136" s="1" t="str">
        <f t="shared" si="24"/>
        <v xml:space="preserve">   </v>
      </c>
      <c r="V136" s="111" t="str">
        <f t="shared" si="25"/>
        <v/>
      </c>
      <c r="AA136" s="1">
        <v>30039</v>
      </c>
      <c r="AB136" s="1" t="s">
        <v>40</v>
      </c>
      <c r="AD136" s="1" t="str">
        <f t="shared" si="26"/>
        <v>664W</v>
      </c>
      <c r="AH136" s="116">
        <v>135</v>
      </c>
      <c r="AI136" s="122">
        <v>88</v>
      </c>
      <c r="AJ136" s="1" t="s">
        <v>1479</v>
      </c>
      <c r="AK136" s="1">
        <v>309531</v>
      </c>
      <c r="AL136" s="1" t="s">
        <v>930</v>
      </c>
      <c r="AN136" s="270">
        <v>230</v>
      </c>
      <c r="AP136" s="1">
        <v>135</v>
      </c>
      <c r="AQ136" s="1">
        <v>92</v>
      </c>
      <c r="AR136" s="1" t="s">
        <v>1322</v>
      </c>
      <c r="AS136" s="1">
        <v>309374</v>
      </c>
      <c r="AT136" s="1" t="s">
        <v>930</v>
      </c>
      <c r="AV136" s="241">
        <v>73</v>
      </c>
      <c r="AX136" s="1">
        <f t="shared" si="27"/>
        <v>1</v>
      </c>
      <c r="AY136" s="1" t="str">
        <f>IF(COUNTIF($AX$2:AX136,1)&gt;$AG$1,"",IF(AX136="","",E136))</f>
        <v>218</v>
      </c>
      <c r="BM136" s="138" t="str">
        <f t="shared" si="28"/>
        <v xml:space="preserve">   </v>
      </c>
      <c r="BN136" s="42">
        <f t="shared" si="29"/>
        <v>11281</v>
      </c>
      <c r="BS136" s="1">
        <v>9763</v>
      </c>
      <c r="BT136" s="1" t="s">
        <v>902</v>
      </c>
      <c r="BX136" s="36"/>
    </row>
    <row r="137" spans="1:76" ht="14.25">
      <c r="A137" s="55">
        <v>11282</v>
      </c>
      <c r="B137" s="36" t="s">
        <v>1158</v>
      </c>
      <c r="C137" s="36" t="s">
        <v>50</v>
      </c>
      <c r="D137" s="36" t="s">
        <v>916</v>
      </c>
      <c r="E137" s="36" t="s">
        <v>1128</v>
      </c>
      <c r="F137" s="36" t="s">
        <v>1164</v>
      </c>
      <c r="G137" s="36" t="s">
        <v>894</v>
      </c>
      <c r="H137" s="36" t="s">
        <v>58</v>
      </c>
      <c r="I137" s="36" t="s">
        <v>85</v>
      </c>
      <c r="J137" s="36" t="s">
        <v>1146</v>
      </c>
      <c r="K137" s="1" t="str">
        <f t="shared" si="30"/>
        <v/>
      </c>
      <c r="L137" s="1" t="str">
        <f t="shared" si="33"/>
        <v/>
      </c>
      <c r="M137" s="94">
        <v>132</v>
      </c>
      <c r="N137" s="36" t="s">
        <v>1787</v>
      </c>
      <c r="O137" s="95">
        <v>309839</v>
      </c>
      <c r="P137" s="36"/>
      <c r="Q137" s="110" t="str">
        <f t="shared" si="31"/>
        <v/>
      </c>
      <c r="R137" s="1" t="str">
        <f t="shared" si="32"/>
        <v>CVT</v>
      </c>
      <c r="S137" s="1">
        <f>IF(A137&gt;0,COUNT(A$2:A137),"")</f>
        <v>136</v>
      </c>
      <c r="T137" s="1" t="str">
        <f t="shared" si="23"/>
        <v>MXAA54L-RNXMBX</v>
      </c>
      <c r="U137" s="1" t="str">
        <f t="shared" si="24"/>
        <v>CVT</v>
      </c>
      <c r="V137" s="111" t="str">
        <f t="shared" si="25"/>
        <v/>
      </c>
      <c r="AA137" s="1">
        <v>30040</v>
      </c>
      <c r="AB137" s="1" t="s">
        <v>40</v>
      </c>
      <c r="AD137" s="1" t="str">
        <f t="shared" si="26"/>
        <v>831W</v>
      </c>
      <c r="AH137" s="255">
        <v>136</v>
      </c>
      <c r="AI137" s="122">
        <v>89</v>
      </c>
      <c r="AJ137" s="1" t="s">
        <v>1480</v>
      </c>
      <c r="AK137" s="1">
        <v>309532</v>
      </c>
      <c r="AL137" s="1" t="s">
        <v>930</v>
      </c>
      <c r="AN137" s="270">
        <v>231</v>
      </c>
      <c r="AP137" s="256">
        <v>136</v>
      </c>
      <c r="AQ137" s="256">
        <v>93</v>
      </c>
      <c r="AR137" s="256" t="s">
        <v>1323</v>
      </c>
      <c r="AS137" s="256">
        <v>309375</v>
      </c>
      <c r="AT137" s="256" t="s">
        <v>115</v>
      </c>
      <c r="AU137" s="256"/>
      <c r="AV137" s="257">
        <v>74</v>
      </c>
      <c r="AW137" s="256"/>
      <c r="AX137" s="1">
        <f t="shared" si="27"/>
        <v>1</v>
      </c>
      <c r="AY137" s="1" t="str">
        <f>IF(COUNTIF($AX$2:AX137,1)&gt;$AG$1,"",IF(AX137="","",E137))</f>
        <v>2PS</v>
      </c>
      <c r="BM137" s="138" t="str">
        <f t="shared" si="28"/>
        <v xml:space="preserve">   </v>
      </c>
      <c r="BN137" s="42">
        <f t="shared" si="29"/>
        <v>11282</v>
      </c>
      <c r="BS137" s="1">
        <v>9764</v>
      </c>
      <c r="BT137" s="1" t="s">
        <v>902</v>
      </c>
      <c r="BX137" s="36"/>
    </row>
    <row r="138" spans="1:76" ht="14.25">
      <c r="A138" s="55">
        <v>11283</v>
      </c>
      <c r="B138" s="36" t="s">
        <v>82</v>
      </c>
      <c r="C138" s="36" t="s">
        <v>50</v>
      </c>
      <c r="D138" s="36" t="s">
        <v>906</v>
      </c>
      <c r="E138" s="36" t="s">
        <v>80</v>
      </c>
      <c r="F138" s="36" t="s">
        <v>87</v>
      </c>
      <c r="G138" s="36" t="s">
        <v>85</v>
      </c>
      <c r="H138" s="36" t="s">
        <v>58</v>
      </c>
      <c r="I138" s="36" t="s">
        <v>85</v>
      </c>
      <c r="J138" s="36" t="s">
        <v>1146</v>
      </c>
      <c r="K138" s="1" t="str">
        <f t="shared" si="30"/>
        <v/>
      </c>
      <c r="L138" s="1" t="str">
        <f t="shared" si="33"/>
        <v/>
      </c>
      <c r="M138" s="94">
        <v>133</v>
      </c>
      <c r="N138" s="36" t="s">
        <v>1788</v>
      </c>
      <c r="O138" s="95">
        <v>309840</v>
      </c>
      <c r="P138" s="36"/>
      <c r="Q138" s="110" t="str">
        <f t="shared" si="31"/>
        <v>Standard</v>
      </c>
      <c r="R138" s="1" t="str">
        <f t="shared" si="32"/>
        <v/>
      </c>
      <c r="S138" s="1">
        <f>IF(A138&gt;0,COUNT(A$2:A138),"")</f>
        <v>137</v>
      </c>
      <c r="T138" s="1" t="str">
        <f t="shared" si="23"/>
        <v xml:space="preserve">ASV70L-RETNKX </v>
      </c>
      <c r="U138" s="1" t="str">
        <f t="shared" si="24"/>
        <v xml:space="preserve">   </v>
      </c>
      <c r="V138" s="111" t="str">
        <f t="shared" si="25"/>
        <v/>
      </c>
      <c r="AA138" s="1">
        <v>30041</v>
      </c>
      <c r="AB138" s="1" t="s">
        <v>40</v>
      </c>
      <c r="AD138" s="1" t="str">
        <f t="shared" si="26"/>
        <v>664W</v>
      </c>
      <c r="AH138" s="116">
        <v>137</v>
      </c>
      <c r="AI138" s="122">
        <v>90</v>
      </c>
      <c r="AJ138" s="1" t="s">
        <v>1481</v>
      </c>
      <c r="AK138" s="1">
        <v>309533</v>
      </c>
      <c r="AL138" s="1" t="s">
        <v>115</v>
      </c>
      <c r="AN138" s="270">
        <v>232</v>
      </c>
      <c r="AP138" s="1">
        <v>137</v>
      </c>
      <c r="AQ138" s="1">
        <v>94</v>
      </c>
      <c r="AR138" s="1" t="s">
        <v>1324</v>
      </c>
      <c r="AS138" s="1">
        <v>309376</v>
      </c>
      <c r="AT138" s="1" t="s">
        <v>930</v>
      </c>
      <c r="AV138" s="241">
        <v>75</v>
      </c>
      <c r="AX138" s="1">
        <f t="shared" si="27"/>
        <v>1</v>
      </c>
      <c r="AY138" s="1" t="str">
        <f>IF(COUNTIF($AX$2:AX138,1)&gt;$AG$1,"",IF(AX138="","",E138))</f>
        <v>089</v>
      </c>
      <c r="BM138" s="138" t="str">
        <f t="shared" si="28"/>
        <v xml:space="preserve">   </v>
      </c>
      <c r="BN138" s="42">
        <f t="shared" si="29"/>
        <v>11283</v>
      </c>
      <c r="BS138" s="1">
        <v>9765</v>
      </c>
      <c r="BT138" s="1" t="s">
        <v>902</v>
      </c>
      <c r="BX138" s="36"/>
    </row>
    <row r="139" spans="1:76" ht="14.25">
      <c r="A139" s="55">
        <v>11284</v>
      </c>
      <c r="B139" s="36" t="s">
        <v>1158</v>
      </c>
      <c r="C139" s="36" t="s">
        <v>50</v>
      </c>
      <c r="D139" s="36" t="s">
        <v>910</v>
      </c>
      <c r="E139" s="36" t="s">
        <v>10</v>
      </c>
      <c r="F139" s="36" t="s">
        <v>1166</v>
      </c>
      <c r="G139" s="36" t="s">
        <v>921</v>
      </c>
      <c r="H139" s="36" t="s">
        <v>58</v>
      </c>
      <c r="I139" s="36" t="s">
        <v>85</v>
      </c>
      <c r="J139" s="36" t="s">
        <v>1146</v>
      </c>
      <c r="K139" s="1" t="str">
        <f t="shared" si="30"/>
        <v/>
      </c>
      <c r="L139" s="1" t="str">
        <f t="shared" si="33"/>
        <v/>
      </c>
      <c r="M139" s="94">
        <v>134</v>
      </c>
      <c r="N139" s="36" t="s">
        <v>1789</v>
      </c>
      <c r="O139" s="95">
        <v>309841</v>
      </c>
      <c r="P139" s="36"/>
      <c r="Q139" s="110" t="str">
        <f t="shared" si="31"/>
        <v/>
      </c>
      <c r="R139" s="1" t="str">
        <f t="shared" si="32"/>
        <v>Auto</v>
      </c>
      <c r="S139" s="1">
        <f>IF(A139&gt;0,COUNT(A$2:A139),"")</f>
        <v>138</v>
      </c>
      <c r="T139" s="1" t="str">
        <f t="shared" si="23"/>
        <v>AXAA54L-RNZMBX</v>
      </c>
      <c r="U139" s="1" t="str">
        <f t="shared" si="24"/>
        <v>8AT</v>
      </c>
      <c r="V139" s="111" t="str">
        <f t="shared" si="25"/>
        <v/>
      </c>
      <c r="AA139" s="1">
        <v>30042</v>
      </c>
      <c r="AB139" s="1" t="s">
        <v>40</v>
      </c>
      <c r="AD139" s="1" t="str">
        <f t="shared" si="26"/>
        <v>831W</v>
      </c>
      <c r="AH139" s="116">
        <v>138</v>
      </c>
      <c r="AI139" s="122">
        <v>91</v>
      </c>
      <c r="AJ139" s="1" t="s">
        <v>1482</v>
      </c>
      <c r="AK139" s="1">
        <v>309534</v>
      </c>
      <c r="AL139" s="1" t="s">
        <v>930</v>
      </c>
      <c r="AN139" s="270">
        <v>233</v>
      </c>
      <c r="AP139" s="1">
        <v>138</v>
      </c>
      <c r="AQ139" s="1">
        <v>95</v>
      </c>
      <c r="AR139" s="1" t="s">
        <v>1325</v>
      </c>
      <c r="AS139" s="1">
        <v>309377</v>
      </c>
      <c r="AT139" s="1" t="s">
        <v>115</v>
      </c>
      <c r="AV139" s="241">
        <v>76</v>
      </c>
      <c r="AX139" s="1">
        <f t="shared" si="27"/>
        <v>1</v>
      </c>
      <c r="AY139" s="1" t="str">
        <f>IF(COUNTIF($AX$2:AX139,1)&gt;$AG$1,"",IF(AX139="","",E139))</f>
        <v>1F7</v>
      </c>
      <c r="BM139" s="138" t="str">
        <f t="shared" si="28"/>
        <v xml:space="preserve">   </v>
      </c>
      <c r="BN139" s="42">
        <f t="shared" si="29"/>
        <v>11284</v>
      </c>
      <c r="BS139" s="1">
        <v>9766</v>
      </c>
      <c r="BT139" s="1" t="s">
        <v>902</v>
      </c>
      <c r="BX139" s="36"/>
    </row>
    <row r="140" spans="1:76" ht="14.25">
      <c r="A140" s="55">
        <v>11285</v>
      </c>
      <c r="B140" s="36" t="s">
        <v>1158</v>
      </c>
      <c r="C140" s="36" t="s">
        <v>50</v>
      </c>
      <c r="D140" s="36" t="s">
        <v>915</v>
      </c>
      <c r="E140" s="36" t="s">
        <v>80</v>
      </c>
      <c r="F140" s="36" t="s">
        <v>903</v>
      </c>
      <c r="G140" s="36" t="s">
        <v>894</v>
      </c>
      <c r="H140" s="36" t="s">
        <v>58</v>
      </c>
      <c r="I140" s="36" t="s">
        <v>85</v>
      </c>
      <c r="J140" s="36" t="s">
        <v>1146</v>
      </c>
      <c r="K140" s="1" t="str">
        <f t="shared" si="30"/>
        <v/>
      </c>
      <c r="L140" s="1" t="str">
        <f t="shared" si="33"/>
        <v/>
      </c>
      <c r="M140" s="94">
        <v>135</v>
      </c>
      <c r="N140" s="36" t="s">
        <v>1790</v>
      </c>
      <c r="O140" s="95">
        <v>309842</v>
      </c>
      <c r="P140" s="36"/>
      <c r="Q140" s="110" t="str">
        <f t="shared" si="31"/>
        <v/>
      </c>
      <c r="R140" s="1" t="str">
        <f t="shared" si="32"/>
        <v>CVT</v>
      </c>
      <c r="S140" s="1">
        <f>IF(A140&gt;0,COUNT(A$2:A140),"")</f>
        <v>139</v>
      </c>
      <c r="T140" s="1" t="str">
        <f t="shared" si="23"/>
        <v>MXAA54L-RNXGBX</v>
      </c>
      <c r="U140" s="1" t="str">
        <f t="shared" si="24"/>
        <v>CVT</v>
      </c>
      <c r="V140" s="111" t="str">
        <f t="shared" si="25"/>
        <v/>
      </c>
      <c r="AA140" s="1">
        <v>30043</v>
      </c>
      <c r="AB140" s="1" t="s">
        <v>40</v>
      </c>
      <c r="AD140" s="1" t="str">
        <f t="shared" si="26"/>
        <v>831W</v>
      </c>
      <c r="AH140" s="116">
        <v>139</v>
      </c>
      <c r="AI140" s="122">
        <v>92</v>
      </c>
      <c r="AJ140" s="1" t="s">
        <v>1483</v>
      </c>
      <c r="AK140" s="1">
        <v>309535</v>
      </c>
      <c r="AL140" s="1" t="s">
        <v>115</v>
      </c>
      <c r="AN140" s="270">
        <v>234</v>
      </c>
      <c r="AP140" s="1">
        <v>139</v>
      </c>
      <c r="AQ140" s="1">
        <v>96</v>
      </c>
      <c r="AR140" s="1" t="s">
        <v>1326</v>
      </c>
      <c r="AS140" s="1">
        <v>309378</v>
      </c>
      <c r="AT140" s="1" t="s">
        <v>930</v>
      </c>
      <c r="AV140" s="241">
        <v>77</v>
      </c>
      <c r="AX140" s="1">
        <f t="shared" si="27"/>
        <v>1</v>
      </c>
      <c r="AY140" s="1" t="str">
        <f>IF(COUNTIF($AX$2:AX140,1)&gt;$AG$1,"",IF(AX140="","",E140))</f>
        <v>089</v>
      </c>
      <c r="BM140" s="138" t="str">
        <f t="shared" si="28"/>
        <v xml:space="preserve">   </v>
      </c>
      <c r="BN140" s="42">
        <f t="shared" si="29"/>
        <v>11285</v>
      </c>
      <c r="BS140" s="1">
        <v>9767</v>
      </c>
      <c r="BT140" s="1" t="s">
        <v>902</v>
      </c>
      <c r="BX140" s="36"/>
    </row>
    <row r="141" spans="1:76" ht="14.25">
      <c r="A141" s="55">
        <v>11286</v>
      </c>
      <c r="B141" s="36" t="s">
        <v>82</v>
      </c>
      <c r="C141" s="36" t="s">
        <v>50</v>
      </c>
      <c r="D141" s="36" t="s">
        <v>906</v>
      </c>
      <c r="E141" s="36" t="s">
        <v>20</v>
      </c>
      <c r="F141" s="36" t="s">
        <v>88</v>
      </c>
      <c r="G141" s="36" t="s">
        <v>85</v>
      </c>
      <c r="H141" s="36" t="s">
        <v>58</v>
      </c>
      <c r="I141" s="36" t="s">
        <v>85</v>
      </c>
      <c r="J141" s="36" t="s">
        <v>1146</v>
      </c>
      <c r="K141" s="1" t="str">
        <f t="shared" si="30"/>
        <v/>
      </c>
      <c r="L141" s="1" t="str">
        <f t="shared" si="33"/>
        <v/>
      </c>
      <c r="M141" s="94">
        <v>136</v>
      </c>
      <c r="N141" s="36" t="s">
        <v>1791</v>
      </c>
      <c r="O141" s="95">
        <v>309843</v>
      </c>
      <c r="P141" s="36"/>
      <c r="Q141" s="110" t="str">
        <f t="shared" si="31"/>
        <v>Standard</v>
      </c>
      <c r="R141" s="1" t="str">
        <f t="shared" si="32"/>
        <v/>
      </c>
      <c r="S141" s="1">
        <f>IF(A141&gt;0,COUNT(A$2:A141),"")</f>
        <v>140</v>
      </c>
      <c r="T141" s="1" t="str">
        <f t="shared" si="23"/>
        <v xml:space="preserve">ASV70L-RETNKX </v>
      </c>
      <c r="U141" s="1" t="str">
        <f t="shared" si="24"/>
        <v xml:space="preserve">   </v>
      </c>
      <c r="V141" s="111" t="str">
        <f t="shared" si="25"/>
        <v/>
      </c>
      <c r="AA141" s="1">
        <v>30044</v>
      </c>
      <c r="AB141" s="1" t="s">
        <v>40</v>
      </c>
      <c r="AD141" s="1" t="str">
        <f t="shared" si="26"/>
        <v>664W</v>
      </c>
      <c r="AH141" s="116">
        <v>140</v>
      </c>
      <c r="AI141" s="122">
        <v>93</v>
      </c>
      <c r="AJ141" s="1" t="s">
        <v>1484</v>
      </c>
      <c r="AK141" s="1">
        <v>309536</v>
      </c>
      <c r="AL141" s="1" t="s">
        <v>930</v>
      </c>
      <c r="AN141" s="270">
        <v>235</v>
      </c>
      <c r="AP141" s="1">
        <v>140</v>
      </c>
      <c r="AQ141" s="1">
        <v>97</v>
      </c>
      <c r="AR141" s="1" t="s">
        <v>1327</v>
      </c>
      <c r="AS141" s="1">
        <v>309379</v>
      </c>
      <c r="AT141" s="1" t="s">
        <v>115</v>
      </c>
      <c r="AV141" s="241">
        <v>78</v>
      </c>
      <c r="AX141" s="1">
        <f t="shared" si="27"/>
        <v>1</v>
      </c>
      <c r="AY141" s="1" t="str">
        <f>IF(COUNTIF($AX$2:AX141,1)&gt;$AG$1,"",IF(AX141="","",E141))</f>
        <v>218</v>
      </c>
      <c r="BM141" s="138" t="str">
        <f t="shared" si="28"/>
        <v xml:space="preserve">   </v>
      </c>
      <c r="BN141" s="42">
        <f t="shared" si="29"/>
        <v>11286</v>
      </c>
      <c r="BS141" s="1">
        <v>9768</v>
      </c>
      <c r="BT141" s="1" t="s">
        <v>902</v>
      </c>
      <c r="BX141" s="36"/>
    </row>
    <row r="142" spans="1:76" ht="14.25">
      <c r="A142" s="55">
        <v>11287</v>
      </c>
      <c r="B142" s="36" t="s">
        <v>1158</v>
      </c>
      <c r="C142" s="36" t="s">
        <v>50</v>
      </c>
      <c r="D142" s="36" t="s">
        <v>913</v>
      </c>
      <c r="E142" s="36" t="s">
        <v>80</v>
      </c>
      <c r="F142" s="36" t="s">
        <v>931</v>
      </c>
      <c r="G142" s="36" t="s">
        <v>894</v>
      </c>
      <c r="H142" s="36" t="s">
        <v>58</v>
      </c>
      <c r="I142" s="36" t="s">
        <v>85</v>
      </c>
      <c r="J142" s="36" t="s">
        <v>1146</v>
      </c>
      <c r="K142" s="1" t="str">
        <f t="shared" si="30"/>
        <v/>
      </c>
      <c r="L142" s="1" t="str">
        <f t="shared" si="33"/>
        <v/>
      </c>
      <c r="M142" s="94">
        <v>137</v>
      </c>
      <c r="N142" s="36" t="s">
        <v>1792</v>
      </c>
      <c r="O142" s="95">
        <v>309844</v>
      </c>
      <c r="P142" s="36"/>
      <c r="Q142" s="110" t="str">
        <f t="shared" si="31"/>
        <v/>
      </c>
      <c r="R142" s="1" t="str">
        <f t="shared" si="32"/>
        <v>CVT</v>
      </c>
      <c r="S142" s="1">
        <f>IF(A142&gt;0,COUNT(A$2:A142),"")</f>
        <v>141</v>
      </c>
      <c r="T142" s="1" t="str">
        <f t="shared" si="23"/>
        <v>MXAA52L-RNXMBX</v>
      </c>
      <c r="U142" s="1" t="str">
        <f t="shared" si="24"/>
        <v>CVT</v>
      </c>
      <c r="V142" s="111" t="str">
        <f t="shared" si="25"/>
        <v/>
      </c>
      <c r="AA142" s="1">
        <v>30045</v>
      </c>
      <c r="AB142" s="1" t="s">
        <v>40</v>
      </c>
      <c r="AD142" s="1" t="str">
        <f t="shared" si="26"/>
        <v>831W</v>
      </c>
      <c r="AH142" s="116">
        <v>141</v>
      </c>
      <c r="AI142" s="122">
        <v>94</v>
      </c>
      <c r="AJ142" s="1" t="s">
        <v>1485</v>
      </c>
      <c r="AK142" s="1">
        <v>309537</v>
      </c>
      <c r="AL142" s="1" t="s">
        <v>115</v>
      </c>
      <c r="AN142" s="270">
        <v>236</v>
      </c>
      <c r="AP142" s="1">
        <v>141</v>
      </c>
      <c r="AQ142" s="1">
        <v>98</v>
      </c>
      <c r="AR142" s="1" t="s">
        <v>1328</v>
      </c>
      <c r="AS142" s="1">
        <v>309380</v>
      </c>
      <c r="AT142" s="1" t="s">
        <v>930</v>
      </c>
      <c r="AV142" s="241">
        <v>79</v>
      </c>
      <c r="AX142" s="1">
        <f t="shared" si="27"/>
        <v>1</v>
      </c>
      <c r="AY142" s="1" t="str">
        <f>IF(COUNTIF($AX$2:AX142,1)&gt;$AG$1,"",IF(AX142="","",E142))</f>
        <v>089</v>
      </c>
      <c r="BM142" s="138" t="str">
        <f t="shared" si="28"/>
        <v xml:space="preserve">   </v>
      </c>
      <c r="BN142" s="42">
        <f t="shared" si="29"/>
        <v>11287</v>
      </c>
      <c r="BS142" s="1">
        <v>9769</v>
      </c>
      <c r="BT142" s="1" t="s">
        <v>902</v>
      </c>
      <c r="BX142" s="36"/>
    </row>
    <row r="143" spans="1:76" ht="14.25">
      <c r="A143" s="55">
        <v>11288</v>
      </c>
      <c r="B143" s="36" t="s">
        <v>82</v>
      </c>
      <c r="C143" s="36" t="s">
        <v>50</v>
      </c>
      <c r="D143" s="36" t="s">
        <v>906</v>
      </c>
      <c r="E143" s="36" t="s">
        <v>20</v>
      </c>
      <c r="F143" s="36" t="s">
        <v>90</v>
      </c>
      <c r="G143" s="36" t="s">
        <v>85</v>
      </c>
      <c r="H143" s="36" t="s">
        <v>58</v>
      </c>
      <c r="I143" s="36" t="s">
        <v>85</v>
      </c>
      <c r="J143" s="36" t="s">
        <v>1146</v>
      </c>
      <c r="K143" s="1" t="str">
        <f t="shared" si="30"/>
        <v/>
      </c>
      <c r="L143" s="1" t="str">
        <f t="shared" si="33"/>
        <v/>
      </c>
      <c r="M143" s="94">
        <v>138</v>
      </c>
      <c r="N143" s="36" t="s">
        <v>1793</v>
      </c>
      <c r="O143" s="95">
        <v>309845</v>
      </c>
      <c r="P143" s="36"/>
      <c r="Q143" s="110" t="str">
        <f t="shared" si="31"/>
        <v>Standard</v>
      </c>
      <c r="R143" s="1" t="str">
        <f t="shared" si="32"/>
        <v/>
      </c>
      <c r="S143" s="1">
        <f>IF(A143&gt;0,COUNT(A$2:A143),"")</f>
        <v>142</v>
      </c>
      <c r="T143" s="1" t="str">
        <f t="shared" si="23"/>
        <v xml:space="preserve">ASV70L-RETNKX </v>
      </c>
      <c r="U143" s="1" t="str">
        <f t="shared" si="24"/>
        <v xml:space="preserve">   </v>
      </c>
      <c r="V143" s="111" t="str">
        <f t="shared" si="25"/>
        <v/>
      </c>
      <c r="AA143" s="1">
        <v>30046</v>
      </c>
      <c r="AB143" s="1" t="s">
        <v>40</v>
      </c>
      <c r="AD143" s="1" t="str">
        <f t="shared" si="26"/>
        <v>664W</v>
      </c>
      <c r="AH143" s="116">
        <v>142</v>
      </c>
      <c r="AI143" s="122">
        <v>95</v>
      </c>
      <c r="AJ143" s="1" t="s">
        <v>1486</v>
      </c>
      <c r="AK143" s="1">
        <v>309538</v>
      </c>
      <c r="AL143" s="1" t="s">
        <v>930</v>
      </c>
      <c r="AN143" s="270">
        <v>237</v>
      </c>
      <c r="AP143" s="1">
        <v>142</v>
      </c>
      <c r="AQ143" s="1">
        <v>99</v>
      </c>
      <c r="AR143" s="1" t="s">
        <v>1329</v>
      </c>
      <c r="AS143" s="1">
        <v>309381</v>
      </c>
      <c r="AT143" s="1" t="s">
        <v>930</v>
      </c>
      <c r="AV143" s="241">
        <v>80</v>
      </c>
      <c r="AX143" s="1">
        <f t="shared" si="27"/>
        <v>1</v>
      </c>
      <c r="AY143" s="1" t="str">
        <f>IF(COUNTIF($AX$2:AX143,1)&gt;$AG$1,"",IF(AX143="","",E143))</f>
        <v>218</v>
      </c>
      <c r="BM143" s="138" t="str">
        <f t="shared" si="28"/>
        <v xml:space="preserve">   </v>
      </c>
      <c r="BN143" s="42">
        <f t="shared" si="29"/>
        <v>11288</v>
      </c>
      <c r="BS143" s="1">
        <v>9770</v>
      </c>
      <c r="BT143" s="1" t="s">
        <v>902</v>
      </c>
      <c r="BX143" s="36"/>
    </row>
    <row r="144" spans="1:76" ht="14.25">
      <c r="A144" s="55">
        <v>11289</v>
      </c>
      <c r="B144" s="36" t="s">
        <v>1158</v>
      </c>
      <c r="C144" s="36" t="s">
        <v>50</v>
      </c>
      <c r="D144" s="36" t="s">
        <v>909</v>
      </c>
      <c r="E144" s="36" t="s">
        <v>80</v>
      </c>
      <c r="F144" s="36" t="s">
        <v>1149</v>
      </c>
      <c r="G144" s="36" t="s">
        <v>921</v>
      </c>
      <c r="H144" s="36" t="s">
        <v>58</v>
      </c>
      <c r="I144" s="36" t="s">
        <v>85</v>
      </c>
      <c r="J144" s="36" t="s">
        <v>1146</v>
      </c>
      <c r="K144" s="1" t="str">
        <f t="shared" si="30"/>
        <v/>
      </c>
      <c r="L144" s="1" t="str">
        <f t="shared" si="33"/>
        <v/>
      </c>
      <c r="M144" s="94">
        <v>139</v>
      </c>
      <c r="N144" s="36" t="s">
        <v>1794</v>
      </c>
      <c r="O144" s="95">
        <v>309846</v>
      </c>
      <c r="P144" s="36"/>
      <c r="Q144" s="110" t="str">
        <f t="shared" si="31"/>
        <v/>
      </c>
      <c r="R144" s="1" t="str">
        <f t="shared" si="32"/>
        <v>Auto</v>
      </c>
      <c r="S144" s="1">
        <f>IF(A144&gt;0,COUNT(A$2:A144),"")</f>
        <v>143</v>
      </c>
      <c r="T144" s="1" t="str">
        <f t="shared" si="23"/>
        <v>AXAA54L-RNZGBX</v>
      </c>
      <c r="U144" s="1" t="str">
        <f t="shared" si="24"/>
        <v>8AT</v>
      </c>
      <c r="V144" s="111" t="str">
        <f t="shared" si="25"/>
        <v/>
      </c>
      <c r="AA144" s="1">
        <v>30047</v>
      </c>
      <c r="AB144" s="1" t="s">
        <v>40</v>
      </c>
      <c r="AD144" s="1" t="str">
        <f t="shared" si="26"/>
        <v>831W</v>
      </c>
      <c r="AH144" s="116">
        <v>143</v>
      </c>
      <c r="AI144" s="122">
        <v>96</v>
      </c>
      <c r="AJ144" s="1" t="s">
        <v>1487</v>
      </c>
      <c r="AK144" s="1">
        <v>309539</v>
      </c>
      <c r="AL144" s="1" t="s">
        <v>115</v>
      </c>
      <c r="AN144" s="270">
        <v>238</v>
      </c>
      <c r="AP144" s="1">
        <v>143</v>
      </c>
      <c r="AQ144" s="1">
        <v>100</v>
      </c>
      <c r="AR144" s="1" t="s">
        <v>1330</v>
      </c>
      <c r="AS144" s="1">
        <v>309382</v>
      </c>
      <c r="AT144" s="1" t="s">
        <v>115</v>
      </c>
      <c r="AV144" s="241">
        <v>81</v>
      </c>
      <c r="AX144" s="1">
        <f t="shared" si="27"/>
        <v>1</v>
      </c>
      <c r="AY144" s="1" t="str">
        <f>IF(COUNTIF($AX$2:AX144,1)&gt;$AG$1,"",IF(AX144="","",E144))</f>
        <v>089</v>
      </c>
      <c r="BM144" s="138" t="str">
        <f t="shared" si="28"/>
        <v xml:space="preserve">   </v>
      </c>
      <c r="BN144" s="42">
        <f t="shared" si="29"/>
        <v>11289</v>
      </c>
      <c r="BS144" s="1">
        <v>9771</v>
      </c>
      <c r="BT144" s="1" t="s">
        <v>902</v>
      </c>
      <c r="BX144" s="36"/>
    </row>
    <row r="145" spans="1:76" ht="14.25">
      <c r="A145" s="55">
        <v>11290</v>
      </c>
      <c r="B145" s="36" t="s">
        <v>82</v>
      </c>
      <c r="C145" s="36" t="s">
        <v>50</v>
      </c>
      <c r="D145" s="36" t="s">
        <v>906</v>
      </c>
      <c r="E145" s="36" t="s">
        <v>20</v>
      </c>
      <c r="F145" s="36" t="s">
        <v>88</v>
      </c>
      <c r="G145" s="36" t="s">
        <v>85</v>
      </c>
      <c r="H145" s="36" t="s">
        <v>58</v>
      </c>
      <c r="I145" s="36" t="s">
        <v>85</v>
      </c>
      <c r="J145" s="36" t="s">
        <v>1146</v>
      </c>
      <c r="K145" s="1" t="str">
        <f t="shared" si="30"/>
        <v/>
      </c>
      <c r="L145" s="1" t="str">
        <f t="shared" si="33"/>
        <v/>
      </c>
      <c r="M145" s="94">
        <v>140</v>
      </c>
      <c r="N145" s="36" t="s">
        <v>1795</v>
      </c>
      <c r="O145" s="95">
        <v>309847</v>
      </c>
      <c r="P145" s="36"/>
      <c r="Q145" s="110" t="str">
        <f t="shared" si="31"/>
        <v>Standard</v>
      </c>
      <c r="R145" s="1" t="str">
        <f t="shared" si="32"/>
        <v/>
      </c>
      <c r="S145" s="1">
        <f>IF(A145&gt;0,COUNT(A$2:A145),"")</f>
        <v>144</v>
      </c>
      <c r="T145" s="1" t="str">
        <f t="shared" si="23"/>
        <v xml:space="preserve">ASV70L-RETNKX </v>
      </c>
      <c r="U145" s="1" t="str">
        <f t="shared" si="24"/>
        <v xml:space="preserve">   </v>
      </c>
      <c r="V145" s="111" t="str">
        <f t="shared" si="25"/>
        <v/>
      </c>
      <c r="AA145" s="1">
        <v>30048</v>
      </c>
      <c r="AB145" s="1" t="s">
        <v>40</v>
      </c>
      <c r="AD145" s="1" t="str">
        <f t="shared" si="26"/>
        <v>664W</v>
      </c>
      <c r="AH145" s="116">
        <v>144</v>
      </c>
      <c r="AI145" s="122">
        <v>97</v>
      </c>
      <c r="AJ145" s="1" t="s">
        <v>1488</v>
      </c>
      <c r="AK145" s="1">
        <v>309540</v>
      </c>
      <c r="AL145" s="1" t="s">
        <v>930</v>
      </c>
      <c r="AN145" s="270">
        <v>239</v>
      </c>
      <c r="AP145" s="1">
        <v>144</v>
      </c>
      <c r="AQ145" s="1">
        <v>101</v>
      </c>
      <c r="AR145" s="1" t="s">
        <v>1331</v>
      </c>
      <c r="AS145" s="1">
        <v>309383</v>
      </c>
      <c r="AT145" s="1" t="s">
        <v>930</v>
      </c>
      <c r="AV145" s="241">
        <v>82</v>
      </c>
      <c r="AX145" s="1">
        <f t="shared" si="27"/>
        <v>1</v>
      </c>
      <c r="AY145" s="1" t="str">
        <f>IF(COUNTIF($AX$2:AX145,1)&gt;$AG$1,"",IF(AX145="","",E145))</f>
        <v>218</v>
      </c>
      <c r="BM145" s="138" t="str">
        <f t="shared" si="28"/>
        <v xml:space="preserve">   </v>
      </c>
      <c r="BN145" s="42">
        <f t="shared" si="29"/>
        <v>11290</v>
      </c>
      <c r="BS145" s="1">
        <v>9772</v>
      </c>
      <c r="BT145" s="1" t="s">
        <v>902</v>
      </c>
      <c r="BX145" s="36"/>
    </row>
    <row r="146" spans="1:76" ht="14.25">
      <c r="A146" s="55">
        <v>11291</v>
      </c>
      <c r="B146" s="36" t="s">
        <v>1158</v>
      </c>
      <c r="C146" s="36" t="s">
        <v>50</v>
      </c>
      <c r="D146" s="36" t="s">
        <v>916</v>
      </c>
      <c r="E146" s="36" t="s">
        <v>80</v>
      </c>
      <c r="F146" s="36" t="s">
        <v>1139</v>
      </c>
      <c r="G146" s="36" t="s">
        <v>894</v>
      </c>
      <c r="H146" s="36" t="s">
        <v>58</v>
      </c>
      <c r="I146" s="36" t="s">
        <v>85</v>
      </c>
      <c r="J146" s="36" t="s">
        <v>1146</v>
      </c>
      <c r="K146" s="1" t="str">
        <f t="shared" si="30"/>
        <v/>
      </c>
      <c r="L146" s="1" t="str">
        <f t="shared" si="33"/>
        <v/>
      </c>
      <c r="M146" s="94">
        <v>141</v>
      </c>
      <c r="N146" s="36" t="s">
        <v>1796</v>
      </c>
      <c r="O146" s="95">
        <v>309848</v>
      </c>
      <c r="P146" s="36"/>
      <c r="Q146" s="110" t="str">
        <f t="shared" si="31"/>
        <v/>
      </c>
      <c r="R146" s="1" t="str">
        <f t="shared" si="32"/>
        <v>CVT</v>
      </c>
      <c r="S146" s="1">
        <f>IF(A146&gt;0,COUNT(A$2:A146),"")</f>
        <v>145</v>
      </c>
      <c r="T146" s="1" t="str">
        <f t="shared" si="23"/>
        <v>MXAA54L-RNXMBX</v>
      </c>
      <c r="U146" s="1" t="str">
        <f t="shared" si="24"/>
        <v>CVT</v>
      </c>
      <c r="V146" s="111" t="str">
        <f t="shared" si="25"/>
        <v/>
      </c>
      <c r="AA146" s="1">
        <v>30049</v>
      </c>
      <c r="AB146" s="1" t="s">
        <v>43</v>
      </c>
      <c r="AD146" s="1" t="str">
        <f t="shared" si="26"/>
        <v>831W</v>
      </c>
      <c r="AH146" s="116">
        <v>145</v>
      </c>
      <c r="AI146" s="122">
        <v>98</v>
      </c>
      <c r="AJ146" s="1" t="s">
        <v>1489</v>
      </c>
      <c r="AK146" s="1">
        <v>309541</v>
      </c>
      <c r="AL146" s="1" t="s">
        <v>930</v>
      </c>
      <c r="AN146" s="270">
        <v>240</v>
      </c>
      <c r="AP146" s="1">
        <v>145</v>
      </c>
      <c r="AQ146" s="1">
        <v>102</v>
      </c>
      <c r="AR146" s="1" t="s">
        <v>1332</v>
      </c>
      <c r="AS146" s="1">
        <v>309384</v>
      </c>
      <c r="AT146" s="1" t="s">
        <v>115</v>
      </c>
      <c r="AV146" s="241">
        <v>83</v>
      </c>
      <c r="AX146" s="1">
        <f t="shared" si="27"/>
        <v>1</v>
      </c>
      <c r="AY146" s="1" t="str">
        <f>IF(COUNTIF($AX$2:AX146,1)&gt;$AG$1,"",IF(AX146="","",E146))</f>
        <v>089</v>
      </c>
      <c r="BM146" s="138" t="str">
        <f t="shared" si="28"/>
        <v xml:space="preserve">   </v>
      </c>
      <c r="BN146" s="42">
        <f t="shared" si="29"/>
        <v>11291</v>
      </c>
      <c r="BS146" s="1">
        <v>9773</v>
      </c>
      <c r="BT146" s="1" t="s">
        <v>902</v>
      </c>
      <c r="BX146" s="36"/>
    </row>
    <row r="147" spans="1:76" ht="14.25">
      <c r="A147" s="55">
        <v>11292</v>
      </c>
      <c r="B147" s="36" t="s">
        <v>82</v>
      </c>
      <c r="C147" s="36" t="s">
        <v>50</v>
      </c>
      <c r="D147" s="36" t="s">
        <v>906</v>
      </c>
      <c r="E147" s="36" t="s">
        <v>1128</v>
      </c>
      <c r="F147" s="36" t="s">
        <v>1129</v>
      </c>
      <c r="G147" s="36" t="s">
        <v>85</v>
      </c>
      <c r="H147" s="36" t="s">
        <v>58</v>
      </c>
      <c r="I147" s="36" t="s">
        <v>85</v>
      </c>
      <c r="J147" s="36" t="s">
        <v>1146</v>
      </c>
      <c r="K147" s="1" t="str">
        <f t="shared" si="30"/>
        <v/>
      </c>
      <c r="L147" s="1" t="str">
        <f t="shared" si="33"/>
        <v/>
      </c>
      <c r="M147" s="94">
        <v>142</v>
      </c>
      <c r="N147" s="36" t="s">
        <v>1797</v>
      </c>
      <c r="O147" s="95">
        <v>309849</v>
      </c>
      <c r="P147" s="36"/>
      <c r="Q147" s="110" t="str">
        <f t="shared" si="31"/>
        <v>Sport</v>
      </c>
      <c r="R147" s="1" t="str">
        <f t="shared" si="32"/>
        <v/>
      </c>
      <c r="S147" s="1">
        <f>IF(A147&gt;0,COUNT(A$2:A147),"")</f>
        <v>146</v>
      </c>
      <c r="T147" s="1" t="str">
        <f t="shared" si="23"/>
        <v xml:space="preserve">ASV70L-RETNKX </v>
      </c>
      <c r="U147" s="1" t="str">
        <f t="shared" si="24"/>
        <v xml:space="preserve">   </v>
      </c>
      <c r="V147" s="111" t="str">
        <f t="shared" si="25"/>
        <v/>
      </c>
      <c r="AA147" s="1">
        <v>30050</v>
      </c>
      <c r="AB147" s="1" t="s">
        <v>40</v>
      </c>
      <c r="AD147" s="1" t="str">
        <f t="shared" si="26"/>
        <v>664W</v>
      </c>
      <c r="AH147" s="116">
        <v>146</v>
      </c>
      <c r="AI147" s="122">
        <v>99</v>
      </c>
      <c r="AJ147" s="1" t="s">
        <v>1490</v>
      </c>
      <c r="AK147" s="1">
        <v>309542</v>
      </c>
      <c r="AL147" s="1" t="s">
        <v>115</v>
      </c>
      <c r="AN147" s="270">
        <v>241</v>
      </c>
      <c r="AP147" s="1">
        <v>146</v>
      </c>
      <c r="AQ147" s="1">
        <v>103</v>
      </c>
      <c r="AR147" s="1" t="s">
        <v>1333</v>
      </c>
      <c r="AS147" s="1">
        <v>309385</v>
      </c>
      <c r="AT147" s="1" t="s">
        <v>930</v>
      </c>
      <c r="AV147" s="241">
        <v>84</v>
      </c>
      <c r="AX147" s="1">
        <f t="shared" si="27"/>
        <v>1</v>
      </c>
      <c r="AY147" s="1" t="str">
        <f>IF(COUNTIF($AX$2:AX147,1)&gt;$AG$1,"",IF(AX147="","",E147))</f>
        <v>2PS</v>
      </c>
      <c r="BM147" s="138" t="str">
        <f t="shared" si="28"/>
        <v xml:space="preserve">   </v>
      </c>
      <c r="BN147" s="42">
        <f t="shared" si="29"/>
        <v>11292</v>
      </c>
      <c r="BS147" s="1">
        <v>9774</v>
      </c>
      <c r="BT147" s="1" t="s">
        <v>902</v>
      </c>
      <c r="BX147" s="36"/>
    </row>
    <row r="148" spans="1:76" ht="14.25">
      <c r="A148" s="55">
        <v>11293</v>
      </c>
      <c r="B148" s="36" t="s">
        <v>1158</v>
      </c>
      <c r="C148" s="36" t="s">
        <v>50</v>
      </c>
      <c r="D148" s="36" t="s">
        <v>910</v>
      </c>
      <c r="E148" s="36" t="s">
        <v>20</v>
      </c>
      <c r="F148" s="36" t="s">
        <v>1139</v>
      </c>
      <c r="G148" s="36" t="s">
        <v>921</v>
      </c>
      <c r="H148" s="36" t="s">
        <v>58</v>
      </c>
      <c r="I148" s="36" t="s">
        <v>85</v>
      </c>
      <c r="J148" s="36" t="s">
        <v>1146</v>
      </c>
      <c r="K148" s="1" t="str">
        <f t="shared" si="30"/>
        <v/>
      </c>
      <c r="L148" s="1" t="str">
        <f t="shared" si="33"/>
        <v/>
      </c>
      <c r="M148" s="94">
        <v>143</v>
      </c>
      <c r="N148" s="36" t="s">
        <v>1798</v>
      </c>
      <c r="O148" s="95">
        <v>309850</v>
      </c>
      <c r="P148" s="36"/>
      <c r="Q148" s="110" t="str">
        <f t="shared" si="31"/>
        <v/>
      </c>
      <c r="R148" s="1" t="str">
        <f t="shared" si="32"/>
        <v>Auto</v>
      </c>
      <c r="S148" s="1">
        <f>IF(A148&gt;0,COUNT(A$2:A148),"")</f>
        <v>147</v>
      </c>
      <c r="T148" s="1" t="str">
        <f t="shared" si="23"/>
        <v>AXAA54L-RNZMBX</v>
      </c>
      <c r="U148" s="1" t="str">
        <f t="shared" si="24"/>
        <v>8AT</v>
      </c>
      <c r="V148" s="111" t="str">
        <f t="shared" si="25"/>
        <v/>
      </c>
      <c r="AA148" s="1">
        <v>30051</v>
      </c>
      <c r="AB148" s="1" t="s">
        <v>40</v>
      </c>
      <c r="AD148" s="1" t="str">
        <f t="shared" si="26"/>
        <v>831W</v>
      </c>
      <c r="AH148" s="116">
        <v>147</v>
      </c>
      <c r="AI148" s="122">
        <v>100</v>
      </c>
      <c r="AJ148" s="1" t="s">
        <v>1491</v>
      </c>
      <c r="AK148" s="1">
        <v>309543</v>
      </c>
      <c r="AL148" s="1" t="s">
        <v>930</v>
      </c>
      <c r="AN148" s="270">
        <v>242</v>
      </c>
      <c r="AP148" s="1">
        <v>147</v>
      </c>
      <c r="AQ148" s="1">
        <v>104</v>
      </c>
      <c r="AR148" s="1" t="s">
        <v>1334</v>
      </c>
      <c r="AS148" s="1">
        <v>309386</v>
      </c>
      <c r="AT148" s="1" t="s">
        <v>115</v>
      </c>
      <c r="AV148" s="241">
        <v>85</v>
      </c>
      <c r="AX148" s="1">
        <f t="shared" si="27"/>
        <v>1</v>
      </c>
      <c r="AY148" s="1" t="str">
        <f>IF(COUNTIF($AX$2:AX148,1)&gt;$AG$1,"",IF(AX148="","",E148))</f>
        <v>218</v>
      </c>
      <c r="BM148" s="138" t="str">
        <f t="shared" si="28"/>
        <v xml:space="preserve">   </v>
      </c>
      <c r="BN148" s="42">
        <f t="shared" si="29"/>
        <v>11293</v>
      </c>
      <c r="BS148" s="1">
        <v>9775</v>
      </c>
      <c r="BT148" s="1" t="s">
        <v>902</v>
      </c>
      <c r="BX148" s="36"/>
    </row>
    <row r="149" spans="1:76" ht="14.25">
      <c r="A149" s="55">
        <v>11294</v>
      </c>
      <c r="B149" s="36" t="s">
        <v>1158</v>
      </c>
      <c r="C149" s="36" t="s">
        <v>50</v>
      </c>
      <c r="D149" s="36" t="s">
        <v>915</v>
      </c>
      <c r="E149" s="36" t="s">
        <v>80</v>
      </c>
      <c r="F149" s="36" t="s">
        <v>903</v>
      </c>
      <c r="G149" s="36" t="s">
        <v>894</v>
      </c>
      <c r="H149" s="36" t="s">
        <v>58</v>
      </c>
      <c r="I149" s="36" t="s">
        <v>85</v>
      </c>
      <c r="J149" s="36" t="s">
        <v>1146</v>
      </c>
      <c r="K149" s="1" t="str">
        <f t="shared" si="30"/>
        <v/>
      </c>
      <c r="L149" s="1" t="str">
        <f t="shared" si="33"/>
        <v/>
      </c>
      <c r="M149" s="94">
        <v>144</v>
      </c>
      <c r="N149" s="36" t="s">
        <v>1799</v>
      </c>
      <c r="O149" s="95">
        <v>309851</v>
      </c>
      <c r="P149" s="36"/>
      <c r="Q149" s="110" t="str">
        <f t="shared" si="31"/>
        <v/>
      </c>
      <c r="R149" s="1" t="str">
        <f t="shared" si="32"/>
        <v>CVT</v>
      </c>
      <c r="S149" s="1">
        <f>IF(A149&gt;0,COUNT(A$2:A149),"")</f>
        <v>148</v>
      </c>
      <c r="T149" s="1" t="str">
        <f t="shared" si="23"/>
        <v>MXAA54L-RNXGBX</v>
      </c>
      <c r="U149" s="1" t="str">
        <f t="shared" si="24"/>
        <v>CVT</v>
      </c>
      <c r="V149" s="111" t="str">
        <f t="shared" si="25"/>
        <v/>
      </c>
      <c r="AA149" s="1">
        <v>30052</v>
      </c>
      <c r="AB149" s="1" t="s">
        <v>40</v>
      </c>
      <c r="AD149" s="1" t="str">
        <f t="shared" si="26"/>
        <v>831W</v>
      </c>
      <c r="AH149" s="116">
        <v>148</v>
      </c>
      <c r="AI149" s="122">
        <v>101</v>
      </c>
      <c r="AJ149" s="1" t="s">
        <v>1492</v>
      </c>
      <c r="AK149" s="1">
        <v>309544</v>
      </c>
      <c r="AL149" s="1" t="s">
        <v>115</v>
      </c>
      <c r="AN149" s="270">
        <v>243</v>
      </c>
      <c r="AP149" s="1">
        <v>148</v>
      </c>
      <c r="AQ149" s="1">
        <v>105</v>
      </c>
      <c r="AR149" s="1" t="s">
        <v>1335</v>
      </c>
      <c r="AS149" s="1">
        <v>309387</v>
      </c>
      <c r="AT149" s="1" t="s">
        <v>930</v>
      </c>
      <c r="AV149" s="241">
        <v>86</v>
      </c>
      <c r="AX149" s="1">
        <f t="shared" si="27"/>
        <v>1</v>
      </c>
      <c r="AY149" s="1" t="str">
        <f>IF(COUNTIF($AX$2:AX149,1)&gt;$AG$1,"",IF(AX149="","",E149))</f>
        <v>089</v>
      </c>
      <c r="BM149" s="138" t="str">
        <f t="shared" si="28"/>
        <v xml:space="preserve">   </v>
      </c>
      <c r="BN149" s="42">
        <f t="shared" si="29"/>
        <v>11294</v>
      </c>
      <c r="BS149" s="1">
        <v>9776</v>
      </c>
      <c r="BT149" s="1" t="s">
        <v>902</v>
      </c>
      <c r="BX149" s="36"/>
    </row>
    <row r="150" spans="1:76" ht="14.25">
      <c r="A150" s="55">
        <v>11295</v>
      </c>
      <c r="B150" s="36" t="s">
        <v>82</v>
      </c>
      <c r="C150" s="36" t="s">
        <v>50</v>
      </c>
      <c r="D150" s="36" t="s">
        <v>906</v>
      </c>
      <c r="E150" s="36" t="s">
        <v>20</v>
      </c>
      <c r="F150" s="36" t="s">
        <v>86</v>
      </c>
      <c r="G150" s="36" t="s">
        <v>85</v>
      </c>
      <c r="H150" s="36" t="s">
        <v>58</v>
      </c>
      <c r="I150" s="36" t="s">
        <v>85</v>
      </c>
      <c r="J150" s="36" t="s">
        <v>1146</v>
      </c>
      <c r="K150" s="1" t="str">
        <f t="shared" si="30"/>
        <v/>
      </c>
      <c r="L150" s="1" t="str">
        <f t="shared" si="33"/>
        <v/>
      </c>
      <c r="M150" s="94">
        <v>145</v>
      </c>
      <c r="N150" s="36" t="s">
        <v>1800</v>
      </c>
      <c r="O150" s="95">
        <v>309852</v>
      </c>
      <c r="P150" s="36"/>
      <c r="Q150" s="110" t="str">
        <f t="shared" si="31"/>
        <v>Standard</v>
      </c>
      <c r="R150" s="1" t="str">
        <f t="shared" si="32"/>
        <v/>
      </c>
      <c r="S150" s="1">
        <f>IF(A150&gt;0,COUNT(A$2:A150),"")</f>
        <v>149</v>
      </c>
      <c r="T150" s="1" t="str">
        <f t="shared" si="23"/>
        <v xml:space="preserve">ASV70L-RETNKX </v>
      </c>
      <c r="U150" s="1" t="str">
        <f t="shared" si="24"/>
        <v xml:space="preserve">   </v>
      </c>
      <c r="V150" s="111" t="str">
        <f t="shared" si="25"/>
        <v/>
      </c>
      <c r="AA150" s="1">
        <v>30053</v>
      </c>
      <c r="AB150" s="1" t="s">
        <v>40</v>
      </c>
      <c r="AD150" s="1" t="str">
        <f t="shared" si="26"/>
        <v>664W</v>
      </c>
      <c r="AH150" s="116">
        <v>149</v>
      </c>
      <c r="AI150" s="122">
        <v>102</v>
      </c>
      <c r="AJ150" s="1" t="s">
        <v>1493</v>
      </c>
      <c r="AK150" s="1">
        <v>309545</v>
      </c>
      <c r="AL150" s="1" t="s">
        <v>930</v>
      </c>
      <c r="AN150" s="270">
        <v>244</v>
      </c>
      <c r="AP150" s="1">
        <v>149</v>
      </c>
      <c r="AQ150" s="1">
        <v>106</v>
      </c>
      <c r="AR150" s="1" t="s">
        <v>1336</v>
      </c>
      <c r="AS150" s="1">
        <v>309388</v>
      </c>
      <c r="AT150" s="1" t="s">
        <v>930</v>
      </c>
      <c r="AV150" s="241">
        <v>87</v>
      </c>
      <c r="AX150" s="1">
        <f t="shared" si="27"/>
        <v>1</v>
      </c>
      <c r="AY150" s="1" t="str">
        <f>IF(COUNTIF($AX$2:AX150,1)&gt;$AG$1,"",IF(AX150="","",E150))</f>
        <v>218</v>
      </c>
      <c r="BM150" s="138" t="str">
        <f t="shared" si="28"/>
        <v xml:space="preserve">   </v>
      </c>
      <c r="BN150" s="42">
        <f t="shared" si="29"/>
        <v>11295</v>
      </c>
      <c r="BS150" s="1">
        <v>9777</v>
      </c>
      <c r="BT150" s="1" t="s">
        <v>902</v>
      </c>
      <c r="BX150" s="36"/>
    </row>
    <row r="151" spans="1:76" ht="14.25">
      <c r="A151" s="55">
        <v>11296</v>
      </c>
      <c r="B151" s="36" t="s">
        <v>1158</v>
      </c>
      <c r="C151" s="36" t="s">
        <v>50</v>
      </c>
      <c r="D151" s="36" t="s">
        <v>911</v>
      </c>
      <c r="E151" s="36" t="s">
        <v>21</v>
      </c>
      <c r="F151" s="36" t="s">
        <v>202</v>
      </c>
      <c r="G151" s="36" t="s">
        <v>922</v>
      </c>
      <c r="H151" s="36" t="s">
        <v>58</v>
      </c>
      <c r="I151" s="36" t="s">
        <v>85</v>
      </c>
      <c r="J151" s="36" t="s">
        <v>1146</v>
      </c>
      <c r="K151" s="1" t="str">
        <f t="shared" si="30"/>
        <v/>
      </c>
      <c r="L151" s="1" t="str">
        <f t="shared" si="33"/>
        <v/>
      </c>
      <c r="M151" s="94">
        <v>146</v>
      </c>
      <c r="N151" s="36" t="s">
        <v>1801</v>
      </c>
      <c r="O151" s="95">
        <v>309853</v>
      </c>
      <c r="P151" s="36"/>
      <c r="Q151" s="110" t="str">
        <f t="shared" si="31"/>
        <v/>
      </c>
      <c r="R151" s="1" t="str">
        <f t="shared" si="32"/>
        <v>Mech</v>
      </c>
      <c r="S151" s="1">
        <f>IF(A151&gt;0,COUNT(A$2:A151),"")</f>
        <v>150</v>
      </c>
      <c r="T151" s="1" t="str">
        <f t="shared" si="23"/>
        <v>MXAA52L-RNFXBX</v>
      </c>
      <c r="U151" s="1" t="str">
        <f t="shared" si="24"/>
        <v>6MT</v>
      </c>
      <c r="V151" s="111" t="str">
        <f t="shared" si="25"/>
        <v/>
      </c>
      <c r="AA151" s="1">
        <v>30054</v>
      </c>
      <c r="AB151" s="1" t="s">
        <v>44</v>
      </c>
      <c r="AD151" s="1" t="str">
        <f t="shared" si="26"/>
        <v>831W</v>
      </c>
      <c r="AH151" s="116">
        <v>150</v>
      </c>
      <c r="AI151" s="122">
        <v>103</v>
      </c>
      <c r="AJ151" s="1" t="s">
        <v>1494</v>
      </c>
      <c r="AK151" s="1">
        <v>309546</v>
      </c>
      <c r="AL151" s="1" t="s">
        <v>115</v>
      </c>
      <c r="AN151" s="270">
        <v>245</v>
      </c>
      <c r="AP151" s="1">
        <v>150</v>
      </c>
      <c r="AQ151" s="1">
        <v>107</v>
      </c>
      <c r="AR151" s="1" t="s">
        <v>1337</v>
      </c>
      <c r="AS151" s="1">
        <v>309389</v>
      </c>
      <c r="AT151" s="1" t="s">
        <v>115</v>
      </c>
      <c r="AV151" s="241">
        <v>88</v>
      </c>
      <c r="AX151" s="1">
        <f t="shared" si="27"/>
        <v>1</v>
      </c>
      <c r="AY151" s="1" t="str">
        <f>IF(COUNTIF($AX$2:AX151,1)&gt;$AG$1,"",IF(AX151="","",E151))</f>
        <v>040</v>
      </c>
      <c r="BM151" s="138" t="str">
        <f t="shared" si="28"/>
        <v xml:space="preserve">   </v>
      </c>
      <c r="BN151" s="42">
        <f t="shared" si="29"/>
        <v>11296</v>
      </c>
      <c r="BS151" s="1">
        <v>9778</v>
      </c>
      <c r="BT151" s="1" t="s">
        <v>902</v>
      </c>
      <c r="BX151" s="36"/>
    </row>
    <row r="152" spans="1:76" ht="14.25">
      <c r="A152" s="55">
        <v>11297</v>
      </c>
      <c r="B152" s="36" t="s">
        <v>82</v>
      </c>
      <c r="C152" s="36" t="s">
        <v>50</v>
      </c>
      <c r="D152" s="36" t="s">
        <v>908</v>
      </c>
      <c r="E152" s="36" t="s">
        <v>20</v>
      </c>
      <c r="F152" s="36" t="s">
        <v>84</v>
      </c>
      <c r="G152" s="36" t="s">
        <v>85</v>
      </c>
      <c r="H152" s="36" t="s">
        <v>58</v>
      </c>
      <c r="I152" s="36" t="s">
        <v>85</v>
      </c>
      <c r="J152" s="36" t="s">
        <v>1146</v>
      </c>
      <c r="K152" s="1" t="str">
        <f t="shared" si="30"/>
        <v/>
      </c>
      <c r="L152" s="1" t="str">
        <f t="shared" si="33"/>
        <v/>
      </c>
      <c r="M152" s="94">
        <v>147</v>
      </c>
      <c r="N152" s="36" t="s">
        <v>1802</v>
      </c>
      <c r="O152" s="95">
        <v>309854</v>
      </c>
      <c r="P152" s="36"/>
      <c r="Q152" s="110" t="str">
        <f t="shared" si="31"/>
        <v>Rich</v>
      </c>
      <c r="R152" s="1" t="str">
        <f t="shared" si="32"/>
        <v/>
      </c>
      <c r="S152" s="1">
        <f>IF(A152&gt;0,COUNT(A$2:A152),"")</f>
        <v>151</v>
      </c>
      <c r="T152" s="1" t="str">
        <f t="shared" si="23"/>
        <v xml:space="preserve">GSV70L-REZGBX </v>
      </c>
      <c r="U152" s="1" t="str">
        <f t="shared" si="24"/>
        <v xml:space="preserve">   </v>
      </c>
      <c r="V152" s="111" t="str">
        <f t="shared" si="25"/>
        <v/>
      </c>
      <c r="AA152" s="1">
        <v>30055</v>
      </c>
      <c r="AB152" s="1" t="s">
        <v>40</v>
      </c>
      <c r="AD152" s="1" t="str">
        <f t="shared" si="26"/>
        <v>664W</v>
      </c>
      <c r="AH152" s="116">
        <v>151</v>
      </c>
      <c r="AI152" s="122">
        <v>104</v>
      </c>
      <c r="AJ152" s="1" t="s">
        <v>1495</v>
      </c>
      <c r="AK152" s="1">
        <v>309547</v>
      </c>
      <c r="AL152" s="1" t="s">
        <v>930</v>
      </c>
      <c r="AN152" s="270">
        <v>246</v>
      </c>
      <c r="AP152" s="1">
        <v>151</v>
      </c>
      <c r="AQ152" s="1">
        <v>108</v>
      </c>
      <c r="AR152" s="1" t="s">
        <v>1338</v>
      </c>
      <c r="AS152" s="1">
        <v>309390</v>
      </c>
      <c r="AT152" s="1" t="s">
        <v>930</v>
      </c>
      <c r="AV152" s="241">
        <v>89</v>
      </c>
      <c r="AX152" s="1">
        <f t="shared" si="27"/>
        <v>1</v>
      </c>
      <c r="AY152" s="1" t="str">
        <f>IF(COUNTIF($AX$2:AX152,1)&gt;$AG$1,"",IF(AX152="","",E152))</f>
        <v>218</v>
      </c>
      <c r="BM152" s="138" t="str">
        <f t="shared" si="28"/>
        <v xml:space="preserve">   </v>
      </c>
      <c r="BN152" s="42">
        <f t="shared" si="29"/>
        <v>11297</v>
      </c>
      <c r="BS152" s="1">
        <v>9779</v>
      </c>
      <c r="BT152" s="1" t="s">
        <v>902</v>
      </c>
      <c r="BX152" s="36"/>
    </row>
    <row r="153" spans="1:76" ht="14.25">
      <c r="A153" s="55">
        <v>11298</v>
      </c>
      <c r="B153" s="36" t="s">
        <v>1158</v>
      </c>
      <c r="C153" s="36" t="s">
        <v>50</v>
      </c>
      <c r="D153" s="36" t="s">
        <v>916</v>
      </c>
      <c r="E153" s="36" t="s">
        <v>80</v>
      </c>
      <c r="F153" s="36" t="s">
        <v>1139</v>
      </c>
      <c r="G153" s="36" t="s">
        <v>894</v>
      </c>
      <c r="H153" s="36" t="s">
        <v>58</v>
      </c>
      <c r="I153" s="36" t="s">
        <v>85</v>
      </c>
      <c r="J153" s="36" t="s">
        <v>1146</v>
      </c>
      <c r="K153" s="1" t="str">
        <f t="shared" si="30"/>
        <v/>
      </c>
      <c r="L153" s="1" t="str">
        <f t="shared" si="33"/>
        <v/>
      </c>
      <c r="M153" s="94">
        <v>148</v>
      </c>
      <c r="N153" s="36" t="s">
        <v>1803</v>
      </c>
      <c r="O153" s="95">
        <v>309855</v>
      </c>
      <c r="P153" s="36"/>
      <c r="Q153" s="110" t="str">
        <f t="shared" si="31"/>
        <v/>
      </c>
      <c r="R153" s="1" t="str">
        <f t="shared" si="32"/>
        <v>CVT</v>
      </c>
      <c r="S153" s="1">
        <f>IF(A153&gt;0,COUNT(A$2:A153),"")</f>
        <v>152</v>
      </c>
      <c r="T153" s="1" t="str">
        <f t="shared" si="23"/>
        <v>MXAA54L-RNXMBX</v>
      </c>
      <c r="U153" s="1" t="str">
        <f t="shared" si="24"/>
        <v>CVT</v>
      </c>
      <c r="V153" s="111" t="str">
        <f t="shared" si="25"/>
        <v/>
      </c>
      <c r="AA153" s="1">
        <v>30056</v>
      </c>
      <c r="AB153" s="1" t="s">
        <v>40</v>
      </c>
      <c r="AD153" s="1" t="str">
        <f t="shared" si="26"/>
        <v>831W</v>
      </c>
      <c r="AH153" s="116">
        <v>152</v>
      </c>
      <c r="AI153" s="122">
        <v>105</v>
      </c>
      <c r="AJ153" s="1" t="s">
        <v>1496</v>
      </c>
      <c r="AK153" s="1">
        <v>309548</v>
      </c>
      <c r="AL153" s="1" t="s">
        <v>930</v>
      </c>
      <c r="AN153" s="270">
        <v>247</v>
      </c>
      <c r="AP153" s="1">
        <v>152</v>
      </c>
      <c r="AQ153" s="1">
        <v>109</v>
      </c>
      <c r="AR153" s="1" t="s">
        <v>1339</v>
      </c>
      <c r="AS153" s="1">
        <v>309391</v>
      </c>
      <c r="AT153" s="1" t="s">
        <v>115</v>
      </c>
      <c r="AV153" s="241">
        <v>90</v>
      </c>
      <c r="AX153" s="1">
        <f t="shared" si="27"/>
        <v>1</v>
      </c>
      <c r="AY153" s="1" t="str">
        <f>IF(COUNTIF($AX$2:AX153,1)&gt;$AG$1,"",IF(AX153="","",E153))</f>
        <v>089</v>
      </c>
      <c r="BM153" s="138" t="str">
        <f t="shared" si="28"/>
        <v xml:space="preserve">   </v>
      </c>
      <c r="BN153" s="42">
        <f t="shared" si="29"/>
        <v>11298</v>
      </c>
      <c r="BS153" s="1">
        <v>9780</v>
      </c>
      <c r="BT153" s="1" t="s">
        <v>902</v>
      </c>
      <c r="BX153" s="36"/>
    </row>
    <row r="154" spans="1:76" ht="14.25">
      <c r="A154" s="55">
        <v>11299</v>
      </c>
      <c r="B154" s="36" t="s">
        <v>82</v>
      </c>
      <c r="C154" s="36" t="s">
        <v>50</v>
      </c>
      <c r="D154" s="36" t="s">
        <v>906</v>
      </c>
      <c r="E154" s="36" t="s">
        <v>83</v>
      </c>
      <c r="F154" s="36" t="s">
        <v>88</v>
      </c>
      <c r="G154" s="36" t="s">
        <v>85</v>
      </c>
      <c r="H154" s="36" t="s">
        <v>58</v>
      </c>
      <c r="I154" s="36" t="s">
        <v>85</v>
      </c>
      <c r="J154" s="36" t="s">
        <v>1146</v>
      </c>
      <c r="K154" s="1" t="str">
        <f t="shared" si="30"/>
        <v/>
      </c>
      <c r="L154" s="1" t="str">
        <f t="shared" si="33"/>
        <v/>
      </c>
      <c r="M154" s="94">
        <v>149</v>
      </c>
      <c r="N154" s="36" t="s">
        <v>1804</v>
      </c>
      <c r="O154" s="95">
        <v>309856</v>
      </c>
      <c r="P154" s="36"/>
      <c r="Q154" s="110" t="str">
        <f t="shared" si="31"/>
        <v>Standard</v>
      </c>
      <c r="R154" s="1" t="str">
        <f t="shared" si="32"/>
        <v/>
      </c>
      <c r="S154" s="1">
        <f>IF(A154&gt;0,COUNT(A$2:A154),"")</f>
        <v>153</v>
      </c>
      <c r="T154" s="1" t="str">
        <f t="shared" si="23"/>
        <v xml:space="preserve">ASV70L-RETNKX </v>
      </c>
      <c r="U154" s="1" t="str">
        <f t="shared" si="24"/>
        <v xml:space="preserve">   </v>
      </c>
      <c r="V154" s="111" t="str">
        <f t="shared" si="25"/>
        <v/>
      </c>
      <c r="AA154" s="1">
        <v>30057</v>
      </c>
      <c r="AB154" s="1" t="s">
        <v>40</v>
      </c>
      <c r="AD154" s="1" t="str">
        <f t="shared" si="26"/>
        <v>664W</v>
      </c>
      <c r="AH154" s="116">
        <v>153</v>
      </c>
      <c r="AI154" s="122">
        <v>106</v>
      </c>
      <c r="AJ154" s="1" t="s">
        <v>1497</v>
      </c>
      <c r="AK154" s="1">
        <v>309549</v>
      </c>
      <c r="AL154" s="1" t="s">
        <v>115</v>
      </c>
      <c r="AN154" s="270">
        <v>248</v>
      </c>
      <c r="AP154" s="1">
        <v>153</v>
      </c>
      <c r="AQ154" s="1">
        <v>110</v>
      </c>
      <c r="AR154" s="1" t="s">
        <v>1340</v>
      </c>
      <c r="AS154" s="1">
        <v>309392</v>
      </c>
      <c r="AT154" s="1" t="s">
        <v>930</v>
      </c>
      <c r="AV154" s="241">
        <v>91</v>
      </c>
      <c r="AX154" s="1">
        <f t="shared" si="27"/>
        <v>1</v>
      </c>
      <c r="AY154" s="1" t="str">
        <f>IF(COUNTIF($AX$2:AX154,1)&gt;$AG$1,"",IF(AX154="","",E154))</f>
        <v>221</v>
      </c>
      <c r="BM154" s="138" t="str">
        <f t="shared" si="28"/>
        <v xml:space="preserve">   </v>
      </c>
      <c r="BN154" s="42">
        <f t="shared" si="29"/>
        <v>11299</v>
      </c>
      <c r="BS154" s="1">
        <v>9781</v>
      </c>
      <c r="BT154" s="1" t="s">
        <v>902</v>
      </c>
      <c r="BX154" s="36"/>
    </row>
    <row r="155" spans="1:76" ht="14.25">
      <c r="A155" s="55">
        <v>11300</v>
      </c>
      <c r="B155" s="36" t="s">
        <v>1158</v>
      </c>
      <c r="C155" s="36" t="s">
        <v>50</v>
      </c>
      <c r="D155" s="36" t="s">
        <v>910</v>
      </c>
      <c r="E155" s="36" t="s">
        <v>79</v>
      </c>
      <c r="F155" s="36" t="s">
        <v>1139</v>
      </c>
      <c r="G155" s="36" t="s">
        <v>921</v>
      </c>
      <c r="H155" s="36" t="s">
        <v>58</v>
      </c>
      <c r="I155" s="36" t="s">
        <v>85</v>
      </c>
      <c r="J155" s="36" t="s">
        <v>1146</v>
      </c>
      <c r="K155" s="1" t="str">
        <f t="shared" si="30"/>
        <v/>
      </c>
      <c r="L155" s="1" t="str">
        <f t="shared" si="33"/>
        <v/>
      </c>
      <c r="M155" s="94">
        <v>150</v>
      </c>
      <c r="N155" s="36" t="s">
        <v>1805</v>
      </c>
      <c r="O155" s="95">
        <v>309857</v>
      </c>
      <c r="P155" s="36"/>
      <c r="Q155" s="110" t="str">
        <f t="shared" si="31"/>
        <v/>
      </c>
      <c r="R155" s="1" t="str">
        <f t="shared" si="32"/>
        <v>Auto</v>
      </c>
      <c r="S155" s="1">
        <f>IF(A155&gt;0,COUNT(A$2:A155),"")</f>
        <v>154</v>
      </c>
      <c r="T155" s="1" t="str">
        <f t="shared" si="23"/>
        <v>AXAA54L-RNZMBX</v>
      </c>
      <c r="U155" s="1" t="str">
        <f t="shared" si="24"/>
        <v>8AT</v>
      </c>
      <c r="V155" s="111" t="str">
        <f t="shared" si="25"/>
        <v/>
      </c>
      <c r="AA155" s="1">
        <v>30058</v>
      </c>
      <c r="AB155" s="1" t="s">
        <v>78</v>
      </c>
      <c r="AD155" s="1" t="str">
        <f t="shared" si="26"/>
        <v>831W</v>
      </c>
      <c r="AH155" s="116">
        <v>154</v>
      </c>
      <c r="AI155" s="122">
        <v>107</v>
      </c>
      <c r="AJ155" s="1" t="s">
        <v>1498</v>
      </c>
      <c r="AK155" s="1">
        <v>309550</v>
      </c>
      <c r="AL155" s="1" t="s">
        <v>930</v>
      </c>
      <c r="AN155" s="270">
        <v>249</v>
      </c>
      <c r="AP155" s="1">
        <v>154</v>
      </c>
      <c r="AQ155" s="1">
        <v>111</v>
      </c>
      <c r="AR155" s="1" t="s">
        <v>1341</v>
      </c>
      <c r="AS155" s="1">
        <v>309393</v>
      </c>
      <c r="AT155" s="1" t="s">
        <v>115</v>
      </c>
      <c r="AV155" s="241">
        <v>92</v>
      </c>
      <c r="AX155" s="1">
        <f t="shared" si="27"/>
        <v>1</v>
      </c>
      <c r="AY155" s="1" t="str">
        <f>IF(COUNTIF($AX$2:AX155,1)&gt;$AG$1,"",IF(AX155="","",E155))</f>
        <v>4X7</v>
      </c>
      <c r="BM155" s="138" t="str">
        <f t="shared" si="28"/>
        <v xml:space="preserve">   </v>
      </c>
      <c r="BN155" s="42">
        <f t="shared" si="29"/>
        <v>11300</v>
      </c>
      <c r="BS155" s="1">
        <v>9782</v>
      </c>
      <c r="BT155" s="1" t="s">
        <v>902</v>
      </c>
      <c r="BX155" s="36"/>
    </row>
    <row r="156" spans="1:76" ht="14.25">
      <c r="A156" s="55">
        <v>11301</v>
      </c>
      <c r="B156" s="36" t="s">
        <v>1158</v>
      </c>
      <c r="C156" s="36" t="s">
        <v>50</v>
      </c>
      <c r="D156" s="36" t="s">
        <v>915</v>
      </c>
      <c r="E156" s="36" t="s">
        <v>10</v>
      </c>
      <c r="F156" s="36" t="s">
        <v>1149</v>
      </c>
      <c r="G156" s="36" t="s">
        <v>894</v>
      </c>
      <c r="H156" s="36" t="s">
        <v>58</v>
      </c>
      <c r="I156" s="36" t="s">
        <v>85</v>
      </c>
      <c r="J156" s="36" t="s">
        <v>1146</v>
      </c>
      <c r="K156" s="1" t="str">
        <f t="shared" si="30"/>
        <v/>
      </c>
      <c r="L156" s="1" t="str">
        <f t="shared" si="33"/>
        <v/>
      </c>
      <c r="M156" s="94">
        <v>151</v>
      </c>
      <c r="N156" s="36" t="s">
        <v>1806</v>
      </c>
      <c r="O156" s="95">
        <v>309858</v>
      </c>
      <c r="P156" s="36"/>
      <c r="Q156" s="110" t="str">
        <f t="shared" si="31"/>
        <v/>
      </c>
      <c r="R156" s="1" t="str">
        <f t="shared" si="32"/>
        <v>CVT</v>
      </c>
      <c r="S156" s="1">
        <f>IF(A156&gt;0,COUNT(A$2:A156),"")</f>
        <v>155</v>
      </c>
      <c r="T156" s="1" t="str">
        <f t="shared" si="23"/>
        <v>MXAA54L-RNXGBX</v>
      </c>
      <c r="U156" s="1" t="str">
        <f t="shared" si="24"/>
        <v>CVT</v>
      </c>
      <c r="V156" s="111" t="str">
        <f t="shared" si="25"/>
        <v/>
      </c>
      <c r="AA156" s="1">
        <v>30059</v>
      </c>
      <c r="AB156" s="1" t="s">
        <v>81</v>
      </c>
      <c r="AD156" s="1" t="str">
        <f t="shared" si="26"/>
        <v>831W</v>
      </c>
      <c r="AH156" s="116">
        <v>155</v>
      </c>
      <c r="AI156" s="122">
        <v>108</v>
      </c>
      <c r="AJ156" s="1" t="s">
        <v>1499</v>
      </c>
      <c r="AK156" s="1">
        <v>309551</v>
      </c>
      <c r="AL156" s="1" t="s">
        <v>115</v>
      </c>
      <c r="AN156" s="270">
        <v>250</v>
      </c>
      <c r="AP156" s="1">
        <v>155</v>
      </c>
      <c r="AQ156" s="1">
        <v>112</v>
      </c>
      <c r="AR156" s="1" t="s">
        <v>1342</v>
      </c>
      <c r="AS156" s="1">
        <v>309394</v>
      </c>
      <c r="AT156" s="1" t="s">
        <v>930</v>
      </c>
      <c r="AV156" s="241">
        <v>93</v>
      </c>
      <c r="AX156" s="1">
        <f t="shared" si="27"/>
        <v>1</v>
      </c>
      <c r="AY156" s="1" t="str">
        <f>IF(COUNTIF($AX$2:AX156,1)&gt;$AG$1,"",IF(AX156="","",E156))</f>
        <v>1F7</v>
      </c>
      <c r="BM156" s="138" t="str">
        <f t="shared" si="28"/>
        <v xml:space="preserve">   </v>
      </c>
      <c r="BN156" s="42">
        <f t="shared" si="29"/>
        <v>11301</v>
      </c>
      <c r="BS156" s="1">
        <v>9783</v>
      </c>
      <c r="BT156" s="1" t="s">
        <v>902</v>
      </c>
      <c r="BX156" s="36"/>
    </row>
    <row r="157" spans="1:76" ht="14.25">
      <c r="A157" s="55">
        <v>11302</v>
      </c>
      <c r="B157" s="36" t="s">
        <v>82</v>
      </c>
      <c r="C157" s="36" t="s">
        <v>50</v>
      </c>
      <c r="D157" s="36" t="s">
        <v>906</v>
      </c>
      <c r="E157" s="36" t="s">
        <v>80</v>
      </c>
      <c r="F157" s="36" t="s">
        <v>86</v>
      </c>
      <c r="G157" s="36" t="s">
        <v>85</v>
      </c>
      <c r="H157" s="36" t="s">
        <v>58</v>
      </c>
      <c r="I157" s="36" t="s">
        <v>85</v>
      </c>
      <c r="J157" s="36" t="s">
        <v>1146</v>
      </c>
      <c r="K157" s="1" t="str">
        <f t="shared" si="30"/>
        <v/>
      </c>
      <c r="L157" s="1" t="str">
        <f t="shared" si="33"/>
        <v/>
      </c>
      <c r="M157" s="94">
        <v>152</v>
      </c>
      <c r="N157" s="36" t="s">
        <v>1807</v>
      </c>
      <c r="O157" s="95">
        <v>309859</v>
      </c>
      <c r="P157" s="36"/>
      <c r="Q157" s="110" t="str">
        <f t="shared" si="31"/>
        <v>Standard</v>
      </c>
      <c r="R157" s="1" t="str">
        <f t="shared" si="32"/>
        <v/>
      </c>
      <c r="S157" s="1">
        <f>IF(A157&gt;0,COUNT(A$2:A157),"")</f>
        <v>156</v>
      </c>
      <c r="T157" s="1" t="str">
        <f t="shared" si="23"/>
        <v xml:space="preserve">ASV70L-RETNKX </v>
      </c>
      <c r="U157" s="1" t="str">
        <f t="shared" si="24"/>
        <v xml:space="preserve">   </v>
      </c>
      <c r="V157" s="111" t="str">
        <f t="shared" si="25"/>
        <v/>
      </c>
      <c r="AA157" s="1">
        <v>30060</v>
      </c>
      <c r="AB157" s="1" t="s">
        <v>44</v>
      </c>
      <c r="AD157" s="1" t="str">
        <f t="shared" si="26"/>
        <v>664W</v>
      </c>
      <c r="AH157" s="116">
        <v>156</v>
      </c>
      <c r="AI157" s="122">
        <v>109</v>
      </c>
      <c r="AJ157" s="1" t="s">
        <v>1500</v>
      </c>
      <c r="AK157" s="1">
        <v>309552</v>
      </c>
      <c r="AL157" s="1" t="s">
        <v>930</v>
      </c>
      <c r="AN157" s="270">
        <v>251</v>
      </c>
      <c r="AP157" s="1">
        <v>156</v>
      </c>
      <c r="AQ157" s="1">
        <v>113</v>
      </c>
      <c r="AR157" s="1" t="s">
        <v>1343</v>
      </c>
      <c r="AS157" s="1">
        <v>309395</v>
      </c>
      <c r="AT157" s="1" t="s">
        <v>115</v>
      </c>
      <c r="AV157" s="241">
        <v>94</v>
      </c>
      <c r="AX157" s="1">
        <f t="shared" si="27"/>
        <v>1</v>
      </c>
      <c r="AY157" s="1" t="str">
        <f>IF(COUNTIF($AX$2:AX157,1)&gt;$AG$1,"",IF(AX157="","",E157))</f>
        <v>089</v>
      </c>
      <c r="BM157" s="138" t="str">
        <f t="shared" si="28"/>
        <v xml:space="preserve">   </v>
      </c>
      <c r="BN157" s="42">
        <f t="shared" si="29"/>
        <v>11302</v>
      </c>
      <c r="BS157" s="1">
        <v>9784</v>
      </c>
      <c r="BT157" s="1" t="s">
        <v>902</v>
      </c>
      <c r="BX157" s="36"/>
    </row>
    <row r="158" spans="1:76" ht="14.25">
      <c r="A158" s="55">
        <v>11303</v>
      </c>
      <c r="B158" s="36" t="s">
        <v>1158</v>
      </c>
      <c r="C158" s="36" t="s">
        <v>50</v>
      </c>
      <c r="D158" s="36" t="s">
        <v>916</v>
      </c>
      <c r="E158" s="36" t="s">
        <v>1128</v>
      </c>
      <c r="F158" s="36" t="s">
        <v>1164</v>
      </c>
      <c r="G158" s="36" t="s">
        <v>894</v>
      </c>
      <c r="H158" s="36" t="s">
        <v>58</v>
      </c>
      <c r="I158" s="36" t="s">
        <v>85</v>
      </c>
      <c r="J158" s="36" t="s">
        <v>1146</v>
      </c>
      <c r="K158" s="1" t="str">
        <f t="shared" si="30"/>
        <v/>
      </c>
      <c r="L158" s="1" t="str">
        <f t="shared" si="33"/>
        <v/>
      </c>
      <c r="M158" s="94">
        <v>153</v>
      </c>
      <c r="N158" s="36" t="s">
        <v>1808</v>
      </c>
      <c r="O158" s="95">
        <v>309860</v>
      </c>
      <c r="P158" s="36"/>
      <c r="Q158" s="110" t="str">
        <f t="shared" si="31"/>
        <v/>
      </c>
      <c r="R158" s="1" t="str">
        <f t="shared" si="32"/>
        <v>CVT</v>
      </c>
      <c r="S158" s="1">
        <f>IF(A158&gt;0,COUNT(A$2:A158),"")</f>
        <v>157</v>
      </c>
      <c r="T158" s="1" t="str">
        <f t="shared" si="23"/>
        <v>MXAA54L-RNXMBX</v>
      </c>
      <c r="U158" s="1" t="str">
        <f t="shared" si="24"/>
        <v>CVT</v>
      </c>
      <c r="V158" s="111" t="str">
        <f t="shared" si="25"/>
        <v/>
      </c>
      <c r="AA158" s="1">
        <v>30061</v>
      </c>
      <c r="AB158" s="1" t="s">
        <v>40</v>
      </c>
      <c r="AD158" s="1" t="str">
        <f t="shared" si="26"/>
        <v>831W</v>
      </c>
      <c r="AH158" s="116">
        <v>157</v>
      </c>
      <c r="AI158" s="122">
        <v>110</v>
      </c>
      <c r="AJ158" s="1" t="s">
        <v>1501</v>
      </c>
      <c r="AK158" s="1">
        <v>309553</v>
      </c>
      <c r="AL158" s="1" t="s">
        <v>115</v>
      </c>
      <c r="AN158" s="270">
        <v>252</v>
      </c>
      <c r="AP158" s="1">
        <v>157</v>
      </c>
      <c r="AQ158" s="1">
        <v>114</v>
      </c>
      <c r="AR158" s="1" t="s">
        <v>1344</v>
      </c>
      <c r="AS158" s="1">
        <v>309396</v>
      </c>
      <c r="AT158" s="1" t="s">
        <v>930</v>
      </c>
      <c r="AV158" s="241">
        <v>95</v>
      </c>
      <c r="AX158" s="1">
        <f t="shared" si="27"/>
        <v>1</v>
      </c>
      <c r="AY158" s="1" t="str">
        <f>IF(COUNTIF($AX$2:AX158,1)&gt;$AG$1,"",IF(AX158="","",E158))</f>
        <v>2PS</v>
      </c>
      <c r="BM158" s="138" t="str">
        <f t="shared" si="28"/>
        <v xml:space="preserve">   </v>
      </c>
      <c r="BN158" s="42">
        <f t="shared" si="29"/>
        <v>11303</v>
      </c>
      <c r="BS158" s="1">
        <v>9785</v>
      </c>
      <c r="BT158" s="1" t="s">
        <v>902</v>
      </c>
      <c r="BX158" s="36"/>
    </row>
    <row r="159" spans="1:76" ht="14.25">
      <c r="A159" s="55">
        <v>11304</v>
      </c>
      <c r="B159" s="36" t="s">
        <v>82</v>
      </c>
      <c r="C159" s="36" t="s">
        <v>50</v>
      </c>
      <c r="D159" s="36" t="s">
        <v>906</v>
      </c>
      <c r="E159" s="36" t="s">
        <v>20</v>
      </c>
      <c r="F159" s="36" t="s">
        <v>87</v>
      </c>
      <c r="G159" s="36" t="s">
        <v>85</v>
      </c>
      <c r="H159" s="36" t="s">
        <v>58</v>
      </c>
      <c r="I159" s="36" t="s">
        <v>85</v>
      </c>
      <c r="J159" s="36" t="s">
        <v>1146</v>
      </c>
      <c r="K159" s="1" t="str">
        <f t="shared" si="30"/>
        <v/>
      </c>
      <c r="L159" s="1" t="str">
        <f t="shared" si="33"/>
        <v/>
      </c>
      <c r="M159" s="94">
        <v>154</v>
      </c>
      <c r="N159" s="36" t="s">
        <v>1809</v>
      </c>
      <c r="O159" s="95">
        <v>309861</v>
      </c>
      <c r="P159" s="36"/>
      <c r="Q159" s="110" t="str">
        <f t="shared" si="31"/>
        <v>Standard</v>
      </c>
      <c r="R159" s="1" t="str">
        <f t="shared" si="32"/>
        <v/>
      </c>
      <c r="S159" s="1">
        <f>IF(A159&gt;0,COUNT(A$2:A159),"")</f>
        <v>158</v>
      </c>
      <c r="T159" s="1" t="str">
        <f t="shared" si="23"/>
        <v xml:space="preserve">ASV70L-RETNKX </v>
      </c>
      <c r="U159" s="1" t="str">
        <f t="shared" si="24"/>
        <v xml:space="preserve">   </v>
      </c>
      <c r="V159" s="111" t="str">
        <f t="shared" si="25"/>
        <v/>
      </c>
      <c r="AA159" s="1">
        <v>30062</v>
      </c>
      <c r="AB159" s="1" t="s">
        <v>45</v>
      </c>
      <c r="AD159" s="1" t="str">
        <f t="shared" si="26"/>
        <v>664W</v>
      </c>
      <c r="AH159" s="116">
        <v>158</v>
      </c>
      <c r="AI159" s="122">
        <v>111</v>
      </c>
      <c r="AJ159" s="1" t="s">
        <v>1502</v>
      </c>
      <c r="AK159" s="1">
        <v>309554</v>
      </c>
      <c r="AL159" s="1" t="s">
        <v>930</v>
      </c>
      <c r="AN159" s="270">
        <v>253</v>
      </c>
      <c r="AP159" s="1">
        <v>158</v>
      </c>
      <c r="AQ159" s="1">
        <v>93</v>
      </c>
      <c r="AR159" s="1" t="s">
        <v>1186</v>
      </c>
      <c r="AS159" s="1">
        <v>309239</v>
      </c>
      <c r="AT159" s="1" t="s">
        <v>930</v>
      </c>
      <c r="AV159" s="241">
        <v>938</v>
      </c>
      <c r="AX159" s="1">
        <f t="shared" si="27"/>
        <v>1</v>
      </c>
      <c r="AY159" s="1" t="str">
        <f>IF(COUNTIF($AX$2:AX159,1)&gt;$AG$1,"",IF(AX159="","",E159))</f>
        <v>218</v>
      </c>
      <c r="BM159" s="138" t="str">
        <f t="shared" si="28"/>
        <v xml:space="preserve">   </v>
      </c>
      <c r="BN159" s="42">
        <f t="shared" si="29"/>
        <v>11304</v>
      </c>
      <c r="BS159" s="1">
        <v>9786</v>
      </c>
      <c r="BT159" s="1" t="s">
        <v>902</v>
      </c>
      <c r="BX159" s="36"/>
    </row>
    <row r="160" spans="1:76" ht="14.25">
      <c r="A160" s="55">
        <v>11305</v>
      </c>
      <c r="B160" s="36" t="s">
        <v>1158</v>
      </c>
      <c r="C160" s="36" t="s">
        <v>50</v>
      </c>
      <c r="D160" s="36" t="s">
        <v>909</v>
      </c>
      <c r="E160" s="36" t="s">
        <v>80</v>
      </c>
      <c r="F160" s="36" t="s">
        <v>903</v>
      </c>
      <c r="G160" s="36" t="s">
        <v>921</v>
      </c>
      <c r="H160" s="36" t="s">
        <v>58</v>
      </c>
      <c r="I160" s="36" t="s">
        <v>85</v>
      </c>
      <c r="J160" s="36" t="s">
        <v>1146</v>
      </c>
      <c r="K160" s="1" t="str">
        <f t="shared" si="30"/>
        <v/>
      </c>
      <c r="L160" s="1" t="str">
        <f t="shared" si="33"/>
        <v/>
      </c>
      <c r="M160" s="94">
        <v>155</v>
      </c>
      <c r="N160" s="36" t="s">
        <v>1810</v>
      </c>
      <c r="O160" s="95">
        <v>309862</v>
      </c>
      <c r="P160" s="36"/>
      <c r="Q160" s="110" t="str">
        <f t="shared" si="31"/>
        <v/>
      </c>
      <c r="R160" s="1" t="str">
        <f t="shared" si="32"/>
        <v>Auto</v>
      </c>
      <c r="S160" s="1">
        <f>IF(A160&gt;0,COUNT(A$2:A160),"")</f>
        <v>159</v>
      </c>
      <c r="T160" s="1" t="str">
        <f t="shared" si="23"/>
        <v>AXAA54L-RNZGBX</v>
      </c>
      <c r="U160" s="1" t="str">
        <f t="shared" si="24"/>
        <v>8AT</v>
      </c>
      <c r="V160" s="111" t="str">
        <f t="shared" si="25"/>
        <v/>
      </c>
      <c r="AA160" s="1">
        <v>30063</v>
      </c>
      <c r="AB160" s="1" t="s">
        <v>81</v>
      </c>
      <c r="AD160" s="1" t="str">
        <f t="shared" si="26"/>
        <v>831W</v>
      </c>
      <c r="AH160" s="116">
        <v>159</v>
      </c>
      <c r="AI160" s="122">
        <v>112</v>
      </c>
      <c r="AJ160" s="1" t="s">
        <v>1503</v>
      </c>
      <c r="AK160" s="1">
        <v>309555</v>
      </c>
      <c r="AL160" s="1" t="s">
        <v>115</v>
      </c>
      <c r="AN160" s="270">
        <v>254</v>
      </c>
      <c r="AP160" s="1">
        <v>159</v>
      </c>
      <c r="AQ160" s="1">
        <v>94</v>
      </c>
      <c r="AR160" s="1" t="s">
        <v>1179</v>
      </c>
      <c r="AS160" s="1">
        <v>309075</v>
      </c>
      <c r="AT160" s="1" t="s">
        <v>930</v>
      </c>
      <c r="AV160" s="241">
        <v>774</v>
      </c>
      <c r="AX160" s="1">
        <f t="shared" si="27"/>
        <v>1</v>
      </c>
      <c r="AY160" s="1" t="str">
        <f>IF(COUNTIF($AX$2:AX160,1)&gt;$AG$1,"",IF(AX160="","",E160))</f>
        <v>089</v>
      </c>
      <c r="BM160" s="138" t="str">
        <f t="shared" si="28"/>
        <v xml:space="preserve">   </v>
      </c>
      <c r="BN160" s="42">
        <f t="shared" si="29"/>
        <v>11305</v>
      </c>
      <c r="BS160" s="1">
        <v>9787</v>
      </c>
      <c r="BT160" s="1" t="s">
        <v>902</v>
      </c>
      <c r="BX160" s="36"/>
    </row>
    <row r="161" spans="1:76" ht="14.25">
      <c r="A161" s="55">
        <v>11306</v>
      </c>
      <c r="B161" s="36" t="s">
        <v>82</v>
      </c>
      <c r="C161" s="36" t="s">
        <v>50</v>
      </c>
      <c r="D161" s="36" t="s">
        <v>907</v>
      </c>
      <c r="E161" s="36" t="s">
        <v>20</v>
      </c>
      <c r="F161" s="36" t="s">
        <v>42</v>
      </c>
      <c r="G161" s="36" t="s">
        <v>85</v>
      </c>
      <c r="H161" s="36" t="s">
        <v>58</v>
      </c>
      <c r="I161" s="36" t="s">
        <v>85</v>
      </c>
      <c r="J161" s="36" t="s">
        <v>1146</v>
      </c>
      <c r="K161" s="1" t="str">
        <f t="shared" si="30"/>
        <v/>
      </c>
      <c r="L161" s="1" t="str">
        <f t="shared" si="33"/>
        <v/>
      </c>
      <c r="M161" s="94">
        <v>156</v>
      </c>
      <c r="N161" s="36" t="s">
        <v>1811</v>
      </c>
      <c r="O161" s="95">
        <v>309863</v>
      </c>
      <c r="P161" s="36"/>
      <c r="Q161" s="110" t="str">
        <f t="shared" si="31"/>
        <v>Standard</v>
      </c>
      <c r="R161" s="1" t="str">
        <f t="shared" si="32"/>
        <v/>
      </c>
      <c r="S161" s="1">
        <f>IF(A161&gt;0,COUNT(A$2:A161),"")</f>
        <v>160</v>
      </c>
      <c r="T161" s="1" t="str">
        <f t="shared" si="23"/>
        <v xml:space="preserve">ASV71L-RETNHX </v>
      </c>
      <c r="U161" s="1" t="str">
        <f t="shared" si="24"/>
        <v xml:space="preserve">   </v>
      </c>
      <c r="V161" s="111" t="str">
        <f t="shared" si="25"/>
        <v/>
      </c>
      <c r="AA161" s="1">
        <v>30064</v>
      </c>
      <c r="AB161" s="1" t="s">
        <v>44</v>
      </c>
      <c r="AD161" s="1" t="str">
        <f t="shared" si="26"/>
        <v>664W</v>
      </c>
      <c r="AH161" s="116">
        <v>160</v>
      </c>
      <c r="AI161" s="122">
        <v>113</v>
      </c>
      <c r="AJ161" s="1" t="s">
        <v>1504</v>
      </c>
      <c r="AK161" s="1">
        <v>309556</v>
      </c>
      <c r="AL161" s="1" t="s">
        <v>930</v>
      </c>
      <c r="AN161" s="270">
        <v>255</v>
      </c>
      <c r="AP161" s="1">
        <v>160</v>
      </c>
      <c r="AQ161" s="1">
        <v>95</v>
      </c>
      <c r="AR161" s="1" t="s">
        <v>1180</v>
      </c>
      <c r="AS161" s="1">
        <v>309076</v>
      </c>
      <c r="AT161" s="1" t="s">
        <v>115</v>
      </c>
      <c r="AV161" s="241">
        <v>775</v>
      </c>
      <c r="AX161" s="1">
        <f t="shared" si="27"/>
        <v>1</v>
      </c>
      <c r="AY161" s="1" t="str">
        <f>IF(COUNTIF($AX$2:AX161,1)&gt;$AG$1,"",IF(AX161="","",E161))</f>
        <v>218</v>
      </c>
      <c r="BM161" s="138" t="str">
        <f t="shared" si="28"/>
        <v xml:space="preserve">   </v>
      </c>
      <c r="BN161" s="42">
        <f t="shared" si="29"/>
        <v>11306</v>
      </c>
      <c r="BS161" s="1">
        <v>9788</v>
      </c>
      <c r="BT161" s="1" t="s">
        <v>902</v>
      </c>
      <c r="BX161" s="36"/>
    </row>
    <row r="162" spans="1:76" ht="14.25">
      <c r="A162" s="55">
        <v>11307</v>
      </c>
      <c r="B162" s="36" t="s">
        <v>1158</v>
      </c>
      <c r="C162" s="36" t="s">
        <v>50</v>
      </c>
      <c r="D162" s="36" t="s">
        <v>916</v>
      </c>
      <c r="E162" s="36" t="s">
        <v>80</v>
      </c>
      <c r="F162" s="36" t="s">
        <v>1139</v>
      </c>
      <c r="G162" s="36" t="s">
        <v>894</v>
      </c>
      <c r="H162" s="36" t="s">
        <v>58</v>
      </c>
      <c r="I162" s="36" t="s">
        <v>85</v>
      </c>
      <c r="J162" s="36" t="s">
        <v>1146</v>
      </c>
      <c r="K162" s="1" t="str">
        <f t="shared" si="30"/>
        <v/>
      </c>
      <c r="L162" s="1" t="str">
        <f t="shared" si="33"/>
        <v/>
      </c>
      <c r="M162" s="94">
        <v>157</v>
      </c>
      <c r="N162" s="36" t="s">
        <v>1812</v>
      </c>
      <c r="O162" s="95">
        <v>309864</v>
      </c>
      <c r="P162" s="36"/>
      <c r="Q162" s="110" t="str">
        <f t="shared" si="31"/>
        <v/>
      </c>
      <c r="R162" s="1" t="str">
        <f t="shared" si="32"/>
        <v>CVT</v>
      </c>
      <c r="S162" s="1">
        <f>IF(A162&gt;0,COUNT(A$2:A162),"")</f>
        <v>161</v>
      </c>
      <c r="T162" s="1" t="str">
        <f t="shared" si="23"/>
        <v>MXAA54L-RNXMBX</v>
      </c>
      <c r="U162" s="1" t="str">
        <f t="shared" si="24"/>
        <v>CVT</v>
      </c>
      <c r="V162" s="111" t="str">
        <f t="shared" si="25"/>
        <v/>
      </c>
      <c r="AA162" s="1">
        <v>30065</v>
      </c>
      <c r="AB162" s="1" t="s">
        <v>40</v>
      </c>
      <c r="AD162" s="1" t="str">
        <f t="shared" si="26"/>
        <v>831W</v>
      </c>
      <c r="AH162" s="116">
        <v>161</v>
      </c>
      <c r="AI162" s="122">
        <v>114</v>
      </c>
      <c r="AJ162" s="1" t="s">
        <v>1505</v>
      </c>
      <c r="AK162" s="1">
        <v>309557</v>
      </c>
      <c r="AL162" s="1" t="s">
        <v>930</v>
      </c>
      <c r="AN162" s="270">
        <v>256</v>
      </c>
      <c r="AP162" s="1">
        <v>161</v>
      </c>
      <c r="AQ162" s="1">
        <v>96</v>
      </c>
      <c r="AR162" s="1" t="s">
        <v>1181</v>
      </c>
      <c r="AS162" s="1">
        <v>309077</v>
      </c>
      <c r="AT162" s="1" t="s">
        <v>930</v>
      </c>
      <c r="AV162" s="241">
        <v>776</v>
      </c>
      <c r="AX162" s="1">
        <f t="shared" si="27"/>
        <v>1</v>
      </c>
      <c r="AY162" s="1" t="str">
        <f>IF(COUNTIF($AX$2:AX162,1)&gt;$AG$1,"",IF(AX162="","",E162))</f>
        <v>089</v>
      </c>
      <c r="BM162" s="138" t="str">
        <f t="shared" si="28"/>
        <v xml:space="preserve">   </v>
      </c>
      <c r="BN162" s="42">
        <f t="shared" si="29"/>
        <v>11307</v>
      </c>
      <c r="BS162" s="1">
        <v>9789</v>
      </c>
      <c r="BT162" s="1" t="s">
        <v>902</v>
      </c>
      <c r="BX162" s="36"/>
    </row>
    <row r="163" spans="1:76" ht="14.25">
      <c r="A163" s="55">
        <v>11308</v>
      </c>
      <c r="B163" s="36" t="s">
        <v>82</v>
      </c>
      <c r="C163" s="36" t="s">
        <v>50</v>
      </c>
      <c r="D163" s="36" t="s">
        <v>906</v>
      </c>
      <c r="E163" s="36" t="s">
        <v>20</v>
      </c>
      <c r="F163" s="36" t="s">
        <v>1148</v>
      </c>
      <c r="G163" s="36" t="s">
        <v>85</v>
      </c>
      <c r="H163" s="36" t="s">
        <v>58</v>
      </c>
      <c r="I163" s="36" t="s">
        <v>85</v>
      </c>
      <c r="J163" s="36" t="s">
        <v>1146</v>
      </c>
      <c r="K163" s="1" t="str">
        <f t="shared" si="30"/>
        <v/>
      </c>
      <c r="L163" s="1" t="str">
        <f t="shared" si="33"/>
        <v/>
      </c>
      <c r="M163" s="94">
        <v>158</v>
      </c>
      <c r="N163" s="36" t="s">
        <v>1813</v>
      </c>
      <c r="O163" s="95">
        <v>309865</v>
      </c>
      <c r="P163" s="36"/>
      <c r="Q163" s="110" t="str">
        <f t="shared" si="31"/>
        <v>Standard</v>
      </c>
      <c r="R163" s="1" t="str">
        <f t="shared" si="32"/>
        <v/>
      </c>
      <c r="S163" s="1">
        <f>IF(A163&gt;0,COUNT(A$2:A163),"")</f>
        <v>162</v>
      </c>
      <c r="T163" s="1" t="str">
        <f t="shared" si="23"/>
        <v xml:space="preserve">ASV70L-RETNKX </v>
      </c>
      <c r="U163" s="1" t="str">
        <f t="shared" si="24"/>
        <v xml:space="preserve">   </v>
      </c>
      <c r="V163" s="111" t="str">
        <f t="shared" si="25"/>
        <v/>
      </c>
      <c r="AA163" s="1">
        <v>30066</v>
      </c>
      <c r="AB163" s="1" t="s">
        <v>44</v>
      </c>
      <c r="AD163" s="1" t="str">
        <f t="shared" si="26"/>
        <v>664W</v>
      </c>
      <c r="AH163" s="116">
        <v>162</v>
      </c>
      <c r="AI163" s="122">
        <v>115</v>
      </c>
      <c r="AJ163" s="1" t="s">
        <v>1506</v>
      </c>
      <c r="AK163" s="1">
        <v>309558</v>
      </c>
      <c r="AL163" s="1" t="s">
        <v>115</v>
      </c>
      <c r="AN163" s="270">
        <v>257</v>
      </c>
      <c r="AP163" s="1">
        <v>162</v>
      </c>
      <c r="AQ163" s="1">
        <v>97</v>
      </c>
      <c r="AR163" s="1" t="s">
        <v>1182</v>
      </c>
      <c r="AS163" s="1">
        <v>309078</v>
      </c>
      <c r="AT163" s="1" t="s">
        <v>115</v>
      </c>
      <c r="AV163" s="241">
        <v>777</v>
      </c>
      <c r="AX163" s="1">
        <f t="shared" si="27"/>
        <v>1</v>
      </c>
      <c r="AY163" s="1" t="str">
        <f>IF(COUNTIF($AX$2:AX163,1)&gt;$AG$1,"",IF(AX163="","",E163))</f>
        <v>218</v>
      </c>
      <c r="BM163" s="138" t="str">
        <f t="shared" si="28"/>
        <v xml:space="preserve">   </v>
      </c>
      <c r="BN163" s="42">
        <f t="shared" si="29"/>
        <v>11308</v>
      </c>
      <c r="BS163" s="1">
        <v>9790</v>
      </c>
      <c r="BT163" s="1" t="s">
        <v>902</v>
      </c>
      <c r="BX163" s="36"/>
    </row>
    <row r="164" spans="1:76" ht="14.25">
      <c r="A164" s="55">
        <v>11309</v>
      </c>
      <c r="B164" s="36" t="s">
        <v>1158</v>
      </c>
      <c r="C164" s="36" t="s">
        <v>50</v>
      </c>
      <c r="D164" s="36" t="s">
        <v>913</v>
      </c>
      <c r="E164" s="36" t="s">
        <v>80</v>
      </c>
      <c r="F164" s="36" t="s">
        <v>931</v>
      </c>
      <c r="G164" s="36" t="s">
        <v>894</v>
      </c>
      <c r="H164" s="36" t="s">
        <v>58</v>
      </c>
      <c r="I164" s="36" t="s">
        <v>85</v>
      </c>
      <c r="J164" s="36" t="s">
        <v>1146</v>
      </c>
      <c r="K164" s="1" t="str">
        <f t="shared" si="30"/>
        <v/>
      </c>
      <c r="L164" s="1" t="str">
        <f t="shared" si="33"/>
        <v/>
      </c>
      <c r="M164" s="94">
        <v>159</v>
      </c>
      <c r="N164" s="36" t="s">
        <v>1814</v>
      </c>
      <c r="O164" s="95">
        <v>309866</v>
      </c>
      <c r="P164" s="36"/>
      <c r="Q164" s="110" t="str">
        <f t="shared" si="31"/>
        <v/>
      </c>
      <c r="R164" s="1" t="str">
        <f t="shared" si="32"/>
        <v>CVT</v>
      </c>
      <c r="S164" s="1">
        <f>IF(A164&gt;0,COUNT(A$2:A164),"")</f>
        <v>163</v>
      </c>
      <c r="T164" s="1" t="str">
        <f t="shared" si="23"/>
        <v>MXAA52L-RNXMBX</v>
      </c>
      <c r="U164" s="1" t="str">
        <f t="shared" si="24"/>
        <v>CVT</v>
      </c>
      <c r="V164" s="111" t="str">
        <f t="shared" si="25"/>
        <v/>
      </c>
      <c r="AA164" s="1">
        <v>30067</v>
      </c>
      <c r="AB164" s="1" t="s">
        <v>45</v>
      </c>
      <c r="AD164" s="1" t="str">
        <f t="shared" si="26"/>
        <v>831W</v>
      </c>
      <c r="AH164" s="116">
        <v>163</v>
      </c>
      <c r="AI164" s="122">
        <v>116</v>
      </c>
      <c r="AJ164" s="1" t="s">
        <v>1507</v>
      </c>
      <c r="AK164" s="1">
        <v>309559</v>
      </c>
      <c r="AL164" s="1" t="s">
        <v>930</v>
      </c>
      <c r="AN164" s="270">
        <v>258</v>
      </c>
      <c r="AP164" s="1">
        <v>163</v>
      </c>
      <c r="AQ164" s="1">
        <v>98</v>
      </c>
      <c r="AR164" s="1" t="s">
        <v>1183</v>
      </c>
      <c r="AS164" s="1">
        <v>309079</v>
      </c>
      <c r="AT164" s="1" t="s">
        <v>930</v>
      </c>
      <c r="AV164" s="241">
        <v>778</v>
      </c>
      <c r="AX164" s="1">
        <f t="shared" si="27"/>
        <v>1</v>
      </c>
      <c r="AY164" s="1" t="str">
        <f>IF(COUNTIF($AX$2:AX164,1)&gt;$AG$1,"",IF(AX164="","",E164))</f>
        <v>089</v>
      </c>
      <c r="BM164" s="138" t="str">
        <f t="shared" si="28"/>
        <v xml:space="preserve">   </v>
      </c>
      <c r="BN164" s="42">
        <f t="shared" si="29"/>
        <v>11309</v>
      </c>
      <c r="BS164" s="1">
        <v>9791</v>
      </c>
      <c r="BT164" s="1" t="s">
        <v>902</v>
      </c>
      <c r="BX164" s="36"/>
    </row>
    <row r="165" spans="1:76" ht="14.25">
      <c r="A165" s="55">
        <v>11310</v>
      </c>
      <c r="B165" s="36" t="s">
        <v>1158</v>
      </c>
      <c r="C165" s="36" t="s">
        <v>50</v>
      </c>
      <c r="D165" s="36" t="s">
        <v>910</v>
      </c>
      <c r="E165" s="36" t="s">
        <v>20</v>
      </c>
      <c r="F165" s="36" t="s">
        <v>1139</v>
      </c>
      <c r="G165" s="36" t="s">
        <v>921</v>
      </c>
      <c r="H165" s="36" t="s">
        <v>58</v>
      </c>
      <c r="I165" s="36" t="s">
        <v>85</v>
      </c>
      <c r="J165" s="36" t="s">
        <v>1146</v>
      </c>
      <c r="K165" s="1" t="str">
        <f t="shared" si="30"/>
        <v/>
      </c>
      <c r="L165" s="1" t="str">
        <f t="shared" si="33"/>
        <v/>
      </c>
      <c r="M165" s="94">
        <v>160</v>
      </c>
      <c r="N165" s="36" t="s">
        <v>1815</v>
      </c>
      <c r="O165" s="95">
        <v>309867</v>
      </c>
      <c r="P165" s="36"/>
      <c r="Q165" s="110" t="str">
        <f t="shared" si="31"/>
        <v/>
      </c>
      <c r="R165" s="1" t="str">
        <f t="shared" si="32"/>
        <v>Auto</v>
      </c>
      <c r="S165" s="1">
        <f>IF(A165&gt;0,COUNT(A$2:A165),"")</f>
        <v>164</v>
      </c>
      <c r="T165" s="1" t="str">
        <f t="shared" si="23"/>
        <v>AXAA54L-RNZMBX</v>
      </c>
      <c r="U165" s="1" t="str">
        <f t="shared" si="24"/>
        <v>8AT</v>
      </c>
      <c r="V165" s="111" t="str">
        <f t="shared" si="25"/>
        <v/>
      </c>
      <c r="AA165" s="1">
        <v>30068</v>
      </c>
      <c r="AB165" s="1" t="s">
        <v>44</v>
      </c>
      <c r="AD165" s="1" t="str">
        <f t="shared" si="26"/>
        <v>831W</v>
      </c>
      <c r="AH165" s="116">
        <v>164</v>
      </c>
      <c r="AI165" s="122">
        <v>117</v>
      </c>
      <c r="AJ165" s="1" t="s">
        <v>1508</v>
      </c>
      <c r="AK165" s="1">
        <v>309560</v>
      </c>
      <c r="AL165" s="1" t="s">
        <v>115</v>
      </c>
      <c r="AN165" s="270">
        <v>259</v>
      </c>
      <c r="AP165" s="1">
        <v>164</v>
      </c>
      <c r="AQ165" s="1">
        <v>99</v>
      </c>
      <c r="AR165" s="1" t="s">
        <v>1184</v>
      </c>
      <c r="AS165" s="1">
        <v>309080</v>
      </c>
      <c r="AT165" s="1" t="s">
        <v>115</v>
      </c>
      <c r="AV165" s="241">
        <v>779</v>
      </c>
      <c r="AX165" s="1">
        <f t="shared" si="27"/>
        <v>1</v>
      </c>
      <c r="AY165" s="1" t="str">
        <f>IF(COUNTIF($AX$2:AX165,1)&gt;$AG$1,"",IF(AX165="","",E165))</f>
        <v>218</v>
      </c>
      <c r="BM165" s="138" t="str">
        <f t="shared" si="28"/>
        <v xml:space="preserve">   </v>
      </c>
      <c r="BN165" s="42">
        <f t="shared" si="29"/>
        <v>11310</v>
      </c>
      <c r="BS165" s="1">
        <v>9792</v>
      </c>
      <c r="BT165" s="1" t="s">
        <v>902</v>
      </c>
      <c r="BX165" s="36"/>
    </row>
    <row r="166" spans="1:76" ht="14.25">
      <c r="A166" s="55">
        <v>11311</v>
      </c>
      <c r="B166" s="36" t="s">
        <v>82</v>
      </c>
      <c r="C166" s="36" t="s">
        <v>50</v>
      </c>
      <c r="D166" s="36" t="s">
        <v>906</v>
      </c>
      <c r="E166" s="36" t="s">
        <v>80</v>
      </c>
      <c r="F166" s="36" t="s">
        <v>86</v>
      </c>
      <c r="G166" s="36" t="s">
        <v>85</v>
      </c>
      <c r="H166" s="36" t="s">
        <v>58</v>
      </c>
      <c r="I166" s="36" t="s">
        <v>85</v>
      </c>
      <c r="J166" s="36" t="s">
        <v>1146</v>
      </c>
      <c r="K166" s="1" t="str">
        <f t="shared" si="30"/>
        <v/>
      </c>
      <c r="L166" s="1" t="str">
        <f t="shared" si="33"/>
        <v/>
      </c>
      <c r="M166" s="94">
        <v>161</v>
      </c>
      <c r="N166" s="36" t="s">
        <v>1816</v>
      </c>
      <c r="O166" s="95">
        <v>309868</v>
      </c>
      <c r="P166" s="36"/>
      <c r="Q166" s="110" t="str">
        <f t="shared" si="31"/>
        <v>Standard</v>
      </c>
      <c r="R166" s="1" t="str">
        <f t="shared" si="32"/>
        <v/>
      </c>
      <c r="S166" s="1">
        <f>IF(A166&gt;0,COUNT(A$2:A166),"")</f>
        <v>165</v>
      </c>
      <c r="T166" s="1" t="str">
        <f t="shared" si="23"/>
        <v xml:space="preserve">ASV70L-RETNKX </v>
      </c>
      <c r="U166" s="1" t="str">
        <f t="shared" si="24"/>
        <v xml:space="preserve">   </v>
      </c>
      <c r="V166" s="111" t="str">
        <f t="shared" si="25"/>
        <v/>
      </c>
      <c r="AA166" s="1">
        <v>30069</v>
      </c>
      <c r="AB166" s="1" t="s">
        <v>45</v>
      </c>
      <c r="AD166" s="1" t="str">
        <f t="shared" si="26"/>
        <v>664W</v>
      </c>
      <c r="AH166" s="116">
        <v>165</v>
      </c>
      <c r="AI166" s="122">
        <v>118</v>
      </c>
      <c r="AJ166" s="1" t="s">
        <v>1509</v>
      </c>
      <c r="AK166" s="1">
        <v>309561</v>
      </c>
      <c r="AL166" s="1" t="s">
        <v>930</v>
      </c>
      <c r="AN166" s="270">
        <v>260</v>
      </c>
      <c r="AP166" s="1">
        <v>165</v>
      </c>
      <c r="AQ166" s="1">
        <v>100</v>
      </c>
      <c r="AR166" s="1" t="s">
        <v>1185</v>
      </c>
      <c r="AS166" s="1">
        <v>309081</v>
      </c>
      <c r="AT166" s="1" t="s">
        <v>930</v>
      </c>
      <c r="AV166" s="241">
        <v>780</v>
      </c>
      <c r="AX166" s="1">
        <f t="shared" si="27"/>
        <v>1</v>
      </c>
      <c r="AY166" s="1" t="str">
        <f>IF(COUNTIF($AX$2:AX166,1)&gt;$AG$1,"",IF(AX166="","",E166))</f>
        <v>089</v>
      </c>
      <c r="BM166" s="138" t="str">
        <f t="shared" si="28"/>
        <v xml:space="preserve">   </v>
      </c>
      <c r="BN166" s="42">
        <f t="shared" si="29"/>
        <v>11311</v>
      </c>
      <c r="BS166" s="1">
        <v>9793</v>
      </c>
      <c r="BT166" s="1" t="s">
        <v>902</v>
      </c>
      <c r="BX166" s="36"/>
    </row>
    <row r="167" spans="1:76" ht="14.25">
      <c r="A167" s="55">
        <v>11312</v>
      </c>
      <c r="B167" s="36" t="s">
        <v>1158</v>
      </c>
      <c r="C167" s="36" t="s">
        <v>50</v>
      </c>
      <c r="D167" s="36" t="s">
        <v>915</v>
      </c>
      <c r="E167" s="36" t="s">
        <v>10</v>
      </c>
      <c r="F167" s="36" t="s">
        <v>1149</v>
      </c>
      <c r="G167" s="36" t="s">
        <v>894</v>
      </c>
      <c r="H167" s="36" t="s">
        <v>58</v>
      </c>
      <c r="I167" s="36" t="s">
        <v>85</v>
      </c>
      <c r="J167" s="36" t="s">
        <v>1146</v>
      </c>
      <c r="K167" s="1" t="str">
        <f t="shared" si="30"/>
        <v/>
      </c>
      <c r="L167" s="1" t="str">
        <f t="shared" si="33"/>
        <v/>
      </c>
      <c r="M167" s="94">
        <v>162</v>
      </c>
      <c r="N167" s="36" t="s">
        <v>1817</v>
      </c>
      <c r="O167" s="95">
        <v>309869</v>
      </c>
      <c r="P167" s="36"/>
      <c r="Q167" s="110" t="str">
        <f t="shared" si="31"/>
        <v/>
      </c>
      <c r="R167" s="1" t="str">
        <f t="shared" si="32"/>
        <v>CVT</v>
      </c>
      <c r="S167" s="1">
        <f>IF(A167&gt;0,COUNT(A$2:A167),"")</f>
        <v>166</v>
      </c>
      <c r="T167" s="1" t="str">
        <f t="shared" si="23"/>
        <v>MXAA54L-RNXGBX</v>
      </c>
      <c r="U167" s="1" t="str">
        <f t="shared" si="24"/>
        <v>CVT</v>
      </c>
      <c r="V167" s="111" t="str">
        <f t="shared" si="25"/>
        <v/>
      </c>
      <c r="AA167" s="1">
        <v>30070</v>
      </c>
      <c r="AB167" s="1" t="s">
        <v>44</v>
      </c>
      <c r="AD167" s="1" t="str">
        <f t="shared" si="26"/>
        <v>831W</v>
      </c>
      <c r="AH167" s="116">
        <v>166</v>
      </c>
      <c r="AI167" s="122">
        <v>119</v>
      </c>
      <c r="AJ167" s="1" t="s">
        <v>1510</v>
      </c>
      <c r="AK167" s="1">
        <v>309562</v>
      </c>
      <c r="AL167" s="1" t="s">
        <v>115</v>
      </c>
      <c r="AN167" s="270">
        <v>261</v>
      </c>
      <c r="AP167" s="1">
        <v>166</v>
      </c>
      <c r="AQ167" s="1">
        <v>130</v>
      </c>
      <c r="AR167" s="1" t="s">
        <v>1176</v>
      </c>
      <c r="AS167" s="1">
        <v>308331</v>
      </c>
      <c r="AT167" s="1" t="s">
        <v>115</v>
      </c>
      <c r="AV167" s="241">
        <v>30</v>
      </c>
      <c r="AW167" s="250"/>
      <c r="AX167" s="1">
        <f t="shared" si="27"/>
        <v>1</v>
      </c>
      <c r="AY167" s="1" t="str">
        <f>IF(COUNTIF($AX$2:AX167,1)&gt;$AG$1,"",IF(AX167="","",E167))</f>
        <v>1F7</v>
      </c>
      <c r="BM167" s="138" t="str">
        <f t="shared" si="28"/>
        <v xml:space="preserve">   </v>
      </c>
      <c r="BN167" s="42">
        <f t="shared" si="29"/>
        <v>11312</v>
      </c>
      <c r="BS167" s="1">
        <v>9794</v>
      </c>
      <c r="BT167" s="1" t="s">
        <v>902</v>
      </c>
      <c r="BX167" s="36"/>
    </row>
    <row r="168" spans="1:76" ht="14.25">
      <c r="A168" s="55">
        <v>11313</v>
      </c>
      <c r="B168" s="36" t="s">
        <v>82</v>
      </c>
      <c r="C168" s="36" t="s">
        <v>50</v>
      </c>
      <c r="D168" s="36" t="s">
        <v>906</v>
      </c>
      <c r="E168" s="36" t="s">
        <v>1128</v>
      </c>
      <c r="F168" s="36" t="s">
        <v>1129</v>
      </c>
      <c r="G168" s="36" t="s">
        <v>85</v>
      </c>
      <c r="H168" s="36" t="s">
        <v>58</v>
      </c>
      <c r="I168" s="36" t="s">
        <v>85</v>
      </c>
      <c r="J168" s="36" t="s">
        <v>1146</v>
      </c>
      <c r="K168" s="1" t="str">
        <f t="shared" si="30"/>
        <v/>
      </c>
      <c r="L168" s="1" t="str">
        <f t="shared" si="33"/>
        <v/>
      </c>
      <c r="M168" s="94">
        <v>163</v>
      </c>
      <c r="N168" s="36" t="s">
        <v>1818</v>
      </c>
      <c r="O168" s="95">
        <v>309870</v>
      </c>
      <c r="P168" s="36"/>
      <c r="Q168" s="110" t="str">
        <f t="shared" si="31"/>
        <v>Sport</v>
      </c>
      <c r="R168" s="1" t="str">
        <f t="shared" si="32"/>
        <v/>
      </c>
      <c r="S168" s="1">
        <f>IF(A168&gt;0,COUNT(A$2:A168),"")</f>
        <v>167</v>
      </c>
      <c r="T168" s="1" t="str">
        <f t="shared" si="23"/>
        <v xml:space="preserve">ASV70L-RETNKX </v>
      </c>
      <c r="U168" s="1" t="str">
        <f t="shared" si="24"/>
        <v xml:space="preserve">   </v>
      </c>
      <c r="V168" s="111" t="str">
        <f t="shared" si="25"/>
        <v/>
      </c>
      <c r="AA168" s="1">
        <v>30071</v>
      </c>
      <c r="AB168" s="1" t="s">
        <v>44</v>
      </c>
      <c r="AD168" s="1" t="str">
        <f t="shared" si="26"/>
        <v>664W</v>
      </c>
      <c r="AH168" s="116">
        <v>167</v>
      </c>
      <c r="AI168" s="122">
        <v>120</v>
      </c>
      <c r="AJ168" s="1" t="s">
        <v>1511</v>
      </c>
      <c r="AK168" s="1">
        <v>309563</v>
      </c>
      <c r="AL168" s="1" t="s">
        <v>930</v>
      </c>
      <c r="AN168" s="270">
        <v>262</v>
      </c>
      <c r="AP168" s="1">
        <v>167</v>
      </c>
      <c r="AQ168" s="1">
        <v>131</v>
      </c>
      <c r="AR168" s="1" t="s">
        <v>1177</v>
      </c>
      <c r="AS168" s="1">
        <v>308332</v>
      </c>
      <c r="AT168" s="1" t="s">
        <v>930</v>
      </c>
      <c r="AV168" s="241">
        <v>31</v>
      </c>
      <c r="AX168" s="1">
        <f t="shared" si="27"/>
        <v>1</v>
      </c>
      <c r="AY168" s="1" t="str">
        <f>IF(COUNTIF($AX$2:AX168,1)&gt;$AG$1,"",IF(AX168="","",E168))</f>
        <v>2PS</v>
      </c>
      <c r="BM168" s="138" t="str">
        <f t="shared" si="28"/>
        <v xml:space="preserve">   </v>
      </c>
      <c r="BN168" s="42">
        <f t="shared" si="29"/>
        <v>11313</v>
      </c>
      <c r="BS168" s="1">
        <v>9795</v>
      </c>
      <c r="BT168" s="1" t="s">
        <v>902</v>
      </c>
      <c r="BX168" s="36"/>
    </row>
    <row r="169" spans="1:76" ht="14.25">
      <c r="A169" s="55">
        <v>11314</v>
      </c>
      <c r="B169" s="36" t="s">
        <v>1158</v>
      </c>
      <c r="C169" s="36" t="s">
        <v>50</v>
      </c>
      <c r="D169" s="36" t="s">
        <v>916</v>
      </c>
      <c r="E169" s="36" t="s">
        <v>80</v>
      </c>
      <c r="F169" s="36" t="s">
        <v>1174</v>
      </c>
      <c r="G169" s="36" t="s">
        <v>894</v>
      </c>
      <c r="H169" s="36" t="s">
        <v>58</v>
      </c>
      <c r="I169" s="36" t="s">
        <v>85</v>
      </c>
      <c r="J169" s="36" t="s">
        <v>1146</v>
      </c>
      <c r="K169" s="1" t="str">
        <f t="shared" si="30"/>
        <v/>
      </c>
      <c r="L169" s="1" t="str">
        <f t="shared" si="33"/>
        <v/>
      </c>
      <c r="M169" s="94">
        <v>164</v>
      </c>
      <c r="N169" s="36" t="s">
        <v>1819</v>
      </c>
      <c r="O169" s="95">
        <v>309871</v>
      </c>
      <c r="P169" s="36"/>
      <c r="Q169" s="110" t="str">
        <f t="shared" si="31"/>
        <v/>
      </c>
      <c r="R169" s="1" t="str">
        <f t="shared" si="32"/>
        <v>CVT</v>
      </c>
      <c r="S169" s="1">
        <f>IF(A169&gt;0,COUNT(A$2:A169),"")</f>
        <v>168</v>
      </c>
      <c r="T169" s="1" t="str">
        <f t="shared" si="23"/>
        <v>MXAA54L-RNXMBX</v>
      </c>
      <c r="U169" s="1" t="str">
        <f t="shared" si="24"/>
        <v>CVT</v>
      </c>
      <c r="V169" s="111" t="str">
        <f t="shared" si="25"/>
        <v/>
      </c>
      <c r="AA169" s="1">
        <v>30072</v>
      </c>
      <c r="AB169" s="1" t="s">
        <v>44</v>
      </c>
      <c r="AD169" s="1" t="str">
        <f t="shared" si="26"/>
        <v>831W</v>
      </c>
      <c r="AH169" s="116">
        <v>168</v>
      </c>
      <c r="AI169" s="122">
        <v>121</v>
      </c>
      <c r="AJ169" s="1" t="s">
        <v>1512</v>
      </c>
      <c r="AK169" s="1">
        <v>309564</v>
      </c>
      <c r="AL169" s="1" t="s">
        <v>930</v>
      </c>
      <c r="AN169" s="270">
        <v>263</v>
      </c>
      <c r="AP169" s="1">
        <v>168</v>
      </c>
      <c r="AQ169" s="1">
        <v>132</v>
      </c>
      <c r="AR169" s="1" t="s">
        <v>1178</v>
      </c>
      <c r="AS169" s="1">
        <v>308333</v>
      </c>
      <c r="AT169" s="1" t="s">
        <v>115</v>
      </c>
      <c r="AV169" s="241">
        <v>32</v>
      </c>
      <c r="AX169" s="1">
        <f t="shared" si="27"/>
        <v>1</v>
      </c>
      <c r="AY169" s="1" t="str">
        <f>IF(COUNTIF($AX$2:AX169,1)&gt;$AG$1,"",IF(AX169="","",E169))</f>
        <v>089</v>
      </c>
      <c r="BM169" s="138" t="str">
        <f t="shared" si="28"/>
        <v xml:space="preserve">   </v>
      </c>
      <c r="BN169" s="42">
        <f t="shared" si="29"/>
        <v>11314</v>
      </c>
      <c r="BS169" s="1">
        <v>9796</v>
      </c>
      <c r="BT169" s="1" t="s">
        <v>902</v>
      </c>
      <c r="BX169" s="36"/>
    </row>
    <row r="170" spans="1:76" ht="14.25">
      <c r="A170" s="55">
        <v>11315</v>
      </c>
      <c r="B170" s="36" t="s">
        <v>82</v>
      </c>
      <c r="C170" s="36" t="s">
        <v>50</v>
      </c>
      <c r="D170" s="36" t="s">
        <v>906</v>
      </c>
      <c r="E170" s="36" t="s">
        <v>20</v>
      </c>
      <c r="F170" s="36" t="s">
        <v>88</v>
      </c>
      <c r="G170" s="36" t="s">
        <v>85</v>
      </c>
      <c r="H170" s="36" t="s">
        <v>58</v>
      </c>
      <c r="I170" s="36" t="s">
        <v>85</v>
      </c>
      <c r="J170" s="36" t="s">
        <v>1146</v>
      </c>
      <c r="K170" s="1" t="str">
        <f t="shared" si="30"/>
        <v/>
      </c>
      <c r="L170" s="1" t="str">
        <f t="shared" si="33"/>
        <v/>
      </c>
      <c r="M170" s="94">
        <v>165</v>
      </c>
      <c r="N170" s="36" t="s">
        <v>1820</v>
      </c>
      <c r="O170" s="95">
        <v>309872</v>
      </c>
      <c r="P170" s="36"/>
      <c r="Q170" s="110" t="str">
        <f t="shared" si="31"/>
        <v>Standard</v>
      </c>
      <c r="R170" s="1" t="str">
        <f t="shared" si="32"/>
        <v/>
      </c>
      <c r="S170" s="1">
        <f>IF(A170&gt;0,COUNT(A$2:A170),"")</f>
        <v>169</v>
      </c>
      <c r="T170" s="1" t="str">
        <f t="shared" si="23"/>
        <v xml:space="preserve">ASV70L-RETNKX </v>
      </c>
      <c r="U170" s="1" t="str">
        <f t="shared" si="24"/>
        <v xml:space="preserve">   </v>
      </c>
      <c r="V170" s="111" t="str">
        <f t="shared" si="25"/>
        <v/>
      </c>
      <c r="AA170" s="1">
        <v>30073</v>
      </c>
      <c r="AB170" s="1" t="s">
        <v>44</v>
      </c>
      <c r="AD170" s="1" t="str">
        <f t="shared" si="26"/>
        <v>664W</v>
      </c>
      <c r="AH170" s="116">
        <v>169</v>
      </c>
      <c r="AI170" s="122">
        <v>122</v>
      </c>
      <c r="AJ170" s="1" t="s">
        <v>1513</v>
      </c>
      <c r="AK170" s="1">
        <v>309565</v>
      </c>
      <c r="AL170" s="1" t="s">
        <v>115</v>
      </c>
      <c r="AN170" s="270">
        <v>264</v>
      </c>
      <c r="AP170" s="1">
        <v>169</v>
      </c>
      <c r="AQ170" s="1">
        <v>140</v>
      </c>
      <c r="AR170" s="1" t="s">
        <v>1173</v>
      </c>
      <c r="AS170" s="1">
        <v>307517</v>
      </c>
      <c r="AT170" s="1" t="s">
        <v>930</v>
      </c>
      <c r="AV170" s="241">
        <v>216</v>
      </c>
      <c r="AX170" s="1">
        <f t="shared" si="27"/>
        <v>1</v>
      </c>
      <c r="AY170" s="1" t="str">
        <f>IF(COUNTIF($AX$2:AX170,1)&gt;$AG$1,"",IF(AX170="","",E170))</f>
        <v>218</v>
      </c>
      <c r="BM170" s="138" t="str">
        <f t="shared" si="28"/>
        <v xml:space="preserve">   </v>
      </c>
      <c r="BN170" s="42">
        <f t="shared" si="29"/>
        <v>11315</v>
      </c>
      <c r="BS170" s="1">
        <v>9797</v>
      </c>
      <c r="BT170" s="1" t="s">
        <v>902</v>
      </c>
      <c r="BX170" s="36"/>
    </row>
    <row r="171" spans="1:76" ht="14.25">
      <c r="A171" s="55">
        <v>11316</v>
      </c>
      <c r="B171" s="36" t="s">
        <v>1158</v>
      </c>
      <c r="C171" s="36" t="s">
        <v>50</v>
      </c>
      <c r="D171" s="36" t="s">
        <v>910</v>
      </c>
      <c r="E171" s="36" t="s">
        <v>20</v>
      </c>
      <c r="F171" s="36" t="s">
        <v>1139</v>
      </c>
      <c r="G171" s="36" t="s">
        <v>921</v>
      </c>
      <c r="H171" s="36" t="s">
        <v>58</v>
      </c>
      <c r="I171" s="36" t="s">
        <v>85</v>
      </c>
      <c r="J171" s="36" t="s">
        <v>1146</v>
      </c>
      <c r="K171" s="1" t="str">
        <f t="shared" si="30"/>
        <v/>
      </c>
      <c r="L171" s="1" t="str">
        <f t="shared" si="33"/>
        <v/>
      </c>
      <c r="M171" s="94">
        <v>166</v>
      </c>
      <c r="N171" s="36" t="s">
        <v>1821</v>
      </c>
      <c r="O171" s="95">
        <v>309873</v>
      </c>
      <c r="P171" s="36"/>
      <c r="Q171" s="110" t="str">
        <f t="shared" si="31"/>
        <v/>
      </c>
      <c r="R171" s="1" t="str">
        <f t="shared" si="32"/>
        <v>Auto</v>
      </c>
      <c r="S171" s="1">
        <f>IF(A171&gt;0,COUNT(A$2:A171),"")</f>
        <v>170</v>
      </c>
      <c r="T171" s="1" t="str">
        <f t="shared" si="23"/>
        <v>AXAA54L-RNZMBX</v>
      </c>
      <c r="U171" s="1" t="str">
        <f t="shared" si="24"/>
        <v>8AT</v>
      </c>
      <c r="V171" s="111" t="str">
        <f t="shared" si="25"/>
        <v/>
      </c>
      <c r="AA171" s="1">
        <v>30074</v>
      </c>
      <c r="AB171" s="1" t="s">
        <v>43</v>
      </c>
      <c r="AD171" s="1" t="str">
        <f t="shared" si="26"/>
        <v>831W</v>
      </c>
      <c r="AH171" s="253">
        <v>170</v>
      </c>
      <c r="AI171" s="122">
        <v>123</v>
      </c>
      <c r="AJ171" s="1" t="s">
        <v>1514</v>
      </c>
      <c r="AK171" s="1">
        <v>309566</v>
      </c>
      <c r="AL171" s="1" t="s">
        <v>930</v>
      </c>
      <c r="AN171" s="270">
        <v>265</v>
      </c>
      <c r="AP171" s="1">
        <v>170</v>
      </c>
      <c r="AQ171" s="1">
        <v>153</v>
      </c>
      <c r="AR171" s="1" t="s">
        <v>1168</v>
      </c>
      <c r="AS171" s="1">
        <v>306693</v>
      </c>
      <c r="AT171" s="1" t="s">
        <v>930</v>
      </c>
      <c r="AV171" s="241">
        <v>392</v>
      </c>
      <c r="AX171" s="1">
        <f t="shared" si="27"/>
        <v>1</v>
      </c>
      <c r="AY171" s="1" t="str">
        <f>IF(COUNTIF($AX$2:AX171,1)&gt;$AG$1,"",IF(AX171="","",E171))</f>
        <v>218</v>
      </c>
      <c r="BM171" s="138" t="str">
        <f t="shared" si="28"/>
        <v xml:space="preserve">   </v>
      </c>
      <c r="BN171" s="42">
        <f t="shared" si="29"/>
        <v>11316</v>
      </c>
      <c r="BS171" s="1">
        <v>9798</v>
      </c>
      <c r="BT171" s="1" t="s">
        <v>902</v>
      </c>
      <c r="BX171" s="36"/>
    </row>
    <row r="172" spans="1:76" ht="14.25">
      <c r="A172" s="55">
        <v>11317</v>
      </c>
      <c r="B172" s="36" t="s">
        <v>1158</v>
      </c>
      <c r="C172" s="36" t="s">
        <v>50</v>
      </c>
      <c r="D172" s="36" t="s">
        <v>915</v>
      </c>
      <c r="E172" s="36" t="s">
        <v>80</v>
      </c>
      <c r="F172" s="36" t="s">
        <v>903</v>
      </c>
      <c r="G172" s="36" t="s">
        <v>894</v>
      </c>
      <c r="H172" s="36" t="s">
        <v>58</v>
      </c>
      <c r="I172" s="36" t="s">
        <v>85</v>
      </c>
      <c r="J172" s="36" t="s">
        <v>1146</v>
      </c>
      <c r="K172" s="1" t="str">
        <f t="shared" si="30"/>
        <v/>
      </c>
      <c r="L172" s="1" t="str">
        <f t="shared" si="33"/>
        <v/>
      </c>
      <c r="M172" s="94">
        <v>167</v>
      </c>
      <c r="N172" s="36" t="s">
        <v>1822</v>
      </c>
      <c r="O172" s="95">
        <v>309874</v>
      </c>
      <c r="P172" s="36"/>
      <c r="Q172" s="110" t="str">
        <f t="shared" si="31"/>
        <v/>
      </c>
      <c r="R172" s="1" t="str">
        <f t="shared" si="32"/>
        <v>CVT</v>
      </c>
      <c r="S172" s="1">
        <f>IF(A172&gt;0,COUNT(A$2:A172),"")</f>
        <v>171</v>
      </c>
      <c r="T172" s="1" t="str">
        <f t="shared" si="23"/>
        <v>MXAA54L-RNXGBX</v>
      </c>
      <c r="U172" s="1" t="str">
        <f t="shared" si="24"/>
        <v>CVT</v>
      </c>
      <c r="V172" s="111" t="str">
        <f t="shared" si="25"/>
        <v/>
      </c>
      <c r="AA172" s="1">
        <v>30075</v>
      </c>
      <c r="AB172" s="1" t="s">
        <v>44</v>
      </c>
      <c r="AD172" s="1" t="str">
        <f t="shared" si="26"/>
        <v>831W</v>
      </c>
      <c r="AH172" s="116">
        <v>171</v>
      </c>
      <c r="AI172" s="122">
        <v>124</v>
      </c>
      <c r="AJ172" s="1" t="s">
        <v>1515</v>
      </c>
      <c r="AK172" s="1">
        <v>309567</v>
      </c>
      <c r="AL172" s="1" t="s">
        <v>115</v>
      </c>
      <c r="AN172" s="270">
        <v>266</v>
      </c>
      <c r="AP172" s="1">
        <v>171</v>
      </c>
      <c r="AQ172" s="1">
        <v>154</v>
      </c>
      <c r="AR172" s="1" t="s">
        <v>1169</v>
      </c>
      <c r="AS172" s="1">
        <v>306694</v>
      </c>
      <c r="AT172" s="1" t="s">
        <v>930</v>
      </c>
      <c r="AV172" s="241">
        <v>393</v>
      </c>
      <c r="AX172" s="1">
        <f t="shared" si="27"/>
        <v>1</v>
      </c>
      <c r="AY172" s="1" t="str">
        <f>IF(COUNTIF($AX$2:AX172,1)&gt;$AG$1,"",IF(AX172="","",E172))</f>
        <v>089</v>
      </c>
      <c r="BM172" s="138" t="str">
        <f t="shared" si="28"/>
        <v xml:space="preserve">   </v>
      </c>
      <c r="BN172" s="42">
        <f t="shared" si="29"/>
        <v>11317</v>
      </c>
      <c r="BS172" s="1">
        <v>9799</v>
      </c>
      <c r="BT172" s="1" t="s">
        <v>902</v>
      </c>
      <c r="BX172" s="36"/>
    </row>
    <row r="173" spans="1:76" ht="14.25">
      <c r="A173" s="55">
        <v>11318</v>
      </c>
      <c r="B173" s="36" t="s">
        <v>82</v>
      </c>
      <c r="C173" s="36" t="s">
        <v>50</v>
      </c>
      <c r="D173" s="36" t="s">
        <v>906</v>
      </c>
      <c r="E173" s="36" t="s">
        <v>20</v>
      </c>
      <c r="F173" s="36" t="s">
        <v>87</v>
      </c>
      <c r="G173" s="36" t="s">
        <v>85</v>
      </c>
      <c r="H173" s="36" t="s">
        <v>58</v>
      </c>
      <c r="I173" s="36" t="s">
        <v>85</v>
      </c>
      <c r="J173" s="36" t="s">
        <v>1146</v>
      </c>
      <c r="K173" s="1" t="str">
        <f t="shared" si="30"/>
        <v/>
      </c>
      <c r="L173" s="1" t="str">
        <f t="shared" si="33"/>
        <v/>
      </c>
      <c r="M173" s="94">
        <v>168</v>
      </c>
      <c r="N173" s="36" t="s">
        <v>1823</v>
      </c>
      <c r="O173" s="95">
        <v>309875</v>
      </c>
      <c r="P173" s="36"/>
      <c r="Q173" s="110" t="str">
        <f t="shared" si="31"/>
        <v>Standard</v>
      </c>
      <c r="R173" s="1" t="str">
        <f t="shared" si="32"/>
        <v/>
      </c>
      <c r="S173" s="1">
        <f>IF(A173&gt;0,COUNT(A$2:A173),"")</f>
        <v>172</v>
      </c>
      <c r="T173" s="1" t="str">
        <f t="shared" si="23"/>
        <v xml:space="preserve">ASV70L-RETNKX </v>
      </c>
      <c r="U173" s="1" t="str">
        <f t="shared" si="24"/>
        <v xml:space="preserve">   </v>
      </c>
      <c r="V173" s="111" t="str">
        <f t="shared" si="25"/>
        <v/>
      </c>
      <c r="AA173" s="1">
        <v>30076</v>
      </c>
      <c r="AB173" s="1" t="s">
        <v>78</v>
      </c>
      <c r="AD173" s="1" t="str">
        <f t="shared" si="26"/>
        <v>664W</v>
      </c>
      <c r="AH173" s="116">
        <v>172</v>
      </c>
      <c r="AI173" s="122">
        <v>125</v>
      </c>
      <c r="AJ173" s="1" t="s">
        <v>1516</v>
      </c>
      <c r="AK173" s="1">
        <v>309568</v>
      </c>
      <c r="AL173" s="1" t="s">
        <v>930</v>
      </c>
      <c r="AN173" s="270">
        <v>267</v>
      </c>
      <c r="AP173" s="1">
        <v>172</v>
      </c>
      <c r="AQ173" s="1">
        <v>149</v>
      </c>
      <c r="AR173" s="1" t="s">
        <v>1160</v>
      </c>
      <c r="AS173" s="1">
        <v>306029</v>
      </c>
      <c r="AT173" s="1" t="s">
        <v>930</v>
      </c>
      <c r="AV173" s="241">
        <v>728</v>
      </c>
      <c r="AX173" s="1">
        <f t="shared" si="27"/>
        <v>1</v>
      </c>
      <c r="AY173" s="1" t="str">
        <f>IF(COUNTIF($AX$2:AX173,1)&gt;$AG$1,"",IF(AX173="","",E173))</f>
        <v>218</v>
      </c>
      <c r="BM173" s="138" t="str">
        <f t="shared" si="28"/>
        <v xml:space="preserve">   </v>
      </c>
      <c r="BN173" s="42">
        <f t="shared" si="29"/>
        <v>11318</v>
      </c>
      <c r="BS173" s="1">
        <v>9800</v>
      </c>
      <c r="BT173" s="1" t="s">
        <v>902</v>
      </c>
      <c r="BX173" s="36"/>
    </row>
    <row r="174" spans="1:76" ht="14.25">
      <c r="A174" s="55">
        <v>11319</v>
      </c>
      <c r="B174" s="36" t="s">
        <v>1158</v>
      </c>
      <c r="C174" s="36" t="s">
        <v>50</v>
      </c>
      <c r="D174" s="36" t="s">
        <v>910</v>
      </c>
      <c r="E174" s="36" t="s">
        <v>79</v>
      </c>
      <c r="F174" s="36" t="s">
        <v>1139</v>
      </c>
      <c r="G174" s="36" t="s">
        <v>921</v>
      </c>
      <c r="H174" s="36" t="s">
        <v>58</v>
      </c>
      <c r="I174" s="36" t="s">
        <v>85</v>
      </c>
      <c r="J174" s="36" t="s">
        <v>1146</v>
      </c>
      <c r="K174" s="1" t="str">
        <f t="shared" si="30"/>
        <v/>
      </c>
      <c r="L174" s="1" t="str">
        <f t="shared" si="33"/>
        <v/>
      </c>
      <c r="M174" s="94">
        <v>169</v>
      </c>
      <c r="N174" s="36" t="s">
        <v>1824</v>
      </c>
      <c r="O174" s="95">
        <v>309876</v>
      </c>
      <c r="P174" s="36"/>
      <c r="Q174" s="110" t="str">
        <f t="shared" si="31"/>
        <v/>
      </c>
      <c r="R174" s="1" t="str">
        <f t="shared" si="32"/>
        <v>Auto</v>
      </c>
      <c r="S174" s="1">
        <f>IF(A174&gt;0,COUNT(A$2:A174),"")</f>
        <v>173</v>
      </c>
      <c r="T174" s="1" t="str">
        <f t="shared" si="23"/>
        <v>AXAA54L-RNZMBX</v>
      </c>
      <c r="U174" s="1" t="str">
        <f t="shared" si="24"/>
        <v>8AT</v>
      </c>
      <c r="V174" s="111" t="str">
        <f t="shared" si="25"/>
        <v/>
      </c>
      <c r="AA174" s="1">
        <v>30077</v>
      </c>
      <c r="AB174" s="1" t="s">
        <v>44</v>
      </c>
      <c r="AD174" s="1" t="str">
        <f t="shared" si="26"/>
        <v>831W</v>
      </c>
      <c r="AH174" s="116">
        <v>173</v>
      </c>
      <c r="AI174" s="122">
        <v>126</v>
      </c>
      <c r="AJ174" s="1" t="s">
        <v>1517</v>
      </c>
      <c r="AK174" s="1">
        <v>309569</v>
      </c>
      <c r="AL174" s="1" t="s">
        <v>115</v>
      </c>
      <c r="AN174" s="270">
        <v>268</v>
      </c>
      <c r="AP174" s="1">
        <v>173</v>
      </c>
      <c r="AQ174" s="1">
        <v>150</v>
      </c>
      <c r="AR174" s="1" t="s">
        <v>1161</v>
      </c>
      <c r="AS174" s="1">
        <v>306030</v>
      </c>
      <c r="AT174" s="1" t="s">
        <v>115</v>
      </c>
      <c r="AV174" s="241">
        <v>729</v>
      </c>
      <c r="AX174" s="1">
        <f t="shared" si="27"/>
        <v>1</v>
      </c>
      <c r="AY174" s="1" t="str">
        <f>IF(COUNTIF($AX$2:AX174,1)&gt;$AG$1,"",IF(AX174="","",E174))</f>
        <v>4X7</v>
      </c>
      <c r="BM174" s="138" t="str">
        <f t="shared" si="28"/>
        <v xml:space="preserve">   </v>
      </c>
      <c r="BN174" s="42">
        <f t="shared" si="29"/>
        <v>11319</v>
      </c>
      <c r="BS174" s="1">
        <v>9801</v>
      </c>
      <c r="BT174" s="1" t="s">
        <v>902</v>
      </c>
      <c r="BX174" s="36"/>
    </row>
    <row r="175" spans="1:76" ht="14.25">
      <c r="A175" s="55">
        <v>11320</v>
      </c>
      <c r="B175" s="36" t="s">
        <v>82</v>
      </c>
      <c r="C175" s="36" t="s">
        <v>50</v>
      </c>
      <c r="D175" s="36" t="s">
        <v>907</v>
      </c>
      <c r="E175" s="36" t="s">
        <v>21</v>
      </c>
      <c r="F175" s="36" t="s">
        <v>40</v>
      </c>
      <c r="G175" s="36" t="s">
        <v>85</v>
      </c>
      <c r="H175" s="36" t="s">
        <v>58</v>
      </c>
      <c r="I175" s="36" t="s">
        <v>85</v>
      </c>
      <c r="J175" s="36" t="s">
        <v>1146</v>
      </c>
      <c r="K175" s="1" t="str">
        <f t="shared" si="30"/>
        <v/>
      </c>
      <c r="L175" s="1" t="str">
        <f t="shared" si="33"/>
        <v/>
      </c>
      <c r="M175" s="94">
        <v>170</v>
      </c>
      <c r="N175" s="36" t="s">
        <v>1825</v>
      </c>
      <c r="O175" s="95">
        <v>309877</v>
      </c>
      <c r="P175" s="36"/>
      <c r="Q175" s="110" t="str">
        <f t="shared" si="31"/>
        <v>Standard</v>
      </c>
      <c r="R175" s="1" t="str">
        <f t="shared" si="32"/>
        <v/>
      </c>
      <c r="S175" s="1">
        <f>IF(A175&gt;0,COUNT(A$2:A175),"")</f>
        <v>174</v>
      </c>
      <c r="T175" s="1" t="str">
        <f t="shared" si="23"/>
        <v/>
      </c>
      <c r="U175" s="1" t="str">
        <f t="shared" si="24"/>
        <v/>
      </c>
      <c r="V175" s="111" t="str">
        <f t="shared" si="25"/>
        <v/>
      </c>
      <c r="AA175" s="1">
        <v>30078</v>
      </c>
      <c r="AB175" s="1" t="s">
        <v>44</v>
      </c>
      <c r="AD175" s="1" t="str">
        <f t="shared" si="26"/>
        <v>664W</v>
      </c>
      <c r="AH175" s="116">
        <v>174</v>
      </c>
      <c r="AI175" s="122">
        <v>127</v>
      </c>
      <c r="AJ175" s="1" t="s">
        <v>1518</v>
      </c>
      <c r="AK175" s="1">
        <v>309570</v>
      </c>
      <c r="AL175" s="1" t="s">
        <v>930</v>
      </c>
      <c r="AN175" s="270">
        <v>269</v>
      </c>
      <c r="AP175" s="1">
        <v>174</v>
      </c>
      <c r="AQ175" s="1">
        <v>151</v>
      </c>
      <c r="AR175" s="1" t="s">
        <v>1159</v>
      </c>
      <c r="AS175" s="1">
        <v>304975</v>
      </c>
      <c r="AT175" s="1" t="s">
        <v>930</v>
      </c>
      <c r="AV175" s="241">
        <v>730</v>
      </c>
      <c r="AX175" s="1">
        <f t="shared" si="27"/>
        <v>1</v>
      </c>
      <c r="AY175" s="1" t="str">
        <f>IF(COUNTIF($AX$2:AX175,1)&gt;$AG$1,"",IF(AX175="","",E175))</f>
        <v>040</v>
      </c>
      <c r="BM175" s="138" t="str">
        <f t="shared" si="28"/>
        <v xml:space="preserve">   </v>
      </c>
      <c r="BN175" s="42">
        <f t="shared" si="29"/>
        <v>11320</v>
      </c>
      <c r="BS175" s="1">
        <v>9802</v>
      </c>
      <c r="BT175" s="1" t="s">
        <v>902</v>
      </c>
      <c r="BX175" s="36"/>
    </row>
    <row r="176" spans="1:76" ht="14.25">
      <c r="A176" s="55">
        <v>11321</v>
      </c>
      <c r="B176" s="36" t="s">
        <v>1158</v>
      </c>
      <c r="C176" s="36" t="s">
        <v>50</v>
      </c>
      <c r="D176" s="36" t="s">
        <v>915</v>
      </c>
      <c r="E176" s="36" t="s">
        <v>20</v>
      </c>
      <c r="F176" s="36" t="s">
        <v>903</v>
      </c>
      <c r="G176" s="36" t="s">
        <v>894</v>
      </c>
      <c r="H176" s="36" t="s">
        <v>58</v>
      </c>
      <c r="I176" s="36" t="s">
        <v>85</v>
      </c>
      <c r="J176" s="36" t="s">
        <v>1146</v>
      </c>
      <c r="K176" s="1" t="str">
        <f t="shared" si="30"/>
        <v/>
      </c>
      <c r="L176" s="1" t="str">
        <f t="shared" si="33"/>
        <v/>
      </c>
      <c r="M176" s="94">
        <v>171</v>
      </c>
      <c r="N176" s="36" t="s">
        <v>1826</v>
      </c>
      <c r="O176" s="95">
        <v>309878</v>
      </c>
      <c r="P176" s="36"/>
      <c r="Q176" s="110" t="str">
        <f t="shared" si="31"/>
        <v/>
      </c>
      <c r="R176" s="1" t="str">
        <f t="shared" si="32"/>
        <v>CVT</v>
      </c>
      <c r="S176" s="1">
        <f>IF(A176&gt;0,COUNT(A$2:A176),"")</f>
        <v>175</v>
      </c>
      <c r="T176" s="1" t="str">
        <f t="shared" si="23"/>
        <v/>
      </c>
      <c r="U176" s="1" t="str">
        <f t="shared" si="24"/>
        <v/>
      </c>
      <c r="V176" s="111" t="str">
        <f t="shared" si="25"/>
        <v/>
      </c>
      <c r="AA176" s="1">
        <v>30079</v>
      </c>
      <c r="AB176" s="1" t="s">
        <v>45</v>
      </c>
      <c r="AD176" s="1" t="str">
        <f t="shared" si="26"/>
        <v>831W</v>
      </c>
      <c r="AH176" s="116">
        <v>175</v>
      </c>
      <c r="AI176" s="122">
        <v>128</v>
      </c>
      <c r="AJ176" s="1" t="s">
        <v>1519</v>
      </c>
      <c r="AK176" s="1">
        <v>309571</v>
      </c>
      <c r="AL176" s="1" t="s">
        <v>115</v>
      </c>
      <c r="AN176" s="270">
        <v>270</v>
      </c>
      <c r="AP176" s="1">
        <v>175</v>
      </c>
      <c r="AQ176" s="1">
        <v>152</v>
      </c>
      <c r="AR176" s="1" t="s">
        <v>1162</v>
      </c>
      <c r="AS176" s="1">
        <v>306032</v>
      </c>
      <c r="AT176" s="1" t="s">
        <v>115</v>
      </c>
      <c r="AV176" s="241">
        <v>731</v>
      </c>
      <c r="AX176" s="1">
        <f t="shared" si="27"/>
        <v>1</v>
      </c>
      <c r="AY176" s="1" t="str">
        <f>IF(COUNTIF($AX$2:AX176,1)&gt;$AG$1,"",IF(AX176="","",E176))</f>
        <v>218</v>
      </c>
      <c r="BM176" s="138" t="str">
        <f t="shared" si="28"/>
        <v xml:space="preserve">   </v>
      </c>
      <c r="BN176" s="42">
        <f t="shared" si="29"/>
        <v>11321</v>
      </c>
      <c r="BS176" s="1">
        <v>9803</v>
      </c>
      <c r="BT176" s="1" t="s">
        <v>902</v>
      </c>
      <c r="BX176" s="36"/>
    </row>
    <row r="177" spans="1:76" ht="14.25">
      <c r="A177" s="55">
        <v>11322</v>
      </c>
      <c r="B177" s="36" t="s">
        <v>82</v>
      </c>
      <c r="C177" s="36" t="s">
        <v>50</v>
      </c>
      <c r="D177" s="36" t="s">
        <v>906</v>
      </c>
      <c r="E177" s="36" t="s">
        <v>80</v>
      </c>
      <c r="F177" s="36" t="s">
        <v>86</v>
      </c>
      <c r="G177" s="36" t="s">
        <v>85</v>
      </c>
      <c r="H177" s="36" t="s">
        <v>58</v>
      </c>
      <c r="I177" s="36" t="s">
        <v>85</v>
      </c>
      <c r="J177" s="36" t="s">
        <v>1146</v>
      </c>
      <c r="K177" s="1" t="str">
        <f t="shared" si="30"/>
        <v/>
      </c>
      <c r="L177" s="1" t="str">
        <f t="shared" si="33"/>
        <v/>
      </c>
      <c r="M177" s="94">
        <v>172</v>
      </c>
      <c r="N177" s="36" t="s">
        <v>1827</v>
      </c>
      <c r="O177" s="95">
        <v>309879</v>
      </c>
      <c r="P177" s="36"/>
      <c r="Q177" s="110" t="str">
        <f t="shared" si="31"/>
        <v>Standard</v>
      </c>
      <c r="R177" s="1" t="str">
        <f t="shared" si="32"/>
        <v/>
      </c>
      <c r="S177" s="1">
        <f>IF(A177&gt;0,COUNT(A$2:A177),"")</f>
        <v>176</v>
      </c>
      <c r="T177" s="1" t="str">
        <f t="shared" si="23"/>
        <v/>
      </c>
      <c r="U177" s="1" t="str">
        <f t="shared" si="24"/>
        <v/>
      </c>
      <c r="V177" s="111" t="str">
        <f t="shared" si="25"/>
        <v/>
      </c>
      <c r="AA177" s="1">
        <v>30080</v>
      </c>
      <c r="AB177" s="1" t="s">
        <v>44</v>
      </c>
      <c r="AD177" s="1" t="str">
        <f t="shared" si="26"/>
        <v>664W</v>
      </c>
      <c r="AH177" s="116">
        <v>176</v>
      </c>
      <c r="AI177" s="122">
        <v>129</v>
      </c>
      <c r="AJ177" s="1" t="s">
        <v>1520</v>
      </c>
      <c r="AK177" s="1">
        <v>309572</v>
      </c>
      <c r="AL177" s="1" t="s">
        <v>930</v>
      </c>
      <c r="AN177" s="270">
        <v>271</v>
      </c>
      <c r="AP177" s="1">
        <v>176</v>
      </c>
      <c r="AQ177" s="1">
        <v>173</v>
      </c>
      <c r="AR177" s="1" t="s">
        <v>1155</v>
      </c>
      <c r="AS177" s="1">
        <v>303082</v>
      </c>
      <c r="AT177" s="1" t="s">
        <v>930</v>
      </c>
      <c r="AV177" s="241">
        <v>781</v>
      </c>
      <c r="AX177" s="1">
        <f t="shared" si="27"/>
        <v>1</v>
      </c>
      <c r="AY177" s="1" t="str">
        <f>IF(COUNTIF($AX$2:AX177,1)&gt;$AG$1,"",IF(AX177="","",E177))</f>
        <v>089</v>
      </c>
      <c r="BM177" s="138" t="str">
        <f t="shared" si="28"/>
        <v xml:space="preserve">   </v>
      </c>
      <c r="BN177" s="42">
        <f t="shared" si="29"/>
        <v>11322</v>
      </c>
      <c r="BS177" s="1">
        <v>9804</v>
      </c>
      <c r="BT177" s="1" t="s">
        <v>902</v>
      </c>
      <c r="BX177" s="36"/>
    </row>
    <row r="178" spans="1:76" ht="14.25">
      <c r="A178" s="55">
        <v>11323</v>
      </c>
      <c r="B178" s="36" t="s">
        <v>1158</v>
      </c>
      <c r="C178" s="36" t="s">
        <v>50</v>
      </c>
      <c r="D178" s="36" t="s">
        <v>910</v>
      </c>
      <c r="E178" s="36" t="s">
        <v>1128</v>
      </c>
      <c r="F178" s="36" t="s">
        <v>1154</v>
      </c>
      <c r="G178" s="36" t="s">
        <v>921</v>
      </c>
      <c r="H178" s="36" t="s">
        <v>58</v>
      </c>
      <c r="I178" s="36" t="s">
        <v>85</v>
      </c>
      <c r="J178" s="36" t="s">
        <v>1146</v>
      </c>
      <c r="K178" s="1" t="str">
        <f t="shared" si="30"/>
        <v/>
      </c>
      <c r="L178" s="1" t="str">
        <f t="shared" si="33"/>
        <v/>
      </c>
      <c r="M178" s="94">
        <v>173</v>
      </c>
      <c r="N178" s="36" t="s">
        <v>1828</v>
      </c>
      <c r="O178" s="95">
        <v>309880</v>
      </c>
      <c r="P178" s="36"/>
      <c r="Q178" s="110" t="str">
        <f t="shared" si="31"/>
        <v/>
      </c>
      <c r="R178" s="1" t="str">
        <f t="shared" si="32"/>
        <v>Auto</v>
      </c>
      <c r="S178" s="1">
        <f>IF(A178&gt;0,COUNT(A$2:A178),"")</f>
        <v>177</v>
      </c>
      <c r="T178" s="1" t="str">
        <f t="shared" si="23"/>
        <v/>
      </c>
      <c r="U178" s="1" t="str">
        <f t="shared" si="24"/>
        <v/>
      </c>
      <c r="V178" s="111" t="str">
        <f t="shared" si="25"/>
        <v/>
      </c>
      <c r="AA178" s="1">
        <v>30081</v>
      </c>
      <c r="AB178" s="1" t="s">
        <v>45</v>
      </c>
      <c r="AD178" s="1" t="str">
        <f t="shared" si="26"/>
        <v>831W</v>
      </c>
      <c r="AH178" s="116">
        <v>177</v>
      </c>
      <c r="AI178" s="122">
        <v>130</v>
      </c>
      <c r="AJ178" s="1" t="s">
        <v>1521</v>
      </c>
      <c r="AK178" s="1">
        <v>309573</v>
      </c>
      <c r="AL178" s="1" t="s">
        <v>930</v>
      </c>
      <c r="AN178" s="270">
        <v>272</v>
      </c>
      <c r="AP178" s="1">
        <v>177</v>
      </c>
      <c r="AQ178" s="1">
        <v>174</v>
      </c>
      <c r="AR178" s="1" t="s">
        <v>1156</v>
      </c>
      <c r="AS178" s="1">
        <v>303083</v>
      </c>
      <c r="AT178" s="1" t="s">
        <v>115</v>
      </c>
      <c r="AV178" s="241">
        <v>782</v>
      </c>
      <c r="AX178" s="1">
        <f t="shared" si="27"/>
        <v>1</v>
      </c>
      <c r="AY178" s="1" t="str">
        <f>IF(COUNTIF($AX$2:AX178,1)&gt;$AG$1,"",IF(AX178="","",E178))</f>
        <v>2PS</v>
      </c>
      <c r="BM178" s="138" t="str">
        <f t="shared" si="28"/>
        <v xml:space="preserve">   </v>
      </c>
      <c r="BN178" s="42">
        <f t="shared" si="29"/>
        <v>11323</v>
      </c>
      <c r="BS178" s="1">
        <v>9805</v>
      </c>
      <c r="BT178" s="1" t="s">
        <v>902</v>
      </c>
      <c r="BX178" s="36"/>
    </row>
    <row r="179" spans="1:76" ht="14.25">
      <c r="A179" s="55">
        <v>11324</v>
      </c>
      <c r="B179" s="36" t="s">
        <v>82</v>
      </c>
      <c r="C179" s="36" t="s">
        <v>50</v>
      </c>
      <c r="D179" s="36" t="s">
        <v>906</v>
      </c>
      <c r="E179" s="36" t="s">
        <v>80</v>
      </c>
      <c r="F179" s="36" t="s">
        <v>1148</v>
      </c>
      <c r="G179" s="36" t="s">
        <v>85</v>
      </c>
      <c r="H179" s="36" t="s">
        <v>58</v>
      </c>
      <c r="I179" s="36" t="s">
        <v>85</v>
      </c>
      <c r="J179" s="36" t="s">
        <v>1146</v>
      </c>
      <c r="K179" s="1" t="str">
        <f t="shared" si="30"/>
        <v/>
      </c>
      <c r="L179" s="1" t="str">
        <f t="shared" si="33"/>
        <v/>
      </c>
      <c r="M179" s="94">
        <v>174</v>
      </c>
      <c r="N179" s="36" t="s">
        <v>1829</v>
      </c>
      <c r="O179" s="95">
        <v>309881</v>
      </c>
      <c r="P179" s="36"/>
      <c r="Q179" s="110" t="str">
        <f t="shared" si="31"/>
        <v>Standard</v>
      </c>
      <c r="R179" s="1" t="str">
        <f t="shared" si="32"/>
        <v/>
      </c>
      <c r="S179" s="1">
        <f>IF(A179&gt;0,COUNT(A$2:A179),"")</f>
        <v>178</v>
      </c>
      <c r="T179" s="1" t="str">
        <f t="shared" si="23"/>
        <v/>
      </c>
      <c r="U179" s="1" t="str">
        <f t="shared" si="24"/>
        <v/>
      </c>
      <c r="V179" s="111" t="str">
        <f t="shared" si="25"/>
        <v/>
      </c>
      <c r="AA179" s="1">
        <v>30082</v>
      </c>
      <c r="AB179" s="1" t="s">
        <v>43</v>
      </c>
      <c r="AD179" s="1" t="str">
        <f t="shared" si="26"/>
        <v>664W</v>
      </c>
      <c r="AH179" s="116">
        <v>178</v>
      </c>
      <c r="AI179" s="122">
        <v>131</v>
      </c>
      <c r="AJ179" s="1" t="s">
        <v>1522</v>
      </c>
      <c r="AK179" s="1">
        <v>309574</v>
      </c>
      <c r="AL179" s="1" t="s">
        <v>115</v>
      </c>
      <c r="AN179" s="270">
        <v>273</v>
      </c>
      <c r="AP179" s="1">
        <v>178</v>
      </c>
      <c r="AQ179" s="1">
        <v>175</v>
      </c>
      <c r="AR179" s="1" t="s">
        <v>1157</v>
      </c>
      <c r="AS179" s="1">
        <v>303084</v>
      </c>
      <c r="AT179" s="1" t="s">
        <v>930</v>
      </c>
      <c r="AV179" s="241">
        <v>783</v>
      </c>
      <c r="AX179" s="1">
        <f t="shared" si="27"/>
        <v>1</v>
      </c>
      <c r="AY179" s="1" t="str">
        <f>IF(COUNTIF($AX$2:AX179,1)&gt;$AG$1,"",IF(AX179="","",E179))</f>
        <v>089</v>
      </c>
      <c r="BM179" s="138" t="str">
        <f t="shared" si="28"/>
        <v xml:space="preserve">   </v>
      </c>
      <c r="BN179" s="42">
        <f t="shared" si="29"/>
        <v>11324</v>
      </c>
      <c r="BS179" s="1">
        <v>9806</v>
      </c>
      <c r="BT179" s="1" t="s">
        <v>902</v>
      </c>
      <c r="BX179" s="36"/>
    </row>
    <row r="180" spans="1:76" ht="14.25">
      <c r="A180" s="55">
        <v>11325</v>
      </c>
      <c r="B180" s="36" t="s">
        <v>1158</v>
      </c>
      <c r="C180" s="36" t="s">
        <v>50</v>
      </c>
      <c r="D180" s="36" t="s">
        <v>916</v>
      </c>
      <c r="E180" s="36" t="s">
        <v>10</v>
      </c>
      <c r="F180" s="36" t="s">
        <v>1139</v>
      </c>
      <c r="G180" s="36" t="s">
        <v>894</v>
      </c>
      <c r="H180" s="36" t="s">
        <v>58</v>
      </c>
      <c r="I180" s="36" t="s">
        <v>85</v>
      </c>
      <c r="J180" s="36" t="s">
        <v>1146</v>
      </c>
      <c r="K180" s="1" t="str">
        <f t="shared" si="30"/>
        <v/>
      </c>
      <c r="L180" s="1" t="str">
        <f t="shared" si="33"/>
        <v/>
      </c>
      <c r="M180" s="94">
        <v>175</v>
      </c>
      <c r="N180" s="36" t="s">
        <v>1830</v>
      </c>
      <c r="O180" s="95">
        <v>309882</v>
      </c>
      <c r="P180" s="36"/>
      <c r="Q180" s="110" t="str">
        <f t="shared" si="31"/>
        <v/>
      </c>
      <c r="R180" s="1" t="str">
        <f t="shared" si="32"/>
        <v>CVT</v>
      </c>
      <c r="S180" s="1">
        <f>IF(A180&gt;0,COUNT(A$2:A180),"")</f>
        <v>179</v>
      </c>
      <c r="T180" s="1" t="str">
        <f t="shared" si="23"/>
        <v/>
      </c>
      <c r="U180" s="1" t="str">
        <f t="shared" si="24"/>
        <v/>
      </c>
      <c r="V180" s="111" t="str">
        <f t="shared" si="25"/>
        <v/>
      </c>
      <c r="AA180" s="1">
        <v>30083</v>
      </c>
      <c r="AB180" s="1" t="s">
        <v>247</v>
      </c>
      <c r="AD180" s="1" t="str">
        <f t="shared" si="26"/>
        <v>831W</v>
      </c>
      <c r="AH180" s="116">
        <v>179</v>
      </c>
      <c r="AI180" s="122">
        <v>132</v>
      </c>
      <c r="AJ180" s="1" t="s">
        <v>1523</v>
      </c>
      <c r="AK180" s="1">
        <v>309575</v>
      </c>
      <c r="AL180" s="1" t="s">
        <v>930</v>
      </c>
      <c r="AN180" s="270">
        <v>274</v>
      </c>
      <c r="AP180" s="1">
        <v>179</v>
      </c>
      <c r="AQ180" s="1">
        <v>183</v>
      </c>
      <c r="AR180" s="1" t="s">
        <v>1136</v>
      </c>
      <c r="AS180" s="1">
        <v>271313</v>
      </c>
      <c r="AT180" s="1" t="s">
        <v>930</v>
      </c>
      <c r="AV180" s="241">
        <v>8</v>
      </c>
      <c r="AX180" s="1">
        <f t="shared" si="27"/>
        <v>1</v>
      </c>
      <c r="AY180" s="1" t="str">
        <f>IF(COUNTIF($AX$2:AX180,1)&gt;$AG$1,"",IF(AX180="","",E180))</f>
        <v>1F7</v>
      </c>
      <c r="BM180" s="138" t="str">
        <f t="shared" si="28"/>
        <v xml:space="preserve">   </v>
      </c>
      <c r="BN180" s="42">
        <f t="shared" si="29"/>
        <v>11325</v>
      </c>
      <c r="BS180" s="1">
        <v>9807</v>
      </c>
      <c r="BT180" s="1" t="s">
        <v>902</v>
      </c>
      <c r="BX180" s="36"/>
    </row>
    <row r="181" spans="1:76" ht="14.25">
      <c r="A181" s="55">
        <v>11326</v>
      </c>
      <c r="B181" s="36" t="s">
        <v>1158</v>
      </c>
      <c r="C181" s="36" t="s">
        <v>50</v>
      </c>
      <c r="D181" s="36" t="s">
        <v>911</v>
      </c>
      <c r="E181" s="36" t="s">
        <v>21</v>
      </c>
      <c r="F181" s="36" t="s">
        <v>202</v>
      </c>
      <c r="G181" s="36" t="s">
        <v>922</v>
      </c>
      <c r="H181" s="36" t="s">
        <v>58</v>
      </c>
      <c r="I181" s="36" t="s">
        <v>85</v>
      </c>
      <c r="J181" s="36" t="s">
        <v>1146</v>
      </c>
      <c r="K181" s="1" t="str">
        <f t="shared" si="30"/>
        <v/>
      </c>
      <c r="L181" s="1" t="str">
        <f t="shared" si="33"/>
        <v/>
      </c>
      <c r="M181" s="94">
        <v>176</v>
      </c>
      <c r="N181" s="36" t="s">
        <v>1831</v>
      </c>
      <c r="O181" s="95">
        <v>309883</v>
      </c>
      <c r="P181" s="36"/>
      <c r="Q181" s="110" t="str">
        <f t="shared" si="31"/>
        <v/>
      </c>
      <c r="R181" s="1" t="str">
        <f t="shared" si="32"/>
        <v>Mech</v>
      </c>
      <c r="S181" s="1">
        <f>IF(A181&gt;0,COUNT(A$2:A181),"")</f>
        <v>180</v>
      </c>
      <c r="T181" s="1" t="str">
        <f t="shared" si="23"/>
        <v/>
      </c>
      <c r="U181" s="1" t="str">
        <f t="shared" si="24"/>
        <v/>
      </c>
      <c r="V181" s="111" t="str">
        <f t="shared" si="25"/>
        <v/>
      </c>
      <c r="AA181" s="1">
        <v>30084</v>
      </c>
      <c r="AB181" s="1" t="s">
        <v>44</v>
      </c>
      <c r="AD181" s="1" t="str">
        <f t="shared" si="26"/>
        <v>831W</v>
      </c>
      <c r="AH181" s="116">
        <v>180</v>
      </c>
      <c r="AI181" s="122">
        <v>133</v>
      </c>
      <c r="AJ181" s="1" t="s">
        <v>1524</v>
      </c>
      <c r="AK181" s="1">
        <v>309576</v>
      </c>
      <c r="AL181" s="1" t="s">
        <v>115</v>
      </c>
      <c r="AN181" s="270">
        <v>275</v>
      </c>
      <c r="AP181" s="1">
        <v>180</v>
      </c>
      <c r="AQ181" s="1">
        <v>184</v>
      </c>
      <c r="AR181" s="1" t="s">
        <v>1137</v>
      </c>
      <c r="AS181" s="1">
        <v>271314</v>
      </c>
      <c r="AT181" s="1" t="s">
        <v>115</v>
      </c>
      <c r="AV181" s="241">
        <v>9</v>
      </c>
      <c r="AX181" s="1">
        <f t="shared" si="27"/>
        <v>1</v>
      </c>
      <c r="AY181" s="1" t="str">
        <f>IF(COUNTIF($AX$2:AX181,1)&gt;$AG$1,"",IF(AX181="","",E181))</f>
        <v>040</v>
      </c>
      <c r="BM181" s="138" t="str">
        <f t="shared" si="28"/>
        <v xml:space="preserve">   </v>
      </c>
      <c r="BN181" s="42">
        <f t="shared" si="29"/>
        <v>11326</v>
      </c>
      <c r="BS181" s="1">
        <v>9808</v>
      </c>
      <c r="BT181" s="1" t="s">
        <v>902</v>
      </c>
      <c r="BX181" s="36"/>
    </row>
    <row r="182" spans="1:76" ht="14.25">
      <c r="A182" s="55">
        <v>11327</v>
      </c>
      <c r="B182" s="36" t="s">
        <v>82</v>
      </c>
      <c r="C182" s="36" t="s">
        <v>50</v>
      </c>
      <c r="D182" s="36" t="s">
        <v>906</v>
      </c>
      <c r="E182" s="36" t="s">
        <v>20</v>
      </c>
      <c r="F182" s="36" t="s">
        <v>90</v>
      </c>
      <c r="G182" s="36" t="s">
        <v>85</v>
      </c>
      <c r="H182" s="36" t="s">
        <v>58</v>
      </c>
      <c r="I182" s="36" t="s">
        <v>85</v>
      </c>
      <c r="J182" s="36" t="s">
        <v>1146</v>
      </c>
      <c r="K182" s="1" t="str">
        <f t="shared" si="30"/>
        <v/>
      </c>
      <c r="L182" s="1" t="str">
        <f t="shared" si="33"/>
        <v/>
      </c>
      <c r="M182" s="94">
        <v>177</v>
      </c>
      <c r="N182" s="36" t="s">
        <v>1832</v>
      </c>
      <c r="O182" s="95">
        <v>309884</v>
      </c>
      <c r="P182" s="36"/>
      <c r="Q182" s="110" t="str">
        <f t="shared" si="31"/>
        <v>Standard</v>
      </c>
      <c r="R182" s="1" t="str">
        <f t="shared" si="32"/>
        <v/>
      </c>
      <c r="S182" s="1">
        <f>IF(A182&gt;0,COUNT(A$2:A182),"")</f>
        <v>181</v>
      </c>
      <c r="T182" s="1" t="str">
        <f t="shared" si="23"/>
        <v/>
      </c>
      <c r="U182" s="1" t="str">
        <f t="shared" si="24"/>
        <v/>
      </c>
      <c r="V182" s="111" t="str">
        <f t="shared" si="25"/>
        <v/>
      </c>
      <c r="AA182" s="1">
        <v>30085</v>
      </c>
      <c r="AB182" s="1" t="s">
        <v>45</v>
      </c>
      <c r="AD182" s="1" t="str">
        <f t="shared" si="26"/>
        <v>664W</v>
      </c>
      <c r="AH182" s="116">
        <v>181</v>
      </c>
      <c r="AI182" s="122">
        <v>134</v>
      </c>
      <c r="AJ182" s="1" t="s">
        <v>1525</v>
      </c>
      <c r="AK182" s="1">
        <v>309577</v>
      </c>
      <c r="AL182" s="1" t="s">
        <v>930</v>
      </c>
      <c r="AN182" s="270">
        <v>276</v>
      </c>
      <c r="AP182" s="1">
        <v>181</v>
      </c>
      <c r="AQ182" s="1">
        <v>185</v>
      </c>
      <c r="AR182" s="1" t="s">
        <v>1138</v>
      </c>
      <c r="AS182" s="1">
        <v>271315</v>
      </c>
      <c r="AT182" s="1" t="s">
        <v>115</v>
      </c>
      <c r="AV182" s="241">
        <v>10</v>
      </c>
      <c r="AX182" s="1">
        <f t="shared" si="27"/>
        <v>1</v>
      </c>
      <c r="AY182" s="1" t="str">
        <f>IF(COUNTIF($AX$2:AX182,1)&gt;$AG$1,"",IF(AX182="","",E182))</f>
        <v>218</v>
      </c>
      <c r="BM182" s="138" t="str">
        <f t="shared" si="28"/>
        <v xml:space="preserve">   </v>
      </c>
      <c r="BN182" s="42">
        <f t="shared" si="29"/>
        <v>11327</v>
      </c>
      <c r="BS182" s="1">
        <v>9809</v>
      </c>
      <c r="BT182" s="1" t="s">
        <v>902</v>
      </c>
      <c r="BX182" s="36"/>
    </row>
    <row r="183" spans="1:76" ht="14.25">
      <c r="A183" s="55">
        <v>11328</v>
      </c>
      <c r="B183" s="36" t="s">
        <v>1158</v>
      </c>
      <c r="C183" s="36" t="s">
        <v>50</v>
      </c>
      <c r="D183" s="36" t="s">
        <v>916</v>
      </c>
      <c r="E183" s="36" t="s">
        <v>80</v>
      </c>
      <c r="F183" s="36" t="s">
        <v>1139</v>
      </c>
      <c r="G183" s="36" t="s">
        <v>894</v>
      </c>
      <c r="H183" s="36" t="s">
        <v>58</v>
      </c>
      <c r="I183" s="36" t="s">
        <v>85</v>
      </c>
      <c r="J183" s="36" t="s">
        <v>1146</v>
      </c>
      <c r="K183" s="1" t="str">
        <f t="shared" si="30"/>
        <v/>
      </c>
      <c r="L183" s="1" t="str">
        <f t="shared" si="33"/>
        <v/>
      </c>
      <c r="M183" s="94">
        <v>178</v>
      </c>
      <c r="N183" s="36" t="s">
        <v>1833</v>
      </c>
      <c r="O183" s="95">
        <v>309885</v>
      </c>
      <c r="P183" s="36"/>
      <c r="Q183" s="110" t="str">
        <f t="shared" si="31"/>
        <v/>
      </c>
      <c r="R183" s="1" t="str">
        <f t="shared" si="32"/>
        <v>CVT</v>
      </c>
      <c r="S183" s="1">
        <f>IF(A183&gt;0,COUNT(A$2:A183),"")</f>
        <v>182</v>
      </c>
      <c r="T183" s="1" t="str">
        <f t="shared" si="23"/>
        <v/>
      </c>
      <c r="U183" s="1" t="str">
        <f t="shared" si="24"/>
        <v/>
      </c>
      <c r="V183" s="111" t="str">
        <f t="shared" si="25"/>
        <v/>
      </c>
      <c r="AA183" s="1">
        <v>30086</v>
      </c>
      <c r="AB183" s="1" t="s">
        <v>247</v>
      </c>
      <c r="AD183" s="1" t="str">
        <f t="shared" si="26"/>
        <v>831W</v>
      </c>
      <c r="AH183" s="116">
        <v>182</v>
      </c>
      <c r="AI183" s="122">
        <v>135</v>
      </c>
      <c r="AJ183" s="1" t="s">
        <v>1526</v>
      </c>
      <c r="AK183" s="1">
        <v>309578</v>
      </c>
      <c r="AL183" s="1" t="s">
        <v>115</v>
      </c>
      <c r="AN183" s="270">
        <v>277</v>
      </c>
      <c r="AP183" s="1">
        <v>182</v>
      </c>
      <c r="AQ183" s="1">
        <v>181</v>
      </c>
      <c r="AR183" s="1" t="s">
        <v>1134</v>
      </c>
      <c r="AS183" s="1">
        <v>271133</v>
      </c>
      <c r="AT183" s="1" t="s">
        <v>115</v>
      </c>
      <c r="AV183" s="241">
        <v>828</v>
      </c>
      <c r="AX183" s="1">
        <f t="shared" si="27"/>
        <v>1</v>
      </c>
      <c r="AY183" s="1" t="str">
        <f>IF(COUNTIF($AX$2:AX183,1)&gt;$AG$1,"",IF(AX183="","",E183))</f>
        <v>089</v>
      </c>
      <c r="BM183" s="138" t="str">
        <f t="shared" si="28"/>
        <v xml:space="preserve">   </v>
      </c>
      <c r="BN183" s="42">
        <f t="shared" si="29"/>
        <v>11328</v>
      </c>
      <c r="BS183" s="1">
        <v>9810</v>
      </c>
      <c r="BT183" s="1" t="s">
        <v>902</v>
      </c>
      <c r="BX183" s="36"/>
    </row>
    <row r="184" spans="1:76" ht="14.25">
      <c r="A184" s="55">
        <v>11329</v>
      </c>
      <c r="B184" s="36" t="s">
        <v>82</v>
      </c>
      <c r="C184" s="36" t="s">
        <v>50</v>
      </c>
      <c r="D184" s="36" t="s">
        <v>908</v>
      </c>
      <c r="E184" s="36" t="s">
        <v>20</v>
      </c>
      <c r="F184" s="36" t="s">
        <v>84</v>
      </c>
      <c r="G184" s="36" t="s">
        <v>85</v>
      </c>
      <c r="H184" s="36" t="s">
        <v>58</v>
      </c>
      <c r="I184" s="36" t="s">
        <v>85</v>
      </c>
      <c r="J184" s="36" t="s">
        <v>1146</v>
      </c>
      <c r="K184" s="1" t="str">
        <f t="shared" si="30"/>
        <v/>
      </c>
      <c r="L184" s="1" t="str">
        <f t="shared" si="33"/>
        <v/>
      </c>
      <c r="M184" s="94">
        <v>179</v>
      </c>
      <c r="N184" s="36" t="s">
        <v>1834</v>
      </c>
      <c r="O184" s="95">
        <v>309886</v>
      </c>
      <c r="P184" s="36"/>
      <c r="Q184" s="110" t="str">
        <f t="shared" si="31"/>
        <v>Rich</v>
      </c>
      <c r="R184" s="1" t="str">
        <f t="shared" si="32"/>
        <v/>
      </c>
      <c r="S184" s="1">
        <f>IF(A184&gt;0,COUNT(A$2:A184),"")</f>
        <v>183</v>
      </c>
      <c r="T184" s="1" t="str">
        <f t="shared" si="23"/>
        <v/>
      </c>
      <c r="U184" s="1" t="str">
        <f t="shared" si="24"/>
        <v/>
      </c>
      <c r="V184" s="111" t="str">
        <f t="shared" si="25"/>
        <v/>
      </c>
      <c r="AA184" s="1">
        <v>30087</v>
      </c>
      <c r="AB184" s="1" t="s">
        <v>246</v>
      </c>
      <c r="AD184" s="1" t="str">
        <f t="shared" si="26"/>
        <v>664W</v>
      </c>
      <c r="AH184" s="116">
        <v>183</v>
      </c>
      <c r="AI184" s="122">
        <v>136</v>
      </c>
      <c r="AJ184" s="1" t="s">
        <v>1527</v>
      </c>
      <c r="AK184" s="1">
        <v>309579</v>
      </c>
      <c r="AL184" s="1" t="s">
        <v>930</v>
      </c>
      <c r="AN184" s="270">
        <v>278</v>
      </c>
      <c r="AP184" s="1">
        <v>183</v>
      </c>
      <c r="AQ184" s="1">
        <v>182</v>
      </c>
      <c r="AR184" s="1" t="s">
        <v>1135</v>
      </c>
      <c r="AS184" s="1">
        <v>271134</v>
      </c>
      <c r="AT184" s="1" t="s">
        <v>930</v>
      </c>
      <c r="AV184" s="241">
        <v>829</v>
      </c>
      <c r="AX184" s="1">
        <f t="shared" si="27"/>
        <v>1</v>
      </c>
      <c r="AY184" s="1" t="str">
        <f>IF(COUNTIF($AX$2:AX184,1)&gt;$AG$1,"",IF(AX184="","",E184))</f>
        <v>218</v>
      </c>
      <c r="BM184" s="138" t="str">
        <f t="shared" si="28"/>
        <v xml:space="preserve">   </v>
      </c>
      <c r="BN184" s="42">
        <f t="shared" si="29"/>
        <v>11329</v>
      </c>
      <c r="BS184" s="1">
        <v>9811</v>
      </c>
      <c r="BT184" s="1" t="s">
        <v>902</v>
      </c>
      <c r="BX184" s="36"/>
    </row>
    <row r="185" spans="1:76" ht="14.25">
      <c r="A185" s="55">
        <v>11330</v>
      </c>
      <c r="B185" s="36" t="s">
        <v>1158</v>
      </c>
      <c r="C185" s="36" t="s">
        <v>50</v>
      </c>
      <c r="D185" s="36" t="s">
        <v>909</v>
      </c>
      <c r="E185" s="36" t="s">
        <v>80</v>
      </c>
      <c r="F185" s="36" t="s">
        <v>1149</v>
      </c>
      <c r="G185" s="36" t="s">
        <v>921</v>
      </c>
      <c r="H185" s="36" t="s">
        <v>58</v>
      </c>
      <c r="I185" s="36" t="s">
        <v>85</v>
      </c>
      <c r="J185" s="36" t="s">
        <v>1146</v>
      </c>
      <c r="K185" s="1" t="str">
        <f t="shared" si="30"/>
        <v/>
      </c>
      <c r="L185" s="1" t="str">
        <f t="shared" si="33"/>
        <v/>
      </c>
      <c r="M185" s="94">
        <v>180</v>
      </c>
      <c r="N185" s="36" t="s">
        <v>1835</v>
      </c>
      <c r="O185" s="95">
        <v>309887</v>
      </c>
      <c r="P185" s="36"/>
      <c r="Q185" s="110" t="str">
        <f t="shared" si="31"/>
        <v/>
      </c>
      <c r="R185" s="1" t="str">
        <f t="shared" si="32"/>
        <v>Auto</v>
      </c>
      <c r="S185" s="1">
        <f>IF(A185&gt;0,COUNT(A$2:A185),"")</f>
        <v>184</v>
      </c>
      <c r="T185" s="1" t="str">
        <f t="shared" si="23"/>
        <v/>
      </c>
      <c r="U185" s="1" t="str">
        <f t="shared" si="24"/>
        <v/>
      </c>
      <c r="V185" s="111" t="str">
        <f t="shared" si="25"/>
        <v/>
      </c>
      <c r="AA185" s="1">
        <v>30088</v>
      </c>
      <c r="AB185" s="1" t="s">
        <v>45</v>
      </c>
      <c r="AD185" s="1" t="str">
        <f t="shared" si="26"/>
        <v>831W</v>
      </c>
      <c r="AH185" s="116">
        <v>184</v>
      </c>
      <c r="AI185" s="122">
        <v>137</v>
      </c>
      <c r="AJ185" s="1" t="s">
        <v>1528</v>
      </c>
      <c r="AK185" s="1">
        <v>309580</v>
      </c>
      <c r="AL185" s="1" t="s">
        <v>930</v>
      </c>
      <c r="AN185" s="270">
        <v>279</v>
      </c>
      <c r="AQ185" s="1">
        <v>177</v>
      </c>
      <c r="AR185" s="1" t="s">
        <v>1133</v>
      </c>
      <c r="AS185" s="1">
        <v>270777</v>
      </c>
      <c r="AT185" s="1" t="s">
        <v>930</v>
      </c>
      <c r="AV185" s="241">
        <v>472</v>
      </c>
      <c r="AX185" s="1">
        <f t="shared" si="27"/>
        <v>1</v>
      </c>
      <c r="AY185" s="1" t="str">
        <f>IF(COUNTIF($AX$2:AX185,1)&gt;$AG$1,"",IF(AX185="","",E185))</f>
        <v>089</v>
      </c>
      <c r="BM185" s="138" t="str">
        <f t="shared" si="28"/>
        <v xml:space="preserve">   </v>
      </c>
      <c r="BN185" s="42">
        <f t="shared" si="29"/>
        <v>11330</v>
      </c>
      <c r="BS185" s="1">
        <v>9812</v>
      </c>
      <c r="BT185" s="1" t="s">
        <v>902</v>
      </c>
      <c r="BX185" s="36"/>
    </row>
    <row r="186" spans="1:76" ht="14.25">
      <c r="A186" s="55">
        <v>11331</v>
      </c>
      <c r="B186" s="36" t="s">
        <v>82</v>
      </c>
      <c r="C186" s="36" t="s">
        <v>50</v>
      </c>
      <c r="D186" s="36" t="s">
        <v>906</v>
      </c>
      <c r="E186" s="36" t="s">
        <v>20</v>
      </c>
      <c r="F186" s="36" t="s">
        <v>86</v>
      </c>
      <c r="G186" s="36" t="s">
        <v>85</v>
      </c>
      <c r="H186" s="36" t="s">
        <v>58</v>
      </c>
      <c r="I186" s="36" t="s">
        <v>85</v>
      </c>
      <c r="J186" s="36" t="s">
        <v>1146</v>
      </c>
      <c r="K186" s="1" t="str">
        <f t="shared" si="30"/>
        <v/>
      </c>
      <c r="L186" s="1" t="str">
        <f t="shared" si="33"/>
        <v/>
      </c>
      <c r="M186" s="94">
        <v>181</v>
      </c>
      <c r="N186" s="36" t="s">
        <v>1836</v>
      </c>
      <c r="O186" s="95">
        <v>309888</v>
      </c>
      <c r="P186" s="36"/>
      <c r="Q186" s="110" t="str">
        <f t="shared" si="31"/>
        <v>Standard</v>
      </c>
      <c r="R186" s="1" t="str">
        <f t="shared" si="32"/>
        <v/>
      </c>
      <c r="S186" s="1">
        <f>IF(A186&gt;0,COUNT(A$2:A186),"")</f>
        <v>185</v>
      </c>
      <c r="T186" s="1" t="str">
        <f t="shared" si="23"/>
        <v/>
      </c>
      <c r="U186" s="1" t="str">
        <f t="shared" si="24"/>
        <v/>
      </c>
      <c r="V186" s="111" t="str">
        <f t="shared" si="25"/>
        <v/>
      </c>
      <c r="AA186" s="1">
        <v>30089</v>
      </c>
      <c r="AB186" s="1" t="s">
        <v>45</v>
      </c>
      <c r="AD186" s="1" t="str">
        <f t="shared" si="26"/>
        <v>664W</v>
      </c>
      <c r="AH186" s="116">
        <v>185</v>
      </c>
      <c r="AI186" s="122">
        <v>138</v>
      </c>
      <c r="AJ186" s="1" t="s">
        <v>1529</v>
      </c>
      <c r="AK186" s="1">
        <v>309581</v>
      </c>
      <c r="AL186" s="1" t="s">
        <v>115</v>
      </c>
      <c r="AN186" s="270">
        <v>280</v>
      </c>
      <c r="AQ186" s="1">
        <v>206</v>
      </c>
      <c r="AR186" s="1" t="s">
        <v>1130</v>
      </c>
      <c r="AS186" s="1">
        <v>268833</v>
      </c>
      <c r="AT186" s="1" t="s">
        <v>930</v>
      </c>
      <c r="AV186" s="241">
        <v>528</v>
      </c>
      <c r="AX186" s="1">
        <f t="shared" si="27"/>
        <v>1</v>
      </c>
      <c r="AY186" s="1" t="str">
        <f>IF(COUNTIF($AX$2:AX186,1)&gt;$AG$1,"",IF(AX186="","",E186))</f>
        <v>218</v>
      </c>
      <c r="BM186" s="138" t="str">
        <f t="shared" si="28"/>
        <v xml:space="preserve">   </v>
      </c>
      <c r="BN186" s="42">
        <f t="shared" si="29"/>
        <v>11331</v>
      </c>
      <c r="BS186" s="1">
        <v>9813</v>
      </c>
      <c r="BT186" s="1" t="s">
        <v>902</v>
      </c>
      <c r="BX186" s="36"/>
    </row>
    <row r="187" spans="1:76" ht="14.25">
      <c r="A187" s="55">
        <v>11332</v>
      </c>
      <c r="B187" s="36" t="s">
        <v>1158</v>
      </c>
      <c r="C187" s="36" t="s">
        <v>130</v>
      </c>
      <c r="D187" s="36" t="s">
        <v>913</v>
      </c>
      <c r="E187" s="36" t="s">
        <v>80</v>
      </c>
      <c r="F187" s="36" t="s">
        <v>931</v>
      </c>
      <c r="G187" s="36" t="s">
        <v>894</v>
      </c>
      <c r="H187" s="36" t="s">
        <v>58</v>
      </c>
      <c r="I187" s="36" t="s">
        <v>85</v>
      </c>
      <c r="J187" s="36" t="s">
        <v>1146</v>
      </c>
      <c r="K187" s="1">
        <f t="shared" si="30"/>
        <v>11332</v>
      </c>
      <c r="L187" s="1" t="str">
        <f t="shared" si="33"/>
        <v/>
      </c>
      <c r="M187" s="94">
        <v>182</v>
      </c>
      <c r="N187" s="36" t="s">
        <v>1837</v>
      </c>
      <c r="O187" s="95">
        <v>309889</v>
      </c>
      <c r="P187" s="36"/>
      <c r="Q187" s="110" t="str">
        <f t="shared" si="31"/>
        <v/>
      </c>
      <c r="R187" s="1" t="str">
        <f t="shared" si="32"/>
        <v>CVT</v>
      </c>
      <c r="S187" s="1">
        <f>IF(A187&gt;0,COUNT(A$2:A187),"")</f>
        <v>186</v>
      </c>
      <c r="T187" s="1" t="str">
        <f t="shared" si="23"/>
        <v/>
      </c>
      <c r="U187" s="1" t="str">
        <f t="shared" si="24"/>
        <v/>
      </c>
      <c r="V187" s="111" t="str">
        <f t="shared" si="25"/>
        <v/>
      </c>
      <c r="AA187" s="1">
        <v>30090</v>
      </c>
      <c r="AB187" s="1" t="s">
        <v>45</v>
      </c>
      <c r="AD187" s="1" t="str">
        <f t="shared" si="26"/>
        <v>831W</v>
      </c>
      <c r="AH187" s="116">
        <v>186</v>
      </c>
      <c r="AI187" s="122">
        <v>139</v>
      </c>
      <c r="AJ187" s="1" t="s">
        <v>1530</v>
      </c>
      <c r="AK187" s="1">
        <v>309582</v>
      </c>
      <c r="AL187" s="1" t="s">
        <v>930</v>
      </c>
      <c r="AN187" s="270">
        <v>281</v>
      </c>
      <c r="AQ187" s="1">
        <v>207</v>
      </c>
      <c r="AR187" s="1" t="s">
        <v>1131</v>
      </c>
      <c r="AS187" s="1">
        <v>268834</v>
      </c>
      <c r="AT187" s="1" t="s">
        <v>115</v>
      </c>
      <c r="AV187" s="241">
        <v>529</v>
      </c>
      <c r="AX187" s="1">
        <f t="shared" si="27"/>
        <v>1</v>
      </c>
      <c r="AY187" s="1" t="str">
        <f>IF(COUNTIF($AX$2:AX187,1)&gt;$AG$1,"",IF(AX187="","",E187))</f>
        <v>089</v>
      </c>
      <c r="BM187" s="138" t="str">
        <f t="shared" si="28"/>
        <v xml:space="preserve">   </v>
      </c>
      <c r="BN187" s="42">
        <f t="shared" si="29"/>
        <v>11332</v>
      </c>
      <c r="BS187" s="1">
        <v>9814</v>
      </c>
      <c r="BT187" s="1" t="s">
        <v>902</v>
      </c>
      <c r="BX187" s="36"/>
    </row>
    <row r="188" spans="1:76" ht="14.25">
      <c r="A188" s="55">
        <v>11333</v>
      </c>
      <c r="B188" s="36" t="s">
        <v>1158</v>
      </c>
      <c r="C188" s="36" t="s">
        <v>130</v>
      </c>
      <c r="D188" s="36" t="s">
        <v>916</v>
      </c>
      <c r="E188" s="36" t="s">
        <v>1128</v>
      </c>
      <c r="F188" s="36" t="s">
        <v>1154</v>
      </c>
      <c r="G188" s="36" t="s">
        <v>894</v>
      </c>
      <c r="H188" s="36" t="s">
        <v>58</v>
      </c>
      <c r="I188" s="36" t="s">
        <v>85</v>
      </c>
      <c r="J188" s="36" t="s">
        <v>1146</v>
      </c>
      <c r="K188" s="1">
        <f t="shared" si="30"/>
        <v>11333</v>
      </c>
      <c r="L188" s="1" t="str">
        <f t="shared" si="33"/>
        <v/>
      </c>
      <c r="M188" s="94">
        <v>183</v>
      </c>
      <c r="N188" s="36" t="s">
        <v>1838</v>
      </c>
      <c r="O188" s="95">
        <v>309890</v>
      </c>
      <c r="P188" s="36"/>
      <c r="Q188" s="110" t="str">
        <f t="shared" si="31"/>
        <v/>
      </c>
      <c r="R188" s="1" t="str">
        <f t="shared" si="32"/>
        <v>CVT</v>
      </c>
      <c r="S188" s="1">
        <f>IF(A188&gt;0,COUNT(A$2:A188),"")</f>
        <v>187</v>
      </c>
      <c r="T188" s="1" t="str">
        <f t="shared" si="23"/>
        <v/>
      </c>
      <c r="U188" s="1" t="str">
        <f t="shared" si="24"/>
        <v/>
      </c>
      <c r="V188" s="111" t="str">
        <f t="shared" si="25"/>
        <v/>
      </c>
      <c r="AA188" s="1">
        <v>30091</v>
      </c>
      <c r="AB188" s="1" t="s">
        <v>45</v>
      </c>
      <c r="AD188" s="1" t="str">
        <f t="shared" si="26"/>
        <v>831W</v>
      </c>
      <c r="AH188" s="116">
        <v>187</v>
      </c>
      <c r="AI188" s="122">
        <v>140</v>
      </c>
      <c r="AJ188" s="1" t="s">
        <v>1531</v>
      </c>
      <c r="AK188" s="1">
        <v>309583</v>
      </c>
      <c r="AL188" s="1" t="s">
        <v>115</v>
      </c>
      <c r="AN188" s="270">
        <v>282</v>
      </c>
      <c r="AQ188" s="1">
        <v>539</v>
      </c>
      <c r="AR188" s="1" t="s">
        <v>956</v>
      </c>
      <c r="AS188" s="1">
        <v>256790</v>
      </c>
      <c r="AT188" s="1" t="s">
        <v>930</v>
      </c>
      <c r="AV188" s="241">
        <v>488</v>
      </c>
      <c r="AX188" s="1">
        <f t="shared" si="27"/>
        <v>1</v>
      </c>
      <c r="AY188" s="1" t="str">
        <f>IF(COUNTIF($AX$2:AX188,1)&gt;$AG$1,"",IF(AX188="","",E188))</f>
        <v>2PS</v>
      </c>
      <c r="BM188" s="138" t="str">
        <f t="shared" si="28"/>
        <v xml:space="preserve">   </v>
      </c>
      <c r="BN188" s="42">
        <f t="shared" si="29"/>
        <v>11333</v>
      </c>
      <c r="BS188" s="1">
        <v>9815</v>
      </c>
      <c r="BT188" s="1" t="s">
        <v>902</v>
      </c>
      <c r="BX188" s="36"/>
    </row>
    <row r="189" spans="1:76" ht="14.25">
      <c r="A189" s="55">
        <v>11334</v>
      </c>
      <c r="B189" s="36" t="s">
        <v>82</v>
      </c>
      <c r="C189" s="36" t="s">
        <v>130</v>
      </c>
      <c r="D189" s="36" t="s">
        <v>906</v>
      </c>
      <c r="E189" s="36" t="s">
        <v>20</v>
      </c>
      <c r="F189" s="36" t="s">
        <v>87</v>
      </c>
      <c r="G189" s="36" t="s">
        <v>85</v>
      </c>
      <c r="H189" s="36" t="s">
        <v>58</v>
      </c>
      <c r="I189" s="36" t="s">
        <v>85</v>
      </c>
      <c r="J189" s="36" t="s">
        <v>1146</v>
      </c>
      <c r="K189" s="1">
        <f t="shared" si="30"/>
        <v>11334</v>
      </c>
      <c r="L189" s="1" t="str">
        <f t="shared" si="33"/>
        <v/>
      </c>
      <c r="M189" s="94">
        <v>184</v>
      </c>
      <c r="N189" s="36" t="s">
        <v>1839</v>
      </c>
      <c r="O189" s="95">
        <v>309891</v>
      </c>
      <c r="P189" s="36"/>
      <c r="Q189" s="110" t="str">
        <f t="shared" si="31"/>
        <v>Standard</v>
      </c>
      <c r="R189" s="1" t="str">
        <f t="shared" si="32"/>
        <v/>
      </c>
      <c r="S189" s="1">
        <f>IF(A189&gt;0,COUNT(A$2:A189),"")</f>
        <v>188</v>
      </c>
      <c r="T189" s="1" t="str">
        <f t="shared" si="23"/>
        <v/>
      </c>
      <c r="U189" s="1" t="str">
        <f t="shared" si="24"/>
        <v/>
      </c>
      <c r="V189" s="111" t="str">
        <f t="shared" si="25"/>
        <v/>
      </c>
      <c r="AA189" s="1">
        <v>30092</v>
      </c>
      <c r="AB189" s="1" t="s">
        <v>45</v>
      </c>
      <c r="AD189" s="1" t="str">
        <f t="shared" si="26"/>
        <v>664W</v>
      </c>
      <c r="AH189" s="116">
        <v>188</v>
      </c>
      <c r="AI189" s="122">
        <v>141</v>
      </c>
      <c r="AJ189" s="1" t="s">
        <v>1532</v>
      </c>
      <c r="AK189" s="1">
        <v>309584</v>
      </c>
      <c r="AL189" s="1" t="s">
        <v>930</v>
      </c>
      <c r="AN189" s="270">
        <v>283</v>
      </c>
      <c r="AQ189" s="1">
        <v>540</v>
      </c>
      <c r="AR189" s="1" t="s">
        <v>957</v>
      </c>
      <c r="AS189" s="1">
        <v>256791</v>
      </c>
      <c r="AT189" s="1" t="s">
        <v>115</v>
      </c>
      <c r="AV189" s="241">
        <v>489</v>
      </c>
      <c r="AX189" s="1">
        <f t="shared" si="27"/>
        <v>1</v>
      </c>
      <c r="AY189" s="1" t="str">
        <f>IF(COUNTIF($AX$2:AX189,1)&gt;$AG$1,"",IF(AX189="","",E189))</f>
        <v>218</v>
      </c>
      <c r="BM189" s="138" t="str">
        <f t="shared" si="28"/>
        <v xml:space="preserve">   </v>
      </c>
      <c r="BN189" s="42">
        <f t="shared" si="29"/>
        <v>11334</v>
      </c>
      <c r="BS189" s="1">
        <v>9816</v>
      </c>
      <c r="BT189" s="1" t="s">
        <v>902</v>
      </c>
      <c r="BX189" s="36"/>
    </row>
    <row r="190" spans="1:76" ht="14.25">
      <c r="A190" s="55">
        <v>11335</v>
      </c>
      <c r="B190" s="36" t="s">
        <v>1158</v>
      </c>
      <c r="C190" s="36" t="s">
        <v>130</v>
      </c>
      <c r="D190" s="36" t="s">
        <v>910</v>
      </c>
      <c r="E190" s="36" t="s">
        <v>79</v>
      </c>
      <c r="F190" s="36" t="s">
        <v>1139</v>
      </c>
      <c r="G190" s="36" t="s">
        <v>921</v>
      </c>
      <c r="H190" s="36" t="s">
        <v>58</v>
      </c>
      <c r="I190" s="36" t="s">
        <v>85</v>
      </c>
      <c r="J190" s="36" t="s">
        <v>1146</v>
      </c>
      <c r="K190" s="1">
        <f t="shared" si="30"/>
        <v>11335</v>
      </c>
      <c r="L190" s="1" t="str">
        <f t="shared" si="33"/>
        <v/>
      </c>
      <c r="M190" s="94">
        <v>185</v>
      </c>
      <c r="N190" s="36" t="s">
        <v>1840</v>
      </c>
      <c r="O190" s="95">
        <v>309892</v>
      </c>
      <c r="P190" s="36"/>
      <c r="Q190" s="110" t="str">
        <f t="shared" si="31"/>
        <v/>
      </c>
      <c r="R190" s="1" t="str">
        <f t="shared" si="32"/>
        <v>Auto</v>
      </c>
      <c r="S190" s="1">
        <f>IF(A190&gt;0,COUNT(A$2:A190),"")</f>
        <v>189</v>
      </c>
      <c r="T190" s="1" t="str">
        <f t="shared" si="23"/>
        <v/>
      </c>
      <c r="U190" s="1" t="str">
        <f t="shared" si="24"/>
        <v/>
      </c>
      <c r="V190" s="111" t="str">
        <f t="shared" si="25"/>
        <v/>
      </c>
      <c r="AA190" s="1">
        <v>30093</v>
      </c>
      <c r="AB190" s="1" t="s">
        <v>45</v>
      </c>
      <c r="AD190" s="1" t="str">
        <f t="shared" si="26"/>
        <v>831W</v>
      </c>
      <c r="AH190" s="116">
        <v>189</v>
      </c>
      <c r="AI190" s="122">
        <v>142</v>
      </c>
      <c r="AJ190" s="1" t="s">
        <v>1533</v>
      </c>
      <c r="AK190" s="1">
        <v>309585</v>
      </c>
      <c r="AL190" s="1" t="s">
        <v>115</v>
      </c>
      <c r="AN190" s="270">
        <v>284</v>
      </c>
      <c r="AQ190" s="1">
        <v>541</v>
      </c>
      <c r="AR190" s="1" t="s">
        <v>958</v>
      </c>
      <c r="AS190" s="1">
        <v>256792</v>
      </c>
      <c r="AT190" s="1" t="s">
        <v>930</v>
      </c>
      <c r="AV190" s="241">
        <v>490</v>
      </c>
      <c r="AX190" s="1">
        <f t="shared" si="27"/>
        <v>1</v>
      </c>
      <c r="AY190" s="1" t="str">
        <f>IF(COUNTIF($AX$2:AX190,1)&gt;$AG$1,"",IF(AX190="","",E190))</f>
        <v>4X7</v>
      </c>
      <c r="BM190" s="138" t="str">
        <f t="shared" si="28"/>
        <v xml:space="preserve">   </v>
      </c>
      <c r="BN190" s="42">
        <f t="shared" si="29"/>
        <v>11335</v>
      </c>
      <c r="BS190" s="1">
        <v>9817</v>
      </c>
      <c r="BT190" s="1" t="s">
        <v>902</v>
      </c>
      <c r="BX190" s="36"/>
    </row>
    <row r="191" spans="1:76" ht="14.25">
      <c r="A191" s="55">
        <v>11336</v>
      </c>
      <c r="B191" s="36" t="s">
        <v>82</v>
      </c>
      <c r="C191" s="36" t="s">
        <v>130</v>
      </c>
      <c r="D191" s="36" t="s">
        <v>906</v>
      </c>
      <c r="E191" s="36" t="s">
        <v>80</v>
      </c>
      <c r="F191" s="36" t="s">
        <v>86</v>
      </c>
      <c r="G191" s="36" t="s">
        <v>85</v>
      </c>
      <c r="H191" s="36" t="s">
        <v>58</v>
      </c>
      <c r="I191" s="36" t="s">
        <v>85</v>
      </c>
      <c r="J191" s="36" t="s">
        <v>1146</v>
      </c>
      <c r="K191" s="1">
        <f t="shared" si="30"/>
        <v>11336</v>
      </c>
      <c r="L191" s="1" t="str">
        <f t="shared" si="33"/>
        <v/>
      </c>
      <c r="M191" s="94">
        <v>186</v>
      </c>
      <c r="N191" s="36" t="s">
        <v>1841</v>
      </c>
      <c r="O191" s="95">
        <v>309893</v>
      </c>
      <c r="P191" s="36"/>
      <c r="Q191" s="110" t="str">
        <f t="shared" si="31"/>
        <v>Standard</v>
      </c>
      <c r="R191" s="1" t="str">
        <f t="shared" si="32"/>
        <v/>
      </c>
      <c r="S191" s="1">
        <f>IF(A191&gt;0,COUNT(A$2:A191),"")</f>
        <v>190</v>
      </c>
      <c r="T191" s="1" t="str">
        <f t="shared" si="23"/>
        <v/>
      </c>
      <c r="U191" s="1" t="str">
        <f t="shared" si="24"/>
        <v/>
      </c>
      <c r="V191" s="111" t="str">
        <f t="shared" si="25"/>
        <v/>
      </c>
      <c r="AA191" s="1">
        <v>30094</v>
      </c>
      <c r="AB191" s="1" t="s">
        <v>43</v>
      </c>
      <c r="AD191" s="1" t="str">
        <f t="shared" si="26"/>
        <v>664W</v>
      </c>
      <c r="AH191" s="116">
        <v>190</v>
      </c>
      <c r="AI191" s="122">
        <v>143</v>
      </c>
      <c r="AJ191" s="1" t="s">
        <v>1534</v>
      </c>
      <c r="AK191" s="1">
        <v>309586</v>
      </c>
      <c r="AL191" s="1" t="s">
        <v>930</v>
      </c>
      <c r="AN191" s="270">
        <v>285</v>
      </c>
      <c r="AQ191" s="1">
        <v>542</v>
      </c>
      <c r="AR191" s="1" t="s">
        <v>959</v>
      </c>
      <c r="AS191" s="1">
        <v>256793</v>
      </c>
      <c r="AT191" s="1" t="s">
        <v>115</v>
      </c>
      <c r="AV191" s="241">
        <v>491</v>
      </c>
      <c r="AX191" s="1">
        <f t="shared" si="27"/>
        <v>1</v>
      </c>
      <c r="AY191" s="1" t="str">
        <f>IF(COUNTIF($AX$2:AX191,1)&gt;$AG$1,"",IF(AX191="","",E191))</f>
        <v>089</v>
      </c>
      <c r="BM191" s="138" t="str">
        <f t="shared" si="28"/>
        <v xml:space="preserve">   </v>
      </c>
      <c r="BN191" s="42">
        <f t="shared" si="29"/>
        <v>11336</v>
      </c>
      <c r="BS191" s="1">
        <v>9818</v>
      </c>
      <c r="BT191" s="1" t="s">
        <v>902</v>
      </c>
      <c r="BX191" s="36"/>
    </row>
    <row r="192" spans="1:76" ht="14.25">
      <c r="A192" s="55">
        <v>11337</v>
      </c>
      <c r="B192" s="36" t="s">
        <v>1158</v>
      </c>
      <c r="C192" s="36" t="s">
        <v>48</v>
      </c>
      <c r="D192" s="36" t="s">
        <v>915</v>
      </c>
      <c r="E192" s="36" t="s">
        <v>20</v>
      </c>
      <c r="F192" s="36" t="s">
        <v>903</v>
      </c>
      <c r="G192" s="36" t="s">
        <v>894</v>
      </c>
      <c r="H192" s="36" t="s">
        <v>58</v>
      </c>
      <c r="I192" s="36" t="s">
        <v>85</v>
      </c>
      <c r="J192" s="36" t="s">
        <v>1146</v>
      </c>
      <c r="K192" s="1">
        <f t="shared" si="30"/>
        <v>11337</v>
      </c>
      <c r="L192" s="1" t="str">
        <f t="shared" si="33"/>
        <v/>
      </c>
      <c r="M192" s="94">
        <v>187</v>
      </c>
      <c r="N192" s="36" t="s">
        <v>1842</v>
      </c>
      <c r="O192" s="95">
        <v>309894</v>
      </c>
      <c r="P192" s="36"/>
      <c r="Q192" s="110" t="str">
        <f t="shared" si="31"/>
        <v/>
      </c>
      <c r="R192" s="1" t="str">
        <f t="shared" si="32"/>
        <v>CVT</v>
      </c>
      <c r="S192" s="1">
        <f>IF(A192&gt;0,COUNT(A$2:A192),"")</f>
        <v>191</v>
      </c>
      <c r="T192" s="1" t="str">
        <f t="shared" si="23"/>
        <v/>
      </c>
      <c r="U192" s="1" t="str">
        <f t="shared" si="24"/>
        <v/>
      </c>
      <c r="V192" s="111" t="str">
        <f t="shared" si="25"/>
        <v/>
      </c>
      <c r="AA192" s="1">
        <v>30095</v>
      </c>
      <c r="AB192" s="1" t="s">
        <v>45</v>
      </c>
      <c r="AD192" s="1" t="str">
        <f t="shared" si="26"/>
        <v/>
      </c>
      <c r="AH192" s="116">
        <v>191</v>
      </c>
      <c r="AI192" s="122">
        <v>144</v>
      </c>
      <c r="AJ192" s="1" t="s">
        <v>1535</v>
      </c>
      <c r="AK192" s="1">
        <v>309587</v>
      </c>
      <c r="AL192" s="1" t="s">
        <v>115</v>
      </c>
      <c r="AN192" s="270">
        <v>286</v>
      </c>
      <c r="AQ192" s="1">
        <v>543</v>
      </c>
      <c r="AR192" s="1" t="s">
        <v>960</v>
      </c>
      <c r="AS192" s="1">
        <v>256794</v>
      </c>
      <c r="AT192" s="1" t="s">
        <v>930</v>
      </c>
      <c r="AV192" s="241">
        <v>492</v>
      </c>
      <c r="AX192" s="1">
        <f t="shared" si="27"/>
        <v>1</v>
      </c>
      <c r="AY192" s="1" t="str">
        <f>IF(COUNTIF($AX$2:AX192,1)&gt;$AG$1,"",IF(AX192="","",E192))</f>
        <v>218</v>
      </c>
      <c r="BM192" s="138" t="str">
        <f t="shared" si="28"/>
        <v xml:space="preserve">   </v>
      </c>
      <c r="BN192" s="42">
        <f t="shared" si="29"/>
        <v>11337</v>
      </c>
      <c r="BS192" s="1">
        <v>9819</v>
      </c>
      <c r="BT192" s="1" t="s">
        <v>902</v>
      </c>
      <c r="BX192" s="36"/>
    </row>
    <row r="193" spans="1:76" ht="14.25">
      <c r="A193" s="55">
        <v>11338</v>
      </c>
      <c r="B193" s="36" t="s">
        <v>82</v>
      </c>
      <c r="C193" s="36" t="s">
        <v>48</v>
      </c>
      <c r="D193" s="36" t="s">
        <v>906</v>
      </c>
      <c r="E193" s="36" t="s">
        <v>20</v>
      </c>
      <c r="F193" s="36" t="s">
        <v>88</v>
      </c>
      <c r="G193" s="36" t="s">
        <v>85</v>
      </c>
      <c r="H193" s="36" t="s">
        <v>58</v>
      </c>
      <c r="I193" s="36" t="s">
        <v>85</v>
      </c>
      <c r="J193" s="36" t="s">
        <v>1146</v>
      </c>
      <c r="K193" s="1">
        <f t="shared" si="30"/>
        <v>11338</v>
      </c>
      <c r="L193" s="1" t="str">
        <f t="shared" si="33"/>
        <v/>
      </c>
      <c r="M193" s="94">
        <v>188</v>
      </c>
      <c r="N193" s="36" t="s">
        <v>1843</v>
      </c>
      <c r="O193" s="95">
        <v>309895</v>
      </c>
      <c r="P193" s="36"/>
      <c r="Q193" s="110" t="str">
        <f t="shared" si="31"/>
        <v>Standard</v>
      </c>
      <c r="R193" s="1" t="str">
        <f t="shared" si="32"/>
        <v/>
      </c>
      <c r="S193" s="1">
        <f>IF(A193&gt;0,COUNT(A$2:A193),"")</f>
        <v>192</v>
      </c>
      <c r="T193" s="1" t="str">
        <f t="shared" si="23"/>
        <v/>
      </c>
      <c r="U193" s="1" t="str">
        <f t="shared" si="24"/>
        <v/>
      </c>
      <c r="V193" s="111" t="str">
        <f t="shared" si="25"/>
        <v/>
      </c>
      <c r="AA193" s="1">
        <v>30096</v>
      </c>
      <c r="AB193" s="1" t="s">
        <v>45</v>
      </c>
      <c r="AD193" s="1" t="str">
        <f t="shared" si="26"/>
        <v/>
      </c>
      <c r="AH193" s="116">
        <v>192</v>
      </c>
      <c r="AI193" s="122">
        <v>145</v>
      </c>
      <c r="AJ193" s="1" t="s">
        <v>1536</v>
      </c>
      <c r="AK193" s="1">
        <v>309588</v>
      </c>
      <c r="AL193" s="1" t="s">
        <v>930</v>
      </c>
      <c r="AN193" s="270">
        <v>287</v>
      </c>
      <c r="AQ193" s="1">
        <v>544</v>
      </c>
      <c r="AR193" s="1" t="s">
        <v>961</v>
      </c>
      <c r="AS193" s="1">
        <v>256795</v>
      </c>
      <c r="AT193" s="1" t="s">
        <v>930</v>
      </c>
      <c r="AV193" s="241">
        <v>493</v>
      </c>
      <c r="AX193" s="1">
        <f t="shared" si="27"/>
        <v>1</v>
      </c>
      <c r="AY193" s="1" t="str">
        <f>IF(COUNTIF($AX$2:AX193,1)&gt;$AG$1,"",IF(AX193="","",E193))</f>
        <v>218</v>
      </c>
      <c r="BM193" s="138" t="str">
        <f t="shared" si="28"/>
        <v xml:space="preserve">   </v>
      </c>
      <c r="BN193" s="42">
        <f t="shared" si="29"/>
        <v>11338</v>
      </c>
      <c r="BS193" s="1">
        <v>9820</v>
      </c>
      <c r="BT193" s="1" t="s">
        <v>902</v>
      </c>
      <c r="BX193" s="36"/>
    </row>
    <row r="194" spans="1:76" ht="14.25">
      <c r="A194" s="55">
        <v>11339</v>
      </c>
      <c r="B194" s="36" t="s">
        <v>1158</v>
      </c>
      <c r="C194" s="36" t="s">
        <v>48</v>
      </c>
      <c r="D194" s="36" t="s">
        <v>916</v>
      </c>
      <c r="E194" s="36" t="s">
        <v>80</v>
      </c>
      <c r="F194" s="36" t="s">
        <v>1139</v>
      </c>
      <c r="G194" s="36" t="s">
        <v>894</v>
      </c>
      <c r="H194" s="36" t="s">
        <v>58</v>
      </c>
      <c r="I194" s="36" t="s">
        <v>85</v>
      </c>
      <c r="J194" s="36" t="s">
        <v>1146</v>
      </c>
      <c r="K194" s="1">
        <f t="shared" si="30"/>
        <v>11339</v>
      </c>
      <c r="L194" s="1" t="str">
        <f t="shared" si="33"/>
        <v/>
      </c>
      <c r="M194" s="94">
        <v>189</v>
      </c>
      <c r="N194" s="36" t="s">
        <v>1844</v>
      </c>
      <c r="O194" s="95">
        <v>309896</v>
      </c>
      <c r="P194" s="36"/>
      <c r="Q194" s="110" t="str">
        <f t="shared" si="31"/>
        <v/>
      </c>
      <c r="R194" s="1" t="str">
        <f t="shared" si="32"/>
        <v>CVT</v>
      </c>
      <c r="S194" s="1">
        <f>IF(A194&gt;0,COUNT(A$2:A194),"")</f>
        <v>193</v>
      </c>
      <c r="T194" s="1" t="str">
        <f t="shared" ref="T194:T257" si="34">IF(S194&gt;$AG$1,"",IF(S194&gt;0,D194,""))</f>
        <v/>
      </c>
      <c r="U194" s="1" t="str">
        <f t="shared" ref="U194:U257" si="35">IF(S194&gt;$AG$1,"",IF(S194&gt;0,G194,""))</f>
        <v/>
      </c>
      <c r="V194" s="111" t="str">
        <f t="shared" ref="V194:V257" si="36">IF(S194&gt;$AG$1,"",IF(AND(H194="Z",F194&lt;&gt;"BO"),"Special",""))</f>
        <v/>
      </c>
      <c r="AA194" s="1">
        <v>30097</v>
      </c>
      <c r="AB194" s="1" t="s">
        <v>246</v>
      </c>
      <c r="AD194" s="1" t="str">
        <f t="shared" ref="AD194:AD257" si="37">IF(AND(C194&lt;&gt;"B0",C194&lt;&gt;"B1"),B194,"")</f>
        <v/>
      </c>
      <c r="AH194" s="116">
        <v>193</v>
      </c>
      <c r="AI194" s="122">
        <v>146</v>
      </c>
      <c r="AJ194" s="1" t="s">
        <v>1537</v>
      </c>
      <c r="AK194" s="1">
        <v>309589</v>
      </c>
      <c r="AL194" s="1" t="s">
        <v>930</v>
      </c>
      <c r="AN194" s="270">
        <v>288</v>
      </c>
      <c r="AQ194" s="1">
        <v>545</v>
      </c>
      <c r="AR194" s="1" t="s">
        <v>962</v>
      </c>
      <c r="AS194" s="1">
        <v>256796</v>
      </c>
      <c r="AT194" s="1" t="s">
        <v>115</v>
      </c>
      <c r="AV194" s="241">
        <v>494</v>
      </c>
      <c r="AX194" s="1">
        <f t="shared" ref="AX194:AX257" si="38">IF(AND(C194&lt;&gt;"A0",C194&lt;&gt;"P9"),1,"")</f>
        <v>1</v>
      </c>
      <c r="AY194" s="1" t="str">
        <f>IF(COUNTIF($AX$2:AX194,1)&gt;$AG$1,"",IF(AX194="","",E194))</f>
        <v/>
      </c>
      <c r="BM194" s="138" t="str">
        <f t="shared" ref="BM194:BM257" si="39">I194</f>
        <v xml:space="preserve">   </v>
      </c>
      <c r="BN194" s="42">
        <f t="shared" ref="BN194:BN257" si="40">A194</f>
        <v>11339</v>
      </c>
      <c r="BS194" s="1">
        <v>9821</v>
      </c>
      <c r="BT194" s="1" t="s">
        <v>902</v>
      </c>
      <c r="BX194" s="36"/>
    </row>
    <row r="195" spans="1:76" ht="14.25">
      <c r="A195" s="55">
        <v>11340</v>
      </c>
      <c r="B195" s="36" t="s">
        <v>82</v>
      </c>
      <c r="C195" s="36" t="s">
        <v>48</v>
      </c>
      <c r="D195" s="36" t="s">
        <v>906</v>
      </c>
      <c r="E195" s="36" t="s">
        <v>20</v>
      </c>
      <c r="F195" s="36" t="s">
        <v>90</v>
      </c>
      <c r="G195" s="36" t="s">
        <v>85</v>
      </c>
      <c r="H195" s="36" t="s">
        <v>58</v>
      </c>
      <c r="I195" s="36" t="s">
        <v>85</v>
      </c>
      <c r="J195" s="36" t="s">
        <v>1146</v>
      </c>
      <c r="K195" s="1">
        <f t="shared" ref="K195:K258" si="41">IF(B195="722W","",IF(OR(C195="B1",C195="B9",C195="W1",C195="W2",C195="U9"),IF(MAX($A$2:$A$400)-A195&gt;10000,A195+100000,A195),""))</f>
        <v>11340</v>
      </c>
      <c r="L195" s="1" t="str">
        <f t="shared" si="33"/>
        <v/>
      </c>
      <c r="M195" s="94">
        <v>190</v>
      </c>
      <c r="N195" s="36" t="s">
        <v>1845</v>
      </c>
      <c r="O195" s="95">
        <v>309897</v>
      </c>
      <c r="P195" s="36"/>
      <c r="Q195" s="110" t="str">
        <f t="shared" ref="Q195:Q258" si="42">IF(B195="664W",IF(OR(F195="C5",F195="C6",F195="Z3"),"Rich",IF(OR(F195="S2",F195="S1"),"Sport","Standard")),"")</f>
        <v>Standard</v>
      </c>
      <c r="R195" s="1" t="str">
        <f t="shared" ref="R195:R258" si="43">IF(OR(G195="   ",G195=""),"",IF(G195="CVT","CVT",IF(G195="6MT","Mech","Auto")))</f>
        <v/>
      </c>
      <c r="S195" s="1">
        <f>IF(A195&gt;0,COUNT(A$2:A195),"")</f>
        <v>194</v>
      </c>
      <c r="T195" s="1" t="str">
        <f t="shared" si="34"/>
        <v/>
      </c>
      <c r="U195" s="1" t="str">
        <f t="shared" si="35"/>
        <v/>
      </c>
      <c r="V195" s="111" t="str">
        <f t="shared" si="36"/>
        <v/>
      </c>
      <c r="AA195" s="1">
        <v>30098</v>
      </c>
      <c r="AB195" s="1" t="s">
        <v>47</v>
      </c>
      <c r="AD195" s="1" t="str">
        <f t="shared" si="37"/>
        <v/>
      </c>
      <c r="AH195" s="116">
        <v>194</v>
      </c>
      <c r="AI195" s="122">
        <v>147</v>
      </c>
      <c r="AJ195" s="1" t="s">
        <v>1538</v>
      </c>
      <c r="AK195" s="1">
        <v>309590</v>
      </c>
      <c r="AL195" s="1" t="s">
        <v>115</v>
      </c>
      <c r="AN195" s="270">
        <v>289</v>
      </c>
      <c r="AQ195" s="1">
        <v>546</v>
      </c>
      <c r="AR195" s="1" t="s">
        <v>963</v>
      </c>
      <c r="AS195" s="1">
        <v>256797</v>
      </c>
      <c r="AT195" s="1" t="s">
        <v>930</v>
      </c>
      <c r="AV195" s="241">
        <v>495</v>
      </c>
      <c r="AX195" s="1">
        <f t="shared" si="38"/>
        <v>1</v>
      </c>
      <c r="AY195" s="1" t="str">
        <f>IF(COUNTIF($AX$2:AX195,1)&gt;$AG$1,"",IF(AX195="","",E195))</f>
        <v/>
      </c>
      <c r="BM195" s="138" t="str">
        <f t="shared" si="39"/>
        <v xml:space="preserve">   </v>
      </c>
      <c r="BN195" s="42">
        <f t="shared" si="40"/>
        <v>11340</v>
      </c>
      <c r="BS195" s="1">
        <v>9822</v>
      </c>
      <c r="BT195" s="1" t="s">
        <v>902</v>
      </c>
      <c r="BX195" s="36"/>
    </row>
    <row r="196" spans="1:76" ht="14.25">
      <c r="A196" s="55">
        <v>11341</v>
      </c>
      <c r="B196" s="36" t="s">
        <v>1158</v>
      </c>
      <c r="C196" s="36" t="s">
        <v>48</v>
      </c>
      <c r="D196" s="36" t="s">
        <v>910</v>
      </c>
      <c r="E196" s="36" t="s">
        <v>10</v>
      </c>
      <c r="F196" s="36" t="s">
        <v>1166</v>
      </c>
      <c r="G196" s="36" t="s">
        <v>921</v>
      </c>
      <c r="H196" s="36" t="s">
        <v>58</v>
      </c>
      <c r="I196" s="36" t="s">
        <v>85</v>
      </c>
      <c r="J196" s="36" t="s">
        <v>1146</v>
      </c>
      <c r="K196" s="1">
        <f t="shared" si="41"/>
        <v>11341</v>
      </c>
      <c r="L196" s="1" t="str">
        <f t="shared" ref="L196:L259" si="44">IF(AND(MIN(I:I)&lt;20,MAX(I:I)&gt;980,I196&lt;20),I196,"")</f>
        <v/>
      </c>
      <c r="M196" s="94">
        <v>191</v>
      </c>
      <c r="N196" s="36" t="s">
        <v>1846</v>
      </c>
      <c r="O196" s="95">
        <v>309898</v>
      </c>
      <c r="P196" s="36"/>
      <c r="Q196" s="110" t="str">
        <f t="shared" si="42"/>
        <v/>
      </c>
      <c r="R196" s="1" t="str">
        <f t="shared" si="43"/>
        <v>Auto</v>
      </c>
      <c r="S196" s="1">
        <f>IF(A196&gt;0,COUNT(A$2:A196),"")</f>
        <v>195</v>
      </c>
      <c r="T196" s="1" t="str">
        <f t="shared" si="34"/>
        <v/>
      </c>
      <c r="U196" s="1" t="str">
        <f t="shared" si="35"/>
        <v/>
      </c>
      <c r="V196" s="111" t="str">
        <f t="shared" si="36"/>
        <v/>
      </c>
      <c r="AA196" s="1">
        <v>30099</v>
      </c>
      <c r="AB196" s="1" t="s">
        <v>78</v>
      </c>
      <c r="AD196" s="1" t="str">
        <f t="shared" si="37"/>
        <v/>
      </c>
      <c r="AH196" s="116">
        <v>195</v>
      </c>
      <c r="AI196" s="122">
        <v>148</v>
      </c>
      <c r="AJ196" s="1" t="s">
        <v>1539</v>
      </c>
      <c r="AK196" s="1">
        <v>309591</v>
      </c>
      <c r="AL196" s="1" t="s">
        <v>930</v>
      </c>
      <c r="AN196" s="270">
        <v>290</v>
      </c>
      <c r="AQ196" s="1">
        <v>547</v>
      </c>
      <c r="AR196" s="1" t="s">
        <v>964</v>
      </c>
      <c r="AS196" s="1">
        <v>256798</v>
      </c>
      <c r="AT196" s="1" t="s">
        <v>115</v>
      </c>
      <c r="AV196" s="241">
        <v>496</v>
      </c>
      <c r="AX196" s="1">
        <f t="shared" si="38"/>
        <v>1</v>
      </c>
      <c r="AY196" s="1" t="str">
        <f>IF(COUNTIF($AX$2:AX196,1)&gt;$AG$1,"",IF(AX196="","",E196))</f>
        <v/>
      </c>
      <c r="BM196" s="138" t="str">
        <f t="shared" si="39"/>
        <v xml:space="preserve">   </v>
      </c>
      <c r="BN196" s="42">
        <f t="shared" si="40"/>
        <v>11341</v>
      </c>
      <c r="BS196" s="1">
        <v>9823</v>
      </c>
      <c r="BT196" s="1" t="s">
        <v>902</v>
      </c>
      <c r="BX196" s="36"/>
    </row>
    <row r="197" spans="1:76" ht="14.25">
      <c r="A197" s="55">
        <v>11342</v>
      </c>
      <c r="B197" s="36" t="s">
        <v>1158</v>
      </c>
      <c r="C197" s="36" t="s">
        <v>48</v>
      </c>
      <c r="D197" s="36" t="s">
        <v>915</v>
      </c>
      <c r="E197" s="36" t="s">
        <v>80</v>
      </c>
      <c r="F197" s="36" t="s">
        <v>904</v>
      </c>
      <c r="G197" s="36" t="s">
        <v>894</v>
      </c>
      <c r="H197" s="36" t="s">
        <v>58</v>
      </c>
      <c r="I197" s="36" t="s">
        <v>85</v>
      </c>
      <c r="J197" s="36" t="s">
        <v>1146</v>
      </c>
      <c r="K197" s="1">
        <f t="shared" si="41"/>
        <v>11342</v>
      </c>
      <c r="L197" s="1" t="str">
        <f t="shared" si="44"/>
        <v/>
      </c>
      <c r="M197" s="94">
        <v>192</v>
      </c>
      <c r="N197" s="36" t="s">
        <v>1847</v>
      </c>
      <c r="O197" s="95">
        <v>309899</v>
      </c>
      <c r="P197" s="36"/>
      <c r="Q197" s="110" t="str">
        <f t="shared" si="42"/>
        <v/>
      </c>
      <c r="R197" s="1" t="str">
        <f t="shared" si="43"/>
        <v>CVT</v>
      </c>
      <c r="S197" s="1">
        <f>IF(A197&gt;0,COUNT(A$2:A197),"")</f>
        <v>196</v>
      </c>
      <c r="T197" s="1" t="str">
        <f t="shared" si="34"/>
        <v/>
      </c>
      <c r="U197" s="1" t="str">
        <f t="shared" si="35"/>
        <v/>
      </c>
      <c r="V197" s="111" t="str">
        <f t="shared" si="36"/>
        <v/>
      </c>
      <c r="AA197" s="1">
        <v>30100</v>
      </c>
      <c r="AB197" s="1" t="s">
        <v>45</v>
      </c>
      <c r="AD197" s="1" t="str">
        <f t="shared" si="37"/>
        <v/>
      </c>
      <c r="AH197" s="116">
        <v>196</v>
      </c>
      <c r="AI197" s="122">
        <v>149</v>
      </c>
      <c r="AJ197" s="1" t="s">
        <v>1540</v>
      </c>
      <c r="AK197" s="1">
        <v>309592</v>
      </c>
      <c r="AL197" s="1" t="s">
        <v>115</v>
      </c>
      <c r="AN197" s="270">
        <v>291</v>
      </c>
      <c r="AQ197" s="1">
        <v>548</v>
      </c>
      <c r="AR197" s="1" t="s">
        <v>965</v>
      </c>
      <c r="AS197" s="1">
        <v>256799</v>
      </c>
      <c r="AT197" s="1" t="s">
        <v>930</v>
      </c>
      <c r="AV197" s="241">
        <v>497</v>
      </c>
      <c r="AX197" s="1">
        <f t="shared" si="38"/>
        <v>1</v>
      </c>
      <c r="AY197" s="1" t="str">
        <f>IF(COUNTIF($AX$2:AX197,1)&gt;$AG$1,"",IF(AX197="","",E197))</f>
        <v/>
      </c>
      <c r="BM197" s="138" t="str">
        <f t="shared" si="39"/>
        <v xml:space="preserve">   </v>
      </c>
      <c r="BN197" s="42">
        <f t="shared" si="40"/>
        <v>11342</v>
      </c>
      <c r="BS197" s="1">
        <v>9824</v>
      </c>
      <c r="BT197" s="1" t="s">
        <v>902</v>
      </c>
      <c r="BX197" s="36"/>
    </row>
    <row r="198" spans="1:76" ht="14.25">
      <c r="A198" s="55">
        <v>11343</v>
      </c>
      <c r="B198" s="36" t="s">
        <v>82</v>
      </c>
      <c r="C198" s="36" t="s">
        <v>48</v>
      </c>
      <c r="D198" s="36" t="s">
        <v>906</v>
      </c>
      <c r="E198" s="36" t="s">
        <v>1128</v>
      </c>
      <c r="F198" s="36" t="s">
        <v>1129</v>
      </c>
      <c r="G198" s="36" t="s">
        <v>85</v>
      </c>
      <c r="H198" s="36" t="s">
        <v>58</v>
      </c>
      <c r="I198" s="36" t="s">
        <v>85</v>
      </c>
      <c r="J198" s="36" t="s">
        <v>1146</v>
      </c>
      <c r="K198" s="1">
        <f t="shared" si="41"/>
        <v>11343</v>
      </c>
      <c r="L198" s="1" t="str">
        <f t="shared" si="44"/>
        <v/>
      </c>
      <c r="M198" s="94">
        <v>193</v>
      </c>
      <c r="N198" s="36" t="s">
        <v>1848</v>
      </c>
      <c r="O198" s="95">
        <v>309900</v>
      </c>
      <c r="P198" s="36"/>
      <c r="Q198" s="110" t="str">
        <f t="shared" si="42"/>
        <v>Sport</v>
      </c>
      <c r="R198" s="1" t="str">
        <f t="shared" si="43"/>
        <v/>
      </c>
      <c r="S198" s="1">
        <f>IF(A198&gt;0,COUNT(A$2:A198),"")</f>
        <v>197</v>
      </c>
      <c r="T198" s="1" t="str">
        <f t="shared" si="34"/>
        <v/>
      </c>
      <c r="U198" s="1" t="str">
        <f t="shared" si="35"/>
        <v/>
      </c>
      <c r="V198" s="111" t="str">
        <f t="shared" si="36"/>
        <v/>
      </c>
      <c r="AA198" s="1">
        <v>30101</v>
      </c>
      <c r="AB198" s="1" t="s">
        <v>246</v>
      </c>
      <c r="AD198" s="1" t="str">
        <f t="shared" si="37"/>
        <v/>
      </c>
      <c r="AH198" s="116">
        <v>197</v>
      </c>
      <c r="AI198" s="122">
        <v>150</v>
      </c>
      <c r="AJ198" s="1" t="s">
        <v>1541</v>
      </c>
      <c r="AK198" s="1">
        <v>309593</v>
      </c>
      <c r="AL198" s="1" t="s">
        <v>930</v>
      </c>
      <c r="AN198" s="270">
        <v>292</v>
      </c>
      <c r="AQ198" s="1">
        <v>549</v>
      </c>
      <c r="AR198" s="1" t="s">
        <v>966</v>
      </c>
      <c r="AS198" s="1">
        <v>256800</v>
      </c>
      <c r="AT198" s="1" t="s">
        <v>930</v>
      </c>
      <c r="AV198" s="241">
        <v>498</v>
      </c>
      <c r="AX198" s="1">
        <f t="shared" si="38"/>
        <v>1</v>
      </c>
      <c r="AY198" s="1" t="str">
        <f>IF(COUNTIF($AX$2:AX198,1)&gt;$AG$1,"",IF(AX198="","",E198))</f>
        <v/>
      </c>
      <c r="BM198" s="138" t="str">
        <f t="shared" si="39"/>
        <v xml:space="preserve">   </v>
      </c>
      <c r="BN198" s="42">
        <f t="shared" si="40"/>
        <v>11343</v>
      </c>
      <c r="BS198" s="1">
        <v>9825</v>
      </c>
      <c r="BT198" s="1" t="s">
        <v>902</v>
      </c>
      <c r="BX198" s="36"/>
    </row>
    <row r="199" spans="1:76" ht="14.25">
      <c r="A199" s="55">
        <v>11344</v>
      </c>
      <c r="B199" s="36" t="s">
        <v>1158</v>
      </c>
      <c r="C199" s="36" t="s">
        <v>48</v>
      </c>
      <c r="D199" s="36" t="s">
        <v>910</v>
      </c>
      <c r="E199" s="36" t="s">
        <v>20</v>
      </c>
      <c r="F199" s="36" t="s">
        <v>1139</v>
      </c>
      <c r="G199" s="36" t="s">
        <v>921</v>
      </c>
      <c r="H199" s="36" t="s">
        <v>58</v>
      </c>
      <c r="I199" s="36" t="s">
        <v>85</v>
      </c>
      <c r="J199" s="36" t="s">
        <v>1146</v>
      </c>
      <c r="K199" s="1">
        <f t="shared" si="41"/>
        <v>11344</v>
      </c>
      <c r="L199" s="1" t="str">
        <f t="shared" si="44"/>
        <v/>
      </c>
      <c r="M199" s="94">
        <v>194</v>
      </c>
      <c r="N199" s="36" t="s">
        <v>1849</v>
      </c>
      <c r="O199" s="95">
        <v>309901</v>
      </c>
      <c r="P199" s="36"/>
      <c r="Q199" s="110" t="str">
        <f t="shared" si="42"/>
        <v/>
      </c>
      <c r="R199" s="1" t="str">
        <f t="shared" si="43"/>
        <v>Auto</v>
      </c>
      <c r="S199" s="1">
        <f>IF(A199&gt;0,COUNT(A$2:A199),"")</f>
        <v>198</v>
      </c>
      <c r="T199" s="1" t="str">
        <f t="shared" si="34"/>
        <v/>
      </c>
      <c r="U199" s="1" t="str">
        <f t="shared" si="35"/>
        <v/>
      </c>
      <c r="V199" s="111" t="str">
        <f t="shared" si="36"/>
        <v/>
      </c>
      <c r="AA199" s="1">
        <v>30102</v>
      </c>
      <c r="AB199" s="1" t="s">
        <v>78</v>
      </c>
      <c r="AD199" s="1" t="str">
        <f t="shared" si="37"/>
        <v/>
      </c>
      <c r="AH199" s="116">
        <v>198</v>
      </c>
      <c r="AI199" s="122">
        <v>151</v>
      </c>
      <c r="AJ199" s="1" t="s">
        <v>1542</v>
      </c>
      <c r="AK199" s="1">
        <v>309594</v>
      </c>
      <c r="AL199" s="1" t="s">
        <v>115</v>
      </c>
      <c r="AN199" s="270">
        <v>293</v>
      </c>
      <c r="AQ199" s="1">
        <v>550</v>
      </c>
      <c r="AR199" s="1" t="s">
        <v>967</v>
      </c>
      <c r="AS199" s="1">
        <v>256801</v>
      </c>
      <c r="AT199" s="1" t="s">
        <v>115</v>
      </c>
      <c r="AV199" s="241">
        <v>499</v>
      </c>
      <c r="AX199" s="1">
        <f t="shared" si="38"/>
        <v>1</v>
      </c>
      <c r="AY199" s="1" t="str">
        <f>IF(COUNTIF($AX$2:AX199,1)&gt;$AG$1,"",IF(AX199="","",E199))</f>
        <v/>
      </c>
      <c r="BM199" s="138" t="str">
        <f t="shared" si="39"/>
        <v xml:space="preserve">   </v>
      </c>
      <c r="BN199" s="42">
        <f t="shared" si="40"/>
        <v>11344</v>
      </c>
      <c r="BS199" s="1">
        <v>9826</v>
      </c>
      <c r="BT199" s="1" t="s">
        <v>902</v>
      </c>
      <c r="BX199" s="36"/>
    </row>
    <row r="200" spans="1:76" ht="14.25">
      <c r="A200" s="55">
        <v>11345</v>
      </c>
      <c r="B200" s="36" t="s">
        <v>82</v>
      </c>
      <c r="C200" s="36" t="s">
        <v>48</v>
      </c>
      <c r="D200" s="36" t="s">
        <v>906</v>
      </c>
      <c r="E200" s="36" t="s">
        <v>80</v>
      </c>
      <c r="F200" s="36" t="s">
        <v>87</v>
      </c>
      <c r="G200" s="36" t="s">
        <v>85</v>
      </c>
      <c r="H200" s="36" t="s">
        <v>58</v>
      </c>
      <c r="I200" s="36" t="s">
        <v>85</v>
      </c>
      <c r="J200" s="36" t="s">
        <v>1146</v>
      </c>
      <c r="K200" s="1">
        <f t="shared" si="41"/>
        <v>11345</v>
      </c>
      <c r="L200" s="1" t="str">
        <f t="shared" si="44"/>
        <v/>
      </c>
      <c r="M200" s="94">
        <v>195</v>
      </c>
      <c r="N200" s="36" t="s">
        <v>1850</v>
      </c>
      <c r="O200" s="95">
        <v>309902</v>
      </c>
      <c r="P200" s="36"/>
      <c r="Q200" s="110" t="str">
        <f t="shared" si="42"/>
        <v>Standard</v>
      </c>
      <c r="R200" s="1" t="str">
        <f t="shared" si="43"/>
        <v/>
      </c>
      <c r="S200" s="1">
        <f>IF(A200&gt;0,COUNT(A$2:A200),"")</f>
        <v>199</v>
      </c>
      <c r="T200" s="1" t="str">
        <f t="shared" si="34"/>
        <v/>
      </c>
      <c r="U200" s="1" t="str">
        <f t="shared" si="35"/>
        <v/>
      </c>
      <c r="V200" s="111" t="str">
        <f t="shared" si="36"/>
        <v/>
      </c>
      <c r="AA200" s="1">
        <v>30103</v>
      </c>
      <c r="AB200" s="1" t="s">
        <v>43</v>
      </c>
      <c r="AD200" s="1" t="str">
        <f t="shared" si="37"/>
        <v/>
      </c>
      <c r="AH200" s="116">
        <v>199</v>
      </c>
      <c r="AI200" s="122">
        <v>152</v>
      </c>
      <c r="AJ200" s="1" t="s">
        <v>1543</v>
      </c>
      <c r="AK200" s="1">
        <v>309595</v>
      </c>
      <c r="AL200" s="1" t="s">
        <v>930</v>
      </c>
      <c r="AN200" s="270">
        <v>294</v>
      </c>
      <c r="AQ200" s="1">
        <v>551</v>
      </c>
      <c r="AR200" s="1" t="s">
        <v>968</v>
      </c>
      <c r="AS200" s="1">
        <v>256802</v>
      </c>
      <c r="AT200" s="1" t="s">
        <v>930</v>
      </c>
      <c r="AV200" s="241">
        <v>500</v>
      </c>
      <c r="AX200" s="1">
        <f t="shared" si="38"/>
        <v>1</v>
      </c>
      <c r="AY200" s="1" t="str">
        <f>IF(COUNTIF($AX$2:AX200,1)&gt;$AG$1,"",IF(AX200="","",E200))</f>
        <v/>
      </c>
      <c r="BM200" s="138" t="str">
        <f t="shared" si="39"/>
        <v xml:space="preserve">   </v>
      </c>
      <c r="BN200" s="42">
        <f t="shared" si="40"/>
        <v>11345</v>
      </c>
      <c r="BS200" s="1">
        <v>9827</v>
      </c>
      <c r="BT200" s="1" t="s">
        <v>902</v>
      </c>
      <c r="BX200" s="36"/>
    </row>
    <row r="201" spans="1:76" ht="14.25">
      <c r="A201" s="55">
        <v>11346</v>
      </c>
      <c r="B201" s="36" t="s">
        <v>1158</v>
      </c>
      <c r="C201" s="36" t="s">
        <v>48</v>
      </c>
      <c r="D201" s="36" t="s">
        <v>916</v>
      </c>
      <c r="E201" s="36" t="s">
        <v>10</v>
      </c>
      <c r="F201" s="36" t="s">
        <v>1139</v>
      </c>
      <c r="G201" s="36" t="s">
        <v>894</v>
      </c>
      <c r="H201" s="36" t="s">
        <v>58</v>
      </c>
      <c r="I201" s="36" t="s">
        <v>85</v>
      </c>
      <c r="J201" s="36" t="s">
        <v>1146</v>
      </c>
      <c r="K201" s="1">
        <f t="shared" si="41"/>
        <v>11346</v>
      </c>
      <c r="L201" s="1" t="str">
        <f t="shared" si="44"/>
        <v/>
      </c>
      <c r="M201" s="94">
        <v>196</v>
      </c>
      <c r="N201" s="36" t="s">
        <v>1851</v>
      </c>
      <c r="O201" s="95">
        <v>309903</v>
      </c>
      <c r="P201" s="36"/>
      <c r="Q201" s="110" t="str">
        <f t="shared" si="42"/>
        <v/>
      </c>
      <c r="R201" s="1" t="str">
        <f t="shared" si="43"/>
        <v>CVT</v>
      </c>
      <c r="S201" s="1">
        <f>IF(A201&gt;0,COUNT(A$2:A201),"")</f>
        <v>200</v>
      </c>
      <c r="T201" s="1" t="str">
        <f t="shared" si="34"/>
        <v/>
      </c>
      <c r="U201" s="1" t="str">
        <f t="shared" si="35"/>
        <v/>
      </c>
      <c r="V201" s="111" t="str">
        <f t="shared" si="36"/>
        <v/>
      </c>
      <c r="AA201" s="1">
        <v>30104</v>
      </c>
      <c r="AB201" s="1" t="s">
        <v>78</v>
      </c>
      <c r="AD201" s="1" t="str">
        <f t="shared" si="37"/>
        <v/>
      </c>
      <c r="AH201" s="116">
        <v>200</v>
      </c>
      <c r="AI201" s="122">
        <v>153</v>
      </c>
      <c r="AJ201" s="1" t="s">
        <v>1544</v>
      </c>
      <c r="AK201" s="1">
        <v>309596</v>
      </c>
      <c r="AL201" s="1" t="s">
        <v>930</v>
      </c>
      <c r="AN201" s="270">
        <v>295</v>
      </c>
      <c r="AQ201" s="1">
        <v>552</v>
      </c>
      <c r="AR201" s="1" t="s">
        <v>969</v>
      </c>
      <c r="AS201" s="1">
        <v>256803</v>
      </c>
      <c r="AT201" s="1" t="s">
        <v>115</v>
      </c>
      <c r="AV201" s="241">
        <v>501</v>
      </c>
      <c r="AX201" s="1">
        <f t="shared" si="38"/>
        <v>1</v>
      </c>
      <c r="AY201" s="1" t="str">
        <f>IF(COUNTIF($AX$2:AX201,1)&gt;$AG$1,"",IF(AX201="","",E201))</f>
        <v/>
      </c>
      <c r="BM201" s="138" t="str">
        <f t="shared" si="39"/>
        <v xml:space="preserve">   </v>
      </c>
      <c r="BN201" s="42">
        <f t="shared" si="40"/>
        <v>11346</v>
      </c>
      <c r="BS201" s="1">
        <v>9828</v>
      </c>
      <c r="BT201" s="1" t="s">
        <v>902</v>
      </c>
      <c r="BX201" s="36"/>
    </row>
    <row r="202" spans="1:76" ht="14.25">
      <c r="A202" s="55">
        <v>11347</v>
      </c>
      <c r="B202" s="36" t="s">
        <v>82</v>
      </c>
      <c r="C202" s="36" t="s">
        <v>48</v>
      </c>
      <c r="D202" s="36" t="s">
        <v>907</v>
      </c>
      <c r="E202" s="36" t="s">
        <v>21</v>
      </c>
      <c r="F202" s="36" t="s">
        <v>40</v>
      </c>
      <c r="G202" s="36" t="s">
        <v>85</v>
      </c>
      <c r="H202" s="36" t="s">
        <v>58</v>
      </c>
      <c r="I202" s="36" t="s">
        <v>85</v>
      </c>
      <c r="J202" s="36" t="s">
        <v>1146</v>
      </c>
      <c r="K202" s="1">
        <f t="shared" si="41"/>
        <v>11347</v>
      </c>
      <c r="L202" s="1" t="str">
        <f t="shared" si="44"/>
        <v/>
      </c>
      <c r="M202" s="94">
        <v>197</v>
      </c>
      <c r="N202" s="36" t="s">
        <v>1852</v>
      </c>
      <c r="O202" s="95">
        <v>309904</v>
      </c>
      <c r="P202" s="36"/>
      <c r="Q202" s="110" t="str">
        <f t="shared" si="42"/>
        <v>Standard</v>
      </c>
      <c r="R202" s="1" t="str">
        <f t="shared" si="43"/>
        <v/>
      </c>
      <c r="S202" s="1">
        <f>IF(A202&gt;0,COUNT(A$2:A202),"")</f>
        <v>201</v>
      </c>
      <c r="T202" s="1" t="str">
        <f t="shared" si="34"/>
        <v/>
      </c>
      <c r="U202" s="1" t="str">
        <f t="shared" si="35"/>
        <v/>
      </c>
      <c r="V202" s="111" t="str">
        <f t="shared" si="36"/>
        <v/>
      </c>
      <c r="AA202" s="1">
        <v>30105</v>
      </c>
      <c r="AB202" s="1" t="s">
        <v>47</v>
      </c>
      <c r="AD202" s="1" t="str">
        <f t="shared" si="37"/>
        <v/>
      </c>
      <c r="AH202" s="116">
        <v>201</v>
      </c>
      <c r="AI202" s="122">
        <v>154</v>
      </c>
      <c r="AJ202" s="1" t="s">
        <v>1545</v>
      </c>
      <c r="AK202" s="1">
        <v>309597</v>
      </c>
      <c r="AL202" s="1" t="s">
        <v>115</v>
      </c>
      <c r="AN202" s="270">
        <v>296</v>
      </c>
      <c r="AQ202" s="1">
        <v>553</v>
      </c>
      <c r="AR202" s="1" t="s">
        <v>970</v>
      </c>
      <c r="AS202" s="1">
        <v>256804</v>
      </c>
      <c r="AT202" s="1" t="s">
        <v>930</v>
      </c>
      <c r="AV202" s="241">
        <v>502</v>
      </c>
      <c r="AX202" s="1">
        <f t="shared" si="38"/>
        <v>1</v>
      </c>
      <c r="AY202" s="1" t="str">
        <f>IF(COUNTIF($AX$2:AX202,1)&gt;$AG$1,"",IF(AX202="","",E202))</f>
        <v/>
      </c>
      <c r="BM202" s="138" t="str">
        <f t="shared" si="39"/>
        <v xml:space="preserve">   </v>
      </c>
      <c r="BN202" s="42">
        <f t="shared" si="40"/>
        <v>11347</v>
      </c>
      <c r="BS202" s="1">
        <v>9829</v>
      </c>
      <c r="BT202" s="1" t="s">
        <v>902</v>
      </c>
      <c r="BX202" s="36"/>
    </row>
    <row r="203" spans="1:76" ht="14.25">
      <c r="A203" s="55">
        <v>11348</v>
      </c>
      <c r="B203" s="36" t="s">
        <v>1158</v>
      </c>
      <c r="C203" s="36" t="s">
        <v>48</v>
      </c>
      <c r="D203" s="36" t="s">
        <v>915</v>
      </c>
      <c r="E203" s="36" t="s">
        <v>20</v>
      </c>
      <c r="F203" s="36" t="s">
        <v>903</v>
      </c>
      <c r="G203" s="36" t="s">
        <v>894</v>
      </c>
      <c r="H203" s="36" t="s">
        <v>58</v>
      </c>
      <c r="I203" s="36" t="s">
        <v>85</v>
      </c>
      <c r="J203" s="36" t="s">
        <v>1146</v>
      </c>
      <c r="K203" s="1">
        <f t="shared" si="41"/>
        <v>11348</v>
      </c>
      <c r="L203" s="1" t="str">
        <f t="shared" si="44"/>
        <v/>
      </c>
      <c r="M203" s="94">
        <v>198</v>
      </c>
      <c r="N203" s="36" t="s">
        <v>1853</v>
      </c>
      <c r="O203" s="95">
        <v>309905</v>
      </c>
      <c r="P203" s="36"/>
      <c r="Q203" s="110" t="str">
        <f t="shared" si="42"/>
        <v/>
      </c>
      <c r="R203" s="1" t="str">
        <f t="shared" si="43"/>
        <v>CVT</v>
      </c>
      <c r="S203" s="1">
        <f>IF(A203&gt;0,COUNT(A$2:A203),"")</f>
        <v>202</v>
      </c>
      <c r="T203" s="1" t="str">
        <f t="shared" si="34"/>
        <v/>
      </c>
      <c r="U203" s="1" t="str">
        <f t="shared" si="35"/>
        <v/>
      </c>
      <c r="V203" s="111" t="str">
        <f t="shared" si="36"/>
        <v/>
      </c>
      <c r="AA203" s="1">
        <v>30106</v>
      </c>
      <c r="AB203" s="1" t="s">
        <v>246</v>
      </c>
      <c r="AD203" s="1" t="str">
        <f t="shared" si="37"/>
        <v/>
      </c>
      <c r="AH203" s="116">
        <v>202</v>
      </c>
      <c r="AI203" s="122">
        <v>155</v>
      </c>
      <c r="AJ203" s="1" t="s">
        <v>1546</v>
      </c>
      <c r="AK203" s="1">
        <v>309598</v>
      </c>
      <c r="AL203" s="1" t="s">
        <v>930</v>
      </c>
      <c r="AN203" s="270">
        <v>297</v>
      </c>
      <c r="AQ203" s="1">
        <v>554</v>
      </c>
      <c r="AR203" s="1" t="s">
        <v>971</v>
      </c>
      <c r="AS203" s="1">
        <v>256805</v>
      </c>
      <c r="AT203" s="1" t="s">
        <v>930</v>
      </c>
      <c r="AV203" s="241">
        <v>503</v>
      </c>
      <c r="AX203" s="1">
        <f t="shared" si="38"/>
        <v>1</v>
      </c>
      <c r="AY203" s="1" t="str">
        <f>IF(COUNTIF($AX$2:AX203,1)&gt;$AG$1,"",IF(AX203="","",E203))</f>
        <v/>
      </c>
      <c r="BM203" s="138" t="str">
        <f t="shared" si="39"/>
        <v xml:space="preserve">   </v>
      </c>
      <c r="BN203" s="42">
        <f t="shared" si="40"/>
        <v>11348</v>
      </c>
      <c r="BS203" s="1">
        <v>9830</v>
      </c>
      <c r="BT203" s="1" t="s">
        <v>902</v>
      </c>
      <c r="BX203" s="36"/>
    </row>
    <row r="204" spans="1:76" ht="14.25">
      <c r="A204" s="55">
        <v>11349</v>
      </c>
      <c r="B204" s="36" t="s">
        <v>1158</v>
      </c>
      <c r="C204" s="36" t="s">
        <v>48</v>
      </c>
      <c r="D204" s="36" t="s">
        <v>913</v>
      </c>
      <c r="E204" s="36" t="s">
        <v>80</v>
      </c>
      <c r="F204" s="36" t="s">
        <v>931</v>
      </c>
      <c r="G204" s="36" t="s">
        <v>894</v>
      </c>
      <c r="H204" s="36" t="s">
        <v>58</v>
      </c>
      <c r="I204" s="36" t="s">
        <v>85</v>
      </c>
      <c r="J204" s="36" t="s">
        <v>1146</v>
      </c>
      <c r="K204" s="1">
        <f t="shared" si="41"/>
        <v>11349</v>
      </c>
      <c r="L204" s="1" t="str">
        <f t="shared" si="44"/>
        <v/>
      </c>
      <c r="M204" s="94">
        <v>199</v>
      </c>
      <c r="N204" s="36" t="s">
        <v>1854</v>
      </c>
      <c r="O204" s="95">
        <v>309906</v>
      </c>
      <c r="P204" s="36"/>
      <c r="Q204" s="110" t="str">
        <f t="shared" si="42"/>
        <v/>
      </c>
      <c r="R204" s="1" t="str">
        <f t="shared" si="43"/>
        <v>CVT</v>
      </c>
      <c r="S204" s="1">
        <f>IF(A204&gt;0,COUNT(A$2:A204),"")</f>
        <v>203</v>
      </c>
      <c r="T204" s="1" t="str">
        <f t="shared" si="34"/>
        <v/>
      </c>
      <c r="U204" s="1" t="str">
        <f t="shared" si="35"/>
        <v/>
      </c>
      <c r="V204" s="111" t="str">
        <f t="shared" si="36"/>
        <v/>
      </c>
      <c r="AA204" s="1">
        <v>30107</v>
      </c>
      <c r="AB204" s="1" t="s">
        <v>247</v>
      </c>
      <c r="AD204" s="1" t="str">
        <f t="shared" si="37"/>
        <v/>
      </c>
      <c r="AH204" s="116">
        <v>203</v>
      </c>
      <c r="AI204" s="122">
        <v>156</v>
      </c>
      <c r="AJ204" s="1" t="s">
        <v>1547</v>
      </c>
      <c r="AK204" s="1">
        <v>309599</v>
      </c>
      <c r="AL204" s="1" t="s">
        <v>115</v>
      </c>
      <c r="AN204" s="270">
        <v>298</v>
      </c>
      <c r="AQ204" s="1">
        <v>555</v>
      </c>
      <c r="AR204" s="1" t="s">
        <v>972</v>
      </c>
      <c r="AS204" s="1">
        <v>256806</v>
      </c>
      <c r="AT204" s="1" t="s">
        <v>115</v>
      </c>
      <c r="AV204" s="241">
        <v>504</v>
      </c>
      <c r="AX204" s="1">
        <f t="shared" si="38"/>
        <v>1</v>
      </c>
      <c r="AY204" s="1" t="str">
        <f>IF(COUNTIF($AX$2:AX204,1)&gt;$AG$1,"",IF(AX204="","",E204))</f>
        <v/>
      </c>
      <c r="BM204" s="138" t="str">
        <f t="shared" si="39"/>
        <v xml:space="preserve">   </v>
      </c>
      <c r="BN204" s="42">
        <f t="shared" si="40"/>
        <v>11349</v>
      </c>
      <c r="BS204" s="1">
        <v>9831</v>
      </c>
      <c r="BT204" s="1" t="s">
        <v>902</v>
      </c>
      <c r="BX204" s="36"/>
    </row>
    <row r="205" spans="1:76" ht="14.25">
      <c r="A205" s="55">
        <v>11350</v>
      </c>
      <c r="B205" s="36" t="s">
        <v>82</v>
      </c>
      <c r="C205" s="36" t="s">
        <v>48</v>
      </c>
      <c r="D205" s="36" t="s">
        <v>906</v>
      </c>
      <c r="E205" s="36" t="s">
        <v>20</v>
      </c>
      <c r="F205" s="36" t="s">
        <v>1148</v>
      </c>
      <c r="G205" s="36" t="s">
        <v>85</v>
      </c>
      <c r="H205" s="36" t="s">
        <v>58</v>
      </c>
      <c r="I205" s="36" t="s">
        <v>85</v>
      </c>
      <c r="J205" s="36" t="s">
        <v>1146</v>
      </c>
      <c r="K205" s="1">
        <f t="shared" si="41"/>
        <v>11350</v>
      </c>
      <c r="L205" s="1" t="str">
        <f t="shared" si="44"/>
        <v/>
      </c>
      <c r="M205" s="94">
        <v>200</v>
      </c>
      <c r="N205" s="36" t="s">
        <v>1855</v>
      </c>
      <c r="O205" s="95">
        <v>309907</v>
      </c>
      <c r="P205" s="36"/>
      <c r="Q205" s="110" t="str">
        <f t="shared" si="42"/>
        <v>Standard</v>
      </c>
      <c r="R205" s="1" t="str">
        <f t="shared" si="43"/>
        <v/>
      </c>
      <c r="S205" s="1">
        <f>IF(A205&gt;0,COUNT(A$2:A205),"")</f>
        <v>204</v>
      </c>
      <c r="T205" s="1" t="str">
        <f t="shared" si="34"/>
        <v/>
      </c>
      <c r="U205" s="1" t="str">
        <f t="shared" si="35"/>
        <v/>
      </c>
      <c r="V205" s="111" t="str">
        <f t="shared" si="36"/>
        <v/>
      </c>
      <c r="AA205" s="1">
        <v>30108</v>
      </c>
      <c r="AB205" s="1" t="s">
        <v>247</v>
      </c>
      <c r="AD205" s="1" t="str">
        <f t="shared" si="37"/>
        <v/>
      </c>
      <c r="AH205" s="116">
        <v>204</v>
      </c>
      <c r="AI205" s="122">
        <v>157</v>
      </c>
      <c r="AJ205" s="1" t="s">
        <v>1548</v>
      </c>
      <c r="AK205" s="1">
        <v>309600</v>
      </c>
      <c r="AL205" s="1" t="s">
        <v>930</v>
      </c>
      <c r="AN205" s="270">
        <v>299</v>
      </c>
      <c r="AQ205" s="1">
        <v>556</v>
      </c>
      <c r="AR205" s="1" t="s">
        <v>973</v>
      </c>
      <c r="AS205" s="1">
        <v>256807</v>
      </c>
      <c r="AT205" s="1" t="s">
        <v>930</v>
      </c>
      <c r="AV205" s="241">
        <v>505</v>
      </c>
      <c r="AX205" s="1">
        <f t="shared" si="38"/>
        <v>1</v>
      </c>
      <c r="AY205" s="1" t="str">
        <f>IF(COUNTIF($AX$2:AX205,1)&gt;$AG$1,"",IF(AX205="","",E205))</f>
        <v/>
      </c>
      <c r="BM205" s="138" t="str">
        <f t="shared" si="39"/>
        <v xml:space="preserve">   </v>
      </c>
      <c r="BN205" s="42">
        <f t="shared" si="40"/>
        <v>11350</v>
      </c>
      <c r="BS205" s="1">
        <v>9832</v>
      </c>
      <c r="BT205" s="1" t="s">
        <v>902</v>
      </c>
      <c r="BX205" s="36"/>
    </row>
    <row r="206" spans="1:76" ht="14.25">
      <c r="A206" s="55">
        <v>11351</v>
      </c>
      <c r="B206" s="36" t="s">
        <v>1158</v>
      </c>
      <c r="C206" s="36" t="s">
        <v>48</v>
      </c>
      <c r="D206" s="36" t="s">
        <v>909</v>
      </c>
      <c r="E206" s="36" t="s">
        <v>80</v>
      </c>
      <c r="F206" s="36" t="s">
        <v>903</v>
      </c>
      <c r="G206" s="36" t="s">
        <v>921</v>
      </c>
      <c r="H206" s="36" t="s">
        <v>58</v>
      </c>
      <c r="I206" s="36" t="s">
        <v>85</v>
      </c>
      <c r="J206" s="36" t="s">
        <v>1146</v>
      </c>
      <c r="K206" s="1">
        <f t="shared" si="41"/>
        <v>11351</v>
      </c>
      <c r="L206" s="1" t="str">
        <f t="shared" si="44"/>
        <v/>
      </c>
      <c r="M206" s="94">
        <v>201</v>
      </c>
      <c r="N206" s="36" t="s">
        <v>1856</v>
      </c>
      <c r="O206" s="95">
        <v>309908</v>
      </c>
      <c r="P206" s="36"/>
      <c r="Q206" s="110" t="str">
        <f t="shared" si="42"/>
        <v/>
      </c>
      <c r="R206" s="1" t="str">
        <f t="shared" si="43"/>
        <v>Auto</v>
      </c>
      <c r="S206" s="1">
        <f>IF(A206&gt;0,COUNT(A$2:A206),"")</f>
        <v>205</v>
      </c>
      <c r="T206" s="1" t="str">
        <f t="shared" si="34"/>
        <v/>
      </c>
      <c r="U206" s="1" t="str">
        <f t="shared" si="35"/>
        <v/>
      </c>
      <c r="V206" s="111" t="str">
        <f t="shared" si="36"/>
        <v/>
      </c>
      <c r="AA206" s="1">
        <v>30109</v>
      </c>
      <c r="AB206" s="1" t="s">
        <v>78</v>
      </c>
      <c r="AD206" s="1" t="str">
        <f t="shared" si="37"/>
        <v/>
      </c>
      <c r="AH206" s="116">
        <v>205</v>
      </c>
      <c r="AI206" s="122">
        <v>158</v>
      </c>
      <c r="AJ206" s="1" t="s">
        <v>1549</v>
      </c>
      <c r="AK206" s="1">
        <v>309601</v>
      </c>
      <c r="AL206" s="1" t="s">
        <v>115</v>
      </c>
      <c r="AN206" s="270">
        <v>300</v>
      </c>
      <c r="AQ206" s="1">
        <v>557</v>
      </c>
      <c r="AR206" s="1" t="s">
        <v>974</v>
      </c>
      <c r="AS206" s="1">
        <v>256808</v>
      </c>
      <c r="AT206" s="1" t="s">
        <v>930</v>
      </c>
      <c r="AV206" s="241">
        <v>506</v>
      </c>
      <c r="AX206" s="1">
        <f t="shared" si="38"/>
        <v>1</v>
      </c>
      <c r="AY206" s="1" t="str">
        <f>IF(COUNTIF($AX$2:AX206,1)&gt;$AG$1,"",IF(AX206="","",E206))</f>
        <v/>
      </c>
      <c r="BM206" s="138" t="str">
        <f t="shared" si="39"/>
        <v xml:space="preserve">   </v>
      </c>
      <c r="BN206" s="42">
        <f t="shared" si="40"/>
        <v>11351</v>
      </c>
      <c r="BS206" s="1">
        <v>9833</v>
      </c>
      <c r="BT206" s="1" t="s">
        <v>902</v>
      </c>
      <c r="BX206" s="36"/>
    </row>
    <row r="207" spans="1:76" ht="14.25">
      <c r="A207" s="55">
        <v>11352</v>
      </c>
      <c r="B207" s="36" t="s">
        <v>82</v>
      </c>
      <c r="C207" s="36" t="s">
        <v>48</v>
      </c>
      <c r="D207" s="36" t="s">
        <v>906</v>
      </c>
      <c r="E207" s="36" t="s">
        <v>20</v>
      </c>
      <c r="F207" s="36" t="s">
        <v>88</v>
      </c>
      <c r="G207" s="36" t="s">
        <v>85</v>
      </c>
      <c r="H207" s="36" t="s">
        <v>58</v>
      </c>
      <c r="I207" s="36" t="s">
        <v>85</v>
      </c>
      <c r="J207" s="36" t="s">
        <v>1146</v>
      </c>
      <c r="K207" s="1">
        <f t="shared" si="41"/>
        <v>11352</v>
      </c>
      <c r="L207" s="1" t="str">
        <f t="shared" si="44"/>
        <v/>
      </c>
      <c r="M207" s="94">
        <v>202</v>
      </c>
      <c r="N207" s="36" t="s">
        <v>1857</v>
      </c>
      <c r="O207" s="95">
        <v>309909</v>
      </c>
      <c r="P207" s="36"/>
      <c r="Q207" s="110" t="str">
        <f t="shared" si="42"/>
        <v>Standard</v>
      </c>
      <c r="R207" s="1" t="str">
        <f t="shared" si="43"/>
        <v/>
      </c>
      <c r="S207" s="1">
        <f>IF(A207&gt;0,COUNT(A$2:A207),"")</f>
        <v>206</v>
      </c>
      <c r="T207" s="1" t="str">
        <f t="shared" si="34"/>
        <v/>
      </c>
      <c r="U207" s="1" t="str">
        <f t="shared" si="35"/>
        <v/>
      </c>
      <c r="V207" s="111" t="str">
        <f t="shared" si="36"/>
        <v/>
      </c>
      <c r="AA207" s="1">
        <v>30110</v>
      </c>
      <c r="AB207" s="1" t="s">
        <v>78</v>
      </c>
      <c r="AD207" s="1" t="str">
        <f t="shared" si="37"/>
        <v/>
      </c>
      <c r="AH207" s="116">
        <v>206</v>
      </c>
      <c r="AI207" s="122">
        <v>159</v>
      </c>
      <c r="AJ207" s="1" t="s">
        <v>1550</v>
      </c>
      <c r="AK207" s="1">
        <v>309602</v>
      </c>
      <c r="AL207" s="1" t="s">
        <v>930</v>
      </c>
      <c r="AN207" s="270">
        <v>301</v>
      </c>
      <c r="AQ207" s="1">
        <v>558</v>
      </c>
      <c r="AR207" s="1" t="s">
        <v>975</v>
      </c>
      <c r="AS207" s="1">
        <v>256809</v>
      </c>
      <c r="AT207" s="1" t="s">
        <v>115</v>
      </c>
      <c r="AV207" s="241">
        <v>507</v>
      </c>
      <c r="AX207" s="1">
        <f t="shared" si="38"/>
        <v>1</v>
      </c>
      <c r="AY207" s="1" t="str">
        <f>IF(COUNTIF($AX$2:AX207,1)&gt;$AG$1,"",IF(AX207="","",E207))</f>
        <v/>
      </c>
      <c r="BM207" s="138" t="str">
        <f t="shared" si="39"/>
        <v xml:space="preserve">   </v>
      </c>
      <c r="BN207" s="42">
        <f t="shared" si="40"/>
        <v>11352</v>
      </c>
      <c r="BS207" s="1">
        <v>9834</v>
      </c>
      <c r="BT207" s="1" t="s">
        <v>902</v>
      </c>
      <c r="BX207" s="36"/>
    </row>
    <row r="208" spans="1:76" ht="14.25">
      <c r="A208" s="55">
        <v>11353</v>
      </c>
      <c r="B208" s="36" t="s">
        <v>1158</v>
      </c>
      <c r="C208" s="36" t="s">
        <v>48</v>
      </c>
      <c r="D208" s="36" t="s">
        <v>910</v>
      </c>
      <c r="E208" s="36" t="s">
        <v>1128</v>
      </c>
      <c r="F208" s="36" t="s">
        <v>1154</v>
      </c>
      <c r="G208" s="36" t="s">
        <v>921</v>
      </c>
      <c r="H208" s="36" t="s">
        <v>58</v>
      </c>
      <c r="I208" s="36" t="s">
        <v>85</v>
      </c>
      <c r="J208" s="36" t="s">
        <v>1146</v>
      </c>
      <c r="K208" s="1">
        <f t="shared" si="41"/>
        <v>11353</v>
      </c>
      <c r="L208" s="1" t="str">
        <f t="shared" si="44"/>
        <v/>
      </c>
      <c r="M208" s="94">
        <v>203</v>
      </c>
      <c r="N208" s="36" t="s">
        <v>1858</v>
      </c>
      <c r="O208" s="95">
        <v>309910</v>
      </c>
      <c r="P208" s="36"/>
      <c r="Q208" s="110" t="str">
        <f t="shared" si="42"/>
        <v/>
      </c>
      <c r="R208" s="1" t="str">
        <f t="shared" si="43"/>
        <v>Auto</v>
      </c>
      <c r="S208" s="1">
        <f>IF(A208&gt;0,COUNT(A$2:A208),"")</f>
        <v>207</v>
      </c>
      <c r="T208" s="1" t="str">
        <f t="shared" si="34"/>
        <v/>
      </c>
      <c r="U208" s="1" t="str">
        <f t="shared" si="35"/>
        <v/>
      </c>
      <c r="V208" s="111" t="str">
        <f t="shared" si="36"/>
        <v/>
      </c>
      <c r="AA208" s="1">
        <v>30111</v>
      </c>
      <c r="AB208" s="1" t="s">
        <v>78</v>
      </c>
      <c r="AD208" s="1" t="str">
        <f t="shared" si="37"/>
        <v/>
      </c>
      <c r="AI208" s="122">
        <v>160</v>
      </c>
      <c r="AJ208" s="1" t="s">
        <v>1551</v>
      </c>
      <c r="AK208" s="1">
        <v>309603</v>
      </c>
      <c r="AL208" s="1" t="s">
        <v>115</v>
      </c>
      <c r="AN208" s="270">
        <v>302</v>
      </c>
      <c r="AQ208" s="1">
        <v>559</v>
      </c>
      <c r="AR208" s="1" t="s">
        <v>976</v>
      </c>
      <c r="AS208" s="1">
        <v>256810</v>
      </c>
      <c r="AT208" s="1" t="s">
        <v>930</v>
      </c>
      <c r="AV208" s="241">
        <v>508</v>
      </c>
      <c r="AX208" s="1">
        <f t="shared" si="38"/>
        <v>1</v>
      </c>
      <c r="AY208" s="1" t="str">
        <f>IF(COUNTIF($AX$2:AX208,1)&gt;$AG$1,"",IF(AX208="","",E208))</f>
        <v/>
      </c>
      <c r="BM208" s="138" t="str">
        <f t="shared" si="39"/>
        <v xml:space="preserve">   </v>
      </c>
      <c r="BN208" s="42">
        <f t="shared" si="40"/>
        <v>11353</v>
      </c>
      <c r="BS208" s="1">
        <v>9835</v>
      </c>
      <c r="BT208" s="1" t="s">
        <v>902</v>
      </c>
      <c r="BX208" s="36"/>
    </row>
    <row r="209" spans="1:76" ht="14.25">
      <c r="A209" s="55">
        <v>11354</v>
      </c>
      <c r="B209" s="36" t="s">
        <v>82</v>
      </c>
      <c r="C209" s="36" t="s">
        <v>48</v>
      </c>
      <c r="D209" s="36" t="s">
        <v>906</v>
      </c>
      <c r="E209" s="36" t="s">
        <v>80</v>
      </c>
      <c r="F209" s="36" t="s">
        <v>86</v>
      </c>
      <c r="G209" s="36" t="s">
        <v>85</v>
      </c>
      <c r="H209" s="36" t="s">
        <v>58</v>
      </c>
      <c r="I209" s="36" t="s">
        <v>85</v>
      </c>
      <c r="J209" s="36" t="s">
        <v>1146</v>
      </c>
      <c r="K209" s="1">
        <f t="shared" si="41"/>
        <v>11354</v>
      </c>
      <c r="L209" s="1" t="str">
        <f t="shared" si="44"/>
        <v/>
      </c>
      <c r="M209" s="94">
        <v>204</v>
      </c>
      <c r="N209" s="36" t="s">
        <v>1859</v>
      </c>
      <c r="O209" s="95">
        <v>309911</v>
      </c>
      <c r="P209" s="36"/>
      <c r="Q209" s="110" t="str">
        <f t="shared" si="42"/>
        <v>Standard</v>
      </c>
      <c r="R209" s="1" t="str">
        <f t="shared" si="43"/>
        <v/>
      </c>
      <c r="S209" s="1">
        <f>IF(A209&gt;0,COUNT(A$2:A209),"")</f>
        <v>208</v>
      </c>
      <c r="T209" s="1" t="str">
        <f t="shared" si="34"/>
        <v/>
      </c>
      <c r="U209" s="1" t="str">
        <f t="shared" si="35"/>
        <v/>
      </c>
      <c r="V209" s="111" t="str">
        <f t="shared" si="36"/>
        <v/>
      </c>
      <c r="AA209" s="1">
        <v>30112</v>
      </c>
      <c r="AB209" s="1" t="s">
        <v>78</v>
      </c>
      <c r="AD209" s="1" t="str">
        <f t="shared" si="37"/>
        <v/>
      </c>
      <c r="AI209" s="122">
        <v>161</v>
      </c>
      <c r="AJ209" s="1" t="s">
        <v>1552</v>
      </c>
      <c r="AK209" s="1">
        <v>309604</v>
      </c>
      <c r="AL209" s="1" t="s">
        <v>930</v>
      </c>
      <c r="AN209" s="270">
        <v>303</v>
      </c>
      <c r="AQ209" s="1">
        <v>560</v>
      </c>
      <c r="AR209" s="1" t="s">
        <v>977</v>
      </c>
      <c r="AS209" s="1">
        <v>256811</v>
      </c>
      <c r="AT209" s="1" t="s">
        <v>115</v>
      </c>
      <c r="AV209" s="241">
        <v>509</v>
      </c>
      <c r="AX209" s="1">
        <f t="shared" si="38"/>
        <v>1</v>
      </c>
      <c r="AY209" s="1" t="str">
        <f>IF(COUNTIF($AX$2:AX209,1)&gt;$AG$1,"",IF(AX209="","",E209))</f>
        <v/>
      </c>
      <c r="BM209" s="138" t="str">
        <f t="shared" si="39"/>
        <v xml:space="preserve">   </v>
      </c>
      <c r="BN209" s="42">
        <f t="shared" si="40"/>
        <v>11354</v>
      </c>
      <c r="BS209" s="1">
        <v>9836</v>
      </c>
      <c r="BT209" s="1" t="s">
        <v>902</v>
      </c>
      <c r="BX209" s="36"/>
    </row>
    <row r="210" spans="1:76" ht="14.25">
      <c r="A210" s="55">
        <v>11355</v>
      </c>
      <c r="B210" s="36" t="s">
        <v>1158</v>
      </c>
      <c r="C210" s="36" t="s">
        <v>48</v>
      </c>
      <c r="D210" s="36" t="s">
        <v>916</v>
      </c>
      <c r="E210" s="36" t="s">
        <v>10</v>
      </c>
      <c r="F210" s="36" t="s">
        <v>1139</v>
      </c>
      <c r="G210" s="36" t="s">
        <v>894</v>
      </c>
      <c r="H210" s="36" t="s">
        <v>58</v>
      </c>
      <c r="I210" s="36" t="s">
        <v>85</v>
      </c>
      <c r="J210" s="36" t="s">
        <v>1146</v>
      </c>
      <c r="K210" s="1">
        <f t="shared" si="41"/>
        <v>11355</v>
      </c>
      <c r="L210" s="1" t="str">
        <f t="shared" si="44"/>
        <v/>
      </c>
      <c r="M210" s="94">
        <v>205</v>
      </c>
      <c r="N210" s="36" t="s">
        <v>1860</v>
      </c>
      <c r="O210" s="95">
        <v>309912</v>
      </c>
      <c r="P210" s="36"/>
      <c r="Q210" s="110" t="str">
        <f t="shared" si="42"/>
        <v/>
      </c>
      <c r="R210" s="1" t="str">
        <f t="shared" si="43"/>
        <v>CVT</v>
      </c>
      <c r="S210" s="1">
        <f>IF(A210&gt;0,COUNT(A$2:A210),"")</f>
        <v>209</v>
      </c>
      <c r="T210" s="1" t="str">
        <f t="shared" si="34"/>
        <v/>
      </c>
      <c r="U210" s="1" t="str">
        <f t="shared" si="35"/>
        <v/>
      </c>
      <c r="V210" s="111" t="str">
        <f t="shared" si="36"/>
        <v/>
      </c>
      <c r="AA210" s="1">
        <v>30113</v>
      </c>
      <c r="AB210" s="1" t="s">
        <v>47</v>
      </c>
      <c r="AD210" s="1" t="str">
        <f t="shared" si="37"/>
        <v/>
      </c>
      <c r="AI210" s="122">
        <v>162</v>
      </c>
      <c r="AJ210" s="1" t="s">
        <v>1553</v>
      </c>
      <c r="AK210" s="1">
        <v>309605</v>
      </c>
      <c r="AL210" s="1" t="s">
        <v>930</v>
      </c>
      <c r="AN210" s="270">
        <v>304</v>
      </c>
      <c r="AQ210" s="1">
        <v>561</v>
      </c>
      <c r="AR210" s="1" t="s">
        <v>978</v>
      </c>
      <c r="AS210" s="1">
        <v>256812</v>
      </c>
      <c r="AT210" s="1" t="s">
        <v>930</v>
      </c>
      <c r="AV210" s="241">
        <v>510</v>
      </c>
      <c r="AX210" s="1">
        <f t="shared" si="38"/>
        <v>1</v>
      </c>
      <c r="AY210" s="1" t="str">
        <f>IF(COUNTIF($AX$2:AX210,1)&gt;$AG$1,"",IF(AX210="","",E210))</f>
        <v/>
      </c>
      <c r="BM210" s="138" t="str">
        <f t="shared" si="39"/>
        <v xml:space="preserve">   </v>
      </c>
      <c r="BN210" s="42">
        <f t="shared" si="40"/>
        <v>11355</v>
      </c>
      <c r="BS210" s="1">
        <v>9837</v>
      </c>
      <c r="BT210" s="1" t="s">
        <v>902</v>
      </c>
      <c r="BX210" s="36"/>
    </row>
    <row r="211" spans="1:76" ht="14.25">
      <c r="A211" s="55">
        <v>11356</v>
      </c>
      <c r="B211" s="36" t="s">
        <v>82</v>
      </c>
      <c r="C211" s="36" t="s">
        <v>48</v>
      </c>
      <c r="D211" s="36" t="s">
        <v>908</v>
      </c>
      <c r="E211" s="36" t="s">
        <v>20</v>
      </c>
      <c r="F211" s="36" t="s">
        <v>1175</v>
      </c>
      <c r="G211" s="36" t="s">
        <v>85</v>
      </c>
      <c r="H211" s="36" t="s">
        <v>58</v>
      </c>
      <c r="I211" s="36" t="s">
        <v>85</v>
      </c>
      <c r="J211" s="36" t="s">
        <v>1146</v>
      </c>
      <c r="K211" s="1">
        <f t="shared" si="41"/>
        <v>11356</v>
      </c>
      <c r="L211" s="1" t="str">
        <f t="shared" si="44"/>
        <v/>
      </c>
      <c r="M211" s="94">
        <v>206</v>
      </c>
      <c r="N211" s="36" t="s">
        <v>1861</v>
      </c>
      <c r="O211" s="95">
        <v>309913</v>
      </c>
      <c r="P211" s="36"/>
      <c r="Q211" s="110" t="str">
        <f t="shared" si="42"/>
        <v>Rich</v>
      </c>
      <c r="R211" s="1" t="str">
        <f t="shared" si="43"/>
        <v/>
      </c>
      <c r="S211" s="1">
        <f>IF(A211&gt;0,COUNT(A$2:A211),"")</f>
        <v>210</v>
      </c>
      <c r="T211" s="1" t="str">
        <f t="shared" si="34"/>
        <v/>
      </c>
      <c r="U211" s="1" t="str">
        <f t="shared" si="35"/>
        <v/>
      </c>
      <c r="V211" s="111" t="str">
        <f t="shared" si="36"/>
        <v/>
      </c>
      <c r="AA211" s="1">
        <v>30114</v>
      </c>
      <c r="AB211" s="1" t="s">
        <v>47</v>
      </c>
      <c r="AD211" s="1" t="str">
        <f t="shared" si="37"/>
        <v/>
      </c>
      <c r="AI211" s="122">
        <v>163</v>
      </c>
      <c r="AJ211" s="1" t="s">
        <v>1554</v>
      </c>
      <c r="AK211" s="1">
        <v>309606</v>
      </c>
      <c r="AL211" s="1" t="s">
        <v>115</v>
      </c>
      <c r="AN211" s="270">
        <v>305</v>
      </c>
      <c r="AQ211" s="1">
        <v>562</v>
      </c>
      <c r="AR211" s="1" t="s">
        <v>979</v>
      </c>
      <c r="AS211" s="1">
        <v>256813</v>
      </c>
      <c r="AT211" s="1" t="s">
        <v>930</v>
      </c>
      <c r="AV211" s="241">
        <v>511</v>
      </c>
      <c r="AX211" s="1">
        <f t="shared" si="38"/>
        <v>1</v>
      </c>
      <c r="AY211" s="1" t="str">
        <f>IF(COUNTIF($AX$2:AX211,1)&gt;$AG$1,"",IF(AX211="","",E211))</f>
        <v/>
      </c>
      <c r="BM211" s="138" t="str">
        <f t="shared" si="39"/>
        <v xml:space="preserve">   </v>
      </c>
      <c r="BN211" s="42">
        <f t="shared" si="40"/>
        <v>11356</v>
      </c>
      <c r="BS211" s="1">
        <v>9838</v>
      </c>
      <c r="BT211" s="1" t="s">
        <v>902</v>
      </c>
      <c r="BX211" s="36"/>
    </row>
    <row r="212" spans="1:76" ht="14.25">
      <c r="A212" s="55">
        <v>11357</v>
      </c>
      <c r="B212" s="36" t="s">
        <v>1158</v>
      </c>
      <c r="C212" s="36" t="s">
        <v>48</v>
      </c>
      <c r="D212" s="36" t="s">
        <v>916</v>
      </c>
      <c r="E212" s="36" t="s">
        <v>80</v>
      </c>
      <c r="F212" s="36" t="s">
        <v>1139</v>
      </c>
      <c r="G212" s="36" t="s">
        <v>894</v>
      </c>
      <c r="H212" s="36" t="s">
        <v>58</v>
      </c>
      <c r="I212" s="36" t="s">
        <v>85</v>
      </c>
      <c r="J212" s="36" t="s">
        <v>1146</v>
      </c>
      <c r="K212" s="1">
        <f t="shared" si="41"/>
        <v>11357</v>
      </c>
      <c r="L212" s="1" t="str">
        <f t="shared" si="44"/>
        <v/>
      </c>
      <c r="M212" s="94">
        <v>207</v>
      </c>
      <c r="N212" s="36" t="s">
        <v>1862</v>
      </c>
      <c r="O212" s="95">
        <v>309914</v>
      </c>
      <c r="P212" s="36"/>
      <c r="Q212" s="110" t="str">
        <f t="shared" si="42"/>
        <v/>
      </c>
      <c r="R212" s="1" t="str">
        <f t="shared" si="43"/>
        <v>CVT</v>
      </c>
      <c r="S212" s="1">
        <f>IF(A212&gt;0,COUNT(A$2:A212),"")</f>
        <v>211</v>
      </c>
      <c r="T212" s="1" t="str">
        <f t="shared" si="34"/>
        <v/>
      </c>
      <c r="U212" s="1" t="str">
        <f t="shared" si="35"/>
        <v/>
      </c>
      <c r="V212" s="111" t="str">
        <f t="shared" si="36"/>
        <v/>
      </c>
      <c r="AA212" s="1">
        <v>30115</v>
      </c>
      <c r="AB212" s="1" t="s">
        <v>47</v>
      </c>
      <c r="AD212" s="1" t="str">
        <f t="shared" si="37"/>
        <v/>
      </c>
      <c r="AI212" s="122">
        <v>164</v>
      </c>
      <c r="AJ212" s="1" t="s">
        <v>1555</v>
      </c>
      <c r="AK212" s="1">
        <v>309607</v>
      </c>
      <c r="AL212" s="1" t="s">
        <v>930</v>
      </c>
      <c r="AN212" s="270">
        <v>306</v>
      </c>
      <c r="AQ212" s="1">
        <v>563</v>
      </c>
      <c r="AR212" s="1" t="s">
        <v>980</v>
      </c>
      <c r="AS212" s="1">
        <v>256814</v>
      </c>
      <c r="AT212" s="1" t="s">
        <v>115</v>
      </c>
      <c r="AV212" s="241">
        <v>512</v>
      </c>
      <c r="AX212" s="1">
        <f t="shared" si="38"/>
        <v>1</v>
      </c>
      <c r="AY212" s="1" t="str">
        <f>IF(COUNTIF($AX$2:AX212,1)&gt;$AG$1,"",IF(AX212="","",E212))</f>
        <v/>
      </c>
      <c r="BM212" s="138" t="str">
        <f t="shared" si="39"/>
        <v xml:space="preserve">   </v>
      </c>
      <c r="BN212" s="42">
        <f t="shared" si="40"/>
        <v>11357</v>
      </c>
      <c r="BS212" s="1">
        <v>9839</v>
      </c>
      <c r="BT212" s="1" t="s">
        <v>902</v>
      </c>
      <c r="BX212" s="36"/>
    </row>
    <row r="213" spans="1:76" ht="14.25">
      <c r="A213" s="55">
        <v>11358</v>
      </c>
      <c r="B213" s="36" t="s">
        <v>1158</v>
      </c>
      <c r="C213" s="36" t="s">
        <v>48</v>
      </c>
      <c r="D213" s="36" t="s">
        <v>909</v>
      </c>
      <c r="E213" s="36" t="s">
        <v>79</v>
      </c>
      <c r="F213" s="36" t="s">
        <v>1149</v>
      </c>
      <c r="G213" s="36" t="s">
        <v>921</v>
      </c>
      <c r="H213" s="36" t="s">
        <v>58</v>
      </c>
      <c r="I213" s="36" t="s">
        <v>85</v>
      </c>
      <c r="J213" s="36" t="s">
        <v>1146</v>
      </c>
      <c r="K213" s="1">
        <f t="shared" si="41"/>
        <v>11358</v>
      </c>
      <c r="L213" s="1" t="str">
        <f t="shared" si="44"/>
        <v/>
      </c>
      <c r="M213" s="94">
        <v>208</v>
      </c>
      <c r="N213" s="36" t="s">
        <v>1863</v>
      </c>
      <c r="O213" s="95">
        <v>309915</v>
      </c>
      <c r="P213" s="36"/>
      <c r="Q213" s="110" t="str">
        <f t="shared" si="42"/>
        <v/>
      </c>
      <c r="R213" s="1" t="str">
        <f t="shared" si="43"/>
        <v>Auto</v>
      </c>
      <c r="S213" s="1">
        <f>IF(A213&gt;0,COUNT(A$2:A213),"")</f>
        <v>212</v>
      </c>
      <c r="T213" s="1" t="str">
        <f t="shared" si="34"/>
        <v/>
      </c>
      <c r="U213" s="1" t="str">
        <f t="shared" si="35"/>
        <v/>
      </c>
      <c r="V213" s="111" t="str">
        <f t="shared" si="36"/>
        <v/>
      </c>
      <c r="AA213" s="1">
        <v>30116</v>
      </c>
      <c r="AB213" s="1" t="s">
        <v>47</v>
      </c>
      <c r="AD213" s="1" t="str">
        <f t="shared" si="37"/>
        <v/>
      </c>
      <c r="AI213" s="122">
        <v>165</v>
      </c>
      <c r="AJ213" s="1" t="s">
        <v>1556</v>
      </c>
      <c r="AK213" s="1">
        <v>309608</v>
      </c>
      <c r="AL213" s="1" t="s">
        <v>115</v>
      </c>
      <c r="AN213" s="270">
        <v>307</v>
      </c>
      <c r="AQ213" s="1">
        <v>564</v>
      </c>
      <c r="AR213" s="1" t="s">
        <v>981</v>
      </c>
      <c r="AS213" s="1">
        <v>256815</v>
      </c>
      <c r="AT213" s="1" t="s">
        <v>930</v>
      </c>
      <c r="AV213" s="241">
        <v>513</v>
      </c>
      <c r="AX213" s="1">
        <f t="shared" si="38"/>
        <v>1</v>
      </c>
      <c r="AY213" s="1" t="str">
        <f>IF(COUNTIF($AX$2:AX213,1)&gt;$AG$1,"",IF(AX213="","",E213))</f>
        <v/>
      </c>
      <c r="BM213" s="138" t="str">
        <f t="shared" si="39"/>
        <v xml:space="preserve">   </v>
      </c>
      <c r="BN213" s="42">
        <f t="shared" si="40"/>
        <v>11358</v>
      </c>
      <c r="BS213" s="1">
        <v>9840</v>
      </c>
      <c r="BT213" s="1" t="s">
        <v>902</v>
      </c>
      <c r="BX213" s="36"/>
    </row>
    <row r="214" spans="1:76" ht="14.25">
      <c r="A214" s="55">
        <v>11359</v>
      </c>
      <c r="B214" s="36" t="s">
        <v>82</v>
      </c>
      <c r="C214" s="36" t="s">
        <v>48</v>
      </c>
      <c r="D214" s="36" t="s">
        <v>906</v>
      </c>
      <c r="E214" s="36" t="s">
        <v>80</v>
      </c>
      <c r="F214" s="36" t="s">
        <v>87</v>
      </c>
      <c r="G214" s="36" t="s">
        <v>85</v>
      </c>
      <c r="H214" s="36" t="s">
        <v>58</v>
      </c>
      <c r="I214" s="36" t="s">
        <v>85</v>
      </c>
      <c r="J214" s="36" t="s">
        <v>1146</v>
      </c>
      <c r="K214" s="1">
        <f t="shared" si="41"/>
        <v>11359</v>
      </c>
      <c r="L214" s="1" t="str">
        <f t="shared" si="44"/>
        <v/>
      </c>
      <c r="M214" s="94">
        <v>209</v>
      </c>
      <c r="N214" s="36" t="s">
        <v>1864</v>
      </c>
      <c r="O214" s="95">
        <v>309916</v>
      </c>
      <c r="P214" s="36"/>
      <c r="Q214" s="110" t="str">
        <f t="shared" si="42"/>
        <v>Standard</v>
      </c>
      <c r="R214" s="1" t="str">
        <f t="shared" si="43"/>
        <v/>
      </c>
      <c r="S214" s="1">
        <f>IF(A214&gt;0,COUNT(A$2:A214),"")</f>
        <v>213</v>
      </c>
      <c r="T214" s="1" t="str">
        <f t="shared" si="34"/>
        <v/>
      </c>
      <c r="U214" s="1" t="str">
        <f t="shared" si="35"/>
        <v/>
      </c>
      <c r="V214" s="111" t="str">
        <f t="shared" si="36"/>
        <v/>
      </c>
      <c r="AA214" s="1">
        <v>30117</v>
      </c>
      <c r="AB214" s="1" t="s">
        <v>47</v>
      </c>
      <c r="AD214" s="1" t="str">
        <f t="shared" si="37"/>
        <v/>
      </c>
      <c r="AI214" s="122">
        <v>166</v>
      </c>
      <c r="AJ214" s="1" t="s">
        <v>1557</v>
      </c>
      <c r="AK214" s="1">
        <v>309609</v>
      </c>
      <c r="AL214" s="1" t="s">
        <v>930</v>
      </c>
      <c r="AN214" s="270">
        <v>308</v>
      </c>
      <c r="AQ214" s="1">
        <v>565</v>
      </c>
      <c r="AR214" s="1" t="s">
        <v>982</v>
      </c>
      <c r="AS214" s="1">
        <v>256816</v>
      </c>
      <c r="AT214" s="1" t="s">
        <v>115</v>
      </c>
      <c r="AV214" s="241">
        <v>514</v>
      </c>
      <c r="AX214" s="1">
        <f t="shared" si="38"/>
        <v>1</v>
      </c>
      <c r="AY214" s="1" t="str">
        <f>IF(COUNTIF($AX$2:AX214,1)&gt;$AG$1,"",IF(AX214="","",E214))</f>
        <v/>
      </c>
      <c r="BM214" s="138" t="str">
        <f t="shared" si="39"/>
        <v xml:space="preserve">   </v>
      </c>
      <c r="BN214" s="42">
        <f t="shared" si="40"/>
        <v>11359</v>
      </c>
      <c r="BS214" s="1">
        <v>9841</v>
      </c>
      <c r="BT214" s="1" t="s">
        <v>902</v>
      </c>
      <c r="BX214" s="36"/>
    </row>
    <row r="215" spans="1:76" ht="14.25">
      <c r="A215" s="55">
        <v>11360</v>
      </c>
      <c r="B215" s="36" t="s">
        <v>1158</v>
      </c>
      <c r="C215" s="36" t="s">
        <v>48</v>
      </c>
      <c r="D215" s="36" t="s">
        <v>910</v>
      </c>
      <c r="E215" s="36" t="s">
        <v>20</v>
      </c>
      <c r="F215" s="36" t="s">
        <v>1139</v>
      </c>
      <c r="G215" s="36" t="s">
        <v>921</v>
      </c>
      <c r="H215" s="36" t="s">
        <v>58</v>
      </c>
      <c r="I215" s="36" t="s">
        <v>85</v>
      </c>
      <c r="J215" s="36" t="s">
        <v>1146</v>
      </c>
      <c r="K215" s="1">
        <f t="shared" si="41"/>
        <v>11360</v>
      </c>
      <c r="L215" s="1" t="str">
        <f t="shared" si="44"/>
        <v/>
      </c>
      <c r="M215" s="94">
        <v>210</v>
      </c>
      <c r="N215" s="36" t="s">
        <v>1865</v>
      </c>
      <c r="O215" s="95">
        <v>309917</v>
      </c>
      <c r="P215" s="36"/>
      <c r="Q215" s="110" t="str">
        <f t="shared" si="42"/>
        <v/>
      </c>
      <c r="R215" s="1" t="str">
        <f t="shared" si="43"/>
        <v>Auto</v>
      </c>
      <c r="S215" s="1">
        <f>IF(A215&gt;0,COUNT(A$2:A215),"")</f>
        <v>214</v>
      </c>
      <c r="T215" s="1" t="str">
        <f t="shared" si="34"/>
        <v/>
      </c>
      <c r="U215" s="1" t="str">
        <f t="shared" si="35"/>
        <v/>
      </c>
      <c r="V215" s="111" t="str">
        <f t="shared" si="36"/>
        <v/>
      </c>
      <c r="AA215" s="1">
        <v>30118</v>
      </c>
      <c r="AB215" s="1" t="s">
        <v>78</v>
      </c>
      <c r="AD215" s="1" t="str">
        <f t="shared" si="37"/>
        <v/>
      </c>
      <c r="AI215" s="122">
        <v>167</v>
      </c>
      <c r="AJ215" s="1" t="s">
        <v>1558</v>
      </c>
      <c r="AK215" s="1">
        <v>309610</v>
      </c>
      <c r="AL215" s="1" t="s">
        <v>115</v>
      </c>
      <c r="AN215" s="270">
        <v>309</v>
      </c>
      <c r="AQ215" s="1">
        <v>566</v>
      </c>
      <c r="AR215" s="1" t="s">
        <v>983</v>
      </c>
      <c r="AS215" s="1">
        <v>256817</v>
      </c>
      <c r="AT215" s="1" t="s">
        <v>930</v>
      </c>
      <c r="AV215" s="241">
        <v>515</v>
      </c>
      <c r="AX215" s="1">
        <f t="shared" si="38"/>
        <v>1</v>
      </c>
      <c r="AY215" s="1" t="str">
        <f>IF(COUNTIF($AX$2:AX215,1)&gt;$AG$1,"",IF(AX215="","",E215))</f>
        <v/>
      </c>
      <c r="BM215" s="138" t="str">
        <f t="shared" si="39"/>
        <v xml:space="preserve">   </v>
      </c>
      <c r="BN215" s="42">
        <f t="shared" si="40"/>
        <v>11360</v>
      </c>
      <c r="BS215" s="1">
        <v>9842</v>
      </c>
      <c r="BT215" s="1" t="s">
        <v>902</v>
      </c>
      <c r="BX215" s="36"/>
    </row>
    <row r="216" spans="1:76" ht="14.25">
      <c r="A216" s="55">
        <v>11361</v>
      </c>
      <c r="B216" s="36" t="s">
        <v>82</v>
      </c>
      <c r="C216" s="36" t="s">
        <v>48</v>
      </c>
      <c r="D216" s="36" t="s">
        <v>906</v>
      </c>
      <c r="E216" s="36" t="s">
        <v>20</v>
      </c>
      <c r="F216" s="36" t="s">
        <v>86</v>
      </c>
      <c r="G216" s="36" t="s">
        <v>85</v>
      </c>
      <c r="H216" s="36" t="s">
        <v>58</v>
      </c>
      <c r="I216" s="36" t="s">
        <v>85</v>
      </c>
      <c r="J216" s="36" t="s">
        <v>1146</v>
      </c>
      <c r="K216" s="1">
        <f t="shared" si="41"/>
        <v>11361</v>
      </c>
      <c r="L216" s="1" t="str">
        <f t="shared" si="44"/>
        <v/>
      </c>
      <c r="M216" s="94">
        <v>211</v>
      </c>
      <c r="N216" s="36" t="s">
        <v>1866</v>
      </c>
      <c r="O216" s="95">
        <v>309918</v>
      </c>
      <c r="P216" s="36"/>
      <c r="Q216" s="110" t="str">
        <f t="shared" si="42"/>
        <v>Standard</v>
      </c>
      <c r="R216" s="1" t="str">
        <f t="shared" si="43"/>
        <v/>
      </c>
      <c r="S216" s="1">
        <f>IF(A216&gt;0,COUNT(A$2:A216),"")</f>
        <v>215</v>
      </c>
      <c r="T216" s="1" t="str">
        <f t="shared" si="34"/>
        <v/>
      </c>
      <c r="U216" s="1" t="str">
        <f t="shared" si="35"/>
        <v/>
      </c>
      <c r="V216" s="111" t="str">
        <f t="shared" si="36"/>
        <v/>
      </c>
      <c r="AA216" s="1">
        <v>30119</v>
      </c>
      <c r="AB216" s="1" t="s">
        <v>78</v>
      </c>
      <c r="AD216" s="1" t="str">
        <f t="shared" si="37"/>
        <v/>
      </c>
      <c r="AI216" s="122">
        <v>168</v>
      </c>
      <c r="AJ216" s="1" t="s">
        <v>1559</v>
      </c>
      <c r="AK216" s="1">
        <v>309611</v>
      </c>
      <c r="AL216" s="1" t="s">
        <v>930</v>
      </c>
      <c r="AN216" s="270">
        <v>310</v>
      </c>
      <c r="AQ216" s="1">
        <v>567</v>
      </c>
      <c r="AR216" s="1" t="s">
        <v>984</v>
      </c>
      <c r="AS216" s="1">
        <v>256818</v>
      </c>
      <c r="AT216" s="1" t="s">
        <v>930</v>
      </c>
      <c r="AV216" s="241">
        <v>516</v>
      </c>
      <c r="AX216" s="1">
        <f t="shared" si="38"/>
        <v>1</v>
      </c>
      <c r="AY216" s="1" t="str">
        <f>IF(COUNTIF($AX$2:AX216,1)&gt;$AG$1,"",IF(AX216="","",E216))</f>
        <v/>
      </c>
      <c r="BM216" s="138" t="str">
        <f t="shared" si="39"/>
        <v xml:space="preserve">   </v>
      </c>
      <c r="BN216" s="42">
        <f t="shared" si="40"/>
        <v>11361</v>
      </c>
      <c r="BS216" s="1">
        <v>9843</v>
      </c>
      <c r="BT216" s="1" t="s">
        <v>902</v>
      </c>
      <c r="BX216" s="36"/>
    </row>
    <row r="217" spans="1:76" ht="14.25">
      <c r="A217" s="55">
        <v>11362</v>
      </c>
      <c r="B217" s="36" t="s">
        <v>1158</v>
      </c>
      <c r="C217" s="36" t="s">
        <v>48</v>
      </c>
      <c r="D217" s="36" t="s">
        <v>913</v>
      </c>
      <c r="E217" s="36" t="s">
        <v>80</v>
      </c>
      <c r="F217" s="36" t="s">
        <v>931</v>
      </c>
      <c r="G217" s="36" t="s">
        <v>894</v>
      </c>
      <c r="H217" s="36" t="s">
        <v>58</v>
      </c>
      <c r="I217" s="36" t="s">
        <v>85</v>
      </c>
      <c r="J217" s="36" t="s">
        <v>1146</v>
      </c>
      <c r="K217" s="1">
        <f t="shared" si="41"/>
        <v>11362</v>
      </c>
      <c r="L217" s="1" t="str">
        <f t="shared" si="44"/>
        <v/>
      </c>
      <c r="M217" s="94">
        <v>212</v>
      </c>
      <c r="N217" s="36" t="s">
        <v>1867</v>
      </c>
      <c r="O217" s="95">
        <v>309919</v>
      </c>
      <c r="P217" s="36"/>
      <c r="Q217" s="110" t="str">
        <f t="shared" si="42"/>
        <v/>
      </c>
      <c r="R217" s="1" t="str">
        <f t="shared" si="43"/>
        <v>CVT</v>
      </c>
      <c r="S217" s="1">
        <f>IF(A217&gt;0,COUNT(A$2:A217),"")</f>
        <v>216</v>
      </c>
      <c r="T217" s="1" t="str">
        <f t="shared" si="34"/>
        <v/>
      </c>
      <c r="U217" s="1" t="str">
        <f t="shared" si="35"/>
        <v/>
      </c>
      <c r="V217" s="111" t="str">
        <f t="shared" si="36"/>
        <v/>
      </c>
      <c r="AA217" s="1">
        <v>30120</v>
      </c>
      <c r="AB217" s="1" t="s">
        <v>78</v>
      </c>
      <c r="AD217" s="1" t="str">
        <f t="shared" si="37"/>
        <v/>
      </c>
      <c r="AI217" s="122">
        <v>169</v>
      </c>
      <c r="AJ217" s="1" t="s">
        <v>1560</v>
      </c>
      <c r="AK217" s="1">
        <v>309612</v>
      </c>
      <c r="AL217" s="1" t="s">
        <v>930</v>
      </c>
      <c r="AN217" s="270">
        <v>311</v>
      </c>
      <c r="AQ217" s="1">
        <v>568</v>
      </c>
      <c r="AR217" s="1" t="s">
        <v>985</v>
      </c>
      <c r="AS217" s="1">
        <v>256819</v>
      </c>
      <c r="AT217" s="1" t="s">
        <v>115</v>
      </c>
      <c r="AV217" s="241">
        <v>517</v>
      </c>
      <c r="AX217" s="1">
        <f t="shared" si="38"/>
        <v>1</v>
      </c>
      <c r="AY217" s="1" t="str">
        <f>IF(COUNTIF($AX$2:AX217,1)&gt;$AG$1,"",IF(AX217="","",E217))</f>
        <v/>
      </c>
      <c r="BM217" s="138" t="str">
        <f t="shared" si="39"/>
        <v xml:space="preserve">   </v>
      </c>
      <c r="BN217" s="42">
        <f t="shared" si="40"/>
        <v>11362</v>
      </c>
      <c r="BS217" s="1">
        <v>9844</v>
      </c>
      <c r="BT217" s="1" t="s">
        <v>902</v>
      </c>
      <c r="BX217" s="36"/>
    </row>
    <row r="218" spans="1:76" ht="14.25">
      <c r="A218" s="55">
        <v>11363</v>
      </c>
      <c r="B218" s="36" t="s">
        <v>82</v>
      </c>
      <c r="C218" s="36" t="s">
        <v>48</v>
      </c>
      <c r="D218" s="36" t="s">
        <v>906</v>
      </c>
      <c r="E218" s="36" t="s">
        <v>20</v>
      </c>
      <c r="F218" s="36" t="s">
        <v>88</v>
      </c>
      <c r="G218" s="36" t="s">
        <v>85</v>
      </c>
      <c r="H218" s="36" t="s">
        <v>58</v>
      </c>
      <c r="I218" s="36" t="s">
        <v>85</v>
      </c>
      <c r="J218" s="36" t="s">
        <v>1146</v>
      </c>
      <c r="K218" s="1">
        <f t="shared" si="41"/>
        <v>11363</v>
      </c>
      <c r="L218" s="1" t="str">
        <f t="shared" si="44"/>
        <v/>
      </c>
      <c r="M218" s="94">
        <v>213</v>
      </c>
      <c r="N218" s="36" t="s">
        <v>1868</v>
      </c>
      <c r="O218" s="95">
        <v>309920</v>
      </c>
      <c r="P218" s="36"/>
      <c r="Q218" s="110" t="str">
        <f t="shared" si="42"/>
        <v>Standard</v>
      </c>
      <c r="R218" s="1" t="str">
        <f t="shared" si="43"/>
        <v/>
      </c>
      <c r="S218" s="1">
        <f>IF(A218&gt;0,COUNT(A$2:A218),"")</f>
        <v>217</v>
      </c>
      <c r="T218" s="1" t="str">
        <f t="shared" si="34"/>
        <v/>
      </c>
      <c r="U218" s="1" t="str">
        <f t="shared" si="35"/>
        <v/>
      </c>
      <c r="V218" s="111" t="str">
        <f t="shared" si="36"/>
        <v/>
      </c>
      <c r="AA218" s="1">
        <v>30121</v>
      </c>
      <c r="AB218" s="1" t="s">
        <v>78</v>
      </c>
      <c r="AD218" s="1" t="str">
        <f t="shared" si="37"/>
        <v/>
      </c>
      <c r="AI218" s="122">
        <v>170</v>
      </c>
      <c r="AJ218" s="1" t="s">
        <v>1561</v>
      </c>
      <c r="AK218" s="1">
        <v>309613</v>
      </c>
      <c r="AL218" s="1" t="s">
        <v>115</v>
      </c>
      <c r="AN218" s="270">
        <v>312</v>
      </c>
      <c r="AQ218" s="1">
        <v>226</v>
      </c>
      <c r="AR218" s="1" t="s">
        <v>986</v>
      </c>
      <c r="AS218" s="1">
        <v>256820</v>
      </c>
      <c r="AT218" s="1" t="s">
        <v>930</v>
      </c>
      <c r="AV218" s="241">
        <v>518</v>
      </c>
      <c r="AX218" s="1">
        <f t="shared" si="38"/>
        <v>1</v>
      </c>
      <c r="AY218" s="1" t="str">
        <f>IF(COUNTIF($AX$2:AX218,1)&gt;$AG$1,"",IF(AX218="","",E218))</f>
        <v/>
      </c>
      <c r="BM218" s="138" t="str">
        <f t="shared" si="39"/>
        <v xml:space="preserve">   </v>
      </c>
      <c r="BN218" s="42">
        <f t="shared" si="40"/>
        <v>11363</v>
      </c>
      <c r="BS218" s="1">
        <v>9845</v>
      </c>
      <c r="BT218" s="1" t="s">
        <v>902</v>
      </c>
      <c r="BX218" s="36"/>
    </row>
    <row r="219" spans="1:76" ht="14.25">
      <c r="A219" s="55">
        <v>11364</v>
      </c>
      <c r="B219" s="36" t="s">
        <v>1158</v>
      </c>
      <c r="C219" s="36" t="s">
        <v>48</v>
      </c>
      <c r="D219" s="36" t="s">
        <v>916</v>
      </c>
      <c r="E219" s="36" t="s">
        <v>1128</v>
      </c>
      <c r="F219" s="36" t="s">
        <v>1154</v>
      </c>
      <c r="G219" s="36" t="s">
        <v>894</v>
      </c>
      <c r="H219" s="36" t="s">
        <v>58</v>
      </c>
      <c r="I219" s="36" t="s">
        <v>85</v>
      </c>
      <c r="J219" s="36" t="s">
        <v>1146</v>
      </c>
      <c r="K219" s="1">
        <f t="shared" si="41"/>
        <v>11364</v>
      </c>
      <c r="L219" s="1" t="str">
        <f t="shared" si="44"/>
        <v/>
      </c>
      <c r="M219" s="94">
        <v>214</v>
      </c>
      <c r="N219" s="36" t="s">
        <v>1869</v>
      </c>
      <c r="O219" s="95">
        <v>309921</v>
      </c>
      <c r="P219" s="36"/>
      <c r="Q219" s="110" t="str">
        <f t="shared" si="42"/>
        <v/>
      </c>
      <c r="R219" s="1" t="str">
        <f t="shared" si="43"/>
        <v>CVT</v>
      </c>
      <c r="S219" s="1">
        <f>IF(A219&gt;0,COUNT(A$2:A219),"")</f>
        <v>218</v>
      </c>
      <c r="T219" s="1" t="str">
        <f t="shared" si="34"/>
        <v/>
      </c>
      <c r="U219" s="1" t="str">
        <f t="shared" si="35"/>
        <v/>
      </c>
      <c r="V219" s="111" t="str">
        <f t="shared" si="36"/>
        <v/>
      </c>
      <c r="AA219" s="1">
        <v>30122</v>
      </c>
      <c r="AB219" s="1" t="s">
        <v>78</v>
      </c>
      <c r="AD219" s="1" t="str">
        <f t="shared" si="37"/>
        <v/>
      </c>
      <c r="AI219" s="122">
        <v>171</v>
      </c>
      <c r="AJ219" s="1" t="s">
        <v>1562</v>
      </c>
      <c r="AK219" s="1">
        <v>309614</v>
      </c>
      <c r="AL219" s="1" t="s">
        <v>930</v>
      </c>
      <c r="AN219" s="270">
        <v>313</v>
      </c>
      <c r="AQ219" s="1">
        <v>227</v>
      </c>
      <c r="AR219" s="1" t="s">
        <v>987</v>
      </c>
      <c r="AS219" s="1">
        <v>256821</v>
      </c>
      <c r="AT219" s="1" t="s">
        <v>115</v>
      </c>
      <c r="AV219" s="241">
        <v>519</v>
      </c>
      <c r="AX219" s="1">
        <f t="shared" si="38"/>
        <v>1</v>
      </c>
      <c r="AY219" s="1" t="str">
        <f>IF(COUNTIF($AX$2:AX219,1)&gt;$AG$1,"",IF(AX219="","",E219))</f>
        <v/>
      </c>
      <c r="BM219" s="138" t="str">
        <f t="shared" si="39"/>
        <v xml:space="preserve">   </v>
      </c>
      <c r="BN219" s="42">
        <f t="shared" si="40"/>
        <v>11364</v>
      </c>
      <c r="BS219" s="1">
        <v>9846</v>
      </c>
      <c r="BT219" s="1" t="s">
        <v>902</v>
      </c>
      <c r="BX219" s="36"/>
    </row>
    <row r="220" spans="1:76" ht="14.25">
      <c r="A220" s="55">
        <v>11365</v>
      </c>
      <c r="B220" s="36" t="s">
        <v>1158</v>
      </c>
      <c r="C220" s="36" t="s">
        <v>48</v>
      </c>
      <c r="D220" s="36" t="s">
        <v>909</v>
      </c>
      <c r="E220" s="36" t="s">
        <v>80</v>
      </c>
      <c r="F220" s="36" t="s">
        <v>903</v>
      </c>
      <c r="G220" s="36" t="s">
        <v>921</v>
      </c>
      <c r="H220" s="36" t="s">
        <v>58</v>
      </c>
      <c r="I220" s="36" t="s">
        <v>85</v>
      </c>
      <c r="J220" s="36" t="s">
        <v>1146</v>
      </c>
      <c r="K220" s="1">
        <f t="shared" si="41"/>
        <v>11365</v>
      </c>
      <c r="L220" s="1" t="str">
        <f t="shared" si="44"/>
        <v/>
      </c>
      <c r="M220" s="94">
        <v>215</v>
      </c>
      <c r="N220" s="36" t="s">
        <v>1870</v>
      </c>
      <c r="O220" s="95">
        <v>309922</v>
      </c>
      <c r="P220" s="36"/>
      <c r="Q220" s="110" t="str">
        <f t="shared" si="42"/>
        <v/>
      </c>
      <c r="R220" s="1" t="str">
        <f t="shared" si="43"/>
        <v>Auto</v>
      </c>
      <c r="S220" s="1">
        <f>IF(A220&gt;0,COUNT(A$2:A220),"")</f>
        <v>219</v>
      </c>
      <c r="T220" s="1" t="str">
        <f t="shared" si="34"/>
        <v/>
      </c>
      <c r="U220" s="1" t="str">
        <f t="shared" si="35"/>
        <v/>
      </c>
      <c r="V220" s="111" t="str">
        <f t="shared" si="36"/>
        <v/>
      </c>
      <c r="AA220" s="1">
        <v>30123</v>
      </c>
      <c r="AB220" s="1" t="s">
        <v>78</v>
      </c>
      <c r="AD220" s="1" t="str">
        <f t="shared" si="37"/>
        <v/>
      </c>
      <c r="AI220" s="122">
        <v>172</v>
      </c>
      <c r="AJ220" s="1" t="s">
        <v>1563</v>
      </c>
      <c r="AK220" s="1">
        <v>309615</v>
      </c>
      <c r="AL220" s="1" t="s">
        <v>115</v>
      </c>
      <c r="AN220" s="270">
        <v>314</v>
      </c>
      <c r="AQ220" s="1">
        <v>228</v>
      </c>
      <c r="AR220" s="1" t="s">
        <v>988</v>
      </c>
      <c r="AS220" s="1">
        <v>256822</v>
      </c>
      <c r="AT220" s="1" t="s">
        <v>930</v>
      </c>
      <c r="AV220" s="241">
        <v>520</v>
      </c>
      <c r="AX220" s="1">
        <f t="shared" si="38"/>
        <v>1</v>
      </c>
      <c r="AY220" s="1" t="str">
        <f>IF(COUNTIF($AX$2:AX220,1)&gt;$AG$1,"",IF(AX220="","",E220))</f>
        <v/>
      </c>
      <c r="BM220" s="138" t="str">
        <f t="shared" si="39"/>
        <v xml:space="preserve">   </v>
      </c>
      <c r="BN220" s="42">
        <f t="shared" si="40"/>
        <v>11365</v>
      </c>
      <c r="BS220" s="1">
        <v>9847</v>
      </c>
      <c r="BT220" s="1" t="s">
        <v>902</v>
      </c>
      <c r="BX220" s="36"/>
    </row>
    <row r="221" spans="1:76" ht="14.25">
      <c r="A221" s="55">
        <v>11366</v>
      </c>
      <c r="B221" s="36" t="s">
        <v>82</v>
      </c>
      <c r="C221" s="36" t="s">
        <v>48</v>
      </c>
      <c r="D221" s="36" t="s">
        <v>906</v>
      </c>
      <c r="E221" s="36" t="s">
        <v>20</v>
      </c>
      <c r="F221" s="36" t="s">
        <v>90</v>
      </c>
      <c r="G221" s="36" t="s">
        <v>85</v>
      </c>
      <c r="H221" s="36" t="s">
        <v>58</v>
      </c>
      <c r="I221" s="36" t="s">
        <v>85</v>
      </c>
      <c r="J221" s="36" t="s">
        <v>1146</v>
      </c>
      <c r="K221" s="1">
        <f t="shared" si="41"/>
        <v>11366</v>
      </c>
      <c r="L221" s="1" t="str">
        <f t="shared" si="44"/>
        <v/>
      </c>
      <c r="M221" s="94">
        <v>216</v>
      </c>
      <c r="N221" s="36" t="s">
        <v>1871</v>
      </c>
      <c r="O221" s="95">
        <v>309923</v>
      </c>
      <c r="P221" s="36"/>
      <c r="Q221" s="110" t="str">
        <f t="shared" si="42"/>
        <v>Standard</v>
      </c>
      <c r="R221" s="1" t="str">
        <f t="shared" si="43"/>
        <v/>
      </c>
      <c r="S221" s="1">
        <f>IF(A221&gt;0,COUNT(A$2:A221),"")</f>
        <v>220</v>
      </c>
      <c r="T221" s="1" t="str">
        <f t="shared" si="34"/>
        <v/>
      </c>
      <c r="U221" s="1" t="str">
        <f t="shared" si="35"/>
        <v/>
      </c>
      <c r="V221" s="111" t="str">
        <f t="shared" si="36"/>
        <v/>
      </c>
      <c r="AA221" s="1">
        <v>30124</v>
      </c>
      <c r="AB221" s="1" t="s">
        <v>47</v>
      </c>
      <c r="AD221" s="1" t="str">
        <f t="shared" si="37"/>
        <v/>
      </c>
      <c r="AI221" s="122">
        <v>173</v>
      </c>
      <c r="AJ221" s="1" t="s">
        <v>1564</v>
      </c>
      <c r="AK221" s="1">
        <v>309616</v>
      </c>
      <c r="AL221" s="1" t="s">
        <v>930</v>
      </c>
      <c r="AN221" s="270">
        <v>315</v>
      </c>
      <c r="AQ221" s="1">
        <v>229</v>
      </c>
      <c r="AR221" s="1" t="s">
        <v>989</v>
      </c>
      <c r="AS221" s="1">
        <v>256823</v>
      </c>
      <c r="AT221" s="1" t="s">
        <v>930</v>
      </c>
      <c r="AV221" s="241">
        <v>521</v>
      </c>
      <c r="AX221" s="1">
        <f t="shared" si="38"/>
        <v>1</v>
      </c>
      <c r="AY221" s="1" t="str">
        <f>IF(COUNTIF($AX$2:AX221,1)&gt;$AG$1,"",IF(AX221="","",E221))</f>
        <v/>
      </c>
      <c r="BM221" s="138" t="str">
        <f t="shared" si="39"/>
        <v xml:space="preserve">   </v>
      </c>
      <c r="BN221" s="42">
        <f t="shared" si="40"/>
        <v>11366</v>
      </c>
      <c r="BS221" s="1">
        <v>9848</v>
      </c>
      <c r="BT221" s="1" t="s">
        <v>902</v>
      </c>
      <c r="BX221" s="36"/>
    </row>
    <row r="222" spans="1:76" ht="14.25">
      <c r="A222" s="55">
        <v>11367</v>
      </c>
      <c r="B222" s="36" t="s">
        <v>1158</v>
      </c>
      <c r="C222" s="36" t="s">
        <v>48</v>
      </c>
      <c r="D222" s="36" t="s">
        <v>916</v>
      </c>
      <c r="E222" s="36" t="s">
        <v>80</v>
      </c>
      <c r="F222" s="36" t="s">
        <v>1139</v>
      </c>
      <c r="G222" s="36" t="s">
        <v>894</v>
      </c>
      <c r="H222" s="36" t="s">
        <v>58</v>
      </c>
      <c r="I222" s="36" t="s">
        <v>85</v>
      </c>
      <c r="J222" s="36" t="s">
        <v>1146</v>
      </c>
      <c r="K222" s="1">
        <f t="shared" si="41"/>
        <v>11367</v>
      </c>
      <c r="L222" s="1" t="str">
        <f t="shared" si="44"/>
        <v/>
      </c>
      <c r="M222" s="94">
        <v>217</v>
      </c>
      <c r="N222" s="36" t="s">
        <v>1872</v>
      </c>
      <c r="O222" s="95">
        <v>309924</v>
      </c>
      <c r="P222" s="36"/>
      <c r="Q222" s="110" t="str">
        <f t="shared" si="42"/>
        <v/>
      </c>
      <c r="R222" s="1" t="str">
        <f t="shared" si="43"/>
        <v>CVT</v>
      </c>
      <c r="S222" s="1">
        <f>IF(A222&gt;0,COUNT(A$2:A222),"")</f>
        <v>221</v>
      </c>
      <c r="T222" s="1" t="str">
        <f t="shared" si="34"/>
        <v/>
      </c>
      <c r="U222" s="1" t="str">
        <f t="shared" si="35"/>
        <v/>
      </c>
      <c r="V222" s="111" t="str">
        <f t="shared" si="36"/>
        <v/>
      </c>
      <c r="AA222" s="1">
        <v>30125</v>
      </c>
      <c r="AB222" s="1" t="s">
        <v>78</v>
      </c>
      <c r="AD222" s="1" t="str">
        <f t="shared" si="37"/>
        <v/>
      </c>
      <c r="AI222" s="122">
        <v>174</v>
      </c>
      <c r="AJ222" s="1" t="s">
        <v>1565</v>
      </c>
      <c r="AK222" s="1">
        <v>309617</v>
      </c>
      <c r="AL222" s="1" t="s">
        <v>115</v>
      </c>
      <c r="AN222" s="270">
        <v>316</v>
      </c>
      <c r="AQ222" s="1">
        <v>230</v>
      </c>
      <c r="AR222" s="1" t="s">
        <v>990</v>
      </c>
      <c r="AS222" s="1">
        <v>256824</v>
      </c>
      <c r="AT222" s="1" t="s">
        <v>115</v>
      </c>
      <c r="AV222" s="241">
        <v>522</v>
      </c>
      <c r="AX222" s="1">
        <f t="shared" si="38"/>
        <v>1</v>
      </c>
      <c r="AY222" s="1" t="str">
        <f>IF(COUNTIF($AX$2:AX222,1)&gt;$AG$1,"",IF(AX222="","",E222))</f>
        <v/>
      </c>
      <c r="BM222" s="138" t="str">
        <f t="shared" si="39"/>
        <v xml:space="preserve">   </v>
      </c>
      <c r="BN222" s="42">
        <f t="shared" si="40"/>
        <v>11367</v>
      </c>
      <c r="BS222" s="1">
        <v>9849</v>
      </c>
      <c r="BT222" s="1" t="s">
        <v>902</v>
      </c>
      <c r="BX222" s="36"/>
    </row>
    <row r="223" spans="1:76" ht="14.25">
      <c r="A223" s="55">
        <v>11368</v>
      </c>
      <c r="B223" s="36" t="s">
        <v>82</v>
      </c>
      <c r="C223" s="36" t="s">
        <v>48</v>
      </c>
      <c r="D223" s="36" t="s">
        <v>908</v>
      </c>
      <c r="E223" s="36" t="s">
        <v>20</v>
      </c>
      <c r="F223" s="36" t="s">
        <v>84</v>
      </c>
      <c r="G223" s="36" t="s">
        <v>85</v>
      </c>
      <c r="H223" s="36" t="s">
        <v>58</v>
      </c>
      <c r="I223" s="36" t="s">
        <v>85</v>
      </c>
      <c r="J223" s="36" t="s">
        <v>1146</v>
      </c>
      <c r="K223" s="1">
        <f t="shared" si="41"/>
        <v>11368</v>
      </c>
      <c r="L223" s="1" t="str">
        <f t="shared" si="44"/>
        <v/>
      </c>
      <c r="M223" s="94">
        <v>218</v>
      </c>
      <c r="N223" s="36" t="s">
        <v>1873</v>
      </c>
      <c r="O223" s="95">
        <v>309925</v>
      </c>
      <c r="P223" s="36"/>
      <c r="Q223" s="110" t="str">
        <f t="shared" si="42"/>
        <v>Rich</v>
      </c>
      <c r="R223" s="1" t="str">
        <f t="shared" si="43"/>
        <v/>
      </c>
      <c r="S223" s="1">
        <f>IF(A223&gt;0,COUNT(A$2:A223),"")</f>
        <v>222</v>
      </c>
      <c r="T223" s="1" t="str">
        <f t="shared" si="34"/>
        <v/>
      </c>
      <c r="U223" s="1" t="str">
        <f t="shared" si="35"/>
        <v/>
      </c>
      <c r="V223" s="111" t="str">
        <f t="shared" si="36"/>
        <v/>
      </c>
      <c r="AA223" s="1">
        <v>30126</v>
      </c>
      <c r="AB223" s="1" t="s">
        <v>78</v>
      </c>
      <c r="AD223" s="1" t="str">
        <f t="shared" si="37"/>
        <v/>
      </c>
      <c r="AI223" s="122">
        <v>175</v>
      </c>
      <c r="AJ223" s="1" t="s">
        <v>1566</v>
      </c>
      <c r="AK223" s="1">
        <v>309618</v>
      </c>
      <c r="AL223" s="1" t="s">
        <v>930</v>
      </c>
      <c r="AN223" s="270">
        <v>317</v>
      </c>
      <c r="AQ223" s="1">
        <v>231</v>
      </c>
      <c r="AR223" s="1" t="s">
        <v>991</v>
      </c>
      <c r="AS223" s="1">
        <v>256825</v>
      </c>
      <c r="AT223" s="1" t="s">
        <v>930</v>
      </c>
      <c r="AV223" s="241">
        <v>523</v>
      </c>
      <c r="AX223" s="1">
        <f t="shared" si="38"/>
        <v>1</v>
      </c>
      <c r="AY223" s="1" t="str">
        <f>IF(COUNTIF($AX$2:AX223,1)&gt;$AG$1,"",IF(AX223="","",E223))</f>
        <v/>
      </c>
      <c r="BM223" s="138" t="str">
        <f t="shared" si="39"/>
        <v xml:space="preserve">   </v>
      </c>
      <c r="BN223" s="42">
        <f t="shared" si="40"/>
        <v>11368</v>
      </c>
      <c r="BS223" s="1">
        <v>9850</v>
      </c>
      <c r="BT223" s="1" t="s">
        <v>902</v>
      </c>
      <c r="BX223" s="36"/>
    </row>
    <row r="224" spans="1:76" ht="14.25">
      <c r="A224" s="55">
        <v>11369</v>
      </c>
      <c r="B224" s="36" t="s">
        <v>1158</v>
      </c>
      <c r="C224" s="36" t="s">
        <v>48</v>
      </c>
      <c r="D224" s="36" t="s">
        <v>911</v>
      </c>
      <c r="E224" s="36" t="s">
        <v>21</v>
      </c>
      <c r="F224" s="36" t="s">
        <v>202</v>
      </c>
      <c r="G224" s="36" t="s">
        <v>922</v>
      </c>
      <c r="H224" s="36" t="s">
        <v>58</v>
      </c>
      <c r="I224" s="36" t="s">
        <v>85</v>
      </c>
      <c r="J224" s="36" t="s">
        <v>1146</v>
      </c>
      <c r="K224" s="1">
        <f t="shared" si="41"/>
        <v>11369</v>
      </c>
      <c r="L224" s="1" t="str">
        <f t="shared" si="44"/>
        <v/>
      </c>
      <c r="M224" s="94">
        <v>219</v>
      </c>
      <c r="N224" s="36" t="s">
        <v>1874</v>
      </c>
      <c r="O224" s="95">
        <v>309926</v>
      </c>
      <c r="P224" s="36"/>
      <c r="Q224" s="110" t="str">
        <f t="shared" si="42"/>
        <v/>
      </c>
      <c r="R224" s="1" t="str">
        <f t="shared" si="43"/>
        <v>Mech</v>
      </c>
      <c r="S224" s="1">
        <f>IF(A224&gt;0,COUNT(A$2:A224),"")</f>
        <v>223</v>
      </c>
      <c r="T224" s="1" t="str">
        <f t="shared" si="34"/>
        <v/>
      </c>
      <c r="U224" s="1" t="str">
        <f t="shared" si="35"/>
        <v/>
      </c>
      <c r="V224" s="111" t="str">
        <f t="shared" si="36"/>
        <v/>
      </c>
      <c r="AA224" s="1">
        <v>30127</v>
      </c>
      <c r="AB224" s="1" t="s">
        <v>78</v>
      </c>
      <c r="AD224" s="1" t="str">
        <f t="shared" si="37"/>
        <v/>
      </c>
      <c r="AI224" s="122">
        <v>176</v>
      </c>
      <c r="AJ224" s="1" t="s">
        <v>1567</v>
      </c>
      <c r="AK224" s="1">
        <v>309619</v>
      </c>
      <c r="AL224" s="1" t="s">
        <v>115</v>
      </c>
      <c r="AN224" s="270">
        <v>318</v>
      </c>
      <c r="AQ224" s="1">
        <v>232</v>
      </c>
      <c r="AR224" s="1" t="s">
        <v>992</v>
      </c>
      <c r="AS224" s="1">
        <v>256826</v>
      </c>
      <c r="AT224" s="1" t="s">
        <v>930</v>
      </c>
      <c r="AV224" s="241">
        <v>524</v>
      </c>
      <c r="AX224" s="1">
        <f t="shared" si="38"/>
        <v>1</v>
      </c>
      <c r="AY224" s="1" t="str">
        <f>IF(COUNTIF($AX$2:AX224,1)&gt;$AG$1,"",IF(AX224="","",E224))</f>
        <v/>
      </c>
      <c r="BM224" s="138" t="str">
        <f t="shared" si="39"/>
        <v xml:space="preserve">   </v>
      </c>
      <c r="BN224" s="42">
        <f t="shared" si="40"/>
        <v>11369</v>
      </c>
      <c r="BS224" s="1">
        <v>9851</v>
      </c>
      <c r="BT224" s="1" t="s">
        <v>902</v>
      </c>
      <c r="BX224" s="36"/>
    </row>
    <row r="225" spans="1:76" ht="14.25">
      <c r="A225" s="55">
        <v>11370</v>
      </c>
      <c r="B225" s="36" t="s">
        <v>82</v>
      </c>
      <c r="C225" s="36" t="s">
        <v>48</v>
      </c>
      <c r="D225" s="36" t="s">
        <v>906</v>
      </c>
      <c r="E225" s="36" t="s">
        <v>20</v>
      </c>
      <c r="F225" s="36" t="s">
        <v>87</v>
      </c>
      <c r="G225" s="36" t="s">
        <v>85</v>
      </c>
      <c r="H225" s="36" t="s">
        <v>58</v>
      </c>
      <c r="I225" s="36" t="s">
        <v>85</v>
      </c>
      <c r="J225" s="36" t="s">
        <v>1146</v>
      </c>
      <c r="K225" s="1">
        <f t="shared" si="41"/>
        <v>11370</v>
      </c>
      <c r="L225" s="1" t="str">
        <f t="shared" si="44"/>
        <v/>
      </c>
      <c r="M225" s="94">
        <v>220</v>
      </c>
      <c r="N225" s="36" t="s">
        <v>1875</v>
      </c>
      <c r="O225" s="95">
        <v>309927</v>
      </c>
      <c r="P225" s="36"/>
      <c r="Q225" s="110" t="str">
        <f t="shared" si="42"/>
        <v>Standard</v>
      </c>
      <c r="R225" s="1" t="str">
        <f t="shared" si="43"/>
        <v/>
      </c>
      <c r="S225" s="1">
        <f>IF(A225&gt;0,COUNT(A$2:A225),"")</f>
        <v>224</v>
      </c>
      <c r="T225" s="1" t="str">
        <f t="shared" si="34"/>
        <v/>
      </c>
      <c r="U225" s="1" t="str">
        <f t="shared" si="35"/>
        <v/>
      </c>
      <c r="V225" s="111" t="str">
        <f t="shared" si="36"/>
        <v/>
      </c>
      <c r="AA225" s="1">
        <v>30128</v>
      </c>
      <c r="AB225" s="1" t="s">
        <v>78</v>
      </c>
      <c r="AD225" s="1" t="str">
        <f t="shared" si="37"/>
        <v/>
      </c>
      <c r="AI225" s="122">
        <v>177</v>
      </c>
      <c r="AJ225" s="1" t="s">
        <v>1568</v>
      </c>
      <c r="AK225" s="1">
        <v>309620</v>
      </c>
      <c r="AL225" s="1" t="s">
        <v>930</v>
      </c>
      <c r="AN225" s="270">
        <v>319</v>
      </c>
      <c r="AQ225" s="1">
        <v>233</v>
      </c>
      <c r="AR225" s="1" t="s">
        <v>993</v>
      </c>
      <c r="AS225" s="1">
        <v>256827</v>
      </c>
      <c r="AT225" s="1" t="s">
        <v>115</v>
      </c>
      <c r="AV225" s="241">
        <v>525</v>
      </c>
      <c r="AX225" s="1">
        <f t="shared" si="38"/>
        <v>1</v>
      </c>
      <c r="AY225" s="1" t="str">
        <f>IF(COUNTIF($AX$2:AX225,1)&gt;$AG$1,"",IF(AX225="","",E225))</f>
        <v/>
      </c>
      <c r="BM225" s="138" t="str">
        <f t="shared" si="39"/>
        <v xml:space="preserve">   </v>
      </c>
      <c r="BN225" s="42">
        <f t="shared" si="40"/>
        <v>11370</v>
      </c>
      <c r="BS225" s="1">
        <v>9852</v>
      </c>
      <c r="BT225" s="1" t="s">
        <v>902</v>
      </c>
      <c r="BX225" s="36"/>
    </row>
    <row r="226" spans="1:76" ht="14.25">
      <c r="A226" s="55">
        <v>11371</v>
      </c>
      <c r="B226" s="36" t="s">
        <v>1158</v>
      </c>
      <c r="C226" s="36" t="s">
        <v>48</v>
      </c>
      <c r="D226" s="36" t="s">
        <v>916</v>
      </c>
      <c r="E226" s="36" t="s">
        <v>80</v>
      </c>
      <c r="F226" s="36" t="s">
        <v>1139</v>
      </c>
      <c r="G226" s="36" t="s">
        <v>894</v>
      </c>
      <c r="H226" s="36" t="s">
        <v>58</v>
      </c>
      <c r="I226" s="36" t="s">
        <v>85</v>
      </c>
      <c r="J226" s="36" t="s">
        <v>1146</v>
      </c>
      <c r="K226" s="1">
        <f t="shared" si="41"/>
        <v>11371</v>
      </c>
      <c r="L226" s="1" t="str">
        <f t="shared" si="44"/>
        <v/>
      </c>
      <c r="M226" s="94">
        <v>221</v>
      </c>
      <c r="N226" s="36" t="s">
        <v>1876</v>
      </c>
      <c r="O226" s="95">
        <v>309928</v>
      </c>
      <c r="P226" s="36"/>
      <c r="Q226" s="110" t="str">
        <f t="shared" si="42"/>
        <v/>
      </c>
      <c r="R226" s="1" t="str">
        <f t="shared" si="43"/>
        <v>CVT</v>
      </c>
      <c r="S226" s="1">
        <f>IF(A226&gt;0,COUNT(A$2:A226),"")</f>
        <v>225</v>
      </c>
      <c r="T226" s="1" t="str">
        <f t="shared" si="34"/>
        <v/>
      </c>
      <c r="U226" s="1" t="str">
        <f t="shared" si="35"/>
        <v/>
      </c>
      <c r="V226" s="111" t="str">
        <f t="shared" si="36"/>
        <v/>
      </c>
      <c r="AA226" s="1">
        <v>30129</v>
      </c>
      <c r="AB226" s="1" t="s">
        <v>78</v>
      </c>
      <c r="AD226" s="1" t="str">
        <f t="shared" si="37"/>
        <v/>
      </c>
      <c r="AI226" s="122">
        <v>178</v>
      </c>
      <c r="AJ226" s="1" t="s">
        <v>1569</v>
      </c>
      <c r="AK226" s="1">
        <v>309621</v>
      </c>
      <c r="AL226" s="1" t="s">
        <v>930</v>
      </c>
      <c r="AN226" s="270">
        <v>320</v>
      </c>
      <c r="AQ226" s="1">
        <v>234</v>
      </c>
      <c r="AR226" s="1" t="s">
        <v>994</v>
      </c>
      <c r="AS226" s="1">
        <v>256828</v>
      </c>
      <c r="AT226" s="1" t="s">
        <v>930</v>
      </c>
      <c r="AV226" s="241">
        <v>526</v>
      </c>
      <c r="AX226" s="1">
        <f t="shared" si="38"/>
        <v>1</v>
      </c>
      <c r="AY226" s="1" t="str">
        <f>IF(COUNTIF($AX$2:AX226,1)&gt;$AG$1,"",IF(AX226="","",E226))</f>
        <v/>
      </c>
      <c r="BM226" s="138" t="str">
        <f t="shared" si="39"/>
        <v xml:space="preserve">   </v>
      </c>
      <c r="BN226" s="42">
        <f t="shared" si="40"/>
        <v>11371</v>
      </c>
      <c r="BS226" s="1">
        <v>9853</v>
      </c>
      <c r="BT226" s="1" t="s">
        <v>902</v>
      </c>
      <c r="BX226" s="36"/>
    </row>
    <row r="227" spans="1:76" ht="14.25">
      <c r="A227" s="55">
        <v>11372</v>
      </c>
      <c r="B227" s="36" t="s">
        <v>82</v>
      </c>
      <c r="C227" s="36" t="s">
        <v>48</v>
      </c>
      <c r="D227" s="36" t="s">
        <v>907</v>
      </c>
      <c r="E227" s="36" t="s">
        <v>20</v>
      </c>
      <c r="F227" s="36" t="s">
        <v>42</v>
      </c>
      <c r="G227" s="36" t="s">
        <v>85</v>
      </c>
      <c r="H227" s="36" t="s">
        <v>58</v>
      </c>
      <c r="I227" s="36" t="s">
        <v>85</v>
      </c>
      <c r="J227" s="36" t="s">
        <v>1146</v>
      </c>
      <c r="K227" s="1">
        <f t="shared" si="41"/>
        <v>11372</v>
      </c>
      <c r="L227" s="1" t="str">
        <f t="shared" si="44"/>
        <v/>
      </c>
      <c r="M227" s="94">
        <v>222</v>
      </c>
      <c r="N227" s="36" t="s">
        <v>1877</v>
      </c>
      <c r="O227" s="95">
        <v>309929</v>
      </c>
      <c r="P227" s="36"/>
      <c r="Q227" s="110" t="str">
        <f t="shared" si="42"/>
        <v>Standard</v>
      </c>
      <c r="R227" s="1" t="str">
        <f t="shared" si="43"/>
        <v/>
      </c>
      <c r="S227" s="1">
        <f>IF(A227&gt;0,COUNT(A$2:A227),"")</f>
        <v>226</v>
      </c>
      <c r="T227" s="1" t="str">
        <f t="shared" si="34"/>
        <v/>
      </c>
      <c r="U227" s="1" t="str">
        <f t="shared" si="35"/>
        <v/>
      </c>
      <c r="V227" s="111" t="str">
        <f t="shared" si="36"/>
        <v/>
      </c>
      <c r="AA227" s="1">
        <v>30130</v>
      </c>
      <c r="AB227" s="1" t="s">
        <v>78</v>
      </c>
      <c r="AD227" s="1" t="str">
        <f t="shared" si="37"/>
        <v/>
      </c>
      <c r="AI227" s="122">
        <v>179</v>
      </c>
      <c r="AJ227" s="1" t="s">
        <v>1570</v>
      </c>
      <c r="AK227" s="1">
        <v>309622</v>
      </c>
      <c r="AL227" s="1" t="s">
        <v>115</v>
      </c>
      <c r="AN227" s="270">
        <v>321</v>
      </c>
      <c r="AQ227" s="1">
        <v>235</v>
      </c>
      <c r="AR227" s="1" t="s">
        <v>995</v>
      </c>
      <c r="AS227" s="1">
        <v>256829</v>
      </c>
      <c r="AT227" s="1" t="s">
        <v>115</v>
      </c>
      <c r="AV227" s="241">
        <v>527</v>
      </c>
      <c r="AX227" s="1">
        <f t="shared" si="38"/>
        <v>1</v>
      </c>
      <c r="AY227" s="1" t="str">
        <f>IF(COUNTIF($AX$2:AX227,1)&gt;$AG$1,"",IF(AX227="","",E227))</f>
        <v/>
      </c>
      <c r="BM227" s="138" t="str">
        <f t="shared" si="39"/>
        <v xml:space="preserve">   </v>
      </c>
      <c r="BN227" s="42">
        <f t="shared" si="40"/>
        <v>11372</v>
      </c>
      <c r="BS227" s="1">
        <v>9854</v>
      </c>
      <c r="BT227" s="1" t="s">
        <v>902</v>
      </c>
      <c r="BX227" s="36"/>
    </row>
    <row r="228" spans="1:76" ht="14.25">
      <c r="A228" s="55">
        <v>11373</v>
      </c>
      <c r="B228" s="36" t="s">
        <v>1158</v>
      </c>
      <c r="C228" s="36" t="s">
        <v>48</v>
      </c>
      <c r="D228" s="36" t="s">
        <v>909</v>
      </c>
      <c r="E228" s="36" t="s">
        <v>80</v>
      </c>
      <c r="F228" s="36" t="s">
        <v>903</v>
      </c>
      <c r="G228" s="36" t="s">
        <v>921</v>
      </c>
      <c r="H228" s="36" t="s">
        <v>58</v>
      </c>
      <c r="I228" s="36" t="s">
        <v>85</v>
      </c>
      <c r="J228" s="36" t="s">
        <v>1146</v>
      </c>
      <c r="K228" s="1">
        <f t="shared" si="41"/>
        <v>11373</v>
      </c>
      <c r="L228" s="1" t="str">
        <f t="shared" si="44"/>
        <v/>
      </c>
      <c r="M228" s="94">
        <v>223</v>
      </c>
      <c r="N228" s="36" t="s">
        <v>1878</v>
      </c>
      <c r="O228" s="95">
        <v>309930</v>
      </c>
      <c r="P228" s="36"/>
      <c r="Q228" s="110" t="str">
        <f t="shared" si="42"/>
        <v/>
      </c>
      <c r="R228" s="1" t="str">
        <f t="shared" si="43"/>
        <v>Auto</v>
      </c>
      <c r="S228" s="1">
        <f>IF(A228&gt;0,COUNT(A$2:A228),"")</f>
        <v>227</v>
      </c>
      <c r="T228" s="1" t="str">
        <f t="shared" si="34"/>
        <v/>
      </c>
      <c r="U228" s="1" t="str">
        <f t="shared" si="35"/>
        <v/>
      </c>
      <c r="V228" s="111" t="str">
        <f t="shared" si="36"/>
        <v/>
      </c>
      <c r="AA228" s="1">
        <v>30131</v>
      </c>
      <c r="AB228" s="1" t="s">
        <v>78</v>
      </c>
      <c r="AD228" s="1" t="str">
        <f t="shared" si="37"/>
        <v/>
      </c>
      <c r="AI228" s="122">
        <v>180</v>
      </c>
      <c r="AJ228" s="1" t="s">
        <v>1571</v>
      </c>
      <c r="AK228" s="1">
        <v>309623</v>
      </c>
      <c r="AL228" s="1" t="s">
        <v>930</v>
      </c>
      <c r="AN228" s="270">
        <v>322</v>
      </c>
      <c r="AQ228" s="1">
        <v>236</v>
      </c>
      <c r="AR228" s="1" t="s">
        <v>996</v>
      </c>
      <c r="AS228" s="1">
        <v>256830</v>
      </c>
      <c r="AT228" s="1" t="s">
        <v>930</v>
      </c>
      <c r="AV228" s="241">
        <v>528</v>
      </c>
      <c r="AX228" s="1">
        <f t="shared" si="38"/>
        <v>1</v>
      </c>
      <c r="AY228" s="1" t="str">
        <f>IF(COUNTIF($AX$2:AX228,1)&gt;$AG$1,"",IF(AX228="","",E228))</f>
        <v/>
      </c>
      <c r="BM228" s="138" t="str">
        <f t="shared" si="39"/>
        <v xml:space="preserve">   </v>
      </c>
      <c r="BN228" s="42">
        <f t="shared" si="40"/>
        <v>11373</v>
      </c>
      <c r="BS228" s="1">
        <v>9855</v>
      </c>
      <c r="BT228" s="1" t="s">
        <v>902</v>
      </c>
      <c r="BX228" s="36"/>
    </row>
    <row r="229" spans="1:76" ht="14.25">
      <c r="A229" s="55">
        <v>11374</v>
      </c>
      <c r="B229" s="36" t="s">
        <v>1158</v>
      </c>
      <c r="C229" s="36" t="s">
        <v>48</v>
      </c>
      <c r="D229" s="36" t="s">
        <v>916</v>
      </c>
      <c r="E229" s="36" t="s">
        <v>1128</v>
      </c>
      <c r="F229" s="36" t="s">
        <v>1154</v>
      </c>
      <c r="G229" s="36" t="s">
        <v>894</v>
      </c>
      <c r="H229" s="36" t="s">
        <v>58</v>
      </c>
      <c r="I229" s="36" t="s">
        <v>85</v>
      </c>
      <c r="J229" s="36" t="s">
        <v>1146</v>
      </c>
      <c r="K229" s="1">
        <f t="shared" si="41"/>
        <v>11374</v>
      </c>
      <c r="L229" s="1" t="str">
        <f t="shared" si="44"/>
        <v/>
      </c>
      <c r="M229" s="94">
        <v>224</v>
      </c>
      <c r="N229" s="36" t="s">
        <v>1879</v>
      </c>
      <c r="O229" s="95">
        <v>309931</v>
      </c>
      <c r="P229" s="36"/>
      <c r="Q229" s="110" t="str">
        <f t="shared" si="42"/>
        <v/>
      </c>
      <c r="R229" s="1" t="str">
        <f t="shared" si="43"/>
        <v>CVT</v>
      </c>
      <c r="S229" s="1">
        <f>IF(A229&gt;0,COUNT(A$2:A229),"")</f>
        <v>228</v>
      </c>
      <c r="T229" s="1" t="str">
        <f t="shared" si="34"/>
        <v/>
      </c>
      <c r="U229" s="1" t="str">
        <f t="shared" si="35"/>
        <v/>
      </c>
      <c r="V229" s="111" t="str">
        <f t="shared" si="36"/>
        <v/>
      </c>
      <c r="AA229" s="1">
        <v>30132</v>
      </c>
      <c r="AB229" s="1" t="s">
        <v>78</v>
      </c>
      <c r="AD229" s="1" t="str">
        <f t="shared" si="37"/>
        <v/>
      </c>
      <c r="AI229" s="122">
        <v>181</v>
      </c>
      <c r="AJ229" s="1" t="s">
        <v>1572</v>
      </c>
      <c r="AK229" s="1">
        <v>309624</v>
      </c>
      <c r="AL229" s="1" t="s">
        <v>115</v>
      </c>
      <c r="AN229" s="270">
        <v>323</v>
      </c>
      <c r="AQ229" s="1">
        <v>237</v>
      </c>
      <c r="AR229" s="1" t="s">
        <v>997</v>
      </c>
      <c r="AS229" s="1">
        <v>256831</v>
      </c>
      <c r="AT229" s="1" t="s">
        <v>930</v>
      </c>
      <c r="AV229" s="241">
        <v>529</v>
      </c>
      <c r="AX229" s="1">
        <f t="shared" si="38"/>
        <v>1</v>
      </c>
      <c r="AY229" s="1" t="str">
        <f>IF(COUNTIF($AX$2:AX229,1)&gt;$AG$1,"",IF(AX229="","",E229))</f>
        <v/>
      </c>
      <c r="BM229" s="138" t="str">
        <f t="shared" si="39"/>
        <v xml:space="preserve">   </v>
      </c>
      <c r="BN229" s="42">
        <f t="shared" si="40"/>
        <v>11374</v>
      </c>
      <c r="BS229" s="1">
        <v>9856</v>
      </c>
      <c r="BT229" s="1" t="s">
        <v>902</v>
      </c>
      <c r="BX229" s="36"/>
    </row>
    <row r="230" spans="1:76" ht="14.25">
      <c r="A230" s="55">
        <v>11375</v>
      </c>
      <c r="B230" s="36" t="s">
        <v>82</v>
      </c>
      <c r="C230" s="36" t="s">
        <v>48</v>
      </c>
      <c r="D230" s="36" t="s">
        <v>906</v>
      </c>
      <c r="E230" s="36" t="s">
        <v>80</v>
      </c>
      <c r="F230" s="36" t="s">
        <v>86</v>
      </c>
      <c r="G230" s="36" t="s">
        <v>85</v>
      </c>
      <c r="H230" s="36" t="s">
        <v>58</v>
      </c>
      <c r="I230" s="36" t="s">
        <v>85</v>
      </c>
      <c r="J230" s="36" t="s">
        <v>1146</v>
      </c>
      <c r="K230" s="1">
        <f t="shared" si="41"/>
        <v>11375</v>
      </c>
      <c r="L230" s="1" t="str">
        <f t="shared" si="44"/>
        <v/>
      </c>
      <c r="M230" s="94">
        <v>225</v>
      </c>
      <c r="N230" s="36" t="s">
        <v>1880</v>
      </c>
      <c r="O230" s="95">
        <v>309932</v>
      </c>
      <c r="P230" s="36"/>
      <c r="Q230" s="110" t="str">
        <f t="shared" si="42"/>
        <v>Standard</v>
      </c>
      <c r="R230" s="1" t="str">
        <f t="shared" si="43"/>
        <v/>
      </c>
      <c r="S230" s="1">
        <f>IF(A230&gt;0,COUNT(A$2:A230),"")</f>
        <v>229</v>
      </c>
      <c r="T230" s="1" t="str">
        <f t="shared" si="34"/>
        <v/>
      </c>
      <c r="U230" s="1" t="str">
        <f t="shared" si="35"/>
        <v/>
      </c>
      <c r="V230" s="111" t="str">
        <f t="shared" si="36"/>
        <v/>
      </c>
      <c r="AA230" s="1">
        <v>30133</v>
      </c>
      <c r="AB230" s="1" t="s">
        <v>78</v>
      </c>
      <c r="AD230" s="1" t="str">
        <f t="shared" si="37"/>
        <v/>
      </c>
      <c r="AI230" s="122">
        <v>182</v>
      </c>
      <c r="AJ230" s="1" t="s">
        <v>1573</v>
      </c>
      <c r="AK230" s="1">
        <v>309625</v>
      </c>
      <c r="AL230" s="1" t="s">
        <v>930</v>
      </c>
      <c r="AN230" s="270">
        <v>324</v>
      </c>
      <c r="AQ230" s="1">
        <v>238</v>
      </c>
      <c r="AR230" s="1" t="s">
        <v>998</v>
      </c>
      <c r="AS230" s="1">
        <v>256832</v>
      </c>
      <c r="AT230" s="1" t="s">
        <v>115</v>
      </c>
      <c r="AV230" s="241">
        <v>530</v>
      </c>
      <c r="AX230" s="1">
        <f t="shared" si="38"/>
        <v>1</v>
      </c>
      <c r="AY230" s="1" t="str">
        <f>IF(COUNTIF($AX$2:AX230,1)&gt;$AG$1,"",IF(AX230="","",E230))</f>
        <v/>
      </c>
      <c r="BM230" s="138" t="str">
        <f t="shared" si="39"/>
        <v xml:space="preserve">   </v>
      </c>
      <c r="BN230" s="42">
        <f t="shared" si="40"/>
        <v>11375</v>
      </c>
      <c r="BS230" s="1">
        <v>9857</v>
      </c>
      <c r="BT230" s="1" t="s">
        <v>902</v>
      </c>
      <c r="BX230" s="36"/>
    </row>
    <row r="231" spans="1:76" ht="14.25">
      <c r="A231" s="55">
        <v>11376</v>
      </c>
      <c r="B231" s="36" t="s">
        <v>1158</v>
      </c>
      <c r="C231" s="36" t="s">
        <v>48</v>
      </c>
      <c r="D231" s="36" t="s">
        <v>915</v>
      </c>
      <c r="E231" s="36" t="s">
        <v>10</v>
      </c>
      <c r="F231" s="36" t="s">
        <v>1149</v>
      </c>
      <c r="G231" s="36" t="s">
        <v>894</v>
      </c>
      <c r="H231" s="36" t="s">
        <v>58</v>
      </c>
      <c r="I231" s="36" t="s">
        <v>85</v>
      </c>
      <c r="J231" s="36" t="s">
        <v>1146</v>
      </c>
      <c r="K231" s="1">
        <f t="shared" si="41"/>
        <v>11376</v>
      </c>
      <c r="L231" s="1" t="str">
        <f t="shared" si="44"/>
        <v/>
      </c>
      <c r="M231" s="94">
        <v>226</v>
      </c>
      <c r="N231" s="36" t="s">
        <v>1881</v>
      </c>
      <c r="O231" s="95">
        <v>309933</v>
      </c>
      <c r="P231" s="36"/>
      <c r="Q231" s="110" t="str">
        <f t="shared" si="42"/>
        <v/>
      </c>
      <c r="R231" s="1" t="str">
        <f t="shared" si="43"/>
        <v>CVT</v>
      </c>
      <c r="S231" s="1">
        <f>IF(A231&gt;0,COUNT(A$2:A231),"")</f>
        <v>230</v>
      </c>
      <c r="T231" s="1" t="str">
        <f t="shared" si="34"/>
        <v/>
      </c>
      <c r="U231" s="1" t="str">
        <f t="shared" si="35"/>
        <v/>
      </c>
      <c r="V231" s="111" t="str">
        <f t="shared" si="36"/>
        <v/>
      </c>
      <c r="AA231" s="1">
        <v>30134</v>
      </c>
      <c r="AB231" s="1" t="s">
        <v>78</v>
      </c>
      <c r="AD231" s="1" t="str">
        <f t="shared" si="37"/>
        <v/>
      </c>
      <c r="AI231" s="122">
        <v>183</v>
      </c>
      <c r="AJ231" s="1" t="s">
        <v>1574</v>
      </c>
      <c r="AK231" s="1">
        <v>309626</v>
      </c>
      <c r="AL231" s="1" t="s">
        <v>115</v>
      </c>
      <c r="AN231" s="270">
        <v>325</v>
      </c>
      <c r="AQ231" s="1">
        <v>239</v>
      </c>
      <c r="AR231" s="1" t="s">
        <v>999</v>
      </c>
      <c r="AS231" s="1">
        <v>256833</v>
      </c>
      <c r="AT231" s="1" t="s">
        <v>930</v>
      </c>
      <c r="AV231" s="241">
        <v>531</v>
      </c>
      <c r="AX231" s="1">
        <f t="shared" si="38"/>
        <v>1</v>
      </c>
      <c r="AY231" s="1" t="str">
        <f>IF(COUNTIF($AX$2:AX231,1)&gt;$AG$1,"",IF(AX231="","",E231))</f>
        <v/>
      </c>
      <c r="BM231" s="138" t="str">
        <f t="shared" si="39"/>
        <v xml:space="preserve">   </v>
      </c>
      <c r="BN231" s="42">
        <f t="shared" si="40"/>
        <v>11376</v>
      </c>
      <c r="BS231" s="1">
        <v>9858</v>
      </c>
      <c r="BT231" s="1" t="s">
        <v>902</v>
      </c>
      <c r="BX231" s="36"/>
    </row>
    <row r="232" spans="1:76" ht="14.25">
      <c r="A232" s="55">
        <v>11377</v>
      </c>
      <c r="B232" s="36" t="s">
        <v>82</v>
      </c>
      <c r="C232" s="36" t="s">
        <v>75</v>
      </c>
      <c r="D232" s="36" t="s">
        <v>906</v>
      </c>
      <c r="E232" s="36" t="s">
        <v>20</v>
      </c>
      <c r="F232" s="36" t="s">
        <v>88</v>
      </c>
      <c r="G232" s="36" t="s">
        <v>85</v>
      </c>
      <c r="H232" s="36" t="s">
        <v>58</v>
      </c>
      <c r="I232" s="36" t="s">
        <v>85</v>
      </c>
      <c r="J232" s="36" t="s">
        <v>1146</v>
      </c>
      <c r="K232" s="1" t="str">
        <f t="shared" si="41"/>
        <v/>
      </c>
      <c r="L232" s="1" t="str">
        <f t="shared" si="44"/>
        <v/>
      </c>
      <c r="M232" s="94">
        <v>227</v>
      </c>
      <c r="N232" s="36" t="s">
        <v>1882</v>
      </c>
      <c r="O232" s="95">
        <v>309934</v>
      </c>
      <c r="P232" s="36"/>
      <c r="Q232" s="110" t="str">
        <f t="shared" si="42"/>
        <v>Standard</v>
      </c>
      <c r="R232" s="1" t="str">
        <f t="shared" si="43"/>
        <v/>
      </c>
      <c r="S232" s="1">
        <f>IF(A232&gt;0,COUNT(A$2:A232),"")</f>
        <v>231</v>
      </c>
      <c r="T232" s="1" t="str">
        <f t="shared" si="34"/>
        <v/>
      </c>
      <c r="U232" s="1" t="str">
        <f t="shared" si="35"/>
        <v/>
      </c>
      <c r="V232" s="111" t="str">
        <f t="shared" si="36"/>
        <v/>
      </c>
      <c r="AA232" s="1">
        <v>30135</v>
      </c>
      <c r="AB232" s="1" t="s">
        <v>78</v>
      </c>
      <c r="AD232" s="1" t="str">
        <f t="shared" si="37"/>
        <v/>
      </c>
      <c r="AI232" s="122">
        <v>184</v>
      </c>
      <c r="AJ232" s="1" t="s">
        <v>1575</v>
      </c>
      <c r="AK232" s="1">
        <v>309627</v>
      </c>
      <c r="AL232" s="1" t="s">
        <v>930</v>
      </c>
      <c r="AN232" s="270">
        <v>326</v>
      </c>
      <c r="AQ232" s="1">
        <v>240</v>
      </c>
      <c r="AR232" s="1" t="s">
        <v>1000</v>
      </c>
      <c r="AS232" s="1">
        <v>256834</v>
      </c>
      <c r="AT232" s="1" t="s">
        <v>115</v>
      </c>
      <c r="AV232" s="241">
        <v>532</v>
      </c>
      <c r="AX232" s="1">
        <f t="shared" si="38"/>
        <v>1</v>
      </c>
      <c r="AY232" s="1" t="str">
        <f>IF(COUNTIF($AX$2:AX232,1)&gt;$AG$1,"",IF(AX232="","",E232))</f>
        <v/>
      </c>
      <c r="BM232" s="138" t="str">
        <f t="shared" si="39"/>
        <v xml:space="preserve">   </v>
      </c>
      <c r="BN232" s="42">
        <f t="shared" si="40"/>
        <v>11377</v>
      </c>
      <c r="BS232" s="1">
        <v>9859</v>
      </c>
      <c r="BT232" s="1" t="s">
        <v>902</v>
      </c>
      <c r="BX232" s="36"/>
    </row>
    <row r="233" spans="1:76" ht="14.25">
      <c r="A233" s="55">
        <v>11378</v>
      </c>
      <c r="B233" s="36" t="s">
        <v>1158</v>
      </c>
      <c r="C233" s="36" t="s">
        <v>75</v>
      </c>
      <c r="D233" s="36" t="s">
        <v>916</v>
      </c>
      <c r="E233" s="36" t="s">
        <v>80</v>
      </c>
      <c r="F233" s="36" t="s">
        <v>1139</v>
      </c>
      <c r="G233" s="36" t="s">
        <v>894</v>
      </c>
      <c r="H233" s="36" t="s">
        <v>58</v>
      </c>
      <c r="I233" s="36" t="s">
        <v>85</v>
      </c>
      <c r="J233" s="36" t="s">
        <v>1146</v>
      </c>
      <c r="K233" s="1" t="str">
        <f t="shared" si="41"/>
        <v/>
      </c>
      <c r="L233" s="1" t="str">
        <f t="shared" si="44"/>
        <v/>
      </c>
      <c r="M233" s="94">
        <v>228</v>
      </c>
      <c r="N233" s="36" t="s">
        <v>1883</v>
      </c>
      <c r="O233" s="95">
        <v>309935</v>
      </c>
      <c r="P233" s="36"/>
      <c r="Q233" s="110" t="str">
        <f t="shared" si="42"/>
        <v/>
      </c>
      <c r="R233" s="1" t="str">
        <f t="shared" si="43"/>
        <v>CVT</v>
      </c>
      <c r="S233" s="1">
        <f>IF(A233&gt;0,COUNT(A$2:A233),"")</f>
        <v>232</v>
      </c>
      <c r="T233" s="1" t="str">
        <f t="shared" si="34"/>
        <v/>
      </c>
      <c r="U233" s="1" t="str">
        <f t="shared" si="35"/>
        <v/>
      </c>
      <c r="V233" s="111" t="str">
        <f t="shared" si="36"/>
        <v/>
      </c>
      <c r="AA233" s="1">
        <v>30136</v>
      </c>
      <c r="AB233" s="1" t="s">
        <v>78</v>
      </c>
      <c r="AD233" s="1" t="str">
        <f t="shared" si="37"/>
        <v/>
      </c>
      <c r="AI233" s="122">
        <v>185</v>
      </c>
      <c r="AJ233" s="1" t="s">
        <v>1576</v>
      </c>
      <c r="AK233" s="1">
        <v>309628</v>
      </c>
      <c r="AL233" s="1" t="s">
        <v>930</v>
      </c>
      <c r="AN233" s="270">
        <v>327</v>
      </c>
      <c r="AQ233" s="1">
        <v>241</v>
      </c>
      <c r="AR233" s="1" t="s">
        <v>1001</v>
      </c>
      <c r="AS233" s="1">
        <v>256835</v>
      </c>
      <c r="AT233" s="1" t="s">
        <v>930</v>
      </c>
      <c r="AV233" s="241">
        <v>533</v>
      </c>
      <c r="AX233" s="1">
        <f t="shared" si="38"/>
        <v>1</v>
      </c>
      <c r="AY233" s="1" t="str">
        <f>IF(COUNTIF($AX$2:AX233,1)&gt;$AG$1,"",IF(AX233="","",E233))</f>
        <v/>
      </c>
      <c r="BM233" s="138" t="str">
        <f t="shared" si="39"/>
        <v xml:space="preserve">   </v>
      </c>
      <c r="BN233" s="42">
        <f t="shared" si="40"/>
        <v>11378</v>
      </c>
      <c r="BS233" s="1">
        <v>9860</v>
      </c>
      <c r="BT233" s="1" t="s">
        <v>902</v>
      </c>
      <c r="BX233" s="36"/>
    </row>
    <row r="234" spans="1:76" ht="14.25">
      <c r="A234" s="55">
        <v>11379</v>
      </c>
      <c r="B234" s="36" t="s">
        <v>82</v>
      </c>
      <c r="C234" s="36" t="s">
        <v>75</v>
      </c>
      <c r="D234" s="36" t="s">
        <v>906</v>
      </c>
      <c r="E234" s="36" t="s">
        <v>20</v>
      </c>
      <c r="F234" s="36" t="s">
        <v>86</v>
      </c>
      <c r="G234" s="36" t="s">
        <v>85</v>
      </c>
      <c r="H234" s="36" t="s">
        <v>58</v>
      </c>
      <c r="I234" s="36" t="s">
        <v>85</v>
      </c>
      <c r="J234" s="36" t="s">
        <v>1146</v>
      </c>
      <c r="K234" s="1" t="str">
        <f t="shared" si="41"/>
        <v/>
      </c>
      <c r="L234" s="1" t="str">
        <f t="shared" si="44"/>
        <v/>
      </c>
      <c r="M234" s="94">
        <v>229</v>
      </c>
      <c r="N234" s="36" t="s">
        <v>1884</v>
      </c>
      <c r="O234" s="95">
        <v>309936</v>
      </c>
      <c r="P234" s="36"/>
      <c r="Q234" s="110" t="str">
        <f t="shared" si="42"/>
        <v>Standard</v>
      </c>
      <c r="R234" s="1" t="str">
        <f t="shared" si="43"/>
        <v/>
      </c>
      <c r="S234" s="1">
        <f>IF(A234&gt;0,COUNT(A$2:A234),"")</f>
        <v>233</v>
      </c>
      <c r="T234" s="1" t="str">
        <f t="shared" si="34"/>
        <v/>
      </c>
      <c r="U234" s="1" t="str">
        <f t="shared" si="35"/>
        <v/>
      </c>
      <c r="V234" s="111" t="str">
        <f t="shared" si="36"/>
        <v/>
      </c>
      <c r="AA234" s="1">
        <v>30137</v>
      </c>
      <c r="AB234" s="1" t="s">
        <v>78</v>
      </c>
      <c r="AD234" s="1" t="str">
        <f t="shared" si="37"/>
        <v/>
      </c>
      <c r="AI234" s="122">
        <v>186</v>
      </c>
      <c r="AJ234" s="1" t="s">
        <v>1577</v>
      </c>
      <c r="AK234" s="1">
        <v>309629</v>
      </c>
      <c r="AL234" s="1" t="s">
        <v>115</v>
      </c>
      <c r="AN234" s="270">
        <v>328</v>
      </c>
      <c r="AQ234" s="1">
        <v>242</v>
      </c>
      <c r="AR234" s="1" t="s">
        <v>1002</v>
      </c>
      <c r="AS234" s="1">
        <v>256836</v>
      </c>
      <c r="AT234" s="1" t="s">
        <v>930</v>
      </c>
      <c r="AV234" s="241">
        <v>534</v>
      </c>
      <c r="AX234" s="1">
        <f t="shared" si="38"/>
        <v>1</v>
      </c>
      <c r="AY234" s="1" t="str">
        <f>IF(COUNTIF($AX$2:AX234,1)&gt;$AG$1,"",IF(AX234="","",E234))</f>
        <v/>
      </c>
      <c r="BM234" s="138" t="str">
        <f t="shared" si="39"/>
        <v xml:space="preserve">   </v>
      </c>
      <c r="BN234" s="42">
        <f t="shared" si="40"/>
        <v>11379</v>
      </c>
      <c r="BS234" s="1">
        <v>9861</v>
      </c>
      <c r="BT234" s="1" t="s">
        <v>902</v>
      </c>
      <c r="BX234" s="36"/>
    </row>
    <row r="235" spans="1:76" ht="14.25">
      <c r="A235" s="55">
        <v>11380</v>
      </c>
      <c r="B235" s="36" t="s">
        <v>1158</v>
      </c>
      <c r="C235" s="36" t="s">
        <v>75</v>
      </c>
      <c r="D235" s="36" t="s">
        <v>916</v>
      </c>
      <c r="E235" s="36" t="s">
        <v>80</v>
      </c>
      <c r="F235" s="36" t="s">
        <v>1139</v>
      </c>
      <c r="G235" s="36" t="s">
        <v>894</v>
      </c>
      <c r="H235" s="36" t="s">
        <v>58</v>
      </c>
      <c r="I235" s="36" t="s">
        <v>85</v>
      </c>
      <c r="J235" s="36" t="s">
        <v>1146</v>
      </c>
      <c r="K235" s="1" t="str">
        <f t="shared" si="41"/>
        <v/>
      </c>
      <c r="L235" s="1" t="str">
        <f t="shared" si="44"/>
        <v/>
      </c>
      <c r="M235" s="94">
        <v>230</v>
      </c>
      <c r="N235" s="36" t="s">
        <v>1885</v>
      </c>
      <c r="O235" s="95">
        <v>309937</v>
      </c>
      <c r="P235" s="36"/>
      <c r="Q235" s="110" t="str">
        <f t="shared" si="42"/>
        <v/>
      </c>
      <c r="R235" s="1" t="str">
        <f t="shared" si="43"/>
        <v>CVT</v>
      </c>
      <c r="S235" s="1">
        <f>IF(A235&gt;0,COUNT(A$2:A235),"")</f>
        <v>234</v>
      </c>
      <c r="T235" s="1" t="str">
        <f t="shared" si="34"/>
        <v/>
      </c>
      <c r="U235" s="1" t="str">
        <f t="shared" si="35"/>
        <v/>
      </c>
      <c r="V235" s="111" t="str">
        <f t="shared" si="36"/>
        <v/>
      </c>
      <c r="AA235" s="1">
        <v>30138</v>
      </c>
      <c r="AB235" s="1" t="s">
        <v>78</v>
      </c>
      <c r="AD235" s="1" t="str">
        <f t="shared" si="37"/>
        <v/>
      </c>
      <c r="AI235" s="122">
        <v>187</v>
      </c>
      <c r="AJ235" s="1" t="s">
        <v>1578</v>
      </c>
      <c r="AK235" s="1">
        <v>309630</v>
      </c>
      <c r="AL235" s="1" t="s">
        <v>930</v>
      </c>
      <c r="AN235" s="270">
        <v>329</v>
      </c>
      <c r="AQ235" s="1">
        <v>243</v>
      </c>
      <c r="AR235" s="1" t="s">
        <v>1003</v>
      </c>
      <c r="AS235" s="1">
        <v>256837</v>
      </c>
      <c r="AT235" s="1" t="s">
        <v>115</v>
      </c>
      <c r="AV235" s="241">
        <v>535</v>
      </c>
      <c r="AX235" s="1">
        <f t="shared" si="38"/>
        <v>1</v>
      </c>
      <c r="AY235" s="1" t="str">
        <f>IF(COUNTIF($AX$2:AX235,1)&gt;$AG$1,"",IF(AX235="","",E235))</f>
        <v/>
      </c>
      <c r="BM235" s="138" t="str">
        <f t="shared" si="39"/>
        <v xml:space="preserve">   </v>
      </c>
      <c r="BN235" s="42">
        <f t="shared" si="40"/>
        <v>11380</v>
      </c>
      <c r="BS235" s="1">
        <v>9862</v>
      </c>
      <c r="BT235" s="1" t="s">
        <v>902</v>
      </c>
      <c r="BX235" s="36"/>
    </row>
    <row r="236" spans="1:76" ht="14.25">
      <c r="A236" s="55">
        <v>11381</v>
      </c>
      <c r="B236" s="36" t="s">
        <v>1158</v>
      </c>
      <c r="C236" s="36" t="s">
        <v>75</v>
      </c>
      <c r="D236" s="36" t="s">
        <v>909</v>
      </c>
      <c r="E236" s="36" t="s">
        <v>79</v>
      </c>
      <c r="F236" s="36" t="s">
        <v>1149</v>
      </c>
      <c r="G236" s="36" t="s">
        <v>921</v>
      </c>
      <c r="H236" s="36" t="s">
        <v>58</v>
      </c>
      <c r="I236" s="36" t="s">
        <v>85</v>
      </c>
      <c r="J236" s="36" t="s">
        <v>1146</v>
      </c>
      <c r="K236" s="1" t="str">
        <f t="shared" si="41"/>
        <v/>
      </c>
      <c r="L236" s="1" t="str">
        <f t="shared" si="44"/>
        <v/>
      </c>
      <c r="M236" s="94">
        <v>231</v>
      </c>
      <c r="N236" s="36" t="s">
        <v>1886</v>
      </c>
      <c r="O236" s="95">
        <v>309938</v>
      </c>
      <c r="P236" s="36"/>
      <c r="Q236" s="110" t="str">
        <f t="shared" si="42"/>
        <v/>
      </c>
      <c r="R236" s="1" t="str">
        <f t="shared" si="43"/>
        <v>Auto</v>
      </c>
      <c r="S236" s="1">
        <f>IF(A236&gt;0,COUNT(A$2:A236),"")</f>
        <v>235</v>
      </c>
      <c r="T236" s="1" t="str">
        <f t="shared" si="34"/>
        <v/>
      </c>
      <c r="U236" s="1" t="str">
        <f t="shared" si="35"/>
        <v/>
      </c>
      <c r="V236" s="111" t="str">
        <f t="shared" si="36"/>
        <v/>
      </c>
      <c r="AA236" s="1">
        <v>30139</v>
      </c>
      <c r="AB236" s="1" t="s">
        <v>78</v>
      </c>
      <c r="AD236" s="1" t="str">
        <f t="shared" si="37"/>
        <v/>
      </c>
      <c r="AI236" s="122">
        <v>188</v>
      </c>
      <c r="AJ236" s="1" t="s">
        <v>1579</v>
      </c>
      <c r="AK236" s="1">
        <v>309631</v>
      </c>
      <c r="AL236" s="1" t="s">
        <v>115</v>
      </c>
      <c r="AN236" s="270">
        <v>330</v>
      </c>
      <c r="AQ236" s="1">
        <v>244</v>
      </c>
      <c r="AR236" s="1" t="s">
        <v>1004</v>
      </c>
      <c r="AS236" s="1">
        <v>256838</v>
      </c>
      <c r="AT236" s="1" t="s">
        <v>930</v>
      </c>
      <c r="AV236" s="241">
        <v>536</v>
      </c>
      <c r="AX236" s="1">
        <f t="shared" si="38"/>
        <v>1</v>
      </c>
      <c r="AY236" s="1" t="str">
        <f>IF(COUNTIF($AX$2:AX236,1)&gt;$AG$1,"",IF(AX236="","",E236))</f>
        <v/>
      </c>
      <c r="BM236" s="138" t="str">
        <f t="shared" si="39"/>
        <v xml:space="preserve">   </v>
      </c>
      <c r="BN236" s="42">
        <f t="shared" si="40"/>
        <v>11381</v>
      </c>
      <c r="BS236" s="1">
        <v>9863</v>
      </c>
      <c r="BT236" s="1" t="s">
        <v>902</v>
      </c>
      <c r="BX236" s="36"/>
    </row>
    <row r="237" spans="1:76" ht="14.25">
      <c r="A237" s="55">
        <v>11382</v>
      </c>
      <c r="B237" s="36" t="s">
        <v>82</v>
      </c>
      <c r="C237" s="36" t="s">
        <v>75</v>
      </c>
      <c r="D237" s="36" t="s">
        <v>906</v>
      </c>
      <c r="E237" s="36" t="s">
        <v>20</v>
      </c>
      <c r="F237" s="36" t="s">
        <v>1148</v>
      </c>
      <c r="G237" s="36" t="s">
        <v>85</v>
      </c>
      <c r="H237" s="36" t="s">
        <v>58</v>
      </c>
      <c r="I237" s="36" t="s">
        <v>85</v>
      </c>
      <c r="J237" s="36" t="s">
        <v>1146</v>
      </c>
      <c r="K237" s="1" t="str">
        <f t="shared" si="41"/>
        <v/>
      </c>
      <c r="L237" s="1" t="str">
        <f t="shared" si="44"/>
        <v/>
      </c>
      <c r="M237" s="94">
        <v>232</v>
      </c>
      <c r="N237" s="36" t="s">
        <v>1887</v>
      </c>
      <c r="O237" s="95">
        <v>309939</v>
      </c>
      <c r="P237" s="36"/>
      <c r="Q237" s="110" t="str">
        <f t="shared" si="42"/>
        <v>Standard</v>
      </c>
      <c r="R237" s="1" t="str">
        <f t="shared" si="43"/>
        <v/>
      </c>
      <c r="S237" s="1">
        <f>IF(A237&gt;0,COUNT(A$2:A237),"")</f>
        <v>236</v>
      </c>
      <c r="T237" s="1" t="str">
        <f t="shared" si="34"/>
        <v/>
      </c>
      <c r="U237" s="1" t="str">
        <f t="shared" si="35"/>
        <v/>
      </c>
      <c r="V237" s="111" t="str">
        <f t="shared" si="36"/>
        <v/>
      </c>
      <c r="AA237" s="1">
        <v>30140</v>
      </c>
      <c r="AB237" s="1" t="s">
        <v>78</v>
      </c>
      <c r="AD237" s="1" t="str">
        <f t="shared" si="37"/>
        <v/>
      </c>
      <c r="AI237" s="122">
        <v>189</v>
      </c>
      <c r="AJ237" s="1" t="s">
        <v>1580</v>
      </c>
      <c r="AK237" s="1">
        <v>309632</v>
      </c>
      <c r="AL237" s="1" t="s">
        <v>930</v>
      </c>
      <c r="AN237" s="270">
        <v>331</v>
      </c>
      <c r="AQ237" s="1">
        <v>245</v>
      </c>
      <c r="AR237" s="1" t="s">
        <v>1005</v>
      </c>
      <c r="AS237" s="1">
        <v>256839</v>
      </c>
      <c r="AT237" s="1" t="s">
        <v>115</v>
      </c>
      <c r="AV237" s="241">
        <v>537</v>
      </c>
      <c r="AX237" s="1">
        <f t="shared" si="38"/>
        <v>1</v>
      </c>
      <c r="AY237" s="1" t="str">
        <f>IF(COUNTIF($AX$2:AX237,1)&gt;$AG$1,"",IF(AX237="","",E237))</f>
        <v/>
      </c>
      <c r="BM237" s="138" t="str">
        <f t="shared" si="39"/>
        <v xml:space="preserve">   </v>
      </c>
      <c r="BN237" s="42">
        <f t="shared" si="40"/>
        <v>11382</v>
      </c>
      <c r="BS237" s="1">
        <v>9864</v>
      </c>
      <c r="BT237" s="1" t="s">
        <v>902</v>
      </c>
      <c r="BX237" s="36"/>
    </row>
    <row r="238" spans="1:76" ht="14.25">
      <c r="A238" s="55">
        <v>11383</v>
      </c>
      <c r="B238" s="36" t="s">
        <v>1158</v>
      </c>
      <c r="C238" s="36" t="s">
        <v>75</v>
      </c>
      <c r="D238" s="36" t="s">
        <v>913</v>
      </c>
      <c r="E238" s="36" t="s">
        <v>80</v>
      </c>
      <c r="F238" s="36" t="s">
        <v>931</v>
      </c>
      <c r="G238" s="36" t="s">
        <v>894</v>
      </c>
      <c r="H238" s="36" t="s">
        <v>58</v>
      </c>
      <c r="I238" s="36" t="s">
        <v>85</v>
      </c>
      <c r="J238" s="36" t="s">
        <v>1146</v>
      </c>
      <c r="K238" s="1" t="str">
        <f t="shared" si="41"/>
        <v/>
      </c>
      <c r="L238" s="1" t="str">
        <f t="shared" si="44"/>
        <v/>
      </c>
      <c r="M238" s="94">
        <v>233</v>
      </c>
      <c r="N238" s="36" t="s">
        <v>1888</v>
      </c>
      <c r="O238" s="95">
        <v>309940</v>
      </c>
      <c r="P238" s="36"/>
      <c r="Q238" s="110" t="str">
        <f t="shared" si="42"/>
        <v/>
      </c>
      <c r="R238" s="1" t="str">
        <f t="shared" si="43"/>
        <v>CVT</v>
      </c>
      <c r="S238" s="1">
        <f>IF(A238&gt;0,COUNT(A$2:A238),"")</f>
        <v>237</v>
      </c>
      <c r="T238" s="1" t="str">
        <f t="shared" si="34"/>
        <v/>
      </c>
      <c r="U238" s="1" t="str">
        <f t="shared" si="35"/>
        <v/>
      </c>
      <c r="V238" s="111" t="str">
        <f t="shared" si="36"/>
        <v/>
      </c>
      <c r="AA238" s="1">
        <v>30141</v>
      </c>
      <c r="AB238" s="1" t="s">
        <v>78</v>
      </c>
      <c r="AD238" s="1" t="str">
        <f t="shared" si="37"/>
        <v/>
      </c>
      <c r="AI238" s="122">
        <v>190</v>
      </c>
      <c r="AJ238" s="1" t="s">
        <v>1581</v>
      </c>
      <c r="AK238" s="1">
        <v>309633</v>
      </c>
      <c r="AL238" s="1" t="s">
        <v>115</v>
      </c>
      <c r="AN238" s="270">
        <v>332</v>
      </c>
      <c r="AQ238" s="1">
        <v>246</v>
      </c>
      <c r="AR238" s="1" t="s">
        <v>1006</v>
      </c>
      <c r="AS238" s="1">
        <v>256840</v>
      </c>
      <c r="AT238" s="1" t="s">
        <v>930</v>
      </c>
      <c r="AV238" s="241">
        <v>538</v>
      </c>
      <c r="AX238" s="1">
        <f t="shared" si="38"/>
        <v>1</v>
      </c>
      <c r="AY238" s="1" t="str">
        <f>IF(COUNTIF($AX$2:AX238,1)&gt;$AG$1,"",IF(AX238="","",E238))</f>
        <v/>
      </c>
      <c r="BM238" s="138" t="str">
        <f t="shared" si="39"/>
        <v xml:space="preserve">   </v>
      </c>
      <c r="BN238" s="42">
        <f t="shared" si="40"/>
        <v>11383</v>
      </c>
      <c r="BS238" s="1">
        <v>9865</v>
      </c>
      <c r="BT238" s="1" t="s">
        <v>902</v>
      </c>
      <c r="BX238" s="36"/>
    </row>
    <row r="239" spans="1:76" ht="14.25">
      <c r="A239" s="55">
        <v>11384</v>
      </c>
      <c r="B239" s="36" t="s">
        <v>82</v>
      </c>
      <c r="C239" s="36" t="s">
        <v>75</v>
      </c>
      <c r="D239" s="36" t="s">
        <v>906</v>
      </c>
      <c r="E239" s="36" t="s">
        <v>1128</v>
      </c>
      <c r="F239" s="36" t="s">
        <v>1129</v>
      </c>
      <c r="G239" s="36" t="s">
        <v>85</v>
      </c>
      <c r="H239" s="36" t="s">
        <v>58</v>
      </c>
      <c r="I239" s="36" t="s">
        <v>85</v>
      </c>
      <c r="J239" s="36" t="s">
        <v>1146</v>
      </c>
      <c r="K239" s="1" t="str">
        <f t="shared" si="41"/>
        <v/>
      </c>
      <c r="L239" s="1" t="str">
        <f t="shared" si="44"/>
        <v/>
      </c>
      <c r="M239" s="94">
        <v>234</v>
      </c>
      <c r="N239" s="36" t="s">
        <v>1889</v>
      </c>
      <c r="O239" s="95">
        <v>309941</v>
      </c>
      <c r="P239" s="36"/>
      <c r="Q239" s="110" t="str">
        <f t="shared" si="42"/>
        <v>Sport</v>
      </c>
      <c r="R239" s="1" t="str">
        <f t="shared" si="43"/>
        <v/>
      </c>
      <c r="S239" s="1">
        <f>IF(A239&gt;0,COUNT(A$2:A239),"")</f>
        <v>238</v>
      </c>
      <c r="T239" s="1" t="str">
        <f t="shared" si="34"/>
        <v/>
      </c>
      <c r="U239" s="1" t="str">
        <f t="shared" si="35"/>
        <v/>
      </c>
      <c r="V239" s="111" t="str">
        <f t="shared" si="36"/>
        <v/>
      </c>
      <c r="AA239" s="1">
        <v>30142</v>
      </c>
      <c r="AB239" s="1" t="s">
        <v>78</v>
      </c>
      <c r="AD239" s="1" t="str">
        <f t="shared" si="37"/>
        <v/>
      </c>
      <c r="AI239" s="122">
        <v>191</v>
      </c>
      <c r="AJ239" s="1" t="s">
        <v>1582</v>
      </c>
      <c r="AK239" s="1">
        <v>309634</v>
      </c>
      <c r="AL239" s="1" t="s">
        <v>930</v>
      </c>
      <c r="AN239" s="270">
        <v>333</v>
      </c>
      <c r="AQ239" s="1">
        <v>247</v>
      </c>
      <c r="AR239" s="1" t="s">
        <v>1007</v>
      </c>
      <c r="AS239" s="1">
        <v>256841</v>
      </c>
      <c r="AT239" s="1" t="s">
        <v>930</v>
      </c>
      <c r="AV239" s="241">
        <v>539</v>
      </c>
      <c r="AX239" s="1">
        <f t="shared" si="38"/>
        <v>1</v>
      </c>
      <c r="AY239" s="1" t="str">
        <f>IF(COUNTIF($AX$2:AX239,1)&gt;$AG$1,"",IF(AX239="","",E239))</f>
        <v/>
      </c>
      <c r="BM239" s="138" t="str">
        <f t="shared" si="39"/>
        <v xml:space="preserve">   </v>
      </c>
      <c r="BN239" s="42">
        <f t="shared" si="40"/>
        <v>11384</v>
      </c>
      <c r="BS239" s="1">
        <v>9866</v>
      </c>
      <c r="BT239" s="1" t="s">
        <v>902</v>
      </c>
      <c r="BX239" s="36"/>
    </row>
    <row r="240" spans="1:76" ht="14.25">
      <c r="A240" s="55">
        <v>11385</v>
      </c>
      <c r="B240" s="36" t="s">
        <v>1158</v>
      </c>
      <c r="C240" s="36" t="s">
        <v>75</v>
      </c>
      <c r="D240" s="36" t="s">
        <v>910</v>
      </c>
      <c r="E240" s="36" t="s">
        <v>20</v>
      </c>
      <c r="F240" s="36" t="s">
        <v>1139</v>
      </c>
      <c r="G240" s="36" t="s">
        <v>921</v>
      </c>
      <c r="H240" s="36" t="s">
        <v>58</v>
      </c>
      <c r="I240" s="36" t="s">
        <v>85</v>
      </c>
      <c r="J240" s="36" t="s">
        <v>1146</v>
      </c>
      <c r="K240" s="1" t="str">
        <f t="shared" si="41"/>
        <v/>
      </c>
      <c r="L240" s="1" t="str">
        <f t="shared" si="44"/>
        <v/>
      </c>
      <c r="M240" s="94">
        <v>235</v>
      </c>
      <c r="N240" s="36" t="s">
        <v>1890</v>
      </c>
      <c r="O240" s="95">
        <v>309942</v>
      </c>
      <c r="P240" s="36"/>
      <c r="Q240" s="110" t="str">
        <f t="shared" si="42"/>
        <v/>
      </c>
      <c r="R240" s="1" t="str">
        <f t="shared" si="43"/>
        <v>Auto</v>
      </c>
      <c r="S240" s="1">
        <f>IF(A240&gt;0,COUNT(A$2:A240),"")</f>
        <v>239</v>
      </c>
      <c r="T240" s="1" t="str">
        <f t="shared" si="34"/>
        <v/>
      </c>
      <c r="U240" s="1" t="str">
        <f t="shared" si="35"/>
        <v/>
      </c>
      <c r="V240" s="111" t="str">
        <f t="shared" si="36"/>
        <v/>
      </c>
      <c r="AA240" s="1">
        <v>30143</v>
      </c>
      <c r="AB240" s="1" t="s">
        <v>78</v>
      </c>
      <c r="AD240" s="1" t="str">
        <f t="shared" si="37"/>
        <v/>
      </c>
      <c r="AI240" s="122">
        <v>192</v>
      </c>
      <c r="AJ240" s="1" t="s">
        <v>1583</v>
      </c>
      <c r="AK240" s="1">
        <v>309635</v>
      </c>
      <c r="AL240" s="1" t="s">
        <v>115</v>
      </c>
      <c r="AN240" s="270">
        <v>334</v>
      </c>
      <c r="AQ240" s="1">
        <v>248</v>
      </c>
      <c r="AR240" s="1" t="s">
        <v>1008</v>
      </c>
      <c r="AS240" s="1">
        <v>256842</v>
      </c>
      <c r="AT240" s="1" t="s">
        <v>115</v>
      </c>
      <c r="AV240" s="241">
        <v>540</v>
      </c>
      <c r="AX240" s="1">
        <f t="shared" si="38"/>
        <v>1</v>
      </c>
      <c r="AY240" s="1" t="str">
        <f>IF(COUNTIF($AX$2:AX240,1)&gt;$AG$1,"",IF(AX240="","",E240))</f>
        <v/>
      </c>
      <c r="BM240" s="138" t="str">
        <f t="shared" si="39"/>
        <v xml:space="preserve">   </v>
      </c>
      <c r="BN240" s="42">
        <f t="shared" si="40"/>
        <v>11385</v>
      </c>
      <c r="BS240" s="1">
        <v>9867</v>
      </c>
      <c r="BT240" s="1" t="s">
        <v>902</v>
      </c>
      <c r="BX240" s="36"/>
    </row>
    <row r="241" spans="1:76" ht="14.25">
      <c r="A241" s="55">
        <v>11386</v>
      </c>
      <c r="B241" s="36" t="s">
        <v>82</v>
      </c>
      <c r="C241" s="36" t="s">
        <v>75</v>
      </c>
      <c r="D241" s="36" t="s">
        <v>906</v>
      </c>
      <c r="E241" s="36" t="s">
        <v>80</v>
      </c>
      <c r="F241" s="36" t="s">
        <v>87</v>
      </c>
      <c r="G241" s="36" t="s">
        <v>85</v>
      </c>
      <c r="H241" s="36" t="s">
        <v>58</v>
      </c>
      <c r="I241" s="36" t="s">
        <v>85</v>
      </c>
      <c r="J241" s="36" t="s">
        <v>1146</v>
      </c>
      <c r="K241" s="1" t="str">
        <f t="shared" si="41"/>
        <v/>
      </c>
      <c r="L241" s="1" t="str">
        <f t="shared" si="44"/>
        <v/>
      </c>
      <c r="M241" s="94">
        <v>236</v>
      </c>
      <c r="N241" s="36" t="s">
        <v>1891</v>
      </c>
      <c r="O241" s="95">
        <v>309943</v>
      </c>
      <c r="P241" s="36"/>
      <c r="Q241" s="110" t="str">
        <f t="shared" si="42"/>
        <v>Standard</v>
      </c>
      <c r="R241" s="1" t="str">
        <f t="shared" si="43"/>
        <v/>
      </c>
      <c r="S241" s="1">
        <f>IF(A241&gt;0,COUNT(A$2:A241),"")</f>
        <v>240</v>
      </c>
      <c r="T241" s="1" t="str">
        <f t="shared" si="34"/>
        <v/>
      </c>
      <c r="U241" s="1" t="str">
        <f t="shared" si="35"/>
        <v/>
      </c>
      <c r="V241" s="111" t="str">
        <f t="shared" si="36"/>
        <v/>
      </c>
      <c r="AA241" s="1">
        <v>30144</v>
      </c>
      <c r="AB241" s="1" t="s">
        <v>78</v>
      </c>
      <c r="AD241" s="1" t="str">
        <f t="shared" si="37"/>
        <v/>
      </c>
      <c r="AI241" s="122">
        <v>193</v>
      </c>
      <c r="AJ241" s="1" t="s">
        <v>1584</v>
      </c>
      <c r="AK241" s="1">
        <v>309636</v>
      </c>
      <c r="AL241" s="1" t="s">
        <v>930</v>
      </c>
      <c r="AN241" s="270">
        <v>335</v>
      </c>
      <c r="AQ241" s="1">
        <v>249</v>
      </c>
      <c r="AR241" s="1" t="s">
        <v>1009</v>
      </c>
      <c r="AS241" s="1">
        <v>256843</v>
      </c>
      <c r="AT241" s="1" t="s">
        <v>930</v>
      </c>
      <c r="AV241" s="241">
        <v>541</v>
      </c>
      <c r="AX241" s="1">
        <f t="shared" si="38"/>
        <v>1</v>
      </c>
      <c r="AY241" s="1" t="str">
        <f>IF(COUNTIF($AX$2:AX241,1)&gt;$AG$1,"",IF(AX241="","",E241))</f>
        <v/>
      </c>
      <c r="BM241" s="138" t="str">
        <f t="shared" si="39"/>
        <v xml:space="preserve">   </v>
      </c>
      <c r="BN241" s="42">
        <f t="shared" si="40"/>
        <v>11386</v>
      </c>
      <c r="BS241" s="1">
        <v>9868</v>
      </c>
      <c r="BT241" s="1" t="s">
        <v>902</v>
      </c>
      <c r="BX241" s="36"/>
    </row>
    <row r="242" spans="1:76" ht="14.25">
      <c r="A242" s="55">
        <v>11387</v>
      </c>
      <c r="B242" s="36" t="s">
        <v>1158</v>
      </c>
      <c r="C242" s="36" t="s">
        <v>75</v>
      </c>
      <c r="D242" s="36" t="s">
        <v>910</v>
      </c>
      <c r="E242" s="36" t="s">
        <v>10</v>
      </c>
      <c r="F242" s="36" t="s">
        <v>1166</v>
      </c>
      <c r="G242" s="36" t="s">
        <v>921</v>
      </c>
      <c r="H242" s="36" t="s">
        <v>58</v>
      </c>
      <c r="I242" s="36" t="s">
        <v>85</v>
      </c>
      <c r="J242" s="36" t="s">
        <v>1146</v>
      </c>
      <c r="K242" s="1" t="str">
        <f t="shared" si="41"/>
        <v/>
      </c>
      <c r="L242" s="1" t="str">
        <f t="shared" si="44"/>
        <v/>
      </c>
      <c r="M242" s="94">
        <v>237</v>
      </c>
      <c r="N242" s="36" t="s">
        <v>1892</v>
      </c>
      <c r="O242" s="95">
        <v>309944</v>
      </c>
      <c r="P242" s="36"/>
      <c r="Q242" s="110" t="str">
        <f t="shared" si="42"/>
        <v/>
      </c>
      <c r="R242" s="1" t="str">
        <f t="shared" si="43"/>
        <v>Auto</v>
      </c>
      <c r="S242" s="1">
        <f>IF(A242&gt;0,COUNT(A$2:A242),"")</f>
        <v>241</v>
      </c>
      <c r="T242" s="1" t="str">
        <f t="shared" si="34"/>
        <v/>
      </c>
      <c r="U242" s="1" t="str">
        <f t="shared" si="35"/>
        <v/>
      </c>
      <c r="V242" s="111" t="str">
        <f t="shared" si="36"/>
        <v/>
      </c>
      <c r="AA242" s="1">
        <v>30145</v>
      </c>
      <c r="AB242" s="1" t="s">
        <v>78</v>
      </c>
      <c r="AD242" s="1" t="str">
        <f t="shared" si="37"/>
        <v/>
      </c>
      <c r="AI242" s="122">
        <v>194</v>
      </c>
      <c r="AJ242" s="1" t="s">
        <v>1585</v>
      </c>
      <c r="AK242" s="1">
        <v>309637</v>
      </c>
      <c r="AL242" s="1" t="s">
        <v>930</v>
      </c>
      <c r="AN242" s="270">
        <v>336</v>
      </c>
      <c r="AQ242" s="1">
        <v>250</v>
      </c>
      <c r="AR242" s="1" t="s">
        <v>1010</v>
      </c>
      <c r="AS242" s="1">
        <v>256844</v>
      </c>
      <c r="AT242" s="1" t="s">
        <v>930</v>
      </c>
      <c r="AV242" s="241">
        <v>542</v>
      </c>
      <c r="AX242" s="1">
        <f t="shared" si="38"/>
        <v>1</v>
      </c>
      <c r="AY242" s="1" t="str">
        <f>IF(COUNTIF($AX$2:AX242,1)&gt;$AG$1,"",IF(AX242="","",E242))</f>
        <v/>
      </c>
      <c r="BM242" s="138" t="str">
        <f t="shared" si="39"/>
        <v xml:space="preserve">   </v>
      </c>
      <c r="BN242" s="42">
        <f t="shared" si="40"/>
        <v>11387</v>
      </c>
      <c r="BS242" s="1">
        <v>9869</v>
      </c>
      <c r="BT242" s="1" t="s">
        <v>902</v>
      </c>
      <c r="BX242" s="36"/>
    </row>
    <row r="243" spans="1:76" ht="14.25">
      <c r="A243" s="55">
        <v>11388</v>
      </c>
      <c r="B243" s="36" t="s">
        <v>82</v>
      </c>
      <c r="C243" s="36" t="s">
        <v>75</v>
      </c>
      <c r="D243" s="36" t="s">
        <v>907</v>
      </c>
      <c r="E243" s="36" t="s">
        <v>80</v>
      </c>
      <c r="F243" s="36" t="s">
        <v>41</v>
      </c>
      <c r="G243" s="36" t="s">
        <v>85</v>
      </c>
      <c r="H243" s="36" t="s">
        <v>58</v>
      </c>
      <c r="I243" s="36" t="s">
        <v>85</v>
      </c>
      <c r="J243" s="36" t="s">
        <v>1146</v>
      </c>
      <c r="K243" s="1" t="str">
        <f t="shared" si="41"/>
        <v/>
      </c>
      <c r="L243" s="1" t="str">
        <f t="shared" si="44"/>
        <v/>
      </c>
      <c r="M243" s="94">
        <v>238</v>
      </c>
      <c r="N243" s="36" t="s">
        <v>1893</v>
      </c>
      <c r="O243" s="95">
        <v>309945</v>
      </c>
      <c r="P243" s="36"/>
      <c r="Q243" s="110" t="str">
        <f t="shared" si="42"/>
        <v>Standard</v>
      </c>
      <c r="R243" s="1" t="str">
        <f t="shared" si="43"/>
        <v/>
      </c>
      <c r="S243" s="1">
        <f>IF(A243&gt;0,COUNT(A$2:A243),"")</f>
        <v>242</v>
      </c>
      <c r="T243" s="1" t="str">
        <f t="shared" si="34"/>
        <v/>
      </c>
      <c r="U243" s="1" t="str">
        <f t="shared" si="35"/>
        <v/>
      </c>
      <c r="V243" s="111" t="str">
        <f t="shared" si="36"/>
        <v/>
      </c>
      <c r="AA243" s="1">
        <v>30146</v>
      </c>
      <c r="AB243" s="1" t="s">
        <v>101</v>
      </c>
      <c r="AD243" s="1" t="str">
        <f t="shared" si="37"/>
        <v/>
      </c>
      <c r="AI243" s="122">
        <v>46</v>
      </c>
      <c r="AJ243" s="1" t="s">
        <v>1586</v>
      </c>
      <c r="AK243" s="1">
        <v>309638</v>
      </c>
      <c r="AL243" s="1" t="s">
        <v>115</v>
      </c>
      <c r="AN243" s="270">
        <v>337</v>
      </c>
      <c r="AQ243" s="1">
        <v>251</v>
      </c>
      <c r="AR243" s="1" t="s">
        <v>1011</v>
      </c>
      <c r="AS243" s="1">
        <v>256845</v>
      </c>
      <c r="AT243" s="1" t="s">
        <v>115</v>
      </c>
      <c r="AV243" s="241">
        <v>543</v>
      </c>
      <c r="AX243" s="1">
        <f t="shared" si="38"/>
        <v>1</v>
      </c>
      <c r="AY243" s="1" t="str">
        <f>IF(COUNTIF($AX$2:AX243,1)&gt;$AG$1,"",IF(AX243="","",E243))</f>
        <v/>
      </c>
      <c r="BM243" s="138" t="str">
        <f t="shared" si="39"/>
        <v xml:space="preserve">   </v>
      </c>
      <c r="BN243" s="42">
        <f t="shared" si="40"/>
        <v>11388</v>
      </c>
      <c r="BS243" s="1">
        <v>9870</v>
      </c>
      <c r="BT243" s="1" t="s">
        <v>902</v>
      </c>
      <c r="BX243" s="36"/>
    </row>
    <row r="244" spans="1:76" ht="14.25">
      <c r="A244" s="55">
        <v>11389</v>
      </c>
      <c r="B244" s="36" t="s">
        <v>1158</v>
      </c>
      <c r="C244" s="36" t="s">
        <v>75</v>
      </c>
      <c r="D244" s="36" t="s">
        <v>909</v>
      </c>
      <c r="E244" s="36" t="s">
        <v>79</v>
      </c>
      <c r="F244" s="36" t="s">
        <v>1149</v>
      </c>
      <c r="G244" s="36" t="s">
        <v>921</v>
      </c>
      <c r="H244" s="36" t="s">
        <v>58</v>
      </c>
      <c r="I244" s="36" t="s">
        <v>85</v>
      </c>
      <c r="J244" s="36" t="s">
        <v>1146</v>
      </c>
      <c r="K244" s="1" t="str">
        <f t="shared" si="41"/>
        <v/>
      </c>
      <c r="L244" s="1" t="str">
        <f t="shared" si="44"/>
        <v/>
      </c>
      <c r="M244" s="94">
        <v>239</v>
      </c>
      <c r="N244" s="36" t="s">
        <v>1894</v>
      </c>
      <c r="O244" s="95">
        <v>309946</v>
      </c>
      <c r="P244" s="36"/>
      <c r="Q244" s="110" t="str">
        <f t="shared" si="42"/>
        <v/>
      </c>
      <c r="R244" s="1" t="str">
        <f t="shared" si="43"/>
        <v>Auto</v>
      </c>
      <c r="S244" s="1">
        <f>IF(A244&gt;0,COUNT(A$2:A244),"")</f>
        <v>243</v>
      </c>
      <c r="T244" s="1" t="str">
        <f t="shared" si="34"/>
        <v/>
      </c>
      <c r="U244" s="1" t="str">
        <f t="shared" si="35"/>
        <v/>
      </c>
      <c r="V244" s="111" t="str">
        <f t="shared" si="36"/>
        <v/>
      </c>
      <c r="AA244" s="1">
        <v>30147</v>
      </c>
      <c r="AB244" s="1" t="s">
        <v>46</v>
      </c>
      <c r="AD244" s="1" t="str">
        <f t="shared" si="37"/>
        <v/>
      </c>
      <c r="AI244" s="122">
        <v>47</v>
      </c>
      <c r="AJ244" s="1" t="s">
        <v>1587</v>
      </c>
      <c r="AK244" s="1">
        <v>309639</v>
      </c>
      <c r="AL244" s="1" t="s">
        <v>930</v>
      </c>
      <c r="AN244" s="270">
        <v>338</v>
      </c>
      <c r="AQ244" s="1">
        <v>252</v>
      </c>
      <c r="AR244" s="1" t="s">
        <v>1012</v>
      </c>
      <c r="AS244" s="1">
        <v>256846</v>
      </c>
      <c r="AT244" s="1" t="s">
        <v>930</v>
      </c>
      <c r="AV244" s="241">
        <v>544</v>
      </c>
      <c r="AX244" s="1">
        <f t="shared" si="38"/>
        <v>1</v>
      </c>
      <c r="AY244" s="1" t="str">
        <f>IF(COUNTIF($AX$2:AX244,1)&gt;$AG$1,"",IF(AX244="","",E244))</f>
        <v/>
      </c>
      <c r="BM244" s="138" t="str">
        <f t="shared" si="39"/>
        <v xml:space="preserve">   </v>
      </c>
      <c r="BN244" s="42">
        <f t="shared" si="40"/>
        <v>11389</v>
      </c>
      <c r="BS244" s="1">
        <v>9871</v>
      </c>
      <c r="BT244" s="1" t="s">
        <v>902</v>
      </c>
      <c r="BX244" s="36"/>
    </row>
    <row r="245" spans="1:76" ht="14.25">
      <c r="A245" s="55">
        <v>11390</v>
      </c>
      <c r="B245" s="36" t="s">
        <v>1158</v>
      </c>
      <c r="C245" s="36" t="s">
        <v>75</v>
      </c>
      <c r="D245" s="36" t="s">
        <v>916</v>
      </c>
      <c r="E245" s="36" t="s">
        <v>80</v>
      </c>
      <c r="F245" s="36" t="s">
        <v>1139</v>
      </c>
      <c r="G245" s="36" t="s">
        <v>894</v>
      </c>
      <c r="H245" s="36" t="s">
        <v>58</v>
      </c>
      <c r="I245" s="36" t="s">
        <v>85</v>
      </c>
      <c r="J245" s="36" t="s">
        <v>1146</v>
      </c>
      <c r="K245" s="1" t="str">
        <f t="shared" si="41"/>
        <v/>
      </c>
      <c r="L245" s="1" t="str">
        <f t="shared" si="44"/>
        <v/>
      </c>
      <c r="M245" s="94">
        <v>240</v>
      </c>
      <c r="N245" s="36" t="s">
        <v>1895</v>
      </c>
      <c r="O245" s="95">
        <v>309947</v>
      </c>
      <c r="P245" s="36"/>
      <c r="Q245" s="110" t="str">
        <f t="shared" si="42"/>
        <v/>
      </c>
      <c r="R245" s="1" t="str">
        <f t="shared" si="43"/>
        <v>CVT</v>
      </c>
      <c r="S245" s="1">
        <f>IF(A245&gt;0,COUNT(A$2:A245),"")</f>
        <v>244</v>
      </c>
      <c r="T245" s="1" t="str">
        <f t="shared" si="34"/>
        <v/>
      </c>
      <c r="U245" s="1" t="str">
        <f t="shared" si="35"/>
        <v/>
      </c>
      <c r="V245" s="111" t="str">
        <f t="shared" si="36"/>
        <v/>
      </c>
      <c r="AA245" s="1">
        <v>30148</v>
      </c>
      <c r="AB245" s="1" t="s">
        <v>78</v>
      </c>
      <c r="AD245" s="1" t="str">
        <f t="shared" si="37"/>
        <v/>
      </c>
      <c r="AI245" s="122">
        <v>48</v>
      </c>
      <c r="AJ245" s="1" t="s">
        <v>1588</v>
      </c>
      <c r="AK245" s="1">
        <v>309640</v>
      </c>
      <c r="AL245" s="1" t="s">
        <v>115</v>
      </c>
      <c r="AN245" s="270">
        <v>339</v>
      </c>
      <c r="AQ245" s="1">
        <v>253</v>
      </c>
      <c r="AR245" s="1" t="s">
        <v>1013</v>
      </c>
      <c r="AS245" s="1">
        <v>256847</v>
      </c>
      <c r="AT245" s="1" t="s">
        <v>115</v>
      </c>
      <c r="AV245" s="241">
        <v>545</v>
      </c>
      <c r="AX245" s="1">
        <f t="shared" si="38"/>
        <v>1</v>
      </c>
      <c r="AY245" s="1" t="str">
        <f>IF(COUNTIF($AX$2:AX245,1)&gt;$AG$1,"",IF(AX245="","",E245))</f>
        <v/>
      </c>
      <c r="BM245" s="138" t="str">
        <f t="shared" si="39"/>
        <v xml:space="preserve">   </v>
      </c>
      <c r="BN245" s="42">
        <f t="shared" si="40"/>
        <v>11390</v>
      </c>
      <c r="BS245" s="1">
        <v>9872</v>
      </c>
      <c r="BT245" s="1" t="s">
        <v>902</v>
      </c>
      <c r="BX245" s="36"/>
    </row>
    <row r="246" spans="1:76" ht="14.25">
      <c r="A246" s="55">
        <v>11391</v>
      </c>
      <c r="B246" s="36" t="s">
        <v>82</v>
      </c>
      <c r="C246" s="36" t="s">
        <v>75</v>
      </c>
      <c r="D246" s="36" t="s">
        <v>906</v>
      </c>
      <c r="E246" s="36" t="s">
        <v>20</v>
      </c>
      <c r="F246" s="36" t="s">
        <v>86</v>
      </c>
      <c r="G246" s="36" t="s">
        <v>85</v>
      </c>
      <c r="H246" s="36" t="s">
        <v>58</v>
      </c>
      <c r="I246" s="36" t="s">
        <v>85</v>
      </c>
      <c r="J246" s="36" t="s">
        <v>1146</v>
      </c>
      <c r="K246" s="1" t="str">
        <f t="shared" si="41"/>
        <v/>
      </c>
      <c r="L246" s="1" t="str">
        <f t="shared" si="44"/>
        <v/>
      </c>
      <c r="M246" s="94">
        <v>241</v>
      </c>
      <c r="N246" s="36" t="s">
        <v>1896</v>
      </c>
      <c r="O246" s="95">
        <v>309948</v>
      </c>
      <c r="P246" s="36"/>
      <c r="Q246" s="110" t="str">
        <f t="shared" si="42"/>
        <v>Standard</v>
      </c>
      <c r="R246" s="1" t="str">
        <f t="shared" si="43"/>
        <v/>
      </c>
      <c r="S246" s="1">
        <f>IF(A246&gt;0,COUNT(A$2:A246),"")</f>
        <v>245</v>
      </c>
      <c r="T246" s="1" t="str">
        <f t="shared" si="34"/>
        <v/>
      </c>
      <c r="U246" s="1" t="str">
        <f t="shared" si="35"/>
        <v/>
      </c>
      <c r="V246" s="111" t="str">
        <f t="shared" si="36"/>
        <v/>
      </c>
      <c r="AA246" s="1">
        <v>30149</v>
      </c>
      <c r="AB246" s="1" t="s">
        <v>46</v>
      </c>
      <c r="AD246" s="1" t="str">
        <f t="shared" si="37"/>
        <v/>
      </c>
      <c r="AI246" s="122">
        <v>49</v>
      </c>
      <c r="AJ246" s="1" t="s">
        <v>1589</v>
      </c>
      <c r="AK246" s="1">
        <v>309641</v>
      </c>
      <c r="AL246" s="1" t="s">
        <v>930</v>
      </c>
      <c r="AN246" s="270">
        <v>340</v>
      </c>
      <c r="AQ246" s="1">
        <v>254</v>
      </c>
      <c r="AR246" s="1" t="s">
        <v>1014</v>
      </c>
      <c r="AS246" s="1">
        <v>256848</v>
      </c>
      <c r="AT246" s="1" t="s">
        <v>930</v>
      </c>
      <c r="AV246" s="241">
        <v>546</v>
      </c>
      <c r="AX246" s="1">
        <f t="shared" si="38"/>
        <v>1</v>
      </c>
      <c r="AY246" s="1" t="str">
        <f>IF(COUNTIF($AX$2:AX246,1)&gt;$AG$1,"",IF(AX246="","",E246))</f>
        <v/>
      </c>
      <c r="BM246" s="138" t="str">
        <f t="shared" si="39"/>
        <v xml:space="preserve">   </v>
      </c>
      <c r="BN246" s="42">
        <f t="shared" si="40"/>
        <v>11391</v>
      </c>
      <c r="BS246" s="1">
        <v>9873</v>
      </c>
      <c r="BT246" s="1" t="s">
        <v>902</v>
      </c>
      <c r="BX246" s="36"/>
    </row>
    <row r="247" spans="1:76" ht="14.25">
      <c r="A247" s="55">
        <v>11392</v>
      </c>
      <c r="B247" s="36" t="s">
        <v>1158</v>
      </c>
      <c r="C247" s="36" t="s">
        <v>75</v>
      </c>
      <c r="D247" s="36" t="s">
        <v>916</v>
      </c>
      <c r="E247" s="36" t="s">
        <v>80</v>
      </c>
      <c r="F247" s="36" t="s">
        <v>1139</v>
      </c>
      <c r="G247" s="36" t="s">
        <v>894</v>
      </c>
      <c r="H247" s="36" t="s">
        <v>58</v>
      </c>
      <c r="I247" s="36" t="s">
        <v>85</v>
      </c>
      <c r="J247" s="36" t="s">
        <v>1146</v>
      </c>
      <c r="K247" s="1" t="str">
        <f t="shared" si="41"/>
        <v/>
      </c>
      <c r="L247" s="1" t="str">
        <f t="shared" si="44"/>
        <v/>
      </c>
      <c r="M247" s="94">
        <v>242</v>
      </c>
      <c r="N247" s="36" t="s">
        <v>1897</v>
      </c>
      <c r="O247" s="95">
        <v>309949</v>
      </c>
      <c r="P247" s="36"/>
      <c r="Q247" s="110" t="str">
        <f t="shared" si="42"/>
        <v/>
      </c>
      <c r="R247" s="1" t="str">
        <f t="shared" si="43"/>
        <v>CVT</v>
      </c>
      <c r="S247" s="1">
        <f>IF(A247&gt;0,COUNT(A$2:A247),"")</f>
        <v>246</v>
      </c>
      <c r="T247" s="1" t="str">
        <f t="shared" si="34"/>
        <v/>
      </c>
      <c r="U247" s="1" t="str">
        <f t="shared" si="35"/>
        <v/>
      </c>
      <c r="V247" s="111" t="str">
        <f t="shared" si="36"/>
        <v/>
      </c>
      <c r="AA247" s="1">
        <v>30150</v>
      </c>
      <c r="AB247" s="1" t="s">
        <v>46</v>
      </c>
      <c r="AD247" s="1" t="str">
        <f t="shared" si="37"/>
        <v/>
      </c>
      <c r="AI247" s="122">
        <v>50</v>
      </c>
      <c r="AJ247" s="1" t="s">
        <v>1590</v>
      </c>
      <c r="AK247" s="1">
        <v>309642</v>
      </c>
      <c r="AL247" s="1" t="s">
        <v>115</v>
      </c>
      <c r="AN247" s="270">
        <v>341</v>
      </c>
      <c r="AQ247" s="1">
        <v>255</v>
      </c>
      <c r="AR247" s="1" t="s">
        <v>1015</v>
      </c>
      <c r="AS247" s="1">
        <v>256849</v>
      </c>
      <c r="AT247" s="1" t="s">
        <v>930</v>
      </c>
      <c r="AV247" s="241">
        <v>547</v>
      </c>
      <c r="AX247" s="1">
        <f t="shared" si="38"/>
        <v>1</v>
      </c>
      <c r="AY247" s="1" t="str">
        <f>IF(COUNTIF($AX$2:AX247,1)&gt;$AG$1,"",IF(AX247="","",E247))</f>
        <v/>
      </c>
      <c r="BM247" s="138" t="str">
        <f t="shared" si="39"/>
        <v xml:space="preserve">   </v>
      </c>
      <c r="BN247" s="42">
        <f t="shared" si="40"/>
        <v>11392</v>
      </c>
      <c r="BS247" s="1">
        <v>9874</v>
      </c>
      <c r="BT247" s="1" t="s">
        <v>902</v>
      </c>
      <c r="BX247" s="36"/>
    </row>
    <row r="248" spans="1:76" ht="14.25">
      <c r="A248" s="55">
        <v>11393</v>
      </c>
      <c r="B248" s="36" t="s">
        <v>82</v>
      </c>
      <c r="C248" s="36" t="s">
        <v>75</v>
      </c>
      <c r="D248" s="36" t="s">
        <v>906</v>
      </c>
      <c r="E248" s="36" t="s">
        <v>20</v>
      </c>
      <c r="F248" s="36" t="s">
        <v>90</v>
      </c>
      <c r="G248" s="36" t="s">
        <v>85</v>
      </c>
      <c r="H248" s="36" t="s">
        <v>58</v>
      </c>
      <c r="I248" s="36" t="s">
        <v>85</v>
      </c>
      <c r="J248" s="36" t="s">
        <v>1146</v>
      </c>
      <c r="K248" s="1" t="str">
        <f t="shared" si="41"/>
        <v/>
      </c>
      <c r="L248" s="1" t="str">
        <f t="shared" si="44"/>
        <v/>
      </c>
      <c r="M248" s="94">
        <v>243</v>
      </c>
      <c r="N248" s="36" t="s">
        <v>1898</v>
      </c>
      <c r="O248" s="95">
        <v>309950</v>
      </c>
      <c r="P248" s="36"/>
      <c r="Q248" s="110" t="str">
        <f t="shared" si="42"/>
        <v>Standard</v>
      </c>
      <c r="R248" s="1" t="str">
        <f t="shared" si="43"/>
        <v/>
      </c>
      <c r="S248" s="1">
        <f>IF(A248&gt;0,COUNT(A$2:A248),"")</f>
        <v>247</v>
      </c>
      <c r="T248" s="1" t="str">
        <f t="shared" si="34"/>
        <v/>
      </c>
      <c r="U248" s="1" t="str">
        <f t="shared" si="35"/>
        <v/>
      </c>
      <c r="V248" s="111" t="str">
        <f t="shared" si="36"/>
        <v/>
      </c>
      <c r="AA248" s="1">
        <v>30151</v>
      </c>
      <c r="AB248" s="1" t="s">
        <v>46</v>
      </c>
      <c r="AD248" s="1" t="str">
        <f t="shared" si="37"/>
        <v/>
      </c>
      <c r="AI248" s="122">
        <v>51</v>
      </c>
      <c r="AJ248" s="1" t="s">
        <v>1591</v>
      </c>
      <c r="AK248" s="1">
        <v>309643</v>
      </c>
      <c r="AL248" s="1" t="s">
        <v>930</v>
      </c>
      <c r="AN248" s="270">
        <v>342</v>
      </c>
      <c r="AQ248" s="1">
        <v>256</v>
      </c>
      <c r="AR248" s="1" t="s">
        <v>1016</v>
      </c>
      <c r="AS248" s="1">
        <v>256850</v>
      </c>
      <c r="AT248" s="1" t="s">
        <v>115</v>
      </c>
      <c r="AV248" s="241">
        <v>548</v>
      </c>
      <c r="AX248" s="1">
        <f t="shared" si="38"/>
        <v>1</v>
      </c>
      <c r="AY248" s="1" t="str">
        <f>IF(COUNTIF($AX$2:AX248,1)&gt;$AG$1,"",IF(AX248="","",E248))</f>
        <v/>
      </c>
      <c r="BM248" s="138" t="str">
        <f t="shared" si="39"/>
        <v xml:space="preserve">   </v>
      </c>
      <c r="BN248" s="42">
        <f t="shared" si="40"/>
        <v>11393</v>
      </c>
      <c r="BS248" s="1">
        <v>9875</v>
      </c>
      <c r="BT248" s="1" t="s">
        <v>902</v>
      </c>
      <c r="BX248" s="36"/>
    </row>
    <row r="249" spans="1:76" ht="14.25">
      <c r="A249" s="55">
        <v>11394</v>
      </c>
      <c r="B249" s="36" t="s">
        <v>1158</v>
      </c>
      <c r="C249" s="36" t="s">
        <v>75</v>
      </c>
      <c r="D249" s="36" t="s">
        <v>916</v>
      </c>
      <c r="E249" s="36" t="s">
        <v>1128</v>
      </c>
      <c r="F249" s="36" t="s">
        <v>1154</v>
      </c>
      <c r="G249" s="36" t="s">
        <v>894</v>
      </c>
      <c r="H249" s="36" t="s">
        <v>58</v>
      </c>
      <c r="I249" s="36" t="s">
        <v>85</v>
      </c>
      <c r="J249" s="36" t="s">
        <v>1146</v>
      </c>
      <c r="K249" s="1" t="str">
        <f t="shared" si="41"/>
        <v/>
      </c>
      <c r="L249" s="1" t="str">
        <f t="shared" si="44"/>
        <v/>
      </c>
      <c r="M249" s="94">
        <v>244</v>
      </c>
      <c r="N249" s="36" t="s">
        <v>1899</v>
      </c>
      <c r="O249" s="95">
        <v>309951</v>
      </c>
      <c r="P249" s="36"/>
      <c r="Q249" s="110" t="str">
        <f t="shared" si="42"/>
        <v/>
      </c>
      <c r="R249" s="1" t="str">
        <f t="shared" si="43"/>
        <v>CVT</v>
      </c>
      <c r="S249" s="1">
        <f>IF(A249&gt;0,COUNT(A$2:A249),"")</f>
        <v>248</v>
      </c>
      <c r="T249" s="1" t="str">
        <f t="shared" si="34"/>
        <v/>
      </c>
      <c r="U249" s="1" t="str">
        <f t="shared" si="35"/>
        <v/>
      </c>
      <c r="V249" s="111" t="str">
        <f t="shared" si="36"/>
        <v/>
      </c>
      <c r="AA249" s="1">
        <v>30152</v>
      </c>
      <c r="AB249" s="1" t="s">
        <v>46</v>
      </c>
      <c r="AD249" s="1" t="str">
        <f t="shared" si="37"/>
        <v/>
      </c>
      <c r="AI249" s="122">
        <v>52</v>
      </c>
      <c r="AJ249" s="1" t="s">
        <v>1592</v>
      </c>
      <c r="AK249" s="1">
        <v>309644</v>
      </c>
      <c r="AL249" s="1" t="s">
        <v>930</v>
      </c>
      <c r="AN249" s="270">
        <v>343</v>
      </c>
      <c r="AQ249" s="1">
        <v>257</v>
      </c>
      <c r="AR249" s="1" t="s">
        <v>1017</v>
      </c>
      <c r="AS249" s="1">
        <v>256851</v>
      </c>
      <c r="AT249" s="1" t="s">
        <v>930</v>
      </c>
      <c r="AV249" s="241">
        <v>549</v>
      </c>
      <c r="AX249" s="1">
        <f t="shared" si="38"/>
        <v>1</v>
      </c>
      <c r="AY249" s="1" t="str">
        <f>IF(COUNTIF($AX$2:AX249,1)&gt;$AG$1,"",IF(AX249="","",E249))</f>
        <v/>
      </c>
      <c r="BM249" s="138" t="str">
        <f t="shared" si="39"/>
        <v xml:space="preserve">   </v>
      </c>
      <c r="BN249" s="42">
        <f t="shared" si="40"/>
        <v>11394</v>
      </c>
      <c r="BS249" s="1">
        <v>9876</v>
      </c>
      <c r="BT249" s="1" t="s">
        <v>902</v>
      </c>
      <c r="BX249" s="36"/>
    </row>
    <row r="250" spans="1:76" ht="14.25">
      <c r="A250" s="55">
        <v>11395</v>
      </c>
      <c r="B250" s="36" t="s">
        <v>82</v>
      </c>
      <c r="C250" s="36" t="s">
        <v>75</v>
      </c>
      <c r="D250" s="36" t="s">
        <v>908</v>
      </c>
      <c r="E250" s="36" t="s">
        <v>20</v>
      </c>
      <c r="F250" s="36" t="s">
        <v>84</v>
      </c>
      <c r="G250" s="36" t="s">
        <v>85</v>
      </c>
      <c r="H250" s="36" t="s">
        <v>58</v>
      </c>
      <c r="I250" s="36" t="s">
        <v>85</v>
      </c>
      <c r="J250" s="36" t="s">
        <v>1146</v>
      </c>
      <c r="K250" s="1" t="str">
        <f t="shared" si="41"/>
        <v/>
      </c>
      <c r="L250" s="1" t="str">
        <f t="shared" si="44"/>
        <v/>
      </c>
      <c r="M250" s="94">
        <v>245</v>
      </c>
      <c r="N250" s="36" t="s">
        <v>1900</v>
      </c>
      <c r="O250" s="95">
        <v>309952</v>
      </c>
      <c r="P250" s="36"/>
      <c r="Q250" s="110" t="str">
        <f t="shared" si="42"/>
        <v>Rich</v>
      </c>
      <c r="R250" s="1" t="str">
        <f t="shared" si="43"/>
        <v/>
      </c>
      <c r="S250" s="1">
        <f>IF(A250&gt;0,COUNT(A$2:A250),"")</f>
        <v>249</v>
      </c>
      <c r="T250" s="1" t="str">
        <f t="shared" si="34"/>
        <v/>
      </c>
      <c r="U250" s="1" t="str">
        <f t="shared" si="35"/>
        <v/>
      </c>
      <c r="V250" s="111" t="str">
        <f t="shared" si="36"/>
        <v/>
      </c>
      <c r="AA250" s="1">
        <v>30153</v>
      </c>
      <c r="AB250" s="1" t="s">
        <v>78</v>
      </c>
      <c r="AD250" s="1" t="str">
        <f t="shared" si="37"/>
        <v/>
      </c>
      <c r="AI250" s="122">
        <v>53</v>
      </c>
      <c r="AJ250" s="1" t="s">
        <v>1593</v>
      </c>
      <c r="AK250" s="1">
        <v>309645</v>
      </c>
      <c r="AL250" s="1" t="s">
        <v>115</v>
      </c>
      <c r="AN250" s="270">
        <v>344</v>
      </c>
      <c r="AQ250" s="1">
        <v>258</v>
      </c>
      <c r="AR250" s="1" t="s">
        <v>1018</v>
      </c>
      <c r="AS250" s="1">
        <v>256852</v>
      </c>
      <c r="AT250" s="1" t="s">
        <v>115</v>
      </c>
      <c r="AV250" s="241">
        <v>550</v>
      </c>
      <c r="AX250" s="1">
        <f t="shared" si="38"/>
        <v>1</v>
      </c>
      <c r="AY250" s="1" t="str">
        <f>IF(COUNTIF($AX$2:AX250,1)&gt;$AG$1,"",IF(AX250="","",E250))</f>
        <v/>
      </c>
      <c r="BM250" s="138" t="str">
        <f t="shared" si="39"/>
        <v xml:space="preserve">   </v>
      </c>
      <c r="BN250" s="42">
        <f t="shared" si="40"/>
        <v>11395</v>
      </c>
      <c r="BS250" s="1">
        <v>9877</v>
      </c>
      <c r="BT250" s="1" t="s">
        <v>902</v>
      </c>
      <c r="BX250" s="36"/>
    </row>
    <row r="251" spans="1:76" ht="14.25">
      <c r="A251" s="55">
        <v>11396</v>
      </c>
      <c r="B251" s="36" t="s">
        <v>1158</v>
      </c>
      <c r="C251" s="36" t="s">
        <v>75</v>
      </c>
      <c r="D251" s="36" t="s">
        <v>911</v>
      </c>
      <c r="E251" s="36" t="s">
        <v>21</v>
      </c>
      <c r="F251" s="36" t="s">
        <v>202</v>
      </c>
      <c r="G251" s="36" t="s">
        <v>922</v>
      </c>
      <c r="H251" s="36" t="s">
        <v>58</v>
      </c>
      <c r="I251" s="36" t="s">
        <v>85</v>
      </c>
      <c r="J251" s="36" t="s">
        <v>1146</v>
      </c>
      <c r="K251" s="1" t="str">
        <f t="shared" si="41"/>
        <v/>
      </c>
      <c r="L251" s="1" t="str">
        <f t="shared" si="44"/>
        <v/>
      </c>
      <c r="M251" s="94">
        <v>246</v>
      </c>
      <c r="N251" s="36" t="s">
        <v>1901</v>
      </c>
      <c r="O251" s="95">
        <v>309953</v>
      </c>
      <c r="P251" s="36"/>
      <c r="Q251" s="110" t="str">
        <f t="shared" si="42"/>
        <v/>
      </c>
      <c r="R251" s="1" t="str">
        <f t="shared" si="43"/>
        <v>Mech</v>
      </c>
      <c r="S251" s="1">
        <f>IF(A251&gt;0,COUNT(A$2:A251),"")</f>
        <v>250</v>
      </c>
      <c r="T251" s="1" t="str">
        <f t="shared" si="34"/>
        <v/>
      </c>
      <c r="U251" s="1" t="str">
        <f t="shared" si="35"/>
        <v/>
      </c>
      <c r="V251" s="111" t="str">
        <f t="shared" si="36"/>
        <v/>
      </c>
      <c r="AA251" s="1">
        <v>30154</v>
      </c>
      <c r="AB251" s="1" t="s">
        <v>78</v>
      </c>
      <c r="AD251" s="1" t="str">
        <f t="shared" si="37"/>
        <v/>
      </c>
      <c r="AI251" s="122">
        <v>54</v>
      </c>
      <c r="AJ251" s="1" t="s">
        <v>1594</v>
      </c>
      <c r="AK251" s="1">
        <v>309646</v>
      </c>
      <c r="AL251" s="1" t="s">
        <v>930</v>
      </c>
      <c r="AN251" s="270">
        <v>345</v>
      </c>
      <c r="AQ251" s="1">
        <v>259</v>
      </c>
      <c r="AR251" s="1" t="s">
        <v>1019</v>
      </c>
      <c r="AS251" s="1">
        <v>256853</v>
      </c>
      <c r="AT251" s="1" t="s">
        <v>930</v>
      </c>
      <c r="AV251" s="241">
        <v>551</v>
      </c>
      <c r="AX251" s="1">
        <f t="shared" si="38"/>
        <v>1</v>
      </c>
      <c r="AY251" s="1" t="str">
        <f>IF(COUNTIF($AX$2:AX251,1)&gt;$AG$1,"",IF(AX251="","",E251))</f>
        <v/>
      </c>
      <c r="BM251" s="138" t="str">
        <f t="shared" si="39"/>
        <v xml:space="preserve">   </v>
      </c>
      <c r="BN251" s="42">
        <f t="shared" si="40"/>
        <v>11396</v>
      </c>
      <c r="BS251" s="1">
        <v>9878</v>
      </c>
      <c r="BT251" s="1" t="s">
        <v>902</v>
      </c>
      <c r="BX251" s="36"/>
    </row>
    <row r="252" spans="1:76" ht="14.25">
      <c r="A252" s="55">
        <v>11397</v>
      </c>
      <c r="B252" s="36" t="s">
        <v>1158</v>
      </c>
      <c r="C252" s="36" t="s">
        <v>75</v>
      </c>
      <c r="D252" s="36" t="s">
        <v>916</v>
      </c>
      <c r="E252" s="36" t="s">
        <v>1128</v>
      </c>
      <c r="F252" s="36" t="s">
        <v>1154</v>
      </c>
      <c r="G252" s="36" t="s">
        <v>894</v>
      </c>
      <c r="H252" s="36" t="s">
        <v>58</v>
      </c>
      <c r="I252" s="36" t="s">
        <v>85</v>
      </c>
      <c r="J252" s="36" t="s">
        <v>1146</v>
      </c>
      <c r="K252" s="1" t="str">
        <f t="shared" si="41"/>
        <v/>
      </c>
      <c r="L252" s="1" t="str">
        <f t="shared" si="44"/>
        <v/>
      </c>
      <c r="M252" s="94">
        <v>247</v>
      </c>
      <c r="N252" s="36" t="s">
        <v>1902</v>
      </c>
      <c r="O252" s="95">
        <v>309954</v>
      </c>
      <c r="P252" s="36"/>
      <c r="Q252" s="110" t="str">
        <f t="shared" si="42"/>
        <v/>
      </c>
      <c r="R252" s="1" t="str">
        <f t="shared" si="43"/>
        <v>CVT</v>
      </c>
      <c r="S252" s="1">
        <f>IF(A252&gt;0,COUNT(A$2:A252),"")</f>
        <v>251</v>
      </c>
      <c r="T252" s="1" t="str">
        <f t="shared" si="34"/>
        <v/>
      </c>
      <c r="U252" s="1" t="str">
        <f t="shared" si="35"/>
        <v/>
      </c>
      <c r="V252" s="111" t="str">
        <f t="shared" si="36"/>
        <v/>
      </c>
      <c r="AA252" s="1">
        <v>30155</v>
      </c>
      <c r="AB252" s="1" t="s">
        <v>78</v>
      </c>
      <c r="AD252" s="1" t="str">
        <f t="shared" si="37"/>
        <v/>
      </c>
      <c r="AI252" s="122">
        <v>55</v>
      </c>
      <c r="AJ252" s="1" t="s">
        <v>1595</v>
      </c>
      <c r="AK252" s="1">
        <v>309647</v>
      </c>
      <c r="AL252" s="1" t="s">
        <v>115</v>
      </c>
      <c r="AN252" s="270">
        <v>346</v>
      </c>
      <c r="AQ252" s="1">
        <v>260</v>
      </c>
      <c r="AR252" s="1" t="s">
        <v>1020</v>
      </c>
      <c r="AS252" s="1">
        <v>256854</v>
      </c>
      <c r="AT252" s="1" t="s">
        <v>930</v>
      </c>
      <c r="AV252" s="241">
        <v>552</v>
      </c>
      <c r="AX252" s="1">
        <f t="shared" si="38"/>
        <v>1</v>
      </c>
      <c r="AY252" s="1" t="str">
        <f>IF(COUNTIF($AX$2:AX252,1)&gt;$AG$1,"",IF(AX252="","",E252))</f>
        <v/>
      </c>
      <c r="BM252" s="138" t="str">
        <f t="shared" si="39"/>
        <v xml:space="preserve">   </v>
      </c>
      <c r="BN252" s="42">
        <f t="shared" si="40"/>
        <v>11397</v>
      </c>
      <c r="BS252" s="1">
        <v>9879</v>
      </c>
      <c r="BT252" s="1" t="s">
        <v>902</v>
      </c>
      <c r="BX252" s="36"/>
    </row>
    <row r="253" spans="1:76" ht="14.25">
      <c r="A253" s="55">
        <v>11398</v>
      </c>
      <c r="B253" s="36" t="s">
        <v>82</v>
      </c>
      <c r="C253" s="36" t="s">
        <v>75</v>
      </c>
      <c r="D253" s="36" t="s">
        <v>906</v>
      </c>
      <c r="E253" s="36" t="s">
        <v>80</v>
      </c>
      <c r="F253" s="36" t="s">
        <v>86</v>
      </c>
      <c r="G253" s="36" t="s">
        <v>85</v>
      </c>
      <c r="H253" s="36" t="s">
        <v>58</v>
      </c>
      <c r="I253" s="36" t="s">
        <v>85</v>
      </c>
      <c r="J253" s="36" t="s">
        <v>1146</v>
      </c>
      <c r="K253" s="1" t="str">
        <f t="shared" si="41"/>
        <v/>
      </c>
      <c r="L253" s="1" t="str">
        <f t="shared" si="44"/>
        <v/>
      </c>
      <c r="M253" s="94">
        <v>248</v>
      </c>
      <c r="N253" s="36" t="s">
        <v>1903</v>
      </c>
      <c r="O253" s="95">
        <v>309955</v>
      </c>
      <c r="P253" s="36"/>
      <c r="Q253" s="110" t="str">
        <f t="shared" si="42"/>
        <v>Standard</v>
      </c>
      <c r="R253" s="1" t="str">
        <f t="shared" si="43"/>
        <v/>
      </c>
      <c r="S253" s="1">
        <f>IF(A253&gt;0,COUNT(A$2:A253),"")</f>
        <v>252</v>
      </c>
      <c r="T253" s="1" t="str">
        <f t="shared" si="34"/>
        <v/>
      </c>
      <c r="U253" s="1" t="str">
        <f t="shared" si="35"/>
        <v/>
      </c>
      <c r="V253" s="111" t="str">
        <f t="shared" si="36"/>
        <v/>
      </c>
      <c r="AA253" s="1">
        <v>30156</v>
      </c>
      <c r="AB253" s="1" t="s">
        <v>78</v>
      </c>
      <c r="AD253" s="1" t="str">
        <f t="shared" si="37"/>
        <v/>
      </c>
      <c r="AI253" s="122">
        <v>56</v>
      </c>
      <c r="AJ253" s="1" t="s">
        <v>1596</v>
      </c>
      <c r="AK253" s="1">
        <v>309648</v>
      </c>
      <c r="AL253" s="1" t="s">
        <v>930</v>
      </c>
      <c r="AN253" s="270">
        <v>347</v>
      </c>
      <c r="AQ253" s="1">
        <v>261</v>
      </c>
      <c r="AR253" s="1" t="s">
        <v>1021</v>
      </c>
      <c r="AS253" s="1">
        <v>256855</v>
      </c>
      <c r="AT253" s="1" t="s">
        <v>115</v>
      </c>
      <c r="AV253" s="241">
        <v>553</v>
      </c>
      <c r="AX253" s="1">
        <f t="shared" si="38"/>
        <v>1</v>
      </c>
      <c r="AY253" s="1" t="str">
        <f>IF(COUNTIF($AX$2:AX253,1)&gt;$AG$1,"",IF(AX253="","",E253))</f>
        <v/>
      </c>
      <c r="BM253" s="138" t="str">
        <f t="shared" si="39"/>
        <v xml:space="preserve">   </v>
      </c>
      <c r="BN253" s="42">
        <f t="shared" si="40"/>
        <v>11398</v>
      </c>
      <c r="BS253" s="1">
        <v>9880</v>
      </c>
      <c r="BT253" s="1" t="s">
        <v>902</v>
      </c>
      <c r="BX253" s="36"/>
    </row>
    <row r="254" spans="1:76" ht="14.25">
      <c r="A254" s="55">
        <v>11399</v>
      </c>
      <c r="B254" s="36" t="s">
        <v>1158</v>
      </c>
      <c r="C254" s="36" t="s">
        <v>75</v>
      </c>
      <c r="D254" s="36" t="s">
        <v>916</v>
      </c>
      <c r="E254" s="36" t="s">
        <v>1128</v>
      </c>
      <c r="F254" s="36" t="s">
        <v>1164</v>
      </c>
      <c r="G254" s="36" t="s">
        <v>894</v>
      </c>
      <c r="H254" s="36" t="s">
        <v>58</v>
      </c>
      <c r="I254" s="36" t="s">
        <v>85</v>
      </c>
      <c r="J254" s="36" t="s">
        <v>1146</v>
      </c>
      <c r="K254" s="1" t="str">
        <f t="shared" si="41"/>
        <v/>
      </c>
      <c r="L254" s="1" t="str">
        <f t="shared" si="44"/>
        <v/>
      </c>
      <c r="M254" s="94">
        <v>249</v>
      </c>
      <c r="N254" s="36" t="s">
        <v>1904</v>
      </c>
      <c r="O254" s="95">
        <v>309956</v>
      </c>
      <c r="P254" s="36"/>
      <c r="Q254" s="110" t="str">
        <f t="shared" si="42"/>
        <v/>
      </c>
      <c r="R254" s="1" t="str">
        <f t="shared" si="43"/>
        <v>CVT</v>
      </c>
      <c r="S254" s="1">
        <f>IF(A254&gt;0,COUNT(A$2:A254),"")</f>
        <v>253</v>
      </c>
      <c r="T254" s="1" t="str">
        <f t="shared" si="34"/>
        <v/>
      </c>
      <c r="U254" s="1" t="str">
        <f t="shared" si="35"/>
        <v/>
      </c>
      <c r="V254" s="111" t="str">
        <f t="shared" si="36"/>
        <v/>
      </c>
      <c r="AA254" s="1">
        <v>30157</v>
      </c>
      <c r="AB254" s="1" t="s">
        <v>78</v>
      </c>
      <c r="AD254" s="1" t="str">
        <f t="shared" si="37"/>
        <v/>
      </c>
      <c r="AI254" s="122">
        <v>57</v>
      </c>
      <c r="AJ254" s="1" t="s">
        <v>1597</v>
      </c>
      <c r="AK254" s="1">
        <v>309649</v>
      </c>
      <c r="AL254" s="1" t="s">
        <v>115</v>
      </c>
      <c r="AN254" s="270">
        <v>348</v>
      </c>
      <c r="AQ254" s="1">
        <v>262</v>
      </c>
      <c r="AR254" s="1" t="s">
        <v>1022</v>
      </c>
      <c r="AS254" s="1">
        <v>256856</v>
      </c>
      <c r="AT254" s="1" t="s">
        <v>930</v>
      </c>
      <c r="AV254" s="241">
        <v>554</v>
      </c>
      <c r="AX254" s="1">
        <f t="shared" si="38"/>
        <v>1</v>
      </c>
      <c r="AY254" s="1" t="str">
        <f>IF(COUNTIF($AX$2:AX254,1)&gt;$AG$1,"",IF(AX254="","",E254))</f>
        <v/>
      </c>
      <c r="BM254" s="138" t="str">
        <f t="shared" si="39"/>
        <v xml:space="preserve">   </v>
      </c>
      <c r="BN254" s="42">
        <f t="shared" si="40"/>
        <v>11399</v>
      </c>
      <c r="BS254" s="1">
        <v>9881</v>
      </c>
      <c r="BT254" s="1" t="s">
        <v>902</v>
      </c>
      <c r="BX254" s="36"/>
    </row>
    <row r="255" spans="1:76" ht="14.25">
      <c r="A255" s="55">
        <v>11400</v>
      </c>
      <c r="B255" s="36" t="s">
        <v>82</v>
      </c>
      <c r="C255" s="36" t="s">
        <v>75</v>
      </c>
      <c r="D255" s="36" t="s">
        <v>906</v>
      </c>
      <c r="E255" s="36" t="s">
        <v>20</v>
      </c>
      <c r="F255" s="36" t="s">
        <v>1148</v>
      </c>
      <c r="G255" s="36" t="s">
        <v>85</v>
      </c>
      <c r="H255" s="36" t="s">
        <v>58</v>
      </c>
      <c r="I255" s="36" t="s">
        <v>85</v>
      </c>
      <c r="J255" s="36" t="s">
        <v>1146</v>
      </c>
      <c r="K255" s="1" t="str">
        <f t="shared" si="41"/>
        <v/>
      </c>
      <c r="L255" s="1" t="str">
        <f t="shared" si="44"/>
        <v/>
      </c>
      <c r="M255" s="94">
        <v>250</v>
      </c>
      <c r="N255" s="36" t="s">
        <v>1905</v>
      </c>
      <c r="O255" s="95">
        <v>309957</v>
      </c>
      <c r="P255" s="36"/>
      <c r="Q255" s="110" t="str">
        <f t="shared" si="42"/>
        <v>Standard</v>
      </c>
      <c r="R255" s="1" t="str">
        <f t="shared" si="43"/>
        <v/>
      </c>
      <c r="S255" s="1">
        <f>IF(A255&gt;0,COUNT(A$2:A255),"")</f>
        <v>254</v>
      </c>
      <c r="T255" s="1" t="str">
        <f t="shared" si="34"/>
        <v/>
      </c>
      <c r="U255" s="1" t="str">
        <f t="shared" si="35"/>
        <v/>
      </c>
      <c r="V255" s="111" t="str">
        <f t="shared" si="36"/>
        <v/>
      </c>
      <c r="AA255" s="1">
        <v>30158</v>
      </c>
      <c r="AB255" s="1" t="s">
        <v>78</v>
      </c>
      <c r="AD255" s="1" t="str">
        <f t="shared" si="37"/>
        <v/>
      </c>
      <c r="AI255" s="122">
        <v>58</v>
      </c>
      <c r="AJ255" s="1" t="s">
        <v>1598</v>
      </c>
      <c r="AK255" s="1">
        <v>309650</v>
      </c>
      <c r="AL255" s="1" t="s">
        <v>930</v>
      </c>
      <c r="AN255" s="270">
        <v>349</v>
      </c>
      <c r="AQ255" s="1">
        <v>263</v>
      </c>
      <c r="AR255" s="1" t="s">
        <v>1023</v>
      </c>
      <c r="AS255" s="1">
        <v>256857</v>
      </c>
      <c r="AT255" s="1" t="s">
        <v>115</v>
      </c>
      <c r="AV255" s="241">
        <v>555</v>
      </c>
      <c r="AX255" s="1">
        <f t="shared" si="38"/>
        <v>1</v>
      </c>
      <c r="AY255" s="1" t="str">
        <f>IF(COUNTIF($AX$2:AX255,1)&gt;$AG$1,"",IF(AX255="","",E255))</f>
        <v/>
      </c>
      <c r="BM255" s="138" t="str">
        <f t="shared" si="39"/>
        <v xml:space="preserve">   </v>
      </c>
      <c r="BN255" s="42">
        <f t="shared" si="40"/>
        <v>11400</v>
      </c>
      <c r="BS255" s="1">
        <v>9882</v>
      </c>
      <c r="BT255" s="1" t="s">
        <v>902</v>
      </c>
      <c r="BX255" s="36"/>
    </row>
    <row r="256" spans="1:76" ht="14.25">
      <c r="A256" s="55">
        <v>11401</v>
      </c>
      <c r="B256" s="36" t="s">
        <v>1158</v>
      </c>
      <c r="C256" s="36" t="s">
        <v>75</v>
      </c>
      <c r="D256" s="36" t="s">
        <v>909</v>
      </c>
      <c r="E256" s="36" t="s">
        <v>80</v>
      </c>
      <c r="F256" s="36" t="s">
        <v>903</v>
      </c>
      <c r="G256" s="36" t="s">
        <v>921</v>
      </c>
      <c r="H256" s="36" t="s">
        <v>58</v>
      </c>
      <c r="I256" s="36" t="s">
        <v>85</v>
      </c>
      <c r="J256" s="36" t="s">
        <v>1146</v>
      </c>
      <c r="K256" s="1" t="str">
        <f t="shared" si="41"/>
        <v/>
      </c>
      <c r="L256" s="1" t="str">
        <f t="shared" si="44"/>
        <v/>
      </c>
      <c r="M256" s="94">
        <v>251</v>
      </c>
      <c r="N256" s="36" t="s">
        <v>1906</v>
      </c>
      <c r="O256" s="95">
        <v>309958</v>
      </c>
      <c r="P256" s="36"/>
      <c r="Q256" s="110" t="str">
        <f t="shared" si="42"/>
        <v/>
      </c>
      <c r="R256" s="1" t="str">
        <f t="shared" si="43"/>
        <v>Auto</v>
      </c>
      <c r="S256" s="1">
        <f>IF(A256&gt;0,COUNT(A$2:A256),"")</f>
        <v>255</v>
      </c>
      <c r="T256" s="1" t="str">
        <f t="shared" si="34"/>
        <v/>
      </c>
      <c r="U256" s="1" t="str">
        <f t="shared" si="35"/>
        <v/>
      </c>
      <c r="V256" s="111" t="str">
        <f t="shared" si="36"/>
        <v/>
      </c>
      <c r="AA256" s="1">
        <v>30159</v>
      </c>
      <c r="AB256" s="1" t="s">
        <v>78</v>
      </c>
      <c r="AD256" s="1" t="str">
        <f t="shared" si="37"/>
        <v/>
      </c>
      <c r="AI256" s="122">
        <v>59</v>
      </c>
      <c r="AJ256" s="1" t="s">
        <v>1599</v>
      </c>
      <c r="AK256" s="1">
        <v>309651</v>
      </c>
      <c r="AL256" s="1" t="s">
        <v>930</v>
      </c>
      <c r="AN256" s="270">
        <v>350</v>
      </c>
      <c r="AQ256" s="1">
        <v>264</v>
      </c>
      <c r="AR256" s="1" t="s">
        <v>1024</v>
      </c>
      <c r="AS256" s="1">
        <v>256858</v>
      </c>
      <c r="AT256" s="1" t="s">
        <v>930</v>
      </c>
      <c r="AV256" s="241">
        <v>556</v>
      </c>
      <c r="AX256" s="1">
        <f t="shared" si="38"/>
        <v>1</v>
      </c>
      <c r="AY256" s="1" t="str">
        <f>IF(COUNTIF($AX$2:AX256,1)&gt;$AG$1,"",IF(AX256="","",E256))</f>
        <v/>
      </c>
      <c r="BM256" s="138" t="str">
        <f t="shared" si="39"/>
        <v xml:space="preserve">   </v>
      </c>
      <c r="BN256" s="42">
        <f t="shared" si="40"/>
        <v>11401</v>
      </c>
      <c r="BS256" s="1">
        <v>9883</v>
      </c>
      <c r="BT256" s="1" t="s">
        <v>902</v>
      </c>
      <c r="BX256" s="36"/>
    </row>
    <row r="257" spans="1:76" ht="14.25">
      <c r="A257" s="55">
        <v>11402</v>
      </c>
      <c r="B257" s="36" t="s">
        <v>82</v>
      </c>
      <c r="C257" s="36" t="s">
        <v>75</v>
      </c>
      <c r="D257" s="36" t="s">
        <v>906</v>
      </c>
      <c r="E257" s="36" t="s">
        <v>20</v>
      </c>
      <c r="F257" s="36" t="s">
        <v>87</v>
      </c>
      <c r="G257" s="36" t="s">
        <v>85</v>
      </c>
      <c r="H257" s="36" t="s">
        <v>58</v>
      </c>
      <c r="I257" s="36" t="s">
        <v>85</v>
      </c>
      <c r="J257" s="36" t="s">
        <v>1146</v>
      </c>
      <c r="K257" s="1" t="str">
        <f t="shared" si="41"/>
        <v/>
      </c>
      <c r="L257" s="1" t="str">
        <f t="shared" si="44"/>
        <v/>
      </c>
      <c r="M257" s="94">
        <v>252</v>
      </c>
      <c r="N257" s="36" t="s">
        <v>1907</v>
      </c>
      <c r="O257" s="95">
        <v>309959</v>
      </c>
      <c r="P257" s="36"/>
      <c r="Q257" s="110" t="str">
        <f t="shared" si="42"/>
        <v>Standard</v>
      </c>
      <c r="R257" s="1" t="str">
        <f t="shared" si="43"/>
        <v/>
      </c>
      <c r="S257" s="1">
        <f>IF(A257&gt;0,COUNT(A$2:A257),"")</f>
        <v>256</v>
      </c>
      <c r="T257" s="1" t="str">
        <f t="shared" si="34"/>
        <v/>
      </c>
      <c r="U257" s="1" t="str">
        <f t="shared" si="35"/>
        <v/>
      </c>
      <c r="V257" s="111" t="str">
        <f t="shared" si="36"/>
        <v/>
      </c>
      <c r="AA257" s="1">
        <v>30160</v>
      </c>
      <c r="AB257" s="1" t="s">
        <v>78</v>
      </c>
      <c r="AD257" s="1" t="str">
        <f t="shared" si="37"/>
        <v/>
      </c>
      <c r="AI257" s="122">
        <v>60</v>
      </c>
      <c r="AJ257" s="1" t="s">
        <v>1600</v>
      </c>
      <c r="AK257" s="1">
        <v>309652</v>
      </c>
      <c r="AL257" s="1" t="s">
        <v>115</v>
      </c>
      <c r="AN257" s="270">
        <v>351</v>
      </c>
      <c r="AQ257" s="1">
        <v>265</v>
      </c>
      <c r="AR257" s="1" t="s">
        <v>1025</v>
      </c>
      <c r="AS257" s="1">
        <v>256859</v>
      </c>
      <c r="AT257" s="1" t="s">
        <v>930</v>
      </c>
      <c r="AV257" s="241">
        <v>557</v>
      </c>
      <c r="AX257" s="1">
        <f t="shared" si="38"/>
        <v>1</v>
      </c>
      <c r="AY257" s="1" t="str">
        <f>IF(COUNTIF($AX$2:AX257,1)&gt;$AG$1,"",IF(AX257="","",E257))</f>
        <v/>
      </c>
      <c r="BM257" s="138" t="str">
        <f t="shared" si="39"/>
        <v xml:space="preserve">   </v>
      </c>
      <c r="BN257" s="42">
        <f t="shared" si="40"/>
        <v>11402</v>
      </c>
      <c r="BS257" s="1">
        <v>9884</v>
      </c>
      <c r="BT257" s="1" t="s">
        <v>902</v>
      </c>
      <c r="BX257" s="36"/>
    </row>
    <row r="258" spans="1:76" ht="14.25">
      <c r="A258" s="55">
        <v>11403</v>
      </c>
      <c r="B258" s="36" t="s">
        <v>1158</v>
      </c>
      <c r="C258" s="36" t="s">
        <v>75</v>
      </c>
      <c r="D258" s="36" t="s">
        <v>909</v>
      </c>
      <c r="E258" s="36" t="s">
        <v>80</v>
      </c>
      <c r="F258" s="36" t="s">
        <v>903</v>
      </c>
      <c r="G258" s="36" t="s">
        <v>921</v>
      </c>
      <c r="H258" s="36" t="s">
        <v>58</v>
      </c>
      <c r="I258" s="36" t="s">
        <v>85</v>
      </c>
      <c r="J258" s="36" t="s">
        <v>1146</v>
      </c>
      <c r="K258" s="1" t="str">
        <f t="shared" si="41"/>
        <v/>
      </c>
      <c r="L258" s="1" t="str">
        <f t="shared" si="44"/>
        <v/>
      </c>
      <c r="M258" s="94">
        <v>253</v>
      </c>
      <c r="N258" s="36" t="s">
        <v>1908</v>
      </c>
      <c r="O258" s="95">
        <v>309960</v>
      </c>
      <c r="P258" s="36"/>
      <c r="Q258" s="110" t="str">
        <f t="shared" si="42"/>
        <v/>
      </c>
      <c r="R258" s="1" t="str">
        <f t="shared" si="43"/>
        <v>Auto</v>
      </c>
      <c r="S258" s="1">
        <f>IF(A258&gt;0,COUNT(A$2:A258),"")</f>
        <v>257</v>
      </c>
      <c r="T258" s="1" t="str">
        <f t="shared" ref="T258:T321" si="45">IF(S258&gt;$AG$1,"",IF(S258&gt;0,D258,""))</f>
        <v/>
      </c>
      <c r="U258" s="1" t="str">
        <f t="shared" ref="U258:U321" si="46">IF(S258&gt;$AG$1,"",IF(S258&gt;0,G258,""))</f>
        <v/>
      </c>
      <c r="V258" s="111" t="str">
        <f t="shared" ref="V258:V321" si="47">IF(S258&gt;$AG$1,"",IF(AND(H258="Z",F258&lt;&gt;"BO"),"Special",""))</f>
        <v/>
      </c>
      <c r="AA258" s="1">
        <v>30161</v>
      </c>
      <c r="AB258" s="1" t="s">
        <v>78</v>
      </c>
      <c r="AD258" s="1" t="str">
        <f t="shared" ref="AD258:AD322" si="48">IF(AND(C258&lt;&gt;"B0",C258&lt;&gt;"B1"),B258,"")</f>
        <v/>
      </c>
      <c r="AI258" s="122">
        <v>61</v>
      </c>
      <c r="AJ258" s="1" t="s">
        <v>1601</v>
      </c>
      <c r="AK258" s="1">
        <v>309653</v>
      </c>
      <c r="AL258" s="1" t="s">
        <v>930</v>
      </c>
      <c r="AN258" s="270">
        <v>352</v>
      </c>
      <c r="AQ258" s="1">
        <v>266</v>
      </c>
      <c r="AR258" s="1" t="s">
        <v>1026</v>
      </c>
      <c r="AS258" s="1">
        <v>256860</v>
      </c>
      <c r="AT258" s="1" t="s">
        <v>115</v>
      </c>
      <c r="AV258" s="241">
        <v>558</v>
      </c>
      <c r="AX258" s="1">
        <f t="shared" ref="AX258:AX321" si="49">IF(AND(C258&lt;&gt;"A0",C258&lt;&gt;"P9"),1,"")</f>
        <v>1</v>
      </c>
      <c r="AY258" s="1" t="str">
        <f>IF(COUNTIF($AX$2:AX258,1)&gt;$AG$1,"",IF(AX258="","",E258))</f>
        <v/>
      </c>
      <c r="BM258" s="138" t="str">
        <f t="shared" ref="BM258:BM321" si="50">I258</f>
        <v xml:space="preserve">   </v>
      </c>
      <c r="BN258" s="42">
        <f t="shared" ref="BN258:BN321" si="51">A258</f>
        <v>11403</v>
      </c>
      <c r="BS258" s="1">
        <v>9885</v>
      </c>
      <c r="BT258" s="1" t="s">
        <v>902</v>
      </c>
      <c r="BX258" s="36"/>
    </row>
    <row r="259" spans="1:76" ht="14.25">
      <c r="A259" s="55">
        <v>11404</v>
      </c>
      <c r="B259" s="36" t="s">
        <v>82</v>
      </c>
      <c r="C259" s="36" t="s">
        <v>75</v>
      </c>
      <c r="D259" s="36" t="s">
        <v>906</v>
      </c>
      <c r="E259" s="36" t="s">
        <v>20</v>
      </c>
      <c r="F259" s="36" t="s">
        <v>88</v>
      </c>
      <c r="G259" s="36" t="s">
        <v>85</v>
      </c>
      <c r="H259" s="36" t="s">
        <v>58</v>
      </c>
      <c r="I259" s="36" t="s">
        <v>85</v>
      </c>
      <c r="J259" s="36" t="s">
        <v>1146</v>
      </c>
      <c r="K259" s="1" t="str">
        <f t="shared" ref="K259:K322" si="52">IF(B259="722W","",IF(OR(C259="B1",C259="B9",C259="W1",C259="W2",C259="U9"),IF(MAX($A$2:$A$400)-A259&gt;10000,A259+100000,A259),""))</f>
        <v/>
      </c>
      <c r="L259" s="1" t="str">
        <f t="shared" si="44"/>
        <v/>
      </c>
      <c r="M259" s="94">
        <v>254</v>
      </c>
      <c r="N259" s="36" t="s">
        <v>1909</v>
      </c>
      <c r="O259" s="95">
        <v>309961</v>
      </c>
      <c r="P259" s="36"/>
      <c r="Q259" s="110" t="str">
        <f t="shared" ref="Q259:Q322" si="53">IF(B259="664W",IF(OR(F259="C5",F259="C6",F259="Z3"),"Rich",IF(OR(F259="S2",F259="S1"),"Sport","Standard")),"")</f>
        <v>Standard</v>
      </c>
      <c r="R259" s="1" t="str">
        <f t="shared" ref="R259:R322" si="54">IF(OR(G259="   ",G259=""),"",IF(G259="CVT","CVT",IF(G259="6MT","Mech","Auto")))</f>
        <v/>
      </c>
      <c r="S259" s="1">
        <f>IF(A259&gt;0,COUNT(A$2:A259),"")</f>
        <v>258</v>
      </c>
      <c r="T259" s="1" t="str">
        <f t="shared" si="45"/>
        <v/>
      </c>
      <c r="U259" s="1" t="str">
        <f t="shared" si="46"/>
        <v/>
      </c>
      <c r="V259" s="111" t="str">
        <f t="shared" si="47"/>
        <v/>
      </c>
      <c r="AA259" s="1">
        <v>30162</v>
      </c>
      <c r="AB259" s="1" t="s">
        <v>78</v>
      </c>
      <c r="AD259" s="1" t="str">
        <f t="shared" si="48"/>
        <v/>
      </c>
      <c r="AI259" s="122">
        <v>62</v>
      </c>
      <c r="AJ259" s="1" t="s">
        <v>1602</v>
      </c>
      <c r="AK259" s="1">
        <v>309654</v>
      </c>
      <c r="AL259" s="1" t="s">
        <v>115</v>
      </c>
      <c r="AN259" s="270">
        <v>353</v>
      </c>
      <c r="AQ259" s="1">
        <v>267</v>
      </c>
      <c r="AR259" s="1" t="s">
        <v>1027</v>
      </c>
      <c r="AS259" s="1">
        <v>256861</v>
      </c>
      <c r="AT259" s="1" t="s">
        <v>930</v>
      </c>
      <c r="AV259" s="241">
        <v>559</v>
      </c>
      <c r="AX259" s="1">
        <f t="shared" si="49"/>
        <v>1</v>
      </c>
      <c r="AY259" s="1" t="str">
        <f>IF(COUNTIF($AX$2:AX259,1)&gt;$AG$1,"",IF(AX259="","",E259))</f>
        <v/>
      </c>
      <c r="BM259" s="138" t="str">
        <f t="shared" si="50"/>
        <v xml:space="preserve">   </v>
      </c>
      <c r="BN259" s="42">
        <f t="shared" si="51"/>
        <v>11404</v>
      </c>
      <c r="BS259" s="1">
        <v>9886</v>
      </c>
      <c r="BT259" s="1" t="s">
        <v>902</v>
      </c>
      <c r="BX259" s="36"/>
    </row>
    <row r="260" spans="1:76" ht="14.25">
      <c r="A260" s="55">
        <v>11405</v>
      </c>
      <c r="B260" s="36" t="s">
        <v>1158</v>
      </c>
      <c r="C260" s="36" t="s">
        <v>75</v>
      </c>
      <c r="D260" s="36" t="s">
        <v>916</v>
      </c>
      <c r="E260" s="36" t="s">
        <v>80</v>
      </c>
      <c r="F260" s="36" t="s">
        <v>1139</v>
      </c>
      <c r="G260" s="36" t="s">
        <v>894</v>
      </c>
      <c r="H260" s="36" t="s">
        <v>58</v>
      </c>
      <c r="I260" s="36" t="s">
        <v>85</v>
      </c>
      <c r="J260" s="36" t="s">
        <v>1146</v>
      </c>
      <c r="K260" s="1" t="str">
        <f t="shared" si="52"/>
        <v/>
      </c>
      <c r="L260" s="1" t="str">
        <f t="shared" ref="L260:L323" si="55">IF(AND(MIN(I:I)&lt;20,MAX(I:I)&gt;980,I260&lt;20),I260,"")</f>
        <v/>
      </c>
      <c r="M260" s="94">
        <v>255</v>
      </c>
      <c r="N260" s="36" t="s">
        <v>1910</v>
      </c>
      <c r="O260" s="95">
        <v>309962</v>
      </c>
      <c r="P260" s="36"/>
      <c r="Q260" s="110" t="str">
        <f t="shared" si="53"/>
        <v/>
      </c>
      <c r="R260" s="1" t="str">
        <f t="shared" si="54"/>
        <v>CVT</v>
      </c>
      <c r="S260" s="1">
        <f>IF(A260&gt;0,COUNT(A$2:A260),"")</f>
        <v>259</v>
      </c>
      <c r="T260" s="1" t="str">
        <f t="shared" si="45"/>
        <v/>
      </c>
      <c r="U260" s="1" t="str">
        <f t="shared" si="46"/>
        <v/>
      </c>
      <c r="V260" s="111" t="str">
        <f t="shared" si="47"/>
        <v/>
      </c>
      <c r="AA260" s="1">
        <v>30163</v>
      </c>
      <c r="AB260" s="1" t="s">
        <v>78</v>
      </c>
      <c r="AD260" s="1" t="str">
        <f t="shared" si="48"/>
        <v/>
      </c>
      <c r="AI260" s="122">
        <v>63</v>
      </c>
      <c r="AJ260" s="1" t="s">
        <v>1603</v>
      </c>
      <c r="AK260" s="1">
        <v>309655</v>
      </c>
      <c r="AL260" s="1" t="s">
        <v>930</v>
      </c>
      <c r="AN260" s="270">
        <v>354</v>
      </c>
      <c r="AQ260" s="1">
        <v>268</v>
      </c>
      <c r="AR260" s="1" t="s">
        <v>1028</v>
      </c>
      <c r="AS260" s="1">
        <v>256862</v>
      </c>
      <c r="AT260" s="1" t="s">
        <v>115</v>
      </c>
      <c r="AV260" s="241">
        <v>560</v>
      </c>
      <c r="AX260" s="1">
        <f t="shared" si="49"/>
        <v>1</v>
      </c>
      <c r="AY260" s="1" t="str">
        <f>IF(COUNTIF($AX$2:AX260,1)&gt;$AG$1,"",IF(AX260="","",E260))</f>
        <v/>
      </c>
      <c r="BM260" s="138" t="str">
        <f t="shared" si="50"/>
        <v xml:space="preserve">   </v>
      </c>
      <c r="BN260" s="42">
        <f t="shared" si="51"/>
        <v>11405</v>
      </c>
      <c r="BS260" s="1">
        <v>9887</v>
      </c>
      <c r="BT260" s="1" t="s">
        <v>902</v>
      </c>
      <c r="BX260" s="36"/>
    </row>
    <row r="261" spans="1:76" ht="14.25">
      <c r="A261" s="55">
        <v>11406</v>
      </c>
      <c r="B261" s="36" t="s">
        <v>1158</v>
      </c>
      <c r="C261" s="36" t="s">
        <v>75</v>
      </c>
      <c r="D261" s="36" t="s">
        <v>916</v>
      </c>
      <c r="E261" s="36" t="s">
        <v>20</v>
      </c>
      <c r="F261" s="36" t="s">
        <v>1139</v>
      </c>
      <c r="G261" s="36" t="s">
        <v>894</v>
      </c>
      <c r="H261" s="36" t="s">
        <v>58</v>
      </c>
      <c r="I261" s="36" t="s">
        <v>85</v>
      </c>
      <c r="J261" s="36" t="s">
        <v>1146</v>
      </c>
      <c r="K261" s="1" t="str">
        <f t="shared" si="52"/>
        <v/>
      </c>
      <c r="L261" s="1" t="str">
        <f t="shared" si="55"/>
        <v/>
      </c>
      <c r="M261" s="94">
        <v>256</v>
      </c>
      <c r="N261" s="36" t="s">
        <v>1911</v>
      </c>
      <c r="O261" s="95">
        <v>309963</v>
      </c>
      <c r="P261" s="36"/>
      <c r="Q261" s="110" t="str">
        <f t="shared" si="53"/>
        <v/>
      </c>
      <c r="R261" s="1" t="str">
        <f t="shared" si="54"/>
        <v>CVT</v>
      </c>
      <c r="S261" s="1">
        <f>IF(A261&gt;0,COUNT(A$2:A261),"")</f>
        <v>260</v>
      </c>
      <c r="T261" s="1" t="str">
        <f t="shared" si="45"/>
        <v/>
      </c>
      <c r="U261" s="1" t="str">
        <f t="shared" si="46"/>
        <v/>
      </c>
      <c r="V261" s="111" t="str">
        <f t="shared" si="47"/>
        <v/>
      </c>
      <c r="AA261" s="1">
        <v>30164</v>
      </c>
      <c r="AB261" s="1" t="s">
        <v>78</v>
      </c>
      <c r="AD261" s="1" t="str">
        <f t="shared" si="48"/>
        <v/>
      </c>
      <c r="AI261" s="122">
        <v>64</v>
      </c>
      <c r="AJ261" s="1" t="s">
        <v>1604</v>
      </c>
      <c r="AK261" s="1">
        <v>309656</v>
      </c>
      <c r="AL261" s="1" t="s">
        <v>115</v>
      </c>
      <c r="AN261" s="270">
        <v>355</v>
      </c>
      <c r="AQ261" s="1">
        <v>269</v>
      </c>
      <c r="AR261" s="1" t="s">
        <v>1029</v>
      </c>
      <c r="AS261" s="1">
        <v>256863</v>
      </c>
      <c r="AT261" s="1" t="s">
        <v>930</v>
      </c>
      <c r="AV261" s="241">
        <v>561</v>
      </c>
      <c r="AX261" s="1">
        <f t="shared" si="49"/>
        <v>1</v>
      </c>
      <c r="AY261" s="1" t="str">
        <f>IF(COUNTIF($AX$2:AX261,1)&gt;$AG$1,"",IF(AX261="","",E261))</f>
        <v/>
      </c>
      <c r="BM261" s="138" t="str">
        <f t="shared" si="50"/>
        <v xml:space="preserve">   </v>
      </c>
      <c r="BN261" s="42">
        <f t="shared" si="51"/>
        <v>11406</v>
      </c>
      <c r="BS261" s="1">
        <v>9888</v>
      </c>
      <c r="BT261" s="1" t="s">
        <v>902</v>
      </c>
      <c r="BX261" s="36"/>
    </row>
    <row r="262" spans="1:76" ht="14.25">
      <c r="A262" s="55">
        <v>11407</v>
      </c>
      <c r="B262" s="36" t="s">
        <v>82</v>
      </c>
      <c r="C262" s="36" t="s">
        <v>75</v>
      </c>
      <c r="D262" s="36" t="s">
        <v>906</v>
      </c>
      <c r="E262" s="36" t="s">
        <v>20</v>
      </c>
      <c r="F262" s="36" t="s">
        <v>1148</v>
      </c>
      <c r="G262" s="36" t="s">
        <v>85</v>
      </c>
      <c r="H262" s="36" t="s">
        <v>58</v>
      </c>
      <c r="I262" s="36" t="s">
        <v>85</v>
      </c>
      <c r="J262" s="36" t="s">
        <v>1146</v>
      </c>
      <c r="K262" s="1" t="str">
        <f t="shared" si="52"/>
        <v/>
      </c>
      <c r="L262" s="1" t="str">
        <f t="shared" si="55"/>
        <v/>
      </c>
      <c r="M262" s="94">
        <v>257</v>
      </c>
      <c r="N262" s="36" t="s">
        <v>1912</v>
      </c>
      <c r="O262" s="95">
        <v>309964</v>
      </c>
      <c r="P262" s="36"/>
      <c r="Q262" s="110" t="str">
        <f t="shared" si="53"/>
        <v>Standard</v>
      </c>
      <c r="R262" s="1" t="str">
        <f t="shared" si="54"/>
        <v/>
      </c>
      <c r="S262" s="1">
        <f>IF(A262&gt;0,COUNT(A$2:A262),"")</f>
        <v>261</v>
      </c>
      <c r="T262" s="1" t="str">
        <f t="shared" si="45"/>
        <v/>
      </c>
      <c r="U262" s="1" t="str">
        <f t="shared" si="46"/>
        <v/>
      </c>
      <c r="V262" s="111" t="str">
        <f t="shared" si="47"/>
        <v/>
      </c>
      <c r="AA262" s="1">
        <v>30165</v>
      </c>
      <c r="AB262" s="1" t="s">
        <v>78</v>
      </c>
      <c r="AD262" s="1" t="str">
        <f t="shared" si="48"/>
        <v/>
      </c>
      <c r="AI262" s="122">
        <v>65</v>
      </c>
      <c r="AJ262" s="1" t="s">
        <v>1605</v>
      </c>
      <c r="AK262" s="1">
        <v>309657</v>
      </c>
      <c r="AL262" s="1" t="s">
        <v>930</v>
      </c>
      <c r="AN262" s="270">
        <v>356</v>
      </c>
      <c r="AQ262" s="1">
        <v>270</v>
      </c>
      <c r="AR262" s="1" t="s">
        <v>1030</v>
      </c>
      <c r="AS262" s="1">
        <v>256864</v>
      </c>
      <c r="AT262" s="1" t="s">
        <v>930</v>
      </c>
      <c r="AV262" s="241">
        <v>562</v>
      </c>
      <c r="AX262" s="1">
        <f t="shared" si="49"/>
        <v>1</v>
      </c>
      <c r="AY262" s="1" t="str">
        <f>IF(COUNTIF($AX$2:AX262,1)&gt;$AG$1,"",IF(AX262="","",E262))</f>
        <v/>
      </c>
      <c r="BM262" s="138" t="str">
        <f t="shared" si="50"/>
        <v xml:space="preserve">   </v>
      </c>
      <c r="BN262" s="42">
        <f t="shared" si="51"/>
        <v>11407</v>
      </c>
      <c r="BS262" s="1">
        <v>9889</v>
      </c>
      <c r="BT262" s="1" t="s">
        <v>902</v>
      </c>
      <c r="BX262" s="36"/>
    </row>
    <row r="263" spans="1:76" ht="14.25">
      <c r="A263" s="55">
        <v>11408</v>
      </c>
      <c r="B263" s="36" t="s">
        <v>1158</v>
      </c>
      <c r="C263" s="36" t="s">
        <v>75</v>
      </c>
      <c r="D263" s="36" t="s">
        <v>909</v>
      </c>
      <c r="E263" s="36" t="s">
        <v>80</v>
      </c>
      <c r="F263" s="36" t="s">
        <v>903</v>
      </c>
      <c r="G263" s="36" t="s">
        <v>921</v>
      </c>
      <c r="H263" s="36" t="s">
        <v>58</v>
      </c>
      <c r="I263" s="36" t="s">
        <v>85</v>
      </c>
      <c r="J263" s="36" t="s">
        <v>1146</v>
      </c>
      <c r="K263" s="1" t="str">
        <f t="shared" si="52"/>
        <v/>
      </c>
      <c r="L263" s="1" t="str">
        <f t="shared" si="55"/>
        <v/>
      </c>
      <c r="M263" s="94">
        <v>258</v>
      </c>
      <c r="N263" s="36" t="s">
        <v>1913</v>
      </c>
      <c r="O263" s="95">
        <v>309965</v>
      </c>
      <c r="P263" s="36"/>
      <c r="Q263" s="110" t="str">
        <f t="shared" si="53"/>
        <v/>
      </c>
      <c r="R263" s="1" t="str">
        <f t="shared" si="54"/>
        <v>Auto</v>
      </c>
      <c r="S263" s="1">
        <f>IF(A263&gt;0,COUNT(A$2:A263),"")</f>
        <v>262</v>
      </c>
      <c r="T263" s="1" t="str">
        <f t="shared" si="45"/>
        <v/>
      </c>
      <c r="U263" s="1" t="str">
        <f t="shared" si="46"/>
        <v/>
      </c>
      <c r="V263" s="111" t="str">
        <f t="shared" si="47"/>
        <v/>
      </c>
      <c r="AA263" s="1">
        <v>30166</v>
      </c>
      <c r="AB263" s="1" t="s">
        <v>78</v>
      </c>
      <c r="AD263" s="1" t="str">
        <f t="shared" si="48"/>
        <v/>
      </c>
      <c r="AI263" s="122">
        <v>66</v>
      </c>
      <c r="AJ263" s="1" t="s">
        <v>1606</v>
      </c>
      <c r="AK263" s="1">
        <v>309658</v>
      </c>
      <c r="AL263" s="1" t="s">
        <v>930</v>
      </c>
      <c r="AN263" s="270">
        <v>357</v>
      </c>
      <c r="AQ263" s="1">
        <v>271</v>
      </c>
      <c r="AR263" s="1" t="s">
        <v>1031</v>
      </c>
      <c r="AS263" s="1">
        <v>256865</v>
      </c>
      <c r="AT263" s="1" t="s">
        <v>115</v>
      </c>
      <c r="AV263" s="241">
        <v>563</v>
      </c>
      <c r="AX263" s="1">
        <f t="shared" si="49"/>
        <v>1</v>
      </c>
      <c r="AY263" s="1" t="str">
        <f>IF(COUNTIF($AX$2:AX263,1)&gt;$AG$1,"",IF(AX263="","",E263))</f>
        <v/>
      </c>
      <c r="BM263" s="138" t="str">
        <f t="shared" si="50"/>
        <v xml:space="preserve">   </v>
      </c>
      <c r="BN263" s="42">
        <f t="shared" si="51"/>
        <v>11408</v>
      </c>
      <c r="BS263" s="1">
        <v>9890</v>
      </c>
      <c r="BT263" s="1" t="s">
        <v>902</v>
      </c>
      <c r="BX263" s="36"/>
    </row>
    <row r="264" spans="1:76" ht="14.25">
      <c r="A264" s="55">
        <v>11409</v>
      </c>
      <c r="B264" s="36" t="s">
        <v>82</v>
      </c>
      <c r="C264" s="36" t="s">
        <v>75</v>
      </c>
      <c r="D264" s="36" t="s">
        <v>906</v>
      </c>
      <c r="E264" s="36" t="s">
        <v>10</v>
      </c>
      <c r="F264" s="36" t="s">
        <v>88</v>
      </c>
      <c r="G264" s="36" t="s">
        <v>85</v>
      </c>
      <c r="H264" s="36" t="s">
        <v>58</v>
      </c>
      <c r="I264" s="36" t="s">
        <v>85</v>
      </c>
      <c r="J264" s="36" t="s">
        <v>1146</v>
      </c>
      <c r="K264" s="1" t="str">
        <f t="shared" si="52"/>
        <v/>
      </c>
      <c r="L264" s="1" t="str">
        <f t="shared" si="55"/>
        <v/>
      </c>
      <c r="M264" s="94">
        <v>259</v>
      </c>
      <c r="N264" s="36" t="s">
        <v>1914</v>
      </c>
      <c r="O264" s="95">
        <v>309966</v>
      </c>
      <c r="P264" s="36"/>
      <c r="Q264" s="110" t="str">
        <f t="shared" si="53"/>
        <v>Standard</v>
      </c>
      <c r="R264" s="1" t="str">
        <f t="shared" si="54"/>
        <v/>
      </c>
      <c r="S264" s="1">
        <f>IF(A264&gt;0,COUNT(A$2:A264),"")</f>
        <v>263</v>
      </c>
      <c r="T264" s="1" t="str">
        <f t="shared" si="45"/>
        <v/>
      </c>
      <c r="U264" s="1" t="str">
        <f t="shared" si="46"/>
        <v/>
      </c>
      <c r="V264" s="111" t="str">
        <f t="shared" si="47"/>
        <v/>
      </c>
      <c r="AA264" s="1">
        <v>30167</v>
      </c>
      <c r="AB264" s="1" t="s">
        <v>78</v>
      </c>
      <c r="AD264" s="1" t="str">
        <f t="shared" si="48"/>
        <v/>
      </c>
      <c r="AI264" s="122">
        <v>67</v>
      </c>
      <c r="AJ264" s="1" t="s">
        <v>1607</v>
      </c>
      <c r="AK264" s="1">
        <v>309659</v>
      </c>
      <c r="AL264" s="1" t="s">
        <v>115</v>
      </c>
      <c r="AN264" s="270">
        <v>358</v>
      </c>
      <c r="AQ264" s="1">
        <v>272</v>
      </c>
      <c r="AR264" s="1" t="s">
        <v>1032</v>
      </c>
      <c r="AS264" s="1">
        <v>256866</v>
      </c>
      <c r="AT264" s="1" t="s">
        <v>930</v>
      </c>
      <c r="AV264" s="241">
        <v>564</v>
      </c>
      <c r="AX264" s="1">
        <f t="shared" si="49"/>
        <v>1</v>
      </c>
      <c r="AY264" s="1" t="str">
        <f>IF(COUNTIF($AX$2:AX264,1)&gt;$AG$1,"",IF(AX264="","",E264))</f>
        <v/>
      </c>
      <c r="BM264" s="138" t="str">
        <f t="shared" si="50"/>
        <v xml:space="preserve">   </v>
      </c>
      <c r="BN264" s="42">
        <f t="shared" si="51"/>
        <v>11409</v>
      </c>
      <c r="BS264" s="1">
        <v>9891</v>
      </c>
      <c r="BT264" s="1" t="s">
        <v>902</v>
      </c>
      <c r="BX264" s="36"/>
    </row>
    <row r="265" spans="1:76" ht="14.25">
      <c r="A265" s="55">
        <v>11410</v>
      </c>
      <c r="B265" s="36" t="s">
        <v>1158</v>
      </c>
      <c r="C265" s="36" t="s">
        <v>75</v>
      </c>
      <c r="D265" s="36" t="s">
        <v>913</v>
      </c>
      <c r="E265" s="36" t="s">
        <v>80</v>
      </c>
      <c r="F265" s="36" t="s">
        <v>931</v>
      </c>
      <c r="G265" s="36" t="s">
        <v>894</v>
      </c>
      <c r="H265" s="36" t="s">
        <v>58</v>
      </c>
      <c r="I265" s="36" t="s">
        <v>85</v>
      </c>
      <c r="J265" s="36" t="s">
        <v>1146</v>
      </c>
      <c r="K265" s="1" t="str">
        <f t="shared" si="52"/>
        <v/>
      </c>
      <c r="L265" s="1" t="str">
        <f t="shared" si="55"/>
        <v/>
      </c>
      <c r="M265" s="94">
        <v>260</v>
      </c>
      <c r="N265" s="36" t="s">
        <v>1915</v>
      </c>
      <c r="O265" s="95">
        <v>309967</v>
      </c>
      <c r="P265" s="36"/>
      <c r="Q265" s="110" t="str">
        <f t="shared" si="53"/>
        <v/>
      </c>
      <c r="R265" s="1" t="str">
        <f t="shared" si="54"/>
        <v>CVT</v>
      </c>
      <c r="S265" s="1">
        <f>IF(A265&gt;0,COUNT(A$2:A265),"")</f>
        <v>264</v>
      </c>
      <c r="T265" s="1" t="str">
        <f t="shared" si="45"/>
        <v/>
      </c>
      <c r="U265" s="1" t="str">
        <f t="shared" si="46"/>
        <v/>
      </c>
      <c r="V265" s="111" t="str">
        <f t="shared" si="47"/>
        <v/>
      </c>
      <c r="AA265" s="1">
        <v>30168</v>
      </c>
      <c r="AB265" s="1" t="s">
        <v>78</v>
      </c>
      <c r="AD265" s="1" t="str">
        <f t="shared" si="48"/>
        <v/>
      </c>
      <c r="AI265" s="122">
        <v>68</v>
      </c>
      <c r="AJ265" s="1" t="s">
        <v>1608</v>
      </c>
      <c r="AK265" s="1">
        <v>309660</v>
      </c>
      <c r="AL265" s="1" t="s">
        <v>930</v>
      </c>
      <c r="AN265" s="270">
        <v>359</v>
      </c>
      <c r="AQ265" s="1">
        <v>273</v>
      </c>
      <c r="AR265" s="1" t="s">
        <v>1033</v>
      </c>
      <c r="AS265" s="1">
        <v>256867</v>
      </c>
      <c r="AT265" s="1" t="s">
        <v>930</v>
      </c>
      <c r="AV265" s="241">
        <v>565</v>
      </c>
      <c r="AX265" s="1">
        <f t="shared" si="49"/>
        <v>1</v>
      </c>
      <c r="AY265" s="1" t="str">
        <f>IF(COUNTIF($AX$2:AX265,1)&gt;$AG$1,"",IF(AX265="","",E265))</f>
        <v/>
      </c>
      <c r="BM265" s="138" t="str">
        <f t="shared" si="50"/>
        <v xml:space="preserve">   </v>
      </c>
      <c r="BN265" s="42">
        <f t="shared" si="51"/>
        <v>11410</v>
      </c>
      <c r="BS265" s="1">
        <v>9892</v>
      </c>
      <c r="BT265" s="1" t="s">
        <v>902</v>
      </c>
      <c r="BX265" s="36"/>
    </row>
    <row r="266" spans="1:76" ht="14.25">
      <c r="A266" s="55">
        <v>11411</v>
      </c>
      <c r="B266" s="36" t="s">
        <v>82</v>
      </c>
      <c r="C266" s="36" t="s">
        <v>75</v>
      </c>
      <c r="D266" s="36" t="s">
        <v>908</v>
      </c>
      <c r="E266" s="36" t="s">
        <v>20</v>
      </c>
      <c r="F266" s="36" t="s">
        <v>84</v>
      </c>
      <c r="G266" s="36" t="s">
        <v>85</v>
      </c>
      <c r="H266" s="36" t="s">
        <v>58</v>
      </c>
      <c r="I266" s="36" t="s">
        <v>85</v>
      </c>
      <c r="J266" s="36" t="s">
        <v>1146</v>
      </c>
      <c r="K266" s="1" t="str">
        <f t="shared" si="52"/>
        <v/>
      </c>
      <c r="L266" s="1" t="str">
        <f t="shared" si="55"/>
        <v/>
      </c>
      <c r="M266" s="94">
        <v>261</v>
      </c>
      <c r="N266" s="36" t="s">
        <v>1916</v>
      </c>
      <c r="O266" s="95">
        <v>309968</v>
      </c>
      <c r="P266" s="36"/>
      <c r="Q266" s="110" t="str">
        <f t="shared" si="53"/>
        <v>Rich</v>
      </c>
      <c r="R266" s="1" t="str">
        <f t="shared" si="54"/>
        <v/>
      </c>
      <c r="S266" s="1">
        <f>IF(A266&gt;0,COUNT(A$2:A266),"")</f>
        <v>265</v>
      </c>
      <c r="T266" s="1" t="str">
        <f t="shared" si="45"/>
        <v/>
      </c>
      <c r="U266" s="1" t="str">
        <f t="shared" si="46"/>
        <v/>
      </c>
      <c r="V266" s="111" t="str">
        <f t="shared" si="47"/>
        <v/>
      </c>
      <c r="AA266" s="1">
        <v>30169</v>
      </c>
      <c r="AB266" s="1" t="s">
        <v>129</v>
      </c>
      <c r="AD266" s="1" t="str">
        <f t="shared" si="48"/>
        <v/>
      </c>
      <c r="AI266" s="122">
        <v>69</v>
      </c>
      <c r="AJ266" s="1" t="s">
        <v>1609</v>
      </c>
      <c r="AK266" s="1">
        <v>309661</v>
      </c>
      <c r="AL266" s="1" t="s">
        <v>115</v>
      </c>
      <c r="AN266" s="270">
        <v>360</v>
      </c>
      <c r="AQ266" s="1">
        <v>274</v>
      </c>
      <c r="AR266" s="1" t="s">
        <v>1034</v>
      </c>
      <c r="AS266" s="1">
        <v>256868</v>
      </c>
      <c r="AT266" s="1" t="s">
        <v>115</v>
      </c>
      <c r="AV266" s="241">
        <v>566</v>
      </c>
      <c r="AX266" s="1">
        <f t="shared" si="49"/>
        <v>1</v>
      </c>
      <c r="AY266" s="1" t="str">
        <f>IF(COUNTIF($AX$2:AX266,1)&gt;$AG$1,"",IF(AX266="","",E266))</f>
        <v/>
      </c>
      <c r="BM266" s="138" t="str">
        <f t="shared" si="50"/>
        <v xml:space="preserve">   </v>
      </c>
      <c r="BN266" s="42">
        <f t="shared" si="51"/>
        <v>11411</v>
      </c>
      <c r="BS266" s="1">
        <v>9893</v>
      </c>
      <c r="BT266" s="1" t="s">
        <v>902</v>
      </c>
      <c r="BX266" s="36"/>
    </row>
    <row r="267" spans="1:76" ht="14.25">
      <c r="A267" s="55">
        <v>11412</v>
      </c>
      <c r="B267" s="36" t="s">
        <v>1158</v>
      </c>
      <c r="C267" s="36" t="s">
        <v>75</v>
      </c>
      <c r="D267" s="36" t="s">
        <v>916</v>
      </c>
      <c r="E267" s="36" t="s">
        <v>80</v>
      </c>
      <c r="F267" s="36" t="s">
        <v>1139</v>
      </c>
      <c r="G267" s="36" t="s">
        <v>894</v>
      </c>
      <c r="H267" s="36" t="s">
        <v>58</v>
      </c>
      <c r="I267" s="36" t="s">
        <v>85</v>
      </c>
      <c r="J267" s="36" t="s">
        <v>1146</v>
      </c>
      <c r="K267" s="1" t="str">
        <f t="shared" si="52"/>
        <v/>
      </c>
      <c r="L267" s="1" t="str">
        <f t="shared" si="55"/>
        <v/>
      </c>
      <c r="M267" s="94">
        <v>262</v>
      </c>
      <c r="N267" s="36" t="s">
        <v>1917</v>
      </c>
      <c r="O267" s="95">
        <v>309969</v>
      </c>
      <c r="P267" s="36"/>
      <c r="Q267" s="110" t="str">
        <f t="shared" si="53"/>
        <v/>
      </c>
      <c r="R267" s="1" t="str">
        <f t="shared" si="54"/>
        <v>CVT</v>
      </c>
      <c r="S267" s="1">
        <f>IF(A267&gt;0,COUNT(A$2:A267),"")</f>
        <v>266</v>
      </c>
      <c r="T267" s="1" t="str">
        <f t="shared" si="45"/>
        <v/>
      </c>
      <c r="U267" s="1" t="str">
        <f t="shared" si="46"/>
        <v/>
      </c>
      <c r="V267" s="111" t="str">
        <f t="shared" si="47"/>
        <v/>
      </c>
      <c r="AA267" s="1">
        <v>30170</v>
      </c>
      <c r="AB267" s="1" t="s">
        <v>46</v>
      </c>
      <c r="AD267" s="1" t="str">
        <f t="shared" si="48"/>
        <v/>
      </c>
      <c r="AI267" s="122">
        <v>70</v>
      </c>
      <c r="AJ267" s="1" t="s">
        <v>1610</v>
      </c>
      <c r="AK267" s="1">
        <v>309662</v>
      </c>
      <c r="AL267" s="1" t="s">
        <v>930</v>
      </c>
      <c r="AN267" s="270">
        <v>361</v>
      </c>
      <c r="AQ267" s="1">
        <v>275</v>
      </c>
      <c r="AR267" s="1" t="s">
        <v>1035</v>
      </c>
      <c r="AS267" s="1">
        <v>256869</v>
      </c>
      <c r="AT267" s="1" t="s">
        <v>930</v>
      </c>
      <c r="AV267" s="241">
        <v>567</v>
      </c>
      <c r="AX267" s="1">
        <f t="shared" si="49"/>
        <v>1</v>
      </c>
      <c r="AY267" s="1" t="str">
        <f>IF(COUNTIF($AX$2:AX267,1)&gt;$AG$1,"",IF(AX267="","",E267))</f>
        <v/>
      </c>
      <c r="BM267" s="138" t="str">
        <f t="shared" si="50"/>
        <v xml:space="preserve">   </v>
      </c>
      <c r="BN267" s="42">
        <f t="shared" si="51"/>
        <v>11412</v>
      </c>
      <c r="BS267" s="1">
        <v>9894</v>
      </c>
      <c r="BT267" s="1" t="s">
        <v>902</v>
      </c>
      <c r="BX267" s="36"/>
    </row>
    <row r="268" spans="1:76" ht="14.25">
      <c r="A268" s="55">
        <v>11413</v>
      </c>
      <c r="B268" s="36" t="s">
        <v>1158</v>
      </c>
      <c r="C268" s="36" t="s">
        <v>75</v>
      </c>
      <c r="D268" s="36" t="s">
        <v>909</v>
      </c>
      <c r="E268" s="36" t="s">
        <v>79</v>
      </c>
      <c r="F268" s="36" t="s">
        <v>1149</v>
      </c>
      <c r="G268" s="36" t="s">
        <v>921</v>
      </c>
      <c r="H268" s="36" t="s">
        <v>58</v>
      </c>
      <c r="I268" s="36" t="s">
        <v>85</v>
      </c>
      <c r="J268" s="36" t="s">
        <v>1146</v>
      </c>
      <c r="K268" s="1" t="str">
        <f t="shared" si="52"/>
        <v/>
      </c>
      <c r="L268" s="1" t="str">
        <f t="shared" si="55"/>
        <v/>
      </c>
      <c r="M268" s="94">
        <v>263</v>
      </c>
      <c r="N268" s="36" t="s">
        <v>1918</v>
      </c>
      <c r="O268" s="95">
        <v>309970</v>
      </c>
      <c r="P268" s="36"/>
      <c r="Q268" s="110" t="str">
        <f t="shared" si="53"/>
        <v/>
      </c>
      <c r="R268" s="1" t="str">
        <f t="shared" si="54"/>
        <v>Auto</v>
      </c>
      <c r="S268" s="1">
        <f>IF(A268&gt;0,COUNT(A$2:A268),"")</f>
        <v>267</v>
      </c>
      <c r="T268" s="1" t="str">
        <f t="shared" si="45"/>
        <v/>
      </c>
      <c r="U268" s="1" t="str">
        <f t="shared" si="46"/>
        <v/>
      </c>
      <c r="V268" s="111" t="str">
        <f t="shared" si="47"/>
        <v/>
      </c>
      <c r="AA268" s="1">
        <v>30171</v>
      </c>
      <c r="AB268" s="1" t="s">
        <v>46</v>
      </c>
      <c r="AD268" s="1" t="str">
        <f t="shared" si="48"/>
        <v/>
      </c>
      <c r="AI268" s="122">
        <v>71</v>
      </c>
      <c r="AJ268" s="1" t="s">
        <v>1611</v>
      </c>
      <c r="AK268" s="1">
        <v>309663</v>
      </c>
      <c r="AL268" s="1" t="s">
        <v>115</v>
      </c>
      <c r="AN268" s="270">
        <v>362</v>
      </c>
      <c r="AQ268" s="1">
        <v>276</v>
      </c>
      <c r="AR268" s="1" t="s">
        <v>1036</v>
      </c>
      <c r="AS268" s="1">
        <v>256870</v>
      </c>
      <c r="AT268" s="1" t="s">
        <v>115</v>
      </c>
      <c r="AV268" s="241">
        <v>568</v>
      </c>
      <c r="AX268" s="1">
        <f t="shared" si="49"/>
        <v>1</v>
      </c>
      <c r="AY268" s="1" t="str">
        <f>IF(COUNTIF($AX$2:AX268,1)&gt;$AG$1,"",IF(AX268="","",E268))</f>
        <v/>
      </c>
      <c r="BM268" s="138" t="str">
        <f t="shared" si="50"/>
        <v xml:space="preserve">   </v>
      </c>
      <c r="BN268" s="42">
        <f t="shared" si="51"/>
        <v>11413</v>
      </c>
      <c r="BS268" s="1">
        <v>9895</v>
      </c>
      <c r="BT268" s="1" t="s">
        <v>902</v>
      </c>
      <c r="BX268" s="36"/>
    </row>
    <row r="269" spans="1:76" ht="14.25">
      <c r="A269" s="55">
        <v>11414</v>
      </c>
      <c r="B269" s="36" t="s">
        <v>82</v>
      </c>
      <c r="C269" s="36" t="s">
        <v>75</v>
      </c>
      <c r="D269" s="36" t="s">
        <v>906</v>
      </c>
      <c r="E269" s="36" t="s">
        <v>20</v>
      </c>
      <c r="F269" s="36" t="s">
        <v>86</v>
      </c>
      <c r="G269" s="36" t="s">
        <v>85</v>
      </c>
      <c r="H269" s="36" t="s">
        <v>58</v>
      </c>
      <c r="I269" s="36" t="s">
        <v>85</v>
      </c>
      <c r="J269" s="36" t="s">
        <v>1146</v>
      </c>
      <c r="K269" s="1" t="str">
        <f t="shared" si="52"/>
        <v/>
      </c>
      <c r="L269" s="1" t="str">
        <f t="shared" si="55"/>
        <v/>
      </c>
      <c r="M269" s="94">
        <v>264</v>
      </c>
      <c r="N269" s="36" t="s">
        <v>1919</v>
      </c>
      <c r="O269" s="95">
        <v>309971</v>
      </c>
      <c r="P269" s="36"/>
      <c r="Q269" s="110" t="str">
        <f t="shared" si="53"/>
        <v>Standard</v>
      </c>
      <c r="R269" s="1" t="str">
        <f t="shared" si="54"/>
        <v/>
      </c>
      <c r="S269" s="1">
        <f>IF(A269&gt;0,COUNT(A$2:A269),"")</f>
        <v>268</v>
      </c>
      <c r="T269" s="1" t="str">
        <f t="shared" si="45"/>
        <v/>
      </c>
      <c r="U269" s="1" t="str">
        <f t="shared" si="46"/>
        <v/>
      </c>
      <c r="V269" s="111" t="str">
        <f t="shared" si="47"/>
        <v/>
      </c>
      <c r="AA269" s="1">
        <v>30172</v>
      </c>
      <c r="AB269" s="1" t="s">
        <v>46</v>
      </c>
      <c r="AD269" s="1" t="str">
        <f t="shared" si="48"/>
        <v/>
      </c>
      <c r="AI269" s="122">
        <v>72</v>
      </c>
      <c r="AJ269" s="1" t="s">
        <v>1612</v>
      </c>
      <c r="AK269" s="1">
        <v>309664</v>
      </c>
      <c r="AL269" s="1" t="s">
        <v>930</v>
      </c>
      <c r="AN269" s="270">
        <v>363</v>
      </c>
      <c r="AQ269" s="1">
        <v>277</v>
      </c>
      <c r="AR269" s="1" t="s">
        <v>1037</v>
      </c>
      <c r="AS269" s="1">
        <v>256871</v>
      </c>
      <c r="AT269" s="1" t="s">
        <v>930</v>
      </c>
      <c r="AV269" s="241">
        <v>569</v>
      </c>
      <c r="AX269" s="1">
        <f t="shared" si="49"/>
        <v>1</v>
      </c>
      <c r="AY269" s="1" t="str">
        <f>IF(COUNTIF($AX$2:AX269,1)&gt;$AG$1,"",IF(AX269="","",E269))</f>
        <v/>
      </c>
      <c r="BM269" s="138" t="str">
        <f t="shared" si="50"/>
        <v xml:space="preserve">   </v>
      </c>
      <c r="BN269" s="42">
        <f t="shared" si="51"/>
        <v>11414</v>
      </c>
      <c r="BS269" s="1">
        <v>9896</v>
      </c>
      <c r="BT269" s="1" t="s">
        <v>902</v>
      </c>
      <c r="BX269" s="36"/>
    </row>
    <row r="270" spans="1:76" ht="14.25">
      <c r="A270" s="55">
        <v>11415</v>
      </c>
      <c r="B270" s="36" t="s">
        <v>1158</v>
      </c>
      <c r="C270" s="36" t="s">
        <v>75</v>
      </c>
      <c r="D270" s="36" t="s">
        <v>916</v>
      </c>
      <c r="E270" s="36" t="s">
        <v>1128</v>
      </c>
      <c r="F270" s="36" t="s">
        <v>1154</v>
      </c>
      <c r="G270" s="36" t="s">
        <v>894</v>
      </c>
      <c r="H270" s="36" t="s">
        <v>58</v>
      </c>
      <c r="I270" s="36" t="s">
        <v>85</v>
      </c>
      <c r="J270" s="36" t="s">
        <v>1146</v>
      </c>
      <c r="K270" s="1" t="str">
        <f t="shared" si="52"/>
        <v/>
      </c>
      <c r="L270" s="1" t="str">
        <f t="shared" si="55"/>
        <v/>
      </c>
      <c r="M270" s="94">
        <v>265</v>
      </c>
      <c r="N270" s="36" t="s">
        <v>1920</v>
      </c>
      <c r="O270" s="95">
        <v>309972</v>
      </c>
      <c r="P270" s="36"/>
      <c r="Q270" s="110" t="str">
        <f t="shared" si="53"/>
        <v/>
      </c>
      <c r="R270" s="1" t="str">
        <f t="shared" si="54"/>
        <v>CVT</v>
      </c>
      <c r="S270" s="1">
        <f>IF(A270&gt;0,COUNT(A$2:A270),"")</f>
        <v>269</v>
      </c>
      <c r="T270" s="1" t="str">
        <f t="shared" si="45"/>
        <v/>
      </c>
      <c r="U270" s="1" t="str">
        <f t="shared" si="46"/>
        <v/>
      </c>
      <c r="V270" s="111" t="str">
        <f t="shared" si="47"/>
        <v/>
      </c>
      <c r="AA270" s="1">
        <v>30173</v>
      </c>
      <c r="AB270" s="1" t="s">
        <v>46</v>
      </c>
      <c r="AD270" s="1" t="str">
        <f t="shared" si="48"/>
        <v/>
      </c>
      <c r="AI270" s="122">
        <v>73</v>
      </c>
      <c r="AJ270" s="1" t="s">
        <v>1613</v>
      </c>
      <c r="AK270" s="1">
        <v>309665</v>
      </c>
      <c r="AL270" s="1" t="s">
        <v>930</v>
      </c>
      <c r="AN270" s="270">
        <v>364</v>
      </c>
      <c r="AQ270" s="1">
        <v>278</v>
      </c>
      <c r="AR270" s="1" t="s">
        <v>1038</v>
      </c>
      <c r="AS270" s="1">
        <v>256872</v>
      </c>
      <c r="AT270" s="1" t="s">
        <v>930</v>
      </c>
      <c r="AV270" s="241">
        <v>570</v>
      </c>
      <c r="AX270" s="1">
        <f t="shared" si="49"/>
        <v>1</v>
      </c>
      <c r="AY270" s="1" t="str">
        <f>IF(COUNTIF($AX$2:AX270,1)&gt;$AG$1,"",IF(AX270="","",E270))</f>
        <v/>
      </c>
      <c r="BM270" s="138" t="str">
        <f t="shared" si="50"/>
        <v xml:space="preserve">   </v>
      </c>
      <c r="BN270" s="42">
        <f t="shared" si="51"/>
        <v>11415</v>
      </c>
      <c r="BS270" s="1">
        <v>9897</v>
      </c>
      <c r="BT270" s="1" t="s">
        <v>902</v>
      </c>
      <c r="BX270" s="36"/>
    </row>
    <row r="271" spans="1:76" ht="14.25">
      <c r="A271" s="55">
        <v>11416</v>
      </c>
      <c r="B271" s="36" t="s">
        <v>82</v>
      </c>
      <c r="C271" s="36" t="s">
        <v>75</v>
      </c>
      <c r="D271" s="36" t="s">
        <v>906</v>
      </c>
      <c r="E271" s="36" t="s">
        <v>80</v>
      </c>
      <c r="F271" s="36" t="s">
        <v>87</v>
      </c>
      <c r="G271" s="36" t="s">
        <v>85</v>
      </c>
      <c r="H271" s="36" t="s">
        <v>58</v>
      </c>
      <c r="I271" s="36" t="s">
        <v>85</v>
      </c>
      <c r="J271" s="36" t="s">
        <v>1146</v>
      </c>
      <c r="K271" s="1" t="str">
        <f t="shared" si="52"/>
        <v/>
      </c>
      <c r="L271" s="1" t="str">
        <f t="shared" si="55"/>
        <v/>
      </c>
      <c r="M271" s="94">
        <v>266</v>
      </c>
      <c r="N271" s="36" t="s">
        <v>1921</v>
      </c>
      <c r="O271" s="95">
        <v>309973</v>
      </c>
      <c r="P271" s="36"/>
      <c r="Q271" s="110" t="str">
        <f t="shared" si="53"/>
        <v>Standard</v>
      </c>
      <c r="R271" s="1" t="str">
        <f t="shared" si="54"/>
        <v/>
      </c>
      <c r="S271" s="1">
        <f>IF(A271&gt;0,COUNT(A$2:A271),"")</f>
        <v>270</v>
      </c>
      <c r="T271" s="1" t="str">
        <f t="shared" si="45"/>
        <v/>
      </c>
      <c r="U271" s="1" t="str">
        <f t="shared" si="46"/>
        <v/>
      </c>
      <c r="V271" s="111" t="str">
        <f t="shared" si="47"/>
        <v/>
      </c>
      <c r="AA271" s="1">
        <v>30174</v>
      </c>
      <c r="AB271" s="1" t="s">
        <v>46</v>
      </c>
      <c r="AD271" s="1" t="str">
        <f t="shared" si="48"/>
        <v/>
      </c>
      <c r="AI271" s="122">
        <v>74</v>
      </c>
      <c r="AJ271" s="1" t="s">
        <v>1614</v>
      </c>
      <c r="AK271" s="1">
        <v>309666</v>
      </c>
      <c r="AL271" s="1" t="s">
        <v>115</v>
      </c>
      <c r="AN271" s="270">
        <v>365</v>
      </c>
      <c r="AQ271" s="1">
        <v>279</v>
      </c>
      <c r="AR271" s="1" t="s">
        <v>1039</v>
      </c>
      <c r="AS271" s="1">
        <v>256873</v>
      </c>
      <c r="AT271" s="1" t="s">
        <v>115</v>
      </c>
      <c r="AV271" s="241">
        <v>571</v>
      </c>
      <c r="AX271" s="1">
        <f t="shared" si="49"/>
        <v>1</v>
      </c>
      <c r="AY271" s="1" t="str">
        <f>IF(COUNTIF($AX$2:AX271,1)&gt;$AG$1,"",IF(AX271="","",E271))</f>
        <v/>
      </c>
      <c r="BM271" s="138" t="str">
        <f t="shared" si="50"/>
        <v xml:space="preserve">   </v>
      </c>
      <c r="BN271" s="42">
        <f t="shared" si="51"/>
        <v>11416</v>
      </c>
      <c r="BS271" s="1">
        <v>9898</v>
      </c>
      <c r="BT271" s="1" t="s">
        <v>902</v>
      </c>
      <c r="BX271" s="36"/>
    </row>
    <row r="272" spans="1:76" ht="14.25">
      <c r="A272" s="55">
        <v>11417</v>
      </c>
      <c r="B272" s="36" t="s">
        <v>1158</v>
      </c>
      <c r="C272" s="36" t="s">
        <v>75</v>
      </c>
      <c r="D272" s="36" t="s">
        <v>910</v>
      </c>
      <c r="E272" s="36" t="s">
        <v>20</v>
      </c>
      <c r="F272" s="36" t="s">
        <v>1139</v>
      </c>
      <c r="G272" s="36" t="s">
        <v>921</v>
      </c>
      <c r="H272" s="36" t="s">
        <v>58</v>
      </c>
      <c r="I272" s="36" t="s">
        <v>85</v>
      </c>
      <c r="J272" s="36" t="s">
        <v>1146</v>
      </c>
      <c r="K272" s="1" t="str">
        <f t="shared" si="52"/>
        <v/>
      </c>
      <c r="L272" s="1" t="str">
        <f t="shared" si="55"/>
        <v/>
      </c>
      <c r="M272" s="94">
        <v>267</v>
      </c>
      <c r="N272" s="36" t="s">
        <v>1922</v>
      </c>
      <c r="O272" s="95">
        <v>309974</v>
      </c>
      <c r="P272" s="36"/>
      <c r="Q272" s="110" t="str">
        <f t="shared" si="53"/>
        <v/>
      </c>
      <c r="R272" s="1" t="str">
        <f t="shared" si="54"/>
        <v>Auto</v>
      </c>
      <c r="S272" s="1">
        <f>IF(A272&gt;0,COUNT(A$2:A272),"")</f>
        <v>271</v>
      </c>
      <c r="T272" s="1" t="str">
        <f t="shared" si="45"/>
        <v/>
      </c>
      <c r="U272" s="1" t="str">
        <f t="shared" si="46"/>
        <v/>
      </c>
      <c r="V272" s="111" t="str">
        <f t="shared" si="47"/>
        <v/>
      </c>
      <c r="AA272" s="1">
        <v>30175</v>
      </c>
      <c r="AB272" s="1" t="s">
        <v>46</v>
      </c>
      <c r="AD272" s="1" t="str">
        <f t="shared" si="48"/>
        <v/>
      </c>
      <c r="AI272" s="122">
        <v>75</v>
      </c>
      <c r="AJ272" s="1" t="s">
        <v>1615</v>
      </c>
      <c r="AK272" s="1">
        <v>309667</v>
      </c>
      <c r="AL272" s="1" t="s">
        <v>930</v>
      </c>
      <c r="AN272" s="270">
        <v>366</v>
      </c>
      <c r="AQ272" s="1">
        <v>280</v>
      </c>
      <c r="AR272" s="1" t="s">
        <v>1040</v>
      </c>
      <c r="AS272" s="1">
        <v>256874</v>
      </c>
      <c r="AT272" s="1" t="s">
        <v>930</v>
      </c>
      <c r="AV272" s="241">
        <v>572</v>
      </c>
      <c r="AX272" s="1">
        <f t="shared" si="49"/>
        <v>1</v>
      </c>
      <c r="AY272" s="1" t="str">
        <f>IF(COUNTIF($AX$2:AX272,1)&gt;$AG$1,"",IF(AX272="","",E272))</f>
        <v/>
      </c>
      <c r="BM272" s="138" t="str">
        <f t="shared" si="50"/>
        <v xml:space="preserve">   </v>
      </c>
      <c r="BN272" s="42">
        <f t="shared" si="51"/>
        <v>11417</v>
      </c>
      <c r="BS272" s="1">
        <v>9899</v>
      </c>
      <c r="BT272" s="1" t="s">
        <v>902</v>
      </c>
      <c r="BX272" s="36"/>
    </row>
    <row r="273" spans="1:76" ht="14.25">
      <c r="A273" s="55">
        <v>11418</v>
      </c>
      <c r="B273" s="36" t="s">
        <v>82</v>
      </c>
      <c r="C273" s="36" t="s">
        <v>75</v>
      </c>
      <c r="D273" s="36" t="s">
        <v>907</v>
      </c>
      <c r="E273" s="36" t="s">
        <v>21</v>
      </c>
      <c r="F273" s="36" t="s">
        <v>42</v>
      </c>
      <c r="G273" s="36" t="s">
        <v>85</v>
      </c>
      <c r="H273" s="36" t="s">
        <v>58</v>
      </c>
      <c r="I273" s="36" t="s">
        <v>85</v>
      </c>
      <c r="J273" s="36" t="s">
        <v>1146</v>
      </c>
      <c r="K273" s="1" t="str">
        <f t="shared" si="52"/>
        <v/>
      </c>
      <c r="L273" s="1" t="str">
        <f t="shared" si="55"/>
        <v/>
      </c>
      <c r="M273" s="94">
        <v>268</v>
      </c>
      <c r="N273" s="36" t="s">
        <v>1923</v>
      </c>
      <c r="O273" s="95">
        <v>309975</v>
      </c>
      <c r="P273" s="36"/>
      <c r="Q273" s="110" t="str">
        <f t="shared" si="53"/>
        <v>Standard</v>
      </c>
      <c r="R273" s="1" t="str">
        <f t="shared" si="54"/>
        <v/>
      </c>
      <c r="S273" s="1">
        <f>IF(A273&gt;0,COUNT(A$2:A273),"")</f>
        <v>272</v>
      </c>
      <c r="T273" s="1" t="str">
        <f t="shared" si="45"/>
        <v/>
      </c>
      <c r="U273" s="1" t="str">
        <f t="shared" si="46"/>
        <v/>
      </c>
      <c r="V273" s="111" t="str">
        <f t="shared" si="47"/>
        <v/>
      </c>
      <c r="AA273" s="1">
        <v>30176</v>
      </c>
      <c r="AB273" s="1" t="s">
        <v>46</v>
      </c>
      <c r="AD273" s="1" t="str">
        <f t="shared" si="48"/>
        <v/>
      </c>
      <c r="AI273" s="122">
        <v>76</v>
      </c>
      <c r="AJ273" s="1" t="s">
        <v>1616</v>
      </c>
      <c r="AK273" s="1">
        <v>309668</v>
      </c>
      <c r="AL273" s="1" t="s">
        <v>115</v>
      </c>
      <c r="AN273" s="270">
        <v>367</v>
      </c>
      <c r="AQ273" s="1">
        <v>281</v>
      </c>
      <c r="AR273" s="1" t="s">
        <v>1041</v>
      </c>
      <c r="AS273" s="1">
        <v>256875</v>
      </c>
      <c r="AT273" s="1" t="s">
        <v>115</v>
      </c>
      <c r="AV273" s="241">
        <v>573</v>
      </c>
      <c r="AX273" s="1">
        <f t="shared" si="49"/>
        <v>1</v>
      </c>
      <c r="AY273" s="1" t="str">
        <f>IF(COUNTIF($AX$2:AX273,1)&gt;$AG$1,"",IF(AX273="","",E273))</f>
        <v/>
      </c>
      <c r="BM273" s="138" t="str">
        <f t="shared" si="50"/>
        <v xml:space="preserve">   </v>
      </c>
      <c r="BN273" s="42">
        <f t="shared" si="51"/>
        <v>11418</v>
      </c>
      <c r="BS273" s="1">
        <v>9900</v>
      </c>
      <c r="BT273" s="1" t="s">
        <v>902</v>
      </c>
      <c r="BX273" s="36"/>
    </row>
    <row r="274" spans="1:76" ht="14.25">
      <c r="A274" s="55">
        <v>11419</v>
      </c>
      <c r="B274" s="36" t="s">
        <v>1158</v>
      </c>
      <c r="C274" s="36" t="s">
        <v>75</v>
      </c>
      <c r="D274" s="36" t="s">
        <v>915</v>
      </c>
      <c r="E274" s="36" t="s">
        <v>20</v>
      </c>
      <c r="F274" s="36" t="s">
        <v>903</v>
      </c>
      <c r="G274" s="36" t="s">
        <v>894</v>
      </c>
      <c r="H274" s="36" t="s">
        <v>58</v>
      </c>
      <c r="I274" s="36" t="s">
        <v>85</v>
      </c>
      <c r="J274" s="36" t="s">
        <v>1146</v>
      </c>
      <c r="K274" s="1" t="str">
        <f t="shared" si="52"/>
        <v/>
      </c>
      <c r="L274" s="1" t="str">
        <f t="shared" si="55"/>
        <v/>
      </c>
      <c r="M274" s="94">
        <v>269</v>
      </c>
      <c r="N274" s="36" t="s">
        <v>1924</v>
      </c>
      <c r="O274" s="95">
        <v>309976</v>
      </c>
      <c r="P274" s="36"/>
      <c r="Q274" s="110" t="str">
        <f t="shared" si="53"/>
        <v/>
      </c>
      <c r="R274" s="1" t="str">
        <f t="shared" si="54"/>
        <v>CVT</v>
      </c>
      <c r="S274" s="1">
        <f>IF(A274&gt;0,COUNT(A$2:A274),"")</f>
        <v>273</v>
      </c>
      <c r="T274" s="1" t="str">
        <f t="shared" si="45"/>
        <v/>
      </c>
      <c r="U274" s="1" t="str">
        <f t="shared" si="46"/>
        <v/>
      </c>
      <c r="V274" s="111" t="str">
        <f t="shared" si="47"/>
        <v/>
      </c>
      <c r="AA274" s="1">
        <v>30177</v>
      </c>
      <c r="AB274" s="1" t="s">
        <v>46</v>
      </c>
      <c r="AD274" s="1" t="str">
        <f t="shared" si="48"/>
        <v/>
      </c>
      <c r="AI274" s="122">
        <v>77</v>
      </c>
      <c r="AJ274" s="1" t="s">
        <v>1617</v>
      </c>
      <c r="AK274" s="1">
        <v>309669</v>
      </c>
      <c r="AL274" s="1" t="s">
        <v>930</v>
      </c>
      <c r="AN274" s="270">
        <v>368</v>
      </c>
      <c r="AQ274" s="1">
        <v>282</v>
      </c>
      <c r="AR274" s="1" t="s">
        <v>1042</v>
      </c>
      <c r="AS274" s="1">
        <v>256876</v>
      </c>
      <c r="AT274" s="1" t="s">
        <v>930</v>
      </c>
      <c r="AV274" s="241">
        <v>574</v>
      </c>
      <c r="AX274" s="1">
        <f t="shared" si="49"/>
        <v>1</v>
      </c>
      <c r="AY274" s="1" t="str">
        <f>IF(COUNTIF($AX$2:AX274,1)&gt;$AG$1,"",IF(AX274="","",E274))</f>
        <v/>
      </c>
      <c r="BM274" s="138" t="str">
        <f t="shared" si="50"/>
        <v xml:space="preserve">   </v>
      </c>
      <c r="BN274" s="42">
        <f t="shared" si="51"/>
        <v>11419</v>
      </c>
      <c r="BS274" s="1">
        <v>9901</v>
      </c>
      <c r="BT274" s="1" t="s">
        <v>902</v>
      </c>
      <c r="BX274" s="36"/>
    </row>
    <row r="275" spans="1:76" ht="14.25">
      <c r="A275" s="55">
        <v>11420</v>
      </c>
      <c r="B275" s="36" t="s">
        <v>1158</v>
      </c>
      <c r="C275" s="36" t="s">
        <v>75</v>
      </c>
      <c r="D275" s="36" t="s">
        <v>911</v>
      </c>
      <c r="E275" s="36" t="s">
        <v>80</v>
      </c>
      <c r="F275" s="36" t="s">
        <v>202</v>
      </c>
      <c r="G275" s="36" t="s">
        <v>922</v>
      </c>
      <c r="H275" s="36" t="s">
        <v>58</v>
      </c>
      <c r="I275" s="36" t="s">
        <v>85</v>
      </c>
      <c r="J275" s="36" t="s">
        <v>1146</v>
      </c>
      <c r="K275" s="1" t="str">
        <f t="shared" si="52"/>
        <v/>
      </c>
      <c r="L275" s="1" t="str">
        <f t="shared" si="55"/>
        <v/>
      </c>
      <c r="M275" s="94">
        <v>270</v>
      </c>
      <c r="N275" s="36" t="s">
        <v>1925</v>
      </c>
      <c r="O275" s="95">
        <v>309977</v>
      </c>
      <c r="P275" s="36"/>
      <c r="Q275" s="110" t="str">
        <f t="shared" si="53"/>
        <v/>
      </c>
      <c r="R275" s="1" t="str">
        <f t="shared" si="54"/>
        <v>Mech</v>
      </c>
      <c r="S275" s="1">
        <f>IF(A275&gt;0,COUNT(A$2:A275),"")</f>
        <v>274</v>
      </c>
      <c r="T275" s="1" t="str">
        <f t="shared" si="45"/>
        <v/>
      </c>
      <c r="U275" s="1" t="str">
        <f t="shared" si="46"/>
        <v/>
      </c>
      <c r="V275" s="111" t="str">
        <f t="shared" si="47"/>
        <v/>
      </c>
      <c r="AA275" s="1">
        <v>30178</v>
      </c>
      <c r="AB275" s="1" t="s">
        <v>46</v>
      </c>
      <c r="AD275" s="1" t="str">
        <f t="shared" si="48"/>
        <v/>
      </c>
      <c r="AI275" s="122">
        <v>78</v>
      </c>
      <c r="AJ275" s="1" t="s">
        <v>1618</v>
      </c>
      <c r="AK275" s="1">
        <v>309670</v>
      </c>
      <c r="AL275" s="1" t="s">
        <v>115</v>
      </c>
      <c r="AN275" s="270">
        <v>369</v>
      </c>
      <c r="AQ275" s="1">
        <v>283</v>
      </c>
      <c r="AR275" s="1" t="s">
        <v>1043</v>
      </c>
      <c r="AS275" s="1">
        <v>256877</v>
      </c>
      <c r="AT275" s="1" t="s">
        <v>930</v>
      </c>
      <c r="AV275" s="241">
        <v>575</v>
      </c>
      <c r="AX275" s="1">
        <f t="shared" si="49"/>
        <v>1</v>
      </c>
      <c r="AY275" s="1" t="str">
        <f>IF(COUNTIF($AX$2:AX275,1)&gt;$AG$1,"",IF(AX275="","",E275))</f>
        <v/>
      </c>
      <c r="BM275" s="138" t="str">
        <f t="shared" si="50"/>
        <v xml:space="preserve">   </v>
      </c>
      <c r="BN275" s="42">
        <f t="shared" si="51"/>
        <v>11420</v>
      </c>
      <c r="BS275" s="1">
        <v>9902</v>
      </c>
      <c r="BT275" s="1" t="s">
        <v>902</v>
      </c>
      <c r="BX275" s="36"/>
    </row>
    <row r="276" spans="1:76" ht="14.25">
      <c r="A276" s="55">
        <v>11421</v>
      </c>
      <c r="B276" s="36" t="s">
        <v>82</v>
      </c>
      <c r="C276" s="36" t="s">
        <v>75</v>
      </c>
      <c r="D276" s="36" t="s">
        <v>906</v>
      </c>
      <c r="E276" s="36" t="s">
        <v>20</v>
      </c>
      <c r="F276" s="36" t="s">
        <v>90</v>
      </c>
      <c r="G276" s="36" t="s">
        <v>85</v>
      </c>
      <c r="H276" s="36" t="s">
        <v>58</v>
      </c>
      <c r="I276" s="36" t="s">
        <v>85</v>
      </c>
      <c r="J276" s="36" t="s">
        <v>1146</v>
      </c>
      <c r="K276" s="1" t="str">
        <f t="shared" si="52"/>
        <v/>
      </c>
      <c r="L276" s="1" t="str">
        <f t="shared" si="55"/>
        <v/>
      </c>
      <c r="M276" s="94">
        <v>271</v>
      </c>
      <c r="N276" s="36" t="s">
        <v>1926</v>
      </c>
      <c r="O276" s="95">
        <v>309978</v>
      </c>
      <c r="P276" s="36"/>
      <c r="Q276" s="110" t="str">
        <f t="shared" si="53"/>
        <v>Standard</v>
      </c>
      <c r="R276" s="1" t="str">
        <f t="shared" si="54"/>
        <v/>
      </c>
      <c r="S276" s="1">
        <f>IF(A276&gt;0,COUNT(A$2:A276),"")</f>
        <v>275</v>
      </c>
      <c r="T276" s="1" t="str">
        <f t="shared" si="45"/>
        <v/>
      </c>
      <c r="U276" s="1" t="str">
        <f t="shared" si="46"/>
        <v/>
      </c>
      <c r="V276" s="111" t="str">
        <f t="shared" si="47"/>
        <v/>
      </c>
      <c r="AA276" s="1">
        <v>30179</v>
      </c>
      <c r="AB276" s="1" t="s">
        <v>131</v>
      </c>
      <c r="AD276" s="1" t="str">
        <f t="shared" si="48"/>
        <v/>
      </c>
      <c r="AI276" s="122">
        <v>79</v>
      </c>
      <c r="AJ276" s="1" t="s">
        <v>1619</v>
      </c>
      <c r="AK276" s="1">
        <v>309671</v>
      </c>
      <c r="AL276" s="1" t="s">
        <v>930</v>
      </c>
      <c r="AN276" s="270">
        <v>370</v>
      </c>
      <c r="AQ276" s="1">
        <v>284</v>
      </c>
      <c r="AR276" s="1" t="s">
        <v>1044</v>
      </c>
      <c r="AS276" s="1">
        <v>256878</v>
      </c>
      <c r="AT276" s="1" t="s">
        <v>115</v>
      </c>
      <c r="AV276" s="241">
        <v>576</v>
      </c>
      <c r="AX276" s="1">
        <f t="shared" si="49"/>
        <v>1</v>
      </c>
      <c r="AY276" s="1" t="str">
        <f>IF(COUNTIF($AX$2:AX276,1)&gt;$AG$1,"",IF(AX276="","",E276))</f>
        <v/>
      </c>
      <c r="BM276" s="138" t="str">
        <f t="shared" si="50"/>
        <v xml:space="preserve">   </v>
      </c>
      <c r="BN276" s="42">
        <f t="shared" si="51"/>
        <v>11421</v>
      </c>
      <c r="BS276" s="1">
        <v>9903</v>
      </c>
      <c r="BT276" s="1" t="s">
        <v>902</v>
      </c>
      <c r="BX276" s="36"/>
    </row>
    <row r="277" spans="1:76" ht="14.25">
      <c r="A277" s="55">
        <v>11422</v>
      </c>
      <c r="B277" s="36" t="s">
        <v>1158</v>
      </c>
      <c r="C277" s="36" t="s">
        <v>75</v>
      </c>
      <c r="D277" s="36" t="s">
        <v>916</v>
      </c>
      <c r="E277" s="36" t="s">
        <v>80</v>
      </c>
      <c r="F277" s="36" t="s">
        <v>1139</v>
      </c>
      <c r="G277" s="36" t="s">
        <v>894</v>
      </c>
      <c r="H277" s="36" t="s">
        <v>58</v>
      </c>
      <c r="I277" s="36" t="s">
        <v>85</v>
      </c>
      <c r="J277" s="36" t="s">
        <v>1146</v>
      </c>
      <c r="K277" s="1" t="str">
        <f t="shared" si="52"/>
        <v/>
      </c>
      <c r="L277" s="1" t="str">
        <f t="shared" si="55"/>
        <v/>
      </c>
      <c r="M277" s="94">
        <v>272</v>
      </c>
      <c r="N277" s="36" t="s">
        <v>1927</v>
      </c>
      <c r="O277" s="95">
        <v>309979</v>
      </c>
      <c r="P277" s="36"/>
      <c r="Q277" s="110" t="str">
        <f t="shared" si="53"/>
        <v/>
      </c>
      <c r="R277" s="1" t="str">
        <f t="shared" si="54"/>
        <v>CVT</v>
      </c>
      <c r="S277" s="1">
        <f>IF(A277&gt;0,COUNT(A$2:A277),"")</f>
        <v>276</v>
      </c>
      <c r="T277" s="1" t="str">
        <f t="shared" si="45"/>
        <v/>
      </c>
      <c r="U277" s="1" t="str">
        <f t="shared" si="46"/>
        <v/>
      </c>
      <c r="V277" s="111" t="str">
        <f t="shared" si="47"/>
        <v/>
      </c>
      <c r="AA277" s="1">
        <v>30180</v>
      </c>
      <c r="AB277" s="1" t="s">
        <v>46</v>
      </c>
      <c r="AD277" s="1" t="str">
        <f t="shared" si="48"/>
        <v/>
      </c>
      <c r="AI277" s="122">
        <v>80</v>
      </c>
      <c r="AJ277" s="1" t="s">
        <v>1620</v>
      </c>
      <c r="AK277" s="1">
        <v>309672</v>
      </c>
      <c r="AL277" s="1" t="s">
        <v>115</v>
      </c>
      <c r="AN277" s="270">
        <v>371</v>
      </c>
      <c r="AQ277" s="1">
        <v>285</v>
      </c>
      <c r="AR277" s="1" t="s">
        <v>1045</v>
      </c>
      <c r="AS277" s="1">
        <v>256879</v>
      </c>
      <c r="AT277" s="1" t="s">
        <v>930</v>
      </c>
      <c r="AV277" s="241">
        <v>577</v>
      </c>
      <c r="AX277" s="1">
        <f t="shared" si="49"/>
        <v>1</v>
      </c>
      <c r="AY277" s="1" t="str">
        <f>IF(COUNTIF($AX$2:AX277,1)&gt;$AG$1,"",IF(AX277="","",E277))</f>
        <v/>
      </c>
      <c r="BM277" s="138" t="str">
        <f t="shared" si="50"/>
        <v xml:space="preserve">   </v>
      </c>
      <c r="BN277" s="42">
        <f t="shared" si="51"/>
        <v>11422</v>
      </c>
      <c r="BS277" s="1">
        <v>9904</v>
      </c>
      <c r="BT277" s="1" t="s">
        <v>902</v>
      </c>
      <c r="BX277" s="36"/>
    </row>
    <row r="278" spans="1:76" ht="14.25">
      <c r="A278" s="55">
        <v>11423</v>
      </c>
      <c r="B278" s="36" t="s">
        <v>82</v>
      </c>
      <c r="C278" s="36" t="s">
        <v>75</v>
      </c>
      <c r="D278" s="36" t="s">
        <v>906</v>
      </c>
      <c r="E278" s="36" t="s">
        <v>83</v>
      </c>
      <c r="F278" s="36" t="s">
        <v>87</v>
      </c>
      <c r="G278" s="36" t="s">
        <v>85</v>
      </c>
      <c r="H278" s="36" t="s">
        <v>58</v>
      </c>
      <c r="I278" s="36" t="s">
        <v>85</v>
      </c>
      <c r="J278" s="36" t="s">
        <v>1146</v>
      </c>
      <c r="K278" s="1" t="str">
        <f t="shared" si="52"/>
        <v/>
      </c>
      <c r="L278" s="1" t="str">
        <f t="shared" si="55"/>
        <v/>
      </c>
      <c r="M278" s="94">
        <v>273</v>
      </c>
      <c r="N278" s="36" t="s">
        <v>1928</v>
      </c>
      <c r="O278" s="95">
        <v>309980</v>
      </c>
      <c r="P278" s="36"/>
      <c r="Q278" s="110" t="str">
        <f t="shared" si="53"/>
        <v>Standard</v>
      </c>
      <c r="R278" s="1" t="str">
        <f t="shared" si="54"/>
        <v/>
      </c>
      <c r="S278" s="1">
        <f>IF(A278&gt;0,COUNT(A$2:A278),"")</f>
        <v>277</v>
      </c>
      <c r="T278" s="1" t="str">
        <f t="shared" si="45"/>
        <v/>
      </c>
      <c r="U278" s="1" t="str">
        <f t="shared" si="46"/>
        <v/>
      </c>
      <c r="V278" s="111" t="str">
        <f t="shared" si="47"/>
        <v/>
      </c>
      <c r="AA278" s="1">
        <v>30181</v>
      </c>
      <c r="AB278" s="1" t="s">
        <v>46</v>
      </c>
      <c r="AD278" s="1" t="str">
        <f t="shared" si="48"/>
        <v/>
      </c>
      <c r="AI278" s="122">
        <v>81</v>
      </c>
      <c r="AJ278" s="1" t="s">
        <v>1621</v>
      </c>
      <c r="AK278" s="1">
        <v>309673</v>
      </c>
      <c r="AL278" s="1" t="s">
        <v>930</v>
      </c>
      <c r="AN278" s="270">
        <v>372</v>
      </c>
      <c r="AQ278" s="1">
        <v>286</v>
      </c>
      <c r="AR278" s="1" t="s">
        <v>1046</v>
      </c>
      <c r="AS278" s="1">
        <v>256880</v>
      </c>
      <c r="AT278" s="1" t="s">
        <v>115</v>
      </c>
      <c r="AV278" s="241">
        <v>578</v>
      </c>
      <c r="AX278" s="1">
        <f t="shared" si="49"/>
        <v>1</v>
      </c>
      <c r="AY278" s="1" t="str">
        <f>IF(COUNTIF($AX$2:AX278,1)&gt;$AG$1,"",IF(AX278="","",E278))</f>
        <v/>
      </c>
      <c r="BM278" s="138" t="str">
        <f t="shared" si="50"/>
        <v xml:space="preserve">   </v>
      </c>
      <c r="BN278" s="42">
        <f t="shared" si="51"/>
        <v>11423</v>
      </c>
      <c r="BS278" s="1">
        <v>9905</v>
      </c>
      <c r="BT278" s="1" t="s">
        <v>902</v>
      </c>
      <c r="BX278" s="36"/>
    </row>
    <row r="279" spans="1:76" ht="14.25">
      <c r="A279" s="55">
        <v>11424</v>
      </c>
      <c r="B279" s="36" t="s">
        <v>1158</v>
      </c>
      <c r="C279" s="36" t="s">
        <v>75</v>
      </c>
      <c r="D279" s="36" t="s">
        <v>910</v>
      </c>
      <c r="E279" s="36" t="s">
        <v>10</v>
      </c>
      <c r="F279" s="36" t="s">
        <v>1166</v>
      </c>
      <c r="G279" s="36" t="s">
        <v>921</v>
      </c>
      <c r="H279" s="36" t="s">
        <v>58</v>
      </c>
      <c r="I279" s="36" t="s">
        <v>85</v>
      </c>
      <c r="J279" s="36" t="s">
        <v>1146</v>
      </c>
      <c r="K279" s="1" t="str">
        <f t="shared" si="52"/>
        <v/>
      </c>
      <c r="L279" s="1" t="str">
        <f t="shared" si="55"/>
        <v/>
      </c>
      <c r="M279" s="94">
        <v>274</v>
      </c>
      <c r="N279" s="36" t="s">
        <v>1929</v>
      </c>
      <c r="O279" s="95">
        <v>309981</v>
      </c>
      <c r="P279" s="36"/>
      <c r="Q279" s="110" t="str">
        <f t="shared" si="53"/>
        <v/>
      </c>
      <c r="R279" s="1" t="str">
        <f t="shared" si="54"/>
        <v>Auto</v>
      </c>
      <c r="S279" s="1">
        <f>IF(A279&gt;0,COUNT(A$2:A279),"")</f>
        <v>278</v>
      </c>
      <c r="T279" s="1" t="str">
        <f t="shared" si="45"/>
        <v/>
      </c>
      <c r="U279" s="1" t="str">
        <f t="shared" si="46"/>
        <v/>
      </c>
      <c r="V279" s="111" t="str">
        <f t="shared" si="47"/>
        <v/>
      </c>
      <c r="AA279" s="1">
        <v>30182</v>
      </c>
      <c r="AB279" s="1" t="s">
        <v>46</v>
      </c>
      <c r="AD279" s="1" t="str">
        <f t="shared" si="48"/>
        <v/>
      </c>
      <c r="AI279" s="122">
        <v>82</v>
      </c>
      <c r="AJ279" s="1" t="s">
        <v>1622</v>
      </c>
      <c r="AK279" s="1">
        <v>309674</v>
      </c>
      <c r="AL279" s="1" t="s">
        <v>930</v>
      </c>
      <c r="AN279" s="270">
        <v>373</v>
      </c>
      <c r="AQ279" s="1">
        <v>287</v>
      </c>
      <c r="AR279" s="1" t="s">
        <v>1047</v>
      </c>
      <c r="AS279" s="1">
        <v>256881</v>
      </c>
      <c r="AT279" s="1" t="s">
        <v>930</v>
      </c>
      <c r="AV279" s="241">
        <v>579</v>
      </c>
      <c r="AX279" s="1">
        <f t="shared" si="49"/>
        <v>1</v>
      </c>
      <c r="AY279" s="1" t="str">
        <f>IF(COUNTIF($AX$2:AX279,1)&gt;$AG$1,"",IF(AX279="","",E279))</f>
        <v/>
      </c>
      <c r="BM279" s="138" t="str">
        <f t="shared" si="50"/>
        <v xml:space="preserve">   </v>
      </c>
      <c r="BN279" s="42">
        <f t="shared" si="51"/>
        <v>11424</v>
      </c>
      <c r="BS279" s="1">
        <v>9906</v>
      </c>
      <c r="BT279" s="1" t="s">
        <v>902</v>
      </c>
      <c r="BX279" s="36"/>
    </row>
    <row r="280" spans="1:76" ht="14.25">
      <c r="A280" s="55">
        <v>11425</v>
      </c>
      <c r="B280" s="36" t="s">
        <v>82</v>
      </c>
      <c r="C280" s="36" t="s">
        <v>75</v>
      </c>
      <c r="D280" s="36" t="s">
        <v>906</v>
      </c>
      <c r="E280" s="36" t="s">
        <v>80</v>
      </c>
      <c r="F280" s="36" t="s">
        <v>86</v>
      </c>
      <c r="G280" s="36" t="s">
        <v>85</v>
      </c>
      <c r="H280" s="36" t="s">
        <v>58</v>
      </c>
      <c r="I280" s="36" t="s">
        <v>85</v>
      </c>
      <c r="J280" s="36" t="s">
        <v>1146</v>
      </c>
      <c r="K280" s="1" t="str">
        <f t="shared" si="52"/>
        <v/>
      </c>
      <c r="L280" s="1" t="str">
        <f t="shared" si="55"/>
        <v/>
      </c>
      <c r="M280" s="94">
        <v>275</v>
      </c>
      <c r="N280" s="36" t="s">
        <v>1930</v>
      </c>
      <c r="O280" s="95">
        <v>309982</v>
      </c>
      <c r="P280" s="36"/>
      <c r="Q280" s="110" t="str">
        <f t="shared" si="53"/>
        <v>Standard</v>
      </c>
      <c r="R280" s="1" t="str">
        <f t="shared" si="54"/>
        <v/>
      </c>
      <c r="S280" s="1">
        <f>IF(A280&gt;0,COUNT(A$2:A280),"")</f>
        <v>279</v>
      </c>
      <c r="T280" s="1" t="str">
        <f t="shared" si="45"/>
        <v/>
      </c>
      <c r="U280" s="1" t="str">
        <f t="shared" si="46"/>
        <v/>
      </c>
      <c r="V280" s="111" t="str">
        <f t="shared" si="47"/>
        <v/>
      </c>
      <c r="AA280" s="1">
        <v>30183</v>
      </c>
      <c r="AB280" s="1" t="s">
        <v>101</v>
      </c>
      <c r="AD280" s="1" t="str">
        <f t="shared" si="48"/>
        <v/>
      </c>
      <c r="AI280" s="122">
        <v>83</v>
      </c>
      <c r="AJ280" s="1" t="s">
        <v>1623</v>
      </c>
      <c r="AK280" s="1">
        <v>309675</v>
      </c>
      <c r="AL280" s="1" t="s">
        <v>115</v>
      </c>
      <c r="AN280" s="270">
        <v>374</v>
      </c>
      <c r="AQ280" s="1">
        <v>288</v>
      </c>
      <c r="AR280" s="1" t="s">
        <v>1048</v>
      </c>
      <c r="AS280" s="1">
        <v>256882</v>
      </c>
      <c r="AT280" s="1" t="s">
        <v>930</v>
      </c>
      <c r="AV280" s="241">
        <v>580</v>
      </c>
      <c r="AX280" s="1">
        <f t="shared" si="49"/>
        <v>1</v>
      </c>
      <c r="AY280" s="1" t="str">
        <f>IF(COUNTIF($AX$2:AX280,1)&gt;$AG$1,"",IF(AX280="","",E280))</f>
        <v/>
      </c>
      <c r="BM280" s="138" t="str">
        <f t="shared" si="50"/>
        <v xml:space="preserve">   </v>
      </c>
      <c r="BN280" s="42">
        <f t="shared" si="51"/>
        <v>11425</v>
      </c>
      <c r="BS280" s="1">
        <v>9907</v>
      </c>
      <c r="BT280" s="1" t="s">
        <v>902</v>
      </c>
      <c r="BX280" s="36"/>
    </row>
    <row r="281" spans="1:76" ht="14.25">
      <c r="A281" s="55">
        <v>11426</v>
      </c>
      <c r="B281" s="36" t="s">
        <v>1158</v>
      </c>
      <c r="C281" s="36" t="s">
        <v>75</v>
      </c>
      <c r="D281" s="36" t="s">
        <v>916</v>
      </c>
      <c r="E281" s="36" t="s">
        <v>1128</v>
      </c>
      <c r="F281" s="36" t="s">
        <v>1154</v>
      </c>
      <c r="G281" s="36" t="s">
        <v>894</v>
      </c>
      <c r="H281" s="36" t="s">
        <v>58</v>
      </c>
      <c r="I281" s="36" t="s">
        <v>85</v>
      </c>
      <c r="J281" s="36" t="s">
        <v>1146</v>
      </c>
      <c r="K281" s="1" t="str">
        <f t="shared" si="52"/>
        <v/>
      </c>
      <c r="L281" s="1" t="str">
        <f t="shared" si="55"/>
        <v/>
      </c>
      <c r="M281" s="94">
        <v>276</v>
      </c>
      <c r="N281" s="36" t="s">
        <v>1931</v>
      </c>
      <c r="O281" s="95">
        <v>309983</v>
      </c>
      <c r="P281" s="36"/>
      <c r="Q281" s="110" t="str">
        <f t="shared" si="53"/>
        <v/>
      </c>
      <c r="R281" s="1" t="str">
        <f t="shared" si="54"/>
        <v>CVT</v>
      </c>
      <c r="S281" s="1">
        <f>IF(A281&gt;0,COUNT(A$2:A281),"")</f>
        <v>280</v>
      </c>
      <c r="T281" s="1" t="str">
        <f t="shared" si="45"/>
        <v/>
      </c>
      <c r="U281" s="1" t="str">
        <f t="shared" si="46"/>
        <v/>
      </c>
      <c r="V281" s="111" t="str">
        <f t="shared" si="47"/>
        <v/>
      </c>
      <c r="AA281" s="1">
        <v>30184</v>
      </c>
      <c r="AB281" s="1" t="s">
        <v>46</v>
      </c>
      <c r="AD281" s="1" t="str">
        <f t="shared" si="48"/>
        <v/>
      </c>
      <c r="AI281" s="122">
        <v>84</v>
      </c>
      <c r="AJ281" s="1" t="s">
        <v>1624</v>
      </c>
      <c r="AK281" s="1">
        <v>309676</v>
      </c>
      <c r="AL281" s="1" t="s">
        <v>930</v>
      </c>
      <c r="AN281" s="270">
        <v>375</v>
      </c>
      <c r="AQ281" s="1">
        <v>289</v>
      </c>
      <c r="AR281" s="1" t="s">
        <v>1049</v>
      </c>
      <c r="AS281" s="1">
        <v>256883</v>
      </c>
      <c r="AT281" s="1" t="s">
        <v>115</v>
      </c>
      <c r="AV281" s="241">
        <v>581</v>
      </c>
      <c r="AX281" s="1">
        <f t="shared" si="49"/>
        <v>1</v>
      </c>
      <c r="AY281" s="1" t="str">
        <f>IF(COUNTIF($AX$2:AX281,1)&gt;$AG$1,"",IF(AX281="","",E281))</f>
        <v/>
      </c>
      <c r="BM281" s="138" t="str">
        <f t="shared" si="50"/>
        <v xml:space="preserve">   </v>
      </c>
      <c r="BN281" s="42">
        <f t="shared" si="51"/>
        <v>11426</v>
      </c>
      <c r="BS281" s="1">
        <v>9908</v>
      </c>
      <c r="BT281" s="1" t="s">
        <v>902</v>
      </c>
      <c r="BX281" s="36"/>
    </row>
    <row r="282" spans="1:76" ht="14.25">
      <c r="A282" s="55">
        <v>11427</v>
      </c>
      <c r="B282" s="36" t="s">
        <v>1158</v>
      </c>
      <c r="C282" s="36" t="s">
        <v>75</v>
      </c>
      <c r="D282" s="36" t="s">
        <v>909</v>
      </c>
      <c r="E282" s="36" t="s">
        <v>80</v>
      </c>
      <c r="F282" s="36" t="s">
        <v>904</v>
      </c>
      <c r="G282" s="36" t="s">
        <v>921</v>
      </c>
      <c r="H282" s="36" t="s">
        <v>58</v>
      </c>
      <c r="I282" s="36" t="s">
        <v>85</v>
      </c>
      <c r="J282" s="36" t="s">
        <v>1146</v>
      </c>
      <c r="K282" s="1" t="str">
        <f t="shared" si="52"/>
        <v/>
      </c>
      <c r="L282" s="1" t="str">
        <f t="shared" si="55"/>
        <v/>
      </c>
      <c r="M282" s="94">
        <v>277</v>
      </c>
      <c r="N282" s="36" t="s">
        <v>1932</v>
      </c>
      <c r="O282" s="95">
        <v>309984</v>
      </c>
      <c r="P282" s="36"/>
      <c r="Q282" s="110" t="str">
        <f t="shared" si="53"/>
        <v/>
      </c>
      <c r="R282" s="1" t="str">
        <f t="shared" si="54"/>
        <v>Auto</v>
      </c>
      <c r="S282" s="1">
        <f>IF(A282&gt;0,COUNT(A$2:A282),"")</f>
        <v>281</v>
      </c>
      <c r="T282" s="1" t="str">
        <f t="shared" si="45"/>
        <v/>
      </c>
      <c r="U282" s="1" t="str">
        <f t="shared" si="46"/>
        <v/>
      </c>
      <c r="V282" s="111" t="str">
        <f t="shared" si="47"/>
        <v/>
      </c>
      <c r="AA282" s="1">
        <v>30185</v>
      </c>
      <c r="AB282" s="1" t="s">
        <v>46</v>
      </c>
      <c r="AD282" s="1" t="str">
        <f t="shared" si="48"/>
        <v/>
      </c>
      <c r="AI282" s="122">
        <v>85</v>
      </c>
      <c r="AJ282" s="1" t="s">
        <v>1625</v>
      </c>
      <c r="AK282" s="1">
        <v>309677</v>
      </c>
      <c r="AL282" s="1" t="s">
        <v>115</v>
      </c>
      <c r="AN282" s="270">
        <v>376</v>
      </c>
      <c r="AQ282" s="1">
        <v>290</v>
      </c>
      <c r="AR282" s="1" t="s">
        <v>1050</v>
      </c>
      <c r="AS282" s="1">
        <v>256884</v>
      </c>
      <c r="AT282" s="1" t="s">
        <v>930</v>
      </c>
      <c r="AV282" s="241">
        <v>582</v>
      </c>
      <c r="AX282" s="1">
        <f t="shared" si="49"/>
        <v>1</v>
      </c>
      <c r="AY282" s="1" t="str">
        <f>IF(COUNTIF($AX$2:AX282,1)&gt;$AG$1,"",IF(AX282="","",E282))</f>
        <v/>
      </c>
      <c r="BM282" s="138" t="str">
        <f t="shared" si="50"/>
        <v xml:space="preserve">   </v>
      </c>
      <c r="BN282" s="42">
        <f t="shared" si="51"/>
        <v>11427</v>
      </c>
      <c r="BS282" s="1">
        <v>9909</v>
      </c>
      <c r="BT282" s="1" t="s">
        <v>902</v>
      </c>
      <c r="BX282" s="36"/>
    </row>
    <row r="283" spans="1:76" ht="14.25">
      <c r="A283" s="55">
        <v>11428</v>
      </c>
      <c r="B283" s="36" t="s">
        <v>82</v>
      </c>
      <c r="C283" s="36" t="s">
        <v>75</v>
      </c>
      <c r="D283" s="36" t="s">
        <v>906</v>
      </c>
      <c r="E283" s="36" t="s">
        <v>20</v>
      </c>
      <c r="F283" s="36" t="s">
        <v>2708</v>
      </c>
      <c r="G283" s="36" t="s">
        <v>85</v>
      </c>
      <c r="H283" s="36" t="s">
        <v>58</v>
      </c>
      <c r="I283" s="36" t="s">
        <v>85</v>
      </c>
      <c r="J283" s="36" t="s">
        <v>1146</v>
      </c>
      <c r="K283" s="1" t="str">
        <f t="shared" si="52"/>
        <v/>
      </c>
      <c r="L283" s="1" t="str">
        <f t="shared" si="55"/>
        <v/>
      </c>
      <c r="M283" s="94">
        <v>278</v>
      </c>
      <c r="N283" s="36" t="s">
        <v>1933</v>
      </c>
      <c r="O283" s="95">
        <v>309985</v>
      </c>
      <c r="P283" s="36"/>
      <c r="Q283" s="110" t="str">
        <f t="shared" si="53"/>
        <v>Sport</v>
      </c>
      <c r="R283" s="1" t="str">
        <f t="shared" si="54"/>
        <v/>
      </c>
      <c r="S283" s="1">
        <f>IF(A283&gt;0,COUNT(A$2:A283),"")</f>
        <v>282</v>
      </c>
      <c r="T283" s="1" t="str">
        <f t="shared" si="45"/>
        <v/>
      </c>
      <c r="U283" s="1" t="str">
        <f t="shared" si="46"/>
        <v/>
      </c>
      <c r="V283" s="111" t="str">
        <f t="shared" si="47"/>
        <v/>
      </c>
      <c r="AA283" s="1">
        <v>30186</v>
      </c>
      <c r="AB283" s="1" t="s">
        <v>101</v>
      </c>
      <c r="AD283" s="1" t="str">
        <f t="shared" si="48"/>
        <v/>
      </c>
      <c r="AI283" s="122">
        <v>86</v>
      </c>
      <c r="AJ283" s="1" t="s">
        <v>1626</v>
      </c>
      <c r="AK283" s="1">
        <v>309678</v>
      </c>
      <c r="AL283" s="1" t="s">
        <v>930</v>
      </c>
      <c r="AN283" s="270">
        <v>377</v>
      </c>
      <c r="AQ283" s="1">
        <v>291</v>
      </c>
      <c r="AR283" s="1" t="s">
        <v>1051</v>
      </c>
      <c r="AS283" s="1">
        <v>256885</v>
      </c>
      <c r="AT283" s="1" t="s">
        <v>930</v>
      </c>
      <c r="AV283" s="241">
        <v>583</v>
      </c>
      <c r="AX283" s="1">
        <f t="shared" si="49"/>
        <v>1</v>
      </c>
      <c r="AY283" s="1" t="str">
        <f>IF(COUNTIF($AX$2:AX283,1)&gt;$AG$1,"",IF(AX283="","",E283))</f>
        <v/>
      </c>
      <c r="BM283" s="138" t="str">
        <f t="shared" si="50"/>
        <v xml:space="preserve">   </v>
      </c>
      <c r="BN283" s="42">
        <f t="shared" si="51"/>
        <v>11428</v>
      </c>
      <c r="BS283" s="1">
        <v>9910</v>
      </c>
      <c r="BT283" s="1" t="s">
        <v>902</v>
      </c>
      <c r="BX283" s="36"/>
    </row>
    <row r="284" spans="1:76" ht="14.25">
      <c r="A284" s="55">
        <v>11429</v>
      </c>
      <c r="B284" s="36" t="s">
        <v>1158</v>
      </c>
      <c r="C284" s="36" t="s">
        <v>75</v>
      </c>
      <c r="D284" s="36" t="s">
        <v>916</v>
      </c>
      <c r="E284" s="36" t="s">
        <v>80</v>
      </c>
      <c r="F284" s="36" t="s">
        <v>1139</v>
      </c>
      <c r="G284" s="36" t="s">
        <v>894</v>
      </c>
      <c r="H284" s="36" t="s">
        <v>58</v>
      </c>
      <c r="I284" s="36" t="s">
        <v>85</v>
      </c>
      <c r="J284" s="36" t="s">
        <v>1146</v>
      </c>
      <c r="K284" s="1" t="str">
        <f t="shared" si="52"/>
        <v/>
      </c>
      <c r="L284" s="1" t="str">
        <f t="shared" si="55"/>
        <v/>
      </c>
      <c r="M284" s="94">
        <v>279</v>
      </c>
      <c r="N284" s="36" t="s">
        <v>1934</v>
      </c>
      <c r="O284" s="95">
        <v>309986</v>
      </c>
      <c r="P284" s="36"/>
      <c r="Q284" s="110" t="str">
        <f t="shared" si="53"/>
        <v/>
      </c>
      <c r="R284" s="1" t="str">
        <f t="shared" si="54"/>
        <v>CVT</v>
      </c>
      <c r="S284" s="1">
        <f>IF(A284&gt;0,COUNT(A$2:A284),"")</f>
        <v>283</v>
      </c>
      <c r="T284" s="1" t="str">
        <f t="shared" si="45"/>
        <v/>
      </c>
      <c r="U284" s="1" t="str">
        <f t="shared" si="46"/>
        <v/>
      </c>
      <c r="V284" s="111" t="str">
        <f t="shared" si="47"/>
        <v/>
      </c>
      <c r="AA284" s="1">
        <v>30187</v>
      </c>
      <c r="AB284" s="1" t="s">
        <v>46</v>
      </c>
      <c r="AD284" s="1" t="str">
        <f t="shared" si="48"/>
        <v/>
      </c>
      <c r="AI284" s="122">
        <v>87</v>
      </c>
      <c r="AJ284" s="1" t="s">
        <v>1627</v>
      </c>
      <c r="AK284" s="1">
        <v>309679</v>
      </c>
      <c r="AL284" s="1" t="s">
        <v>115</v>
      </c>
      <c r="AN284" s="270">
        <v>378</v>
      </c>
      <c r="AQ284" s="1">
        <v>292</v>
      </c>
      <c r="AR284" s="1" t="s">
        <v>1052</v>
      </c>
      <c r="AS284" s="1">
        <v>256886</v>
      </c>
      <c r="AT284" s="1" t="s">
        <v>115</v>
      </c>
      <c r="AV284" s="241">
        <v>584</v>
      </c>
      <c r="AX284" s="1">
        <f t="shared" si="49"/>
        <v>1</v>
      </c>
      <c r="AY284" s="1" t="str">
        <f>IF(COUNTIF($AX$2:AX284,1)&gt;$AG$1,"",IF(AX284="","",E284))</f>
        <v/>
      </c>
      <c r="BM284" s="138" t="str">
        <f t="shared" si="50"/>
        <v xml:space="preserve">   </v>
      </c>
      <c r="BN284" s="42">
        <f t="shared" si="51"/>
        <v>11429</v>
      </c>
      <c r="BS284" s="1">
        <v>9911</v>
      </c>
      <c r="BT284" s="1" t="s">
        <v>902</v>
      </c>
      <c r="BX284" s="36"/>
    </row>
    <row r="285" spans="1:76" ht="14.25">
      <c r="A285" s="55">
        <v>11430</v>
      </c>
      <c r="B285" s="36" t="s">
        <v>82</v>
      </c>
      <c r="C285" s="36" t="s">
        <v>75</v>
      </c>
      <c r="D285" s="36" t="s">
        <v>906</v>
      </c>
      <c r="E285" s="36" t="s">
        <v>20</v>
      </c>
      <c r="F285" s="36" t="s">
        <v>1148</v>
      </c>
      <c r="G285" s="36" t="s">
        <v>85</v>
      </c>
      <c r="H285" s="36" t="s">
        <v>58</v>
      </c>
      <c r="I285" s="36" t="s">
        <v>85</v>
      </c>
      <c r="J285" s="36" t="s">
        <v>1146</v>
      </c>
      <c r="K285" s="1" t="str">
        <f t="shared" si="52"/>
        <v/>
      </c>
      <c r="L285" s="1" t="str">
        <f t="shared" si="55"/>
        <v/>
      </c>
      <c r="M285" s="94">
        <v>280</v>
      </c>
      <c r="N285" s="36" t="s">
        <v>1935</v>
      </c>
      <c r="O285" s="95">
        <v>309987</v>
      </c>
      <c r="P285" s="36"/>
      <c r="Q285" s="110" t="str">
        <f t="shared" si="53"/>
        <v>Standard</v>
      </c>
      <c r="R285" s="1" t="str">
        <f t="shared" si="54"/>
        <v/>
      </c>
      <c r="S285" s="1">
        <f>IF(A285&gt;0,COUNT(A$2:A285),"")</f>
        <v>284</v>
      </c>
      <c r="T285" s="1" t="str">
        <f t="shared" si="45"/>
        <v/>
      </c>
      <c r="U285" s="1" t="str">
        <f t="shared" si="46"/>
        <v/>
      </c>
      <c r="V285" s="111" t="str">
        <f t="shared" si="47"/>
        <v/>
      </c>
      <c r="AA285" s="1">
        <v>30188</v>
      </c>
      <c r="AB285" s="1" t="s">
        <v>46</v>
      </c>
      <c r="AD285" s="1" t="str">
        <f t="shared" si="48"/>
        <v/>
      </c>
      <c r="AI285" s="122">
        <v>88</v>
      </c>
      <c r="AJ285" s="1" t="s">
        <v>1628</v>
      </c>
      <c r="AK285" s="1">
        <v>309680</v>
      </c>
      <c r="AL285" s="1" t="s">
        <v>930</v>
      </c>
      <c r="AN285" s="270">
        <v>379</v>
      </c>
      <c r="AQ285" s="1">
        <v>293</v>
      </c>
      <c r="AR285" s="1" t="s">
        <v>1053</v>
      </c>
      <c r="AS285" s="1">
        <v>256887</v>
      </c>
      <c r="AT285" s="1" t="s">
        <v>930</v>
      </c>
      <c r="AV285" s="241">
        <v>585</v>
      </c>
      <c r="AX285" s="1">
        <f t="shared" si="49"/>
        <v>1</v>
      </c>
      <c r="AY285" s="1" t="str">
        <f>IF(COUNTIF($AX$2:AX285,1)&gt;$AG$1,"",IF(AX285="","",E285))</f>
        <v/>
      </c>
      <c r="BM285" s="138" t="str">
        <f t="shared" si="50"/>
        <v xml:space="preserve">   </v>
      </c>
      <c r="BN285" s="42">
        <f t="shared" si="51"/>
        <v>11430</v>
      </c>
      <c r="BS285" s="1">
        <v>9912</v>
      </c>
      <c r="BT285" s="1" t="s">
        <v>902</v>
      </c>
      <c r="BX285" s="36"/>
    </row>
    <row r="286" spans="1:76" ht="14.25">
      <c r="A286" s="55">
        <v>11431</v>
      </c>
      <c r="B286" s="36" t="s">
        <v>1158</v>
      </c>
      <c r="C286" s="36" t="s">
        <v>75</v>
      </c>
      <c r="D286" s="36" t="s">
        <v>916</v>
      </c>
      <c r="E286" s="36" t="s">
        <v>80</v>
      </c>
      <c r="F286" s="36" t="s">
        <v>1139</v>
      </c>
      <c r="G286" s="36" t="s">
        <v>894</v>
      </c>
      <c r="H286" s="36" t="s">
        <v>58</v>
      </c>
      <c r="I286" s="36" t="s">
        <v>85</v>
      </c>
      <c r="J286" s="36" t="s">
        <v>1146</v>
      </c>
      <c r="K286" s="1" t="str">
        <f t="shared" si="52"/>
        <v/>
      </c>
      <c r="L286" s="1" t="str">
        <f t="shared" si="55"/>
        <v/>
      </c>
      <c r="M286" s="94">
        <v>281</v>
      </c>
      <c r="N286" s="36" t="s">
        <v>1936</v>
      </c>
      <c r="O286" s="95">
        <v>309988</v>
      </c>
      <c r="P286" s="36"/>
      <c r="Q286" s="110" t="str">
        <f t="shared" si="53"/>
        <v/>
      </c>
      <c r="R286" s="1" t="str">
        <f t="shared" si="54"/>
        <v>CVT</v>
      </c>
      <c r="S286" s="1">
        <f>IF(A286&gt;0,COUNT(A$2:A286),"")</f>
        <v>285</v>
      </c>
      <c r="T286" s="1" t="str">
        <f t="shared" si="45"/>
        <v/>
      </c>
      <c r="U286" s="1" t="str">
        <f t="shared" si="46"/>
        <v/>
      </c>
      <c r="V286" s="111" t="str">
        <f t="shared" si="47"/>
        <v/>
      </c>
      <c r="AA286" s="1">
        <v>30189</v>
      </c>
      <c r="AB286" s="1" t="s">
        <v>101</v>
      </c>
      <c r="AD286" s="1" t="str">
        <f t="shared" si="48"/>
        <v/>
      </c>
      <c r="AI286" s="122">
        <v>89</v>
      </c>
      <c r="AJ286" s="1" t="s">
        <v>1629</v>
      </c>
      <c r="AK286" s="1">
        <v>309681</v>
      </c>
      <c r="AL286" s="1" t="s">
        <v>930</v>
      </c>
      <c r="AN286" s="270">
        <v>380</v>
      </c>
      <c r="AQ286" s="1">
        <v>294</v>
      </c>
      <c r="AR286" s="1" t="s">
        <v>1054</v>
      </c>
      <c r="AS286" s="1">
        <v>256888</v>
      </c>
      <c r="AT286" s="1" t="s">
        <v>115</v>
      </c>
      <c r="AV286" s="241">
        <v>586</v>
      </c>
      <c r="AX286" s="1">
        <f t="shared" si="49"/>
        <v>1</v>
      </c>
      <c r="AY286" s="1" t="str">
        <f>IF(COUNTIF($AX$2:AX286,1)&gt;$AG$1,"",IF(AX286="","",E286))</f>
        <v/>
      </c>
      <c r="BM286" s="138" t="str">
        <f t="shared" si="50"/>
        <v xml:space="preserve">   </v>
      </c>
      <c r="BN286" s="42">
        <f t="shared" si="51"/>
        <v>11431</v>
      </c>
      <c r="BS286" s="1">
        <v>9913</v>
      </c>
      <c r="BT286" s="1" t="s">
        <v>902</v>
      </c>
      <c r="BX286" s="36"/>
    </row>
    <row r="287" spans="1:76" ht="14.25">
      <c r="A287" s="55">
        <v>11432</v>
      </c>
      <c r="B287" s="36" t="s">
        <v>82</v>
      </c>
      <c r="C287" s="36" t="s">
        <v>75</v>
      </c>
      <c r="D287" s="36" t="s">
        <v>906</v>
      </c>
      <c r="E287" s="36" t="s">
        <v>79</v>
      </c>
      <c r="F287" s="36" t="s">
        <v>1148</v>
      </c>
      <c r="G287" s="36" t="s">
        <v>85</v>
      </c>
      <c r="H287" s="36" t="s">
        <v>58</v>
      </c>
      <c r="I287" s="36" t="s">
        <v>85</v>
      </c>
      <c r="J287" s="36" t="s">
        <v>1146</v>
      </c>
      <c r="K287" s="1" t="str">
        <f t="shared" si="52"/>
        <v/>
      </c>
      <c r="L287" s="1" t="str">
        <f t="shared" si="55"/>
        <v/>
      </c>
      <c r="M287" s="94">
        <v>282</v>
      </c>
      <c r="N287" s="36" t="s">
        <v>1937</v>
      </c>
      <c r="O287" s="95">
        <v>309989</v>
      </c>
      <c r="P287" s="36"/>
      <c r="Q287" s="110" t="str">
        <f t="shared" si="53"/>
        <v>Standard</v>
      </c>
      <c r="R287" s="1" t="str">
        <f t="shared" si="54"/>
        <v/>
      </c>
      <c r="S287" s="1">
        <f>IF(A287&gt;0,COUNT(A$2:A287),"")</f>
        <v>286</v>
      </c>
      <c r="T287" s="1" t="str">
        <f t="shared" si="45"/>
        <v/>
      </c>
      <c r="U287" s="1" t="str">
        <f t="shared" si="46"/>
        <v/>
      </c>
      <c r="V287" s="111" t="str">
        <f t="shared" si="47"/>
        <v/>
      </c>
      <c r="AA287" s="1">
        <v>30190</v>
      </c>
      <c r="AB287" s="1" t="s">
        <v>101</v>
      </c>
      <c r="AD287" s="1" t="str">
        <f t="shared" si="48"/>
        <v/>
      </c>
      <c r="AI287" s="122">
        <v>90</v>
      </c>
      <c r="AJ287" s="1" t="s">
        <v>1630</v>
      </c>
      <c r="AK287" s="1">
        <v>309682</v>
      </c>
      <c r="AL287" s="1" t="s">
        <v>115</v>
      </c>
      <c r="AN287" s="270">
        <v>381</v>
      </c>
      <c r="AQ287" s="1">
        <v>295</v>
      </c>
      <c r="AR287" s="1" t="s">
        <v>1055</v>
      </c>
      <c r="AS287" s="1">
        <v>256889</v>
      </c>
      <c r="AT287" s="1" t="s">
        <v>930</v>
      </c>
      <c r="AV287" s="241">
        <v>587</v>
      </c>
      <c r="AX287" s="1">
        <f t="shared" si="49"/>
        <v>1</v>
      </c>
      <c r="AY287" s="1" t="str">
        <f>IF(COUNTIF($AX$2:AX287,1)&gt;$AG$1,"",IF(AX287="","",E287))</f>
        <v/>
      </c>
      <c r="BM287" s="138" t="str">
        <f t="shared" si="50"/>
        <v xml:space="preserve">   </v>
      </c>
      <c r="BN287" s="42">
        <f t="shared" si="51"/>
        <v>11432</v>
      </c>
      <c r="BS287" s="1">
        <v>9914</v>
      </c>
      <c r="BT287" s="1" t="s">
        <v>902</v>
      </c>
      <c r="BX287" s="36"/>
    </row>
    <row r="288" spans="1:76" ht="14.25">
      <c r="A288" s="55">
        <v>11433</v>
      </c>
      <c r="B288" s="36" t="s">
        <v>1158</v>
      </c>
      <c r="C288" s="36" t="s">
        <v>75</v>
      </c>
      <c r="D288" s="36" t="s">
        <v>910</v>
      </c>
      <c r="E288" s="36" t="s">
        <v>20</v>
      </c>
      <c r="F288" s="36" t="s">
        <v>1139</v>
      </c>
      <c r="G288" s="36" t="s">
        <v>921</v>
      </c>
      <c r="H288" s="36" t="s">
        <v>58</v>
      </c>
      <c r="I288" s="36" t="s">
        <v>85</v>
      </c>
      <c r="J288" s="36" t="s">
        <v>1146</v>
      </c>
      <c r="K288" s="1" t="str">
        <f t="shared" si="52"/>
        <v/>
      </c>
      <c r="L288" s="1" t="str">
        <f t="shared" si="55"/>
        <v/>
      </c>
      <c r="M288" s="94">
        <v>283</v>
      </c>
      <c r="N288" s="36" t="s">
        <v>1938</v>
      </c>
      <c r="O288" s="95">
        <v>309990</v>
      </c>
      <c r="P288" s="36"/>
      <c r="Q288" s="110" t="str">
        <f t="shared" si="53"/>
        <v/>
      </c>
      <c r="R288" s="1" t="str">
        <f t="shared" si="54"/>
        <v>Auto</v>
      </c>
      <c r="S288" s="1">
        <f>IF(A288&gt;0,COUNT(A$2:A288),"")</f>
        <v>287</v>
      </c>
      <c r="T288" s="1" t="str">
        <f t="shared" si="45"/>
        <v/>
      </c>
      <c r="U288" s="1" t="str">
        <f t="shared" si="46"/>
        <v/>
      </c>
      <c r="V288" s="111" t="str">
        <f t="shared" si="47"/>
        <v/>
      </c>
      <c r="AA288" s="1">
        <v>30191</v>
      </c>
      <c r="AB288" s="1" t="s">
        <v>101</v>
      </c>
      <c r="AD288" s="1" t="str">
        <f t="shared" si="48"/>
        <v/>
      </c>
      <c r="AI288" s="122">
        <v>91</v>
      </c>
      <c r="AJ288" s="1" t="s">
        <v>1631</v>
      </c>
      <c r="AK288" s="1">
        <v>309683</v>
      </c>
      <c r="AL288" s="1" t="s">
        <v>930</v>
      </c>
      <c r="AN288" s="270">
        <v>382</v>
      </c>
      <c r="AQ288" s="1">
        <v>296</v>
      </c>
      <c r="AR288" s="1" t="s">
        <v>1056</v>
      </c>
      <c r="AS288" s="1">
        <v>256890</v>
      </c>
      <c r="AT288" s="1" t="s">
        <v>930</v>
      </c>
      <c r="AV288" s="241">
        <v>588</v>
      </c>
      <c r="AX288" s="1">
        <f t="shared" si="49"/>
        <v>1</v>
      </c>
      <c r="AY288" s="1" t="str">
        <f>IF(COUNTIF($AX$2:AX288,1)&gt;$AG$1,"",IF(AX288="","",E288))</f>
        <v/>
      </c>
      <c r="BM288" s="138" t="str">
        <f t="shared" si="50"/>
        <v xml:space="preserve">   </v>
      </c>
      <c r="BN288" s="42">
        <f t="shared" si="51"/>
        <v>11433</v>
      </c>
      <c r="BS288" s="1">
        <v>9915</v>
      </c>
      <c r="BT288" s="1" t="s">
        <v>902</v>
      </c>
      <c r="BX288" s="36"/>
    </row>
    <row r="289" spans="1:76" ht="14.25">
      <c r="A289" s="55">
        <v>11434</v>
      </c>
      <c r="B289" s="36" t="s">
        <v>1158</v>
      </c>
      <c r="C289" s="36" t="s">
        <v>75</v>
      </c>
      <c r="D289" s="36" t="s">
        <v>915</v>
      </c>
      <c r="E289" s="36" t="s">
        <v>80</v>
      </c>
      <c r="F289" s="36" t="s">
        <v>1149</v>
      </c>
      <c r="G289" s="36" t="s">
        <v>894</v>
      </c>
      <c r="H289" s="36" t="s">
        <v>58</v>
      </c>
      <c r="I289" s="36" t="s">
        <v>85</v>
      </c>
      <c r="J289" s="36" t="s">
        <v>1146</v>
      </c>
      <c r="K289" s="1" t="str">
        <f t="shared" si="52"/>
        <v/>
      </c>
      <c r="L289" s="1" t="str">
        <f t="shared" si="55"/>
        <v/>
      </c>
      <c r="M289" s="94">
        <v>284</v>
      </c>
      <c r="N289" s="36" t="s">
        <v>1939</v>
      </c>
      <c r="O289" s="95">
        <v>309991</v>
      </c>
      <c r="P289" s="36"/>
      <c r="Q289" s="110" t="str">
        <f t="shared" si="53"/>
        <v/>
      </c>
      <c r="R289" s="1" t="str">
        <f t="shared" si="54"/>
        <v>CVT</v>
      </c>
      <c r="S289" s="1">
        <f>IF(A289&gt;0,COUNT(A$2:A289),"")</f>
        <v>288</v>
      </c>
      <c r="T289" s="1" t="str">
        <f t="shared" si="45"/>
        <v/>
      </c>
      <c r="U289" s="1" t="str">
        <f t="shared" si="46"/>
        <v/>
      </c>
      <c r="V289" s="111" t="str">
        <f t="shared" si="47"/>
        <v/>
      </c>
      <c r="AA289" s="1">
        <v>30192</v>
      </c>
      <c r="AB289" s="1" t="s">
        <v>101</v>
      </c>
      <c r="AD289" s="1" t="str">
        <f t="shared" si="48"/>
        <v/>
      </c>
      <c r="AI289" s="122">
        <v>92</v>
      </c>
      <c r="AJ289" s="1" t="s">
        <v>1632</v>
      </c>
      <c r="AK289" s="1">
        <v>309684</v>
      </c>
      <c r="AL289" s="1" t="s">
        <v>115</v>
      </c>
      <c r="AN289" s="270">
        <v>383</v>
      </c>
      <c r="AQ289" s="1">
        <v>297</v>
      </c>
      <c r="AR289" s="1" t="s">
        <v>1057</v>
      </c>
      <c r="AS289" s="1">
        <v>256891</v>
      </c>
      <c r="AT289" s="1" t="s">
        <v>115</v>
      </c>
      <c r="AV289" s="241">
        <v>589</v>
      </c>
      <c r="AX289" s="1">
        <f t="shared" si="49"/>
        <v>1</v>
      </c>
      <c r="AY289" s="1" t="str">
        <f>IF(COUNTIF($AX$2:AX289,1)&gt;$AG$1,"",IF(AX289="","",E289))</f>
        <v/>
      </c>
      <c r="BM289" s="138" t="str">
        <f t="shared" si="50"/>
        <v xml:space="preserve">   </v>
      </c>
      <c r="BN289" s="42">
        <f t="shared" si="51"/>
        <v>11434</v>
      </c>
      <c r="BS289" s="1">
        <v>9916</v>
      </c>
      <c r="BT289" s="1" t="s">
        <v>902</v>
      </c>
      <c r="BX289" s="36"/>
    </row>
    <row r="290" spans="1:76" ht="14.25">
      <c r="A290" s="55">
        <v>11435</v>
      </c>
      <c r="B290" s="36" t="s">
        <v>82</v>
      </c>
      <c r="C290" s="36" t="s">
        <v>75</v>
      </c>
      <c r="D290" s="36" t="s">
        <v>907</v>
      </c>
      <c r="E290" s="36" t="s">
        <v>20</v>
      </c>
      <c r="F290" s="36" t="s">
        <v>40</v>
      </c>
      <c r="G290" s="36" t="s">
        <v>85</v>
      </c>
      <c r="H290" s="36" t="s">
        <v>58</v>
      </c>
      <c r="I290" s="36" t="s">
        <v>85</v>
      </c>
      <c r="J290" s="36" t="s">
        <v>1146</v>
      </c>
      <c r="K290" s="1" t="str">
        <f t="shared" si="52"/>
        <v/>
      </c>
      <c r="L290" s="1" t="str">
        <f t="shared" si="55"/>
        <v/>
      </c>
      <c r="M290" s="94">
        <v>285</v>
      </c>
      <c r="N290" s="36" t="s">
        <v>1940</v>
      </c>
      <c r="O290" s="95">
        <v>309992</v>
      </c>
      <c r="P290" s="36"/>
      <c r="Q290" s="110" t="str">
        <f t="shared" si="53"/>
        <v>Standard</v>
      </c>
      <c r="R290" s="1" t="str">
        <f t="shared" si="54"/>
        <v/>
      </c>
      <c r="S290" s="1">
        <f>IF(A290&gt;0,COUNT(A$2:A290),"")</f>
        <v>289</v>
      </c>
      <c r="T290" s="1" t="str">
        <f t="shared" si="45"/>
        <v/>
      </c>
      <c r="U290" s="1" t="str">
        <f t="shared" si="46"/>
        <v/>
      </c>
      <c r="V290" s="111" t="str">
        <f t="shared" si="47"/>
        <v/>
      </c>
      <c r="AA290" s="1">
        <v>30193</v>
      </c>
      <c r="AB290" s="1" t="s">
        <v>101</v>
      </c>
      <c r="AD290" s="1" t="str">
        <f t="shared" si="48"/>
        <v/>
      </c>
      <c r="AI290" s="122">
        <v>93</v>
      </c>
      <c r="AJ290" s="1" t="s">
        <v>1633</v>
      </c>
      <c r="AK290" s="1">
        <v>309685</v>
      </c>
      <c r="AL290" s="1" t="s">
        <v>930</v>
      </c>
      <c r="AN290" s="270">
        <v>384</v>
      </c>
      <c r="AQ290" s="1">
        <v>298</v>
      </c>
      <c r="AR290" s="1" t="s">
        <v>1058</v>
      </c>
      <c r="AS290" s="1">
        <v>256892</v>
      </c>
      <c r="AT290" s="1" t="s">
        <v>930</v>
      </c>
      <c r="AV290" s="241">
        <v>590</v>
      </c>
      <c r="AX290" s="1">
        <f t="shared" si="49"/>
        <v>1</v>
      </c>
      <c r="AY290" s="1" t="str">
        <f>IF(COUNTIF($AX$2:AX290,1)&gt;$AG$1,"",IF(AX290="","",E290))</f>
        <v/>
      </c>
      <c r="BM290" s="138" t="str">
        <f t="shared" si="50"/>
        <v xml:space="preserve">   </v>
      </c>
      <c r="BN290" s="42">
        <f t="shared" si="51"/>
        <v>11435</v>
      </c>
      <c r="BS290" s="1">
        <v>9917</v>
      </c>
      <c r="BT290" s="1" t="s">
        <v>902</v>
      </c>
      <c r="BX290" s="36"/>
    </row>
    <row r="291" spans="1:76" ht="14.25">
      <c r="A291" s="55">
        <v>11436</v>
      </c>
      <c r="B291" s="36" t="s">
        <v>1158</v>
      </c>
      <c r="C291" s="36" t="s">
        <v>75</v>
      </c>
      <c r="D291" s="36" t="s">
        <v>909</v>
      </c>
      <c r="E291" s="36" t="s">
        <v>80</v>
      </c>
      <c r="F291" s="36" t="s">
        <v>903</v>
      </c>
      <c r="G291" s="36" t="s">
        <v>921</v>
      </c>
      <c r="H291" s="36" t="s">
        <v>58</v>
      </c>
      <c r="I291" s="36" t="s">
        <v>85</v>
      </c>
      <c r="J291" s="36" t="s">
        <v>1146</v>
      </c>
      <c r="K291" s="1" t="str">
        <f t="shared" si="52"/>
        <v/>
      </c>
      <c r="L291" s="1" t="str">
        <f t="shared" si="55"/>
        <v/>
      </c>
      <c r="M291" s="94">
        <v>286</v>
      </c>
      <c r="N291" s="36" t="s">
        <v>1941</v>
      </c>
      <c r="O291" s="95">
        <v>309993</v>
      </c>
      <c r="P291" s="36"/>
      <c r="Q291" s="110" t="str">
        <f t="shared" si="53"/>
        <v/>
      </c>
      <c r="R291" s="1" t="str">
        <f t="shared" si="54"/>
        <v>Auto</v>
      </c>
      <c r="S291" s="1">
        <f>IF(A291&gt;0,COUNT(A$2:A291),"")</f>
        <v>290</v>
      </c>
      <c r="T291" s="1" t="str">
        <f t="shared" si="45"/>
        <v/>
      </c>
      <c r="U291" s="1" t="str">
        <f t="shared" si="46"/>
        <v/>
      </c>
      <c r="V291" s="111" t="str">
        <f t="shared" si="47"/>
        <v/>
      </c>
      <c r="AA291" s="1">
        <v>30194</v>
      </c>
      <c r="AB291" s="1" t="s">
        <v>101</v>
      </c>
      <c r="AD291" s="1" t="str">
        <f t="shared" si="48"/>
        <v/>
      </c>
      <c r="AI291" s="122">
        <v>94</v>
      </c>
      <c r="AJ291" s="1" t="s">
        <v>1634</v>
      </c>
      <c r="AK291" s="1">
        <v>309686</v>
      </c>
      <c r="AL291" s="1" t="s">
        <v>115</v>
      </c>
      <c r="AN291" s="270">
        <v>385</v>
      </c>
      <c r="AQ291" s="1">
        <v>299</v>
      </c>
      <c r="AR291" s="1" t="s">
        <v>1059</v>
      </c>
      <c r="AS291" s="1">
        <v>256893</v>
      </c>
      <c r="AT291" s="1" t="s">
        <v>115</v>
      </c>
      <c r="AV291" s="241">
        <v>591</v>
      </c>
      <c r="AX291" s="1">
        <f t="shared" si="49"/>
        <v>1</v>
      </c>
      <c r="AY291" s="1" t="str">
        <f>IF(COUNTIF($AX$2:AX291,1)&gt;$AG$1,"",IF(AX291="","",E291))</f>
        <v/>
      </c>
      <c r="BM291" s="138" t="str">
        <f t="shared" si="50"/>
        <v xml:space="preserve">   </v>
      </c>
      <c r="BN291" s="42">
        <f t="shared" si="51"/>
        <v>11436</v>
      </c>
      <c r="BS291" s="1">
        <v>9918</v>
      </c>
      <c r="BT291" s="1" t="s">
        <v>902</v>
      </c>
      <c r="BX291" s="36"/>
    </row>
    <row r="292" spans="1:76" ht="14.25">
      <c r="A292" s="55">
        <v>11437</v>
      </c>
      <c r="B292" s="36" t="s">
        <v>82</v>
      </c>
      <c r="C292" s="36" t="s">
        <v>75</v>
      </c>
      <c r="D292" s="36" t="s">
        <v>906</v>
      </c>
      <c r="E292" s="36" t="s">
        <v>20</v>
      </c>
      <c r="F292" s="36" t="s">
        <v>86</v>
      </c>
      <c r="G292" s="36" t="s">
        <v>85</v>
      </c>
      <c r="H292" s="36" t="s">
        <v>58</v>
      </c>
      <c r="I292" s="36" t="s">
        <v>85</v>
      </c>
      <c r="J292" s="36" t="s">
        <v>1146</v>
      </c>
      <c r="K292" s="1" t="str">
        <f t="shared" si="52"/>
        <v/>
      </c>
      <c r="L292" s="1" t="str">
        <f t="shared" si="55"/>
        <v/>
      </c>
      <c r="M292" s="94">
        <v>287</v>
      </c>
      <c r="N292" s="36" t="s">
        <v>1942</v>
      </c>
      <c r="O292" s="95">
        <v>309994</v>
      </c>
      <c r="P292" s="36"/>
      <c r="Q292" s="110" t="str">
        <f t="shared" si="53"/>
        <v>Standard</v>
      </c>
      <c r="R292" s="1" t="str">
        <f t="shared" si="54"/>
        <v/>
      </c>
      <c r="S292" s="1">
        <f>IF(A292&gt;0,COUNT(A$2:A292),"")</f>
        <v>291</v>
      </c>
      <c r="T292" s="1" t="str">
        <f t="shared" si="45"/>
        <v/>
      </c>
      <c r="U292" s="1" t="str">
        <f t="shared" si="46"/>
        <v/>
      </c>
      <c r="V292" s="111" t="str">
        <f t="shared" si="47"/>
        <v/>
      </c>
      <c r="AA292" s="1">
        <v>30195</v>
      </c>
      <c r="AB292" s="1" t="s">
        <v>101</v>
      </c>
      <c r="AD292" s="1" t="str">
        <f t="shared" si="48"/>
        <v/>
      </c>
      <c r="AI292" s="122">
        <v>95</v>
      </c>
      <c r="AJ292" s="1" t="s">
        <v>1635</v>
      </c>
      <c r="AK292" s="1">
        <v>309687</v>
      </c>
      <c r="AL292" s="1" t="s">
        <v>930</v>
      </c>
      <c r="AN292" s="270">
        <v>386</v>
      </c>
      <c r="AQ292" s="1">
        <v>300</v>
      </c>
      <c r="AR292" s="1" t="s">
        <v>1060</v>
      </c>
      <c r="AS292" s="1">
        <v>256894</v>
      </c>
      <c r="AT292" s="1" t="s">
        <v>930</v>
      </c>
      <c r="AV292" s="241">
        <v>592</v>
      </c>
      <c r="AX292" s="1">
        <f t="shared" si="49"/>
        <v>1</v>
      </c>
      <c r="AY292" s="1" t="str">
        <f>IF(COUNTIF($AX$2:AX292,1)&gt;$AG$1,"",IF(AX292="","",E292))</f>
        <v/>
      </c>
      <c r="BM292" s="138" t="str">
        <f t="shared" si="50"/>
        <v xml:space="preserve">   </v>
      </c>
      <c r="BN292" s="42">
        <f t="shared" si="51"/>
        <v>11437</v>
      </c>
      <c r="BS292" s="1">
        <v>9919</v>
      </c>
      <c r="BT292" s="1" t="s">
        <v>902</v>
      </c>
      <c r="BX292" s="36"/>
    </row>
    <row r="293" spans="1:76" ht="14.25">
      <c r="A293" s="55">
        <v>11438</v>
      </c>
      <c r="B293" s="36" t="s">
        <v>1158</v>
      </c>
      <c r="C293" s="36" t="s">
        <v>75</v>
      </c>
      <c r="D293" s="36" t="s">
        <v>913</v>
      </c>
      <c r="E293" s="36" t="s">
        <v>80</v>
      </c>
      <c r="F293" s="36" t="s">
        <v>931</v>
      </c>
      <c r="G293" s="36" t="s">
        <v>894</v>
      </c>
      <c r="H293" s="36" t="s">
        <v>58</v>
      </c>
      <c r="I293" s="36" t="s">
        <v>85</v>
      </c>
      <c r="J293" s="36" t="s">
        <v>1146</v>
      </c>
      <c r="K293" s="1" t="str">
        <f t="shared" si="52"/>
        <v/>
      </c>
      <c r="L293" s="1" t="str">
        <f t="shared" si="55"/>
        <v/>
      </c>
      <c r="M293" s="94">
        <v>288</v>
      </c>
      <c r="N293" s="36" t="s">
        <v>1943</v>
      </c>
      <c r="O293" s="95">
        <v>309995</v>
      </c>
      <c r="P293" s="36"/>
      <c r="Q293" s="110" t="str">
        <f t="shared" si="53"/>
        <v/>
      </c>
      <c r="R293" s="1" t="str">
        <f t="shared" si="54"/>
        <v>CVT</v>
      </c>
      <c r="S293" s="1">
        <f>IF(A293&gt;0,COUNT(A$2:A293),"")</f>
        <v>292</v>
      </c>
      <c r="T293" s="1" t="str">
        <f t="shared" si="45"/>
        <v/>
      </c>
      <c r="U293" s="1" t="str">
        <f t="shared" si="46"/>
        <v/>
      </c>
      <c r="V293" s="111" t="str">
        <f t="shared" si="47"/>
        <v/>
      </c>
      <c r="AA293" s="1">
        <v>30196</v>
      </c>
      <c r="AB293" s="1" t="s">
        <v>101</v>
      </c>
      <c r="AD293" s="1" t="str">
        <f t="shared" si="48"/>
        <v/>
      </c>
      <c r="AI293" s="122">
        <v>96</v>
      </c>
      <c r="AJ293" s="1" t="s">
        <v>1636</v>
      </c>
      <c r="AK293" s="1">
        <v>309688</v>
      </c>
      <c r="AL293" s="1" t="s">
        <v>930</v>
      </c>
      <c r="AN293" s="270">
        <v>387</v>
      </c>
      <c r="AQ293" s="1">
        <v>301</v>
      </c>
      <c r="AR293" s="1" t="s">
        <v>1061</v>
      </c>
      <c r="AS293" s="1">
        <v>256895</v>
      </c>
      <c r="AT293" s="1" t="s">
        <v>930</v>
      </c>
      <c r="AV293" s="241">
        <v>593</v>
      </c>
      <c r="AX293" s="1">
        <f t="shared" si="49"/>
        <v>1</v>
      </c>
      <c r="AY293" s="1" t="str">
        <f>IF(COUNTIF($AX$2:AX293,1)&gt;$AG$1,"",IF(AX293="","",E293))</f>
        <v/>
      </c>
      <c r="BM293" s="138" t="str">
        <f t="shared" si="50"/>
        <v xml:space="preserve">   </v>
      </c>
      <c r="BN293" s="42">
        <f t="shared" si="51"/>
        <v>11438</v>
      </c>
      <c r="BS293" s="1">
        <v>9920</v>
      </c>
      <c r="BT293" s="1" t="s">
        <v>902</v>
      </c>
      <c r="BX293" s="36"/>
    </row>
    <row r="294" spans="1:76" ht="14.25">
      <c r="A294" s="55">
        <v>11439</v>
      </c>
      <c r="B294" s="36" t="s">
        <v>82</v>
      </c>
      <c r="C294" s="36" t="s">
        <v>75</v>
      </c>
      <c r="D294" s="36" t="s">
        <v>906</v>
      </c>
      <c r="E294" s="36" t="s">
        <v>1128</v>
      </c>
      <c r="F294" s="36" t="s">
        <v>1129</v>
      </c>
      <c r="G294" s="36" t="s">
        <v>85</v>
      </c>
      <c r="H294" s="36" t="s">
        <v>58</v>
      </c>
      <c r="I294" s="36" t="s">
        <v>85</v>
      </c>
      <c r="J294" s="36" t="s">
        <v>1146</v>
      </c>
      <c r="K294" s="1" t="str">
        <f t="shared" si="52"/>
        <v/>
      </c>
      <c r="L294" s="1" t="str">
        <f t="shared" si="55"/>
        <v/>
      </c>
      <c r="M294" s="94">
        <v>289</v>
      </c>
      <c r="N294" s="36" t="s">
        <v>1944</v>
      </c>
      <c r="O294" s="95">
        <v>309996</v>
      </c>
      <c r="P294" s="36"/>
      <c r="Q294" s="110" t="str">
        <f t="shared" si="53"/>
        <v>Sport</v>
      </c>
      <c r="R294" s="1" t="str">
        <f t="shared" si="54"/>
        <v/>
      </c>
      <c r="S294" s="1">
        <f>IF(A294&gt;0,COUNT(A$2:A294),"")</f>
        <v>293</v>
      </c>
      <c r="T294" s="1" t="str">
        <f t="shared" si="45"/>
        <v/>
      </c>
      <c r="U294" s="1" t="str">
        <f t="shared" si="46"/>
        <v/>
      </c>
      <c r="V294" s="111" t="str">
        <f t="shared" si="47"/>
        <v/>
      </c>
      <c r="AA294" s="1">
        <v>30197</v>
      </c>
      <c r="AB294" s="1" t="s">
        <v>101</v>
      </c>
      <c r="AD294" s="1" t="str">
        <f t="shared" si="48"/>
        <v/>
      </c>
      <c r="AI294" s="122">
        <v>97</v>
      </c>
      <c r="AJ294" s="1" t="s">
        <v>1637</v>
      </c>
      <c r="AK294" s="1">
        <v>309689</v>
      </c>
      <c r="AL294" s="1" t="s">
        <v>115</v>
      </c>
      <c r="AN294" s="270">
        <v>388</v>
      </c>
      <c r="AQ294" s="1">
        <v>302</v>
      </c>
      <c r="AR294" s="1" t="s">
        <v>1062</v>
      </c>
      <c r="AS294" s="1">
        <v>256896</v>
      </c>
      <c r="AT294" s="1" t="s">
        <v>115</v>
      </c>
      <c r="AV294" s="241">
        <v>594</v>
      </c>
      <c r="AX294" s="1">
        <f t="shared" si="49"/>
        <v>1</v>
      </c>
      <c r="AY294" s="1" t="str">
        <f>IF(COUNTIF($AX$2:AX294,1)&gt;$AG$1,"",IF(AX294="","",E294))</f>
        <v/>
      </c>
      <c r="BM294" s="138" t="str">
        <f t="shared" si="50"/>
        <v xml:space="preserve">   </v>
      </c>
      <c r="BN294" s="42">
        <f t="shared" si="51"/>
        <v>11439</v>
      </c>
      <c r="BS294" s="1">
        <v>9921</v>
      </c>
      <c r="BT294" s="1" t="s">
        <v>902</v>
      </c>
      <c r="BX294" s="36"/>
    </row>
    <row r="295" spans="1:76" ht="14.25">
      <c r="A295" s="55">
        <v>11440</v>
      </c>
      <c r="B295" s="36" t="s">
        <v>1158</v>
      </c>
      <c r="C295" s="36" t="s">
        <v>75</v>
      </c>
      <c r="D295" s="36" t="s">
        <v>916</v>
      </c>
      <c r="E295" s="36" t="s">
        <v>10</v>
      </c>
      <c r="F295" s="36" t="s">
        <v>1139</v>
      </c>
      <c r="G295" s="36" t="s">
        <v>894</v>
      </c>
      <c r="H295" s="36" t="s">
        <v>58</v>
      </c>
      <c r="I295" s="36" t="s">
        <v>85</v>
      </c>
      <c r="J295" s="36" t="s">
        <v>1146</v>
      </c>
      <c r="K295" s="1" t="str">
        <f t="shared" si="52"/>
        <v/>
      </c>
      <c r="L295" s="1" t="str">
        <f t="shared" si="55"/>
        <v/>
      </c>
      <c r="M295" s="94">
        <v>290</v>
      </c>
      <c r="N295" s="36" t="s">
        <v>1945</v>
      </c>
      <c r="O295" s="95">
        <v>309997</v>
      </c>
      <c r="P295" s="36"/>
      <c r="Q295" s="110" t="str">
        <f t="shared" si="53"/>
        <v/>
      </c>
      <c r="R295" s="1" t="str">
        <f t="shared" si="54"/>
        <v>CVT</v>
      </c>
      <c r="S295" s="1">
        <f>IF(A295&gt;0,COUNT(A$2:A295),"")</f>
        <v>294</v>
      </c>
      <c r="T295" s="1" t="str">
        <f t="shared" si="45"/>
        <v/>
      </c>
      <c r="U295" s="1" t="str">
        <f t="shared" si="46"/>
        <v/>
      </c>
      <c r="V295" s="111" t="str">
        <f t="shared" si="47"/>
        <v/>
      </c>
      <c r="AA295" s="1">
        <v>30198</v>
      </c>
      <c r="AB295" s="1" t="s">
        <v>101</v>
      </c>
      <c r="AD295" s="1" t="str">
        <f t="shared" si="48"/>
        <v/>
      </c>
      <c r="AI295" s="122">
        <v>98</v>
      </c>
      <c r="AJ295" s="1" t="s">
        <v>1638</v>
      </c>
      <c r="AK295" s="1">
        <v>309690</v>
      </c>
      <c r="AL295" s="1" t="s">
        <v>930</v>
      </c>
      <c r="AN295" s="270">
        <v>389</v>
      </c>
      <c r="AQ295" s="1">
        <v>303</v>
      </c>
      <c r="AR295" s="1" t="s">
        <v>1063</v>
      </c>
      <c r="AS295" s="1">
        <v>256897</v>
      </c>
      <c r="AT295" s="1" t="s">
        <v>930</v>
      </c>
      <c r="AV295" s="241">
        <v>595</v>
      </c>
      <c r="AX295" s="1">
        <f t="shared" si="49"/>
        <v>1</v>
      </c>
      <c r="AY295" s="1" t="str">
        <f>IF(COUNTIF($AX$2:AX295,1)&gt;$AG$1,"",IF(AX295="","",E295))</f>
        <v/>
      </c>
      <c r="BM295" s="138" t="str">
        <f t="shared" si="50"/>
        <v xml:space="preserve">   </v>
      </c>
      <c r="BN295" s="42">
        <f t="shared" si="51"/>
        <v>11440</v>
      </c>
      <c r="BS295" s="1">
        <v>9922</v>
      </c>
      <c r="BT295" s="1" t="s">
        <v>902</v>
      </c>
      <c r="BX295" s="36"/>
    </row>
    <row r="296" spans="1:76" ht="14.25">
      <c r="A296" s="55">
        <v>11441</v>
      </c>
      <c r="B296" s="36" t="s">
        <v>82</v>
      </c>
      <c r="C296" s="36" t="s">
        <v>75</v>
      </c>
      <c r="D296" s="36" t="s">
        <v>906</v>
      </c>
      <c r="E296" s="36" t="s">
        <v>20</v>
      </c>
      <c r="F296" s="36" t="s">
        <v>90</v>
      </c>
      <c r="G296" s="36" t="s">
        <v>85</v>
      </c>
      <c r="H296" s="36" t="s">
        <v>58</v>
      </c>
      <c r="I296" s="36" t="s">
        <v>85</v>
      </c>
      <c r="J296" s="36" t="s">
        <v>1146</v>
      </c>
      <c r="K296" s="1" t="str">
        <f t="shared" si="52"/>
        <v/>
      </c>
      <c r="L296" s="1" t="str">
        <f t="shared" si="55"/>
        <v/>
      </c>
      <c r="M296" s="94">
        <v>291</v>
      </c>
      <c r="N296" s="36" t="s">
        <v>1946</v>
      </c>
      <c r="O296" s="95">
        <v>309998</v>
      </c>
      <c r="P296" s="36"/>
      <c r="Q296" s="110" t="str">
        <f t="shared" si="53"/>
        <v>Standard</v>
      </c>
      <c r="R296" s="1" t="str">
        <f t="shared" si="54"/>
        <v/>
      </c>
      <c r="S296" s="1">
        <f>IF(A296&gt;0,COUNT(A$2:A296),"")</f>
        <v>295</v>
      </c>
      <c r="T296" s="1" t="str">
        <f t="shared" si="45"/>
        <v/>
      </c>
      <c r="U296" s="1" t="str">
        <f t="shared" si="46"/>
        <v/>
      </c>
      <c r="V296" s="111" t="str">
        <f t="shared" si="47"/>
        <v/>
      </c>
      <c r="AA296" s="1">
        <v>30199</v>
      </c>
      <c r="AB296" s="1" t="s">
        <v>101</v>
      </c>
      <c r="AD296" s="1" t="str">
        <f t="shared" si="48"/>
        <v/>
      </c>
      <c r="AI296" s="122">
        <v>99</v>
      </c>
      <c r="AJ296" s="1" t="s">
        <v>1639</v>
      </c>
      <c r="AK296" s="1">
        <v>309691</v>
      </c>
      <c r="AL296" s="1" t="s">
        <v>115</v>
      </c>
      <c r="AN296" s="270">
        <v>390</v>
      </c>
      <c r="AQ296" s="1">
        <v>304</v>
      </c>
      <c r="AR296" s="1" t="s">
        <v>1064</v>
      </c>
      <c r="AS296" s="1">
        <v>256898</v>
      </c>
      <c r="AT296" s="1" t="s">
        <v>115</v>
      </c>
      <c r="AV296" s="241">
        <v>596</v>
      </c>
      <c r="AX296" s="1">
        <f t="shared" si="49"/>
        <v>1</v>
      </c>
      <c r="AY296" s="1" t="str">
        <f>IF(COUNTIF($AX$2:AX296,1)&gt;$AG$1,"",IF(AX296="","",E296))</f>
        <v/>
      </c>
      <c r="BM296" s="138" t="str">
        <f t="shared" si="50"/>
        <v xml:space="preserve">   </v>
      </c>
      <c r="BN296" s="42">
        <f t="shared" si="51"/>
        <v>11441</v>
      </c>
      <c r="BS296" s="1">
        <v>9923</v>
      </c>
      <c r="BT296" s="1" t="s">
        <v>902</v>
      </c>
      <c r="BX296" s="36"/>
    </row>
    <row r="297" spans="1:76" ht="14.25">
      <c r="A297" s="55">
        <v>11442</v>
      </c>
      <c r="B297" s="36" t="s">
        <v>1158</v>
      </c>
      <c r="C297" s="36" t="s">
        <v>75</v>
      </c>
      <c r="D297" s="36" t="s">
        <v>910</v>
      </c>
      <c r="E297" s="36" t="s">
        <v>21</v>
      </c>
      <c r="F297" s="36" t="s">
        <v>1139</v>
      </c>
      <c r="G297" s="36" t="s">
        <v>921</v>
      </c>
      <c r="H297" s="36" t="s">
        <v>58</v>
      </c>
      <c r="I297" s="36" t="s">
        <v>85</v>
      </c>
      <c r="J297" s="36" t="s">
        <v>1146</v>
      </c>
      <c r="K297" s="1" t="str">
        <f t="shared" si="52"/>
        <v/>
      </c>
      <c r="L297" s="1" t="str">
        <f t="shared" si="55"/>
        <v/>
      </c>
      <c r="M297" s="94">
        <v>292</v>
      </c>
      <c r="N297" s="36" t="s">
        <v>1947</v>
      </c>
      <c r="O297" s="95">
        <v>309999</v>
      </c>
      <c r="P297" s="36"/>
      <c r="Q297" s="110" t="str">
        <f t="shared" si="53"/>
        <v/>
      </c>
      <c r="R297" s="1" t="str">
        <f t="shared" si="54"/>
        <v>Auto</v>
      </c>
      <c r="S297" s="1">
        <f>IF(A297&gt;0,COUNT(A$2:A297),"")</f>
        <v>296</v>
      </c>
      <c r="T297" s="1" t="str">
        <f t="shared" si="45"/>
        <v/>
      </c>
      <c r="U297" s="1" t="str">
        <f t="shared" si="46"/>
        <v/>
      </c>
      <c r="V297" s="111" t="str">
        <f t="shared" si="47"/>
        <v/>
      </c>
      <c r="AA297" s="1">
        <v>30200</v>
      </c>
      <c r="AB297" s="1" t="s">
        <v>101</v>
      </c>
      <c r="AD297" s="1" t="str">
        <f t="shared" si="48"/>
        <v/>
      </c>
      <c r="AI297" s="122">
        <v>100</v>
      </c>
      <c r="AJ297" s="1" t="s">
        <v>1640</v>
      </c>
      <c r="AK297" s="1">
        <v>309692</v>
      </c>
      <c r="AL297" s="1" t="s">
        <v>930</v>
      </c>
      <c r="AN297" s="270">
        <v>391</v>
      </c>
      <c r="AQ297" s="1">
        <v>305</v>
      </c>
      <c r="AR297" s="1" t="s">
        <v>1065</v>
      </c>
      <c r="AS297" s="1">
        <v>256899</v>
      </c>
      <c r="AT297" s="1" t="s">
        <v>930</v>
      </c>
      <c r="AV297" s="241">
        <v>597</v>
      </c>
      <c r="AX297" s="1">
        <f t="shared" si="49"/>
        <v>1</v>
      </c>
      <c r="AY297" s="1" t="str">
        <f>IF(COUNTIF($AX$2:AX297,1)&gt;$AG$1,"",IF(AX297="","",E297))</f>
        <v/>
      </c>
      <c r="BM297" s="138" t="str">
        <f t="shared" si="50"/>
        <v xml:space="preserve">   </v>
      </c>
      <c r="BN297" s="42">
        <f t="shared" si="51"/>
        <v>11442</v>
      </c>
      <c r="BS297" s="1">
        <v>9924</v>
      </c>
      <c r="BT297" s="1" t="s">
        <v>902</v>
      </c>
      <c r="BX297" s="36"/>
    </row>
    <row r="298" spans="1:76" ht="14.25">
      <c r="A298" s="55">
        <v>11443</v>
      </c>
      <c r="B298" s="36" t="s">
        <v>1158</v>
      </c>
      <c r="C298" s="36" t="s">
        <v>75</v>
      </c>
      <c r="D298" s="36" t="s">
        <v>915</v>
      </c>
      <c r="E298" s="36" t="s">
        <v>20</v>
      </c>
      <c r="F298" s="36" t="s">
        <v>903</v>
      </c>
      <c r="G298" s="36" t="s">
        <v>894</v>
      </c>
      <c r="H298" s="36" t="s">
        <v>58</v>
      </c>
      <c r="I298" s="36" t="s">
        <v>85</v>
      </c>
      <c r="J298" s="36" t="s">
        <v>1146</v>
      </c>
      <c r="K298" s="1" t="str">
        <f t="shared" si="52"/>
        <v/>
      </c>
      <c r="L298" s="1" t="str">
        <f t="shared" si="55"/>
        <v/>
      </c>
      <c r="M298" s="94">
        <v>293</v>
      </c>
      <c r="N298" s="36" t="s">
        <v>1948</v>
      </c>
      <c r="O298" s="95">
        <v>310000</v>
      </c>
      <c r="P298" s="36"/>
      <c r="Q298" s="110" t="str">
        <f t="shared" si="53"/>
        <v/>
      </c>
      <c r="R298" s="1" t="str">
        <f t="shared" si="54"/>
        <v>CVT</v>
      </c>
      <c r="S298" s="1">
        <f>IF(A298&gt;0,COUNT(A$2:A298),"")</f>
        <v>297</v>
      </c>
      <c r="T298" s="1" t="str">
        <f t="shared" si="45"/>
        <v/>
      </c>
      <c r="U298" s="1" t="str">
        <f t="shared" si="46"/>
        <v/>
      </c>
      <c r="V298" s="111" t="str">
        <f t="shared" si="47"/>
        <v/>
      </c>
      <c r="AA298" s="1">
        <v>30201</v>
      </c>
      <c r="AB298" s="1" t="s">
        <v>101</v>
      </c>
      <c r="AD298" s="1" t="str">
        <f t="shared" si="48"/>
        <v/>
      </c>
      <c r="AI298" s="122">
        <v>101</v>
      </c>
      <c r="AJ298" s="1" t="s">
        <v>1641</v>
      </c>
      <c r="AK298" s="1">
        <v>309693</v>
      </c>
      <c r="AL298" s="1" t="s">
        <v>115</v>
      </c>
      <c r="AN298" s="270">
        <v>392</v>
      </c>
      <c r="AQ298" s="1">
        <v>306</v>
      </c>
      <c r="AR298" s="1" t="s">
        <v>1066</v>
      </c>
      <c r="AS298" s="1">
        <v>256900</v>
      </c>
      <c r="AT298" s="1" t="s">
        <v>930</v>
      </c>
      <c r="AV298" s="241">
        <v>598</v>
      </c>
      <c r="AX298" s="1">
        <f t="shared" si="49"/>
        <v>1</v>
      </c>
      <c r="AY298" s="1" t="str">
        <f>IF(COUNTIF($AX$2:AX298,1)&gt;$AG$1,"",IF(AX298="","",E298))</f>
        <v/>
      </c>
      <c r="BM298" s="138" t="str">
        <f t="shared" si="50"/>
        <v xml:space="preserve">   </v>
      </c>
      <c r="BN298" s="42">
        <f t="shared" si="51"/>
        <v>11443</v>
      </c>
      <c r="BS298" s="1">
        <v>9925</v>
      </c>
      <c r="BT298" s="1" t="s">
        <v>902</v>
      </c>
      <c r="BX298" s="36"/>
    </row>
    <row r="299" spans="1:76" ht="14.25">
      <c r="A299" s="55">
        <v>11444</v>
      </c>
      <c r="B299" s="36" t="s">
        <v>82</v>
      </c>
      <c r="C299" s="36" t="s">
        <v>75</v>
      </c>
      <c r="D299" s="36" t="s">
        <v>906</v>
      </c>
      <c r="E299" s="36" t="s">
        <v>80</v>
      </c>
      <c r="F299" s="36" t="s">
        <v>88</v>
      </c>
      <c r="G299" s="36" t="s">
        <v>85</v>
      </c>
      <c r="H299" s="36" t="s">
        <v>58</v>
      </c>
      <c r="I299" s="36" t="s">
        <v>85</v>
      </c>
      <c r="J299" s="36" t="s">
        <v>1146</v>
      </c>
      <c r="K299" s="1" t="str">
        <f t="shared" si="52"/>
        <v/>
      </c>
      <c r="L299" s="1" t="str">
        <f t="shared" si="55"/>
        <v/>
      </c>
      <c r="M299" s="94">
        <v>294</v>
      </c>
      <c r="N299" s="36" t="s">
        <v>1949</v>
      </c>
      <c r="O299" s="95">
        <v>310001</v>
      </c>
      <c r="P299" s="36"/>
      <c r="Q299" s="110" t="str">
        <f t="shared" si="53"/>
        <v>Standard</v>
      </c>
      <c r="R299" s="1" t="str">
        <f t="shared" si="54"/>
        <v/>
      </c>
      <c r="S299" s="1">
        <f>IF(A299&gt;0,COUNT(A$2:A299),"")</f>
        <v>298</v>
      </c>
      <c r="T299" s="1" t="str">
        <f t="shared" si="45"/>
        <v/>
      </c>
      <c r="U299" s="1" t="str">
        <f t="shared" si="46"/>
        <v/>
      </c>
      <c r="V299" s="111" t="str">
        <f t="shared" si="47"/>
        <v/>
      </c>
      <c r="AA299" s="1">
        <v>30202</v>
      </c>
      <c r="AB299" s="1" t="s">
        <v>101</v>
      </c>
      <c r="AD299" s="1" t="str">
        <f t="shared" si="48"/>
        <v/>
      </c>
      <c r="AI299" s="122">
        <v>102</v>
      </c>
      <c r="AJ299" s="1" t="s">
        <v>1642</v>
      </c>
      <c r="AK299" s="1">
        <v>309694</v>
      </c>
      <c r="AL299" s="1" t="s">
        <v>930</v>
      </c>
      <c r="AN299" s="270">
        <v>393</v>
      </c>
      <c r="AQ299" s="1">
        <v>307</v>
      </c>
      <c r="AR299" s="1" t="s">
        <v>1067</v>
      </c>
      <c r="AS299" s="1">
        <v>256901</v>
      </c>
      <c r="AT299" s="1" t="s">
        <v>115</v>
      </c>
      <c r="AV299" s="241">
        <v>599</v>
      </c>
      <c r="AX299" s="1">
        <f t="shared" si="49"/>
        <v>1</v>
      </c>
      <c r="AY299" s="1" t="str">
        <f>IF(COUNTIF($AX$2:AX299,1)&gt;$AG$1,"",IF(AX299="","",E299))</f>
        <v/>
      </c>
      <c r="BM299" s="138" t="str">
        <f t="shared" si="50"/>
        <v xml:space="preserve">   </v>
      </c>
      <c r="BN299" s="42">
        <f t="shared" si="51"/>
        <v>11444</v>
      </c>
      <c r="BS299" s="1">
        <v>9926</v>
      </c>
      <c r="BT299" s="1" t="s">
        <v>902</v>
      </c>
      <c r="BX299" s="36"/>
    </row>
    <row r="300" spans="1:76" ht="14.25">
      <c r="A300" s="55">
        <v>11445</v>
      </c>
      <c r="B300" s="36" t="s">
        <v>1158</v>
      </c>
      <c r="C300" s="36" t="s">
        <v>75</v>
      </c>
      <c r="D300" s="36" t="s">
        <v>916</v>
      </c>
      <c r="E300" s="36" t="s">
        <v>156</v>
      </c>
      <c r="F300" s="36" t="s">
        <v>1166</v>
      </c>
      <c r="G300" s="36" t="s">
        <v>894</v>
      </c>
      <c r="H300" s="36" t="s">
        <v>58</v>
      </c>
      <c r="I300" s="36" t="s">
        <v>85</v>
      </c>
      <c r="J300" s="36" t="s">
        <v>1146</v>
      </c>
      <c r="K300" s="1" t="str">
        <f t="shared" si="52"/>
        <v/>
      </c>
      <c r="L300" s="1" t="str">
        <f t="shared" si="55"/>
        <v/>
      </c>
      <c r="M300" s="94">
        <v>295</v>
      </c>
      <c r="N300" s="36" t="s">
        <v>1950</v>
      </c>
      <c r="O300" s="95">
        <v>310002</v>
      </c>
      <c r="P300" s="36"/>
      <c r="Q300" s="110" t="str">
        <f t="shared" si="53"/>
        <v/>
      </c>
      <c r="R300" s="1" t="str">
        <f t="shared" si="54"/>
        <v>CVT</v>
      </c>
      <c r="S300" s="1">
        <f>IF(A300&gt;0,COUNT(A$2:A300),"")</f>
        <v>299</v>
      </c>
      <c r="T300" s="1" t="str">
        <f t="shared" si="45"/>
        <v/>
      </c>
      <c r="U300" s="1" t="str">
        <f t="shared" si="46"/>
        <v/>
      </c>
      <c r="V300" s="111" t="str">
        <f t="shared" si="47"/>
        <v/>
      </c>
      <c r="AA300" s="1">
        <v>30203</v>
      </c>
      <c r="AB300" s="1" t="s">
        <v>101</v>
      </c>
      <c r="AD300" s="1" t="str">
        <f t="shared" si="48"/>
        <v/>
      </c>
      <c r="AI300" s="122">
        <v>103</v>
      </c>
      <c r="AJ300" s="1" t="s">
        <v>1643</v>
      </c>
      <c r="AK300" s="1">
        <v>309695</v>
      </c>
      <c r="AL300" s="1" t="s">
        <v>930</v>
      </c>
      <c r="AN300" s="270">
        <v>394</v>
      </c>
      <c r="AQ300" s="1">
        <v>308</v>
      </c>
      <c r="AR300" s="1" t="s">
        <v>1068</v>
      </c>
      <c r="AS300" s="1">
        <v>256902</v>
      </c>
      <c r="AT300" s="1" t="s">
        <v>930</v>
      </c>
      <c r="AV300" s="241">
        <v>600</v>
      </c>
      <c r="AX300" s="1">
        <f t="shared" si="49"/>
        <v>1</v>
      </c>
      <c r="AY300" s="1" t="str">
        <f>IF(COUNTIF($AX$2:AX300,1)&gt;$AG$1,"",IF(AX300="","",E300))</f>
        <v/>
      </c>
      <c r="BM300" s="138" t="str">
        <f t="shared" si="50"/>
        <v xml:space="preserve">   </v>
      </c>
      <c r="BN300" s="42">
        <f t="shared" si="51"/>
        <v>11445</v>
      </c>
      <c r="BS300" s="1">
        <v>9927</v>
      </c>
      <c r="BT300" s="1" t="s">
        <v>902</v>
      </c>
      <c r="BX300" s="36"/>
    </row>
    <row r="301" spans="1:76" ht="14.25">
      <c r="A301" s="55">
        <v>11446</v>
      </c>
      <c r="B301" s="36" t="s">
        <v>82</v>
      </c>
      <c r="C301" s="36" t="s">
        <v>75</v>
      </c>
      <c r="D301" s="36" t="s">
        <v>908</v>
      </c>
      <c r="E301" s="36" t="s">
        <v>20</v>
      </c>
      <c r="F301" s="36" t="s">
        <v>84</v>
      </c>
      <c r="G301" s="36" t="s">
        <v>85</v>
      </c>
      <c r="H301" s="36" t="s">
        <v>58</v>
      </c>
      <c r="I301" s="36" t="s">
        <v>85</v>
      </c>
      <c r="J301" s="36" t="s">
        <v>1146</v>
      </c>
      <c r="K301" s="1" t="str">
        <f t="shared" si="52"/>
        <v/>
      </c>
      <c r="L301" s="1" t="str">
        <f t="shared" si="55"/>
        <v/>
      </c>
      <c r="M301" s="94">
        <v>296</v>
      </c>
      <c r="N301" s="36" t="s">
        <v>1951</v>
      </c>
      <c r="O301" s="95">
        <v>310003</v>
      </c>
      <c r="P301" s="36"/>
      <c r="Q301" s="110" t="str">
        <f t="shared" si="53"/>
        <v>Rich</v>
      </c>
      <c r="R301" s="1" t="str">
        <f t="shared" si="54"/>
        <v/>
      </c>
      <c r="S301" s="1">
        <f>IF(A301&gt;0,COUNT(A$2:A301),"")</f>
        <v>300</v>
      </c>
      <c r="T301" s="1" t="str">
        <f t="shared" si="45"/>
        <v/>
      </c>
      <c r="U301" s="1" t="str">
        <f t="shared" si="46"/>
        <v/>
      </c>
      <c r="V301" s="111" t="str">
        <f t="shared" si="47"/>
        <v/>
      </c>
      <c r="AA301" s="1">
        <v>30204</v>
      </c>
      <c r="AB301" s="1" t="s">
        <v>101</v>
      </c>
      <c r="AD301" s="1" t="str">
        <f t="shared" si="48"/>
        <v/>
      </c>
      <c r="AI301" s="122">
        <v>104</v>
      </c>
      <c r="AJ301" s="1" t="s">
        <v>1644</v>
      </c>
      <c r="AK301" s="1">
        <v>309696</v>
      </c>
      <c r="AL301" s="1" t="s">
        <v>115</v>
      </c>
      <c r="AN301" s="270">
        <v>395</v>
      </c>
      <c r="AQ301" s="1">
        <v>309</v>
      </c>
      <c r="AR301" s="1" t="s">
        <v>1069</v>
      </c>
      <c r="AS301" s="1">
        <v>256903</v>
      </c>
      <c r="AT301" s="1" t="s">
        <v>930</v>
      </c>
      <c r="AV301" s="241">
        <v>601</v>
      </c>
      <c r="AX301" s="1">
        <f t="shared" si="49"/>
        <v>1</v>
      </c>
      <c r="AY301" s="1" t="str">
        <f>IF(COUNTIF($AX$2:AX301,1)&gt;$AG$1,"",IF(AX301="","",E301))</f>
        <v/>
      </c>
      <c r="BM301" s="138" t="str">
        <f t="shared" si="50"/>
        <v xml:space="preserve">   </v>
      </c>
      <c r="BN301" s="42">
        <f t="shared" si="51"/>
        <v>11446</v>
      </c>
      <c r="BS301" s="1">
        <v>9928</v>
      </c>
      <c r="BT301" s="1" t="s">
        <v>902</v>
      </c>
      <c r="BX301" s="36"/>
    </row>
    <row r="302" spans="1:76" ht="14.25">
      <c r="A302" s="55">
        <v>11447</v>
      </c>
      <c r="B302" s="36" t="s">
        <v>1158</v>
      </c>
      <c r="C302" s="36" t="s">
        <v>75</v>
      </c>
      <c r="D302" s="36" t="s">
        <v>911</v>
      </c>
      <c r="E302" s="36" t="s">
        <v>80</v>
      </c>
      <c r="F302" s="36" t="s">
        <v>202</v>
      </c>
      <c r="G302" s="36" t="s">
        <v>922</v>
      </c>
      <c r="H302" s="36" t="s">
        <v>58</v>
      </c>
      <c r="I302" s="36" t="s">
        <v>85</v>
      </c>
      <c r="J302" s="36" t="s">
        <v>1146</v>
      </c>
      <c r="K302" s="1" t="str">
        <f t="shared" si="52"/>
        <v/>
      </c>
      <c r="L302" s="1" t="str">
        <f t="shared" si="55"/>
        <v/>
      </c>
      <c r="M302" s="94">
        <v>297</v>
      </c>
      <c r="N302" s="36" t="s">
        <v>1952</v>
      </c>
      <c r="O302" s="95">
        <v>310004</v>
      </c>
      <c r="P302" s="36"/>
      <c r="Q302" s="110" t="str">
        <f t="shared" si="53"/>
        <v/>
      </c>
      <c r="R302" s="1" t="str">
        <f t="shared" si="54"/>
        <v>Mech</v>
      </c>
      <c r="S302" s="1">
        <f>IF(A302&gt;0,COUNT(A$2:A302),"")</f>
        <v>301</v>
      </c>
      <c r="T302" s="1" t="str">
        <f t="shared" si="45"/>
        <v/>
      </c>
      <c r="U302" s="1" t="str">
        <f t="shared" si="46"/>
        <v/>
      </c>
      <c r="V302" s="111" t="str">
        <f t="shared" si="47"/>
        <v/>
      </c>
      <c r="AA302" s="1">
        <v>30205</v>
      </c>
      <c r="AB302" s="1" t="s">
        <v>101</v>
      </c>
      <c r="AD302" s="1" t="str">
        <f t="shared" si="48"/>
        <v/>
      </c>
      <c r="AI302" s="122">
        <v>105</v>
      </c>
      <c r="AJ302" s="1" t="s">
        <v>1645</v>
      </c>
      <c r="AK302" s="1">
        <v>309697</v>
      </c>
      <c r="AL302" s="1" t="s">
        <v>930</v>
      </c>
      <c r="AN302" s="270">
        <v>396</v>
      </c>
      <c r="AQ302" s="1">
        <v>310</v>
      </c>
      <c r="AR302" s="1" t="s">
        <v>1070</v>
      </c>
      <c r="AS302" s="1">
        <v>256904</v>
      </c>
      <c r="AT302" s="1" t="s">
        <v>115</v>
      </c>
      <c r="AV302" s="241">
        <v>602</v>
      </c>
      <c r="AX302" s="1">
        <f t="shared" si="49"/>
        <v>1</v>
      </c>
      <c r="AY302" s="1" t="str">
        <f>IF(COUNTIF($AX$2:AX302,1)&gt;$AG$1,"",IF(AX302="","",E302))</f>
        <v/>
      </c>
      <c r="BM302" s="138" t="str">
        <f t="shared" si="50"/>
        <v xml:space="preserve">   </v>
      </c>
      <c r="BN302" s="42">
        <f t="shared" si="51"/>
        <v>11447</v>
      </c>
      <c r="BS302" s="1">
        <v>9929</v>
      </c>
      <c r="BT302" s="1" t="s">
        <v>902</v>
      </c>
      <c r="BX302" s="36"/>
    </row>
    <row r="303" spans="1:76" ht="14.25">
      <c r="A303" s="55">
        <v>11448</v>
      </c>
      <c r="B303" s="36" t="s">
        <v>82</v>
      </c>
      <c r="C303" s="36" t="s">
        <v>75</v>
      </c>
      <c r="D303" s="36" t="s">
        <v>906</v>
      </c>
      <c r="E303" s="36" t="s">
        <v>20</v>
      </c>
      <c r="F303" s="36" t="s">
        <v>86</v>
      </c>
      <c r="G303" s="36" t="s">
        <v>85</v>
      </c>
      <c r="H303" s="36" t="s">
        <v>58</v>
      </c>
      <c r="I303" s="36" t="s">
        <v>85</v>
      </c>
      <c r="J303" s="36" t="s">
        <v>1146</v>
      </c>
      <c r="K303" s="1" t="str">
        <f t="shared" si="52"/>
        <v/>
      </c>
      <c r="L303" s="1" t="str">
        <f t="shared" si="55"/>
        <v/>
      </c>
      <c r="M303" s="94">
        <v>298</v>
      </c>
      <c r="N303" s="36" t="s">
        <v>1953</v>
      </c>
      <c r="O303" s="95">
        <v>310005</v>
      </c>
      <c r="P303" s="36"/>
      <c r="Q303" s="110" t="str">
        <f t="shared" si="53"/>
        <v>Standard</v>
      </c>
      <c r="R303" s="1" t="str">
        <f t="shared" si="54"/>
        <v/>
      </c>
      <c r="S303" s="1">
        <f>IF(A303&gt;0,COUNT(A$2:A303),"")</f>
        <v>302</v>
      </c>
      <c r="T303" s="1" t="str">
        <f t="shared" si="45"/>
        <v/>
      </c>
      <c r="U303" s="1" t="str">
        <f t="shared" si="46"/>
        <v/>
      </c>
      <c r="V303" s="111" t="str">
        <f t="shared" si="47"/>
        <v/>
      </c>
      <c r="AA303" s="1">
        <v>30206</v>
      </c>
      <c r="AB303" s="1" t="s">
        <v>896</v>
      </c>
      <c r="AD303" s="1" t="str">
        <f t="shared" si="48"/>
        <v/>
      </c>
      <c r="AI303" s="122">
        <v>106</v>
      </c>
      <c r="AJ303" s="1" t="s">
        <v>1646</v>
      </c>
      <c r="AK303" s="1">
        <v>309698</v>
      </c>
      <c r="AL303" s="1" t="s">
        <v>115</v>
      </c>
      <c r="AN303" s="270">
        <v>397</v>
      </c>
      <c r="AQ303" s="1">
        <v>311</v>
      </c>
      <c r="AR303" s="1" t="s">
        <v>1071</v>
      </c>
      <c r="AS303" s="1">
        <v>256905</v>
      </c>
      <c r="AT303" s="1" t="s">
        <v>930</v>
      </c>
      <c r="AV303" s="241">
        <v>603</v>
      </c>
      <c r="AX303" s="1">
        <f t="shared" si="49"/>
        <v>1</v>
      </c>
      <c r="AY303" s="1" t="str">
        <f>IF(COUNTIF($AX$2:AX303,1)&gt;$AG$1,"",IF(AX303="","",E303))</f>
        <v/>
      </c>
      <c r="BM303" s="138" t="str">
        <f t="shared" si="50"/>
        <v xml:space="preserve">   </v>
      </c>
      <c r="BN303" s="42">
        <f t="shared" si="51"/>
        <v>11448</v>
      </c>
      <c r="BS303" s="1">
        <v>9930</v>
      </c>
      <c r="BT303" s="1" t="s">
        <v>902</v>
      </c>
      <c r="BX303" s="36"/>
    </row>
    <row r="304" spans="1:76" ht="14.25">
      <c r="A304" s="55">
        <v>11449</v>
      </c>
      <c r="B304" s="36" t="s">
        <v>1158</v>
      </c>
      <c r="C304" s="36" t="s">
        <v>75</v>
      </c>
      <c r="D304" s="36" t="s">
        <v>910</v>
      </c>
      <c r="E304" s="36" t="s">
        <v>1128</v>
      </c>
      <c r="F304" s="36" t="s">
        <v>1154</v>
      </c>
      <c r="G304" s="36" t="s">
        <v>921</v>
      </c>
      <c r="H304" s="36" t="s">
        <v>58</v>
      </c>
      <c r="I304" s="36" t="s">
        <v>85</v>
      </c>
      <c r="J304" s="36" t="s">
        <v>1146</v>
      </c>
      <c r="K304" s="1" t="str">
        <f t="shared" si="52"/>
        <v/>
      </c>
      <c r="L304" s="1" t="str">
        <f t="shared" si="55"/>
        <v/>
      </c>
      <c r="M304" s="94">
        <v>299</v>
      </c>
      <c r="N304" s="36" t="s">
        <v>1954</v>
      </c>
      <c r="O304" s="95">
        <v>310006</v>
      </c>
      <c r="P304" s="36"/>
      <c r="Q304" s="110" t="str">
        <f t="shared" si="53"/>
        <v/>
      </c>
      <c r="R304" s="1" t="str">
        <f t="shared" si="54"/>
        <v>Auto</v>
      </c>
      <c r="S304" s="1">
        <f>IF(A304&gt;0,COUNT(A$2:A304),"")</f>
        <v>303</v>
      </c>
      <c r="T304" s="1" t="str">
        <f t="shared" si="45"/>
        <v/>
      </c>
      <c r="U304" s="1" t="str">
        <f t="shared" si="46"/>
        <v/>
      </c>
      <c r="V304" s="111" t="str">
        <f t="shared" si="47"/>
        <v/>
      </c>
      <c r="AA304" s="1">
        <v>30207</v>
      </c>
      <c r="AB304" s="1" t="s">
        <v>896</v>
      </c>
      <c r="AD304" s="1" t="str">
        <f t="shared" si="48"/>
        <v/>
      </c>
      <c r="AI304" s="122">
        <v>107</v>
      </c>
      <c r="AJ304" s="1" t="s">
        <v>1647</v>
      </c>
      <c r="AK304" s="1">
        <v>309699</v>
      </c>
      <c r="AL304" s="1" t="s">
        <v>930</v>
      </c>
      <c r="AN304" s="270">
        <v>398</v>
      </c>
      <c r="AQ304" s="1">
        <v>312</v>
      </c>
      <c r="AR304" s="1" t="s">
        <v>1072</v>
      </c>
      <c r="AS304" s="1">
        <v>256906</v>
      </c>
      <c r="AT304" s="1" t="s">
        <v>115</v>
      </c>
      <c r="AV304" s="241">
        <v>604</v>
      </c>
      <c r="AX304" s="1">
        <f t="shared" si="49"/>
        <v>1</v>
      </c>
      <c r="AY304" s="1" t="str">
        <f>IF(COUNTIF($AX$2:AX304,1)&gt;$AG$1,"",IF(AX304="","",E304))</f>
        <v/>
      </c>
      <c r="BM304" s="138" t="str">
        <f t="shared" si="50"/>
        <v xml:space="preserve">   </v>
      </c>
      <c r="BN304" s="42">
        <f t="shared" si="51"/>
        <v>11449</v>
      </c>
      <c r="BS304" s="1">
        <v>9931</v>
      </c>
      <c r="BT304" s="1" t="s">
        <v>902</v>
      </c>
      <c r="BX304" s="36"/>
    </row>
    <row r="305" spans="1:76" ht="14.25">
      <c r="A305" s="55">
        <v>11450</v>
      </c>
      <c r="B305" s="36" t="s">
        <v>1158</v>
      </c>
      <c r="C305" s="36" t="s">
        <v>75</v>
      </c>
      <c r="D305" s="36" t="s">
        <v>915</v>
      </c>
      <c r="E305" s="36" t="s">
        <v>80</v>
      </c>
      <c r="F305" s="36" t="s">
        <v>1149</v>
      </c>
      <c r="G305" s="36" t="s">
        <v>894</v>
      </c>
      <c r="H305" s="36" t="s">
        <v>58</v>
      </c>
      <c r="I305" s="36" t="s">
        <v>85</v>
      </c>
      <c r="J305" s="36" t="s">
        <v>1146</v>
      </c>
      <c r="K305" s="1" t="str">
        <f t="shared" si="52"/>
        <v/>
      </c>
      <c r="L305" s="1" t="str">
        <f t="shared" si="55"/>
        <v/>
      </c>
      <c r="M305" s="94">
        <v>300</v>
      </c>
      <c r="N305" s="36" t="s">
        <v>1955</v>
      </c>
      <c r="O305" s="95">
        <v>310007</v>
      </c>
      <c r="P305" s="36"/>
      <c r="Q305" s="110" t="str">
        <f t="shared" si="53"/>
        <v/>
      </c>
      <c r="R305" s="1" t="str">
        <f t="shared" si="54"/>
        <v>CVT</v>
      </c>
      <c r="S305" s="1">
        <f>IF(A305&gt;0,COUNT(A$2:A305),"")</f>
        <v>304</v>
      </c>
      <c r="T305" s="1" t="str">
        <f t="shared" si="45"/>
        <v/>
      </c>
      <c r="U305" s="1" t="str">
        <f t="shared" si="46"/>
        <v/>
      </c>
      <c r="V305" s="111" t="str">
        <f t="shared" si="47"/>
        <v/>
      </c>
      <c r="AA305" s="1">
        <v>30208</v>
      </c>
      <c r="AB305" s="1" t="s">
        <v>101</v>
      </c>
      <c r="AD305" s="1" t="str">
        <f t="shared" si="48"/>
        <v/>
      </c>
      <c r="AI305" s="122">
        <v>108</v>
      </c>
      <c r="AJ305" s="1" t="s">
        <v>1648</v>
      </c>
      <c r="AK305" s="1">
        <v>309700</v>
      </c>
      <c r="AL305" s="1" t="s">
        <v>115</v>
      </c>
      <c r="AN305" s="270">
        <v>399</v>
      </c>
      <c r="AQ305" s="1">
        <v>313</v>
      </c>
      <c r="AR305" s="1" t="s">
        <v>1073</v>
      </c>
      <c r="AS305" s="1">
        <v>256907</v>
      </c>
      <c r="AT305" s="1" t="s">
        <v>930</v>
      </c>
      <c r="AV305" s="241">
        <v>605</v>
      </c>
      <c r="AX305" s="1">
        <f t="shared" si="49"/>
        <v>1</v>
      </c>
      <c r="AY305" s="1" t="str">
        <f>IF(COUNTIF($AX$2:AX305,1)&gt;$AG$1,"",IF(AX305="","",E305))</f>
        <v/>
      </c>
      <c r="BM305" s="138" t="str">
        <f t="shared" si="50"/>
        <v xml:space="preserve">   </v>
      </c>
      <c r="BN305" s="42">
        <f t="shared" si="51"/>
        <v>11450</v>
      </c>
      <c r="BS305" s="1">
        <v>9932</v>
      </c>
      <c r="BT305" s="1" t="s">
        <v>902</v>
      </c>
      <c r="BX305" s="36"/>
    </row>
    <row r="306" spans="1:76" ht="14.25">
      <c r="A306" s="55">
        <v>11451</v>
      </c>
      <c r="B306" s="36" t="s">
        <v>82</v>
      </c>
      <c r="C306" s="36" t="s">
        <v>75</v>
      </c>
      <c r="D306" s="36" t="s">
        <v>906</v>
      </c>
      <c r="E306" s="36" t="s">
        <v>20</v>
      </c>
      <c r="F306" s="36" t="s">
        <v>87</v>
      </c>
      <c r="G306" s="36" t="s">
        <v>85</v>
      </c>
      <c r="H306" s="36" t="s">
        <v>58</v>
      </c>
      <c r="I306" s="36" t="s">
        <v>85</v>
      </c>
      <c r="J306" s="36" t="s">
        <v>1146</v>
      </c>
      <c r="K306" s="1" t="str">
        <f t="shared" si="52"/>
        <v/>
      </c>
      <c r="L306" s="1" t="str">
        <f t="shared" si="55"/>
        <v/>
      </c>
      <c r="M306" s="94">
        <v>301</v>
      </c>
      <c r="N306" s="36" t="s">
        <v>1956</v>
      </c>
      <c r="O306" s="95">
        <v>310008</v>
      </c>
      <c r="P306" s="36"/>
      <c r="Q306" s="110" t="str">
        <f t="shared" si="53"/>
        <v>Standard</v>
      </c>
      <c r="R306" s="1" t="str">
        <f t="shared" si="54"/>
        <v/>
      </c>
      <c r="S306" s="1">
        <f>IF(A306&gt;0,COUNT(A$2:A306),"")</f>
        <v>305</v>
      </c>
      <c r="T306" s="1" t="str">
        <f t="shared" si="45"/>
        <v/>
      </c>
      <c r="U306" s="1" t="str">
        <f t="shared" si="46"/>
        <v/>
      </c>
      <c r="V306" s="111" t="str">
        <f t="shared" si="47"/>
        <v/>
      </c>
      <c r="AA306" s="1">
        <v>30209</v>
      </c>
      <c r="AB306" s="1" t="s">
        <v>101</v>
      </c>
      <c r="AD306" s="1" t="str">
        <f t="shared" si="48"/>
        <v/>
      </c>
      <c r="AI306" s="122">
        <v>109</v>
      </c>
      <c r="AJ306" s="1" t="s">
        <v>1649</v>
      </c>
      <c r="AK306" s="1">
        <v>309701</v>
      </c>
      <c r="AL306" s="1" t="s">
        <v>930</v>
      </c>
      <c r="AN306" s="270">
        <v>400</v>
      </c>
      <c r="AQ306" s="1">
        <v>314</v>
      </c>
      <c r="AR306" s="1" t="s">
        <v>1074</v>
      </c>
      <c r="AS306" s="1">
        <v>256908</v>
      </c>
      <c r="AT306" s="1" t="s">
        <v>930</v>
      </c>
      <c r="AV306" s="241">
        <v>606</v>
      </c>
      <c r="AX306" s="1">
        <f t="shared" si="49"/>
        <v>1</v>
      </c>
      <c r="AY306" s="1" t="str">
        <f>IF(COUNTIF($AX$2:AX306,1)&gt;$AG$1,"",IF(AX306="","",E306))</f>
        <v/>
      </c>
      <c r="BM306" s="138" t="str">
        <f t="shared" si="50"/>
        <v xml:space="preserve">   </v>
      </c>
      <c r="BN306" s="42">
        <f t="shared" si="51"/>
        <v>11451</v>
      </c>
      <c r="BS306" s="1">
        <v>9933</v>
      </c>
      <c r="BT306" s="1" t="s">
        <v>902</v>
      </c>
      <c r="BX306" s="36"/>
    </row>
    <row r="307" spans="1:76" ht="14.25">
      <c r="A307" s="55">
        <v>11452</v>
      </c>
      <c r="B307" s="36" t="s">
        <v>1158</v>
      </c>
      <c r="C307" s="36" t="s">
        <v>75</v>
      </c>
      <c r="D307" s="36" t="s">
        <v>916</v>
      </c>
      <c r="E307" s="36" t="s">
        <v>80</v>
      </c>
      <c r="F307" s="36" t="s">
        <v>1139</v>
      </c>
      <c r="G307" s="36" t="s">
        <v>894</v>
      </c>
      <c r="H307" s="36" t="s">
        <v>58</v>
      </c>
      <c r="I307" s="36" t="s">
        <v>85</v>
      </c>
      <c r="J307" s="36" t="s">
        <v>1146</v>
      </c>
      <c r="K307" s="1" t="str">
        <f t="shared" si="52"/>
        <v/>
      </c>
      <c r="L307" s="1" t="str">
        <f t="shared" si="55"/>
        <v/>
      </c>
      <c r="M307" s="94">
        <v>302</v>
      </c>
      <c r="N307" s="36" t="s">
        <v>1957</v>
      </c>
      <c r="O307" s="95">
        <v>310009</v>
      </c>
      <c r="P307" s="36"/>
      <c r="Q307" s="110" t="str">
        <f t="shared" si="53"/>
        <v/>
      </c>
      <c r="R307" s="1" t="str">
        <f t="shared" si="54"/>
        <v>CVT</v>
      </c>
      <c r="S307" s="1">
        <f>IF(A307&gt;0,COUNT(A$2:A307),"")</f>
        <v>306</v>
      </c>
      <c r="T307" s="1" t="str">
        <f t="shared" si="45"/>
        <v/>
      </c>
      <c r="U307" s="1" t="str">
        <f t="shared" si="46"/>
        <v/>
      </c>
      <c r="V307" s="111" t="str">
        <f t="shared" si="47"/>
        <v/>
      </c>
      <c r="AA307" s="1">
        <v>30210</v>
      </c>
      <c r="AB307" s="1" t="s">
        <v>131</v>
      </c>
      <c r="AD307" s="1" t="str">
        <f t="shared" si="48"/>
        <v/>
      </c>
      <c r="AI307" s="122">
        <v>110</v>
      </c>
      <c r="AJ307" s="1" t="s">
        <v>1650</v>
      </c>
      <c r="AK307" s="1">
        <v>309702</v>
      </c>
      <c r="AL307" s="1" t="s">
        <v>930</v>
      </c>
      <c r="AN307" s="270">
        <v>401</v>
      </c>
      <c r="AQ307" s="1">
        <v>315</v>
      </c>
      <c r="AR307" s="1" t="s">
        <v>1075</v>
      </c>
      <c r="AS307" s="1">
        <v>256909</v>
      </c>
      <c r="AT307" s="1" t="s">
        <v>115</v>
      </c>
      <c r="AV307" s="241">
        <v>607</v>
      </c>
      <c r="AX307" s="1">
        <f t="shared" si="49"/>
        <v>1</v>
      </c>
      <c r="AY307" s="1" t="str">
        <f>IF(COUNTIF($AX$2:AX307,1)&gt;$AG$1,"",IF(AX307="","",E307))</f>
        <v/>
      </c>
      <c r="BM307" s="138" t="str">
        <f t="shared" si="50"/>
        <v xml:space="preserve">   </v>
      </c>
      <c r="BN307" s="42">
        <f t="shared" si="51"/>
        <v>11452</v>
      </c>
      <c r="BS307" s="1">
        <v>9934</v>
      </c>
      <c r="BT307" s="1" t="s">
        <v>902</v>
      </c>
      <c r="BX307" s="36"/>
    </row>
    <row r="308" spans="1:76" ht="14.25">
      <c r="A308" s="55">
        <v>11453</v>
      </c>
      <c r="B308" s="36" t="s">
        <v>82</v>
      </c>
      <c r="C308" s="36" t="s">
        <v>75</v>
      </c>
      <c r="D308" s="36" t="s">
        <v>906</v>
      </c>
      <c r="E308" s="36" t="s">
        <v>20</v>
      </c>
      <c r="F308" s="36" t="s">
        <v>1148</v>
      </c>
      <c r="G308" s="36" t="s">
        <v>85</v>
      </c>
      <c r="H308" s="36" t="s">
        <v>58</v>
      </c>
      <c r="I308" s="36" t="s">
        <v>85</v>
      </c>
      <c r="J308" s="36" t="s">
        <v>1146</v>
      </c>
      <c r="K308" s="1" t="str">
        <f t="shared" si="52"/>
        <v/>
      </c>
      <c r="L308" s="1" t="str">
        <f t="shared" si="55"/>
        <v/>
      </c>
      <c r="M308" s="94">
        <v>303</v>
      </c>
      <c r="N308" s="36" t="s">
        <v>1958</v>
      </c>
      <c r="O308" s="95">
        <v>310010</v>
      </c>
      <c r="P308" s="36"/>
      <c r="Q308" s="110" t="str">
        <f t="shared" si="53"/>
        <v>Standard</v>
      </c>
      <c r="R308" s="1" t="str">
        <f t="shared" si="54"/>
        <v/>
      </c>
      <c r="S308" s="1">
        <f>IF(A308&gt;0,COUNT(A$2:A308),"")</f>
        <v>307</v>
      </c>
      <c r="T308" s="1" t="str">
        <f t="shared" si="45"/>
        <v/>
      </c>
      <c r="U308" s="1" t="str">
        <f t="shared" si="46"/>
        <v/>
      </c>
      <c r="V308" s="111" t="str">
        <f t="shared" si="47"/>
        <v/>
      </c>
      <c r="AA308" s="1">
        <v>30211</v>
      </c>
      <c r="AB308" s="1" t="s">
        <v>49</v>
      </c>
      <c r="AD308" s="1" t="str">
        <f t="shared" si="48"/>
        <v/>
      </c>
      <c r="AI308" s="122">
        <v>111</v>
      </c>
      <c r="AJ308" s="1" t="s">
        <v>1651</v>
      </c>
      <c r="AK308" s="1">
        <v>309703</v>
      </c>
      <c r="AL308" s="1" t="s">
        <v>115</v>
      </c>
      <c r="AN308" s="270">
        <v>402</v>
      </c>
      <c r="AQ308" s="1">
        <v>316</v>
      </c>
      <c r="AR308" s="1" t="s">
        <v>1076</v>
      </c>
      <c r="AS308" s="1">
        <v>256910</v>
      </c>
      <c r="AT308" s="1" t="s">
        <v>930</v>
      </c>
      <c r="AV308" s="241">
        <v>608</v>
      </c>
      <c r="AX308" s="1">
        <f t="shared" si="49"/>
        <v>1</v>
      </c>
      <c r="AY308" s="1" t="str">
        <f>IF(COUNTIF($AX$2:AX308,1)&gt;$AG$1,"",IF(AX308="","",E308))</f>
        <v/>
      </c>
      <c r="BM308" s="138" t="str">
        <f t="shared" si="50"/>
        <v xml:space="preserve">   </v>
      </c>
      <c r="BN308" s="42">
        <f t="shared" si="51"/>
        <v>11453</v>
      </c>
      <c r="BS308" s="1">
        <v>9935</v>
      </c>
      <c r="BT308" s="1" t="s">
        <v>902</v>
      </c>
      <c r="BX308" s="36"/>
    </row>
    <row r="309" spans="1:76" ht="14.25">
      <c r="A309" s="55">
        <v>11454</v>
      </c>
      <c r="B309" s="36" t="s">
        <v>1158</v>
      </c>
      <c r="C309" s="36" t="s">
        <v>75</v>
      </c>
      <c r="D309" s="36" t="s">
        <v>910</v>
      </c>
      <c r="E309" s="36" t="s">
        <v>79</v>
      </c>
      <c r="F309" s="36" t="s">
        <v>1139</v>
      </c>
      <c r="G309" s="36" t="s">
        <v>921</v>
      </c>
      <c r="H309" s="36" t="s">
        <v>58</v>
      </c>
      <c r="I309" s="36" t="s">
        <v>85</v>
      </c>
      <c r="J309" s="36" t="s">
        <v>1146</v>
      </c>
      <c r="K309" s="1" t="str">
        <f t="shared" si="52"/>
        <v/>
      </c>
      <c r="L309" s="1" t="str">
        <f t="shared" si="55"/>
        <v/>
      </c>
      <c r="M309" s="94">
        <v>304</v>
      </c>
      <c r="N309" s="36" t="s">
        <v>1959</v>
      </c>
      <c r="O309" s="95">
        <v>310011</v>
      </c>
      <c r="P309" s="36"/>
      <c r="Q309" s="110" t="str">
        <f t="shared" si="53"/>
        <v/>
      </c>
      <c r="R309" s="1" t="str">
        <f t="shared" si="54"/>
        <v>Auto</v>
      </c>
      <c r="S309" s="1">
        <f>IF(A309&gt;0,COUNT(A$2:A309),"")</f>
        <v>308</v>
      </c>
      <c r="T309" s="1" t="str">
        <f t="shared" si="45"/>
        <v/>
      </c>
      <c r="U309" s="1" t="str">
        <f t="shared" si="46"/>
        <v/>
      </c>
      <c r="V309" s="111" t="str">
        <f t="shared" si="47"/>
        <v/>
      </c>
      <c r="AA309" s="1">
        <v>30212</v>
      </c>
      <c r="AB309" s="1" t="s">
        <v>49</v>
      </c>
      <c r="AD309" s="1" t="str">
        <f t="shared" si="48"/>
        <v/>
      </c>
      <c r="AI309" s="122">
        <v>112</v>
      </c>
      <c r="AJ309" s="1" t="s">
        <v>1652</v>
      </c>
      <c r="AK309" s="1">
        <v>309704</v>
      </c>
      <c r="AL309" s="1" t="s">
        <v>930</v>
      </c>
      <c r="AN309" s="270">
        <v>403</v>
      </c>
      <c r="AQ309" s="1">
        <v>317</v>
      </c>
      <c r="AR309" s="1" t="s">
        <v>1077</v>
      </c>
      <c r="AS309" s="1">
        <v>256911</v>
      </c>
      <c r="AT309" s="1" t="s">
        <v>115</v>
      </c>
      <c r="AV309" s="241">
        <v>609</v>
      </c>
      <c r="AX309" s="1">
        <f t="shared" si="49"/>
        <v>1</v>
      </c>
      <c r="AY309" s="1" t="str">
        <f>IF(COUNTIF($AX$2:AX309,1)&gt;$AG$1,"",IF(AX309="","",E309))</f>
        <v/>
      </c>
      <c r="BM309" s="138" t="str">
        <f t="shared" si="50"/>
        <v xml:space="preserve">   </v>
      </c>
      <c r="BN309" s="42">
        <f t="shared" si="51"/>
        <v>11454</v>
      </c>
      <c r="BS309" s="1">
        <v>9936</v>
      </c>
      <c r="BT309" s="1" t="s">
        <v>902</v>
      </c>
      <c r="BX309" s="36"/>
    </row>
    <row r="310" spans="1:76" ht="14.25">
      <c r="A310" s="55">
        <v>11455</v>
      </c>
      <c r="B310" s="36" t="s">
        <v>82</v>
      </c>
      <c r="C310" s="36" t="s">
        <v>75</v>
      </c>
      <c r="D310" s="36" t="s">
        <v>906</v>
      </c>
      <c r="E310" s="36" t="s">
        <v>80</v>
      </c>
      <c r="F310" s="36" t="s">
        <v>86</v>
      </c>
      <c r="G310" s="36" t="s">
        <v>85</v>
      </c>
      <c r="H310" s="36" t="s">
        <v>58</v>
      </c>
      <c r="I310" s="36" t="s">
        <v>85</v>
      </c>
      <c r="J310" s="36" t="s">
        <v>1146</v>
      </c>
      <c r="K310" s="1" t="str">
        <f t="shared" si="52"/>
        <v/>
      </c>
      <c r="L310" s="1" t="str">
        <f t="shared" si="55"/>
        <v/>
      </c>
      <c r="M310" s="94">
        <v>305</v>
      </c>
      <c r="N310" s="36" t="s">
        <v>1960</v>
      </c>
      <c r="O310" s="95">
        <v>310012</v>
      </c>
      <c r="P310" s="36"/>
      <c r="Q310" s="110" t="str">
        <f t="shared" si="53"/>
        <v>Standard</v>
      </c>
      <c r="R310" s="1" t="str">
        <f t="shared" si="54"/>
        <v/>
      </c>
      <c r="S310" s="1">
        <f>IF(A310&gt;0,COUNT(A$2:A310),"")</f>
        <v>309</v>
      </c>
      <c r="T310" s="1" t="str">
        <f t="shared" si="45"/>
        <v/>
      </c>
      <c r="U310" s="1" t="str">
        <f t="shared" si="46"/>
        <v/>
      </c>
      <c r="V310" s="111" t="str">
        <f t="shared" si="47"/>
        <v/>
      </c>
      <c r="AA310" s="1">
        <v>30213</v>
      </c>
      <c r="AB310" s="1" t="s">
        <v>49</v>
      </c>
      <c r="AD310" s="1" t="str">
        <f t="shared" si="48"/>
        <v/>
      </c>
      <c r="AI310" s="122">
        <v>113</v>
      </c>
      <c r="AJ310" s="1" t="s">
        <v>1653</v>
      </c>
      <c r="AK310" s="1">
        <v>309705</v>
      </c>
      <c r="AL310" s="1" t="s">
        <v>115</v>
      </c>
      <c r="AN310" s="270">
        <v>404</v>
      </c>
      <c r="AQ310" s="1">
        <v>318</v>
      </c>
      <c r="AR310" s="1" t="s">
        <v>1078</v>
      </c>
      <c r="AS310" s="1">
        <v>256912</v>
      </c>
      <c r="AT310" s="1" t="s">
        <v>930</v>
      </c>
      <c r="AV310" s="241">
        <v>610</v>
      </c>
      <c r="AX310" s="1">
        <f t="shared" si="49"/>
        <v>1</v>
      </c>
      <c r="AY310" s="1" t="str">
        <f>IF(COUNTIF($AX$2:AX310,1)&gt;$AG$1,"",IF(AX310="","",E310))</f>
        <v/>
      </c>
      <c r="BM310" s="138" t="str">
        <f t="shared" si="50"/>
        <v xml:space="preserve">   </v>
      </c>
      <c r="BN310" s="42">
        <f t="shared" si="51"/>
        <v>11455</v>
      </c>
      <c r="BS310" s="1">
        <v>9937</v>
      </c>
      <c r="BT310" s="1" t="s">
        <v>902</v>
      </c>
      <c r="BX310" s="36"/>
    </row>
    <row r="311" spans="1:76" ht="14.25">
      <c r="A311" s="55">
        <v>11456</v>
      </c>
      <c r="B311" s="36" t="s">
        <v>1158</v>
      </c>
      <c r="C311" s="36" t="s">
        <v>75</v>
      </c>
      <c r="D311" s="36" t="s">
        <v>915</v>
      </c>
      <c r="E311" s="36" t="s">
        <v>20</v>
      </c>
      <c r="F311" s="36" t="s">
        <v>903</v>
      </c>
      <c r="G311" s="36" t="s">
        <v>894</v>
      </c>
      <c r="H311" s="36" t="s">
        <v>58</v>
      </c>
      <c r="I311" s="36" t="s">
        <v>85</v>
      </c>
      <c r="J311" s="36" t="s">
        <v>1146</v>
      </c>
      <c r="K311" s="1" t="str">
        <f t="shared" si="52"/>
        <v/>
      </c>
      <c r="L311" s="1" t="str">
        <f t="shared" si="55"/>
        <v/>
      </c>
      <c r="M311" s="94">
        <v>306</v>
      </c>
      <c r="N311" s="36" t="s">
        <v>1961</v>
      </c>
      <c r="O311" s="95">
        <v>310013</v>
      </c>
      <c r="P311" s="36"/>
      <c r="Q311" s="110" t="str">
        <f t="shared" si="53"/>
        <v/>
      </c>
      <c r="R311" s="1" t="str">
        <f t="shared" si="54"/>
        <v>CVT</v>
      </c>
      <c r="S311" s="1">
        <f>IF(A311&gt;0,COUNT(A$2:A311),"")</f>
        <v>310</v>
      </c>
      <c r="T311" s="1" t="str">
        <f t="shared" si="45"/>
        <v/>
      </c>
      <c r="U311" s="1" t="str">
        <f t="shared" si="46"/>
        <v/>
      </c>
      <c r="V311" s="111" t="str">
        <f t="shared" si="47"/>
        <v/>
      </c>
      <c r="AA311" s="1">
        <v>30214</v>
      </c>
      <c r="AB311" s="1" t="s">
        <v>49</v>
      </c>
      <c r="AD311" s="1" t="str">
        <f t="shared" si="48"/>
        <v/>
      </c>
      <c r="AI311" s="122">
        <v>114</v>
      </c>
      <c r="AJ311" s="1" t="s">
        <v>1654</v>
      </c>
      <c r="AK311" s="1">
        <v>309706</v>
      </c>
      <c r="AL311" s="1" t="s">
        <v>930</v>
      </c>
      <c r="AN311" s="270">
        <v>405</v>
      </c>
      <c r="AQ311" s="1">
        <v>319</v>
      </c>
      <c r="AR311" s="1" t="s">
        <v>1079</v>
      </c>
      <c r="AS311" s="1">
        <v>256913</v>
      </c>
      <c r="AT311" s="1" t="s">
        <v>930</v>
      </c>
      <c r="AV311" s="241">
        <v>611</v>
      </c>
      <c r="AX311" s="1">
        <f t="shared" si="49"/>
        <v>1</v>
      </c>
      <c r="AY311" s="1" t="str">
        <f>IF(COUNTIF($AX$2:AX311,1)&gt;$AG$1,"",IF(AX311="","",E311))</f>
        <v/>
      </c>
      <c r="BM311" s="138" t="str">
        <f t="shared" si="50"/>
        <v xml:space="preserve">   </v>
      </c>
      <c r="BN311" s="42">
        <f t="shared" si="51"/>
        <v>11456</v>
      </c>
      <c r="BS311" s="1">
        <v>9938</v>
      </c>
      <c r="BT311" s="1" t="s">
        <v>902</v>
      </c>
      <c r="BX311" s="36"/>
    </row>
    <row r="312" spans="1:76" ht="14.25">
      <c r="A312" s="55">
        <v>11457</v>
      </c>
      <c r="B312" s="36" t="s">
        <v>1158</v>
      </c>
      <c r="C312" s="36" t="s">
        <v>75</v>
      </c>
      <c r="D312" s="36" t="s">
        <v>916</v>
      </c>
      <c r="E312" s="36" t="s">
        <v>80</v>
      </c>
      <c r="F312" s="36" t="s">
        <v>1174</v>
      </c>
      <c r="G312" s="36" t="s">
        <v>894</v>
      </c>
      <c r="H312" s="36" t="s">
        <v>58</v>
      </c>
      <c r="I312" s="36" t="s">
        <v>85</v>
      </c>
      <c r="J312" s="36" t="s">
        <v>1146</v>
      </c>
      <c r="K312" s="1" t="str">
        <f t="shared" si="52"/>
        <v/>
      </c>
      <c r="L312" s="1" t="str">
        <f t="shared" si="55"/>
        <v/>
      </c>
      <c r="M312" s="94">
        <v>307</v>
      </c>
      <c r="N312" s="36" t="s">
        <v>1962</v>
      </c>
      <c r="O312" s="95">
        <v>310014</v>
      </c>
      <c r="P312" s="36"/>
      <c r="Q312" s="110" t="str">
        <f t="shared" si="53"/>
        <v/>
      </c>
      <c r="R312" s="1" t="str">
        <f t="shared" si="54"/>
        <v>CVT</v>
      </c>
      <c r="S312" s="1">
        <f>IF(A312&gt;0,COUNT(A$2:A312),"")</f>
        <v>311</v>
      </c>
      <c r="T312" s="1" t="str">
        <f t="shared" si="45"/>
        <v/>
      </c>
      <c r="U312" s="1" t="str">
        <f t="shared" si="46"/>
        <v/>
      </c>
      <c r="V312" s="111" t="str">
        <f t="shared" si="47"/>
        <v/>
      </c>
      <c r="AA312" s="1">
        <v>30215</v>
      </c>
      <c r="AB312" s="1" t="s">
        <v>49</v>
      </c>
      <c r="AD312" s="1" t="str">
        <f t="shared" si="48"/>
        <v/>
      </c>
      <c r="AI312" s="122">
        <v>115</v>
      </c>
      <c r="AJ312" s="1" t="s">
        <v>1655</v>
      </c>
      <c r="AK312" s="1">
        <v>309707</v>
      </c>
      <c r="AL312" s="1" t="s">
        <v>115</v>
      </c>
      <c r="AN312" s="270">
        <v>406</v>
      </c>
      <c r="AQ312" s="1">
        <v>320</v>
      </c>
      <c r="AR312" s="1" t="s">
        <v>1080</v>
      </c>
      <c r="AS312" s="1">
        <v>256914</v>
      </c>
      <c r="AT312" s="1" t="s">
        <v>115</v>
      </c>
      <c r="AV312" s="241">
        <v>612</v>
      </c>
      <c r="AX312" s="1">
        <f t="shared" si="49"/>
        <v>1</v>
      </c>
      <c r="AY312" s="1" t="str">
        <f>IF(COUNTIF($AX$2:AX312,1)&gt;$AG$1,"",IF(AX312="","",E312))</f>
        <v/>
      </c>
      <c r="BM312" s="138" t="str">
        <f t="shared" si="50"/>
        <v xml:space="preserve">   </v>
      </c>
      <c r="BN312" s="42">
        <f t="shared" si="51"/>
        <v>11457</v>
      </c>
      <c r="BS312" s="1">
        <v>9939</v>
      </c>
      <c r="BT312" s="1" t="s">
        <v>902</v>
      </c>
      <c r="BX312" s="36"/>
    </row>
    <row r="313" spans="1:76" ht="14.25">
      <c r="A313" s="55">
        <v>11458</v>
      </c>
      <c r="B313" s="36" t="s">
        <v>82</v>
      </c>
      <c r="C313" s="36" t="s">
        <v>75</v>
      </c>
      <c r="D313" s="36" t="s">
        <v>906</v>
      </c>
      <c r="E313" s="36" t="s">
        <v>83</v>
      </c>
      <c r="F313" s="36" t="s">
        <v>87</v>
      </c>
      <c r="G313" s="36" t="s">
        <v>85</v>
      </c>
      <c r="H313" s="36" t="s">
        <v>58</v>
      </c>
      <c r="I313" s="36" t="s">
        <v>85</v>
      </c>
      <c r="J313" s="36" t="s">
        <v>1146</v>
      </c>
      <c r="K313" s="1" t="str">
        <f t="shared" si="52"/>
        <v/>
      </c>
      <c r="L313" s="1" t="str">
        <f t="shared" si="55"/>
        <v/>
      </c>
      <c r="M313" s="94">
        <v>308</v>
      </c>
      <c r="N313" s="36" t="s">
        <v>1963</v>
      </c>
      <c r="O313" s="95">
        <v>310015</v>
      </c>
      <c r="P313" s="36"/>
      <c r="Q313" s="110" t="str">
        <f t="shared" si="53"/>
        <v>Standard</v>
      </c>
      <c r="R313" s="1" t="str">
        <f t="shared" si="54"/>
        <v/>
      </c>
      <c r="S313" s="1">
        <f>IF(A313&gt;0,COUNT(A$2:A313),"")</f>
        <v>312</v>
      </c>
      <c r="T313" s="1" t="str">
        <f t="shared" si="45"/>
        <v/>
      </c>
      <c r="U313" s="1" t="str">
        <f t="shared" si="46"/>
        <v/>
      </c>
      <c r="V313" s="111" t="str">
        <f t="shared" si="47"/>
        <v/>
      </c>
      <c r="AA313" s="1">
        <v>30216</v>
      </c>
      <c r="AB313" s="1" t="s">
        <v>50</v>
      </c>
      <c r="AD313" s="1" t="str">
        <f t="shared" si="48"/>
        <v/>
      </c>
      <c r="AI313" s="122">
        <v>116</v>
      </c>
      <c r="AJ313" s="1" t="s">
        <v>1656</v>
      </c>
      <c r="AK313" s="1">
        <v>309708</v>
      </c>
      <c r="AL313" s="1" t="s">
        <v>930</v>
      </c>
      <c r="AN313" s="270">
        <v>407</v>
      </c>
      <c r="AQ313" s="1">
        <v>321</v>
      </c>
      <c r="AR313" s="1" t="s">
        <v>1081</v>
      </c>
      <c r="AS313" s="1">
        <v>256915</v>
      </c>
      <c r="AT313" s="1" t="s">
        <v>930</v>
      </c>
      <c r="AV313" s="241">
        <v>613</v>
      </c>
      <c r="AX313" s="1">
        <f t="shared" si="49"/>
        <v>1</v>
      </c>
      <c r="AY313" s="1" t="str">
        <f>IF(COUNTIF($AX$2:AX313,1)&gt;$AG$1,"",IF(AX313="","",E313))</f>
        <v/>
      </c>
      <c r="BM313" s="138" t="str">
        <f t="shared" si="50"/>
        <v xml:space="preserve">   </v>
      </c>
      <c r="BN313" s="42">
        <f t="shared" si="51"/>
        <v>11458</v>
      </c>
      <c r="BS313" s="1">
        <v>9940</v>
      </c>
      <c r="BT313" s="1" t="s">
        <v>902</v>
      </c>
      <c r="BX313" s="36"/>
    </row>
    <row r="314" spans="1:76" ht="14.25">
      <c r="A314" s="55">
        <v>11459</v>
      </c>
      <c r="B314" s="36" t="s">
        <v>1158</v>
      </c>
      <c r="C314" s="36" t="s">
        <v>75</v>
      </c>
      <c r="D314" s="36" t="s">
        <v>910</v>
      </c>
      <c r="E314" s="36" t="s">
        <v>21</v>
      </c>
      <c r="F314" s="36" t="s">
        <v>1139</v>
      </c>
      <c r="G314" s="36" t="s">
        <v>921</v>
      </c>
      <c r="H314" s="36" t="s">
        <v>58</v>
      </c>
      <c r="I314" s="36" t="s">
        <v>85</v>
      </c>
      <c r="J314" s="36" t="s">
        <v>1146</v>
      </c>
      <c r="K314" s="1" t="str">
        <f t="shared" si="52"/>
        <v/>
      </c>
      <c r="L314" s="1" t="str">
        <f t="shared" si="55"/>
        <v/>
      </c>
      <c r="M314" s="94">
        <v>309</v>
      </c>
      <c r="N314" s="36" t="s">
        <v>1964</v>
      </c>
      <c r="O314" s="95">
        <v>310016</v>
      </c>
      <c r="P314" s="36"/>
      <c r="Q314" s="110" t="str">
        <f t="shared" si="53"/>
        <v/>
      </c>
      <c r="R314" s="1" t="str">
        <f t="shared" si="54"/>
        <v>Auto</v>
      </c>
      <c r="S314" s="1">
        <f>IF(A314&gt;0,COUNT(A$2:A314),"")</f>
        <v>313</v>
      </c>
      <c r="T314" s="1" t="str">
        <f t="shared" si="45"/>
        <v/>
      </c>
      <c r="U314" s="1" t="str">
        <f t="shared" si="46"/>
        <v/>
      </c>
      <c r="V314" s="111" t="str">
        <f t="shared" si="47"/>
        <v/>
      </c>
      <c r="AA314" s="1">
        <v>30217</v>
      </c>
      <c r="AB314" s="1" t="s">
        <v>50</v>
      </c>
      <c r="AD314" s="1" t="str">
        <f t="shared" si="48"/>
        <v/>
      </c>
      <c r="AI314" s="122">
        <v>117</v>
      </c>
      <c r="AJ314" s="1" t="s">
        <v>1657</v>
      </c>
      <c r="AK314" s="1">
        <v>309709</v>
      </c>
      <c r="AL314" s="1" t="s">
        <v>930</v>
      </c>
      <c r="AN314" s="270">
        <v>408</v>
      </c>
      <c r="AQ314" s="1">
        <v>322</v>
      </c>
      <c r="AR314" s="1" t="s">
        <v>1082</v>
      </c>
      <c r="AS314" s="1">
        <v>256916</v>
      </c>
      <c r="AT314" s="1" t="s">
        <v>115</v>
      </c>
      <c r="AV314" s="241">
        <v>614</v>
      </c>
      <c r="AX314" s="1">
        <f t="shared" si="49"/>
        <v>1</v>
      </c>
      <c r="AY314" s="1" t="str">
        <f>IF(COUNTIF($AX$2:AX314,1)&gt;$AG$1,"",IF(AX314="","",E314))</f>
        <v/>
      </c>
      <c r="BM314" s="138" t="str">
        <f t="shared" si="50"/>
        <v xml:space="preserve">   </v>
      </c>
      <c r="BN314" s="42">
        <f t="shared" si="51"/>
        <v>11459</v>
      </c>
      <c r="BS314" s="1">
        <v>9941</v>
      </c>
      <c r="BT314" s="1" t="s">
        <v>902</v>
      </c>
      <c r="BX314" s="36"/>
    </row>
    <row r="315" spans="1:76" ht="14.25">
      <c r="A315" s="55">
        <v>11460</v>
      </c>
      <c r="B315" s="36" t="s">
        <v>82</v>
      </c>
      <c r="C315" s="36" t="s">
        <v>75</v>
      </c>
      <c r="D315" s="36" t="s">
        <v>907</v>
      </c>
      <c r="E315" s="36" t="s">
        <v>10</v>
      </c>
      <c r="F315" s="36" t="s">
        <v>42</v>
      </c>
      <c r="G315" s="36" t="s">
        <v>85</v>
      </c>
      <c r="H315" s="36" t="s">
        <v>58</v>
      </c>
      <c r="I315" s="36" t="s">
        <v>85</v>
      </c>
      <c r="J315" s="36" t="s">
        <v>1146</v>
      </c>
      <c r="K315" s="1" t="str">
        <f t="shared" si="52"/>
        <v/>
      </c>
      <c r="L315" s="1" t="str">
        <f t="shared" si="55"/>
        <v/>
      </c>
      <c r="M315" s="94">
        <v>310</v>
      </c>
      <c r="N315" s="36" t="s">
        <v>1965</v>
      </c>
      <c r="O315" s="95">
        <v>310017</v>
      </c>
      <c r="P315" s="36"/>
      <c r="Q315" s="110" t="str">
        <f t="shared" si="53"/>
        <v>Standard</v>
      </c>
      <c r="R315" s="1" t="str">
        <f t="shared" si="54"/>
        <v/>
      </c>
      <c r="S315" s="1">
        <f>IF(A315&gt;0,COUNT(A$2:A315),"")</f>
        <v>314</v>
      </c>
      <c r="T315" s="1" t="str">
        <f t="shared" si="45"/>
        <v/>
      </c>
      <c r="U315" s="1" t="str">
        <f t="shared" si="46"/>
        <v/>
      </c>
      <c r="V315" s="111" t="str">
        <f t="shared" si="47"/>
        <v/>
      </c>
      <c r="AA315" s="1">
        <v>30218</v>
      </c>
      <c r="AB315" s="1" t="s">
        <v>50</v>
      </c>
      <c r="AD315" s="1" t="str">
        <f t="shared" si="48"/>
        <v/>
      </c>
      <c r="AI315" s="122">
        <v>118</v>
      </c>
      <c r="AJ315" s="1" t="s">
        <v>1658</v>
      </c>
      <c r="AK315" s="1">
        <v>309710</v>
      </c>
      <c r="AL315" s="1" t="s">
        <v>115</v>
      </c>
      <c r="AN315" s="270">
        <v>409</v>
      </c>
      <c r="AQ315" s="1">
        <v>323</v>
      </c>
      <c r="AR315" s="1" t="s">
        <v>1083</v>
      </c>
      <c r="AS315" s="1">
        <v>256917</v>
      </c>
      <c r="AT315" s="1" t="s">
        <v>930</v>
      </c>
      <c r="AV315" s="241">
        <v>615</v>
      </c>
      <c r="AX315" s="1">
        <f t="shared" si="49"/>
        <v>1</v>
      </c>
      <c r="AY315" s="1" t="str">
        <f>IF(COUNTIF($AX$2:AX315,1)&gt;$AG$1,"",IF(AX315="","",E315))</f>
        <v/>
      </c>
      <c r="BM315" s="138" t="str">
        <f t="shared" si="50"/>
        <v xml:space="preserve">   </v>
      </c>
      <c r="BN315" s="42">
        <f t="shared" si="51"/>
        <v>11460</v>
      </c>
      <c r="BS315" s="1">
        <v>9942</v>
      </c>
      <c r="BT315" s="1" t="s">
        <v>902</v>
      </c>
      <c r="BX315" s="36"/>
    </row>
    <row r="316" spans="1:76" ht="14.25">
      <c r="A316" s="55">
        <v>11461</v>
      </c>
      <c r="B316" s="36" t="s">
        <v>1158</v>
      </c>
      <c r="C316" s="36" t="s">
        <v>75</v>
      </c>
      <c r="D316" s="36" t="s">
        <v>913</v>
      </c>
      <c r="E316" s="36" t="s">
        <v>80</v>
      </c>
      <c r="F316" s="36" t="s">
        <v>931</v>
      </c>
      <c r="G316" s="36" t="s">
        <v>894</v>
      </c>
      <c r="H316" s="36" t="s">
        <v>58</v>
      </c>
      <c r="I316" s="36" t="s">
        <v>85</v>
      </c>
      <c r="J316" s="36" t="s">
        <v>1146</v>
      </c>
      <c r="K316" s="1" t="str">
        <f t="shared" si="52"/>
        <v/>
      </c>
      <c r="L316" s="1" t="str">
        <f t="shared" si="55"/>
        <v/>
      </c>
      <c r="M316" s="94">
        <v>311</v>
      </c>
      <c r="N316" s="36" t="s">
        <v>1966</v>
      </c>
      <c r="O316" s="95">
        <v>310018</v>
      </c>
      <c r="P316" s="36"/>
      <c r="Q316" s="110" t="str">
        <f t="shared" si="53"/>
        <v/>
      </c>
      <c r="R316" s="1" t="str">
        <f t="shared" si="54"/>
        <v>CVT</v>
      </c>
      <c r="S316" s="1">
        <f>IF(A316&gt;0,COUNT(A$2:A316),"")</f>
        <v>315</v>
      </c>
      <c r="T316" s="1" t="str">
        <f t="shared" si="45"/>
        <v/>
      </c>
      <c r="U316" s="1" t="str">
        <f t="shared" si="46"/>
        <v/>
      </c>
      <c r="V316" s="111" t="str">
        <f t="shared" si="47"/>
        <v/>
      </c>
      <c r="AA316" s="1">
        <v>30219</v>
      </c>
      <c r="AB316" s="1" t="s">
        <v>50</v>
      </c>
      <c r="AD316" s="1" t="str">
        <f t="shared" si="48"/>
        <v/>
      </c>
      <c r="AI316" s="122">
        <v>119</v>
      </c>
      <c r="AJ316" s="1" t="s">
        <v>1659</v>
      </c>
      <c r="AK316" s="1">
        <v>309711</v>
      </c>
      <c r="AL316" s="1" t="s">
        <v>930</v>
      </c>
      <c r="AN316" s="270">
        <v>410</v>
      </c>
      <c r="AQ316" s="1">
        <v>324</v>
      </c>
      <c r="AR316" s="1" t="s">
        <v>1084</v>
      </c>
      <c r="AS316" s="1">
        <v>256918</v>
      </c>
      <c r="AT316" s="1" t="s">
        <v>930</v>
      </c>
      <c r="AV316" s="241">
        <v>616</v>
      </c>
      <c r="AX316" s="1">
        <f t="shared" si="49"/>
        <v>1</v>
      </c>
      <c r="AY316" s="1" t="str">
        <f>IF(COUNTIF($AX$2:AX316,1)&gt;$AG$1,"",IF(AX316="","",E316))</f>
        <v/>
      </c>
      <c r="BM316" s="138" t="str">
        <f t="shared" si="50"/>
        <v xml:space="preserve">   </v>
      </c>
      <c r="BN316" s="42">
        <f t="shared" si="51"/>
        <v>11461</v>
      </c>
      <c r="BS316" s="1">
        <v>9943</v>
      </c>
      <c r="BT316" s="1" t="s">
        <v>902</v>
      </c>
      <c r="BX316" s="36"/>
    </row>
    <row r="317" spans="1:76" ht="14.25">
      <c r="A317" s="55">
        <v>11462</v>
      </c>
      <c r="B317" s="36" t="s">
        <v>82</v>
      </c>
      <c r="C317" s="36" t="s">
        <v>75</v>
      </c>
      <c r="D317" s="36" t="s">
        <v>906</v>
      </c>
      <c r="E317" s="36" t="s">
        <v>20</v>
      </c>
      <c r="F317" s="36" t="s">
        <v>1148</v>
      </c>
      <c r="G317" s="36" t="s">
        <v>85</v>
      </c>
      <c r="H317" s="36" t="s">
        <v>58</v>
      </c>
      <c r="I317" s="36" t="s">
        <v>85</v>
      </c>
      <c r="J317" s="36" t="s">
        <v>1146</v>
      </c>
      <c r="K317" s="1" t="str">
        <f t="shared" si="52"/>
        <v/>
      </c>
      <c r="L317" s="1" t="str">
        <f t="shared" si="55"/>
        <v/>
      </c>
      <c r="M317" s="94">
        <v>312</v>
      </c>
      <c r="N317" s="36" t="s">
        <v>1967</v>
      </c>
      <c r="O317" s="95">
        <v>310019</v>
      </c>
      <c r="P317" s="36"/>
      <c r="Q317" s="110" t="str">
        <f t="shared" si="53"/>
        <v>Standard</v>
      </c>
      <c r="R317" s="1" t="str">
        <f t="shared" si="54"/>
        <v/>
      </c>
      <c r="S317" s="1">
        <f>IF(A317&gt;0,COUNT(A$2:A317),"")</f>
        <v>316</v>
      </c>
      <c r="T317" s="1" t="str">
        <f t="shared" si="45"/>
        <v/>
      </c>
      <c r="U317" s="1" t="str">
        <f t="shared" si="46"/>
        <v/>
      </c>
      <c r="V317" s="111" t="str">
        <f t="shared" si="47"/>
        <v/>
      </c>
      <c r="AA317" s="1">
        <v>30220</v>
      </c>
      <c r="AB317" s="1" t="s">
        <v>50</v>
      </c>
      <c r="AD317" s="1" t="str">
        <f t="shared" si="48"/>
        <v/>
      </c>
      <c r="AI317" s="122">
        <v>120</v>
      </c>
      <c r="AJ317" s="1" t="s">
        <v>1660</v>
      </c>
      <c r="AK317" s="1">
        <v>309712</v>
      </c>
      <c r="AL317" s="1" t="s">
        <v>115</v>
      </c>
      <c r="AN317" s="270">
        <v>411</v>
      </c>
      <c r="AQ317" s="1">
        <v>325</v>
      </c>
      <c r="AR317" s="1" t="s">
        <v>1085</v>
      </c>
      <c r="AS317" s="1">
        <v>256919</v>
      </c>
      <c r="AT317" s="1" t="s">
        <v>115</v>
      </c>
      <c r="AV317" s="241">
        <v>617</v>
      </c>
      <c r="AX317" s="1">
        <f t="shared" si="49"/>
        <v>1</v>
      </c>
      <c r="AY317" s="1" t="str">
        <f>IF(COUNTIF($AX$2:AX317,1)&gt;$AG$1,"",IF(AX317="","",E317))</f>
        <v/>
      </c>
      <c r="BM317" s="138" t="str">
        <f t="shared" si="50"/>
        <v xml:space="preserve">   </v>
      </c>
      <c r="BN317" s="42">
        <f t="shared" si="51"/>
        <v>11462</v>
      </c>
      <c r="BS317" s="1">
        <v>9944</v>
      </c>
      <c r="BT317" s="1" t="s">
        <v>902</v>
      </c>
      <c r="BX317" s="36"/>
    </row>
    <row r="318" spans="1:76" ht="14.25">
      <c r="A318" s="55">
        <v>11463</v>
      </c>
      <c r="B318" s="36" t="s">
        <v>1158</v>
      </c>
      <c r="C318" s="36" t="s">
        <v>75</v>
      </c>
      <c r="D318" s="36" t="s">
        <v>909</v>
      </c>
      <c r="E318" s="36" t="s">
        <v>80</v>
      </c>
      <c r="F318" s="36" t="s">
        <v>903</v>
      </c>
      <c r="G318" s="36" t="s">
        <v>921</v>
      </c>
      <c r="H318" s="36" t="s">
        <v>58</v>
      </c>
      <c r="I318" s="36" t="s">
        <v>85</v>
      </c>
      <c r="J318" s="36" t="s">
        <v>1146</v>
      </c>
      <c r="K318" s="1" t="str">
        <f t="shared" si="52"/>
        <v/>
      </c>
      <c r="L318" s="1" t="str">
        <f t="shared" si="55"/>
        <v/>
      </c>
      <c r="M318" s="94">
        <v>313</v>
      </c>
      <c r="N318" s="36" t="s">
        <v>1968</v>
      </c>
      <c r="O318" s="95">
        <v>310020</v>
      </c>
      <c r="P318" s="36"/>
      <c r="Q318" s="110" t="str">
        <f t="shared" si="53"/>
        <v/>
      </c>
      <c r="R318" s="1" t="str">
        <f t="shared" si="54"/>
        <v>Auto</v>
      </c>
      <c r="S318" s="1">
        <f>IF(A318&gt;0,COUNT(A$2:A318),"")</f>
        <v>317</v>
      </c>
      <c r="T318" s="1" t="str">
        <f t="shared" si="45"/>
        <v/>
      </c>
      <c r="U318" s="1" t="str">
        <f t="shared" si="46"/>
        <v/>
      </c>
      <c r="V318" s="111" t="str">
        <f t="shared" si="47"/>
        <v/>
      </c>
      <c r="AA318" s="1">
        <v>30221</v>
      </c>
      <c r="AB318" s="1" t="s">
        <v>50</v>
      </c>
      <c r="AD318" s="1" t="str">
        <f t="shared" si="48"/>
        <v/>
      </c>
      <c r="AI318" s="122">
        <v>121</v>
      </c>
      <c r="AJ318" s="1" t="s">
        <v>1661</v>
      </c>
      <c r="AK318" s="1">
        <v>309713</v>
      </c>
      <c r="AL318" s="1" t="s">
        <v>930</v>
      </c>
      <c r="AN318" s="270">
        <v>412</v>
      </c>
      <c r="AQ318" s="1">
        <v>326</v>
      </c>
      <c r="AR318" s="1" t="s">
        <v>1086</v>
      </c>
      <c r="AS318" s="1">
        <v>256920</v>
      </c>
      <c r="AT318" s="1" t="s">
        <v>930</v>
      </c>
      <c r="AV318" s="241">
        <v>618</v>
      </c>
      <c r="AX318" s="1">
        <f t="shared" si="49"/>
        <v>1</v>
      </c>
      <c r="AY318" s="1" t="str">
        <f>IF(COUNTIF($AX$2:AX318,1)&gt;$AG$1,"",IF(AX318="","",E318))</f>
        <v/>
      </c>
      <c r="BM318" s="138" t="str">
        <f t="shared" si="50"/>
        <v xml:space="preserve">   </v>
      </c>
      <c r="BN318" s="42">
        <f t="shared" si="51"/>
        <v>11463</v>
      </c>
      <c r="BS318" s="1">
        <v>9945</v>
      </c>
      <c r="BT318" s="1" t="s">
        <v>902</v>
      </c>
      <c r="BX318" s="36"/>
    </row>
    <row r="319" spans="1:76" ht="14.25">
      <c r="A319" s="55">
        <v>11464</v>
      </c>
      <c r="B319" s="36" t="s">
        <v>1158</v>
      </c>
      <c r="C319" s="36" t="s">
        <v>75</v>
      </c>
      <c r="D319" s="36" t="s">
        <v>916</v>
      </c>
      <c r="E319" s="36" t="s">
        <v>1128</v>
      </c>
      <c r="F319" s="36" t="s">
        <v>1154</v>
      </c>
      <c r="G319" s="36" t="s">
        <v>894</v>
      </c>
      <c r="H319" s="36" t="s">
        <v>58</v>
      </c>
      <c r="I319" s="36" t="s">
        <v>85</v>
      </c>
      <c r="J319" s="36" t="s">
        <v>1146</v>
      </c>
      <c r="K319" s="1" t="str">
        <f t="shared" si="52"/>
        <v/>
      </c>
      <c r="L319" s="1" t="str">
        <f t="shared" si="55"/>
        <v/>
      </c>
      <c r="M319" s="94">
        <v>314</v>
      </c>
      <c r="N319" s="36" t="s">
        <v>1969</v>
      </c>
      <c r="O319" s="95">
        <v>310021</v>
      </c>
      <c r="P319" s="36"/>
      <c r="Q319" s="110" t="str">
        <f t="shared" si="53"/>
        <v/>
      </c>
      <c r="R319" s="1" t="str">
        <f t="shared" si="54"/>
        <v>CVT</v>
      </c>
      <c r="S319" s="1">
        <f>IF(A319&gt;0,COUNT(A$2:A319),"")</f>
        <v>318</v>
      </c>
      <c r="T319" s="1" t="str">
        <f t="shared" si="45"/>
        <v/>
      </c>
      <c r="U319" s="1" t="str">
        <f t="shared" si="46"/>
        <v/>
      </c>
      <c r="V319" s="111" t="str">
        <f t="shared" si="47"/>
        <v/>
      </c>
      <c r="AA319" s="1">
        <v>30222</v>
      </c>
      <c r="AB319" s="1" t="s">
        <v>50</v>
      </c>
      <c r="AD319" s="1" t="str">
        <f t="shared" si="48"/>
        <v/>
      </c>
      <c r="AI319" s="122">
        <v>122</v>
      </c>
      <c r="AJ319" s="1" t="s">
        <v>1662</v>
      </c>
      <c r="AK319" s="1">
        <v>309714</v>
      </c>
      <c r="AL319" s="1" t="s">
        <v>115</v>
      </c>
      <c r="AN319" s="270">
        <v>413</v>
      </c>
      <c r="AQ319" s="1">
        <v>327</v>
      </c>
      <c r="AR319" s="1" t="s">
        <v>1087</v>
      </c>
      <c r="AS319" s="1">
        <v>256921</v>
      </c>
      <c r="AT319" s="1" t="s">
        <v>115</v>
      </c>
      <c r="AV319" s="241">
        <v>619</v>
      </c>
      <c r="AX319" s="1">
        <f t="shared" si="49"/>
        <v>1</v>
      </c>
      <c r="AY319" s="1" t="str">
        <f>IF(COUNTIF($AX$2:AX319,1)&gt;$AG$1,"",IF(AX319="","",E319))</f>
        <v/>
      </c>
      <c r="BM319" s="138" t="str">
        <f t="shared" si="50"/>
        <v xml:space="preserve">   </v>
      </c>
      <c r="BN319" s="42">
        <f t="shared" si="51"/>
        <v>11464</v>
      </c>
      <c r="BS319" s="1">
        <v>9946</v>
      </c>
      <c r="BT319" s="1" t="s">
        <v>902</v>
      </c>
      <c r="BX319" s="36"/>
    </row>
    <row r="320" spans="1:76" ht="14.25">
      <c r="A320" s="55">
        <v>11465</v>
      </c>
      <c r="B320" s="36" t="s">
        <v>82</v>
      </c>
      <c r="C320" s="36" t="s">
        <v>75</v>
      </c>
      <c r="D320" s="36" t="s">
        <v>906</v>
      </c>
      <c r="E320" s="36" t="s">
        <v>20</v>
      </c>
      <c r="F320" s="36" t="s">
        <v>86</v>
      </c>
      <c r="G320" s="36" t="s">
        <v>85</v>
      </c>
      <c r="H320" s="36" t="s">
        <v>58</v>
      </c>
      <c r="I320" s="36" t="s">
        <v>85</v>
      </c>
      <c r="J320" s="36" t="s">
        <v>1146</v>
      </c>
      <c r="K320" s="1" t="str">
        <f t="shared" si="52"/>
        <v/>
      </c>
      <c r="L320" s="1" t="str">
        <f t="shared" si="55"/>
        <v/>
      </c>
      <c r="M320" s="94">
        <v>315</v>
      </c>
      <c r="N320" s="36" t="s">
        <v>1970</v>
      </c>
      <c r="O320" s="95">
        <v>310022</v>
      </c>
      <c r="P320" s="36"/>
      <c r="Q320" s="110" t="str">
        <f t="shared" si="53"/>
        <v>Standard</v>
      </c>
      <c r="R320" s="1" t="str">
        <f t="shared" si="54"/>
        <v/>
      </c>
      <c r="S320" s="1">
        <f>IF(A320&gt;0,COUNT(A$2:A320),"")</f>
        <v>319</v>
      </c>
      <c r="T320" s="1" t="str">
        <f t="shared" si="45"/>
        <v/>
      </c>
      <c r="U320" s="1" t="str">
        <f t="shared" si="46"/>
        <v/>
      </c>
      <c r="V320" s="111" t="str">
        <f t="shared" si="47"/>
        <v/>
      </c>
      <c r="AA320" s="1">
        <v>30223</v>
      </c>
      <c r="AB320" s="1" t="s">
        <v>50</v>
      </c>
      <c r="AD320" s="1" t="str">
        <f t="shared" si="48"/>
        <v/>
      </c>
      <c r="AI320" s="122">
        <v>123</v>
      </c>
      <c r="AJ320" s="1" t="s">
        <v>1663</v>
      </c>
      <c r="AK320" s="1">
        <v>309715</v>
      </c>
      <c r="AL320" s="1" t="s">
        <v>930</v>
      </c>
      <c r="AN320" s="270">
        <v>414</v>
      </c>
      <c r="AQ320" s="1">
        <v>328</v>
      </c>
      <c r="AR320" s="1" t="s">
        <v>1088</v>
      </c>
      <c r="AS320" s="1">
        <v>256922</v>
      </c>
      <c r="AT320" s="1" t="s">
        <v>930</v>
      </c>
      <c r="AV320" s="241">
        <v>620</v>
      </c>
      <c r="AX320" s="1">
        <f t="shared" si="49"/>
        <v>1</v>
      </c>
      <c r="AY320" s="1" t="str">
        <f>IF(COUNTIF($AX$2:AX320,1)&gt;$AG$1,"",IF(AX320="","",E320))</f>
        <v/>
      </c>
      <c r="BM320" s="138" t="str">
        <f t="shared" si="50"/>
        <v xml:space="preserve">   </v>
      </c>
      <c r="BN320" s="42">
        <f t="shared" si="51"/>
        <v>11465</v>
      </c>
      <c r="BS320" s="1">
        <v>9947</v>
      </c>
      <c r="BT320" s="1" t="s">
        <v>902</v>
      </c>
      <c r="BX320" s="36"/>
    </row>
    <row r="321" spans="1:76" ht="14.25">
      <c r="A321" s="55">
        <v>11466</v>
      </c>
      <c r="B321" s="36" t="s">
        <v>1158</v>
      </c>
      <c r="C321" s="36" t="s">
        <v>75</v>
      </c>
      <c r="D321" s="36" t="s">
        <v>916</v>
      </c>
      <c r="E321" s="36" t="s">
        <v>80</v>
      </c>
      <c r="F321" s="36" t="s">
        <v>1139</v>
      </c>
      <c r="G321" s="36" t="s">
        <v>894</v>
      </c>
      <c r="H321" s="36" t="s">
        <v>58</v>
      </c>
      <c r="I321" s="36" t="s">
        <v>85</v>
      </c>
      <c r="J321" s="36" t="s">
        <v>1146</v>
      </c>
      <c r="K321" s="1" t="str">
        <f t="shared" si="52"/>
        <v/>
      </c>
      <c r="L321" s="1" t="str">
        <f t="shared" si="55"/>
        <v/>
      </c>
      <c r="M321" s="94">
        <v>316</v>
      </c>
      <c r="N321" s="36" t="s">
        <v>1971</v>
      </c>
      <c r="O321" s="95">
        <v>310023</v>
      </c>
      <c r="P321" s="36"/>
      <c r="Q321" s="110" t="str">
        <f t="shared" si="53"/>
        <v/>
      </c>
      <c r="R321" s="1" t="str">
        <f t="shared" si="54"/>
        <v>CVT</v>
      </c>
      <c r="S321" s="1">
        <f>IF(A321&gt;0,COUNT(A$2:A321),"")</f>
        <v>320</v>
      </c>
      <c r="T321" s="1" t="str">
        <f t="shared" si="45"/>
        <v/>
      </c>
      <c r="U321" s="1" t="str">
        <f t="shared" si="46"/>
        <v/>
      </c>
      <c r="V321" s="111" t="str">
        <f t="shared" si="47"/>
        <v/>
      </c>
      <c r="AA321" s="1">
        <v>30224</v>
      </c>
      <c r="AB321" s="1" t="s">
        <v>48</v>
      </c>
      <c r="AD321" s="1" t="str">
        <f t="shared" si="48"/>
        <v/>
      </c>
      <c r="AI321" s="122">
        <v>124</v>
      </c>
      <c r="AJ321" s="1" t="s">
        <v>1664</v>
      </c>
      <c r="AK321" s="1">
        <v>309716</v>
      </c>
      <c r="AL321" s="1" t="s">
        <v>930</v>
      </c>
      <c r="AN321" s="270">
        <v>415</v>
      </c>
      <c r="AQ321" s="1">
        <v>329</v>
      </c>
      <c r="AR321" s="1" t="s">
        <v>1089</v>
      </c>
      <c r="AS321" s="1">
        <v>256923</v>
      </c>
      <c r="AT321" s="1" t="s">
        <v>930</v>
      </c>
      <c r="AV321" s="241">
        <v>621</v>
      </c>
      <c r="AX321" s="1">
        <f t="shared" si="49"/>
        <v>1</v>
      </c>
      <c r="AY321" s="1" t="str">
        <f>IF(COUNTIF($AX$2:AX321,1)&gt;$AG$1,"",IF(AX321="","",E321))</f>
        <v/>
      </c>
      <c r="BM321" s="138" t="str">
        <f t="shared" si="50"/>
        <v xml:space="preserve">   </v>
      </c>
      <c r="BN321" s="42">
        <f t="shared" si="51"/>
        <v>11466</v>
      </c>
      <c r="BS321" s="1">
        <v>9948</v>
      </c>
      <c r="BT321" s="1" t="s">
        <v>902</v>
      </c>
      <c r="BX321" s="36"/>
    </row>
    <row r="322" spans="1:76" ht="14.25">
      <c r="A322" s="55">
        <v>11467</v>
      </c>
      <c r="B322" s="36" t="s">
        <v>82</v>
      </c>
      <c r="C322" s="36" t="s">
        <v>75</v>
      </c>
      <c r="D322" s="36" t="s">
        <v>908</v>
      </c>
      <c r="E322" s="36" t="s">
        <v>20</v>
      </c>
      <c r="F322" s="36" t="s">
        <v>1175</v>
      </c>
      <c r="G322" s="36" t="s">
        <v>85</v>
      </c>
      <c r="H322" s="36" t="s">
        <v>58</v>
      </c>
      <c r="I322" s="36" t="s">
        <v>85</v>
      </c>
      <c r="J322" s="36" t="s">
        <v>1146</v>
      </c>
      <c r="K322" s="1" t="str">
        <f t="shared" si="52"/>
        <v/>
      </c>
      <c r="L322" s="1" t="str">
        <f t="shared" si="55"/>
        <v/>
      </c>
      <c r="M322" s="94">
        <v>317</v>
      </c>
      <c r="N322" s="36" t="s">
        <v>1972</v>
      </c>
      <c r="O322" s="95">
        <v>310024</v>
      </c>
      <c r="P322" s="36"/>
      <c r="Q322" s="110" t="str">
        <f t="shared" si="53"/>
        <v>Rich</v>
      </c>
      <c r="R322" s="1" t="str">
        <f t="shared" si="54"/>
        <v/>
      </c>
      <c r="S322" s="1">
        <f>IF(A322&gt;0,COUNT(A$2:A322),"")</f>
        <v>321</v>
      </c>
      <c r="T322" s="1" t="str">
        <f t="shared" ref="T322:T335" si="56">IF(S322&gt;$AG$1,"",IF(S322&gt;0,D322,""))</f>
        <v/>
      </c>
      <c r="U322" s="1" t="str">
        <f t="shared" ref="U322:U335" si="57">IF(S322&gt;$AG$1,"",IF(S322&gt;0,G322,""))</f>
        <v/>
      </c>
      <c r="V322" s="111" t="str">
        <f t="shared" ref="V322:V335" si="58">IF(S322&gt;$AG$1,"",IF(AND(H322="Z",F322&lt;&gt;"BO"),"Special",""))</f>
        <v/>
      </c>
      <c r="AA322" s="1">
        <v>30225</v>
      </c>
      <c r="AB322" s="1" t="s">
        <v>50</v>
      </c>
      <c r="AD322" s="1" t="str">
        <f t="shared" si="48"/>
        <v/>
      </c>
      <c r="AI322" s="122">
        <v>125</v>
      </c>
      <c r="AJ322" s="1" t="s">
        <v>1665</v>
      </c>
      <c r="AK322" s="1">
        <v>309717</v>
      </c>
      <c r="AL322" s="1" t="s">
        <v>115</v>
      </c>
      <c r="AN322" s="270">
        <v>416</v>
      </c>
      <c r="AQ322" s="1">
        <v>330</v>
      </c>
      <c r="AR322" s="1" t="s">
        <v>1090</v>
      </c>
      <c r="AS322" s="1">
        <v>256924</v>
      </c>
      <c r="AT322" s="1" t="s">
        <v>115</v>
      </c>
      <c r="AV322" s="241">
        <v>622</v>
      </c>
      <c r="AX322" s="1">
        <f t="shared" ref="AX322:AX385" si="59">IF(AND(C322&lt;&gt;"A0",C322&lt;&gt;"P9"),1,"")</f>
        <v>1</v>
      </c>
      <c r="AY322" s="1" t="str">
        <f>IF(COUNTIF($AX$2:AX322,1)&gt;$AG$1,"",IF(AX322="","",E322))</f>
        <v/>
      </c>
      <c r="BM322" s="138" t="str">
        <f t="shared" ref="BM322:BM385" si="60">I322</f>
        <v xml:space="preserve">   </v>
      </c>
      <c r="BN322" s="42">
        <f t="shared" ref="BN322:BN385" si="61">A322</f>
        <v>11467</v>
      </c>
      <c r="BS322" s="1">
        <v>9949</v>
      </c>
      <c r="BT322" s="1" t="s">
        <v>902</v>
      </c>
      <c r="BX322" s="36"/>
    </row>
    <row r="323" spans="1:76" ht="14.25">
      <c r="A323" s="55">
        <v>11468</v>
      </c>
      <c r="B323" s="36" t="s">
        <v>1158</v>
      </c>
      <c r="C323" s="36" t="s">
        <v>75</v>
      </c>
      <c r="D323" s="36" t="s">
        <v>909</v>
      </c>
      <c r="E323" s="36" t="s">
        <v>79</v>
      </c>
      <c r="F323" s="36" t="s">
        <v>1149</v>
      </c>
      <c r="G323" s="36" t="s">
        <v>921</v>
      </c>
      <c r="H323" s="36" t="s">
        <v>58</v>
      </c>
      <c r="I323" s="36" t="s">
        <v>85</v>
      </c>
      <c r="J323" s="36" t="s">
        <v>1146</v>
      </c>
      <c r="K323" s="1" t="str">
        <f t="shared" ref="K323:K386" si="62">IF(B323="722W","",IF(OR(C323="B1",C323="B9",C323="W1",C323="W2",C323="U9"),IF(MAX($A$2:$A$400)-A323&gt;10000,A323+100000,A323),""))</f>
        <v/>
      </c>
      <c r="L323" s="1" t="str">
        <f t="shared" si="55"/>
        <v/>
      </c>
      <c r="M323" s="94">
        <v>318</v>
      </c>
      <c r="N323" s="36" t="s">
        <v>1973</v>
      </c>
      <c r="O323" s="95">
        <v>310025</v>
      </c>
      <c r="P323" s="36"/>
      <c r="Q323" s="110" t="str">
        <f t="shared" ref="Q323:Q335" si="63">IF(B323="664W",IF(OR(F323="C5",F323="C6",F323="Z3"),"Rich",IF(OR(F323="S2",F323="S1"),"Sport","Standard")),"")</f>
        <v/>
      </c>
      <c r="R323" s="1" t="str">
        <f t="shared" ref="R323:R335" si="64">IF(OR(G323="   ",G323=""),"",IF(G323="CVT","CVT",IF(G323="6MT","Mech","Auto")))</f>
        <v>Auto</v>
      </c>
      <c r="S323" s="1">
        <f>IF(A323&gt;0,COUNT(A$2:A323),"")</f>
        <v>322</v>
      </c>
      <c r="T323" s="1" t="str">
        <f t="shared" si="56"/>
        <v/>
      </c>
      <c r="U323" s="1" t="str">
        <f t="shared" si="57"/>
        <v/>
      </c>
      <c r="V323" s="111" t="str">
        <f t="shared" si="58"/>
        <v/>
      </c>
      <c r="AA323" s="1">
        <v>30226</v>
      </c>
      <c r="AB323" s="1" t="s">
        <v>50</v>
      </c>
      <c r="AD323" s="1" t="str">
        <f t="shared" ref="AD323:AD386" si="65">IF(AND(C323&lt;&gt;"B0",C323&lt;&gt;"B1"),B323,"")</f>
        <v/>
      </c>
      <c r="AI323" s="122">
        <v>126</v>
      </c>
      <c r="AJ323" s="1" t="s">
        <v>1666</v>
      </c>
      <c r="AK323" s="1">
        <v>309718</v>
      </c>
      <c r="AL323" s="1" t="s">
        <v>930</v>
      </c>
      <c r="AN323" s="270">
        <v>417</v>
      </c>
      <c r="AQ323" s="1">
        <v>331</v>
      </c>
      <c r="AR323" s="1" t="s">
        <v>1091</v>
      </c>
      <c r="AS323" s="1">
        <v>256925</v>
      </c>
      <c r="AT323" s="1" t="s">
        <v>930</v>
      </c>
      <c r="AV323" s="241">
        <v>623</v>
      </c>
      <c r="AX323" s="1">
        <f t="shared" si="59"/>
        <v>1</v>
      </c>
      <c r="AY323" s="1" t="str">
        <f>IF(COUNTIF($AX$2:AX323,1)&gt;$AG$1,"",IF(AX323="","",E323))</f>
        <v/>
      </c>
      <c r="BM323" s="138" t="str">
        <f t="shared" si="60"/>
        <v xml:space="preserve">   </v>
      </c>
      <c r="BN323" s="42">
        <f t="shared" si="61"/>
        <v>11468</v>
      </c>
      <c r="BS323" s="1">
        <v>9950</v>
      </c>
      <c r="BT323" s="1" t="s">
        <v>902</v>
      </c>
      <c r="BX323" s="36"/>
    </row>
    <row r="324" spans="1:76" ht="14.25">
      <c r="A324" s="55">
        <v>11469</v>
      </c>
      <c r="B324" s="36" t="s">
        <v>82</v>
      </c>
      <c r="C324" s="36" t="s">
        <v>75</v>
      </c>
      <c r="D324" s="36" t="s">
        <v>906</v>
      </c>
      <c r="E324" s="36" t="s">
        <v>80</v>
      </c>
      <c r="F324" s="36" t="s">
        <v>88</v>
      </c>
      <c r="G324" s="36" t="s">
        <v>85</v>
      </c>
      <c r="H324" s="36" t="s">
        <v>58</v>
      </c>
      <c r="I324" s="36" t="s">
        <v>85</v>
      </c>
      <c r="J324" s="36" t="s">
        <v>1146</v>
      </c>
      <c r="K324" s="1" t="str">
        <f t="shared" si="62"/>
        <v/>
      </c>
      <c r="L324" s="1" t="str">
        <f t="shared" ref="L324:L387" si="66">IF(AND(MIN(I:I)&lt;20,MAX(I:I)&gt;980,I324&lt;20),I324,"")</f>
        <v/>
      </c>
      <c r="M324" s="94">
        <v>319</v>
      </c>
      <c r="N324" s="36" t="s">
        <v>1974</v>
      </c>
      <c r="O324" s="95">
        <v>310026</v>
      </c>
      <c r="P324" s="36"/>
      <c r="Q324" s="110" t="str">
        <f t="shared" si="63"/>
        <v>Standard</v>
      </c>
      <c r="R324" s="1" t="str">
        <f t="shared" si="64"/>
        <v/>
      </c>
      <c r="S324" s="1">
        <f>IF(A324&gt;0,COUNT(A$2:A324),"")</f>
        <v>323</v>
      </c>
      <c r="T324" s="1" t="str">
        <f t="shared" si="56"/>
        <v/>
      </c>
      <c r="U324" s="1" t="str">
        <f t="shared" si="57"/>
        <v/>
      </c>
      <c r="V324" s="111" t="str">
        <f t="shared" si="58"/>
        <v/>
      </c>
      <c r="AA324" s="1">
        <v>30227</v>
      </c>
      <c r="AB324" s="1" t="s">
        <v>50</v>
      </c>
      <c r="AD324" s="1" t="str">
        <f t="shared" si="65"/>
        <v/>
      </c>
      <c r="AI324" s="122">
        <v>127</v>
      </c>
      <c r="AJ324" s="1" t="s">
        <v>1667</v>
      </c>
      <c r="AK324" s="1">
        <v>309719</v>
      </c>
      <c r="AL324" s="1" t="s">
        <v>115</v>
      </c>
      <c r="AN324" s="270">
        <v>418</v>
      </c>
      <c r="AQ324" s="1">
        <v>332</v>
      </c>
      <c r="AR324" s="1" t="s">
        <v>1092</v>
      </c>
      <c r="AS324" s="1">
        <v>256926</v>
      </c>
      <c r="AT324" s="1" t="s">
        <v>930</v>
      </c>
      <c r="AV324" s="241">
        <v>624</v>
      </c>
      <c r="AX324" s="1">
        <f t="shared" si="59"/>
        <v>1</v>
      </c>
      <c r="AY324" s="1" t="str">
        <f>IF(COUNTIF($AX$2:AX324,1)&gt;$AG$1,"",IF(AX324="","",E324))</f>
        <v/>
      </c>
      <c r="BM324" s="138" t="str">
        <f t="shared" si="60"/>
        <v xml:space="preserve">   </v>
      </c>
      <c r="BN324" s="42">
        <f t="shared" si="61"/>
        <v>11469</v>
      </c>
      <c r="BS324" s="1">
        <v>9951</v>
      </c>
      <c r="BT324" s="1" t="s">
        <v>902</v>
      </c>
      <c r="BX324" s="36"/>
    </row>
    <row r="325" spans="1:76" ht="14.25">
      <c r="A325" s="55">
        <v>11470</v>
      </c>
      <c r="B325" s="36" t="s">
        <v>1158</v>
      </c>
      <c r="C325" s="36" t="s">
        <v>75</v>
      </c>
      <c r="D325" s="36" t="s">
        <v>916</v>
      </c>
      <c r="E325" s="36" t="s">
        <v>20</v>
      </c>
      <c r="F325" s="36" t="s">
        <v>1139</v>
      </c>
      <c r="G325" s="36" t="s">
        <v>894</v>
      </c>
      <c r="H325" s="36" t="s">
        <v>58</v>
      </c>
      <c r="I325" s="36" t="s">
        <v>85</v>
      </c>
      <c r="J325" s="36" t="s">
        <v>1146</v>
      </c>
      <c r="K325" s="1" t="str">
        <f t="shared" si="62"/>
        <v/>
      </c>
      <c r="L325" s="1" t="str">
        <f t="shared" si="66"/>
        <v/>
      </c>
      <c r="M325" s="94">
        <v>320</v>
      </c>
      <c r="N325" s="36" t="s">
        <v>1975</v>
      </c>
      <c r="O325" s="95">
        <v>310027</v>
      </c>
      <c r="P325" s="36"/>
      <c r="Q325" s="110" t="str">
        <f t="shared" si="63"/>
        <v/>
      </c>
      <c r="R325" s="1" t="str">
        <f t="shared" si="64"/>
        <v>CVT</v>
      </c>
      <c r="S325" s="1">
        <f>IF(A325&gt;0,COUNT(A$2:A325),"")</f>
        <v>324</v>
      </c>
      <c r="T325" s="1" t="str">
        <f t="shared" si="56"/>
        <v/>
      </c>
      <c r="U325" s="1" t="str">
        <f t="shared" si="57"/>
        <v/>
      </c>
      <c r="V325" s="111" t="str">
        <f t="shared" si="58"/>
        <v/>
      </c>
      <c r="AA325" s="1">
        <v>30228</v>
      </c>
      <c r="AB325" s="1" t="s">
        <v>50</v>
      </c>
      <c r="AD325" s="1" t="str">
        <f t="shared" si="65"/>
        <v/>
      </c>
      <c r="AI325" s="122">
        <v>128</v>
      </c>
      <c r="AJ325" s="1" t="s">
        <v>1668</v>
      </c>
      <c r="AK325" s="1">
        <v>309720</v>
      </c>
      <c r="AL325" s="1" t="s">
        <v>930</v>
      </c>
      <c r="AN325" s="270">
        <v>419</v>
      </c>
      <c r="AQ325" s="1">
        <v>333</v>
      </c>
      <c r="AR325" s="1" t="s">
        <v>1093</v>
      </c>
      <c r="AS325" s="1">
        <v>256927</v>
      </c>
      <c r="AT325" s="1" t="s">
        <v>115</v>
      </c>
      <c r="AV325" s="241">
        <v>625</v>
      </c>
      <c r="AX325" s="1">
        <f t="shared" si="59"/>
        <v>1</v>
      </c>
      <c r="AY325" s="1" t="str">
        <f>IF(COUNTIF($AX$2:AX325,1)&gt;$AG$1,"",IF(AX325="","",E325))</f>
        <v/>
      </c>
      <c r="BM325" s="138" t="str">
        <f t="shared" si="60"/>
        <v xml:space="preserve">   </v>
      </c>
      <c r="BN325" s="42">
        <f t="shared" si="61"/>
        <v>11470</v>
      </c>
      <c r="BS325" s="1">
        <v>9952</v>
      </c>
      <c r="BT325" s="1" t="s">
        <v>902</v>
      </c>
      <c r="BX325" s="36"/>
    </row>
    <row r="326" spans="1:76" ht="14.25">
      <c r="A326" s="55">
        <v>11471</v>
      </c>
      <c r="B326" s="36" t="s">
        <v>1158</v>
      </c>
      <c r="C326" s="36" t="s">
        <v>75</v>
      </c>
      <c r="D326" s="36" t="s">
        <v>909</v>
      </c>
      <c r="E326" s="36" t="s">
        <v>80</v>
      </c>
      <c r="F326" s="36" t="s">
        <v>903</v>
      </c>
      <c r="G326" s="36" t="s">
        <v>921</v>
      </c>
      <c r="H326" s="36" t="s">
        <v>58</v>
      </c>
      <c r="I326" s="36" t="s">
        <v>85</v>
      </c>
      <c r="J326" s="36" t="s">
        <v>1146</v>
      </c>
      <c r="K326" s="1" t="str">
        <f t="shared" si="62"/>
        <v/>
      </c>
      <c r="L326" s="1" t="str">
        <f t="shared" si="66"/>
        <v/>
      </c>
      <c r="M326" s="94">
        <v>321</v>
      </c>
      <c r="N326" s="36" t="s">
        <v>1976</v>
      </c>
      <c r="O326" s="95">
        <v>310028</v>
      </c>
      <c r="P326" s="36"/>
      <c r="Q326" s="110" t="str">
        <f t="shared" si="63"/>
        <v/>
      </c>
      <c r="R326" s="1" t="str">
        <f t="shared" si="64"/>
        <v>Auto</v>
      </c>
      <c r="S326" s="1">
        <f>IF(A326&gt;0,COUNT(A$2:A326),"")</f>
        <v>325</v>
      </c>
      <c r="T326" s="1" t="str">
        <f t="shared" si="56"/>
        <v/>
      </c>
      <c r="U326" s="1" t="str">
        <f t="shared" si="57"/>
        <v/>
      </c>
      <c r="V326" s="111" t="str">
        <f t="shared" si="58"/>
        <v/>
      </c>
      <c r="AA326" s="1">
        <v>30229</v>
      </c>
      <c r="AB326" s="1" t="s">
        <v>50</v>
      </c>
      <c r="AD326" s="1" t="str">
        <f t="shared" si="65"/>
        <v/>
      </c>
      <c r="AI326" s="122">
        <v>129</v>
      </c>
      <c r="AJ326" s="1" t="s">
        <v>1669</v>
      </c>
      <c r="AK326" s="1">
        <v>309721</v>
      </c>
      <c r="AL326" s="1" t="s">
        <v>115</v>
      </c>
      <c r="AN326" s="270">
        <v>420</v>
      </c>
      <c r="AQ326" s="1">
        <v>334</v>
      </c>
      <c r="AR326" s="1" t="s">
        <v>1094</v>
      </c>
      <c r="AS326" s="1">
        <v>256928</v>
      </c>
      <c r="AT326" s="1" t="s">
        <v>930</v>
      </c>
      <c r="AV326" s="241">
        <v>626</v>
      </c>
      <c r="AX326" s="1">
        <f t="shared" si="59"/>
        <v>1</v>
      </c>
      <c r="AY326" s="1" t="str">
        <f>IF(COUNTIF($AX$2:AX326,1)&gt;$AG$1,"",IF(AX326="","",E326))</f>
        <v/>
      </c>
      <c r="BM326" s="138" t="str">
        <f t="shared" si="60"/>
        <v xml:space="preserve">   </v>
      </c>
      <c r="BN326" s="42">
        <f t="shared" si="61"/>
        <v>11471</v>
      </c>
      <c r="BS326" s="1">
        <v>9953</v>
      </c>
      <c r="BT326" s="1" t="s">
        <v>902</v>
      </c>
      <c r="BX326" s="36"/>
    </row>
    <row r="327" spans="1:76" ht="14.25">
      <c r="A327" s="55">
        <v>11472</v>
      </c>
      <c r="B327" s="36" t="s">
        <v>82</v>
      </c>
      <c r="C327" s="36" t="s">
        <v>75</v>
      </c>
      <c r="D327" s="36" t="s">
        <v>906</v>
      </c>
      <c r="E327" s="36" t="s">
        <v>20</v>
      </c>
      <c r="F327" s="36" t="s">
        <v>87</v>
      </c>
      <c r="G327" s="36" t="s">
        <v>85</v>
      </c>
      <c r="H327" s="36" t="s">
        <v>58</v>
      </c>
      <c r="I327" s="36" t="s">
        <v>85</v>
      </c>
      <c r="J327" s="36" t="s">
        <v>1146</v>
      </c>
      <c r="K327" s="1" t="str">
        <f t="shared" si="62"/>
        <v/>
      </c>
      <c r="L327" s="1" t="str">
        <f t="shared" si="66"/>
        <v/>
      </c>
      <c r="M327" s="94">
        <v>322</v>
      </c>
      <c r="N327" s="36" t="s">
        <v>1977</v>
      </c>
      <c r="O327" s="95">
        <v>310029</v>
      </c>
      <c r="P327" s="36"/>
      <c r="Q327" s="110" t="str">
        <f t="shared" si="63"/>
        <v>Standard</v>
      </c>
      <c r="R327" s="1" t="str">
        <f t="shared" si="64"/>
        <v/>
      </c>
      <c r="S327" s="1">
        <f>IF(A327&gt;0,COUNT(A$2:A327),"")</f>
        <v>326</v>
      </c>
      <c r="T327" s="1" t="str">
        <f t="shared" si="56"/>
        <v/>
      </c>
      <c r="U327" s="1" t="str">
        <f t="shared" si="57"/>
        <v/>
      </c>
      <c r="V327" s="111" t="str">
        <f t="shared" si="58"/>
        <v/>
      </c>
      <c r="AA327" s="1">
        <v>30230</v>
      </c>
      <c r="AB327" s="1" t="s">
        <v>50</v>
      </c>
      <c r="AD327" s="1" t="str">
        <f t="shared" si="65"/>
        <v/>
      </c>
      <c r="AI327" s="122">
        <v>130</v>
      </c>
      <c r="AJ327" s="1" t="s">
        <v>1670</v>
      </c>
      <c r="AK327" s="1">
        <v>309722</v>
      </c>
      <c r="AL327" s="1" t="s">
        <v>930</v>
      </c>
      <c r="AN327" s="270">
        <v>421</v>
      </c>
      <c r="AQ327" s="1">
        <v>335</v>
      </c>
      <c r="AR327" s="1" t="s">
        <v>1095</v>
      </c>
      <c r="AS327" s="1">
        <v>256929</v>
      </c>
      <c r="AT327" s="1" t="s">
        <v>115</v>
      </c>
      <c r="AV327" s="241">
        <v>627</v>
      </c>
      <c r="AX327" s="1">
        <f t="shared" si="59"/>
        <v>1</v>
      </c>
      <c r="AY327" s="1" t="str">
        <f>IF(COUNTIF($AX$2:AX327,1)&gt;$AG$1,"",IF(AX327="","",E327))</f>
        <v/>
      </c>
      <c r="BM327" s="138" t="str">
        <f t="shared" si="60"/>
        <v xml:space="preserve">   </v>
      </c>
      <c r="BN327" s="42">
        <f t="shared" si="61"/>
        <v>11472</v>
      </c>
      <c r="BS327" s="1">
        <v>9954</v>
      </c>
      <c r="BT327" s="1" t="s">
        <v>902</v>
      </c>
      <c r="BX327" s="36"/>
    </row>
    <row r="328" spans="1:76" ht="14.25">
      <c r="A328" s="55">
        <v>11473</v>
      </c>
      <c r="B328" s="36" t="s">
        <v>1158</v>
      </c>
      <c r="C328" s="36" t="s">
        <v>75</v>
      </c>
      <c r="D328" s="36" t="s">
        <v>916</v>
      </c>
      <c r="E328" s="36" t="s">
        <v>10</v>
      </c>
      <c r="F328" s="36" t="s">
        <v>1139</v>
      </c>
      <c r="G328" s="36" t="s">
        <v>894</v>
      </c>
      <c r="H328" s="36" t="s">
        <v>58</v>
      </c>
      <c r="I328" s="36" t="s">
        <v>85</v>
      </c>
      <c r="J328" s="36" t="s">
        <v>1146</v>
      </c>
      <c r="K328" s="1" t="str">
        <f t="shared" si="62"/>
        <v/>
      </c>
      <c r="L328" s="1" t="str">
        <f t="shared" si="66"/>
        <v/>
      </c>
      <c r="M328" s="94">
        <v>323</v>
      </c>
      <c r="N328" s="36" t="s">
        <v>1978</v>
      </c>
      <c r="O328" s="95">
        <v>310030</v>
      </c>
      <c r="P328" s="36"/>
      <c r="Q328" s="110" t="str">
        <f t="shared" si="63"/>
        <v/>
      </c>
      <c r="R328" s="1" t="str">
        <f t="shared" si="64"/>
        <v>CVT</v>
      </c>
      <c r="S328" s="1">
        <f>IF(A328&gt;0,COUNT(A$2:A328),"")</f>
        <v>327</v>
      </c>
      <c r="T328" s="1" t="str">
        <f t="shared" si="56"/>
        <v/>
      </c>
      <c r="U328" s="1" t="str">
        <f t="shared" si="57"/>
        <v/>
      </c>
      <c r="V328" s="111" t="str">
        <f t="shared" si="58"/>
        <v/>
      </c>
      <c r="AA328" s="1">
        <v>30231</v>
      </c>
      <c r="AB328" s="1" t="s">
        <v>50</v>
      </c>
      <c r="AD328" s="1" t="str">
        <f t="shared" si="65"/>
        <v/>
      </c>
      <c r="AI328" s="122">
        <v>131</v>
      </c>
      <c r="AJ328" s="1" t="s">
        <v>1671</v>
      </c>
      <c r="AK328" s="1">
        <v>309723</v>
      </c>
      <c r="AL328" s="1" t="s">
        <v>930</v>
      </c>
      <c r="AN328" s="270">
        <v>422</v>
      </c>
      <c r="AQ328" s="1">
        <v>336</v>
      </c>
      <c r="AR328" s="1" t="s">
        <v>1096</v>
      </c>
      <c r="AS328" s="1">
        <v>256930</v>
      </c>
      <c r="AT328" s="1" t="s">
        <v>930</v>
      </c>
      <c r="AV328" s="241">
        <v>628</v>
      </c>
      <c r="AX328" s="1">
        <f t="shared" si="59"/>
        <v>1</v>
      </c>
      <c r="AY328" s="1" t="str">
        <f>IF(COUNTIF($AX$2:AX328,1)&gt;$AG$1,"",IF(AX328="","",E328))</f>
        <v/>
      </c>
      <c r="BM328" s="138" t="str">
        <f t="shared" si="60"/>
        <v xml:space="preserve">   </v>
      </c>
      <c r="BN328" s="42">
        <f t="shared" si="61"/>
        <v>11473</v>
      </c>
      <c r="BS328" s="1">
        <v>9955</v>
      </c>
      <c r="BT328" s="1" t="s">
        <v>902</v>
      </c>
      <c r="BX328" s="36"/>
    </row>
    <row r="329" spans="1:76" ht="14.25">
      <c r="A329" s="55">
        <v>11474</v>
      </c>
      <c r="B329" s="36" t="s">
        <v>82</v>
      </c>
      <c r="C329" s="36" t="s">
        <v>75</v>
      </c>
      <c r="D329" s="36" t="s">
        <v>906</v>
      </c>
      <c r="E329" s="36" t="s">
        <v>80</v>
      </c>
      <c r="F329" s="36" t="s">
        <v>86</v>
      </c>
      <c r="G329" s="36" t="s">
        <v>85</v>
      </c>
      <c r="H329" s="36" t="s">
        <v>58</v>
      </c>
      <c r="I329" s="36" t="s">
        <v>85</v>
      </c>
      <c r="J329" s="36" t="s">
        <v>1146</v>
      </c>
      <c r="K329" s="1" t="str">
        <f t="shared" si="62"/>
        <v/>
      </c>
      <c r="L329" s="1" t="str">
        <f t="shared" si="66"/>
        <v/>
      </c>
      <c r="M329" s="94">
        <v>324</v>
      </c>
      <c r="N329" s="36" t="s">
        <v>1979</v>
      </c>
      <c r="O329" s="95">
        <v>310031</v>
      </c>
      <c r="P329" s="36"/>
      <c r="Q329" s="110" t="str">
        <f t="shared" si="63"/>
        <v>Standard</v>
      </c>
      <c r="R329" s="1" t="str">
        <f t="shared" si="64"/>
        <v/>
      </c>
      <c r="S329" s="1">
        <f>IF(A329&gt;0,COUNT(A$2:A329),"")</f>
        <v>328</v>
      </c>
      <c r="T329" s="1" t="str">
        <f t="shared" si="56"/>
        <v/>
      </c>
      <c r="U329" s="1" t="str">
        <f t="shared" si="57"/>
        <v/>
      </c>
      <c r="V329" s="111" t="str">
        <f t="shared" si="58"/>
        <v/>
      </c>
      <c r="AA329" s="1">
        <v>30232</v>
      </c>
      <c r="AB329" s="1" t="s">
        <v>50</v>
      </c>
      <c r="AD329" s="1" t="str">
        <f t="shared" si="65"/>
        <v/>
      </c>
      <c r="AI329" s="122">
        <v>132</v>
      </c>
      <c r="AJ329" s="1" t="s">
        <v>1672</v>
      </c>
      <c r="AK329" s="1">
        <v>309724</v>
      </c>
      <c r="AL329" s="1" t="s">
        <v>115</v>
      </c>
      <c r="AN329" s="270">
        <v>423</v>
      </c>
      <c r="AQ329" s="1">
        <v>337</v>
      </c>
      <c r="AR329" s="1" t="s">
        <v>1097</v>
      </c>
      <c r="AS329" s="1">
        <v>256931</v>
      </c>
      <c r="AT329" s="1" t="s">
        <v>930</v>
      </c>
      <c r="AV329" s="241">
        <v>629</v>
      </c>
      <c r="AX329" s="1">
        <f t="shared" si="59"/>
        <v>1</v>
      </c>
      <c r="AY329" s="1" t="str">
        <f>IF(COUNTIF($AX$2:AX329,1)&gt;$AG$1,"",IF(AX329="","",E329))</f>
        <v/>
      </c>
      <c r="BM329" s="138" t="str">
        <f t="shared" si="60"/>
        <v xml:space="preserve">   </v>
      </c>
      <c r="BN329" s="42">
        <f t="shared" si="61"/>
        <v>11474</v>
      </c>
      <c r="BS329" s="1">
        <v>9956</v>
      </c>
      <c r="BT329" s="1" t="s">
        <v>902</v>
      </c>
      <c r="BX329" s="36"/>
    </row>
    <row r="330" spans="1:76" ht="14.25">
      <c r="A330" s="55">
        <v>11475</v>
      </c>
      <c r="B330" s="36" t="s">
        <v>1158</v>
      </c>
      <c r="C330" s="36" t="s">
        <v>75</v>
      </c>
      <c r="D330" s="36" t="s">
        <v>910</v>
      </c>
      <c r="E330" s="36" t="s">
        <v>1128</v>
      </c>
      <c r="F330" s="36" t="s">
        <v>1164</v>
      </c>
      <c r="G330" s="36" t="s">
        <v>921</v>
      </c>
      <c r="H330" s="36" t="s">
        <v>58</v>
      </c>
      <c r="I330" s="36" t="s">
        <v>85</v>
      </c>
      <c r="J330" s="36" t="s">
        <v>1146</v>
      </c>
      <c r="K330" s="1" t="str">
        <f t="shared" si="62"/>
        <v/>
      </c>
      <c r="L330" s="1" t="str">
        <f t="shared" si="66"/>
        <v/>
      </c>
      <c r="M330" s="94">
        <v>325</v>
      </c>
      <c r="N330" s="36" t="s">
        <v>1980</v>
      </c>
      <c r="O330" s="95">
        <v>310032</v>
      </c>
      <c r="P330" s="36"/>
      <c r="Q330" s="110" t="str">
        <f t="shared" si="63"/>
        <v/>
      </c>
      <c r="R330" s="1" t="str">
        <f t="shared" si="64"/>
        <v>Auto</v>
      </c>
      <c r="S330" s="1">
        <f>IF(A330&gt;0,COUNT(A$2:A330),"")</f>
        <v>329</v>
      </c>
      <c r="T330" s="1" t="str">
        <f t="shared" si="56"/>
        <v/>
      </c>
      <c r="U330" s="1" t="str">
        <f t="shared" si="57"/>
        <v/>
      </c>
      <c r="V330" s="111" t="str">
        <f t="shared" si="58"/>
        <v/>
      </c>
      <c r="AA330" s="1">
        <v>30233</v>
      </c>
      <c r="AB330" s="1" t="s">
        <v>50</v>
      </c>
      <c r="AD330" s="1" t="str">
        <f t="shared" si="65"/>
        <v/>
      </c>
      <c r="AI330" s="122">
        <v>133</v>
      </c>
      <c r="AJ330" s="1" t="s">
        <v>1673</v>
      </c>
      <c r="AK330" s="1">
        <v>309725</v>
      </c>
      <c r="AL330" s="1" t="s">
        <v>930</v>
      </c>
      <c r="AN330" s="270">
        <v>424</v>
      </c>
      <c r="AQ330" s="1">
        <v>338</v>
      </c>
      <c r="AR330" s="1" t="s">
        <v>1098</v>
      </c>
      <c r="AS330" s="1">
        <v>256932</v>
      </c>
      <c r="AT330" s="1" t="s">
        <v>115</v>
      </c>
      <c r="AV330" s="241">
        <v>630</v>
      </c>
      <c r="AX330" s="1">
        <f t="shared" si="59"/>
        <v>1</v>
      </c>
      <c r="AY330" s="1" t="str">
        <f>IF(COUNTIF($AX$2:AX330,1)&gt;$AG$1,"",IF(AX330="","",E330))</f>
        <v/>
      </c>
      <c r="BM330" s="138" t="str">
        <f t="shared" si="60"/>
        <v xml:space="preserve">   </v>
      </c>
      <c r="BN330" s="42">
        <f t="shared" si="61"/>
        <v>11475</v>
      </c>
      <c r="BS330" s="1">
        <v>9957</v>
      </c>
      <c r="BT330" s="1" t="s">
        <v>902</v>
      </c>
      <c r="BX330" s="36"/>
    </row>
    <row r="331" spans="1:76" ht="14.25">
      <c r="A331" s="55">
        <v>11476</v>
      </c>
      <c r="B331" s="36" t="s">
        <v>82</v>
      </c>
      <c r="C331" s="36" t="s">
        <v>75</v>
      </c>
      <c r="D331" s="36" t="s">
        <v>906</v>
      </c>
      <c r="E331" s="36" t="s">
        <v>20</v>
      </c>
      <c r="F331" s="36" t="s">
        <v>90</v>
      </c>
      <c r="G331" s="36" t="s">
        <v>85</v>
      </c>
      <c r="H331" s="36" t="s">
        <v>58</v>
      </c>
      <c r="I331" s="36" t="s">
        <v>85</v>
      </c>
      <c r="J331" s="36" t="s">
        <v>1146</v>
      </c>
      <c r="K331" s="1" t="str">
        <f t="shared" si="62"/>
        <v/>
      </c>
      <c r="L331" s="1" t="str">
        <f t="shared" si="66"/>
        <v/>
      </c>
      <c r="M331" s="94">
        <v>326</v>
      </c>
      <c r="N331" s="36" t="s">
        <v>1981</v>
      </c>
      <c r="O331" s="95">
        <v>310033</v>
      </c>
      <c r="P331" s="36"/>
      <c r="Q331" s="110" t="str">
        <f t="shared" si="63"/>
        <v>Standard</v>
      </c>
      <c r="R331" s="1" t="str">
        <f t="shared" si="64"/>
        <v/>
      </c>
      <c r="S331" s="1">
        <f>IF(A331&gt;0,COUNT(A$2:A331),"")</f>
        <v>330</v>
      </c>
      <c r="T331" s="1" t="str">
        <f t="shared" si="56"/>
        <v/>
      </c>
      <c r="U331" s="1" t="str">
        <f t="shared" si="57"/>
        <v/>
      </c>
      <c r="V331" s="111" t="str">
        <f t="shared" si="58"/>
        <v/>
      </c>
      <c r="AA331" s="1">
        <v>30234</v>
      </c>
      <c r="AB331" s="1" t="s">
        <v>50</v>
      </c>
      <c r="AD331" s="1" t="str">
        <f t="shared" si="65"/>
        <v/>
      </c>
      <c r="AI331" s="122">
        <v>134</v>
      </c>
      <c r="AJ331" s="1" t="s">
        <v>1674</v>
      </c>
      <c r="AK331" s="1">
        <v>309726</v>
      </c>
      <c r="AL331" s="1" t="s">
        <v>115</v>
      </c>
      <c r="AN331" s="270">
        <v>425</v>
      </c>
      <c r="AQ331" s="1">
        <v>339</v>
      </c>
      <c r="AR331" s="1" t="s">
        <v>1099</v>
      </c>
      <c r="AS331" s="1">
        <v>256933</v>
      </c>
      <c r="AT331" s="1" t="s">
        <v>930</v>
      </c>
      <c r="AV331" s="241">
        <v>631</v>
      </c>
      <c r="AX331" s="1">
        <f t="shared" si="59"/>
        <v>1</v>
      </c>
      <c r="AY331" s="1" t="str">
        <f>IF(COUNTIF($AX$2:AX331,1)&gt;$AG$1,"",IF(AX331="","",E331))</f>
        <v/>
      </c>
      <c r="BM331" s="138" t="str">
        <f t="shared" si="60"/>
        <v xml:space="preserve">   </v>
      </c>
      <c r="BN331" s="42">
        <f t="shared" si="61"/>
        <v>11476</v>
      </c>
      <c r="BS331" s="1">
        <v>9958</v>
      </c>
      <c r="BT331" s="1" t="s">
        <v>902</v>
      </c>
      <c r="BX331" s="36"/>
    </row>
    <row r="332" spans="1:76" ht="14.25">
      <c r="A332" s="55"/>
      <c r="B332" s="36"/>
      <c r="C332" s="36"/>
      <c r="D332" s="36"/>
      <c r="E332" s="36"/>
      <c r="F332" s="36"/>
      <c r="G332" s="36"/>
      <c r="H332" s="36"/>
      <c r="I332" s="36"/>
      <c r="J332" s="36"/>
      <c r="K332" s="1" t="str">
        <f t="shared" si="62"/>
        <v/>
      </c>
      <c r="L332" s="1" t="str">
        <f t="shared" si="66"/>
        <v/>
      </c>
      <c r="M332" s="94">
        <v>327</v>
      </c>
      <c r="N332" s="36" t="s">
        <v>1982</v>
      </c>
      <c r="O332" s="95">
        <v>310034</v>
      </c>
      <c r="P332" s="36"/>
      <c r="Q332" s="110" t="str">
        <f t="shared" si="63"/>
        <v/>
      </c>
      <c r="R332" s="1" t="str">
        <f t="shared" si="64"/>
        <v/>
      </c>
      <c r="S332" s="1" t="str">
        <f>IF(A332&gt;0,COUNT(A$2:A332),"")</f>
        <v/>
      </c>
      <c r="T332" s="1" t="str">
        <f t="shared" si="56"/>
        <v/>
      </c>
      <c r="U332" s="1" t="str">
        <f t="shared" si="57"/>
        <v/>
      </c>
      <c r="V332" s="111" t="str">
        <f t="shared" si="58"/>
        <v/>
      </c>
      <c r="AA332" s="1">
        <v>30235</v>
      </c>
      <c r="AB332" s="1" t="s">
        <v>50</v>
      </c>
      <c r="AD332" s="1">
        <f t="shared" si="65"/>
        <v>0</v>
      </c>
      <c r="AI332" s="122">
        <v>135</v>
      </c>
      <c r="AJ332" s="1" t="s">
        <v>1675</v>
      </c>
      <c r="AK332" s="1">
        <v>309727</v>
      </c>
      <c r="AL332" s="1" t="s">
        <v>930</v>
      </c>
      <c r="AN332" s="270">
        <v>426</v>
      </c>
      <c r="AQ332" s="1">
        <v>340</v>
      </c>
      <c r="AR332" s="1" t="s">
        <v>1100</v>
      </c>
      <c r="AS332" s="1">
        <v>256934</v>
      </c>
      <c r="AT332" s="1" t="s">
        <v>115</v>
      </c>
      <c r="AV332" s="241">
        <v>632</v>
      </c>
      <c r="AX332" s="1">
        <f t="shared" si="59"/>
        <v>1</v>
      </c>
      <c r="AY332" s="1" t="str">
        <f>IF(COUNTIF($AX$2:AX332,1)&gt;$AG$1,"",IF(AX332="","",E332))</f>
        <v/>
      </c>
      <c r="BM332" s="138">
        <f t="shared" si="60"/>
        <v>0</v>
      </c>
      <c r="BN332" s="42">
        <f t="shared" si="61"/>
        <v>0</v>
      </c>
      <c r="BS332" s="1">
        <v>9959</v>
      </c>
      <c r="BT332" s="1" t="s">
        <v>902</v>
      </c>
      <c r="BX332" s="36"/>
    </row>
    <row r="333" spans="1:76" ht="14.25">
      <c r="A333" s="55"/>
      <c r="B333" s="36"/>
      <c r="C333" s="36"/>
      <c r="D333" s="36"/>
      <c r="E333" s="36"/>
      <c r="F333" s="36"/>
      <c r="G333" s="36"/>
      <c r="H333" s="36"/>
      <c r="I333" s="36"/>
      <c r="J333" s="36"/>
      <c r="K333" s="1" t="str">
        <f t="shared" si="62"/>
        <v/>
      </c>
      <c r="L333" s="1" t="str">
        <f t="shared" si="66"/>
        <v/>
      </c>
      <c r="M333" s="94">
        <v>328</v>
      </c>
      <c r="N333" s="36" t="s">
        <v>1983</v>
      </c>
      <c r="O333" s="95">
        <v>310035</v>
      </c>
      <c r="P333" s="36"/>
      <c r="Q333" s="110" t="str">
        <f t="shared" si="63"/>
        <v/>
      </c>
      <c r="R333" s="1" t="str">
        <f t="shared" si="64"/>
        <v/>
      </c>
      <c r="S333" s="1" t="str">
        <f>IF(A333&gt;0,COUNT(A$2:A333),"")</f>
        <v/>
      </c>
      <c r="T333" s="1" t="str">
        <f t="shared" si="56"/>
        <v/>
      </c>
      <c r="U333" s="1" t="str">
        <f t="shared" si="57"/>
        <v/>
      </c>
      <c r="V333" s="111" t="str">
        <f t="shared" si="58"/>
        <v/>
      </c>
      <c r="AA333" s="1">
        <v>30236</v>
      </c>
      <c r="AB333" s="1" t="s">
        <v>50</v>
      </c>
      <c r="AD333" s="1">
        <f t="shared" si="65"/>
        <v>0</v>
      </c>
      <c r="AI333" s="122">
        <v>136</v>
      </c>
      <c r="AJ333" s="1" t="s">
        <v>1676</v>
      </c>
      <c r="AK333" s="1">
        <v>309728</v>
      </c>
      <c r="AL333" s="1" t="s">
        <v>115</v>
      </c>
      <c r="AN333" s="270">
        <v>427</v>
      </c>
      <c r="AQ333" s="1">
        <v>341</v>
      </c>
      <c r="AR333" s="1" t="s">
        <v>1101</v>
      </c>
      <c r="AS333" s="1">
        <v>256935</v>
      </c>
      <c r="AT333" s="1" t="s">
        <v>930</v>
      </c>
      <c r="AV333" s="241">
        <v>633</v>
      </c>
      <c r="AX333" s="1">
        <f t="shared" si="59"/>
        <v>1</v>
      </c>
      <c r="AY333" s="1" t="str">
        <f>IF(COUNTIF($AX$2:AX333,1)&gt;$AG$1,"",IF(AX333="","",E333))</f>
        <v/>
      </c>
      <c r="BM333" s="138">
        <f t="shared" si="60"/>
        <v>0</v>
      </c>
      <c r="BN333" s="42">
        <f t="shared" si="61"/>
        <v>0</v>
      </c>
      <c r="BS333" s="1">
        <v>9960</v>
      </c>
      <c r="BT333" s="1" t="s">
        <v>902</v>
      </c>
      <c r="BX333" s="36"/>
    </row>
    <row r="334" spans="1:76" ht="14.25">
      <c r="A334" s="55"/>
      <c r="B334" s="36"/>
      <c r="C334" s="36"/>
      <c r="D334" s="36"/>
      <c r="E334" s="36"/>
      <c r="F334" s="36"/>
      <c r="G334" s="36"/>
      <c r="H334" s="36"/>
      <c r="I334" s="36"/>
      <c r="J334" s="36"/>
      <c r="K334" s="1" t="str">
        <f t="shared" si="62"/>
        <v/>
      </c>
      <c r="L334" s="1" t="str">
        <f t="shared" si="66"/>
        <v/>
      </c>
      <c r="M334" s="94">
        <v>329</v>
      </c>
      <c r="N334" s="36" t="s">
        <v>1984</v>
      </c>
      <c r="O334" s="95">
        <v>310036</v>
      </c>
      <c r="P334" s="36"/>
      <c r="Q334" s="110" t="str">
        <f t="shared" si="63"/>
        <v/>
      </c>
      <c r="R334" s="1" t="str">
        <f t="shared" si="64"/>
        <v/>
      </c>
      <c r="S334" s="1" t="str">
        <f>IF(A334&gt;0,COUNT(A$2:A334),"")</f>
        <v/>
      </c>
      <c r="T334" s="1" t="str">
        <f t="shared" si="56"/>
        <v/>
      </c>
      <c r="U334" s="1" t="str">
        <f t="shared" si="57"/>
        <v/>
      </c>
      <c r="V334" s="111" t="str">
        <f t="shared" si="58"/>
        <v/>
      </c>
      <c r="AA334" s="1">
        <v>30237</v>
      </c>
      <c r="AB334" s="1" t="s">
        <v>50</v>
      </c>
      <c r="AD334" s="1">
        <f t="shared" si="65"/>
        <v>0</v>
      </c>
      <c r="AI334" s="122">
        <v>137</v>
      </c>
      <c r="AJ334" s="1" t="s">
        <v>1677</v>
      </c>
      <c r="AK334" s="1">
        <v>309729</v>
      </c>
      <c r="AL334" s="1" t="s">
        <v>930</v>
      </c>
      <c r="AN334" s="270">
        <v>428</v>
      </c>
      <c r="AQ334" s="1">
        <v>342</v>
      </c>
      <c r="AR334" s="1" t="s">
        <v>1102</v>
      </c>
      <c r="AS334" s="1">
        <v>256936</v>
      </c>
      <c r="AT334" s="1" t="s">
        <v>930</v>
      </c>
      <c r="AV334" s="241">
        <v>634</v>
      </c>
      <c r="AX334" s="1">
        <f t="shared" si="59"/>
        <v>1</v>
      </c>
      <c r="AY334" s="1" t="str">
        <f>IF(COUNTIF($AX$2:AX334,1)&gt;$AG$1,"",IF(AX334="","",E334))</f>
        <v/>
      </c>
      <c r="BM334" s="138">
        <f t="shared" si="60"/>
        <v>0</v>
      </c>
      <c r="BN334" s="42">
        <f t="shared" si="61"/>
        <v>0</v>
      </c>
      <c r="BS334" s="1">
        <v>9961</v>
      </c>
      <c r="BT334" s="1" t="s">
        <v>902</v>
      </c>
      <c r="BX334" s="36"/>
    </row>
    <row r="335" spans="1:76" ht="14.25">
      <c r="A335" s="55"/>
      <c r="B335" s="36"/>
      <c r="C335" s="36"/>
      <c r="D335" s="36"/>
      <c r="E335" s="36"/>
      <c r="F335" s="36"/>
      <c r="G335" s="36"/>
      <c r="H335" s="36"/>
      <c r="I335" s="36"/>
      <c r="J335" s="36"/>
      <c r="K335" s="1" t="str">
        <f t="shared" si="62"/>
        <v/>
      </c>
      <c r="L335" s="1" t="str">
        <f t="shared" si="66"/>
        <v/>
      </c>
      <c r="M335" s="94">
        <v>330</v>
      </c>
      <c r="N335" s="36" t="s">
        <v>1985</v>
      </c>
      <c r="O335" s="95">
        <v>310037</v>
      </c>
      <c r="P335" s="36"/>
      <c r="Q335" s="110" t="str">
        <f t="shared" si="63"/>
        <v/>
      </c>
      <c r="R335" s="1" t="str">
        <f t="shared" si="64"/>
        <v/>
      </c>
      <c r="S335" s="1" t="str">
        <f>IF(A335&gt;0,COUNT(A$2:A335),"")</f>
        <v/>
      </c>
      <c r="T335" s="1" t="str">
        <f t="shared" si="56"/>
        <v/>
      </c>
      <c r="U335" s="1" t="str">
        <f t="shared" si="57"/>
        <v/>
      </c>
      <c r="V335" s="111" t="str">
        <f t="shared" si="58"/>
        <v/>
      </c>
      <c r="AA335" s="1">
        <v>30238</v>
      </c>
      <c r="AB335" s="1" t="s">
        <v>50</v>
      </c>
      <c r="AD335" s="1">
        <f t="shared" si="65"/>
        <v>0</v>
      </c>
      <c r="AI335" s="122">
        <v>138</v>
      </c>
      <c r="AJ335" s="1" t="s">
        <v>1678</v>
      </c>
      <c r="AK335" s="1">
        <v>309730</v>
      </c>
      <c r="AL335" s="1" t="s">
        <v>930</v>
      </c>
      <c r="AN335" s="270">
        <v>429</v>
      </c>
      <c r="AQ335" s="1">
        <v>343</v>
      </c>
      <c r="AR335" s="1" t="s">
        <v>1103</v>
      </c>
      <c r="AS335" s="1">
        <v>256937</v>
      </c>
      <c r="AT335" s="1" t="s">
        <v>115</v>
      </c>
      <c r="AV335" s="241">
        <v>635</v>
      </c>
      <c r="AX335" s="1">
        <f t="shared" si="59"/>
        <v>1</v>
      </c>
      <c r="AY335" s="1" t="str">
        <f>IF(COUNTIF($AX$2:AX335,1)&gt;$AG$1,"",IF(AX335="","",E335))</f>
        <v/>
      </c>
      <c r="BM335" s="138">
        <f t="shared" si="60"/>
        <v>0</v>
      </c>
      <c r="BN335" s="42">
        <f t="shared" si="61"/>
        <v>0</v>
      </c>
      <c r="BS335" s="1">
        <v>9962</v>
      </c>
      <c r="BT335" s="1" t="s">
        <v>902</v>
      </c>
      <c r="BX335" s="36"/>
    </row>
    <row r="336" spans="1:76" ht="14.25">
      <c r="A336" s="55"/>
      <c r="B336" s="36"/>
      <c r="C336" s="36"/>
      <c r="D336" s="36"/>
      <c r="E336" s="36"/>
      <c r="F336" s="36"/>
      <c r="G336" s="36"/>
      <c r="H336" s="36"/>
      <c r="I336" s="36"/>
      <c r="J336" s="36"/>
      <c r="K336" s="1" t="str">
        <f t="shared" si="62"/>
        <v/>
      </c>
      <c r="L336" s="1" t="str">
        <f t="shared" si="66"/>
        <v/>
      </c>
      <c r="M336" s="94">
        <v>331</v>
      </c>
      <c r="N336" s="36" t="s">
        <v>1986</v>
      </c>
      <c r="O336" s="95">
        <v>310038</v>
      </c>
      <c r="P336" s="36"/>
      <c r="Q336" s="110" t="str">
        <f t="shared" ref="Q336:Q349" si="67">IF(B336="664W",IF(OR(F336="C5",F336="C6",F336="Z3"),"Rich",IF(OR(F336="S2",F336="S1"),"Sport","Standard")),"")</f>
        <v/>
      </c>
      <c r="R336" s="1" t="str">
        <f t="shared" ref="R336:R349" si="68">IF(OR(G336="   ",G336=""),"",IF(G336="CVT","CVT",IF(G336="6MT","Mech","Auto")))</f>
        <v/>
      </c>
      <c r="S336" s="1" t="str">
        <f>IF(A336&gt;0,COUNT(A$2:A336),"")</f>
        <v/>
      </c>
      <c r="T336" s="1" t="str">
        <f t="shared" ref="T336:T349" si="69">IF(S336&gt;$AG$1,"",IF(S336&gt;0,D336,""))</f>
        <v/>
      </c>
      <c r="U336" s="1" t="str">
        <f t="shared" ref="U336:U349" si="70">IF(S336&gt;$AG$1,"",IF(S336&gt;0,G336,""))</f>
        <v/>
      </c>
      <c r="V336" s="111" t="str">
        <f t="shared" ref="V336:V349" si="71">IF(S336&gt;$AG$1,"",IF(AND(H336="Z",F336&lt;&gt;"BO"),"Special",""))</f>
        <v/>
      </c>
      <c r="AA336" s="1">
        <v>30239</v>
      </c>
      <c r="AB336" s="1" t="s">
        <v>50</v>
      </c>
      <c r="AD336" s="1">
        <f t="shared" si="65"/>
        <v>0</v>
      </c>
      <c r="AI336" s="122">
        <v>139</v>
      </c>
      <c r="AJ336" s="1" t="s">
        <v>1679</v>
      </c>
      <c r="AK336" s="1">
        <v>309731</v>
      </c>
      <c r="AL336" s="1" t="s">
        <v>115</v>
      </c>
      <c r="AN336" s="270">
        <v>430</v>
      </c>
      <c r="AQ336" s="1">
        <v>344</v>
      </c>
      <c r="AR336" s="1" t="s">
        <v>1104</v>
      </c>
      <c r="AS336" s="1">
        <v>256938</v>
      </c>
      <c r="AT336" s="1" t="s">
        <v>930</v>
      </c>
      <c r="AV336" s="241">
        <v>636</v>
      </c>
      <c r="AX336" s="1">
        <f t="shared" si="59"/>
        <v>1</v>
      </c>
      <c r="AY336" s="1" t="str">
        <f>IF(COUNTIF($AX$2:AX336,1)&gt;$AG$1,"",IF(AX336="","",E336))</f>
        <v/>
      </c>
      <c r="BM336" s="138">
        <f t="shared" si="60"/>
        <v>0</v>
      </c>
      <c r="BN336" s="42">
        <f t="shared" si="61"/>
        <v>0</v>
      </c>
      <c r="BS336" s="1">
        <v>9963</v>
      </c>
      <c r="BT336" s="1" t="s">
        <v>902</v>
      </c>
      <c r="BX336" s="36"/>
    </row>
    <row r="337" spans="1:76" ht="14.25">
      <c r="A337" s="55"/>
      <c r="B337" s="36"/>
      <c r="C337" s="36"/>
      <c r="D337" s="36"/>
      <c r="E337" s="36"/>
      <c r="F337" s="36"/>
      <c r="G337" s="36"/>
      <c r="H337" s="36"/>
      <c r="I337" s="36"/>
      <c r="J337" s="36"/>
      <c r="K337" s="1" t="str">
        <f t="shared" si="62"/>
        <v/>
      </c>
      <c r="L337" s="1" t="str">
        <f t="shared" si="66"/>
        <v/>
      </c>
      <c r="M337" s="94">
        <v>332</v>
      </c>
      <c r="N337" s="36" t="s">
        <v>1987</v>
      </c>
      <c r="O337" s="95">
        <v>310039</v>
      </c>
      <c r="P337" s="36"/>
      <c r="Q337" s="110" t="str">
        <f t="shared" si="67"/>
        <v/>
      </c>
      <c r="R337" s="1" t="str">
        <f t="shared" si="68"/>
        <v/>
      </c>
      <c r="S337" s="1" t="str">
        <f>IF(A337&gt;0,COUNT(A$2:A337),"")</f>
        <v/>
      </c>
      <c r="T337" s="1" t="str">
        <f t="shared" si="69"/>
        <v/>
      </c>
      <c r="U337" s="1" t="str">
        <f t="shared" si="70"/>
        <v/>
      </c>
      <c r="V337" s="111" t="str">
        <f t="shared" si="71"/>
        <v/>
      </c>
      <c r="AA337" s="1">
        <v>30240</v>
      </c>
      <c r="AB337" s="1" t="s">
        <v>50</v>
      </c>
      <c r="AD337" s="1">
        <f t="shared" si="65"/>
        <v>0</v>
      </c>
      <c r="AI337" s="122">
        <v>140</v>
      </c>
      <c r="AJ337" s="1" t="s">
        <v>1680</v>
      </c>
      <c r="AK337" s="1">
        <v>309732</v>
      </c>
      <c r="AL337" s="1" t="s">
        <v>930</v>
      </c>
      <c r="AN337" s="270">
        <v>431</v>
      </c>
      <c r="AQ337" s="1">
        <v>345</v>
      </c>
      <c r="AR337" s="1" t="s">
        <v>1105</v>
      </c>
      <c r="AS337" s="1">
        <v>256939</v>
      </c>
      <c r="AT337" s="1" t="s">
        <v>115</v>
      </c>
      <c r="AV337" s="241">
        <v>637</v>
      </c>
      <c r="AX337" s="1">
        <f t="shared" si="59"/>
        <v>1</v>
      </c>
      <c r="AY337" s="1" t="str">
        <f>IF(COUNTIF($AX$2:AX337,1)&gt;$AG$1,"",IF(AX337="","",E337))</f>
        <v/>
      </c>
      <c r="BM337" s="138">
        <f t="shared" si="60"/>
        <v>0</v>
      </c>
      <c r="BN337" s="42">
        <f t="shared" si="61"/>
        <v>0</v>
      </c>
      <c r="BS337" s="1">
        <v>9964</v>
      </c>
      <c r="BT337" s="1" t="s">
        <v>902</v>
      </c>
      <c r="BX337" s="36"/>
    </row>
    <row r="338" spans="1:76" ht="14.25">
      <c r="A338" s="55"/>
      <c r="B338" s="36"/>
      <c r="C338" s="36"/>
      <c r="D338" s="36"/>
      <c r="E338" s="36"/>
      <c r="F338" s="36"/>
      <c r="G338" s="36"/>
      <c r="H338" s="36"/>
      <c r="I338" s="36"/>
      <c r="J338" s="36"/>
      <c r="K338" s="1" t="str">
        <f t="shared" si="62"/>
        <v/>
      </c>
      <c r="L338" s="1" t="str">
        <f t="shared" si="66"/>
        <v/>
      </c>
      <c r="M338" s="94">
        <v>333</v>
      </c>
      <c r="N338" s="36" t="s">
        <v>1988</v>
      </c>
      <c r="O338" s="95">
        <v>310040</v>
      </c>
      <c r="P338" s="36"/>
      <c r="Q338" s="110" t="str">
        <f t="shared" si="67"/>
        <v/>
      </c>
      <c r="R338" s="1" t="str">
        <f t="shared" si="68"/>
        <v/>
      </c>
      <c r="S338" s="1" t="str">
        <f>IF(A338&gt;0,COUNT(A$2:A338),"")</f>
        <v/>
      </c>
      <c r="T338" s="1" t="str">
        <f t="shared" si="69"/>
        <v/>
      </c>
      <c r="U338" s="1" t="str">
        <f t="shared" si="70"/>
        <v/>
      </c>
      <c r="V338" s="111" t="str">
        <f t="shared" si="71"/>
        <v/>
      </c>
      <c r="AA338" s="1">
        <v>30241</v>
      </c>
      <c r="AB338" s="1" t="s">
        <v>50</v>
      </c>
      <c r="AD338" s="1">
        <f t="shared" si="65"/>
        <v>0</v>
      </c>
      <c r="AI338" s="122">
        <v>141</v>
      </c>
      <c r="AJ338" s="1" t="s">
        <v>1681</v>
      </c>
      <c r="AK338" s="1">
        <v>309733</v>
      </c>
      <c r="AL338" s="1" t="s">
        <v>115</v>
      </c>
      <c r="AN338" s="270">
        <v>432</v>
      </c>
      <c r="AQ338" s="1">
        <v>346</v>
      </c>
      <c r="AR338" s="1" t="s">
        <v>1106</v>
      </c>
      <c r="AS338" s="1">
        <v>256940</v>
      </c>
      <c r="AT338" s="1" t="s">
        <v>930</v>
      </c>
      <c r="AV338" s="241">
        <v>638</v>
      </c>
      <c r="AX338" s="1">
        <f t="shared" si="59"/>
        <v>1</v>
      </c>
      <c r="AY338" s="1" t="str">
        <f>IF(COUNTIF($AX$2:AX338,1)&gt;$AG$1,"",IF(AX338="","",E338))</f>
        <v/>
      </c>
      <c r="BM338" s="138">
        <f t="shared" si="60"/>
        <v>0</v>
      </c>
      <c r="BN338" s="42">
        <f t="shared" si="61"/>
        <v>0</v>
      </c>
      <c r="BS338" s="1">
        <v>9965</v>
      </c>
      <c r="BT338" s="1" t="s">
        <v>902</v>
      </c>
      <c r="BX338" s="36"/>
    </row>
    <row r="339" spans="1:76" ht="14.25">
      <c r="A339" s="55"/>
      <c r="B339" s="36"/>
      <c r="C339" s="36"/>
      <c r="D339" s="36"/>
      <c r="E339" s="36"/>
      <c r="F339" s="36"/>
      <c r="G339" s="36"/>
      <c r="H339" s="36"/>
      <c r="I339" s="36"/>
      <c r="J339" s="36"/>
      <c r="K339" s="1" t="str">
        <f t="shared" si="62"/>
        <v/>
      </c>
      <c r="L339" s="1" t="str">
        <f t="shared" si="66"/>
        <v/>
      </c>
      <c r="M339" s="94">
        <v>334</v>
      </c>
      <c r="N339" s="36" t="s">
        <v>1989</v>
      </c>
      <c r="O339" s="95">
        <v>310041</v>
      </c>
      <c r="P339" s="36"/>
      <c r="Q339" s="110" t="str">
        <f t="shared" si="67"/>
        <v/>
      </c>
      <c r="R339" s="1" t="str">
        <f t="shared" si="68"/>
        <v/>
      </c>
      <c r="S339" s="1" t="str">
        <f>IF(A339&gt;0,COUNT(A$2:A339),"")</f>
        <v/>
      </c>
      <c r="T339" s="1" t="str">
        <f t="shared" si="69"/>
        <v/>
      </c>
      <c r="U339" s="1" t="str">
        <f t="shared" si="70"/>
        <v/>
      </c>
      <c r="V339" s="111" t="str">
        <f t="shared" si="71"/>
        <v/>
      </c>
      <c r="AA339" s="1">
        <v>30242</v>
      </c>
      <c r="AB339" s="1" t="s">
        <v>50</v>
      </c>
      <c r="AD339" s="1">
        <f t="shared" si="65"/>
        <v>0</v>
      </c>
      <c r="AI339" s="122">
        <v>142</v>
      </c>
      <c r="AJ339" s="1" t="s">
        <v>1682</v>
      </c>
      <c r="AK339" s="1">
        <v>309734</v>
      </c>
      <c r="AL339" s="1" t="s">
        <v>930</v>
      </c>
      <c r="AN339" s="270">
        <v>433</v>
      </c>
      <c r="AQ339" s="1">
        <v>347</v>
      </c>
      <c r="AR339" s="1" t="s">
        <v>1107</v>
      </c>
      <c r="AS339" s="1">
        <v>256941</v>
      </c>
      <c r="AT339" s="1" t="s">
        <v>930</v>
      </c>
      <c r="AV339" s="241">
        <v>639</v>
      </c>
      <c r="AX339" s="1">
        <f t="shared" si="59"/>
        <v>1</v>
      </c>
      <c r="AY339" s="1" t="str">
        <f>IF(COUNTIF($AX$2:AX339,1)&gt;$AG$1,"",IF(AX339="","",E339))</f>
        <v/>
      </c>
      <c r="BM339" s="138">
        <f t="shared" si="60"/>
        <v>0</v>
      </c>
      <c r="BN339" s="42">
        <f t="shared" si="61"/>
        <v>0</v>
      </c>
      <c r="BS339" s="1">
        <v>9966</v>
      </c>
      <c r="BT339" s="1" t="s">
        <v>902</v>
      </c>
      <c r="BX339" s="36"/>
    </row>
    <row r="340" spans="1:76" ht="14.25">
      <c r="A340" s="55"/>
      <c r="B340" s="36"/>
      <c r="C340" s="36"/>
      <c r="D340" s="36"/>
      <c r="E340" s="36"/>
      <c r="F340" s="36"/>
      <c r="G340" s="36"/>
      <c r="H340" s="36"/>
      <c r="J340" s="36"/>
      <c r="K340" s="1" t="str">
        <f t="shared" si="62"/>
        <v/>
      </c>
      <c r="L340" s="1" t="str">
        <f t="shared" si="66"/>
        <v/>
      </c>
      <c r="M340" s="94">
        <v>335</v>
      </c>
      <c r="N340" s="36" t="s">
        <v>1990</v>
      </c>
      <c r="O340" s="95">
        <v>310042</v>
      </c>
      <c r="P340" s="36"/>
      <c r="Q340" s="110" t="str">
        <f t="shared" si="67"/>
        <v/>
      </c>
      <c r="R340" s="1" t="str">
        <f t="shared" si="68"/>
        <v/>
      </c>
      <c r="S340" s="1" t="str">
        <f>IF(A340&gt;0,COUNT(A$2:A340),"")</f>
        <v/>
      </c>
      <c r="T340" s="1" t="str">
        <f t="shared" si="69"/>
        <v/>
      </c>
      <c r="U340" s="1" t="str">
        <f t="shared" si="70"/>
        <v/>
      </c>
      <c r="V340" s="111" t="str">
        <f t="shared" si="71"/>
        <v/>
      </c>
      <c r="AA340" s="1">
        <v>30243</v>
      </c>
      <c r="AB340" s="1" t="s">
        <v>50</v>
      </c>
      <c r="AD340" s="1">
        <f t="shared" si="65"/>
        <v>0</v>
      </c>
      <c r="AI340" s="122">
        <v>143</v>
      </c>
      <c r="AJ340" s="1" t="s">
        <v>1683</v>
      </c>
      <c r="AK340" s="1">
        <v>309735</v>
      </c>
      <c r="AL340" s="1" t="s">
        <v>115</v>
      </c>
      <c r="AN340" s="270">
        <v>434</v>
      </c>
      <c r="AQ340" s="1">
        <v>348</v>
      </c>
      <c r="AR340" s="1" t="s">
        <v>1108</v>
      </c>
      <c r="AS340" s="1">
        <v>256942</v>
      </c>
      <c r="AT340" s="1" t="s">
        <v>115</v>
      </c>
      <c r="AV340" s="241">
        <v>640</v>
      </c>
      <c r="AX340" s="1">
        <f t="shared" si="59"/>
        <v>1</v>
      </c>
      <c r="AY340" s="1" t="str">
        <f>IF(COUNTIF($AX$2:AX340,1)&gt;$AG$1,"",IF(AX340="","",E340))</f>
        <v/>
      </c>
      <c r="BM340" s="138">
        <f t="shared" si="60"/>
        <v>0</v>
      </c>
      <c r="BN340" s="42">
        <f t="shared" si="61"/>
        <v>0</v>
      </c>
      <c r="BS340" s="1">
        <v>9967</v>
      </c>
      <c r="BT340" s="1" t="s">
        <v>902</v>
      </c>
      <c r="BX340" s="36"/>
    </row>
    <row r="341" spans="1:76" ht="14.25">
      <c r="A341" s="55"/>
      <c r="B341" s="36"/>
      <c r="C341" s="36"/>
      <c r="D341" s="36"/>
      <c r="E341" s="36"/>
      <c r="F341" s="36"/>
      <c r="G341" s="36"/>
      <c r="H341" s="36"/>
      <c r="J341" s="36"/>
      <c r="K341" s="1" t="str">
        <f t="shared" si="62"/>
        <v/>
      </c>
      <c r="L341" s="1" t="str">
        <f t="shared" si="66"/>
        <v/>
      </c>
      <c r="M341" s="94">
        <v>336</v>
      </c>
      <c r="N341" s="36" t="s">
        <v>1991</v>
      </c>
      <c r="O341" s="95">
        <v>310043</v>
      </c>
      <c r="P341" s="36"/>
      <c r="Q341" s="110" t="str">
        <f t="shared" si="67"/>
        <v/>
      </c>
      <c r="R341" s="1" t="str">
        <f t="shared" si="68"/>
        <v/>
      </c>
      <c r="S341" s="1" t="str">
        <f>IF(A341&gt;0,COUNT(A$2:A341),"")</f>
        <v/>
      </c>
      <c r="T341" s="1" t="str">
        <f t="shared" si="69"/>
        <v/>
      </c>
      <c r="U341" s="1" t="str">
        <f t="shared" si="70"/>
        <v/>
      </c>
      <c r="V341" s="111" t="str">
        <f t="shared" si="71"/>
        <v/>
      </c>
      <c r="AA341" s="1">
        <v>30244</v>
      </c>
      <c r="AB341" s="1" t="s">
        <v>50</v>
      </c>
      <c r="AD341" s="1">
        <f t="shared" si="65"/>
        <v>0</v>
      </c>
      <c r="AI341" s="122">
        <v>144</v>
      </c>
      <c r="AJ341" s="1" t="s">
        <v>1684</v>
      </c>
      <c r="AK341" s="1">
        <v>309736</v>
      </c>
      <c r="AL341" s="1" t="s">
        <v>930</v>
      </c>
      <c r="AN341" s="270">
        <v>435</v>
      </c>
      <c r="AQ341" s="1">
        <v>349</v>
      </c>
      <c r="AR341" s="1" t="s">
        <v>1109</v>
      </c>
      <c r="AS341" s="1">
        <v>256943</v>
      </c>
      <c r="AT341" s="1" t="s">
        <v>930</v>
      </c>
      <c r="AV341" s="241">
        <v>641</v>
      </c>
      <c r="AX341" s="1">
        <f t="shared" si="59"/>
        <v>1</v>
      </c>
      <c r="AY341" s="1" t="str">
        <f>IF(COUNTIF($AX$2:AX341,1)&gt;$AG$1,"",IF(AX341="","",E341))</f>
        <v/>
      </c>
      <c r="BM341" s="138">
        <f t="shared" si="60"/>
        <v>0</v>
      </c>
      <c r="BN341" s="42">
        <f t="shared" si="61"/>
        <v>0</v>
      </c>
      <c r="BS341" s="1">
        <v>9968</v>
      </c>
      <c r="BT341" s="1" t="s">
        <v>902</v>
      </c>
      <c r="BX341" s="36"/>
    </row>
    <row r="342" spans="1:76" ht="14.25">
      <c r="A342" s="55"/>
      <c r="B342" s="36"/>
      <c r="C342" s="36"/>
      <c r="D342" s="36"/>
      <c r="E342" s="36"/>
      <c r="F342" s="36"/>
      <c r="G342" s="36"/>
      <c r="H342" s="36"/>
      <c r="J342" s="36"/>
      <c r="K342" s="1" t="str">
        <f t="shared" si="62"/>
        <v/>
      </c>
      <c r="L342" s="1" t="str">
        <f t="shared" si="66"/>
        <v/>
      </c>
      <c r="M342" s="94">
        <v>337</v>
      </c>
      <c r="N342" s="36" t="s">
        <v>1992</v>
      </c>
      <c r="O342" s="95">
        <v>310044</v>
      </c>
      <c r="P342" s="36"/>
      <c r="Q342" s="110" t="str">
        <f t="shared" si="67"/>
        <v/>
      </c>
      <c r="R342" s="1" t="str">
        <f t="shared" si="68"/>
        <v/>
      </c>
      <c r="S342" s="1" t="str">
        <f>IF(A342&gt;0,COUNT(A$2:A342),"")</f>
        <v/>
      </c>
      <c r="T342" s="1" t="str">
        <f t="shared" si="69"/>
        <v/>
      </c>
      <c r="U342" s="1" t="str">
        <f t="shared" si="70"/>
        <v/>
      </c>
      <c r="V342" s="111" t="str">
        <f t="shared" si="71"/>
        <v/>
      </c>
      <c r="AA342" s="1">
        <v>30245</v>
      </c>
      <c r="AB342" s="1" t="s">
        <v>50</v>
      </c>
      <c r="AD342" s="1">
        <f t="shared" si="65"/>
        <v>0</v>
      </c>
      <c r="AI342" s="122">
        <v>145</v>
      </c>
      <c r="AJ342" s="1" t="s">
        <v>1685</v>
      </c>
      <c r="AK342" s="1">
        <v>309737</v>
      </c>
      <c r="AL342" s="1" t="s">
        <v>930</v>
      </c>
      <c r="AN342" s="270">
        <v>436</v>
      </c>
      <c r="AQ342" s="1">
        <v>350</v>
      </c>
      <c r="AR342" s="1" t="s">
        <v>1110</v>
      </c>
      <c r="AS342" s="1">
        <v>256944</v>
      </c>
      <c r="AT342" s="1" t="s">
        <v>930</v>
      </c>
      <c r="AV342" s="241">
        <v>642</v>
      </c>
      <c r="AX342" s="1">
        <f t="shared" si="59"/>
        <v>1</v>
      </c>
      <c r="AY342" s="1" t="str">
        <f>IF(COUNTIF($AX$2:AX342,1)&gt;$AG$1,"",IF(AX342="","",E342))</f>
        <v/>
      </c>
      <c r="BM342" s="138">
        <f t="shared" si="60"/>
        <v>0</v>
      </c>
      <c r="BN342" s="42">
        <f t="shared" si="61"/>
        <v>0</v>
      </c>
      <c r="BS342" s="1">
        <v>9969</v>
      </c>
      <c r="BT342" s="1" t="s">
        <v>902</v>
      </c>
      <c r="BX342" s="36"/>
    </row>
    <row r="343" spans="1:76" ht="14.25">
      <c r="A343" s="55"/>
      <c r="B343" s="36"/>
      <c r="C343" s="36"/>
      <c r="D343" s="36"/>
      <c r="E343" s="36"/>
      <c r="F343" s="36"/>
      <c r="G343" s="36"/>
      <c r="H343" s="36"/>
      <c r="J343" s="36"/>
      <c r="K343" s="1" t="str">
        <f t="shared" si="62"/>
        <v/>
      </c>
      <c r="L343" s="1" t="str">
        <f t="shared" si="66"/>
        <v/>
      </c>
      <c r="M343" s="94">
        <v>338</v>
      </c>
      <c r="N343" s="36" t="s">
        <v>1993</v>
      </c>
      <c r="O343" s="95">
        <v>310045</v>
      </c>
      <c r="P343" s="36"/>
      <c r="Q343" s="110" t="str">
        <f t="shared" si="67"/>
        <v/>
      </c>
      <c r="R343" s="1" t="str">
        <f t="shared" si="68"/>
        <v/>
      </c>
      <c r="S343" s="1" t="str">
        <f>IF(A343&gt;0,COUNT(A$2:A343),"")</f>
        <v/>
      </c>
      <c r="T343" s="1" t="str">
        <f t="shared" si="69"/>
        <v/>
      </c>
      <c r="U343" s="1" t="str">
        <f t="shared" si="70"/>
        <v/>
      </c>
      <c r="V343" s="111" t="str">
        <f t="shared" si="71"/>
        <v/>
      </c>
      <c r="AA343" s="1">
        <v>30246</v>
      </c>
      <c r="AB343" s="1" t="s">
        <v>50</v>
      </c>
      <c r="AD343" s="1">
        <f t="shared" si="65"/>
        <v>0</v>
      </c>
      <c r="AI343" s="122">
        <v>146</v>
      </c>
      <c r="AJ343" s="1" t="s">
        <v>1686</v>
      </c>
      <c r="AK343" s="1">
        <v>309738</v>
      </c>
      <c r="AL343" s="1" t="s">
        <v>115</v>
      </c>
      <c r="AN343" s="270">
        <v>437</v>
      </c>
      <c r="AQ343" s="1">
        <v>351</v>
      </c>
      <c r="AR343" s="1" t="s">
        <v>1111</v>
      </c>
      <c r="AS343" s="1">
        <v>256945</v>
      </c>
      <c r="AT343" s="1" t="s">
        <v>115</v>
      </c>
      <c r="AV343" s="241">
        <v>643</v>
      </c>
      <c r="AX343" s="1">
        <f t="shared" si="59"/>
        <v>1</v>
      </c>
      <c r="AY343" s="1" t="str">
        <f>IF(COUNTIF($AX$2:AX343,1)&gt;$AG$1,"",IF(AX343="","",E343))</f>
        <v/>
      </c>
      <c r="BM343" s="138">
        <f t="shared" si="60"/>
        <v>0</v>
      </c>
      <c r="BN343" s="42">
        <f t="shared" si="61"/>
        <v>0</v>
      </c>
      <c r="BS343" s="1">
        <v>9970</v>
      </c>
      <c r="BT343" s="1" t="s">
        <v>902</v>
      </c>
      <c r="BX343" s="36"/>
    </row>
    <row r="344" spans="1:76" ht="14.25">
      <c r="A344" s="55"/>
      <c r="B344" s="36"/>
      <c r="C344" s="36"/>
      <c r="D344" s="36"/>
      <c r="E344" s="36"/>
      <c r="F344" s="36"/>
      <c r="G344" s="36"/>
      <c r="H344" s="36"/>
      <c r="J344" s="36"/>
      <c r="K344" s="1" t="str">
        <f t="shared" si="62"/>
        <v/>
      </c>
      <c r="L344" s="1" t="str">
        <f t="shared" si="66"/>
        <v/>
      </c>
      <c r="M344" s="94">
        <v>339</v>
      </c>
      <c r="N344" s="36" t="s">
        <v>1994</v>
      </c>
      <c r="O344" s="95">
        <v>310046</v>
      </c>
      <c r="P344" s="36"/>
      <c r="Q344" s="110" t="str">
        <f t="shared" si="67"/>
        <v/>
      </c>
      <c r="R344" s="1" t="str">
        <f t="shared" si="68"/>
        <v/>
      </c>
      <c r="S344" s="1" t="str">
        <f>IF(A344&gt;0,COUNT(A$2:A344),"")</f>
        <v/>
      </c>
      <c r="T344" s="1" t="str">
        <f t="shared" si="69"/>
        <v/>
      </c>
      <c r="U344" s="1" t="str">
        <f t="shared" si="70"/>
        <v/>
      </c>
      <c r="V344" s="111" t="str">
        <f t="shared" si="71"/>
        <v/>
      </c>
      <c r="AA344" s="1">
        <v>30247</v>
      </c>
      <c r="AB344" s="1" t="s">
        <v>50</v>
      </c>
      <c r="AD344" s="1">
        <f t="shared" si="65"/>
        <v>0</v>
      </c>
      <c r="AI344" s="122">
        <v>147</v>
      </c>
      <c r="AJ344" s="1" t="s">
        <v>1687</v>
      </c>
      <c r="AK344" s="1">
        <v>309739</v>
      </c>
      <c r="AL344" s="1" t="s">
        <v>930</v>
      </c>
      <c r="AN344" s="270">
        <v>438</v>
      </c>
      <c r="AQ344" s="1">
        <v>352</v>
      </c>
      <c r="AR344" s="1" t="s">
        <v>1112</v>
      </c>
      <c r="AS344" s="1">
        <v>256946</v>
      </c>
      <c r="AT344" s="1" t="s">
        <v>930</v>
      </c>
      <c r="AV344" s="241">
        <v>644</v>
      </c>
      <c r="AX344" s="1">
        <f t="shared" si="59"/>
        <v>1</v>
      </c>
      <c r="AY344" s="1" t="str">
        <f>IF(COUNTIF($AX$2:AX344,1)&gt;$AG$1,"",IF(AX344="","",E344))</f>
        <v/>
      </c>
      <c r="BM344" s="138">
        <f t="shared" si="60"/>
        <v>0</v>
      </c>
      <c r="BN344" s="42">
        <f t="shared" si="61"/>
        <v>0</v>
      </c>
      <c r="BS344" s="1">
        <v>9971</v>
      </c>
      <c r="BT344" s="1" t="s">
        <v>902</v>
      </c>
      <c r="BX344" s="36"/>
    </row>
    <row r="345" spans="1:76" ht="14.25">
      <c r="A345" s="55"/>
      <c r="B345" s="36"/>
      <c r="C345" s="36"/>
      <c r="D345" s="36"/>
      <c r="E345" s="36"/>
      <c r="F345" s="36"/>
      <c r="G345" s="36"/>
      <c r="H345" s="36"/>
      <c r="J345" s="36"/>
      <c r="K345" s="1" t="str">
        <f t="shared" si="62"/>
        <v/>
      </c>
      <c r="L345" s="1" t="str">
        <f t="shared" si="66"/>
        <v/>
      </c>
      <c r="M345" s="94">
        <v>340</v>
      </c>
      <c r="N345" s="36" t="s">
        <v>1995</v>
      </c>
      <c r="O345" s="95">
        <v>310047</v>
      </c>
      <c r="P345" s="36"/>
      <c r="Q345" s="110" t="str">
        <f t="shared" si="67"/>
        <v/>
      </c>
      <c r="R345" s="1" t="str">
        <f t="shared" si="68"/>
        <v/>
      </c>
      <c r="S345" s="1" t="str">
        <f>IF(A345&gt;0,COUNT(A$2:A345),"")</f>
        <v/>
      </c>
      <c r="T345" s="1" t="str">
        <f t="shared" si="69"/>
        <v/>
      </c>
      <c r="U345" s="1" t="str">
        <f t="shared" si="70"/>
        <v/>
      </c>
      <c r="V345" s="111" t="str">
        <f t="shared" si="71"/>
        <v/>
      </c>
      <c r="AA345" s="1">
        <v>30248</v>
      </c>
      <c r="AB345" s="1" t="s">
        <v>50</v>
      </c>
      <c r="AD345" s="1">
        <f t="shared" si="65"/>
        <v>0</v>
      </c>
      <c r="AI345" s="122">
        <v>148</v>
      </c>
      <c r="AJ345" s="1" t="s">
        <v>1688</v>
      </c>
      <c r="AK345" s="1">
        <v>309740</v>
      </c>
      <c r="AL345" s="1" t="s">
        <v>115</v>
      </c>
      <c r="AN345" s="270">
        <v>439</v>
      </c>
      <c r="AQ345" s="1">
        <v>353</v>
      </c>
      <c r="AR345" s="1" t="s">
        <v>1113</v>
      </c>
      <c r="AS345" s="1">
        <v>256947</v>
      </c>
      <c r="AT345" s="1" t="s">
        <v>115</v>
      </c>
      <c r="AV345" s="241">
        <v>645</v>
      </c>
      <c r="AX345" s="1">
        <f t="shared" si="59"/>
        <v>1</v>
      </c>
      <c r="AY345" s="1" t="str">
        <f>IF(COUNTIF($AX$2:AX345,1)&gt;$AG$1,"",IF(AX345="","",E345))</f>
        <v/>
      </c>
      <c r="BM345" s="138">
        <f t="shared" si="60"/>
        <v>0</v>
      </c>
      <c r="BN345" s="42">
        <f t="shared" si="61"/>
        <v>0</v>
      </c>
      <c r="BS345" s="1">
        <v>9972</v>
      </c>
      <c r="BT345" s="1" t="s">
        <v>902</v>
      </c>
      <c r="BX345" s="36"/>
    </row>
    <row r="346" spans="1:76" ht="14.25">
      <c r="A346" s="55"/>
      <c r="B346" s="36"/>
      <c r="C346" s="36"/>
      <c r="D346" s="36"/>
      <c r="E346" s="36"/>
      <c r="F346" s="36"/>
      <c r="G346" s="36"/>
      <c r="H346" s="36"/>
      <c r="J346" s="36"/>
      <c r="K346" s="1" t="str">
        <f t="shared" si="62"/>
        <v/>
      </c>
      <c r="L346" s="1" t="str">
        <f t="shared" si="66"/>
        <v/>
      </c>
      <c r="M346" s="94">
        <v>341</v>
      </c>
      <c r="N346" s="36" t="s">
        <v>1996</v>
      </c>
      <c r="O346" s="95">
        <v>310048</v>
      </c>
      <c r="P346" s="36"/>
      <c r="Q346" s="110" t="str">
        <f t="shared" si="67"/>
        <v/>
      </c>
      <c r="R346" s="1" t="str">
        <f t="shared" si="68"/>
        <v/>
      </c>
      <c r="S346" s="1" t="str">
        <f>IF(A346&gt;0,COUNT(A$2:A346),"")</f>
        <v/>
      </c>
      <c r="T346" s="1" t="str">
        <f t="shared" si="69"/>
        <v/>
      </c>
      <c r="U346" s="1" t="str">
        <f t="shared" si="70"/>
        <v/>
      </c>
      <c r="V346" s="111" t="str">
        <f t="shared" si="71"/>
        <v/>
      </c>
      <c r="AA346" s="1">
        <v>30249</v>
      </c>
      <c r="AB346" s="1" t="s">
        <v>50</v>
      </c>
      <c r="AD346" s="1">
        <f t="shared" si="65"/>
        <v>0</v>
      </c>
      <c r="AI346" s="122">
        <v>149</v>
      </c>
      <c r="AJ346" s="1" t="s">
        <v>1689</v>
      </c>
      <c r="AK346" s="1">
        <v>309741</v>
      </c>
      <c r="AL346" s="1" t="s">
        <v>930</v>
      </c>
      <c r="AN346" s="270">
        <v>440</v>
      </c>
      <c r="AQ346" s="1">
        <v>354</v>
      </c>
      <c r="AR346" s="1" t="s">
        <v>1114</v>
      </c>
      <c r="AS346" s="1">
        <v>256948</v>
      </c>
      <c r="AT346" s="1" t="s">
        <v>930</v>
      </c>
      <c r="AV346" s="241">
        <v>646</v>
      </c>
      <c r="AX346" s="1">
        <f t="shared" si="59"/>
        <v>1</v>
      </c>
      <c r="AY346" s="1" t="str">
        <f>IF(COUNTIF($AX$2:AX346,1)&gt;$AG$1,"",IF(AX346="","",E346))</f>
        <v/>
      </c>
      <c r="BM346" s="138">
        <f t="shared" si="60"/>
        <v>0</v>
      </c>
      <c r="BN346" s="42">
        <f t="shared" si="61"/>
        <v>0</v>
      </c>
      <c r="BS346" s="1">
        <v>9973</v>
      </c>
      <c r="BT346" s="1" t="s">
        <v>902</v>
      </c>
      <c r="BX346" s="36"/>
    </row>
    <row r="347" spans="1:76" ht="14.25">
      <c r="A347" s="55"/>
      <c r="B347" s="36"/>
      <c r="C347" s="36"/>
      <c r="D347" s="36"/>
      <c r="E347" s="36"/>
      <c r="F347" s="36"/>
      <c r="G347" s="36"/>
      <c r="H347" s="36"/>
      <c r="J347" s="36"/>
      <c r="K347" s="1" t="str">
        <f t="shared" si="62"/>
        <v/>
      </c>
      <c r="L347" s="1" t="str">
        <f t="shared" si="66"/>
        <v/>
      </c>
      <c r="M347" s="94">
        <v>342</v>
      </c>
      <c r="N347" s="36" t="s">
        <v>1997</v>
      </c>
      <c r="O347" s="95">
        <v>310049</v>
      </c>
      <c r="P347" s="36"/>
      <c r="Q347" s="110" t="str">
        <f t="shared" si="67"/>
        <v/>
      </c>
      <c r="R347" s="1" t="str">
        <f t="shared" si="68"/>
        <v/>
      </c>
      <c r="S347" s="1" t="str">
        <f>IF(A347&gt;0,COUNT(A$2:A347),"")</f>
        <v/>
      </c>
      <c r="T347" s="1" t="str">
        <f t="shared" si="69"/>
        <v/>
      </c>
      <c r="U347" s="1" t="str">
        <f t="shared" si="70"/>
        <v/>
      </c>
      <c r="V347" s="111" t="str">
        <f t="shared" si="71"/>
        <v/>
      </c>
      <c r="AA347" s="1">
        <v>30250</v>
      </c>
      <c r="AB347" s="1" t="s">
        <v>50</v>
      </c>
      <c r="AD347" s="1">
        <f t="shared" si="65"/>
        <v>0</v>
      </c>
      <c r="AI347" s="122">
        <v>150</v>
      </c>
      <c r="AJ347" s="1" t="s">
        <v>1690</v>
      </c>
      <c r="AK347" s="1">
        <v>309742</v>
      </c>
      <c r="AL347" s="1" t="s">
        <v>115</v>
      </c>
      <c r="AN347" s="270">
        <v>441</v>
      </c>
      <c r="AQ347" s="1">
        <v>355</v>
      </c>
      <c r="AR347" s="1" t="s">
        <v>1115</v>
      </c>
      <c r="AS347" s="1">
        <v>256949</v>
      </c>
      <c r="AT347" s="1" t="s">
        <v>930</v>
      </c>
      <c r="AV347" s="241">
        <v>647</v>
      </c>
      <c r="AX347" s="1">
        <f t="shared" si="59"/>
        <v>1</v>
      </c>
      <c r="AY347" s="1" t="str">
        <f>IF(COUNTIF($AX$2:AX347,1)&gt;$AG$1,"",IF(AX347="","",E347))</f>
        <v/>
      </c>
      <c r="BM347" s="138">
        <f t="shared" si="60"/>
        <v>0</v>
      </c>
      <c r="BN347" s="42">
        <f t="shared" si="61"/>
        <v>0</v>
      </c>
      <c r="BS347" s="1">
        <v>9974</v>
      </c>
      <c r="BT347" s="1" t="s">
        <v>902</v>
      </c>
      <c r="BX347" s="36"/>
    </row>
    <row r="348" spans="1:76" ht="14.25">
      <c r="A348" s="55"/>
      <c r="B348" s="36"/>
      <c r="C348" s="36"/>
      <c r="D348" s="36"/>
      <c r="E348" s="36"/>
      <c r="F348" s="36"/>
      <c r="G348" s="36"/>
      <c r="H348" s="36"/>
      <c r="J348" s="36"/>
      <c r="K348" s="1" t="str">
        <f t="shared" si="62"/>
        <v/>
      </c>
      <c r="L348" s="1" t="str">
        <f t="shared" si="66"/>
        <v/>
      </c>
      <c r="M348" s="94">
        <v>343</v>
      </c>
      <c r="N348" s="36" t="s">
        <v>1998</v>
      </c>
      <c r="O348" s="95">
        <v>310050</v>
      </c>
      <c r="P348" s="36"/>
      <c r="Q348" s="110" t="str">
        <f t="shared" si="67"/>
        <v/>
      </c>
      <c r="R348" s="1" t="str">
        <f t="shared" si="68"/>
        <v/>
      </c>
      <c r="S348" s="1" t="str">
        <f>IF(A348&gt;0,COUNT(A$2:A348),"")</f>
        <v/>
      </c>
      <c r="T348" s="1" t="str">
        <f t="shared" si="69"/>
        <v/>
      </c>
      <c r="U348" s="1" t="str">
        <f t="shared" si="70"/>
        <v/>
      </c>
      <c r="V348" s="111" t="str">
        <f t="shared" si="71"/>
        <v/>
      </c>
      <c r="AA348" s="1">
        <v>30251</v>
      </c>
      <c r="AB348" s="1" t="s">
        <v>50</v>
      </c>
      <c r="AD348" s="1">
        <f t="shared" si="65"/>
        <v>0</v>
      </c>
      <c r="AI348" s="122">
        <v>151</v>
      </c>
      <c r="AJ348" s="1" t="s">
        <v>1691</v>
      </c>
      <c r="AK348" s="1">
        <v>309743</v>
      </c>
      <c r="AL348" s="1" t="s">
        <v>930</v>
      </c>
      <c r="AN348" s="270">
        <v>442</v>
      </c>
      <c r="AQ348" s="1">
        <v>356</v>
      </c>
      <c r="AR348" s="1" t="s">
        <v>1116</v>
      </c>
      <c r="AS348" s="1">
        <v>256950</v>
      </c>
      <c r="AT348" s="1" t="s">
        <v>115</v>
      </c>
      <c r="AV348" s="241">
        <v>648</v>
      </c>
      <c r="AX348" s="1">
        <f t="shared" si="59"/>
        <v>1</v>
      </c>
      <c r="AY348" s="1" t="str">
        <f>IF(COUNTIF($AX$2:AX348,1)&gt;$AG$1,"",IF(AX348="","",E348))</f>
        <v/>
      </c>
      <c r="BM348" s="138">
        <f t="shared" si="60"/>
        <v>0</v>
      </c>
      <c r="BN348" s="42">
        <f t="shared" si="61"/>
        <v>0</v>
      </c>
      <c r="BS348" s="1">
        <v>9975</v>
      </c>
      <c r="BT348" s="1" t="s">
        <v>902</v>
      </c>
      <c r="BX348" s="36"/>
    </row>
    <row r="349" spans="1:76" ht="14.25">
      <c r="A349" s="55"/>
      <c r="B349" s="36"/>
      <c r="C349" s="36"/>
      <c r="D349" s="36"/>
      <c r="E349" s="36"/>
      <c r="F349" s="36"/>
      <c r="G349" s="36"/>
      <c r="H349" s="36"/>
      <c r="J349" s="36"/>
      <c r="K349" s="1" t="str">
        <f t="shared" si="62"/>
        <v/>
      </c>
      <c r="L349" s="1" t="str">
        <f t="shared" si="66"/>
        <v/>
      </c>
      <c r="M349" s="94">
        <v>344</v>
      </c>
      <c r="N349" s="36" t="s">
        <v>1999</v>
      </c>
      <c r="O349" s="95">
        <v>310051</v>
      </c>
      <c r="P349" s="36"/>
      <c r="Q349" s="110" t="str">
        <f t="shared" si="67"/>
        <v/>
      </c>
      <c r="R349" s="1" t="str">
        <f t="shared" si="68"/>
        <v/>
      </c>
      <c r="S349" s="1" t="str">
        <f>IF(A349&gt;0,COUNT(A$2:A349),"")</f>
        <v/>
      </c>
      <c r="T349" s="1" t="str">
        <f t="shared" si="69"/>
        <v/>
      </c>
      <c r="U349" s="1" t="str">
        <f t="shared" si="70"/>
        <v/>
      </c>
      <c r="V349" s="111" t="str">
        <f t="shared" si="71"/>
        <v/>
      </c>
      <c r="AA349" s="1">
        <v>30252</v>
      </c>
      <c r="AB349" s="1" t="s">
        <v>50</v>
      </c>
      <c r="AD349" s="1">
        <f t="shared" si="65"/>
        <v>0</v>
      </c>
      <c r="AI349" s="122">
        <v>152</v>
      </c>
      <c r="AJ349" s="1" t="s">
        <v>1692</v>
      </c>
      <c r="AK349" s="1">
        <v>309744</v>
      </c>
      <c r="AL349" s="1" t="s">
        <v>115</v>
      </c>
      <c r="AN349" s="270">
        <v>443</v>
      </c>
      <c r="AQ349" s="1">
        <v>357</v>
      </c>
      <c r="AR349" s="1" t="s">
        <v>1117</v>
      </c>
      <c r="AS349" s="1">
        <v>256951</v>
      </c>
      <c r="AT349" s="1" t="s">
        <v>930</v>
      </c>
      <c r="AV349" s="241">
        <v>649</v>
      </c>
      <c r="AX349" s="1">
        <f t="shared" si="59"/>
        <v>1</v>
      </c>
      <c r="AY349" s="1" t="str">
        <f>IF(COUNTIF($AX$2:AX349,1)&gt;$AG$1,"",IF(AX349="","",E349))</f>
        <v/>
      </c>
      <c r="BM349" s="138">
        <f t="shared" si="60"/>
        <v>0</v>
      </c>
      <c r="BN349" s="42">
        <f t="shared" si="61"/>
        <v>0</v>
      </c>
      <c r="BS349" s="1">
        <v>9976</v>
      </c>
      <c r="BT349" s="1" t="s">
        <v>902</v>
      </c>
      <c r="BX349" s="36"/>
    </row>
    <row r="350" spans="1:76" ht="14.25">
      <c r="A350" s="55"/>
      <c r="B350" s="36"/>
      <c r="C350" s="36"/>
      <c r="D350" s="36"/>
      <c r="E350" s="36"/>
      <c r="F350" s="36"/>
      <c r="G350" s="36"/>
      <c r="H350" s="36"/>
      <c r="J350" s="36"/>
      <c r="K350" s="1" t="str">
        <f t="shared" si="62"/>
        <v/>
      </c>
      <c r="L350" s="1" t="str">
        <f t="shared" si="66"/>
        <v/>
      </c>
      <c r="M350" s="94">
        <v>345</v>
      </c>
      <c r="N350" s="36" t="s">
        <v>2000</v>
      </c>
      <c r="O350" s="95">
        <v>310052</v>
      </c>
      <c r="P350" s="36"/>
      <c r="AA350" s="1">
        <v>30253</v>
      </c>
      <c r="AB350" s="1" t="s">
        <v>50</v>
      </c>
      <c r="AD350" s="1">
        <f t="shared" si="65"/>
        <v>0</v>
      </c>
      <c r="AI350" s="122">
        <v>153</v>
      </c>
      <c r="AJ350" s="1" t="s">
        <v>1693</v>
      </c>
      <c r="AK350" s="1">
        <v>309745</v>
      </c>
      <c r="AL350" s="1" t="s">
        <v>930</v>
      </c>
      <c r="AN350" s="270">
        <v>444</v>
      </c>
      <c r="AQ350" s="1">
        <v>358</v>
      </c>
      <c r="AR350" s="1" t="s">
        <v>1118</v>
      </c>
      <c r="AS350" s="1">
        <v>256952</v>
      </c>
      <c r="AT350" s="1" t="s">
        <v>115</v>
      </c>
      <c r="AV350" s="241">
        <v>650</v>
      </c>
      <c r="AX350" s="1">
        <f t="shared" si="59"/>
        <v>1</v>
      </c>
      <c r="AY350" s="1" t="str">
        <f>IF(COUNTIF($AX$2:AX350,1)&gt;$AG$1,"",IF(AX350="","",E350))</f>
        <v/>
      </c>
      <c r="BM350" s="138">
        <f t="shared" si="60"/>
        <v>0</v>
      </c>
      <c r="BN350" s="42">
        <f t="shared" si="61"/>
        <v>0</v>
      </c>
      <c r="BS350" s="1">
        <v>9977</v>
      </c>
      <c r="BT350" s="1" t="s">
        <v>902</v>
      </c>
      <c r="BX350" s="36"/>
    </row>
    <row r="351" spans="1:76" ht="14.25">
      <c r="A351" s="55"/>
      <c r="B351" s="36"/>
      <c r="C351" s="36"/>
      <c r="D351" s="36"/>
      <c r="E351" s="36"/>
      <c r="F351" s="36"/>
      <c r="G351" s="36"/>
      <c r="H351" s="36"/>
      <c r="J351" s="36"/>
      <c r="K351" s="1" t="str">
        <f t="shared" si="62"/>
        <v/>
      </c>
      <c r="L351" s="1" t="str">
        <f t="shared" si="66"/>
        <v/>
      </c>
      <c r="M351" s="94">
        <v>346</v>
      </c>
      <c r="N351" s="36" t="s">
        <v>2001</v>
      </c>
      <c r="O351" s="95">
        <v>310053</v>
      </c>
      <c r="P351" s="36"/>
      <c r="AA351" s="1">
        <v>30254</v>
      </c>
      <c r="AB351" s="1" t="s">
        <v>50</v>
      </c>
      <c r="AD351" s="1">
        <f t="shared" si="65"/>
        <v>0</v>
      </c>
      <c r="AI351" s="122">
        <v>154</v>
      </c>
      <c r="AJ351" s="1" t="s">
        <v>1694</v>
      </c>
      <c r="AK351" s="1">
        <v>309746</v>
      </c>
      <c r="AL351" s="1" t="s">
        <v>930</v>
      </c>
      <c r="AN351" s="270">
        <v>445</v>
      </c>
      <c r="AQ351" s="1">
        <v>359</v>
      </c>
      <c r="AR351" s="1" t="s">
        <v>1119</v>
      </c>
      <c r="AS351" s="1">
        <v>256953</v>
      </c>
      <c r="AT351" s="1" t="s">
        <v>930</v>
      </c>
      <c r="AV351" s="241">
        <v>651</v>
      </c>
      <c r="AX351" s="1">
        <f t="shared" si="59"/>
        <v>1</v>
      </c>
      <c r="AY351" s="1" t="str">
        <f>IF(COUNTIF($AX$2:AX351,1)&gt;$AG$1,"",IF(AX351="","",E351))</f>
        <v/>
      </c>
      <c r="BM351" s="138">
        <f t="shared" si="60"/>
        <v>0</v>
      </c>
      <c r="BN351" s="42">
        <f t="shared" si="61"/>
        <v>0</v>
      </c>
      <c r="BS351" s="1">
        <v>9978</v>
      </c>
      <c r="BT351" s="1" t="s">
        <v>902</v>
      </c>
      <c r="BX351" s="36"/>
    </row>
    <row r="352" spans="1:76" ht="14.25">
      <c r="A352" s="55"/>
      <c r="B352" s="36"/>
      <c r="C352" s="36"/>
      <c r="D352" s="36"/>
      <c r="E352" s="36"/>
      <c r="F352" s="36"/>
      <c r="G352" s="36"/>
      <c r="H352" s="36"/>
      <c r="J352" s="36"/>
      <c r="K352" s="1" t="str">
        <f t="shared" si="62"/>
        <v/>
      </c>
      <c r="L352" s="1" t="str">
        <f t="shared" si="66"/>
        <v/>
      </c>
      <c r="M352" s="94">
        <v>347</v>
      </c>
      <c r="N352" s="36" t="s">
        <v>2002</v>
      </c>
      <c r="O352" s="95">
        <v>310054</v>
      </c>
      <c r="P352" s="36"/>
      <c r="AA352" s="1">
        <v>30255</v>
      </c>
      <c r="AB352" s="1" t="s">
        <v>50</v>
      </c>
      <c r="AD352" s="1">
        <f t="shared" si="65"/>
        <v>0</v>
      </c>
      <c r="AI352" s="122">
        <v>155</v>
      </c>
      <c r="AJ352" s="1" t="s">
        <v>1695</v>
      </c>
      <c r="AK352" s="1">
        <v>309747</v>
      </c>
      <c r="AL352" s="1" t="s">
        <v>115</v>
      </c>
      <c r="AN352" s="270">
        <v>446</v>
      </c>
      <c r="AQ352" s="1">
        <v>360</v>
      </c>
      <c r="AR352" s="1" t="s">
        <v>1120</v>
      </c>
      <c r="AS352" s="1">
        <v>256954</v>
      </c>
      <c r="AT352" s="1" t="s">
        <v>930</v>
      </c>
      <c r="AV352" s="241">
        <v>652</v>
      </c>
      <c r="AX352" s="1">
        <f t="shared" si="59"/>
        <v>1</v>
      </c>
      <c r="AY352" s="1" t="str">
        <f>IF(COUNTIF($AX$2:AX352,1)&gt;$AG$1,"",IF(AX352="","",E352))</f>
        <v/>
      </c>
      <c r="BM352" s="138">
        <f t="shared" si="60"/>
        <v>0</v>
      </c>
      <c r="BN352" s="42">
        <f t="shared" si="61"/>
        <v>0</v>
      </c>
      <c r="BS352" s="1">
        <v>9979</v>
      </c>
      <c r="BT352" s="1" t="s">
        <v>902</v>
      </c>
      <c r="BX352" s="36"/>
    </row>
    <row r="353" spans="1:76" ht="14.25">
      <c r="A353" s="55"/>
      <c r="B353" s="36"/>
      <c r="C353" s="36"/>
      <c r="D353" s="36"/>
      <c r="E353" s="36"/>
      <c r="F353" s="36"/>
      <c r="G353" s="36"/>
      <c r="H353" s="36"/>
      <c r="J353" s="36"/>
      <c r="K353" s="1" t="str">
        <f t="shared" si="62"/>
        <v/>
      </c>
      <c r="L353" s="1" t="str">
        <f t="shared" si="66"/>
        <v/>
      </c>
      <c r="M353" s="94">
        <v>348</v>
      </c>
      <c r="N353" s="36" t="s">
        <v>2003</v>
      </c>
      <c r="O353" s="95">
        <v>310055</v>
      </c>
      <c r="P353" s="36"/>
      <c r="AA353" s="1">
        <v>30256</v>
      </c>
      <c r="AB353" s="1" t="s">
        <v>50</v>
      </c>
      <c r="AD353" s="1">
        <f t="shared" si="65"/>
        <v>0</v>
      </c>
      <c r="AI353" s="122">
        <v>156</v>
      </c>
      <c r="AJ353" s="1" t="s">
        <v>1696</v>
      </c>
      <c r="AK353" s="1">
        <v>309748</v>
      </c>
      <c r="AL353" s="1" t="s">
        <v>930</v>
      </c>
      <c r="AN353" s="270">
        <v>447</v>
      </c>
      <c r="AQ353" s="1">
        <v>361</v>
      </c>
      <c r="AR353" s="1" t="s">
        <v>1121</v>
      </c>
      <c r="AS353" s="1">
        <v>256955</v>
      </c>
      <c r="AT353" s="1" t="s">
        <v>115</v>
      </c>
      <c r="AV353" s="241">
        <v>653</v>
      </c>
      <c r="AX353" s="1">
        <f t="shared" si="59"/>
        <v>1</v>
      </c>
      <c r="AY353" s="1" t="str">
        <f>IF(COUNTIF($AX$2:AX353,1)&gt;$AG$1,"",IF(AX353="","",E353))</f>
        <v/>
      </c>
      <c r="BM353" s="138">
        <f t="shared" si="60"/>
        <v>0</v>
      </c>
      <c r="BN353" s="42">
        <f t="shared" si="61"/>
        <v>0</v>
      </c>
      <c r="BS353" s="1">
        <v>9980</v>
      </c>
      <c r="BT353" s="1" t="s">
        <v>902</v>
      </c>
      <c r="BX353" s="36"/>
    </row>
    <row r="354" spans="1:76" ht="14.25">
      <c r="A354" s="55"/>
      <c r="B354" s="36"/>
      <c r="C354" s="36"/>
      <c r="D354" s="36"/>
      <c r="E354" s="36"/>
      <c r="F354" s="36"/>
      <c r="G354" s="36"/>
      <c r="H354" s="36"/>
      <c r="J354" s="36"/>
      <c r="K354" s="1" t="str">
        <f t="shared" si="62"/>
        <v/>
      </c>
      <c r="L354" s="1" t="str">
        <f t="shared" si="66"/>
        <v/>
      </c>
      <c r="M354" s="94">
        <v>349</v>
      </c>
      <c r="N354" s="36" t="s">
        <v>2004</v>
      </c>
      <c r="O354" s="95">
        <v>310056</v>
      </c>
      <c r="P354" s="36"/>
      <c r="AA354" s="1">
        <v>30257</v>
      </c>
      <c r="AB354" s="1" t="s">
        <v>50</v>
      </c>
      <c r="AD354" s="1">
        <f t="shared" si="65"/>
        <v>0</v>
      </c>
      <c r="AI354" s="122">
        <v>157</v>
      </c>
      <c r="AJ354" s="1" t="s">
        <v>1697</v>
      </c>
      <c r="AK354" s="1">
        <v>309749</v>
      </c>
      <c r="AL354" s="1" t="s">
        <v>115</v>
      </c>
      <c r="AN354" s="270">
        <v>448</v>
      </c>
      <c r="AQ354" s="1">
        <v>362</v>
      </c>
      <c r="AR354" s="1" t="s">
        <v>1122</v>
      </c>
      <c r="AS354" s="1">
        <v>256956</v>
      </c>
      <c r="AT354" s="1" t="s">
        <v>930</v>
      </c>
      <c r="AV354" s="241">
        <v>654</v>
      </c>
      <c r="AX354" s="1">
        <f t="shared" si="59"/>
        <v>1</v>
      </c>
      <c r="AY354" s="1" t="str">
        <f>IF(COUNTIF($AX$2:AX354,1)&gt;$AG$1,"",IF(AX354="","",E354))</f>
        <v/>
      </c>
      <c r="BM354" s="138">
        <f t="shared" si="60"/>
        <v>0</v>
      </c>
      <c r="BN354" s="42">
        <f t="shared" si="61"/>
        <v>0</v>
      </c>
      <c r="BS354" s="1">
        <v>9981</v>
      </c>
      <c r="BT354" s="1" t="s">
        <v>902</v>
      </c>
      <c r="BX354" s="36"/>
    </row>
    <row r="355" spans="1:76" ht="14.25">
      <c r="A355" s="55"/>
      <c r="B355" s="36"/>
      <c r="C355" s="36"/>
      <c r="D355" s="36"/>
      <c r="E355" s="36"/>
      <c r="F355" s="36"/>
      <c r="G355" s="36"/>
      <c r="H355" s="36"/>
      <c r="J355" s="36"/>
      <c r="K355" s="1" t="str">
        <f t="shared" si="62"/>
        <v/>
      </c>
      <c r="L355" s="1" t="str">
        <f t="shared" si="66"/>
        <v/>
      </c>
      <c r="M355" s="94">
        <v>350</v>
      </c>
      <c r="N355" s="36" t="s">
        <v>2005</v>
      </c>
      <c r="O355" s="95">
        <v>310057</v>
      </c>
      <c r="P355" s="36"/>
      <c r="AA355" s="1">
        <v>30258</v>
      </c>
      <c r="AB355" s="1" t="s">
        <v>50</v>
      </c>
      <c r="AD355" s="1">
        <f t="shared" si="65"/>
        <v>0</v>
      </c>
      <c r="AI355" s="122">
        <v>158</v>
      </c>
      <c r="AJ355" s="1" t="s">
        <v>1698</v>
      </c>
      <c r="AK355" s="1">
        <v>309750</v>
      </c>
      <c r="AL355" s="1" t="s">
        <v>930</v>
      </c>
      <c r="AN355" s="270">
        <v>449</v>
      </c>
      <c r="AQ355" s="1">
        <v>363</v>
      </c>
      <c r="AR355" s="1" t="s">
        <v>1123</v>
      </c>
      <c r="AS355" s="1">
        <v>256957</v>
      </c>
      <c r="AT355" s="1" t="s">
        <v>115</v>
      </c>
      <c r="AV355" s="241">
        <v>655</v>
      </c>
      <c r="AX355" s="1">
        <f t="shared" si="59"/>
        <v>1</v>
      </c>
      <c r="AY355" s="1" t="str">
        <f>IF(COUNTIF($AX$2:AX355,1)&gt;$AG$1,"",IF(AX355="","",E355))</f>
        <v/>
      </c>
      <c r="BM355" s="138">
        <f t="shared" si="60"/>
        <v>0</v>
      </c>
      <c r="BN355" s="42">
        <f t="shared" si="61"/>
        <v>0</v>
      </c>
      <c r="BS355" s="1">
        <v>9982</v>
      </c>
      <c r="BT355" s="1" t="s">
        <v>902</v>
      </c>
      <c r="BX355" s="36"/>
    </row>
    <row r="356" spans="1:76" ht="14.25">
      <c r="A356" s="55"/>
      <c r="B356" s="36"/>
      <c r="C356" s="36"/>
      <c r="D356" s="36"/>
      <c r="E356" s="36"/>
      <c r="F356" s="36"/>
      <c r="G356" s="36"/>
      <c r="H356" s="36"/>
      <c r="J356" s="36"/>
      <c r="K356" s="1" t="str">
        <f t="shared" si="62"/>
        <v/>
      </c>
      <c r="L356" s="1" t="str">
        <f t="shared" si="66"/>
        <v/>
      </c>
      <c r="M356" s="94">
        <v>351</v>
      </c>
      <c r="N356" s="36" t="s">
        <v>2006</v>
      </c>
      <c r="O356" s="95">
        <v>310058</v>
      </c>
      <c r="P356" s="36"/>
      <c r="AA356" s="1">
        <v>30259</v>
      </c>
      <c r="AB356" s="1" t="s">
        <v>50</v>
      </c>
      <c r="AD356" s="1">
        <f t="shared" si="65"/>
        <v>0</v>
      </c>
      <c r="AI356" s="122">
        <v>159</v>
      </c>
      <c r="AJ356" s="1" t="s">
        <v>1699</v>
      </c>
      <c r="AK356" s="1">
        <v>309751</v>
      </c>
      <c r="AL356" s="1" t="s">
        <v>115</v>
      </c>
      <c r="AN356" s="270">
        <v>450</v>
      </c>
      <c r="AQ356" s="1">
        <v>364</v>
      </c>
      <c r="AR356" s="1" t="s">
        <v>1124</v>
      </c>
      <c r="AS356" s="1">
        <v>256958</v>
      </c>
      <c r="AT356" s="1" t="s">
        <v>930</v>
      </c>
      <c r="AV356" s="241">
        <v>656</v>
      </c>
      <c r="AX356" s="1">
        <f t="shared" si="59"/>
        <v>1</v>
      </c>
      <c r="AY356" s="1" t="str">
        <f>IF(COUNTIF($AX$2:AX356,1)&gt;$AG$1,"",IF(AX356="","",E356))</f>
        <v/>
      </c>
      <c r="BM356" s="138">
        <f t="shared" si="60"/>
        <v>0</v>
      </c>
      <c r="BN356" s="42">
        <f t="shared" si="61"/>
        <v>0</v>
      </c>
      <c r="BS356" s="1">
        <v>9983</v>
      </c>
      <c r="BT356" s="1" t="s">
        <v>902</v>
      </c>
      <c r="BX356" s="36"/>
    </row>
    <row r="357" spans="1:76" ht="14.25">
      <c r="A357" s="55"/>
      <c r="B357" s="36"/>
      <c r="C357" s="36"/>
      <c r="D357" s="36"/>
      <c r="E357" s="36"/>
      <c r="F357" s="36"/>
      <c r="G357" s="36"/>
      <c r="H357" s="36"/>
      <c r="J357" s="36"/>
      <c r="K357" s="1" t="str">
        <f t="shared" si="62"/>
        <v/>
      </c>
      <c r="L357" s="1" t="str">
        <f t="shared" si="66"/>
        <v/>
      </c>
      <c r="M357" s="94">
        <v>352</v>
      </c>
      <c r="N357" s="36" t="s">
        <v>2007</v>
      </c>
      <c r="O357" s="95">
        <v>310059</v>
      </c>
      <c r="P357" s="36"/>
      <c r="AA357" s="1">
        <v>30260</v>
      </c>
      <c r="AB357" s="1" t="s">
        <v>50</v>
      </c>
      <c r="AD357" s="1">
        <f t="shared" si="65"/>
        <v>0</v>
      </c>
      <c r="AI357" s="122">
        <v>160</v>
      </c>
      <c r="AJ357" s="1" t="s">
        <v>1700</v>
      </c>
      <c r="AK357" s="1">
        <v>309752</v>
      </c>
      <c r="AL357" s="1" t="s">
        <v>930</v>
      </c>
      <c r="AN357" s="270">
        <v>451</v>
      </c>
      <c r="AQ357" s="1">
        <v>365</v>
      </c>
      <c r="AR357" s="1" t="s">
        <v>1125</v>
      </c>
      <c r="AS357" s="1">
        <v>256959</v>
      </c>
      <c r="AT357" s="1" t="s">
        <v>930</v>
      </c>
      <c r="AV357" s="241">
        <v>657</v>
      </c>
      <c r="AX357" s="1">
        <f t="shared" si="59"/>
        <v>1</v>
      </c>
      <c r="AY357" s="1" t="str">
        <f>IF(COUNTIF($AX$2:AX357,1)&gt;$AG$1,"",IF(AX357="","",E357))</f>
        <v/>
      </c>
      <c r="BM357" s="138">
        <f t="shared" si="60"/>
        <v>0</v>
      </c>
      <c r="BN357" s="42">
        <f t="shared" si="61"/>
        <v>0</v>
      </c>
      <c r="BS357" s="1">
        <v>9984</v>
      </c>
      <c r="BT357" s="1" t="s">
        <v>902</v>
      </c>
      <c r="BX357" s="36"/>
    </row>
    <row r="358" spans="1:76" ht="14.25">
      <c r="A358" s="55"/>
      <c r="B358" s="36"/>
      <c r="C358" s="36"/>
      <c r="D358" s="36"/>
      <c r="E358" s="36"/>
      <c r="F358" s="36"/>
      <c r="G358" s="36"/>
      <c r="H358" s="36"/>
      <c r="J358" s="36"/>
      <c r="K358" s="1" t="str">
        <f t="shared" si="62"/>
        <v/>
      </c>
      <c r="L358" s="1" t="str">
        <f t="shared" si="66"/>
        <v/>
      </c>
      <c r="M358" s="94">
        <v>353</v>
      </c>
      <c r="N358" s="36" t="s">
        <v>2008</v>
      </c>
      <c r="O358" s="95">
        <v>310060</v>
      </c>
      <c r="P358" s="36"/>
      <c r="AA358" s="1">
        <v>30261</v>
      </c>
      <c r="AB358" s="1" t="s">
        <v>50</v>
      </c>
      <c r="AD358" s="1">
        <f t="shared" si="65"/>
        <v>0</v>
      </c>
      <c r="AI358" s="122">
        <v>161</v>
      </c>
      <c r="AJ358" s="1" t="s">
        <v>1701</v>
      </c>
      <c r="AK358" s="1">
        <v>309753</v>
      </c>
      <c r="AL358" s="1" t="s">
        <v>930</v>
      </c>
      <c r="AN358" s="270">
        <v>452</v>
      </c>
      <c r="AQ358" s="1">
        <v>366</v>
      </c>
      <c r="AR358" s="1" t="s">
        <v>1126</v>
      </c>
      <c r="AS358" s="1">
        <v>256960</v>
      </c>
      <c r="AT358" s="1" t="s">
        <v>115</v>
      </c>
      <c r="AV358" s="241">
        <v>658</v>
      </c>
      <c r="AX358" s="1">
        <f t="shared" si="59"/>
        <v>1</v>
      </c>
      <c r="AY358" s="1" t="str">
        <f>IF(COUNTIF($AX$2:AX358,1)&gt;$AG$1,"",IF(AX358="","",E358))</f>
        <v/>
      </c>
      <c r="BM358" s="138">
        <f t="shared" si="60"/>
        <v>0</v>
      </c>
      <c r="BN358" s="42">
        <f t="shared" si="61"/>
        <v>0</v>
      </c>
      <c r="BS358" s="1">
        <v>9985</v>
      </c>
      <c r="BT358" s="1" t="s">
        <v>902</v>
      </c>
      <c r="BX358" s="36"/>
    </row>
    <row r="359" spans="1:76" ht="14.25">
      <c r="A359" s="55"/>
      <c r="B359" s="36"/>
      <c r="C359" s="36"/>
      <c r="D359" s="36"/>
      <c r="E359" s="36"/>
      <c r="F359" s="36"/>
      <c r="G359" s="36"/>
      <c r="H359" s="36"/>
      <c r="J359" s="36"/>
      <c r="K359" s="1" t="str">
        <f t="shared" si="62"/>
        <v/>
      </c>
      <c r="L359" s="1" t="str">
        <f t="shared" si="66"/>
        <v/>
      </c>
      <c r="M359" s="94">
        <v>354</v>
      </c>
      <c r="N359" s="36" t="s">
        <v>2009</v>
      </c>
      <c r="O359" s="95">
        <v>310061</v>
      </c>
      <c r="P359" s="36"/>
      <c r="AA359" s="1">
        <v>30262</v>
      </c>
      <c r="AB359" s="1" t="s">
        <v>50</v>
      </c>
      <c r="AD359" s="1">
        <f t="shared" si="65"/>
        <v>0</v>
      </c>
      <c r="AI359" s="122">
        <v>162</v>
      </c>
      <c r="AJ359" s="1" t="s">
        <v>1702</v>
      </c>
      <c r="AK359" s="1">
        <v>309754</v>
      </c>
      <c r="AL359" s="1" t="s">
        <v>115</v>
      </c>
      <c r="AN359" s="270">
        <v>453</v>
      </c>
      <c r="AQ359" s="1">
        <v>367</v>
      </c>
      <c r="AR359" s="1" t="s">
        <v>1127</v>
      </c>
      <c r="AS359" s="1">
        <v>256961</v>
      </c>
      <c r="AT359" s="1" t="s">
        <v>930</v>
      </c>
      <c r="AV359" s="241">
        <v>659</v>
      </c>
      <c r="AX359" s="1">
        <f t="shared" si="59"/>
        <v>1</v>
      </c>
      <c r="AY359" s="1" t="str">
        <f>IF(COUNTIF($AX$2:AX359,1)&gt;$AG$1,"",IF(AX359="","",E359))</f>
        <v/>
      </c>
      <c r="BM359" s="138">
        <f t="shared" si="60"/>
        <v>0</v>
      </c>
      <c r="BN359" s="42">
        <f t="shared" si="61"/>
        <v>0</v>
      </c>
      <c r="BS359" s="1">
        <v>9986</v>
      </c>
      <c r="BT359" s="1" t="s">
        <v>902</v>
      </c>
      <c r="BX359" s="36"/>
    </row>
    <row r="360" spans="1:76" ht="14.25">
      <c r="A360" s="55"/>
      <c r="B360" s="36"/>
      <c r="C360" s="36"/>
      <c r="D360" s="36"/>
      <c r="E360" s="36"/>
      <c r="F360" s="36"/>
      <c r="G360" s="36"/>
      <c r="H360" s="36"/>
      <c r="J360" s="36"/>
      <c r="K360" s="1" t="str">
        <f t="shared" si="62"/>
        <v/>
      </c>
      <c r="L360" s="1" t="str">
        <f t="shared" si="66"/>
        <v/>
      </c>
      <c r="M360" s="94">
        <v>355</v>
      </c>
      <c r="N360" s="36" t="s">
        <v>2010</v>
      </c>
      <c r="O360" s="95">
        <v>310062</v>
      </c>
      <c r="P360" s="36"/>
      <c r="AA360" s="1">
        <v>30263</v>
      </c>
      <c r="AB360" s="1" t="s">
        <v>50</v>
      </c>
      <c r="AD360" s="1">
        <f t="shared" si="65"/>
        <v>0</v>
      </c>
      <c r="AI360" s="122">
        <v>163</v>
      </c>
      <c r="AJ360" s="1" t="s">
        <v>1703</v>
      </c>
      <c r="AK360" s="1">
        <v>309755</v>
      </c>
      <c r="AL360" s="1" t="s">
        <v>930</v>
      </c>
      <c r="AN360" s="270">
        <v>454</v>
      </c>
      <c r="AQ360" s="1">
        <v>212</v>
      </c>
      <c r="AR360" s="1" t="s">
        <v>248</v>
      </c>
      <c r="AS360" s="1">
        <v>210112</v>
      </c>
      <c r="AT360" s="1" t="s">
        <v>115</v>
      </c>
      <c r="AV360" s="241">
        <v>706</v>
      </c>
      <c r="AX360" s="1">
        <f t="shared" si="59"/>
        <v>1</v>
      </c>
      <c r="AY360" s="1" t="str">
        <f>IF(COUNTIF($AX$2:AX360,1)&gt;$AG$1,"",IF(AX360="","",E360))</f>
        <v/>
      </c>
      <c r="BM360" s="138">
        <f t="shared" si="60"/>
        <v>0</v>
      </c>
      <c r="BN360" s="42">
        <f t="shared" si="61"/>
        <v>0</v>
      </c>
      <c r="BS360" s="1">
        <v>9987</v>
      </c>
      <c r="BT360" s="1" t="s">
        <v>902</v>
      </c>
      <c r="BX360" s="36"/>
    </row>
    <row r="361" spans="1:76" ht="14.25">
      <c r="A361" s="55"/>
      <c r="B361" s="36"/>
      <c r="C361" s="36"/>
      <c r="D361" s="36"/>
      <c r="E361" s="36"/>
      <c r="F361" s="36"/>
      <c r="G361" s="36"/>
      <c r="H361" s="36"/>
      <c r="J361" s="36"/>
      <c r="K361" s="1" t="str">
        <f t="shared" si="62"/>
        <v/>
      </c>
      <c r="L361" s="1" t="str">
        <f t="shared" si="66"/>
        <v/>
      </c>
      <c r="M361" s="94">
        <v>356</v>
      </c>
      <c r="N361" s="36" t="s">
        <v>2011</v>
      </c>
      <c r="O361" s="95">
        <v>310063</v>
      </c>
      <c r="P361" s="36"/>
      <c r="AA361" s="1">
        <v>30264</v>
      </c>
      <c r="AB361" s="1" t="s">
        <v>50</v>
      </c>
      <c r="AD361" s="1">
        <f t="shared" si="65"/>
        <v>0</v>
      </c>
      <c r="AI361" s="122">
        <v>164</v>
      </c>
      <c r="AJ361" s="1" t="s">
        <v>1704</v>
      </c>
      <c r="AK361" s="1">
        <v>309756</v>
      </c>
      <c r="AL361" s="1" t="s">
        <v>115</v>
      </c>
      <c r="AN361" s="270">
        <v>455</v>
      </c>
      <c r="AQ361" s="1">
        <v>213</v>
      </c>
      <c r="AR361" s="1" t="s">
        <v>249</v>
      </c>
      <c r="AS361" s="1">
        <v>210104</v>
      </c>
      <c r="AT361" s="1" t="s">
        <v>116</v>
      </c>
      <c r="AV361" s="241">
        <v>707</v>
      </c>
      <c r="AX361" s="1">
        <f t="shared" si="59"/>
        <v>1</v>
      </c>
      <c r="AY361" s="1" t="str">
        <f>IF(COUNTIF($AX$2:AX361,1)&gt;$AG$1,"",IF(AX361="","",E361))</f>
        <v/>
      </c>
      <c r="BM361" s="138">
        <f t="shared" si="60"/>
        <v>0</v>
      </c>
      <c r="BN361" s="42">
        <f t="shared" si="61"/>
        <v>0</v>
      </c>
      <c r="BS361" s="1">
        <v>9988</v>
      </c>
      <c r="BT361" s="1" t="s">
        <v>902</v>
      </c>
      <c r="BX361" s="36"/>
    </row>
    <row r="362" spans="1:76" ht="14.25">
      <c r="A362" s="55"/>
      <c r="B362" s="36"/>
      <c r="C362" s="36"/>
      <c r="D362" s="36"/>
      <c r="E362" s="36"/>
      <c r="F362" s="36"/>
      <c r="G362" s="36"/>
      <c r="H362" s="36"/>
      <c r="J362" s="36"/>
      <c r="K362" s="1" t="str">
        <f t="shared" si="62"/>
        <v/>
      </c>
      <c r="L362" s="1" t="str">
        <f t="shared" si="66"/>
        <v/>
      </c>
      <c r="M362" s="94">
        <v>357</v>
      </c>
      <c r="N362" s="36" t="s">
        <v>2012</v>
      </c>
      <c r="O362" s="95">
        <v>310064</v>
      </c>
      <c r="P362" s="36"/>
      <c r="AA362" s="1">
        <v>30265</v>
      </c>
      <c r="AB362" s="1" t="s">
        <v>50</v>
      </c>
      <c r="AD362" s="1">
        <f t="shared" si="65"/>
        <v>0</v>
      </c>
      <c r="AI362" s="122">
        <v>165</v>
      </c>
      <c r="AJ362" s="1" t="s">
        <v>1705</v>
      </c>
      <c r="AK362" s="1">
        <v>309757</v>
      </c>
      <c r="AL362" s="1" t="s">
        <v>930</v>
      </c>
      <c r="AN362" s="270">
        <v>456</v>
      </c>
      <c r="AQ362" s="1">
        <v>214</v>
      </c>
      <c r="AR362" s="1" t="s">
        <v>250</v>
      </c>
      <c r="AS362" s="1">
        <v>210105</v>
      </c>
      <c r="AT362" s="1" t="s">
        <v>115</v>
      </c>
      <c r="AV362" s="241">
        <v>708</v>
      </c>
      <c r="AX362" s="1">
        <f t="shared" si="59"/>
        <v>1</v>
      </c>
      <c r="AY362" s="1" t="str">
        <f>IF(COUNTIF($AX$2:AX362,1)&gt;$AG$1,"",IF(AX362="","",E362))</f>
        <v/>
      </c>
      <c r="BM362" s="138">
        <f t="shared" si="60"/>
        <v>0</v>
      </c>
      <c r="BN362" s="42">
        <f t="shared" si="61"/>
        <v>0</v>
      </c>
      <c r="BS362" s="1">
        <v>9989</v>
      </c>
      <c r="BT362" s="1" t="s">
        <v>902</v>
      </c>
      <c r="BX362" s="36"/>
    </row>
    <row r="363" spans="1:76" ht="14.25">
      <c r="A363" s="55"/>
      <c r="B363" s="36"/>
      <c r="C363" s="36"/>
      <c r="D363" s="36"/>
      <c r="E363" s="36"/>
      <c r="F363" s="36"/>
      <c r="G363" s="36"/>
      <c r="H363" s="36"/>
      <c r="J363" s="36"/>
      <c r="K363" s="1" t="str">
        <f t="shared" si="62"/>
        <v/>
      </c>
      <c r="L363" s="1" t="str">
        <f t="shared" si="66"/>
        <v/>
      </c>
      <c r="M363" s="94">
        <v>358</v>
      </c>
      <c r="N363" s="36" t="s">
        <v>2013</v>
      </c>
      <c r="O363" s="95">
        <v>310065</v>
      </c>
      <c r="P363" s="36"/>
      <c r="AA363" s="1">
        <v>30266</v>
      </c>
      <c r="AB363" s="1" t="s">
        <v>50</v>
      </c>
      <c r="AD363" s="1">
        <f t="shared" si="65"/>
        <v>0</v>
      </c>
      <c r="AI363" s="122">
        <v>166</v>
      </c>
      <c r="AJ363" s="1" t="s">
        <v>1706</v>
      </c>
      <c r="AK363" s="1">
        <v>309758</v>
      </c>
      <c r="AL363" s="1" t="s">
        <v>115</v>
      </c>
      <c r="AN363" s="270">
        <v>457</v>
      </c>
      <c r="AQ363" s="1">
        <v>215</v>
      </c>
      <c r="AR363" s="1" t="s">
        <v>251</v>
      </c>
      <c r="AS363" s="1">
        <v>210106</v>
      </c>
      <c r="AT363" s="1" t="s">
        <v>116</v>
      </c>
      <c r="AV363" s="241">
        <v>709</v>
      </c>
      <c r="AX363" s="1">
        <f t="shared" si="59"/>
        <v>1</v>
      </c>
      <c r="AY363" s="1" t="str">
        <f>IF(COUNTIF($AX$2:AX363,1)&gt;$AG$1,"",IF(AX363="","",E363))</f>
        <v/>
      </c>
      <c r="BM363" s="138">
        <f t="shared" si="60"/>
        <v>0</v>
      </c>
      <c r="BN363" s="42">
        <f t="shared" si="61"/>
        <v>0</v>
      </c>
      <c r="BS363" s="1">
        <v>9990</v>
      </c>
      <c r="BT363" s="1" t="s">
        <v>902</v>
      </c>
      <c r="BX363" s="36"/>
    </row>
    <row r="364" spans="1:76" ht="14.25">
      <c r="A364" s="55"/>
      <c r="B364" s="36"/>
      <c r="C364" s="36"/>
      <c r="D364" s="36"/>
      <c r="E364" s="36"/>
      <c r="F364" s="36"/>
      <c r="G364" s="36"/>
      <c r="H364" s="36"/>
      <c r="J364" s="36"/>
      <c r="K364" s="1" t="str">
        <f t="shared" si="62"/>
        <v/>
      </c>
      <c r="L364" s="1" t="str">
        <f t="shared" si="66"/>
        <v/>
      </c>
      <c r="M364" s="94">
        <v>359</v>
      </c>
      <c r="N364" s="36" t="s">
        <v>2014</v>
      </c>
      <c r="O364" s="95">
        <v>310066</v>
      </c>
      <c r="P364" s="36"/>
      <c r="AA364" s="1">
        <v>30267</v>
      </c>
      <c r="AB364" s="1" t="s">
        <v>50</v>
      </c>
      <c r="AD364" s="1">
        <f t="shared" si="65"/>
        <v>0</v>
      </c>
      <c r="AI364" s="122">
        <v>167</v>
      </c>
      <c r="AJ364" s="1" t="s">
        <v>1707</v>
      </c>
      <c r="AK364" s="1">
        <v>309759</v>
      </c>
      <c r="AL364" s="1" t="s">
        <v>930</v>
      </c>
      <c r="AN364" s="270">
        <v>458</v>
      </c>
      <c r="AQ364" s="1">
        <v>216</v>
      </c>
      <c r="AR364" s="1" t="s">
        <v>252</v>
      </c>
      <c r="AS364" s="1">
        <v>210107</v>
      </c>
      <c r="AT364" s="1" t="s">
        <v>115</v>
      </c>
      <c r="AV364" s="241">
        <v>710</v>
      </c>
      <c r="AX364" s="1">
        <f t="shared" si="59"/>
        <v>1</v>
      </c>
      <c r="AY364" s="1" t="str">
        <f>IF(COUNTIF($AX$2:AX364,1)&gt;$AG$1,"",IF(AX364="","",E364))</f>
        <v/>
      </c>
      <c r="BM364" s="138">
        <f t="shared" si="60"/>
        <v>0</v>
      </c>
      <c r="BN364" s="42">
        <f t="shared" si="61"/>
        <v>0</v>
      </c>
      <c r="BS364" s="1">
        <v>9991</v>
      </c>
      <c r="BT364" s="1" t="s">
        <v>902</v>
      </c>
      <c r="BX364" s="36"/>
    </row>
    <row r="365" spans="1:76" ht="14.25">
      <c r="A365" s="55"/>
      <c r="B365" s="36"/>
      <c r="C365" s="36"/>
      <c r="D365" s="36"/>
      <c r="E365" s="36"/>
      <c r="F365" s="36"/>
      <c r="G365" s="36"/>
      <c r="H365" s="36"/>
      <c r="J365" s="36"/>
      <c r="K365" s="1" t="str">
        <f t="shared" si="62"/>
        <v/>
      </c>
      <c r="L365" s="1" t="str">
        <f t="shared" si="66"/>
        <v/>
      </c>
      <c r="M365" s="94">
        <v>360</v>
      </c>
      <c r="N365" s="36" t="s">
        <v>2015</v>
      </c>
      <c r="O365" s="95">
        <v>310067</v>
      </c>
      <c r="P365" s="36"/>
      <c r="AA365" s="1">
        <v>30268</v>
      </c>
      <c r="AB365" s="1" t="s">
        <v>50</v>
      </c>
      <c r="AD365" s="1">
        <f t="shared" si="65"/>
        <v>0</v>
      </c>
      <c r="AI365" s="122">
        <v>168</v>
      </c>
      <c r="AJ365" s="1" t="s">
        <v>1708</v>
      </c>
      <c r="AK365" s="1">
        <v>309760</v>
      </c>
      <c r="AL365" s="1" t="s">
        <v>930</v>
      </c>
      <c r="AN365" s="270">
        <v>459</v>
      </c>
      <c r="AQ365" s="1">
        <v>217</v>
      </c>
      <c r="AR365" s="1" t="s">
        <v>253</v>
      </c>
      <c r="AS365" s="1">
        <v>210108</v>
      </c>
      <c r="AT365" s="1" t="s">
        <v>115</v>
      </c>
      <c r="AV365" s="241">
        <v>711</v>
      </c>
      <c r="AX365" s="1">
        <f t="shared" si="59"/>
        <v>1</v>
      </c>
      <c r="AY365" s="1" t="str">
        <f>IF(COUNTIF($AX$2:AX365,1)&gt;$AG$1,"",IF(AX365="","",E365))</f>
        <v/>
      </c>
      <c r="BM365" s="138">
        <f t="shared" si="60"/>
        <v>0</v>
      </c>
      <c r="BN365" s="42">
        <f t="shared" si="61"/>
        <v>0</v>
      </c>
      <c r="BS365" s="1">
        <v>9992</v>
      </c>
      <c r="BT365" s="1" t="s">
        <v>902</v>
      </c>
      <c r="BX365" s="36"/>
    </row>
    <row r="366" spans="1:76" ht="14.25">
      <c r="A366" s="55"/>
      <c r="B366" s="36"/>
      <c r="C366" s="36"/>
      <c r="D366" s="36"/>
      <c r="E366" s="36"/>
      <c r="F366" s="36"/>
      <c r="G366" s="36"/>
      <c r="H366" s="36"/>
      <c r="J366" s="36"/>
      <c r="K366" s="1" t="str">
        <f t="shared" si="62"/>
        <v/>
      </c>
      <c r="L366" s="1" t="str">
        <f t="shared" si="66"/>
        <v/>
      </c>
      <c r="M366" s="94">
        <v>361</v>
      </c>
      <c r="N366" s="36" t="s">
        <v>2016</v>
      </c>
      <c r="O366" s="95">
        <v>310068</v>
      </c>
      <c r="P366" s="36"/>
      <c r="AA366" s="1">
        <v>30269</v>
      </c>
      <c r="AB366" s="1" t="s">
        <v>50</v>
      </c>
      <c r="AD366" s="1">
        <f t="shared" si="65"/>
        <v>0</v>
      </c>
      <c r="AI366" s="122">
        <v>169</v>
      </c>
      <c r="AJ366" s="1" t="s">
        <v>1709</v>
      </c>
      <c r="AK366" s="1">
        <v>309761</v>
      </c>
      <c r="AL366" s="1" t="s">
        <v>115</v>
      </c>
      <c r="AN366" s="270">
        <v>460</v>
      </c>
      <c r="AQ366" s="1">
        <v>218</v>
      </c>
      <c r="AR366" s="1" t="s">
        <v>254</v>
      </c>
      <c r="AS366" s="1">
        <v>210109</v>
      </c>
      <c r="AT366" s="1" t="s">
        <v>116</v>
      </c>
      <c r="AV366" s="241">
        <v>712</v>
      </c>
      <c r="AX366" s="1">
        <f t="shared" si="59"/>
        <v>1</v>
      </c>
      <c r="AY366" s="1" t="str">
        <f>IF(COUNTIF($AX$2:AX366,1)&gt;$AG$1,"",IF(AX366="","",E366))</f>
        <v/>
      </c>
      <c r="BM366" s="138">
        <f t="shared" si="60"/>
        <v>0</v>
      </c>
      <c r="BN366" s="42">
        <f t="shared" si="61"/>
        <v>0</v>
      </c>
      <c r="BS366" s="1">
        <v>9993</v>
      </c>
      <c r="BT366" s="1" t="s">
        <v>902</v>
      </c>
      <c r="BX366" s="36"/>
    </row>
    <row r="367" spans="1:76" ht="14.25">
      <c r="A367" s="112"/>
      <c r="B367" s="36"/>
      <c r="C367" s="54"/>
      <c r="D367" s="36"/>
      <c r="E367" s="54"/>
      <c r="F367" s="54"/>
      <c r="G367" s="54"/>
      <c r="H367" s="36"/>
      <c r="J367" s="36"/>
      <c r="K367" s="1" t="str">
        <f t="shared" si="62"/>
        <v/>
      </c>
      <c r="L367" s="1" t="str">
        <f t="shared" si="66"/>
        <v/>
      </c>
      <c r="M367" s="94">
        <v>362</v>
      </c>
      <c r="N367" s="36" t="s">
        <v>2017</v>
      </c>
      <c r="O367" s="95">
        <v>310069</v>
      </c>
      <c r="P367" s="36"/>
      <c r="AA367" s="1">
        <v>30270</v>
      </c>
      <c r="AB367" s="1" t="s">
        <v>50</v>
      </c>
      <c r="AD367" s="1">
        <f t="shared" si="65"/>
        <v>0</v>
      </c>
      <c r="AI367" s="122">
        <v>170</v>
      </c>
      <c r="AJ367" s="1" t="s">
        <v>1710</v>
      </c>
      <c r="AK367" s="1">
        <v>309762</v>
      </c>
      <c r="AL367" s="1" t="s">
        <v>930</v>
      </c>
      <c r="AN367" s="270">
        <v>461</v>
      </c>
      <c r="AQ367" s="1">
        <v>219</v>
      </c>
      <c r="AR367" s="1" t="s">
        <v>255</v>
      </c>
      <c r="AS367" s="1">
        <v>210110</v>
      </c>
      <c r="AT367" s="1" t="s">
        <v>115</v>
      </c>
      <c r="AV367" s="241">
        <v>713</v>
      </c>
      <c r="AX367" s="1">
        <f t="shared" si="59"/>
        <v>1</v>
      </c>
      <c r="AY367" s="1" t="str">
        <f>IF(COUNTIF($AX$2:AX367,1)&gt;$AG$1,"",IF(AX367="","",E367))</f>
        <v/>
      </c>
      <c r="BM367" s="138">
        <f t="shared" si="60"/>
        <v>0</v>
      </c>
      <c r="BN367" s="42">
        <f t="shared" si="61"/>
        <v>0</v>
      </c>
      <c r="BS367" s="1">
        <v>9994</v>
      </c>
      <c r="BT367" s="1" t="s">
        <v>902</v>
      </c>
      <c r="BX367" s="36"/>
    </row>
    <row r="368" spans="1:76" ht="14.25">
      <c r="A368" s="55"/>
      <c r="B368" s="36"/>
      <c r="C368" s="36"/>
      <c r="D368" s="36"/>
      <c r="E368" s="36"/>
      <c r="F368" s="36"/>
      <c r="G368" s="36"/>
      <c r="H368" s="36"/>
      <c r="J368" s="36"/>
      <c r="K368" s="1" t="str">
        <f t="shared" si="62"/>
        <v/>
      </c>
      <c r="L368" s="1" t="str">
        <f t="shared" si="66"/>
        <v/>
      </c>
      <c r="M368" s="94">
        <v>363</v>
      </c>
      <c r="N368" s="36" t="s">
        <v>2018</v>
      </c>
      <c r="O368" s="95">
        <v>310070</v>
      </c>
      <c r="P368" s="36"/>
      <c r="AA368" s="1">
        <v>30271</v>
      </c>
      <c r="AB368" s="1" t="s">
        <v>50</v>
      </c>
      <c r="AD368" s="1">
        <f t="shared" si="65"/>
        <v>0</v>
      </c>
      <c r="AI368" s="122">
        <v>171</v>
      </c>
      <c r="AJ368" s="1" t="s">
        <v>1711</v>
      </c>
      <c r="AK368" s="1">
        <v>309763</v>
      </c>
      <c r="AL368" s="1" t="s">
        <v>115</v>
      </c>
      <c r="AN368" s="270">
        <v>462</v>
      </c>
      <c r="AQ368" s="1">
        <v>220</v>
      </c>
      <c r="AR368" s="1" t="s">
        <v>256</v>
      </c>
      <c r="AS368" s="1">
        <v>210113</v>
      </c>
      <c r="AT368" s="1" t="s">
        <v>116</v>
      </c>
      <c r="AV368" s="241">
        <v>714</v>
      </c>
      <c r="AX368" s="1">
        <f t="shared" si="59"/>
        <v>1</v>
      </c>
      <c r="AY368" s="1" t="str">
        <f>IF(COUNTIF($AX$2:AX368,1)&gt;$AG$1,"",IF(AX368="","",E368))</f>
        <v/>
      </c>
      <c r="BM368" s="138">
        <f t="shared" si="60"/>
        <v>0</v>
      </c>
      <c r="BN368" s="42">
        <f t="shared" si="61"/>
        <v>0</v>
      </c>
      <c r="BS368" s="1">
        <v>9995</v>
      </c>
      <c r="BT368" s="1" t="s">
        <v>902</v>
      </c>
      <c r="BX368" s="36"/>
    </row>
    <row r="369" spans="1:76" ht="14.25">
      <c r="A369" s="55"/>
      <c r="B369" s="36"/>
      <c r="C369" s="36"/>
      <c r="D369" s="36"/>
      <c r="E369" s="36"/>
      <c r="F369" s="36"/>
      <c r="G369" s="36"/>
      <c r="H369" s="36"/>
      <c r="J369" s="36"/>
      <c r="K369" s="1" t="str">
        <f t="shared" si="62"/>
        <v/>
      </c>
      <c r="L369" s="1" t="str">
        <f t="shared" si="66"/>
        <v/>
      </c>
      <c r="M369" s="94">
        <v>364</v>
      </c>
      <c r="N369" s="36" t="s">
        <v>2019</v>
      </c>
      <c r="O369" s="95">
        <v>310071</v>
      </c>
      <c r="P369" s="36"/>
      <c r="AA369" s="1">
        <v>30272</v>
      </c>
      <c r="AB369" s="1" t="s">
        <v>50</v>
      </c>
      <c r="AD369" s="1">
        <f t="shared" si="65"/>
        <v>0</v>
      </c>
      <c r="AI369" s="122">
        <v>172</v>
      </c>
      <c r="AJ369" s="1" t="s">
        <v>1712</v>
      </c>
      <c r="AK369" s="1">
        <v>309764</v>
      </c>
      <c r="AL369" s="1" t="s">
        <v>930</v>
      </c>
      <c r="AN369" s="270">
        <v>463</v>
      </c>
      <c r="AQ369" s="1">
        <v>221</v>
      </c>
      <c r="AR369" s="1" t="s">
        <v>257</v>
      </c>
      <c r="AS369" s="1">
        <v>210114</v>
      </c>
      <c r="AT369" s="1" t="s">
        <v>115</v>
      </c>
      <c r="AV369" s="241">
        <v>715</v>
      </c>
      <c r="AX369" s="1">
        <f t="shared" si="59"/>
        <v>1</v>
      </c>
      <c r="AY369" s="1" t="str">
        <f>IF(COUNTIF($AX$2:AX369,1)&gt;$AG$1,"",IF(AX369="","",E369))</f>
        <v/>
      </c>
      <c r="BM369" s="138">
        <f t="shared" si="60"/>
        <v>0</v>
      </c>
      <c r="BN369" s="42">
        <f t="shared" si="61"/>
        <v>0</v>
      </c>
      <c r="BS369" s="1">
        <v>9996</v>
      </c>
      <c r="BT369" s="1" t="s">
        <v>902</v>
      </c>
      <c r="BX369" s="36"/>
    </row>
    <row r="370" spans="1:76" ht="14.25">
      <c r="A370" s="55"/>
      <c r="B370" s="36"/>
      <c r="C370" s="36"/>
      <c r="D370" s="36"/>
      <c r="E370" s="36"/>
      <c r="F370" s="36"/>
      <c r="G370" s="36"/>
      <c r="H370" s="36"/>
      <c r="J370" s="36"/>
      <c r="K370" s="1" t="str">
        <f t="shared" si="62"/>
        <v/>
      </c>
      <c r="L370" s="1" t="str">
        <f t="shared" si="66"/>
        <v/>
      </c>
      <c r="M370" s="94">
        <v>365</v>
      </c>
      <c r="N370" s="36" t="s">
        <v>2020</v>
      </c>
      <c r="O370" s="95">
        <v>310072</v>
      </c>
      <c r="P370" s="36"/>
      <c r="AA370" s="1">
        <v>30273</v>
      </c>
      <c r="AB370" s="1" t="s">
        <v>50</v>
      </c>
      <c r="AD370" s="1">
        <f t="shared" si="65"/>
        <v>0</v>
      </c>
      <c r="AI370" s="122">
        <v>173</v>
      </c>
      <c r="AJ370" s="1" t="s">
        <v>1713</v>
      </c>
      <c r="AK370" s="1">
        <v>309765</v>
      </c>
      <c r="AL370" s="1" t="s">
        <v>115</v>
      </c>
      <c r="AN370" s="270">
        <v>464</v>
      </c>
      <c r="AQ370" s="1">
        <v>222</v>
      </c>
      <c r="AR370" s="1" t="s">
        <v>258</v>
      </c>
      <c r="AS370" s="1">
        <v>210115</v>
      </c>
      <c r="AT370" s="1" t="s">
        <v>115</v>
      </c>
      <c r="AV370" s="241">
        <v>716</v>
      </c>
      <c r="AX370" s="1">
        <f t="shared" si="59"/>
        <v>1</v>
      </c>
      <c r="AY370" s="1" t="str">
        <f>IF(COUNTIF($AX$2:AX370,1)&gt;$AG$1,"",IF(AX370="","",E370))</f>
        <v/>
      </c>
      <c r="BM370" s="138">
        <f t="shared" si="60"/>
        <v>0</v>
      </c>
      <c r="BN370" s="42">
        <f t="shared" si="61"/>
        <v>0</v>
      </c>
      <c r="BS370" s="1">
        <v>9997</v>
      </c>
      <c r="BT370" s="1" t="s">
        <v>902</v>
      </c>
      <c r="BX370" s="36"/>
    </row>
    <row r="371" spans="1:76" ht="14.25">
      <c r="A371" s="55"/>
      <c r="B371" s="36"/>
      <c r="C371" s="36"/>
      <c r="D371" s="36"/>
      <c r="E371" s="36"/>
      <c r="F371" s="36"/>
      <c r="G371" s="36"/>
      <c r="H371" s="36"/>
      <c r="J371" s="36"/>
      <c r="K371" s="1" t="str">
        <f t="shared" si="62"/>
        <v/>
      </c>
      <c r="L371" s="1" t="str">
        <f t="shared" si="66"/>
        <v/>
      </c>
      <c r="M371" s="94">
        <v>366</v>
      </c>
      <c r="N371" s="36" t="s">
        <v>2021</v>
      </c>
      <c r="O371" s="95">
        <v>310073</v>
      </c>
      <c r="P371" s="36"/>
      <c r="AA371" s="1">
        <v>30274</v>
      </c>
      <c r="AB371" s="1" t="s">
        <v>50</v>
      </c>
      <c r="AD371" s="1">
        <f t="shared" si="65"/>
        <v>0</v>
      </c>
      <c r="AI371" s="122">
        <v>174</v>
      </c>
      <c r="AJ371" s="1" t="s">
        <v>1714</v>
      </c>
      <c r="AK371" s="1">
        <v>309766</v>
      </c>
      <c r="AL371" s="1" t="s">
        <v>930</v>
      </c>
      <c r="AN371" s="270">
        <v>465</v>
      </c>
      <c r="AQ371" s="1">
        <v>223</v>
      </c>
      <c r="AR371" s="1" t="s">
        <v>259</v>
      </c>
      <c r="AS371" s="1">
        <v>210116</v>
      </c>
      <c r="AT371" s="1" t="s">
        <v>116</v>
      </c>
      <c r="AV371" s="241">
        <v>717</v>
      </c>
      <c r="AX371" s="1">
        <f t="shared" si="59"/>
        <v>1</v>
      </c>
      <c r="AY371" s="1" t="str">
        <f>IF(COUNTIF($AX$2:AX371,1)&gt;$AG$1,"",IF(AX371="","",E371))</f>
        <v/>
      </c>
      <c r="BM371" s="138">
        <f t="shared" si="60"/>
        <v>0</v>
      </c>
      <c r="BN371" s="42">
        <f t="shared" si="61"/>
        <v>0</v>
      </c>
      <c r="BS371" s="1">
        <v>9998</v>
      </c>
      <c r="BT371" s="1" t="s">
        <v>902</v>
      </c>
      <c r="BX371" s="36"/>
    </row>
    <row r="372" spans="1:76" ht="14.25">
      <c r="A372" s="55"/>
      <c r="B372" s="36"/>
      <c r="C372" s="36"/>
      <c r="D372" s="36"/>
      <c r="E372" s="36"/>
      <c r="F372" s="36"/>
      <c r="G372" s="36"/>
      <c r="H372" s="36"/>
      <c r="J372" s="36"/>
      <c r="K372" s="1" t="str">
        <f t="shared" si="62"/>
        <v/>
      </c>
      <c r="L372" s="1" t="str">
        <f t="shared" si="66"/>
        <v/>
      </c>
      <c r="M372" s="94">
        <v>367</v>
      </c>
      <c r="N372" s="36" t="s">
        <v>2022</v>
      </c>
      <c r="O372" s="95">
        <v>310074</v>
      </c>
      <c r="P372" s="36"/>
      <c r="AA372" s="1">
        <v>30275</v>
      </c>
      <c r="AB372" s="1" t="s">
        <v>50</v>
      </c>
      <c r="AD372" s="1">
        <f t="shared" si="65"/>
        <v>0</v>
      </c>
      <c r="AI372" s="122">
        <v>175</v>
      </c>
      <c r="AJ372" s="1" t="s">
        <v>1715</v>
      </c>
      <c r="AK372" s="1">
        <v>309767</v>
      </c>
      <c r="AL372" s="1" t="s">
        <v>930</v>
      </c>
      <c r="AN372" s="270">
        <v>466</v>
      </c>
      <c r="AQ372" s="1">
        <v>224</v>
      </c>
      <c r="AR372" s="1" t="s">
        <v>260</v>
      </c>
      <c r="AS372" s="1">
        <v>210117</v>
      </c>
      <c r="AT372" s="1" t="s">
        <v>115</v>
      </c>
      <c r="AV372" s="241">
        <v>718</v>
      </c>
      <c r="AX372" s="1">
        <f t="shared" si="59"/>
        <v>1</v>
      </c>
      <c r="AY372" s="1" t="str">
        <f>IF(COUNTIF($AX$2:AX372,1)&gt;$AG$1,"",IF(AX372="","",E372))</f>
        <v/>
      </c>
      <c r="BM372" s="138">
        <f t="shared" si="60"/>
        <v>0</v>
      </c>
      <c r="BN372" s="42">
        <f t="shared" si="61"/>
        <v>0</v>
      </c>
      <c r="BS372" s="1">
        <v>9999</v>
      </c>
      <c r="BT372" s="1" t="s">
        <v>902</v>
      </c>
      <c r="BX372" s="36"/>
    </row>
    <row r="373" spans="1:76" ht="14.25">
      <c r="A373" s="55"/>
      <c r="B373" s="36"/>
      <c r="C373" s="36"/>
      <c r="D373" s="36"/>
      <c r="E373" s="36"/>
      <c r="F373" s="36"/>
      <c r="G373" s="36"/>
      <c r="H373" s="36"/>
      <c r="J373" s="36"/>
      <c r="K373" s="1" t="str">
        <f t="shared" si="62"/>
        <v/>
      </c>
      <c r="L373" s="1" t="str">
        <f t="shared" si="66"/>
        <v/>
      </c>
      <c r="M373" s="94">
        <v>368</v>
      </c>
      <c r="N373" s="36" t="s">
        <v>2023</v>
      </c>
      <c r="O373" s="95">
        <v>310075</v>
      </c>
      <c r="P373" s="36"/>
      <c r="AA373" s="1">
        <v>30276</v>
      </c>
      <c r="AB373" s="1" t="s">
        <v>50</v>
      </c>
      <c r="AD373" s="1">
        <f t="shared" si="65"/>
        <v>0</v>
      </c>
      <c r="AI373" s="122">
        <v>176</v>
      </c>
      <c r="AJ373" s="1" t="s">
        <v>1716</v>
      </c>
      <c r="AK373" s="1">
        <v>309768</v>
      </c>
      <c r="AL373" s="1" t="s">
        <v>115</v>
      </c>
      <c r="AN373" s="270">
        <v>467</v>
      </c>
      <c r="AQ373" s="1">
        <v>225</v>
      </c>
      <c r="AR373" s="1" t="s">
        <v>261</v>
      </c>
      <c r="AS373" s="1">
        <v>210118</v>
      </c>
      <c r="AT373" s="1" t="s">
        <v>116</v>
      </c>
      <c r="AV373" s="241">
        <v>719</v>
      </c>
      <c r="AX373" s="1">
        <f t="shared" si="59"/>
        <v>1</v>
      </c>
      <c r="AY373" s="1" t="str">
        <f>IF(COUNTIF($AX$2:AX373,1)&gt;$AG$1,"",IF(AX373="","",E373))</f>
        <v/>
      </c>
      <c r="BM373" s="138">
        <f t="shared" si="60"/>
        <v>0</v>
      </c>
      <c r="BN373" s="42">
        <f t="shared" si="61"/>
        <v>0</v>
      </c>
      <c r="BS373" s="1">
        <v>10000</v>
      </c>
      <c r="BT373" s="1" t="s">
        <v>902</v>
      </c>
      <c r="BX373" s="36"/>
    </row>
    <row r="374" spans="1:76" ht="14.25">
      <c r="A374" s="55"/>
      <c r="B374" s="36"/>
      <c r="C374" s="36"/>
      <c r="D374" s="36"/>
      <c r="E374" s="36"/>
      <c r="F374" s="36"/>
      <c r="G374" s="36"/>
      <c r="H374" s="36"/>
      <c r="J374" s="36"/>
      <c r="K374" s="1" t="str">
        <f t="shared" si="62"/>
        <v/>
      </c>
      <c r="L374" s="1" t="str">
        <f t="shared" si="66"/>
        <v/>
      </c>
      <c r="M374" s="94">
        <v>369</v>
      </c>
      <c r="N374" s="36" t="s">
        <v>2024</v>
      </c>
      <c r="O374" s="95">
        <v>310076</v>
      </c>
      <c r="P374" s="36"/>
      <c r="AA374" s="1">
        <v>30277</v>
      </c>
      <c r="AB374" s="1" t="s">
        <v>50</v>
      </c>
      <c r="AD374" s="1">
        <f t="shared" si="65"/>
        <v>0</v>
      </c>
      <c r="AI374" s="122">
        <v>177</v>
      </c>
      <c r="AJ374" s="1" t="s">
        <v>1717</v>
      </c>
      <c r="AK374" s="1">
        <v>309769</v>
      </c>
      <c r="AL374" s="1" t="s">
        <v>930</v>
      </c>
      <c r="AN374" s="270">
        <v>468</v>
      </c>
      <c r="AQ374" s="1">
        <v>226</v>
      </c>
      <c r="AR374" s="1" t="s">
        <v>262</v>
      </c>
      <c r="AS374" s="1">
        <v>210119</v>
      </c>
      <c r="AT374" s="1" t="s">
        <v>115</v>
      </c>
      <c r="AV374" s="241">
        <v>720</v>
      </c>
      <c r="AX374" s="1">
        <f t="shared" si="59"/>
        <v>1</v>
      </c>
      <c r="AY374" s="1" t="str">
        <f>IF(COUNTIF($AX$2:AX374,1)&gt;$AG$1,"",IF(AX374="","",E374))</f>
        <v/>
      </c>
      <c r="BM374" s="138">
        <f t="shared" si="60"/>
        <v>0</v>
      </c>
      <c r="BN374" s="42">
        <f t="shared" si="61"/>
        <v>0</v>
      </c>
      <c r="BS374" s="1">
        <v>10001</v>
      </c>
      <c r="BT374" s="1" t="s">
        <v>902</v>
      </c>
      <c r="BX374" s="36"/>
    </row>
    <row r="375" spans="1:76" ht="14.25">
      <c r="A375" s="55"/>
      <c r="B375" s="36"/>
      <c r="C375" s="36"/>
      <c r="D375" s="36"/>
      <c r="E375" s="36"/>
      <c r="F375" s="36"/>
      <c r="G375" s="36"/>
      <c r="H375" s="36"/>
      <c r="J375" s="36"/>
      <c r="K375" s="1" t="str">
        <f t="shared" si="62"/>
        <v/>
      </c>
      <c r="L375" s="1" t="str">
        <f t="shared" si="66"/>
        <v/>
      </c>
      <c r="M375" s="94">
        <v>370</v>
      </c>
      <c r="N375" s="36" t="s">
        <v>2025</v>
      </c>
      <c r="O375" s="95">
        <v>310077</v>
      </c>
      <c r="P375" s="36"/>
      <c r="AA375" s="1">
        <v>30278</v>
      </c>
      <c r="AB375" s="1" t="s">
        <v>50</v>
      </c>
      <c r="AD375" s="1">
        <f t="shared" si="65"/>
        <v>0</v>
      </c>
      <c r="AI375" s="122">
        <v>178</v>
      </c>
      <c r="AJ375" s="1" t="s">
        <v>1718</v>
      </c>
      <c r="AK375" s="1">
        <v>309770</v>
      </c>
      <c r="AL375" s="1" t="s">
        <v>115</v>
      </c>
      <c r="AN375" s="270">
        <v>469</v>
      </c>
      <c r="AQ375" s="1">
        <v>227</v>
      </c>
      <c r="AR375" s="1" t="s">
        <v>263</v>
      </c>
      <c r="AS375" s="1">
        <v>210072</v>
      </c>
      <c r="AT375" s="1" t="s">
        <v>116</v>
      </c>
      <c r="AV375" s="241">
        <v>721</v>
      </c>
      <c r="AX375" s="1">
        <f t="shared" si="59"/>
        <v>1</v>
      </c>
      <c r="AY375" s="1" t="str">
        <f>IF(COUNTIF($AX$2:AX375,1)&gt;$AG$1,"",IF(AX375="","",E375))</f>
        <v/>
      </c>
      <c r="BM375" s="138">
        <f t="shared" si="60"/>
        <v>0</v>
      </c>
      <c r="BN375" s="42">
        <f t="shared" si="61"/>
        <v>0</v>
      </c>
      <c r="BS375" s="1">
        <v>10002</v>
      </c>
      <c r="BT375" s="1" t="s">
        <v>902</v>
      </c>
      <c r="BX375" s="36"/>
    </row>
    <row r="376" spans="1:76" ht="14.25">
      <c r="A376" s="55"/>
      <c r="B376" s="36"/>
      <c r="C376" s="36"/>
      <c r="D376" s="36"/>
      <c r="E376" s="36"/>
      <c r="F376" s="36"/>
      <c r="G376" s="36"/>
      <c r="H376" s="36"/>
      <c r="J376" s="36"/>
      <c r="K376" s="1" t="str">
        <f t="shared" si="62"/>
        <v/>
      </c>
      <c r="L376" s="1" t="str">
        <f t="shared" si="66"/>
        <v/>
      </c>
      <c r="M376" s="94">
        <v>371</v>
      </c>
      <c r="N376" s="36" t="s">
        <v>2026</v>
      </c>
      <c r="O376" s="95">
        <v>310078</v>
      </c>
      <c r="P376" s="36"/>
      <c r="AA376" s="1">
        <v>30279</v>
      </c>
      <c r="AB376" s="1" t="s">
        <v>50</v>
      </c>
      <c r="AD376" s="1">
        <f t="shared" si="65"/>
        <v>0</v>
      </c>
      <c r="AI376" s="122">
        <v>179</v>
      </c>
      <c r="AJ376" s="1" t="s">
        <v>1719</v>
      </c>
      <c r="AK376" s="1">
        <v>309771</v>
      </c>
      <c r="AL376" s="1" t="s">
        <v>930</v>
      </c>
      <c r="AN376" s="270">
        <v>470</v>
      </c>
      <c r="AQ376" s="1">
        <v>228</v>
      </c>
      <c r="AR376" s="1" t="s">
        <v>264</v>
      </c>
      <c r="AS376" s="1">
        <v>210120</v>
      </c>
      <c r="AT376" s="1" t="s">
        <v>115</v>
      </c>
      <c r="AV376" s="241">
        <v>722</v>
      </c>
      <c r="AX376" s="1">
        <f t="shared" si="59"/>
        <v>1</v>
      </c>
      <c r="AY376" s="1" t="str">
        <f>IF(COUNTIF($AX$2:AX376,1)&gt;$AG$1,"",IF(AX376="","",E376))</f>
        <v/>
      </c>
      <c r="BM376" s="138">
        <f t="shared" si="60"/>
        <v>0</v>
      </c>
      <c r="BN376" s="42">
        <f t="shared" si="61"/>
        <v>0</v>
      </c>
      <c r="BS376" s="1">
        <v>10003</v>
      </c>
      <c r="BT376" s="1" t="s">
        <v>902</v>
      </c>
      <c r="BX376" s="36"/>
    </row>
    <row r="377" spans="1:76" ht="14.25">
      <c r="A377" s="55"/>
      <c r="B377" s="36"/>
      <c r="C377" s="36"/>
      <c r="D377" s="36"/>
      <c r="E377" s="36"/>
      <c r="F377" s="36"/>
      <c r="G377" s="36"/>
      <c r="H377" s="36"/>
      <c r="J377" s="36"/>
      <c r="K377" s="1" t="str">
        <f t="shared" si="62"/>
        <v/>
      </c>
      <c r="L377" s="1" t="str">
        <f t="shared" si="66"/>
        <v/>
      </c>
      <c r="M377" s="94">
        <v>372</v>
      </c>
      <c r="N377" s="36" t="s">
        <v>2027</v>
      </c>
      <c r="O377" s="95">
        <v>310079</v>
      </c>
      <c r="P377" s="36"/>
      <c r="AA377" s="1">
        <v>30280</v>
      </c>
      <c r="AB377" s="1" t="s">
        <v>50</v>
      </c>
      <c r="AD377" s="1">
        <f t="shared" si="65"/>
        <v>0</v>
      </c>
      <c r="AI377" s="122">
        <v>180</v>
      </c>
      <c r="AJ377" s="1" t="s">
        <v>1720</v>
      </c>
      <c r="AK377" s="1">
        <v>309772</v>
      </c>
      <c r="AL377" s="1" t="s">
        <v>115</v>
      </c>
      <c r="AN377" s="270">
        <v>471</v>
      </c>
      <c r="AQ377" s="1">
        <v>229</v>
      </c>
      <c r="AR377" s="1" t="s">
        <v>265</v>
      </c>
      <c r="AS377" s="1">
        <v>210141</v>
      </c>
      <c r="AT377" s="1" t="s">
        <v>115</v>
      </c>
      <c r="AV377" s="241">
        <v>723</v>
      </c>
      <c r="AX377" s="1">
        <f t="shared" si="59"/>
        <v>1</v>
      </c>
      <c r="AY377" s="1" t="str">
        <f>IF(COUNTIF($AX$2:AX377,1)&gt;$AG$1,"",IF(AX377="","",E377))</f>
        <v/>
      </c>
      <c r="BM377" s="138">
        <f t="shared" si="60"/>
        <v>0</v>
      </c>
      <c r="BN377" s="42">
        <f t="shared" si="61"/>
        <v>0</v>
      </c>
      <c r="BS377" s="1">
        <v>10004</v>
      </c>
      <c r="BT377" s="1" t="s">
        <v>902</v>
      </c>
      <c r="BX377" s="36"/>
    </row>
    <row r="378" spans="1:76" ht="14.25">
      <c r="A378" s="55"/>
      <c r="B378" s="36"/>
      <c r="C378" s="36"/>
      <c r="D378" s="36"/>
      <c r="E378" s="36"/>
      <c r="F378" s="36"/>
      <c r="G378" s="36"/>
      <c r="H378" s="36"/>
      <c r="J378" s="36"/>
      <c r="K378" s="1" t="str">
        <f t="shared" si="62"/>
        <v/>
      </c>
      <c r="L378" s="1" t="str">
        <f t="shared" si="66"/>
        <v/>
      </c>
      <c r="M378" s="94">
        <v>373</v>
      </c>
      <c r="N378" s="36" t="s">
        <v>2028</v>
      </c>
      <c r="O378" s="95">
        <v>310080</v>
      </c>
      <c r="P378" s="36"/>
      <c r="AA378" s="1">
        <v>30281</v>
      </c>
      <c r="AB378" s="1" t="s">
        <v>50</v>
      </c>
      <c r="AD378" s="1">
        <f t="shared" si="65"/>
        <v>0</v>
      </c>
      <c r="AI378" s="122">
        <v>181</v>
      </c>
      <c r="AJ378" s="1" t="s">
        <v>1721</v>
      </c>
      <c r="AK378" s="1">
        <v>309773</v>
      </c>
      <c r="AL378" s="1" t="s">
        <v>930</v>
      </c>
      <c r="AN378" s="270">
        <v>472</v>
      </c>
      <c r="AQ378" s="1">
        <v>230</v>
      </c>
      <c r="AR378" s="1" t="s">
        <v>266</v>
      </c>
      <c r="AS378" s="1">
        <v>210121</v>
      </c>
      <c r="AT378" s="1" t="s">
        <v>116</v>
      </c>
      <c r="AV378" s="241">
        <v>724</v>
      </c>
      <c r="AX378" s="1">
        <f t="shared" si="59"/>
        <v>1</v>
      </c>
      <c r="AY378" s="1" t="str">
        <f>IF(COUNTIF($AX$2:AX378,1)&gt;$AG$1,"",IF(AX378="","",E378))</f>
        <v/>
      </c>
      <c r="BM378" s="138">
        <f t="shared" si="60"/>
        <v>0</v>
      </c>
      <c r="BN378" s="42">
        <f t="shared" si="61"/>
        <v>0</v>
      </c>
      <c r="BS378" s="1">
        <v>10005</v>
      </c>
      <c r="BT378" s="1" t="s">
        <v>902</v>
      </c>
      <c r="BX378" s="36"/>
    </row>
    <row r="379" spans="1:76" ht="14.25">
      <c r="A379" s="55"/>
      <c r="B379" s="36"/>
      <c r="C379" s="36"/>
      <c r="D379" s="36"/>
      <c r="E379" s="36"/>
      <c r="F379" s="36"/>
      <c r="G379" s="36"/>
      <c r="H379" s="36"/>
      <c r="J379" s="36"/>
      <c r="K379" s="1" t="str">
        <f t="shared" si="62"/>
        <v/>
      </c>
      <c r="L379" s="1" t="str">
        <f t="shared" si="66"/>
        <v/>
      </c>
      <c r="M379" s="94">
        <v>374</v>
      </c>
      <c r="N379" s="36" t="s">
        <v>2029</v>
      </c>
      <c r="O379" s="95">
        <v>310081</v>
      </c>
      <c r="P379" s="36"/>
      <c r="AA379" s="1">
        <v>30282</v>
      </c>
      <c r="AB379" s="1" t="s">
        <v>130</v>
      </c>
      <c r="AD379" s="1">
        <f t="shared" si="65"/>
        <v>0</v>
      </c>
      <c r="AI379" s="122">
        <v>182</v>
      </c>
      <c r="AJ379" s="1" t="s">
        <v>1722</v>
      </c>
      <c r="AK379" s="1">
        <v>309774</v>
      </c>
      <c r="AL379" s="1" t="s">
        <v>930</v>
      </c>
      <c r="AN379" s="270">
        <v>473</v>
      </c>
      <c r="AQ379" s="1">
        <v>231</v>
      </c>
      <c r="AR379" s="1" t="s">
        <v>267</v>
      </c>
      <c r="AS379" s="1">
        <v>210122</v>
      </c>
      <c r="AT379" s="1" t="s">
        <v>115</v>
      </c>
      <c r="AV379" s="241">
        <v>725</v>
      </c>
      <c r="AX379" s="1">
        <f t="shared" si="59"/>
        <v>1</v>
      </c>
      <c r="AY379" s="1" t="str">
        <f>IF(COUNTIF($AX$2:AX379,1)&gt;$AG$1,"",IF(AX379="","",E379))</f>
        <v/>
      </c>
      <c r="BM379" s="138">
        <f t="shared" si="60"/>
        <v>0</v>
      </c>
      <c r="BN379" s="42">
        <f t="shared" si="61"/>
        <v>0</v>
      </c>
      <c r="BS379" s="1">
        <v>10006</v>
      </c>
      <c r="BT379" s="1" t="s">
        <v>902</v>
      </c>
      <c r="BX379" s="36"/>
    </row>
    <row r="380" spans="1:76" ht="14.25">
      <c r="A380" s="55"/>
      <c r="B380" s="36"/>
      <c r="C380" s="36"/>
      <c r="D380" s="36"/>
      <c r="E380" s="36"/>
      <c r="F380" s="36"/>
      <c r="G380" s="36"/>
      <c r="H380" s="36"/>
      <c r="J380" s="36"/>
      <c r="K380" s="1" t="str">
        <f t="shared" si="62"/>
        <v/>
      </c>
      <c r="L380" s="1" t="str">
        <f t="shared" si="66"/>
        <v/>
      </c>
      <c r="M380" s="94">
        <v>375</v>
      </c>
      <c r="N380" s="36" t="s">
        <v>2030</v>
      </c>
      <c r="O380" s="95">
        <v>310082</v>
      </c>
      <c r="P380" s="36"/>
      <c r="AA380" s="1">
        <v>30283</v>
      </c>
      <c r="AB380" s="1" t="s">
        <v>130</v>
      </c>
      <c r="AD380" s="1">
        <f t="shared" si="65"/>
        <v>0</v>
      </c>
      <c r="AI380" s="122">
        <v>183</v>
      </c>
      <c r="AJ380" s="1" t="s">
        <v>1723</v>
      </c>
      <c r="AK380" s="1">
        <v>309775</v>
      </c>
      <c r="AL380" s="1" t="s">
        <v>115</v>
      </c>
      <c r="AN380" s="270">
        <v>474</v>
      </c>
      <c r="AQ380" s="1">
        <v>232</v>
      </c>
      <c r="AR380" s="1" t="s">
        <v>268</v>
      </c>
      <c r="AS380" s="1">
        <v>210123</v>
      </c>
      <c r="AT380" s="1" t="s">
        <v>116</v>
      </c>
      <c r="AV380" s="241">
        <v>726</v>
      </c>
      <c r="AX380" s="1">
        <f t="shared" si="59"/>
        <v>1</v>
      </c>
      <c r="AY380" s="1" t="str">
        <f>IF(COUNTIF($AX$2:AX380,1)&gt;$AG$1,"",IF(AX380="","",E380))</f>
        <v/>
      </c>
      <c r="BM380" s="138">
        <f t="shared" si="60"/>
        <v>0</v>
      </c>
      <c r="BN380" s="42">
        <f t="shared" si="61"/>
        <v>0</v>
      </c>
      <c r="BS380" s="1">
        <v>10007</v>
      </c>
      <c r="BT380" s="1" t="s">
        <v>902</v>
      </c>
      <c r="BX380" s="36"/>
    </row>
    <row r="381" spans="1:76" ht="14.25">
      <c r="A381" s="55"/>
      <c r="B381" s="36"/>
      <c r="C381" s="36"/>
      <c r="D381" s="36"/>
      <c r="E381" s="36"/>
      <c r="F381" s="36"/>
      <c r="G381" s="36"/>
      <c r="H381" s="36"/>
      <c r="J381" s="36"/>
      <c r="K381" s="1" t="str">
        <f t="shared" si="62"/>
        <v/>
      </c>
      <c r="L381" s="1" t="str">
        <f t="shared" si="66"/>
        <v/>
      </c>
      <c r="M381" s="94">
        <v>376</v>
      </c>
      <c r="N381" s="36" t="s">
        <v>2031</v>
      </c>
      <c r="O381" s="95">
        <v>310083</v>
      </c>
      <c r="P381" s="36"/>
      <c r="AA381" s="1">
        <v>30284</v>
      </c>
      <c r="AB381" s="1" t="s">
        <v>130</v>
      </c>
      <c r="AD381" s="1">
        <f t="shared" si="65"/>
        <v>0</v>
      </c>
      <c r="AI381" s="122">
        <v>184</v>
      </c>
      <c r="AJ381" s="1" t="s">
        <v>1724</v>
      </c>
      <c r="AK381" s="1">
        <v>309776</v>
      </c>
      <c r="AL381" s="1" t="s">
        <v>930</v>
      </c>
      <c r="AN381" s="270">
        <v>475</v>
      </c>
      <c r="AQ381" s="1">
        <v>233</v>
      </c>
      <c r="AR381" s="1" t="s">
        <v>269</v>
      </c>
      <c r="AS381" s="1">
        <v>210124</v>
      </c>
      <c r="AT381" s="1" t="s">
        <v>115</v>
      </c>
      <c r="AV381" s="241">
        <v>727</v>
      </c>
      <c r="AX381" s="1">
        <f t="shared" si="59"/>
        <v>1</v>
      </c>
      <c r="AY381" s="1" t="str">
        <f>IF(COUNTIF($AX$2:AX381,1)&gt;$AG$1,"",IF(AX381="","",E381))</f>
        <v/>
      </c>
      <c r="BM381" s="138">
        <f t="shared" si="60"/>
        <v>0</v>
      </c>
      <c r="BN381" s="42">
        <f t="shared" si="61"/>
        <v>0</v>
      </c>
      <c r="BS381" s="1">
        <v>10008</v>
      </c>
      <c r="BT381" s="1" t="s">
        <v>902</v>
      </c>
      <c r="BX381" s="36"/>
    </row>
    <row r="382" spans="1:76" ht="14.25">
      <c r="A382" s="55"/>
      <c r="B382" s="36"/>
      <c r="C382" s="36"/>
      <c r="D382" s="36"/>
      <c r="E382" s="36"/>
      <c r="F382" s="36"/>
      <c r="G382" s="36"/>
      <c r="H382" s="36"/>
      <c r="J382" s="36"/>
      <c r="K382" s="1" t="str">
        <f t="shared" si="62"/>
        <v/>
      </c>
      <c r="L382" s="1" t="str">
        <f t="shared" si="66"/>
        <v/>
      </c>
      <c r="M382" s="94">
        <v>377</v>
      </c>
      <c r="N382" s="36" t="s">
        <v>2032</v>
      </c>
      <c r="O382" s="95">
        <v>310084</v>
      </c>
      <c r="P382" s="36"/>
      <c r="AA382" s="1">
        <v>30285</v>
      </c>
      <c r="AB382" s="1" t="s">
        <v>130</v>
      </c>
      <c r="AD382" s="1">
        <f t="shared" si="65"/>
        <v>0</v>
      </c>
      <c r="AI382" s="122">
        <v>185</v>
      </c>
      <c r="AJ382" s="1" t="s">
        <v>1725</v>
      </c>
      <c r="AK382" s="1">
        <v>309777</v>
      </c>
      <c r="AL382" s="1" t="s">
        <v>115</v>
      </c>
      <c r="AN382" s="270">
        <v>476</v>
      </c>
      <c r="AQ382" s="1">
        <v>234</v>
      </c>
      <c r="AR382" s="1" t="s">
        <v>270</v>
      </c>
      <c r="AS382" s="1">
        <v>210125</v>
      </c>
      <c r="AT382" s="1" t="s">
        <v>115</v>
      </c>
      <c r="AV382" s="241">
        <v>728</v>
      </c>
      <c r="AX382" s="1">
        <f t="shared" si="59"/>
        <v>1</v>
      </c>
      <c r="AY382" s="1" t="str">
        <f>IF(COUNTIF($AX$2:AX382,1)&gt;$AG$1,"",IF(AX382="","",E382))</f>
        <v/>
      </c>
      <c r="BM382" s="138">
        <f t="shared" si="60"/>
        <v>0</v>
      </c>
      <c r="BN382" s="42">
        <f t="shared" si="61"/>
        <v>0</v>
      </c>
      <c r="BS382" s="1">
        <v>10009</v>
      </c>
      <c r="BT382" s="1" t="s">
        <v>902</v>
      </c>
      <c r="BX382" s="36"/>
    </row>
    <row r="383" spans="1:76" ht="14.25">
      <c r="A383" s="55"/>
      <c r="B383" s="36"/>
      <c r="C383" s="36"/>
      <c r="D383" s="36"/>
      <c r="E383" s="36"/>
      <c r="F383" s="36"/>
      <c r="G383" s="36"/>
      <c r="H383" s="36"/>
      <c r="J383" s="36"/>
      <c r="K383" s="1" t="str">
        <f t="shared" si="62"/>
        <v/>
      </c>
      <c r="L383" s="1" t="str">
        <f t="shared" si="66"/>
        <v/>
      </c>
      <c r="M383" s="94">
        <v>378</v>
      </c>
      <c r="N383" s="36" t="s">
        <v>2033</v>
      </c>
      <c r="O383" s="95">
        <v>310085</v>
      </c>
      <c r="P383" s="36"/>
      <c r="AA383" s="1">
        <v>30286</v>
      </c>
      <c r="AB383" s="1" t="s">
        <v>130</v>
      </c>
      <c r="AD383" s="1">
        <f t="shared" si="65"/>
        <v>0</v>
      </c>
      <c r="AI383" s="122">
        <v>186</v>
      </c>
      <c r="AJ383" s="1" t="s">
        <v>1726</v>
      </c>
      <c r="AK383" s="1">
        <v>309778</v>
      </c>
      <c r="AL383" s="1" t="s">
        <v>930</v>
      </c>
      <c r="AN383" s="270">
        <v>477</v>
      </c>
      <c r="AQ383" s="1">
        <v>235</v>
      </c>
      <c r="AR383" s="1" t="s">
        <v>271</v>
      </c>
      <c r="AS383" s="1">
        <v>210126</v>
      </c>
      <c r="AT383" s="1" t="s">
        <v>116</v>
      </c>
      <c r="AV383" s="241">
        <v>729</v>
      </c>
      <c r="AX383" s="1">
        <f t="shared" si="59"/>
        <v>1</v>
      </c>
      <c r="AY383" s="1" t="str">
        <f>IF(COUNTIF($AX$2:AX383,1)&gt;$AG$1,"",IF(AX383="","",E383))</f>
        <v/>
      </c>
      <c r="BM383" s="138">
        <f t="shared" si="60"/>
        <v>0</v>
      </c>
      <c r="BN383" s="42">
        <f t="shared" si="61"/>
        <v>0</v>
      </c>
      <c r="BS383" s="1">
        <v>10010</v>
      </c>
      <c r="BT383" s="1" t="s">
        <v>902</v>
      </c>
      <c r="BX383" s="36"/>
    </row>
    <row r="384" spans="1:76" ht="14.25">
      <c r="A384" s="55"/>
      <c r="B384" s="36"/>
      <c r="C384" s="36"/>
      <c r="D384" s="36"/>
      <c r="E384" s="36"/>
      <c r="F384" s="36"/>
      <c r="G384" s="36"/>
      <c r="H384" s="36"/>
      <c r="J384" s="36"/>
      <c r="K384" s="1" t="str">
        <f t="shared" si="62"/>
        <v/>
      </c>
      <c r="L384" s="1" t="str">
        <f t="shared" si="66"/>
        <v/>
      </c>
      <c r="M384" s="94">
        <v>379</v>
      </c>
      <c r="N384" s="36" t="s">
        <v>2034</v>
      </c>
      <c r="O384" s="95">
        <v>310086</v>
      </c>
      <c r="P384" s="36"/>
      <c r="AA384" s="1">
        <v>30287</v>
      </c>
      <c r="AB384" s="1" t="s">
        <v>48</v>
      </c>
      <c r="AD384" s="1">
        <f t="shared" si="65"/>
        <v>0</v>
      </c>
      <c r="AI384" s="122">
        <v>187</v>
      </c>
      <c r="AJ384" s="1" t="s">
        <v>1727</v>
      </c>
      <c r="AK384" s="1">
        <v>309779</v>
      </c>
      <c r="AL384" s="1" t="s">
        <v>115</v>
      </c>
      <c r="AN384" s="270">
        <v>478</v>
      </c>
      <c r="AQ384" s="1">
        <v>236</v>
      </c>
      <c r="AR384" s="1" t="s">
        <v>272</v>
      </c>
      <c r="AS384" s="1">
        <v>210127</v>
      </c>
      <c r="AT384" s="1" t="s">
        <v>115</v>
      </c>
      <c r="AV384" s="241">
        <v>730</v>
      </c>
      <c r="AX384" s="1">
        <f t="shared" si="59"/>
        <v>1</v>
      </c>
      <c r="AY384" s="1" t="str">
        <f>IF(COUNTIF($AX$2:AX384,1)&gt;$AG$1,"",IF(AX384="","",E384))</f>
        <v/>
      </c>
      <c r="BM384" s="138">
        <f t="shared" si="60"/>
        <v>0</v>
      </c>
      <c r="BN384" s="42">
        <f t="shared" si="61"/>
        <v>0</v>
      </c>
      <c r="BS384" s="1">
        <v>10011</v>
      </c>
      <c r="BT384" s="1" t="s">
        <v>902</v>
      </c>
      <c r="BX384" s="36"/>
    </row>
    <row r="385" spans="1:76" ht="14.25">
      <c r="A385" s="55"/>
      <c r="B385" s="36"/>
      <c r="C385" s="36"/>
      <c r="D385" s="36"/>
      <c r="E385" s="36"/>
      <c r="F385" s="36"/>
      <c r="G385" s="36"/>
      <c r="H385" s="36"/>
      <c r="J385" s="36"/>
      <c r="K385" s="1" t="str">
        <f t="shared" si="62"/>
        <v/>
      </c>
      <c r="L385" s="1" t="str">
        <f t="shared" si="66"/>
        <v/>
      </c>
      <c r="M385" s="94">
        <v>380</v>
      </c>
      <c r="N385" s="36" t="s">
        <v>2035</v>
      </c>
      <c r="O385" s="95">
        <v>310087</v>
      </c>
      <c r="P385" s="36"/>
      <c r="AA385" s="1">
        <v>30288</v>
      </c>
      <c r="AB385" s="1" t="s">
        <v>48</v>
      </c>
      <c r="AD385" s="1">
        <f t="shared" si="65"/>
        <v>0</v>
      </c>
      <c r="AI385" s="122">
        <v>188</v>
      </c>
      <c r="AJ385" s="1" t="s">
        <v>1728</v>
      </c>
      <c r="AK385" s="1">
        <v>309780</v>
      </c>
      <c r="AL385" s="1" t="s">
        <v>930</v>
      </c>
      <c r="AN385" s="270">
        <v>479</v>
      </c>
      <c r="AQ385" s="1">
        <v>237</v>
      </c>
      <c r="AR385" s="1" t="s">
        <v>273</v>
      </c>
      <c r="AS385" s="1">
        <v>210128</v>
      </c>
      <c r="AT385" s="1" t="s">
        <v>116</v>
      </c>
      <c r="AV385" s="241">
        <v>731</v>
      </c>
      <c r="AX385" s="1">
        <f t="shared" si="59"/>
        <v>1</v>
      </c>
      <c r="AY385" s="1" t="str">
        <f>IF(COUNTIF($AX$2:AX385,1)&gt;$AG$1,"",IF(AX385="","",E385))</f>
        <v/>
      </c>
      <c r="BM385" s="138">
        <f t="shared" si="60"/>
        <v>0</v>
      </c>
      <c r="BN385" s="42">
        <f t="shared" si="61"/>
        <v>0</v>
      </c>
      <c r="BS385" s="1">
        <v>10012</v>
      </c>
      <c r="BT385" s="1" t="s">
        <v>902</v>
      </c>
      <c r="BX385" s="36"/>
    </row>
    <row r="386" spans="1:76" ht="14.25">
      <c r="A386" s="55"/>
      <c r="B386" s="36"/>
      <c r="C386" s="36"/>
      <c r="D386" s="36"/>
      <c r="E386" s="36"/>
      <c r="F386" s="36"/>
      <c r="G386" s="36"/>
      <c r="H386" s="36"/>
      <c r="J386" s="36"/>
      <c r="K386" s="1" t="str">
        <f t="shared" si="62"/>
        <v/>
      </c>
      <c r="L386" s="1" t="str">
        <f t="shared" si="66"/>
        <v/>
      </c>
      <c r="M386" s="94">
        <v>381</v>
      </c>
      <c r="N386" s="36" t="s">
        <v>2036</v>
      </c>
      <c r="O386" s="95">
        <v>310088</v>
      </c>
      <c r="P386" s="36"/>
      <c r="AA386" s="1">
        <v>30289</v>
      </c>
      <c r="AB386" s="1" t="s">
        <v>48</v>
      </c>
      <c r="AD386" s="1">
        <f t="shared" si="65"/>
        <v>0</v>
      </c>
      <c r="AI386" s="122">
        <v>189</v>
      </c>
      <c r="AJ386" s="1" t="s">
        <v>1729</v>
      </c>
      <c r="AK386" s="1">
        <v>309781</v>
      </c>
      <c r="AL386" s="1" t="s">
        <v>930</v>
      </c>
      <c r="AN386" s="270">
        <v>480</v>
      </c>
      <c r="AQ386" s="1">
        <v>238</v>
      </c>
      <c r="AR386" s="1" t="s">
        <v>274</v>
      </c>
      <c r="AS386" s="1">
        <v>210129</v>
      </c>
      <c r="AT386" s="1" t="s">
        <v>115</v>
      </c>
      <c r="AV386" s="241">
        <v>732</v>
      </c>
      <c r="AX386" s="1">
        <f t="shared" ref="AX386:AX449" si="72">IF(AND(C386&lt;&gt;"A0",C386&lt;&gt;"P9"),1,"")</f>
        <v>1</v>
      </c>
      <c r="AY386" s="1" t="str">
        <f>IF(COUNTIF($AX$2:AX386,1)&gt;$AG$1,"",IF(AX386="","",E386))</f>
        <v/>
      </c>
      <c r="BM386" s="138">
        <f t="shared" ref="BM386:BM449" si="73">I386</f>
        <v>0</v>
      </c>
      <c r="BN386" s="42">
        <f t="shared" ref="BN386:BN449" si="74">A386</f>
        <v>0</v>
      </c>
      <c r="BS386" s="1">
        <v>10013</v>
      </c>
      <c r="BT386" s="1" t="s">
        <v>902</v>
      </c>
      <c r="BX386" s="36"/>
    </row>
    <row r="387" spans="1:76" ht="14.25">
      <c r="A387" s="55"/>
      <c r="B387" s="36"/>
      <c r="C387" s="36"/>
      <c r="D387" s="36"/>
      <c r="E387" s="36"/>
      <c r="F387" s="36"/>
      <c r="G387" s="36"/>
      <c r="H387" s="36"/>
      <c r="J387" s="36"/>
      <c r="K387" s="1" t="str">
        <f t="shared" ref="K387:K450" si="75">IF(B387="722W","",IF(OR(C387="B1",C387="B9",C387="W1",C387="W2",C387="U9"),IF(MAX($A$2:$A$400)-A387&gt;10000,A387+100000,A387),""))</f>
        <v/>
      </c>
      <c r="L387" s="1" t="str">
        <f t="shared" si="66"/>
        <v/>
      </c>
      <c r="M387" s="94">
        <v>382</v>
      </c>
      <c r="N387" s="36" t="s">
        <v>2037</v>
      </c>
      <c r="O387" s="95">
        <v>310089</v>
      </c>
      <c r="P387" s="36"/>
      <c r="AA387" s="1">
        <v>30290</v>
      </c>
      <c r="AB387" s="1" t="s">
        <v>48</v>
      </c>
      <c r="AD387" s="1">
        <f t="shared" ref="AD387:AD419" si="76">IF(AND(C387&lt;&gt;"B0",C387&lt;&gt;"B1"),B387,"")</f>
        <v>0</v>
      </c>
      <c r="AI387" s="122">
        <v>190</v>
      </c>
      <c r="AJ387" s="1" t="s">
        <v>1730</v>
      </c>
      <c r="AK387" s="1">
        <v>309782</v>
      </c>
      <c r="AL387" s="1" t="s">
        <v>115</v>
      </c>
      <c r="AN387" s="270">
        <v>481</v>
      </c>
      <c r="AQ387" s="1">
        <v>239</v>
      </c>
      <c r="AR387" s="1" t="s">
        <v>275</v>
      </c>
      <c r="AS387" s="1">
        <v>210130</v>
      </c>
      <c r="AT387" s="1" t="s">
        <v>115</v>
      </c>
      <c r="AV387" s="241">
        <v>733</v>
      </c>
      <c r="AX387" s="1">
        <f t="shared" si="72"/>
        <v>1</v>
      </c>
      <c r="AY387" s="1" t="str">
        <f>IF(COUNTIF($AX$2:AX387,1)&gt;$AG$1,"",IF(AX387="","",E387))</f>
        <v/>
      </c>
      <c r="BM387" s="138">
        <f t="shared" si="73"/>
        <v>0</v>
      </c>
      <c r="BN387" s="42">
        <f t="shared" si="74"/>
        <v>0</v>
      </c>
      <c r="BS387" s="1">
        <v>10014</v>
      </c>
      <c r="BT387" s="1" t="s">
        <v>902</v>
      </c>
      <c r="BX387" s="36"/>
    </row>
    <row r="388" spans="1:76" ht="14.25">
      <c r="A388" s="55"/>
      <c r="B388" s="36"/>
      <c r="C388" s="36"/>
      <c r="D388" s="36"/>
      <c r="E388" s="36"/>
      <c r="F388" s="36"/>
      <c r="G388" s="36"/>
      <c r="H388" s="36"/>
      <c r="J388" s="36"/>
      <c r="K388" s="1" t="str">
        <f t="shared" si="75"/>
        <v/>
      </c>
      <c r="L388" s="1" t="str">
        <f t="shared" ref="L388:L451" si="77">IF(AND(MIN(I:I)&lt;20,MAX(I:I)&gt;980,I388&lt;20),I388,"")</f>
        <v/>
      </c>
      <c r="M388" s="94">
        <v>383</v>
      </c>
      <c r="N388" s="36" t="s">
        <v>2038</v>
      </c>
      <c r="O388" s="95">
        <v>310090</v>
      </c>
      <c r="P388" s="36"/>
      <c r="AA388" s="1">
        <v>30291</v>
      </c>
      <c r="AB388" s="1" t="s">
        <v>48</v>
      </c>
      <c r="AD388" s="1">
        <f t="shared" si="76"/>
        <v>0</v>
      </c>
      <c r="AI388" s="122">
        <v>191</v>
      </c>
      <c r="AJ388" s="1" t="s">
        <v>1731</v>
      </c>
      <c r="AK388" s="1">
        <v>309783</v>
      </c>
      <c r="AL388" s="1" t="s">
        <v>930</v>
      </c>
      <c r="AN388" s="270">
        <v>482</v>
      </c>
      <c r="AQ388" s="1">
        <v>240</v>
      </c>
      <c r="AR388" s="1" t="s">
        <v>276</v>
      </c>
      <c r="AS388" s="1">
        <v>210131</v>
      </c>
      <c r="AT388" s="1" t="s">
        <v>116</v>
      </c>
      <c r="AV388" s="241">
        <v>734</v>
      </c>
      <c r="AX388" s="1">
        <f t="shared" si="72"/>
        <v>1</v>
      </c>
      <c r="AY388" s="1" t="str">
        <f>IF(COUNTIF($AX$2:AX388,1)&gt;$AG$1,"",IF(AX388="","",E388))</f>
        <v/>
      </c>
      <c r="BM388" s="138">
        <f t="shared" si="73"/>
        <v>0</v>
      </c>
      <c r="BN388" s="42">
        <f t="shared" si="74"/>
        <v>0</v>
      </c>
      <c r="BS388" s="1">
        <v>10015</v>
      </c>
      <c r="BT388" s="1" t="s">
        <v>902</v>
      </c>
      <c r="BX388" s="36"/>
    </row>
    <row r="389" spans="1:76" ht="14.25">
      <c r="A389" s="55"/>
      <c r="B389" s="36"/>
      <c r="C389" s="36"/>
      <c r="D389" s="36"/>
      <c r="E389" s="36"/>
      <c r="F389" s="36"/>
      <c r="G389" s="36"/>
      <c r="H389" s="36"/>
      <c r="J389" s="36"/>
      <c r="K389" s="1" t="str">
        <f t="shared" si="75"/>
        <v/>
      </c>
      <c r="L389" s="1" t="str">
        <f t="shared" si="77"/>
        <v/>
      </c>
      <c r="M389" s="94">
        <v>384</v>
      </c>
      <c r="N389" s="36" t="s">
        <v>2039</v>
      </c>
      <c r="O389" s="95">
        <v>310091</v>
      </c>
      <c r="P389" s="36"/>
      <c r="AA389" s="1">
        <v>30292</v>
      </c>
      <c r="AB389" s="1" t="s">
        <v>48</v>
      </c>
      <c r="AD389" s="1">
        <f t="shared" si="76"/>
        <v>0</v>
      </c>
      <c r="AI389" s="122">
        <v>192</v>
      </c>
      <c r="AJ389" s="1" t="s">
        <v>1732</v>
      </c>
      <c r="AK389" s="1">
        <v>309784</v>
      </c>
      <c r="AL389" s="1" t="s">
        <v>115</v>
      </c>
      <c r="AN389" s="270">
        <v>483</v>
      </c>
      <c r="AQ389" s="1">
        <v>241</v>
      </c>
      <c r="AR389" s="1" t="s">
        <v>277</v>
      </c>
      <c r="AS389" s="1">
        <v>210132</v>
      </c>
      <c r="AT389" s="1" t="s">
        <v>115</v>
      </c>
      <c r="AV389" s="241">
        <v>735</v>
      </c>
      <c r="AX389" s="1">
        <f t="shared" si="72"/>
        <v>1</v>
      </c>
      <c r="AY389" s="1" t="str">
        <f>IF(COUNTIF($AX$2:AX389,1)&gt;$AG$1,"",IF(AX389="","",E389))</f>
        <v/>
      </c>
      <c r="BM389" s="138">
        <f t="shared" si="73"/>
        <v>0</v>
      </c>
      <c r="BN389" s="42">
        <f t="shared" si="74"/>
        <v>0</v>
      </c>
      <c r="BS389" s="1">
        <v>10016</v>
      </c>
      <c r="BT389" s="1" t="s">
        <v>902</v>
      </c>
      <c r="BX389" s="36"/>
    </row>
    <row r="390" spans="1:76" ht="14.25">
      <c r="A390" s="55"/>
      <c r="B390" s="36"/>
      <c r="C390" s="36"/>
      <c r="D390" s="36"/>
      <c r="E390" s="36"/>
      <c r="F390" s="36"/>
      <c r="G390" s="36"/>
      <c r="H390" s="36"/>
      <c r="J390" s="36"/>
      <c r="K390" s="1" t="str">
        <f t="shared" si="75"/>
        <v/>
      </c>
      <c r="L390" s="1" t="str">
        <f t="shared" si="77"/>
        <v/>
      </c>
      <c r="M390" s="94">
        <v>385</v>
      </c>
      <c r="N390" s="36" t="s">
        <v>2040</v>
      </c>
      <c r="O390" s="95">
        <v>310092</v>
      </c>
      <c r="P390" s="36"/>
      <c r="AA390" s="1">
        <v>30293</v>
      </c>
      <c r="AB390" s="1" t="s">
        <v>48</v>
      </c>
      <c r="AD390" s="1">
        <f t="shared" si="76"/>
        <v>0</v>
      </c>
      <c r="AI390" s="122">
        <v>193</v>
      </c>
      <c r="AJ390" s="1" t="s">
        <v>1733</v>
      </c>
      <c r="AK390" s="1">
        <v>309785</v>
      </c>
      <c r="AL390" s="1" t="s">
        <v>930</v>
      </c>
      <c r="AN390" s="270">
        <v>484</v>
      </c>
      <c r="AQ390" s="1">
        <v>242</v>
      </c>
      <c r="AR390" s="1" t="s">
        <v>278</v>
      </c>
      <c r="AS390" s="1">
        <v>210133</v>
      </c>
      <c r="AT390" s="1" t="s">
        <v>116</v>
      </c>
      <c r="AV390" s="241">
        <v>736</v>
      </c>
      <c r="AX390" s="1">
        <f t="shared" si="72"/>
        <v>1</v>
      </c>
      <c r="AY390" s="1" t="str">
        <f>IF(COUNTIF($AX$2:AX390,1)&gt;$AG$1,"",IF(AX390="","",E390))</f>
        <v/>
      </c>
      <c r="BM390" s="138">
        <f t="shared" si="73"/>
        <v>0</v>
      </c>
      <c r="BN390" s="42">
        <f t="shared" si="74"/>
        <v>0</v>
      </c>
      <c r="BS390" s="1">
        <v>10017</v>
      </c>
      <c r="BT390" s="1" t="s">
        <v>902</v>
      </c>
      <c r="BX390" s="36"/>
    </row>
    <row r="391" spans="1:76" ht="14.25">
      <c r="A391" s="55"/>
      <c r="B391" s="36"/>
      <c r="C391" s="36"/>
      <c r="D391" s="36"/>
      <c r="E391" s="36"/>
      <c r="F391" s="36"/>
      <c r="G391" s="36"/>
      <c r="H391" s="36"/>
      <c r="J391" s="36"/>
      <c r="K391" s="1" t="str">
        <f t="shared" si="75"/>
        <v/>
      </c>
      <c r="L391" s="1" t="str">
        <f t="shared" si="77"/>
        <v/>
      </c>
      <c r="M391" s="94">
        <v>386</v>
      </c>
      <c r="N391" s="36" t="s">
        <v>2041</v>
      </c>
      <c r="O391" s="95">
        <v>310093</v>
      </c>
      <c r="P391" s="36"/>
      <c r="AA391" s="1">
        <v>30294</v>
      </c>
      <c r="AB391" s="1" t="s">
        <v>48</v>
      </c>
      <c r="AD391" s="1">
        <f t="shared" si="76"/>
        <v>0</v>
      </c>
      <c r="AI391" s="122">
        <v>194</v>
      </c>
      <c r="AJ391" s="1" t="s">
        <v>1734</v>
      </c>
      <c r="AK391" s="1">
        <v>309786</v>
      </c>
      <c r="AL391" s="1" t="s">
        <v>115</v>
      </c>
      <c r="AN391" s="270">
        <v>485</v>
      </c>
      <c r="AQ391" s="1">
        <v>243</v>
      </c>
      <c r="AR391" s="1" t="s">
        <v>279</v>
      </c>
      <c r="AS391" s="1">
        <v>210134</v>
      </c>
      <c r="AT391" s="1" t="s">
        <v>115</v>
      </c>
      <c r="AV391" s="241">
        <v>737</v>
      </c>
      <c r="AX391" s="1">
        <f t="shared" si="72"/>
        <v>1</v>
      </c>
      <c r="AY391" s="1" t="str">
        <f>IF(COUNTIF($AX$2:AX391,1)&gt;$AG$1,"",IF(AX391="","",E391))</f>
        <v/>
      </c>
      <c r="BM391" s="138">
        <f t="shared" si="73"/>
        <v>0</v>
      </c>
      <c r="BN391" s="42">
        <f t="shared" si="74"/>
        <v>0</v>
      </c>
      <c r="BS391" s="1">
        <v>10018</v>
      </c>
      <c r="BT391" s="1" t="s">
        <v>902</v>
      </c>
      <c r="BX391" s="36"/>
    </row>
    <row r="392" spans="1:76" ht="14.25">
      <c r="A392" s="55"/>
      <c r="B392" s="36"/>
      <c r="C392" s="36"/>
      <c r="D392" s="36"/>
      <c r="E392" s="36"/>
      <c r="F392" s="36"/>
      <c r="G392" s="36"/>
      <c r="H392" s="36"/>
      <c r="J392" s="36"/>
      <c r="K392" s="1" t="str">
        <f t="shared" si="75"/>
        <v/>
      </c>
      <c r="L392" s="1" t="str">
        <f t="shared" si="77"/>
        <v/>
      </c>
      <c r="M392" s="94">
        <v>387</v>
      </c>
      <c r="N392" s="36" t="s">
        <v>2042</v>
      </c>
      <c r="O392" s="95">
        <v>310094</v>
      </c>
      <c r="P392" s="36"/>
      <c r="AA392" s="1">
        <v>30295</v>
      </c>
      <c r="AB392" s="1" t="s">
        <v>48</v>
      </c>
      <c r="AD392" s="1">
        <f t="shared" si="76"/>
        <v>0</v>
      </c>
      <c r="AI392" s="122">
        <v>195</v>
      </c>
      <c r="AJ392" s="1" t="s">
        <v>1735</v>
      </c>
      <c r="AK392" s="1">
        <v>309787</v>
      </c>
      <c r="AL392" s="1" t="s">
        <v>930</v>
      </c>
      <c r="AN392" s="270">
        <v>486</v>
      </c>
      <c r="AQ392" s="1">
        <v>244</v>
      </c>
      <c r="AR392" s="1" t="s">
        <v>280</v>
      </c>
      <c r="AS392" s="1">
        <v>210142</v>
      </c>
      <c r="AT392" s="1" t="s">
        <v>115</v>
      </c>
      <c r="AV392" s="241">
        <v>738</v>
      </c>
      <c r="AX392" s="1">
        <f t="shared" si="72"/>
        <v>1</v>
      </c>
      <c r="AY392" s="1" t="str">
        <f>IF(COUNTIF($AX$2:AX392,1)&gt;$AG$1,"",IF(AX392="","",E392))</f>
        <v/>
      </c>
      <c r="BM392" s="138">
        <f t="shared" si="73"/>
        <v>0</v>
      </c>
      <c r="BN392" s="42">
        <f t="shared" si="74"/>
        <v>0</v>
      </c>
      <c r="BS392" s="1">
        <v>10019</v>
      </c>
      <c r="BT392" s="1" t="s">
        <v>902</v>
      </c>
      <c r="BX392" s="36"/>
    </row>
    <row r="393" spans="1:76" ht="14.25">
      <c r="A393" s="55"/>
      <c r="B393" s="36"/>
      <c r="C393" s="36"/>
      <c r="D393" s="36"/>
      <c r="E393" s="36"/>
      <c r="F393" s="36"/>
      <c r="G393" s="36"/>
      <c r="H393" s="36"/>
      <c r="J393" s="36"/>
      <c r="K393" s="1" t="str">
        <f t="shared" si="75"/>
        <v/>
      </c>
      <c r="L393" s="1" t="str">
        <f t="shared" si="77"/>
        <v/>
      </c>
      <c r="M393" s="94">
        <v>388</v>
      </c>
      <c r="N393" s="36" t="s">
        <v>2043</v>
      </c>
      <c r="O393" s="95">
        <v>310095</v>
      </c>
      <c r="P393" s="36"/>
      <c r="AA393" s="1">
        <v>30296</v>
      </c>
      <c r="AB393" s="1" t="s">
        <v>48</v>
      </c>
      <c r="AD393" s="1">
        <f t="shared" si="76"/>
        <v>0</v>
      </c>
      <c r="AI393" s="122">
        <v>196</v>
      </c>
      <c r="AJ393" s="1" t="s">
        <v>1736</v>
      </c>
      <c r="AK393" s="1">
        <v>309788</v>
      </c>
      <c r="AL393" s="1" t="s">
        <v>930</v>
      </c>
      <c r="AN393" s="270">
        <v>487</v>
      </c>
      <c r="AQ393" s="1">
        <v>245</v>
      </c>
      <c r="AR393" s="1" t="s">
        <v>281</v>
      </c>
      <c r="AS393" s="1">
        <v>210135</v>
      </c>
      <c r="AT393" s="1" t="s">
        <v>116</v>
      </c>
      <c r="AV393" s="241">
        <v>739</v>
      </c>
      <c r="AX393" s="1">
        <f t="shared" si="72"/>
        <v>1</v>
      </c>
      <c r="AY393" s="1" t="str">
        <f>IF(COUNTIF($AX$2:AX393,1)&gt;$AG$1,"",IF(AX393="","",E393))</f>
        <v/>
      </c>
      <c r="BM393" s="138">
        <f t="shared" si="73"/>
        <v>0</v>
      </c>
      <c r="BN393" s="42">
        <f t="shared" si="74"/>
        <v>0</v>
      </c>
      <c r="BS393" s="1">
        <v>10020</v>
      </c>
      <c r="BT393" s="1" t="s">
        <v>902</v>
      </c>
      <c r="BX393" s="36"/>
    </row>
    <row r="394" spans="1:76" ht="14.25">
      <c r="A394" s="55"/>
      <c r="B394" s="36"/>
      <c r="C394" s="36"/>
      <c r="D394" s="36"/>
      <c r="E394" s="36"/>
      <c r="F394" s="36"/>
      <c r="G394" s="36"/>
      <c r="H394" s="36"/>
      <c r="J394" s="36"/>
      <c r="K394" s="1" t="str">
        <f t="shared" si="75"/>
        <v/>
      </c>
      <c r="L394" s="1" t="str">
        <f t="shared" si="77"/>
        <v/>
      </c>
      <c r="M394" s="94">
        <v>389</v>
      </c>
      <c r="N394" s="36" t="s">
        <v>2044</v>
      </c>
      <c r="O394" s="95">
        <v>310096</v>
      </c>
      <c r="P394" s="36"/>
      <c r="AA394" s="1">
        <v>30297</v>
      </c>
      <c r="AB394" s="1" t="s">
        <v>48</v>
      </c>
      <c r="AD394" s="1">
        <f t="shared" si="76"/>
        <v>0</v>
      </c>
      <c r="AI394" s="122">
        <v>197</v>
      </c>
      <c r="AJ394" s="1" t="s">
        <v>1737</v>
      </c>
      <c r="AK394" s="1">
        <v>309789</v>
      </c>
      <c r="AL394" s="1" t="s">
        <v>115</v>
      </c>
      <c r="AN394" s="270">
        <v>488</v>
      </c>
      <c r="AQ394" s="1">
        <v>246</v>
      </c>
      <c r="AR394" s="1" t="s">
        <v>282</v>
      </c>
      <c r="AS394" s="1">
        <v>210136</v>
      </c>
      <c r="AT394" s="1" t="s">
        <v>115</v>
      </c>
      <c r="AV394" s="241">
        <v>740</v>
      </c>
      <c r="AX394" s="1">
        <f t="shared" si="72"/>
        <v>1</v>
      </c>
      <c r="AY394" s="1" t="str">
        <f>IF(COUNTIF($AX$2:AX394,1)&gt;$AG$1,"",IF(AX394="","",E394))</f>
        <v/>
      </c>
      <c r="BM394" s="138">
        <f t="shared" si="73"/>
        <v>0</v>
      </c>
      <c r="BN394" s="42">
        <f t="shared" si="74"/>
        <v>0</v>
      </c>
      <c r="BS394" s="1">
        <v>10021</v>
      </c>
      <c r="BT394" s="1" t="s">
        <v>902</v>
      </c>
      <c r="BX394" s="36"/>
    </row>
    <row r="395" spans="1:76" ht="14.25">
      <c r="A395" s="55"/>
      <c r="B395" s="36"/>
      <c r="C395" s="36"/>
      <c r="D395" s="36"/>
      <c r="E395" s="36"/>
      <c r="F395" s="36"/>
      <c r="G395" s="36"/>
      <c r="H395" s="36"/>
      <c r="J395" s="36"/>
      <c r="K395" s="1" t="str">
        <f t="shared" si="75"/>
        <v/>
      </c>
      <c r="L395" s="1" t="str">
        <f t="shared" si="77"/>
        <v/>
      </c>
      <c r="M395" s="94">
        <v>390</v>
      </c>
      <c r="N395" s="36" t="s">
        <v>2045</v>
      </c>
      <c r="O395" s="95">
        <v>310097</v>
      </c>
      <c r="P395" s="36"/>
      <c r="AA395" s="1">
        <v>30298</v>
      </c>
      <c r="AB395" s="1" t="s">
        <v>48</v>
      </c>
      <c r="AD395" s="1">
        <f t="shared" si="76"/>
        <v>0</v>
      </c>
      <c r="AI395" s="122">
        <v>198</v>
      </c>
      <c r="AJ395" s="1" t="s">
        <v>1738</v>
      </c>
      <c r="AK395" s="1">
        <v>309790</v>
      </c>
      <c r="AL395" s="1" t="s">
        <v>930</v>
      </c>
      <c r="AN395" s="270">
        <v>489</v>
      </c>
      <c r="AQ395" s="1">
        <v>247</v>
      </c>
      <c r="AR395" s="1" t="s">
        <v>283</v>
      </c>
      <c r="AS395" s="1">
        <v>210138</v>
      </c>
      <c r="AT395" s="1" t="s">
        <v>116</v>
      </c>
      <c r="AV395" s="241">
        <v>741</v>
      </c>
      <c r="AX395" s="1">
        <f t="shared" si="72"/>
        <v>1</v>
      </c>
      <c r="AY395" s="1" t="str">
        <f>IF(COUNTIF($AX$2:AX395,1)&gt;$AG$1,"",IF(AX395="","",E395))</f>
        <v/>
      </c>
      <c r="BM395" s="138">
        <f t="shared" si="73"/>
        <v>0</v>
      </c>
      <c r="BN395" s="42">
        <f t="shared" si="74"/>
        <v>0</v>
      </c>
      <c r="BS395" s="1">
        <v>10022</v>
      </c>
      <c r="BT395" s="1" t="s">
        <v>902</v>
      </c>
      <c r="BX395" s="36"/>
    </row>
    <row r="396" spans="1:76" ht="14.25">
      <c r="A396" s="55"/>
      <c r="B396" s="36"/>
      <c r="C396" s="36"/>
      <c r="D396" s="36"/>
      <c r="E396" s="36"/>
      <c r="F396" s="36"/>
      <c r="G396" s="36"/>
      <c r="H396" s="36"/>
      <c r="J396" s="36"/>
      <c r="K396" s="1" t="str">
        <f t="shared" si="75"/>
        <v/>
      </c>
      <c r="L396" s="1" t="str">
        <f t="shared" si="77"/>
        <v/>
      </c>
      <c r="M396" s="94">
        <v>391</v>
      </c>
      <c r="N396" s="36" t="s">
        <v>2046</v>
      </c>
      <c r="O396" s="95">
        <v>310098</v>
      </c>
      <c r="P396" s="36"/>
      <c r="AA396" s="1">
        <v>30299</v>
      </c>
      <c r="AB396" s="1" t="s">
        <v>48</v>
      </c>
      <c r="AD396" s="1">
        <f t="shared" si="76"/>
        <v>0</v>
      </c>
      <c r="AI396" s="122">
        <v>199</v>
      </c>
      <c r="AJ396" s="1" t="s">
        <v>1739</v>
      </c>
      <c r="AK396" s="1">
        <v>309791</v>
      </c>
      <c r="AL396" s="1" t="s">
        <v>115</v>
      </c>
      <c r="AN396" s="270">
        <v>490</v>
      </c>
      <c r="AQ396" s="1">
        <v>248</v>
      </c>
      <c r="AR396" s="1" t="s">
        <v>284</v>
      </c>
      <c r="AS396" s="1">
        <v>210139</v>
      </c>
      <c r="AT396" s="1" t="s">
        <v>115</v>
      </c>
      <c r="AV396" s="241">
        <v>742</v>
      </c>
      <c r="AX396" s="1">
        <f t="shared" si="72"/>
        <v>1</v>
      </c>
      <c r="AY396" s="1" t="str">
        <f>IF(COUNTIF($AX$2:AX396,1)&gt;$AG$1,"",IF(AX396="","",E396))</f>
        <v/>
      </c>
      <c r="BM396" s="138">
        <f t="shared" si="73"/>
        <v>0</v>
      </c>
      <c r="BN396" s="42">
        <f t="shared" si="74"/>
        <v>0</v>
      </c>
      <c r="BS396" s="1">
        <v>10023</v>
      </c>
      <c r="BT396" s="1" t="s">
        <v>902</v>
      </c>
      <c r="BX396" s="36"/>
    </row>
    <row r="397" spans="1:76" ht="14.25">
      <c r="A397" s="55"/>
      <c r="B397" s="36"/>
      <c r="C397" s="36"/>
      <c r="D397" s="36"/>
      <c r="E397" s="36"/>
      <c r="F397" s="36"/>
      <c r="G397" s="36"/>
      <c r="H397" s="36"/>
      <c r="J397" s="36"/>
      <c r="K397" s="1" t="str">
        <f t="shared" si="75"/>
        <v/>
      </c>
      <c r="L397" s="1" t="str">
        <f t="shared" si="77"/>
        <v/>
      </c>
      <c r="M397" s="94">
        <v>392</v>
      </c>
      <c r="N397" s="36" t="s">
        <v>2047</v>
      </c>
      <c r="O397" s="95">
        <v>310099</v>
      </c>
      <c r="P397" s="36"/>
      <c r="AA397" s="1">
        <v>30300</v>
      </c>
      <c r="AB397" s="1" t="s">
        <v>48</v>
      </c>
      <c r="AD397" s="1">
        <f t="shared" si="76"/>
        <v>0</v>
      </c>
      <c r="AI397" s="122">
        <v>200</v>
      </c>
      <c r="AJ397" s="1" t="s">
        <v>1740</v>
      </c>
      <c r="AK397" s="1">
        <v>309792</v>
      </c>
      <c r="AL397" s="1" t="s">
        <v>930</v>
      </c>
      <c r="AN397" s="270">
        <v>491</v>
      </c>
      <c r="AQ397" s="1">
        <v>249</v>
      </c>
      <c r="AR397" s="1" t="s">
        <v>285</v>
      </c>
      <c r="AS397" s="1">
        <v>210140</v>
      </c>
      <c r="AT397" s="1" t="s">
        <v>116</v>
      </c>
      <c r="AV397" s="241">
        <v>743</v>
      </c>
      <c r="AX397" s="1">
        <f t="shared" si="72"/>
        <v>1</v>
      </c>
      <c r="AY397" s="1" t="str">
        <f>IF(COUNTIF($AX$2:AX397,1)&gt;$AG$1,"",IF(AX397="","",E397))</f>
        <v/>
      </c>
      <c r="BM397" s="138">
        <f t="shared" si="73"/>
        <v>0</v>
      </c>
      <c r="BN397" s="42">
        <f t="shared" si="74"/>
        <v>0</v>
      </c>
      <c r="BS397" s="1">
        <v>10024</v>
      </c>
      <c r="BT397" s="1" t="s">
        <v>902</v>
      </c>
      <c r="BX397" s="36"/>
    </row>
    <row r="398" spans="1:76" ht="14.25">
      <c r="A398" s="55"/>
      <c r="B398" s="36"/>
      <c r="C398" s="36"/>
      <c r="D398" s="36"/>
      <c r="E398" s="36"/>
      <c r="F398" s="36"/>
      <c r="G398" s="36"/>
      <c r="H398" s="36"/>
      <c r="J398" s="36"/>
      <c r="K398" s="1" t="str">
        <f t="shared" si="75"/>
        <v/>
      </c>
      <c r="L398" s="1" t="str">
        <f t="shared" si="77"/>
        <v/>
      </c>
      <c r="M398" s="94">
        <v>393</v>
      </c>
      <c r="N398" s="36" t="s">
        <v>2048</v>
      </c>
      <c r="O398" s="95">
        <v>310100</v>
      </c>
      <c r="P398" s="36"/>
      <c r="AA398" s="1">
        <v>30301</v>
      </c>
      <c r="AB398" s="1" t="s">
        <v>48</v>
      </c>
      <c r="AD398" s="1">
        <f t="shared" si="76"/>
        <v>0</v>
      </c>
      <c r="AI398" s="122">
        <v>201</v>
      </c>
      <c r="AJ398" s="1" t="s">
        <v>1741</v>
      </c>
      <c r="AK398" s="1">
        <v>309793</v>
      </c>
      <c r="AL398" s="1" t="s">
        <v>115</v>
      </c>
      <c r="AN398" s="270">
        <v>492</v>
      </c>
      <c r="AQ398" s="1">
        <v>250</v>
      </c>
      <c r="AR398" s="1" t="s">
        <v>286</v>
      </c>
      <c r="AS398" s="1">
        <v>210137</v>
      </c>
      <c r="AT398" s="1" t="s">
        <v>115</v>
      </c>
      <c r="AV398" s="241">
        <v>744</v>
      </c>
      <c r="AX398" s="1">
        <f t="shared" si="72"/>
        <v>1</v>
      </c>
      <c r="AY398" s="1" t="str">
        <f>IF(COUNTIF($AX$2:AX398,1)&gt;$AG$1,"",IF(AX398="","",E398))</f>
        <v/>
      </c>
      <c r="BM398" s="138">
        <f t="shared" si="73"/>
        <v>0</v>
      </c>
      <c r="BN398" s="42">
        <f t="shared" si="74"/>
        <v>0</v>
      </c>
      <c r="BS398" s="1">
        <v>10025</v>
      </c>
      <c r="BT398" s="1" t="s">
        <v>902</v>
      </c>
      <c r="BX398" s="36"/>
    </row>
    <row r="399" spans="1:76" ht="14.25">
      <c r="A399" s="55"/>
      <c r="B399" s="36"/>
      <c r="C399" s="36"/>
      <c r="D399" s="36"/>
      <c r="E399" s="36"/>
      <c r="F399" s="36"/>
      <c r="G399" s="36"/>
      <c r="H399" s="36"/>
      <c r="J399" s="36"/>
      <c r="K399" s="1" t="str">
        <f t="shared" si="75"/>
        <v/>
      </c>
      <c r="L399" s="1" t="str">
        <f t="shared" si="77"/>
        <v/>
      </c>
      <c r="M399" s="94">
        <v>394</v>
      </c>
      <c r="N399" s="36" t="s">
        <v>2049</v>
      </c>
      <c r="O399" s="95">
        <v>310101</v>
      </c>
      <c r="P399" s="36"/>
      <c r="AA399" s="1">
        <v>30302</v>
      </c>
      <c r="AB399" s="1" t="s">
        <v>48</v>
      </c>
      <c r="AD399" s="1">
        <f t="shared" si="76"/>
        <v>0</v>
      </c>
      <c r="AI399" s="122">
        <v>202</v>
      </c>
      <c r="AJ399" s="1" t="s">
        <v>1742</v>
      </c>
      <c r="AK399" s="1">
        <v>309794</v>
      </c>
      <c r="AL399" s="1" t="s">
        <v>930</v>
      </c>
      <c r="AN399" s="270">
        <v>493</v>
      </c>
      <c r="AQ399" s="1">
        <v>251</v>
      </c>
      <c r="AR399" s="1" t="s">
        <v>287</v>
      </c>
      <c r="AS399" s="1">
        <v>210146</v>
      </c>
      <c r="AT399" s="1" t="s">
        <v>115</v>
      </c>
      <c r="AV399" s="241">
        <v>745</v>
      </c>
      <c r="AX399" s="1">
        <f t="shared" si="72"/>
        <v>1</v>
      </c>
      <c r="AY399" s="1" t="str">
        <f>IF(COUNTIF($AX$2:AX399,1)&gt;$AG$1,"",IF(AX399="","",E399))</f>
        <v/>
      </c>
      <c r="BM399" s="138">
        <f t="shared" si="73"/>
        <v>0</v>
      </c>
      <c r="BN399" s="42">
        <f t="shared" si="74"/>
        <v>0</v>
      </c>
      <c r="BS399" s="1">
        <v>10026</v>
      </c>
      <c r="BT399" s="1" t="s">
        <v>902</v>
      </c>
      <c r="BX399" s="36"/>
    </row>
    <row r="400" spans="1:76" ht="14.25">
      <c r="A400" s="55"/>
      <c r="B400" s="36"/>
      <c r="C400" s="36"/>
      <c r="D400" s="36"/>
      <c r="E400" s="36"/>
      <c r="F400" s="36"/>
      <c r="G400" s="36"/>
      <c r="H400" s="36"/>
      <c r="J400" s="36"/>
      <c r="K400" s="1" t="str">
        <f t="shared" si="75"/>
        <v/>
      </c>
      <c r="L400" s="1" t="str">
        <f t="shared" si="77"/>
        <v/>
      </c>
      <c r="M400" s="94">
        <v>395</v>
      </c>
      <c r="N400" s="36" t="s">
        <v>2050</v>
      </c>
      <c r="O400" s="95">
        <v>310102</v>
      </c>
      <c r="P400" s="36"/>
      <c r="AA400" s="1">
        <v>30303</v>
      </c>
      <c r="AB400" s="1" t="s">
        <v>48</v>
      </c>
      <c r="AD400" s="1">
        <f t="shared" si="76"/>
        <v>0</v>
      </c>
      <c r="AF400" s="254" t="s">
        <v>117</v>
      </c>
      <c r="AG400" s="254"/>
      <c r="AH400" s="254"/>
      <c r="AI400" s="122">
        <v>88</v>
      </c>
      <c r="AJ400" s="1" t="s">
        <v>1743</v>
      </c>
      <c r="AK400" s="1">
        <v>309795</v>
      </c>
      <c r="AL400" s="1" t="s">
        <v>930</v>
      </c>
      <c r="AN400" s="270">
        <v>494</v>
      </c>
      <c r="AP400" s="115"/>
      <c r="AQ400" s="1">
        <v>252</v>
      </c>
      <c r="AR400" s="1" t="s">
        <v>288</v>
      </c>
      <c r="AS400" s="1">
        <v>210143</v>
      </c>
      <c r="AT400" s="1" t="s">
        <v>116</v>
      </c>
      <c r="AV400" s="241">
        <v>746</v>
      </c>
      <c r="AX400" s="1">
        <f t="shared" si="72"/>
        <v>1</v>
      </c>
      <c r="AY400" s="1" t="str">
        <f>IF(COUNTIF($AX$2:AX400,1)&gt;$AG$1,"",IF(AX400="","",E400))</f>
        <v/>
      </c>
      <c r="BM400" s="138">
        <f t="shared" si="73"/>
        <v>0</v>
      </c>
      <c r="BN400" s="42">
        <f t="shared" si="74"/>
        <v>0</v>
      </c>
      <c r="BS400" s="1">
        <v>10027</v>
      </c>
      <c r="BT400" s="1" t="s">
        <v>902</v>
      </c>
      <c r="BX400" s="36"/>
    </row>
    <row r="401" spans="1:76" ht="14.25">
      <c r="A401" s="55"/>
      <c r="B401" s="36"/>
      <c r="C401" s="36"/>
      <c r="D401" s="36"/>
      <c r="E401" s="36"/>
      <c r="F401" s="36"/>
      <c r="G401" s="36"/>
      <c r="H401" s="36"/>
      <c r="J401" s="36"/>
      <c r="K401" s="1" t="str">
        <f t="shared" si="75"/>
        <v/>
      </c>
      <c r="L401" s="1" t="str">
        <f t="shared" si="77"/>
        <v/>
      </c>
      <c r="M401" s="94">
        <v>396</v>
      </c>
      <c r="N401" s="36" t="s">
        <v>2051</v>
      </c>
      <c r="O401" s="95">
        <v>310103</v>
      </c>
      <c r="P401" s="36"/>
      <c r="AA401" s="1">
        <v>30304</v>
      </c>
      <c r="AB401" s="1" t="s">
        <v>48</v>
      </c>
      <c r="AD401" s="1">
        <f t="shared" si="76"/>
        <v>0</v>
      </c>
      <c r="AI401" s="122">
        <v>89</v>
      </c>
      <c r="AJ401" s="1" t="s">
        <v>1744</v>
      </c>
      <c r="AK401" s="1">
        <v>309796</v>
      </c>
      <c r="AL401" s="1" t="s">
        <v>115</v>
      </c>
      <c r="AN401" s="270">
        <v>495</v>
      </c>
      <c r="AQ401" s="1">
        <v>253</v>
      </c>
      <c r="AR401" s="1" t="s">
        <v>289</v>
      </c>
      <c r="AS401" s="1">
        <v>210144</v>
      </c>
      <c r="AT401" s="1" t="s">
        <v>115</v>
      </c>
      <c r="AV401" s="241">
        <v>747</v>
      </c>
      <c r="AX401" s="1">
        <f t="shared" si="72"/>
        <v>1</v>
      </c>
      <c r="AY401" s="1" t="str">
        <f>IF(COUNTIF($AX$2:AX401,1)&gt;$AG$1,"",IF(AX401="","",E401))</f>
        <v/>
      </c>
      <c r="BM401" s="138">
        <f t="shared" si="73"/>
        <v>0</v>
      </c>
      <c r="BN401" s="42">
        <f t="shared" si="74"/>
        <v>0</v>
      </c>
      <c r="BS401" s="1">
        <v>10028</v>
      </c>
      <c r="BT401" s="1" t="s">
        <v>902</v>
      </c>
      <c r="BX401" s="36"/>
    </row>
    <row r="402" spans="1:76" ht="14.25">
      <c r="A402" s="55"/>
      <c r="B402" s="36"/>
      <c r="C402" s="36"/>
      <c r="D402" s="36"/>
      <c r="E402" s="36"/>
      <c r="F402" s="36"/>
      <c r="G402" s="36"/>
      <c r="H402" s="36"/>
      <c r="J402" s="36"/>
      <c r="K402" s="1" t="str">
        <f t="shared" si="75"/>
        <v/>
      </c>
      <c r="L402" s="1" t="str">
        <f t="shared" si="77"/>
        <v/>
      </c>
      <c r="M402" s="94">
        <v>397</v>
      </c>
      <c r="N402" s="36" t="s">
        <v>2052</v>
      </c>
      <c r="O402" s="95">
        <v>310104</v>
      </c>
      <c r="P402" s="36"/>
      <c r="AA402" s="1">
        <v>30305</v>
      </c>
      <c r="AB402" s="1" t="s">
        <v>48</v>
      </c>
      <c r="AD402" s="1">
        <f t="shared" si="76"/>
        <v>0</v>
      </c>
      <c r="AI402" s="122">
        <v>90</v>
      </c>
      <c r="AJ402" s="1" t="s">
        <v>1745</v>
      </c>
      <c r="AK402" s="1">
        <v>309797</v>
      </c>
      <c r="AL402" s="1" t="s">
        <v>930</v>
      </c>
      <c r="AN402" s="270">
        <v>496</v>
      </c>
      <c r="AQ402" s="1">
        <v>254</v>
      </c>
      <c r="AR402" s="1" t="s">
        <v>290</v>
      </c>
      <c r="AS402" s="1">
        <v>210145</v>
      </c>
      <c r="AT402" s="1" t="s">
        <v>116</v>
      </c>
      <c r="AV402" s="241">
        <v>748</v>
      </c>
      <c r="AX402" s="1">
        <f t="shared" si="72"/>
        <v>1</v>
      </c>
      <c r="AY402" s="1" t="str">
        <f>IF(COUNTIF($AX$2:AX402,1)&gt;$AG$1,"",IF(AX402="","",E402))</f>
        <v/>
      </c>
      <c r="BM402" s="138">
        <f t="shared" si="73"/>
        <v>0</v>
      </c>
      <c r="BN402" s="42">
        <f t="shared" si="74"/>
        <v>0</v>
      </c>
      <c r="BS402" s="1">
        <v>10029</v>
      </c>
      <c r="BT402" s="1" t="s">
        <v>902</v>
      </c>
      <c r="BX402" s="36"/>
    </row>
    <row r="403" spans="1:76" ht="14.25">
      <c r="A403" s="55"/>
      <c r="B403" s="36"/>
      <c r="C403" s="36"/>
      <c r="D403" s="36"/>
      <c r="E403" s="36"/>
      <c r="F403" s="36"/>
      <c r="G403" s="36"/>
      <c r="H403" s="36"/>
      <c r="J403" s="36"/>
      <c r="K403" s="1" t="str">
        <f t="shared" si="75"/>
        <v/>
      </c>
      <c r="L403" s="1" t="str">
        <f t="shared" si="77"/>
        <v/>
      </c>
      <c r="M403" s="94">
        <v>398</v>
      </c>
      <c r="N403" s="36" t="s">
        <v>2053</v>
      </c>
      <c r="O403" s="95">
        <v>310105</v>
      </c>
      <c r="P403" s="36"/>
      <c r="AA403" s="1">
        <v>30306</v>
      </c>
      <c r="AB403" s="1" t="s">
        <v>48</v>
      </c>
      <c r="AD403" s="1">
        <f t="shared" si="76"/>
        <v>0</v>
      </c>
      <c r="AI403" s="122">
        <v>91</v>
      </c>
      <c r="AJ403" s="1" t="s">
        <v>1746</v>
      </c>
      <c r="AK403" s="1">
        <v>309798</v>
      </c>
      <c r="AL403" s="1" t="s">
        <v>115</v>
      </c>
      <c r="AN403" s="270">
        <v>497</v>
      </c>
      <c r="AQ403" s="1">
        <v>255</v>
      </c>
      <c r="AR403" s="1" t="s">
        <v>291</v>
      </c>
      <c r="AS403" s="1">
        <v>210147</v>
      </c>
      <c r="AT403" s="1" t="s">
        <v>115</v>
      </c>
      <c r="AV403" s="241">
        <v>749</v>
      </c>
      <c r="AX403" s="1">
        <f t="shared" si="72"/>
        <v>1</v>
      </c>
      <c r="AY403" s="1" t="str">
        <f>IF(COUNTIF($AX$2:AX403,1)&gt;$AG$1,"",IF(AX403="","",E403))</f>
        <v/>
      </c>
      <c r="BM403" s="138">
        <f t="shared" si="73"/>
        <v>0</v>
      </c>
      <c r="BN403" s="42">
        <f t="shared" si="74"/>
        <v>0</v>
      </c>
      <c r="BS403" s="1">
        <v>10030</v>
      </c>
      <c r="BT403" s="1" t="s">
        <v>902</v>
      </c>
      <c r="BX403" s="36"/>
    </row>
    <row r="404" spans="1:76" ht="14.25">
      <c r="A404" s="55"/>
      <c r="B404" s="36"/>
      <c r="C404" s="36"/>
      <c r="D404" s="36"/>
      <c r="E404" s="36"/>
      <c r="F404" s="36"/>
      <c r="G404" s="36"/>
      <c r="H404" s="36"/>
      <c r="J404" s="36"/>
      <c r="K404" s="1" t="str">
        <f t="shared" si="75"/>
        <v/>
      </c>
      <c r="L404" s="1" t="str">
        <f t="shared" si="77"/>
        <v/>
      </c>
      <c r="M404" s="94">
        <v>399</v>
      </c>
      <c r="N404" s="36" t="s">
        <v>2054</v>
      </c>
      <c r="O404" s="95">
        <v>310106</v>
      </c>
      <c r="P404" s="36"/>
      <c r="AA404" s="1">
        <v>30307</v>
      </c>
      <c r="AB404" s="1" t="s">
        <v>48</v>
      </c>
      <c r="AD404" s="1">
        <f t="shared" si="76"/>
        <v>0</v>
      </c>
      <c r="AI404" s="122">
        <v>92</v>
      </c>
      <c r="AJ404" s="1" t="s">
        <v>1747</v>
      </c>
      <c r="AK404" s="1">
        <v>309799</v>
      </c>
      <c r="AL404" s="1" t="s">
        <v>930</v>
      </c>
      <c r="AN404" s="270">
        <v>498</v>
      </c>
      <c r="AQ404" s="1">
        <v>256</v>
      </c>
      <c r="AR404" s="1" t="s">
        <v>292</v>
      </c>
      <c r="AS404" s="1">
        <v>210186</v>
      </c>
      <c r="AT404" s="1" t="s">
        <v>115</v>
      </c>
      <c r="AV404" s="241">
        <v>750</v>
      </c>
      <c r="AX404" s="1">
        <f t="shared" si="72"/>
        <v>1</v>
      </c>
      <c r="AY404" s="1" t="str">
        <f>IF(COUNTIF($AX$2:AX404,1)&gt;$AG$1,"",IF(AX404="","",E404))</f>
        <v/>
      </c>
      <c r="BM404" s="138">
        <f t="shared" si="73"/>
        <v>0</v>
      </c>
      <c r="BN404" s="42">
        <f t="shared" si="74"/>
        <v>0</v>
      </c>
      <c r="BS404" s="1">
        <v>10031</v>
      </c>
      <c r="BT404" s="1" t="s">
        <v>902</v>
      </c>
      <c r="BX404" s="36"/>
    </row>
    <row r="405" spans="1:76" ht="14.25">
      <c r="A405" s="55"/>
      <c r="B405" s="36"/>
      <c r="C405" s="36"/>
      <c r="D405" s="36"/>
      <c r="E405" s="36"/>
      <c r="F405" s="36"/>
      <c r="G405" s="36"/>
      <c r="H405" s="36"/>
      <c r="J405" s="36"/>
      <c r="K405" s="1" t="str">
        <f t="shared" si="75"/>
        <v/>
      </c>
      <c r="L405" s="1" t="str">
        <f t="shared" si="77"/>
        <v/>
      </c>
      <c r="M405" s="94">
        <v>400</v>
      </c>
      <c r="N405" s="36" t="s">
        <v>2055</v>
      </c>
      <c r="O405" s="95">
        <v>310107</v>
      </c>
      <c r="P405" s="36"/>
      <c r="AA405" s="1">
        <v>30308</v>
      </c>
      <c r="AB405" s="1" t="s">
        <v>48</v>
      </c>
      <c r="AD405" s="1">
        <f t="shared" si="76"/>
        <v>0</v>
      </c>
      <c r="AI405" s="122">
        <v>93</v>
      </c>
      <c r="AJ405" s="1" t="s">
        <v>1748</v>
      </c>
      <c r="AK405" s="1">
        <v>309800</v>
      </c>
      <c r="AL405" s="1" t="s">
        <v>115</v>
      </c>
      <c r="AN405" s="270">
        <v>499</v>
      </c>
      <c r="AQ405" s="1">
        <v>257</v>
      </c>
      <c r="AR405" s="1" t="s">
        <v>293</v>
      </c>
      <c r="AS405" s="1">
        <v>210148</v>
      </c>
      <c r="AT405" s="1" t="s">
        <v>116</v>
      </c>
      <c r="AV405" s="241">
        <v>751</v>
      </c>
      <c r="AX405" s="1">
        <f t="shared" si="72"/>
        <v>1</v>
      </c>
      <c r="AY405" s="1" t="str">
        <f>IF(COUNTIF($AX$2:AX405,1)&gt;$AG$1,"",IF(AX405="","",E405))</f>
        <v/>
      </c>
      <c r="BM405" s="138">
        <f t="shared" si="73"/>
        <v>0</v>
      </c>
      <c r="BN405" s="42">
        <f t="shared" si="74"/>
        <v>0</v>
      </c>
      <c r="BS405" s="1">
        <v>10032</v>
      </c>
      <c r="BT405" s="1" t="s">
        <v>902</v>
      </c>
      <c r="BX405" s="36"/>
    </row>
    <row r="406" spans="1:76" ht="14.25">
      <c r="A406" s="55"/>
      <c r="B406" s="36"/>
      <c r="C406" s="36"/>
      <c r="D406" s="36"/>
      <c r="E406" s="36"/>
      <c r="F406" s="36"/>
      <c r="G406" s="36"/>
      <c r="H406" s="36"/>
      <c r="J406" s="36"/>
      <c r="K406" s="1" t="str">
        <f t="shared" si="75"/>
        <v/>
      </c>
      <c r="L406" s="1" t="str">
        <f t="shared" si="77"/>
        <v/>
      </c>
      <c r="M406" s="94">
        <v>401</v>
      </c>
      <c r="N406" s="36" t="s">
        <v>2056</v>
      </c>
      <c r="O406" s="95">
        <v>310108</v>
      </c>
      <c r="P406" s="36"/>
      <c r="AA406" s="1">
        <v>30309</v>
      </c>
      <c r="AB406" s="1" t="s">
        <v>48</v>
      </c>
      <c r="AD406" s="1">
        <f t="shared" si="76"/>
        <v>0</v>
      </c>
      <c r="AI406" s="122">
        <v>94</v>
      </c>
      <c r="AJ406" s="1" t="s">
        <v>1749</v>
      </c>
      <c r="AK406" s="1">
        <v>309801</v>
      </c>
      <c r="AL406" s="1" t="s">
        <v>930</v>
      </c>
      <c r="AN406" s="270">
        <v>500</v>
      </c>
      <c r="AQ406" s="1">
        <v>258</v>
      </c>
      <c r="AR406" s="1" t="s">
        <v>294</v>
      </c>
      <c r="AS406" s="1">
        <v>210151</v>
      </c>
      <c r="AT406" s="1" t="s">
        <v>115</v>
      </c>
      <c r="AV406" s="241">
        <v>752</v>
      </c>
      <c r="AX406" s="1">
        <f t="shared" si="72"/>
        <v>1</v>
      </c>
      <c r="AY406" s="1" t="str">
        <f>IF(COUNTIF($AX$2:AX406,1)&gt;$AG$1,"",IF(AX406="","",E406))</f>
        <v/>
      </c>
      <c r="BM406" s="138">
        <f t="shared" si="73"/>
        <v>0</v>
      </c>
      <c r="BN406" s="42">
        <f t="shared" si="74"/>
        <v>0</v>
      </c>
      <c r="BS406" s="1">
        <v>10033</v>
      </c>
      <c r="BT406" s="1" t="s">
        <v>902</v>
      </c>
      <c r="BX406" s="36"/>
    </row>
    <row r="407" spans="1:76" ht="14.25">
      <c r="A407" s="55"/>
      <c r="B407" s="36"/>
      <c r="C407" s="36"/>
      <c r="D407" s="36"/>
      <c r="E407" s="36"/>
      <c r="F407" s="36"/>
      <c r="G407" s="36"/>
      <c r="H407" s="36"/>
      <c r="J407" s="36"/>
      <c r="K407" s="1" t="str">
        <f t="shared" si="75"/>
        <v/>
      </c>
      <c r="L407" s="1" t="str">
        <f t="shared" si="77"/>
        <v/>
      </c>
      <c r="M407" s="94">
        <v>402</v>
      </c>
      <c r="N407" s="36" t="s">
        <v>2057</v>
      </c>
      <c r="O407" s="95">
        <v>310109</v>
      </c>
      <c r="P407" s="36"/>
      <c r="AA407" s="1">
        <v>30310</v>
      </c>
      <c r="AB407" s="1" t="s">
        <v>48</v>
      </c>
      <c r="AD407" s="1">
        <f t="shared" si="76"/>
        <v>0</v>
      </c>
      <c r="AI407" s="122">
        <v>95</v>
      </c>
      <c r="AJ407" s="1" t="s">
        <v>1750</v>
      </c>
      <c r="AK407" s="1">
        <v>309802</v>
      </c>
      <c r="AL407" s="1" t="s">
        <v>930</v>
      </c>
      <c r="AN407" s="270">
        <v>501</v>
      </c>
      <c r="AQ407" s="1">
        <v>259</v>
      </c>
      <c r="AR407" s="1" t="s">
        <v>295</v>
      </c>
      <c r="AS407" s="1">
        <v>210152</v>
      </c>
      <c r="AT407" s="1" t="s">
        <v>116</v>
      </c>
      <c r="AV407" s="241">
        <v>753</v>
      </c>
      <c r="AX407" s="1">
        <f t="shared" si="72"/>
        <v>1</v>
      </c>
      <c r="AY407" s="1" t="str">
        <f>IF(COUNTIF($AX$2:AX407,1)&gt;$AG$1,"",IF(AX407="","",E407))</f>
        <v/>
      </c>
      <c r="BM407" s="138">
        <f t="shared" si="73"/>
        <v>0</v>
      </c>
      <c r="BN407" s="42">
        <f t="shared" si="74"/>
        <v>0</v>
      </c>
      <c r="BS407" s="1">
        <v>10034</v>
      </c>
      <c r="BT407" s="1" t="s">
        <v>902</v>
      </c>
      <c r="BX407" s="36"/>
    </row>
    <row r="408" spans="1:76" ht="14.25">
      <c r="A408" s="55"/>
      <c r="B408" s="36"/>
      <c r="C408" s="36"/>
      <c r="D408" s="36"/>
      <c r="E408" s="36"/>
      <c r="F408" s="36"/>
      <c r="G408" s="36"/>
      <c r="H408" s="36"/>
      <c r="J408" s="36"/>
      <c r="K408" s="1" t="str">
        <f t="shared" si="75"/>
        <v/>
      </c>
      <c r="L408" s="1" t="str">
        <f t="shared" si="77"/>
        <v/>
      </c>
      <c r="M408" s="94">
        <v>403</v>
      </c>
      <c r="N408" s="36" t="s">
        <v>2058</v>
      </c>
      <c r="O408" s="95">
        <v>310110</v>
      </c>
      <c r="P408" s="36"/>
      <c r="AA408" s="1">
        <v>30311</v>
      </c>
      <c r="AB408" s="1" t="s">
        <v>48</v>
      </c>
      <c r="AD408" s="1">
        <f t="shared" si="76"/>
        <v>0</v>
      </c>
      <c r="AI408" s="122">
        <v>96</v>
      </c>
      <c r="AJ408" s="1" t="s">
        <v>1751</v>
      </c>
      <c r="AK408" s="1">
        <v>309803</v>
      </c>
      <c r="AL408" s="1" t="s">
        <v>115</v>
      </c>
      <c r="AN408" s="270">
        <v>502</v>
      </c>
      <c r="AQ408" s="1">
        <v>260</v>
      </c>
      <c r="AR408" s="1" t="s">
        <v>296</v>
      </c>
      <c r="AS408" s="1">
        <v>210153</v>
      </c>
      <c r="AT408" s="1" t="s">
        <v>115</v>
      </c>
      <c r="AV408" s="241">
        <v>754</v>
      </c>
      <c r="AX408" s="1">
        <f t="shared" si="72"/>
        <v>1</v>
      </c>
      <c r="AY408" s="1" t="str">
        <f>IF(COUNTIF($AX$2:AX408,1)&gt;$AG$1,"",IF(AX408="","",E408))</f>
        <v/>
      </c>
      <c r="BM408" s="138">
        <f t="shared" si="73"/>
        <v>0</v>
      </c>
      <c r="BN408" s="42">
        <f t="shared" si="74"/>
        <v>0</v>
      </c>
      <c r="BS408" s="1">
        <v>10035</v>
      </c>
      <c r="BT408" s="1" t="s">
        <v>902</v>
      </c>
      <c r="BX408" s="36"/>
    </row>
    <row r="409" spans="1:76" ht="14.25">
      <c r="A409" s="55"/>
      <c r="B409" s="36"/>
      <c r="C409" s="36"/>
      <c r="D409" s="36"/>
      <c r="E409" s="36"/>
      <c r="F409" s="36"/>
      <c r="G409" s="36"/>
      <c r="H409" s="36"/>
      <c r="J409" s="36"/>
      <c r="K409" s="1" t="str">
        <f t="shared" si="75"/>
        <v/>
      </c>
      <c r="L409" s="1" t="str">
        <f t="shared" si="77"/>
        <v/>
      </c>
      <c r="M409" s="94">
        <v>404</v>
      </c>
      <c r="N409" s="36" t="s">
        <v>2059</v>
      </c>
      <c r="O409" s="95">
        <v>310111</v>
      </c>
      <c r="P409" s="36"/>
      <c r="AA409" s="1">
        <v>30312</v>
      </c>
      <c r="AB409" s="1" t="s">
        <v>48</v>
      </c>
      <c r="AD409" s="1">
        <f t="shared" si="76"/>
        <v>0</v>
      </c>
      <c r="AI409" s="122">
        <v>97</v>
      </c>
      <c r="AJ409" s="1" t="s">
        <v>1752</v>
      </c>
      <c r="AK409" s="1">
        <v>309804</v>
      </c>
      <c r="AL409" s="1" t="s">
        <v>930</v>
      </c>
      <c r="AN409" s="270">
        <v>503</v>
      </c>
      <c r="AQ409" s="1">
        <v>261</v>
      </c>
      <c r="AR409" s="1" t="s">
        <v>297</v>
      </c>
      <c r="AS409" s="1">
        <v>210154</v>
      </c>
      <c r="AT409" s="1" t="s">
        <v>115</v>
      </c>
      <c r="AV409" s="241">
        <v>755</v>
      </c>
      <c r="AX409" s="1">
        <f t="shared" si="72"/>
        <v>1</v>
      </c>
      <c r="AY409" s="1" t="str">
        <f>IF(COUNTIF($AX$2:AX409,1)&gt;$AG$1,"",IF(AX409="","",E409))</f>
        <v/>
      </c>
      <c r="BM409" s="138">
        <f t="shared" si="73"/>
        <v>0</v>
      </c>
      <c r="BN409" s="42">
        <f t="shared" si="74"/>
        <v>0</v>
      </c>
      <c r="BS409" s="1">
        <v>10036</v>
      </c>
      <c r="BT409" s="1" t="s">
        <v>902</v>
      </c>
      <c r="BX409" s="36"/>
    </row>
    <row r="410" spans="1:76" ht="14.25">
      <c r="A410" s="55"/>
      <c r="B410" s="36"/>
      <c r="C410" s="36"/>
      <c r="D410" s="36"/>
      <c r="E410" s="36"/>
      <c r="F410" s="36"/>
      <c r="G410" s="36"/>
      <c r="H410" s="36"/>
      <c r="J410" s="36"/>
      <c r="K410" s="1" t="str">
        <f t="shared" si="75"/>
        <v/>
      </c>
      <c r="L410" s="1" t="str">
        <f t="shared" si="77"/>
        <v/>
      </c>
      <c r="M410" s="94">
        <v>405</v>
      </c>
      <c r="N410" s="36" t="s">
        <v>2060</v>
      </c>
      <c r="O410" s="95">
        <v>310112</v>
      </c>
      <c r="P410" s="36"/>
      <c r="AA410" s="1">
        <v>30313</v>
      </c>
      <c r="AB410" s="1" t="s">
        <v>48</v>
      </c>
      <c r="AD410" s="1">
        <f t="shared" si="76"/>
        <v>0</v>
      </c>
      <c r="AI410" s="122">
        <v>98</v>
      </c>
      <c r="AJ410" s="1" t="s">
        <v>1753</v>
      </c>
      <c r="AK410" s="1">
        <v>309805</v>
      </c>
      <c r="AL410" s="1" t="s">
        <v>115</v>
      </c>
      <c r="AN410" s="270">
        <v>504</v>
      </c>
      <c r="AQ410" s="1">
        <v>262</v>
      </c>
      <c r="AR410" s="1" t="s">
        <v>298</v>
      </c>
      <c r="AS410" s="1">
        <v>210155</v>
      </c>
      <c r="AT410" s="1" t="s">
        <v>116</v>
      </c>
      <c r="AV410" s="241">
        <v>756</v>
      </c>
      <c r="AX410" s="1">
        <f t="shared" si="72"/>
        <v>1</v>
      </c>
      <c r="AY410" s="1" t="str">
        <f>IF(COUNTIF($AX$2:AX410,1)&gt;$AG$1,"",IF(AX410="","",E410))</f>
        <v/>
      </c>
      <c r="BM410" s="138">
        <f t="shared" si="73"/>
        <v>0</v>
      </c>
      <c r="BN410" s="42">
        <f t="shared" si="74"/>
        <v>0</v>
      </c>
      <c r="BS410" s="1">
        <v>10037</v>
      </c>
      <c r="BT410" s="1" t="s">
        <v>902</v>
      </c>
      <c r="BX410" s="36"/>
    </row>
    <row r="411" spans="1:76" ht="14.25">
      <c r="A411" s="55"/>
      <c r="B411" s="36"/>
      <c r="C411" s="36"/>
      <c r="D411" s="36"/>
      <c r="E411" s="36"/>
      <c r="F411" s="36"/>
      <c r="G411" s="36"/>
      <c r="H411" s="36"/>
      <c r="J411" s="36"/>
      <c r="K411" s="1" t="str">
        <f t="shared" si="75"/>
        <v/>
      </c>
      <c r="L411" s="1" t="str">
        <f t="shared" si="77"/>
        <v/>
      </c>
      <c r="M411" s="94">
        <v>406</v>
      </c>
      <c r="N411" s="36" t="s">
        <v>2061</v>
      </c>
      <c r="O411" s="95">
        <v>310113</v>
      </c>
      <c r="P411" s="36"/>
      <c r="AA411" s="1">
        <v>30314</v>
      </c>
      <c r="AB411" s="1" t="s">
        <v>48</v>
      </c>
      <c r="AD411" s="1">
        <f t="shared" si="76"/>
        <v>0</v>
      </c>
      <c r="AI411" s="122">
        <v>99</v>
      </c>
      <c r="AJ411" s="1" t="s">
        <v>1754</v>
      </c>
      <c r="AK411" s="1">
        <v>309806</v>
      </c>
      <c r="AL411" s="1" t="s">
        <v>930</v>
      </c>
      <c r="AN411" s="270">
        <v>505</v>
      </c>
      <c r="AQ411" s="1">
        <v>263</v>
      </c>
      <c r="AR411" s="1" t="s">
        <v>299</v>
      </c>
      <c r="AS411" s="1">
        <v>210156</v>
      </c>
      <c r="AT411" s="1" t="s">
        <v>115</v>
      </c>
      <c r="AV411" s="241">
        <v>757</v>
      </c>
      <c r="AX411" s="1">
        <f t="shared" si="72"/>
        <v>1</v>
      </c>
      <c r="AY411" s="1" t="str">
        <f>IF(COUNTIF($AX$2:AX411,1)&gt;$AG$1,"",IF(AX411="","",E411))</f>
        <v/>
      </c>
      <c r="BM411" s="138">
        <f t="shared" si="73"/>
        <v>0</v>
      </c>
      <c r="BN411" s="42">
        <f t="shared" si="74"/>
        <v>0</v>
      </c>
      <c r="BS411" s="1">
        <v>10038</v>
      </c>
      <c r="BT411" s="1" t="s">
        <v>902</v>
      </c>
      <c r="BX411" s="36"/>
    </row>
    <row r="412" spans="1:76" ht="14.25">
      <c r="B412" s="36"/>
      <c r="C412" s="36"/>
      <c r="D412" s="36"/>
      <c r="E412" s="36"/>
      <c r="F412" s="36"/>
      <c r="G412" s="36"/>
      <c r="H412" s="36"/>
      <c r="J412" s="36"/>
      <c r="K412" s="1" t="str">
        <f t="shared" si="75"/>
        <v/>
      </c>
      <c r="L412" s="1" t="str">
        <f t="shared" si="77"/>
        <v/>
      </c>
      <c r="M412" s="94">
        <v>407</v>
      </c>
      <c r="N412" s="36" t="s">
        <v>2062</v>
      </c>
      <c r="O412" s="95">
        <v>310114</v>
      </c>
      <c r="P412" s="36"/>
      <c r="AA412" s="1">
        <v>30315</v>
      </c>
      <c r="AB412" s="1" t="s">
        <v>48</v>
      </c>
      <c r="AD412" s="1">
        <f t="shared" si="76"/>
        <v>0</v>
      </c>
      <c r="AI412" s="122">
        <v>100</v>
      </c>
      <c r="AJ412" s="1" t="s">
        <v>1755</v>
      </c>
      <c r="AK412" s="1">
        <v>309807</v>
      </c>
      <c r="AL412" s="1" t="s">
        <v>115</v>
      </c>
      <c r="AN412" s="270">
        <v>506</v>
      </c>
      <c r="AQ412" s="1">
        <v>264</v>
      </c>
      <c r="AR412" s="1" t="s">
        <v>300</v>
      </c>
      <c r="AS412" s="1">
        <v>210157</v>
      </c>
      <c r="AT412" s="1" t="s">
        <v>116</v>
      </c>
      <c r="AV412" s="241">
        <v>758</v>
      </c>
      <c r="AX412" s="1">
        <f t="shared" si="72"/>
        <v>1</v>
      </c>
      <c r="AY412" s="1" t="str">
        <f>IF(COUNTIF($AX$2:AX412,1)&gt;$AG$1,"",IF(AX412="","",E412))</f>
        <v/>
      </c>
      <c r="BM412" s="138">
        <f t="shared" si="73"/>
        <v>0</v>
      </c>
      <c r="BN412" s="42">
        <f t="shared" si="74"/>
        <v>0</v>
      </c>
      <c r="BS412" s="1">
        <v>10039</v>
      </c>
      <c r="BT412" s="1" t="s">
        <v>902</v>
      </c>
      <c r="BX412" s="36"/>
    </row>
    <row r="413" spans="1:76" ht="14.25">
      <c r="B413" s="36"/>
      <c r="C413" s="36"/>
      <c r="D413" s="36"/>
      <c r="E413" s="36"/>
      <c r="F413" s="36"/>
      <c r="G413" s="36"/>
      <c r="H413" s="36"/>
      <c r="J413" s="36"/>
      <c r="K413" s="1" t="str">
        <f t="shared" si="75"/>
        <v/>
      </c>
      <c r="L413" s="1" t="str">
        <f t="shared" si="77"/>
        <v/>
      </c>
      <c r="M413" s="94">
        <v>408</v>
      </c>
      <c r="N413" s="36" t="s">
        <v>2063</v>
      </c>
      <c r="O413" s="95">
        <v>310115</v>
      </c>
      <c r="P413" s="36"/>
      <c r="AA413" s="1">
        <v>30316</v>
      </c>
      <c r="AB413" s="1" t="s">
        <v>48</v>
      </c>
      <c r="AD413" s="1">
        <f t="shared" si="76"/>
        <v>0</v>
      </c>
      <c r="AI413" s="122">
        <v>101</v>
      </c>
      <c r="AJ413" s="1" t="s">
        <v>1756</v>
      </c>
      <c r="AK413" s="1">
        <v>309808</v>
      </c>
      <c r="AL413" s="1" t="s">
        <v>930</v>
      </c>
      <c r="AN413" s="270">
        <v>507</v>
      </c>
      <c r="AQ413" s="1">
        <v>265</v>
      </c>
      <c r="AR413" s="1" t="s">
        <v>301</v>
      </c>
      <c r="AS413" s="1">
        <v>210158</v>
      </c>
      <c r="AT413" s="1" t="s">
        <v>115</v>
      </c>
      <c r="AV413" s="241">
        <v>759</v>
      </c>
      <c r="AX413" s="1">
        <f t="shared" si="72"/>
        <v>1</v>
      </c>
      <c r="AY413" s="1" t="str">
        <f>IF(COUNTIF($AX$2:AX413,1)&gt;$AG$1,"",IF(AX413="","",E413))</f>
        <v/>
      </c>
      <c r="BM413" s="138">
        <f t="shared" si="73"/>
        <v>0</v>
      </c>
      <c r="BN413" s="42">
        <f t="shared" si="74"/>
        <v>0</v>
      </c>
      <c r="BS413" s="1">
        <v>10040</v>
      </c>
      <c r="BT413" s="1" t="s">
        <v>902</v>
      </c>
      <c r="BX413" s="36"/>
    </row>
    <row r="414" spans="1:76" ht="14.25">
      <c r="B414" s="36"/>
      <c r="C414" s="36"/>
      <c r="D414" s="36"/>
      <c r="E414" s="36"/>
      <c r="F414" s="36"/>
      <c r="G414" s="36"/>
      <c r="H414" s="36"/>
      <c r="J414" s="36"/>
      <c r="K414" s="1" t="str">
        <f t="shared" si="75"/>
        <v/>
      </c>
      <c r="L414" s="1" t="str">
        <f t="shared" si="77"/>
        <v/>
      </c>
      <c r="M414" s="94">
        <v>409</v>
      </c>
      <c r="N414" s="36" t="s">
        <v>2064</v>
      </c>
      <c r="O414" s="95">
        <v>310116</v>
      </c>
      <c r="P414" s="36"/>
      <c r="AA414" s="1">
        <v>30317</v>
      </c>
      <c r="AB414" s="1" t="s">
        <v>48</v>
      </c>
      <c r="AD414" s="1">
        <f t="shared" si="76"/>
        <v>0</v>
      </c>
      <c r="AI414" s="122">
        <v>102</v>
      </c>
      <c r="AJ414" s="1" t="s">
        <v>1757</v>
      </c>
      <c r="AK414" s="1">
        <v>309809</v>
      </c>
      <c r="AL414" s="1" t="s">
        <v>930</v>
      </c>
      <c r="AN414" s="270">
        <v>508</v>
      </c>
      <c r="AQ414" s="1">
        <v>266</v>
      </c>
      <c r="AR414" s="1" t="s">
        <v>302</v>
      </c>
      <c r="AS414" s="1">
        <v>210159</v>
      </c>
      <c r="AT414" s="1" t="s">
        <v>115</v>
      </c>
      <c r="AV414" s="241">
        <v>760</v>
      </c>
      <c r="AX414" s="1">
        <f t="shared" si="72"/>
        <v>1</v>
      </c>
      <c r="AY414" s="1" t="str">
        <f>IF(COUNTIF($AX$2:AX414,1)&gt;$AG$1,"",IF(AX414="","",E414))</f>
        <v/>
      </c>
      <c r="BM414" s="138">
        <f t="shared" si="73"/>
        <v>0</v>
      </c>
      <c r="BN414" s="42">
        <f t="shared" si="74"/>
        <v>0</v>
      </c>
      <c r="BS414" s="1">
        <v>10041</v>
      </c>
      <c r="BT414" s="1" t="s">
        <v>902</v>
      </c>
      <c r="BX414" s="36"/>
    </row>
    <row r="415" spans="1:76" ht="14.25">
      <c r="B415" s="36"/>
      <c r="C415" s="36"/>
      <c r="D415" s="36"/>
      <c r="E415" s="36"/>
      <c r="F415" s="36"/>
      <c r="G415" s="36"/>
      <c r="H415" s="36"/>
      <c r="J415" s="36"/>
      <c r="K415" s="1" t="str">
        <f t="shared" si="75"/>
        <v/>
      </c>
      <c r="L415" s="1" t="str">
        <f t="shared" si="77"/>
        <v/>
      </c>
      <c r="M415" s="94">
        <v>410</v>
      </c>
      <c r="N415" s="36" t="s">
        <v>2065</v>
      </c>
      <c r="O415" s="95">
        <v>310117</v>
      </c>
      <c r="P415" s="36"/>
      <c r="AA415" s="1">
        <v>30318</v>
      </c>
      <c r="AB415" s="1" t="s">
        <v>48</v>
      </c>
      <c r="AD415" s="1">
        <f t="shared" si="76"/>
        <v>0</v>
      </c>
      <c r="AI415" s="122">
        <v>103</v>
      </c>
      <c r="AJ415" s="1" t="s">
        <v>1758</v>
      </c>
      <c r="AK415" s="1">
        <v>309810</v>
      </c>
      <c r="AL415" s="1" t="s">
        <v>115</v>
      </c>
      <c r="AN415" s="270">
        <v>509</v>
      </c>
      <c r="AQ415" s="1">
        <v>267</v>
      </c>
      <c r="AR415" s="1" t="s">
        <v>303</v>
      </c>
      <c r="AS415" s="1">
        <v>210160</v>
      </c>
      <c r="AT415" s="1" t="s">
        <v>116</v>
      </c>
      <c r="AV415" s="241">
        <v>761</v>
      </c>
      <c r="AX415" s="1">
        <f t="shared" si="72"/>
        <v>1</v>
      </c>
      <c r="AY415" s="1" t="str">
        <f>IF(COUNTIF($AX$2:AX415,1)&gt;$AG$1,"",IF(AX415="","",E415))</f>
        <v/>
      </c>
      <c r="BM415" s="138">
        <f t="shared" si="73"/>
        <v>0</v>
      </c>
      <c r="BN415" s="42">
        <f t="shared" si="74"/>
        <v>0</v>
      </c>
      <c r="BS415" s="1">
        <v>10042</v>
      </c>
      <c r="BT415" s="1" t="s">
        <v>902</v>
      </c>
      <c r="BX415" s="36"/>
    </row>
    <row r="416" spans="1:76" ht="14.25">
      <c r="B416" s="36"/>
      <c r="C416" s="36"/>
      <c r="D416" s="36"/>
      <c r="E416" s="36"/>
      <c r="F416" s="36"/>
      <c r="G416" s="36"/>
      <c r="H416" s="36"/>
      <c r="J416" s="36"/>
      <c r="K416" s="1" t="str">
        <f t="shared" si="75"/>
        <v/>
      </c>
      <c r="L416" s="1" t="str">
        <f t="shared" si="77"/>
        <v/>
      </c>
      <c r="M416" s="94">
        <v>411</v>
      </c>
      <c r="N416" s="36" t="s">
        <v>2066</v>
      </c>
      <c r="O416" s="95">
        <v>310118</v>
      </c>
      <c r="P416" s="36"/>
      <c r="AA416" s="1">
        <v>30319</v>
      </c>
      <c r="AB416" s="1" t="s">
        <v>48</v>
      </c>
      <c r="AD416" s="1">
        <f t="shared" si="76"/>
        <v>0</v>
      </c>
      <c r="AI416" s="122">
        <v>104</v>
      </c>
      <c r="AJ416" s="1" t="s">
        <v>1759</v>
      </c>
      <c r="AK416" s="1">
        <v>309811</v>
      </c>
      <c r="AL416" s="1" t="s">
        <v>930</v>
      </c>
      <c r="AN416" s="270">
        <v>510</v>
      </c>
      <c r="AQ416" s="1">
        <v>268</v>
      </c>
      <c r="AR416" s="1" t="s">
        <v>304</v>
      </c>
      <c r="AS416" s="1">
        <v>210161</v>
      </c>
      <c r="AT416" s="1" t="s">
        <v>115</v>
      </c>
      <c r="AV416" s="241">
        <v>762</v>
      </c>
      <c r="AX416" s="1">
        <f t="shared" si="72"/>
        <v>1</v>
      </c>
      <c r="AY416" s="1" t="str">
        <f>IF(COUNTIF($AX$2:AX416,1)&gt;$AG$1,"",IF(AX416="","",E416))</f>
        <v/>
      </c>
      <c r="BM416" s="138">
        <f t="shared" si="73"/>
        <v>0</v>
      </c>
      <c r="BN416" s="42">
        <f t="shared" si="74"/>
        <v>0</v>
      </c>
      <c r="BS416" s="1">
        <v>10043</v>
      </c>
      <c r="BT416" s="1" t="s">
        <v>902</v>
      </c>
      <c r="BX416" s="36"/>
    </row>
    <row r="417" spans="2:76" ht="14.25">
      <c r="B417" s="36"/>
      <c r="C417" s="36"/>
      <c r="D417" s="36"/>
      <c r="E417" s="36"/>
      <c r="F417" s="36"/>
      <c r="G417" s="36"/>
      <c r="H417" s="36"/>
      <c r="J417" s="36"/>
      <c r="K417" s="1" t="str">
        <f t="shared" si="75"/>
        <v/>
      </c>
      <c r="L417" s="1" t="str">
        <f t="shared" si="77"/>
        <v/>
      </c>
      <c r="M417" s="94">
        <v>412</v>
      </c>
      <c r="N417" s="36" t="s">
        <v>2067</v>
      </c>
      <c r="O417" s="95">
        <v>310119</v>
      </c>
      <c r="P417" s="36"/>
      <c r="AA417" s="1">
        <v>30320</v>
      </c>
      <c r="AB417" s="1" t="s">
        <v>48</v>
      </c>
      <c r="AD417" s="1">
        <f t="shared" si="76"/>
        <v>0</v>
      </c>
      <c r="AI417" s="122">
        <v>105</v>
      </c>
      <c r="AJ417" s="1" t="s">
        <v>1760</v>
      </c>
      <c r="AK417" s="1">
        <v>309812</v>
      </c>
      <c r="AL417" s="1" t="s">
        <v>115</v>
      </c>
      <c r="AN417" s="270">
        <v>511</v>
      </c>
      <c r="AQ417" s="1">
        <v>269</v>
      </c>
      <c r="AR417" s="1" t="s">
        <v>305</v>
      </c>
      <c r="AS417" s="1">
        <v>210326</v>
      </c>
      <c r="AT417" s="1" t="s">
        <v>116</v>
      </c>
      <c r="AV417" s="241">
        <v>763</v>
      </c>
      <c r="AX417" s="1">
        <f t="shared" si="72"/>
        <v>1</v>
      </c>
      <c r="AY417" s="1" t="str">
        <f>IF(COUNTIF($AX$2:AX417,1)&gt;$AG$1,"",IF(AX417="","",E417))</f>
        <v/>
      </c>
      <c r="BM417" s="138">
        <f t="shared" si="73"/>
        <v>0</v>
      </c>
      <c r="BN417" s="42">
        <f t="shared" si="74"/>
        <v>0</v>
      </c>
      <c r="BS417" s="1">
        <v>10044</v>
      </c>
      <c r="BT417" s="1" t="s">
        <v>902</v>
      </c>
      <c r="BX417" s="36"/>
    </row>
    <row r="418" spans="2:76" ht="14.25">
      <c r="B418" s="36"/>
      <c r="C418" s="36"/>
      <c r="D418" s="36"/>
      <c r="E418" s="36"/>
      <c r="F418" s="36"/>
      <c r="G418" s="36"/>
      <c r="H418" s="36"/>
      <c r="J418" s="36"/>
      <c r="K418" s="1" t="str">
        <f t="shared" si="75"/>
        <v/>
      </c>
      <c r="L418" s="1" t="str">
        <f t="shared" si="77"/>
        <v/>
      </c>
      <c r="M418" s="94">
        <v>413</v>
      </c>
      <c r="N418" s="36" t="s">
        <v>2068</v>
      </c>
      <c r="O418" s="95">
        <v>310120</v>
      </c>
      <c r="P418" s="36"/>
      <c r="AA418" s="1">
        <v>30321</v>
      </c>
      <c r="AB418" s="1" t="s">
        <v>48</v>
      </c>
      <c r="AD418" s="1">
        <f t="shared" si="76"/>
        <v>0</v>
      </c>
      <c r="AI418" s="122">
        <v>106</v>
      </c>
      <c r="AJ418" s="1" t="s">
        <v>1761</v>
      </c>
      <c r="AK418" s="1">
        <v>309813</v>
      </c>
      <c r="AL418" s="1" t="s">
        <v>930</v>
      </c>
      <c r="AN418" s="270">
        <v>512</v>
      </c>
      <c r="AQ418" s="1">
        <v>270</v>
      </c>
      <c r="AR418" s="1" t="s">
        <v>306</v>
      </c>
      <c r="AS418" s="1">
        <v>210166</v>
      </c>
      <c r="AT418" s="1" t="s">
        <v>115</v>
      </c>
      <c r="AV418" s="241">
        <v>764</v>
      </c>
      <c r="AX418" s="1">
        <f t="shared" si="72"/>
        <v>1</v>
      </c>
      <c r="AY418" s="1" t="str">
        <f>IF(COUNTIF($AX$2:AX418,1)&gt;$AG$1,"",IF(AX418="","",E418))</f>
        <v/>
      </c>
      <c r="BM418" s="138">
        <f t="shared" si="73"/>
        <v>0</v>
      </c>
      <c r="BN418" s="42">
        <f t="shared" si="74"/>
        <v>0</v>
      </c>
      <c r="BS418" s="1">
        <v>10045</v>
      </c>
      <c r="BT418" s="1" t="s">
        <v>902</v>
      </c>
      <c r="BX418" s="36"/>
    </row>
    <row r="419" spans="2:76" ht="14.25">
      <c r="B419" s="36"/>
      <c r="C419" s="36"/>
      <c r="D419" s="36"/>
      <c r="E419" s="36"/>
      <c r="F419" s="36"/>
      <c r="G419" s="36"/>
      <c r="H419" s="36"/>
      <c r="J419" s="36"/>
      <c r="K419" s="1" t="str">
        <f t="shared" si="75"/>
        <v/>
      </c>
      <c r="L419" s="1" t="str">
        <f t="shared" si="77"/>
        <v/>
      </c>
      <c r="M419" s="94">
        <v>414</v>
      </c>
      <c r="N419" s="36" t="s">
        <v>2069</v>
      </c>
      <c r="O419" s="95">
        <v>310121</v>
      </c>
      <c r="P419" s="36"/>
      <c r="AA419" s="1">
        <v>30322</v>
      </c>
      <c r="AB419" s="1" t="s">
        <v>48</v>
      </c>
      <c r="AD419" s="1">
        <f t="shared" si="76"/>
        <v>0</v>
      </c>
      <c r="AI419" s="122">
        <v>107</v>
      </c>
      <c r="AJ419" s="1" t="s">
        <v>1762</v>
      </c>
      <c r="AK419" s="1">
        <v>309814</v>
      </c>
      <c r="AL419" s="1" t="s">
        <v>115</v>
      </c>
      <c r="AN419" s="270">
        <v>513</v>
      </c>
      <c r="AQ419" s="1">
        <v>271</v>
      </c>
      <c r="AR419" s="1" t="s">
        <v>307</v>
      </c>
      <c r="AS419" s="1">
        <v>210165</v>
      </c>
      <c r="AT419" s="1" t="s">
        <v>116</v>
      </c>
      <c r="AV419" s="241">
        <v>765</v>
      </c>
      <c r="AX419" s="1">
        <f t="shared" si="72"/>
        <v>1</v>
      </c>
      <c r="AY419" s="1" t="str">
        <f>IF(COUNTIF($AX$2:AX419,1)&gt;$AG$1,"",IF(AX419="","",E419))</f>
        <v/>
      </c>
      <c r="BM419" s="138">
        <f t="shared" si="73"/>
        <v>0</v>
      </c>
      <c r="BN419" s="42">
        <f t="shared" si="74"/>
        <v>0</v>
      </c>
      <c r="BS419" s="1">
        <v>10046</v>
      </c>
      <c r="BT419" s="1" t="s">
        <v>902</v>
      </c>
      <c r="BX419" s="36"/>
    </row>
    <row r="420" spans="2:76" ht="14.25">
      <c r="B420" s="36"/>
      <c r="C420" s="36"/>
      <c r="D420" s="36"/>
      <c r="E420" s="36"/>
      <c r="F420" s="36"/>
      <c r="G420" s="36"/>
      <c r="H420" s="36"/>
      <c r="J420" s="36"/>
      <c r="K420" s="1" t="str">
        <f t="shared" si="75"/>
        <v/>
      </c>
      <c r="L420" s="1" t="str">
        <f t="shared" si="77"/>
        <v/>
      </c>
      <c r="M420" s="94">
        <v>415</v>
      </c>
      <c r="N420" s="36" t="s">
        <v>2070</v>
      </c>
      <c r="O420" s="95">
        <v>310122</v>
      </c>
      <c r="P420" s="36"/>
      <c r="AA420" s="1">
        <v>30323</v>
      </c>
      <c r="AB420" s="1" t="s">
        <v>48</v>
      </c>
      <c r="AI420" s="122">
        <v>108</v>
      </c>
      <c r="AJ420" s="1" t="s">
        <v>1763</v>
      </c>
      <c r="AK420" s="1">
        <v>309815</v>
      </c>
      <c r="AL420" s="1" t="s">
        <v>930</v>
      </c>
      <c r="AN420" s="270">
        <v>514</v>
      </c>
      <c r="AQ420" s="1">
        <v>272</v>
      </c>
      <c r="AR420" s="1" t="s">
        <v>308</v>
      </c>
      <c r="AS420" s="1">
        <v>210164</v>
      </c>
      <c r="AT420" s="1" t="s">
        <v>115</v>
      </c>
      <c r="AV420" s="241">
        <v>766</v>
      </c>
      <c r="AX420" s="1">
        <f t="shared" si="72"/>
        <v>1</v>
      </c>
      <c r="AY420" s="1" t="str">
        <f>IF(COUNTIF($AX$2:AX420,1)&gt;$AG$1,"",IF(AX420="","",E420))</f>
        <v/>
      </c>
      <c r="BM420" s="138">
        <f t="shared" si="73"/>
        <v>0</v>
      </c>
      <c r="BN420" s="42">
        <f t="shared" si="74"/>
        <v>0</v>
      </c>
      <c r="BS420" s="1">
        <v>10047</v>
      </c>
      <c r="BT420" s="1" t="s">
        <v>902</v>
      </c>
      <c r="BX420" s="36"/>
    </row>
    <row r="421" spans="2:76" ht="14.25">
      <c r="B421" s="36"/>
      <c r="C421" s="36"/>
      <c r="D421" s="36"/>
      <c r="E421" s="36"/>
      <c r="F421" s="36"/>
      <c r="G421" s="36"/>
      <c r="H421" s="36"/>
      <c r="J421" s="36"/>
      <c r="K421" s="1" t="str">
        <f t="shared" si="75"/>
        <v/>
      </c>
      <c r="L421" s="1" t="str">
        <f t="shared" si="77"/>
        <v/>
      </c>
      <c r="M421" s="94">
        <v>416</v>
      </c>
      <c r="N421" s="36" t="s">
        <v>2071</v>
      </c>
      <c r="O421" s="95">
        <v>310123</v>
      </c>
      <c r="P421" s="36"/>
      <c r="AA421" s="1">
        <v>30324</v>
      </c>
      <c r="AB421" s="1" t="s">
        <v>48</v>
      </c>
      <c r="AI421" s="122">
        <v>109</v>
      </c>
      <c r="AJ421" s="1" t="s">
        <v>1764</v>
      </c>
      <c r="AK421" s="1">
        <v>309816</v>
      </c>
      <c r="AL421" s="1" t="s">
        <v>115</v>
      </c>
      <c r="AN421" s="270">
        <v>515</v>
      </c>
      <c r="AQ421" s="1">
        <v>273</v>
      </c>
      <c r="AR421" s="1" t="s">
        <v>309</v>
      </c>
      <c r="AS421" s="1">
        <v>210163</v>
      </c>
      <c r="AT421" s="1" t="s">
        <v>115</v>
      </c>
      <c r="AV421" s="241">
        <v>767</v>
      </c>
      <c r="AX421" s="1">
        <f t="shared" si="72"/>
        <v>1</v>
      </c>
      <c r="AY421" s="1" t="str">
        <f>IF(COUNTIF($AX$2:AX421,1)&gt;$AG$1,"",IF(AX421="","",E421))</f>
        <v/>
      </c>
      <c r="BM421" s="138">
        <f t="shared" si="73"/>
        <v>0</v>
      </c>
      <c r="BN421" s="42">
        <f t="shared" si="74"/>
        <v>0</v>
      </c>
      <c r="BS421" s="1">
        <v>10048</v>
      </c>
      <c r="BT421" s="1" t="s">
        <v>902</v>
      </c>
      <c r="BX421" s="36"/>
    </row>
    <row r="422" spans="2:76" ht="14.25">
      <c r="B422" s="36"/>
      <c r="C422" s="36"/>
      <c r="D422" s="36"/>
      <c r="E422" s="36"/>
      <c r="F422" s="36"/>
      <c r="G422" s="36"/>
      <c r="H422" s="36"/>
      <c r="J422" s="36"/>
      <c r="K422" s="1" t="str">
        <f t="shared" si="75"/>
        <v/>
      </c>
      <c r="L422" s="1" t="str">
        <f t="shared" si="77"/>
        <v/>
      </c>
      <c r="M422" s="94">
        <v>417</v>
      </c>
      <c r="N422" s="36" t="s">
        <v>2072</v>
      </c>
      <c r="O422" s="95">
        <v>310124</v>
      </c>
      <c r="P422" s="36"/>
      <c r="AA422" s="1">
        <v>30325</v>
      </c>
      <c r="AB422" s="1" t="s">
        <v>48</v>
      </c>
      <c r="AI422" s="122">
        <v>110</v>
      </c>
      <c r="AJ422" s="1" t="s">
        <v>1765</v>
      </c>
      <c r="AK422" s="1">
        <v>309817</v>
      </c>
      <c r="AL422" s="1" t="s">
        <v>930</v>
      </c>
      <c r="AN422" s="270">
        <v>516</v>
      </c>
      <c r="AQ422" s="1">
        <v>274</v>
      </c>
      <c r="AR422" s="1" t="s">
        <v>310</v>
      </c>
      <c r="AS422" s="1">
        <v>210167</v>
      </c>
      <c r="AT422" s="1" t="s">
        <v>116</v>
      </c>
      <c r="AV422" s="241">
        <v>768</v>
      </c>
      <c r="AX422" s="1">
        <f t="shared" si="72"/>
        <v>1</v>
      </c>
      <c r="AY422" s="1" t="str">
        <f>IF(COUNTIF($AX$2:AX422,1)&gt;$AG$1,"",IF(AX422="","",E422))</f>
        <v/>
      </c>
      <c r="BM422" s="138">
        <f t="shared" si="73"/>
        <v>0</v>
      </c>
      <c r="BN422" s="42">
        <f t="shared" si="74"/>
        <v>0</v>
      </c>
      <c r="BS422" s="1">
        <v>10049</v>
      </c>
      <c r="BT422" s="1" t="s">
        <v>902</v>
      </c>
      <c r="BX422" s="36"/>
    </row>
    <row r="423" spans="2:76" ht="14.25">
      <c r="B423" s="36"/>
      <c r="C423" s="36"/>
      <c r="D423" s="36"/>
      <c r="E423" s="36"/>
      <c r="F423" s="36"/>
      <c r="G423" s="36"/>
      <c r="H423" s="36"/>
      <c r="J423" s="36"/>
      <c r="K423" s="1" t="str">
        <f t="shared" si="75"/>
        <v/>
      </c>
      <c r="L423" s="1" t="str">
        <f t="shared" si="77"/>
        <v/>
      </c>
      <c r="M423" s="94">
        <v>418</v>
      </c>
      <c r="N423" s="36" t="s">
        <v>2073</v>
      </c>
      <c r="O423" s="95">
        <v>310125</v>
      </c>
      <c r="P423" s="36"/>
      <c r="AA423" s="1">
        <v>30326</v>
      </c>
      <c r="AB423" s="1" t="s">
        <v>48</v>
      </c>
      <c r="AI423" s="122">
        <v>111</v>
      </c>
      <c r="AJ423" s="1" t="s">
        <v>1766</v>
      </c>
      <c r="AK423" s="1">
        <v>309818</v>
      </c>
      <c r="AL423" s="1" t="s">
        <v>930</v>
      </c>
      <c r="AN423" s="270">
        <v>517</v>
      </c>
      <c r="AQ423" s="1">
        <v>275</v>
      </c>
      <c r="AR423" s="1" t="s">
        <v>311</v>
      </c>
      <c r="AS423" s="1">
        <v>210171</v>
      </c>
      <c r="AT423" s="1" t="s">
        <v>115</v>
      </c>
      <c r="AV423" s="241">
        <v>769</v>
      </c>
      <c r="AX423" s="1">
        <f t="shared" si="72"/>
        <v>1</v>
      </c>
      <c r="AY423" s="1" t="str">
        <f>IF(COUNTIF($AX$2:AX423,1)&gt;$AG$1,"",IF(AX423="","",E423))</f>
        <v/>
      </c>
      <c r="BM423" s="138">
        <f t="shared" si="73"/>
        <v>0</v>
      </c>
      <c r="BN423" s="42">
        <f t="shared" si="74"/>
        <v>0</v>
      </c>
      <c r="BS423" s="1">
        <v>10050</v>
      </c>
      <c r="BT423" s="1" t="s">
        <v>902</v>
      </c>
      <c r="BX423" s="36"/>
    </row>
    <row r="424" spans="2:76" ht="14.25">
      <c r="B424" s="36"/>
      <c r="C424" s="36"/>
      <c r="D424" s="36"/>
      <c r="E424" s="36"/>
      <c r="F424" s="36"/>
      <c r="G424" s="36"/>
      <c r="H424" s="36"/>
      <c r="J424" s="36"/>
      <c r="K424" s="1" t="str">
        <f t="shared" si="75"/>
        <v/>
      </c>
      <c r="L424" s="1" t="str">
        <f t="shared" si="77"/>
        <v/>
      </c>
      <c r="M424" s="94">
        <v>419</v>
      </c>
      <c r="N424" s="36" t="s">
        <v>2074</v>
      </c>
      <c r="O424" s="95">
        <v>310126</v>
      </c>
      <c r="P424" s="36"/>
      <c r="AA424" s="1">
        <v>30327</v>
      </c>
      <c r="AB424" s="1" t="s">
        <v>48</v>
      </c>
      <c r="AI424" s="122">
        <v>112</v>
      </c>
      <c r="AJ424" s="1" t="s">
        <v>1767</v>
      </c>
      <c r="AK424" s="1">
        <v>309819</v>
      </c>
      <c r="AL424" s="1" t="s">
        <v>115</v>
      </c>
      <c r="AN424" s="270">
        <v>518</v>
      </c>
      <c r="AQ424" s="1">
        <v>276</v>
      </c>
      <c r="AR424" s="1" t="s">
        <v>312</v>
      </c>
      <c r="AS424" s="1">
        <v>210170</v>
      </c>
      <c r="AT424" s="1" t="s">
        <v>116</v>
      </c>
      <c r="AV424" s="241">
        <v>770</v>
      </c>
      <c r="AX424" s="1">
        <f t="shared" si="72"/>
        <v>1</v>
      </c>
      <c r="AY424" s="1" t="str">
        <f>IF(COUNTIF($AX$2:AX424,1)&gt;$AG$1,"",IF(AX424="","",E424))</f>
        <v/>
      </c>
      <c r="BM424" s="138">
        <f t="shared" si="73"/>
        <v>0</v>
      </c>
      <c r="BN424" s="42">
        <f t="shared" si="74"/>
        <v>0</v>
      </c>
      <c r="BS424" s="1">
        <v>10051</v>
      </c>
      <c r="BT424" s="1" t="s">
        <v>902</v>
      </c>
      <c r="BX424" s="36"/>
    </row>
    <row r="425" spans="2:76" ht="14.25">
      <c r="B425" s="36"/>
      <c r="C425" s="36"/>
      <c r="D425" s="36"/>
      <c r="E425" s="36"/>
      <c r="F425" s="36"/>
      <c r="G425" s="36"/>
      <c r="H425" s="36"/>
      <c r="J425" s="36"/>
      <c r="K425" s="1" t="str">
        <f t="shared" si="75"/>
        <v/>
      </c>
      <c r="L425" s="1" t="str">
        <f t="shared" si="77"/>
        <v/>
      </c>
      <c r="M425" s="94">
        <v>420</v>
      </c>
      <c r="N425" s="36" t="s">
        <v>2075</v>
      </c>
      <c r="O425" s="95">
        <v>310127</v>
      </c>
      <c r="P425" s="36"/>
      <c r="AA425" s="1">
        <v>30328</v>
      </c>
      <c r="AB425" s="1" t="s">
        <v>48</v>
      </c>
      <c r="AI425" s="122">
        <v>113</v>
      </c>
      <c r="AJ425" s="1" t="s">
        <v>1768</v>
      </c>
      <c r="AK425" s="1">
        <v>309820</v>
      </c>
      <c r="AL425" s="1" t="s">
        <v>930</v>
      </c>
      <c r="AN425" s="270">
        <v>519</v>
      </c>
      <c r="AQ425" s="1">
        <v>277</v>
      </c>
      <c r="AR425" s="1" t="s">
        <v>313</v>
      </c>
      <c r="AS425" s="1">
        <v>210169</v>
      </c>
      <c r="AT425" s="1" t="s">
        <v>115</v>
      </c>
      <c r="AV425" s="241">
        <v>771</v>
      </c>
      <c r="AX425" s="1">
        <f t="shared" si="72"/>
        <v>1</v>
      </c>
      <c r="AY425" s="1" t="str">
        <f>IF(COUNTIF($AX$2:AX425,1)&gt;$AG$1,"",IF(AX425="","",E425))</f>
        <v/>
      </c>
      <c r="BM425" s="138">
        <f t="shared" si="73"/>
        <v>0</v>
      </c>
      <c r="BN425" s="42">
        <f t="shared" si="74"/>
        <v>0</v>
      </c>
      <c r="BS425" s="1">
        <v>10052</v>
      </c>
      <c r="BT425" s="1" t="s">
        <v>902</v>
      </c>
      <c r="BX425" s="36"/>
    </row>
    <row r="426" spans="2:76" ht="14.25">
      <c r="B426" s="36"/>
      <c r="C426" s="36"/>
      <c r="D426" s="36"/>
      <c r="E426" s="36"/>
      <c r="F426" s="36"/>
      <c r="G426" s="36"/>
      <c r="H426" s="36"/>
      <c r="J426" s="36"/>
      <c r="K426" s="1" t="str">
        <f t="shared" si="75"/>
        <v/>
      </c>
      <c r="L426" s="1" t="str">
        <f t="shared" si="77"/>
        <v/>
      </c>
      <c r="M426" s="94">
        <v>421</v>
      </c>
      <c r="N426" s="36" t="s">
        <v>2076</v>
      </c>
      <c r="O426" s="95">
        <v>310128</v>
      </c>
      <c r="P426" s="36"/>
      <c r="AA426" s="1">
        <v>30329</v>
      </c>
      <c r="AB426" s="1" t="s">
        <v>48</v>
      </c>
      <c r="AI426" s="122">
        <v>114</v>
      </c>
      <c r="AJ426" s="1" t="s">
        <v>1769</v>
      </c>
      <c r="AK426" s="1">
        <v>309821</v>
      </c>
      <c r="AL426" s="1" t="s">
        <v>115</v>
      </c>
      <c r="AN426" s="270">
        <v>520</v>
      </c>
      <c r="AQ426" s="1">
        <v>278</v>
      </c>
      <c r="AR426" s="1" t="s">
        <v>314</v>
      </c>
      <c r="AS426" s="1">
        <v>210168</v>
      </c>
      <c r="AT426" s="1" t="s">
        <v>115</v>
      </c>
      <c r="AV426" s="241">
        <v>772</v>
      </c>
      <c r="AX426" s="1">
        <f t="shared" si="72"/>
        <v>1</v>
      </c>
      <c r="AY426" s="1" t="str">
        <f>IF(COUNTIF($AX$2:AX426,1)&gt;$AG$1,"",IF(AX426="","",E426))</f>
        <v/>
      </c>
      <c r="BM426" s="138">
        <f t="shared" si="73"/>
        <v>0</v>
      </c>
      <c r="BN426" s="42">
        <f t="shared" si="74"/>
        <v>0</v>
      </c>
      <c r="BS426" s="1">
        <v>10053</v>
      </c>
      <c r="BT426" s="1" t="s">
        <v>902</v>
      </c>
      <c r="BX426" s="36"/>
    </row>
    <row r="427" spans="2:76" ht="14.25">
      <c r="B427" s="36"/>
      <c r="C427" s="36"/>
      <c r="D427" s="36"/>
      <c r="E427" s="36"/>
      <c r="F427" s="36"/>
      <c r="G427" s="36"/>
      <c r="H427" s="36"/>
      <c r="J427" s="36"/>
      <c r="K427" s="1" t="str">
        <f t="shared" si="75"/>
        <v/>
      </c>
      <c r="L427" s="1" t="str">
        <f t="shared" si="77"/>
        <v/>
      </c>
      <c r="M427" s="94">
        <v>422</v>
      </c>
      <c r="N427" s="36" t="s">
        <v>2077</v>
      </c>
      <c r="O427" s="95">
        <v>310129</v>
      </c>
      <c r="P427" s="36"/>
      <c r="AA427" s="1">
        <v>30330</v>
      </c>
      <c r="AB427" s="1" t="s">
        <v>48</v>
      </c>
      <c r="AI427" s="122">
        <v>115</v>
      </c>
      <c r="AJ427" s="1" t="s">
        <v>1770</v>
      </c>
      <c r="AK427" s="1">
        <v>309822</v>
      </c>
      <c r="AL427" s="1" t="s">
        <v>930</v>
      </c>
      <c r="AN427" s="270">
        <v>521</v>
      </c>
      <c r="AQ427" s="1">
        <v>279</v>
      </c>
      <c r="AR427" s="1" t="s">
        <v>315</v>
      </c>
      <c r="AS427" s="1">
        <v>210172</v>
      </c>
      <c r="AT427" s="1" t="s">
        <v>116</v>
      </c>
      <c r="AV427" s="241">
        <v>773</v>
      </c>
      <c r="AX427" s="1">
        <f t="shared" si="72"/>
        <v>1</v>
      </c>
      <c r="AY427" s="1" t="str">
        <f>IF(COUNTIF($AX$2:AX427,1)&gt;$AG$1,"",IF(AX427="","",E427))</f>
        <v/>
      </c>
      <c r="BM427" s="138">
        <f t="shared" si="73"/>
        <v>0</v>
      </c>
      <c r="BN427" s="42">
        <f t="shared" si="74"/>
        <v>0</v>
      </c>
      <c r="BS427" s="1">
        <v>10054</v>
      </c>
      <c r="BT427" s="1" t="s">
        <v>902</v>
      </c>
      <c r="BX427" s="36"/>
    </row>
    <row r="428" spans="2:76" ht="14.25">
      <c r="B428" s="36"/>
      <c r="C428" s="36"/>
      <c r="D428" s="36"/>
      <c r="E428" s="36"/>
      <c r="F428" s="36"/>
      <c r="G428" s="36"/>
      <c r="H428" s="36"/>
      <c r="J428" s="36"/>
      <c r="K428" s="1" t="str">
        <f t="shared" si="75"/>
        <v/>
      </c>
      <c r="L428" s="1" t="str">
        <f t="shared" si="77"/>
        <v/>
      </c>
      <c r="M428" s="94">
        <v>423</v>
      </c>
      <c r="N428" s="36" t="s">
        <v>2078</v>
      </c>
      <c r="O428" s="95">
        <v>310130</v>
      </c>
      <c r="P428" s="36"/>
      <c r="AI428" s="122">
        <v>116</v>
      </c>
      <c r="AJ428" s="1" t="s">
        <v>1771</v>
      </c>
      <c r="AK428" s="1">
        <v>309823</v>
      </c>
      <c r="AL428" s="1" t="s">
        <v>115</v>
      </c>
      <c r="AN428" s="270">
        <v>522</v>
      </c>
      <c r="AQ428" s="1">
        <v>280</v>
      </c>
      <c r="AR428" s="1" t="s">
        <v>316</v>
      </c>
      <c r="AS428" s="1">
        <v>210173</v>
      </c>
      <c r="AT428" s="1" t="s">
        <v>115</v>
      </c>
      <c r="AV428" s="241">
        <v>774</v>
      </c>
      <c r="AX428" s="1">
        <f t="shared" si="72"/>
        <v>1</v>
      </c>
      <c r="AY428" s="1" t="str">
        <f>IF(COUNTIF($AX$2:AX428,1)&gt;$AG$1,"",IF(AX428="","",E428))</f>
        <v/>
      </c>
      <c r="BM428" s="138">
        <f t="shared" si="73"/>
        <v>0</v>
      </c>
      <c r="BN428" s="42">
        <f t="shared" si="74"/>
        <v>0</v>
      </c>
      <c r="BS428" s="1">
        <v>10055</v>
      </c>
      <c r="BT428" s="1" t="s">
        <v>902</v>
      </c>
      <c r="BX428" s="36"/>
    </row>
    <row r="429" spans="2:76" ht="14.25">
      <c r="B429" s="36"/>
      <c r="C429" s="36"/>
      <c r="D429" s="36"/>
      <c r="E429" s="36"/>
      <c r="F429" s="36"/>
      <c r="G429" s="36"/>
      <c r="H429" s="36"/>
      <c r="J429" s="36"/>
      <c r="K429" s="1" t="str">
        <f t="shared" si="75"/>
        <v/>
      </c>
      <c r="L429" s="1" t="str">
        <f t="shared" si="77"/>
        <v/>
      </c>
      <c r="M429" s="94">
        <v>424</v>
      </c>
      <c r="N429" s="36" t="s">
        <v>2079</v>
      </c>
      <c r="O429" s="95">
        <v>310131</v>
      </c>
      <c r="P429" s="36"/>
      <c r="AI429" s="122">
        <v>117</v>
      </c>
      <c r="AJ429" s="1" t="s">
        <v>1772</v>
      </c>
      <c r="AK429" s="1">
        <v>309824</v>
      </c>
      <c r="AL429" s="1" t="s">
        <v>930</v>
      </c>
      <c r="AN429" s="270">
        <v>523</v>
      </c>
      <c r="AQ429" s="1">
        <v>281</v>
      </c>
      <c r="AR429" s="1" t="s">
        <v>317</v>
      </c>
      <c r="AS429" s="1">
        <v>210174</v>
      </c>
      <c r="AT429" s="1" t="s">
        <v>116</v>
      </c>
      <c r="AV429" s="241">
        <v>775</v>
      </c>
      <c r="AX429" s="1">
        <f t="shared" si="72"/>
        <v>1</v>
      </c>
      <c r="AY429" s="1" t="str">
        <f>IF(COUNTIF($AX$2:AX429,1)&gt;$AG$1,"",IF(AX429="","",E429))</f>
        <v/>
      </c>
      <c r="BM429" s="138">
        <f t="shared" si="73"/>
        <v>0</v>
      </c>
      <c r="BN429" s="42">
        <f t="shared" si="74"/>
        <v>0</v>
      </c>
      <c r="BS429" s="1">
        <v>10056</v>
      </c>
      <c r="BT429" s="1" t="s">
        <v>902</v>
      </c>
      <c r="BX429" s="36"/>
    </row>
    <row r="430" spans="2:76" ht="14.25">
      <c r="B430" s="36"/>
      <c r="C430" s="36"/>
      <c r="D430" s="36"/>
      <c r="E430" s="36"/>
      <c r="F430" s="36"/>
      <c r="G430" s="36"/>
      <c r="H430" s="36"/>
      <c r="J430" s="36"/>
      <c r="K430" s="1" t="str">
        <f t="shared" si="75"/>
        <v/>
      </c>
      <c r="L430" s="1" t="str">
        <f t="shared" si="77"/>
        <v/>
      </c>
      <c r="M430" s="94">
        <v>425</v>
      </c>
      <c r="N430" s="36" t="s">
        <v>2080</v>
      </c>
      <c r="O430" s="95">
        <v>310132</v>
      </c>
      <c r="P430" s="36"/>
      <c r="AI430" s="122">
        <v>118</v>
      </c>
      <c r="AJ430" s="1" t="s">
        <v>1773</v>
      </c>
      <c r="AK430" s="1">
        <v>309825</v>
      </c>
      <c r="AL430" s="1" t="s">
        <v>930</v>
      </c>
      <c r="AN430" s="270">
        <v>524</v>
      </c>
      <c r="AQ430" s="1">
        <v>282</v>
      </c>
      <c r="AR430" s="1" t="s">
        <v>318</v>
      </c>
      <c r="AS430" s="1">
        <v>210175</v>
      </c>
      <c r="AT430" s="1" t="s">
        <v>115</v>
      </c>
      <c r="AV430" s="241">
        <v>776</v>
      </c>
      <c r="AX430" s="1">
        <f t="shared" si="72"/>
        <v>1</v>
      </c>
      <c r="AY430" s="1" t="str">
        <f>IF(COUNTIF($AX$2:AX430,1)&gt;$AG$1,"",IF(AX430="","",E430))</f>
        <v/>
      </c>
      <c r="BM430" s="138">
        <f t="shared" si="73"/>
        <v>0</v>
      </c>
      <c r="BN430" s="42">
        <f t="shared" si="74"/>
        <v>0</v>
      </c>
      <c r="BS430" s="1">
        <v>10057</v>
      </c>
      <c r="BT430" s="1" t="s">
        <v>902</v>
      </c>
      <c r="BX430" s="36"/>
    </row>
    <row r="431" spans="2:76" ht="14.25">
      <c r="B431" s="36"/>
      <c r="C431" s="36"/>
      <c r="D431" s="36"/>
      <c r="E431" s="36"/>
      <c r="F431" s="36"/>
      <c r="G431" s="36"/>
      <c r="H431" s="36"/>
      <c r="J431" s="36"/>
      <c r="K431" s="1" t="str">
        <f t="shared" si="75"/>
        <v/>
      </c>
      <c r="L431" s="1" t="str">
        <f t="shared" si="77"/>
        <v/>
      </c>
      <c r="M431" s="94">
        <v>426</v>
      </c>
      <c r="N431" s="36" t="s">
        <v>2081</v>
      </c>
      <c r="O431" s="95">
        <v>310133</v>
      </c>
      <c r="P431" s="36"/>
      <c r="AI431" s="122">
        <v>119</v>
      </c>
      <c r="AJ431" s="1" t="s">
        <v>1774</v>
      </c>
      <c r="AK431" s="1">
        <v>309826</v>
      </c>
      <c r="AL431" s="1" t="s">
        <v>115</v>
      </c>
      <c r="AN431" s="270">
        <v>525</v>
      </c>
      <c r="AQ431" s="1">
        <v>283</v>
      </c>
      <c r="AR431" s="1" t="s">
        <v>319</v>
      </c>
      <c r="AS431" s="1">
        <v>210176</v>
      </c>
      <c r="AT431" s="1" t="s">
        <v>115</v>
      </c>
      <c r="AV431" s="241">
        <v>777</v>
      </c>
      <c r="AX431" s="1">
        <f t="shared" si="72"/>
        <v>1</v>
      </c>
      <c r="AY431" s="1" t="str">
        <f>IF(COUNTIF($AX$2:AX431,1)&gt;$AG$1,"",IF(AX431="","",E431))</f>
        <v/>
      </c>
      <c r="BM431" s="138">
        <f t="shared" si="73"/>
        <v>0</v>
      </c>
      <c r="BN431" s="42">
        <f t="shared" si="74"/>
        <v>0</v>
      </c>
      <c r="BS431" s="1">
        <v>10058</v>
      </c>
      <c r="BT431" s="1" t="s">
        <v>902</v>
      </c>
      <c r="BX431" s="36"/>
    </row>
    <row r="432" spans="2:76" ht="14.25">
      <c r="B432" s="36"/>
      <c r="C432" s="36"/>
      <c r="D432" s="36"/>
      <c r="E432" s="36"/>
      <c r="F432" s="36"/>
      <c r="G432" s="36"/>
      <c r="H432" s="36"/>
      <c r="J432" s="36"/>
      <c r="K432" s="1" t="str">
        <f t="shared" si="75"/>
        <v/>
      </c>
      <c r="L432" s="1" t="str">
        <f t="shared" si="77"/>
        <v/>
      </c>
      <c r="M432" s="94">
        <v>427</v>
      </c>
      <c r="N432" s="36" t="s">
        <v>2082</v>
      </c>
      <c r="O432" s="95">
        <v>310134</v>
      </c>
      <c r="P432" s="36"/>
      <c r="AI432" s="122">
        <v>120</v>
      </c>
      <c r="AJ432" s="1" t="s">
        <v>1775</v>
      </c>
      <c r="AK432" s="1">
        <v>309827</v>
      </c>
      <c r="AL432" s="1" t="s">
        <v>930</v>
      </c>
      <c r="AN432" s="270">
        <v>526</v>
      </c>
      <c r="AQ432" s="1">
        <v>284</v>
      </c>
      <c r="AR432" s="1" t="s">
        <v>320</v>
      </c>
      <c r="AS432" s="1">
        <v>210177</v>
      </c>
      <c r="AT432" s="1" t="s">
        <v>116</v>
      </c>
      <c r="AV432" s="241">
        <v>778</v>
      </c>
      <c r="AX432" s="1">
        <f t="shared" si="72"/>
        <v>1</v>
      </c>
      <c r="AY432" s="1" t="str">
        <f>IF(COUNTIF($AX$2:AX432,1)&gt;$AG$1,"",IF(AX432="","",E432))</f>
        <v/>
      </c>
      <c r="BM432" s="138">
        <f t="shared" si="73"/>
        <v>0</v>
      </c>
      <c r="BN432" s="42">
        <f t="shared" si="74"/>
        <v>0</v>
      </c>
      <c r="BS432" s="1">
        <v>10059</v>
      </c>
      <c r="BT432" s="1" t="s">
        <v>902</v>
      </c>
      <c r="BX432" s="36"/>
    </row>
    <row r="433" spans="2:76" ht="14.25">
      <c r="B433" s="36"/>
      <c r="C433" s="36"/>
      <c r="D433" s="36"/>
      <c r="E433" s="36"/>
      <c r="F433" s="36"/>
      <c r="G433" s="36"/>
      <c r="H433" s="36"/>
      <c r="J433" s="36"/>
      <c r="K433" s="1" t="str">
        <f t="shared" si="75"/>
        <v/>
      </c>
      <c r="L433" s="1" t="str">
        <f t="shared" si="77"/>
        <v/>
      </c>
      <c r="M433" s="94">
        <v>428</v>
      </c>
      <c r="N433" s="36" t="s">
        <v>2083</v>
      </c>
      <c r="O433" s="95">
        <v>310135</v>
      </c>
      <c r="P433" s="36"/>
      <c r="AI433" s="122">
        <v>121</v>
      </c>
      <c r="AJ433" s="1" t="s">
        <v>1776</v>
      </c>
      <c r="AK433" s="1">
        <v>309828</v>
      </c>
      <c r="AL433" s="1" t="s">
        <v>115</v>
      </c>
      <c r="AN433" s="270">
        <v>527</v>
      </c>
      <c r="AQ433" s="1">
        <v>285</v>
      </c>
      <c r="AR433" s="1" t="s">
        <v>321</v>
      </c>
      <c r="AS433" s="1">
        <v>210178</v>
      </c>
      <c r="AT433" s="1" t="s">
        <v>115</v>
      </c>
      <c r="AV433" s="241">
        <v>779</v>
      </c>
      <c r="AX433" s="1">
        <f t="shared" si="72"/>
        <v>1</v>
      </c>
      <c r="AY433" s="1" t="str">
        <f>IF(COUNTIF($AX$2:AX433,1)&gt;$AG$1,"",IF(AX433="","",E433))</f>
        <v/>
      </c>
      <c r="BM433" s="138">
        <f t="shared" si="73"/>
        <v>0</v>
      </c>
      <c r="BN433" s="42">
        <f t="shared" si="74"/>
        <v>0</v>
      </c>
      <c r="BS433" s="1">
        <v>10060</v>
      </c>
      <c r="BT433" s="1" t="s">
        <v>902</v>
      </c>
      <c r="BX433" s="36"/>
    </row>
    <row r="434" spans="2:76" ht="14.25">
      <c r="B434" s="36"/>
      <c r="C434" s="36"/>
      <c r="D434" s="36"/>
      <c r="E434" s="36"/>
      <c r="F434" s="36"/>
      <c r="G434" s="36"/>
      <c r="H434" s="36"/>
      <c r="J434" s="36"/>
      <c r="K434" s="1" t="str">
        <f t="shared" si="75"/>
        <v/>
      </c>
      <c r="L434" s="1" t="str">
        <f t="shared" si="77"/>
        <v/>
      </c>
      <c r="M434" s="94">
        <v>429</v>
      </c>
      <c r="N434" s="36" t="s">
        <v>2084</v>
      </c>
      <c r="O434" s="95">
        <v>310136</v>
      </c>
      <c r="P434" s="36"/>
      <c r="AI434" s="122">
        <v>122</v>
      </c>
      <c r="AJ434" s="1" t="s">
        <v>1777</v>
      </c>
      <c r="AK434" s="1">
        <v>309829</v>
      </c>
      <c r="AL434" s="1" t="s">
        <v>930</v>
      </c>
      <c r="AN434" s="270">
        <v>528</v>
      </c>
      <c r="AQ434" s="1">
        <v>286</v>
      </c>
      <c r="AR434" s="1" t="s">
        <v>322</v>
      </c>
      <c r="AS434" s="1">
        <v>210179</v>
      </c>
      <c r="AT434" s="1" t="s">
        <v>116</v>
      </c>
      <c r="AV434" s="241">
        <v>780</v>
      </c>
      <c r="AX434" s="1">
        <f t="shared" si="72"/>
        <v>1</v>
      </c>
      <c r="AY434" s="1" t="str">
        <f>IF(COUNTIF($AX$2:AX434,1)&gt;$AG$1,"",IF(AX434="","",E434))</f>
        <v/>
      </c>
      <c r="BM434" s="138">
        <f t="shared" si="73"/>
        <v>0</v>
      </c>
      <c r="BN434" s="42">
        <f t="shared" si="74"/>
        <v>0</v>
      </c>
      <c r="BS434" s="1">
        <v>10061</v>
      </c>
      <c r="BT434" s="1" t="s">
        <v>902</v>
      </c>
      <c r="BX434" s="36"/>
    </row>
    <row r="435" spans="2:76" ht="14.25">
      <c r="B435" s="36"/>
      <c r="C435" s="36"/>
      <c r="D435" s="36"/>
      <c r="E435" s="36"/>
      <c r="F435" s="36"/>
      <c r="G435" s="36"/>
      <c r="H435" s="36"/>
      <c r="J435" s="36"/>
      <c r="K435" s="1" t="str">
        <f t="shared" si="75"/>
        <v/>
      </c>
      <c r="L435" s="1" t="str">
        <f t="shared" si="77"/>
        <v/>
      </c>
      <c r="M435" s="94">
        <v>430</v>
      </c>
      <c r="N435" s="36" t="s">
        <v>2085</v>
      </c>
      <c r="O435" s="95">
        <v>310137</v>
      </c>
      <c r="P435" s="36"/>
      <c r="AI435" s="122">
        <v>123</v>
      </c>
      <c r="AJ435" s="1" t="s">
        <v>1778</v>
      </c>
      <c r="AK435" s="1">
        <v>309830</v>
      </c>
      <c r="AL435" s="1" t="s">
        <v>115</v>
      </c>
      <c r="AN435" s="270">
        <v>529</v>
      </c>
      <c r="AQ435" s="1">
        <v>287</v>
      </c>
      <c r="AR435" s="1" t="s">
        <v>323</v>
      </c>
      <c r="AS435" s="1">
        <v>210195</v>
      </c>
      <c r="AT435" s="1" t="s">
        <v>115</v>
      </c>
      <c r="AV435" s="241">
        <v>781</v>
      </c>
      <c r="AX435" s="1">
        <f t="shared" si="72"/>
        <v>1</v>
      </c>
      <c r="AY435" s="1" t="str">
        <f>IF(COUNTIF($AX$2:AX435,1)&gt;$AG$1,"",IF(AX435="","",E435))</f>
        <v/>
      </c>
      <c r="BM435" s="138">
        <f t="shared" si="73"/>
        <v>0</v>
      </c>
      <c r="BN435" s="42">
        <f t="shared" si="74"/>
        <v>0</v>
      </c>
      <c r="BS435" s="1">
        <v>10062</v>
      </c>
      <c r="BT435" s="1" t="s">
        <v>902</v>
      </c>
      <c r="BX435" s="36"/>
    </row>
    <row r="436" spans="2:76" ht="14.25">
      <c r="B436" s="36"/>
      <c r="C436" s="36"/>
      <c r="D436" s="36"/>
      <c r="E436" s="36"/>
      <c r="F436" s="36"/>
      <c r="G436" s="36"/>
      <c r="H436" s="36"/>
      <c r="J436" s="36"/>
      <c r="K436" s="1" t="str">
        <f t="shared" si="75"/>
        <v/>
      </c>
      <c r="L436" s="1" t="str">
        <f t="shared" si="77"/>
        <v/>
      </c>
      <c r="M436" s="94">
        <v>431</v>
      </c>
      <c r="N436" s="36" t="s">
        <v>2086</v>
      </c>
      <c r="O436" s="95">
        <v>310138</v>
      </c>
      <c r="P436" s="36"/>
      <c r="AI436" s="122">
        <v>124</v>
      </c>
      <c r="AJ436" s="1" t="s">
        <v>1779</v>
      </c>
      <c r="AK436" s="1">
        <v>309831</v>
      </c>
      <c r="AL436" s="1" t="s">
        <v>930</v>
      </c>
      <c r="AN436" s="270">
        <v>530</v>
      </c>
      <c r="AQ436" s="1">
        <v>288</v>
      </c>
      <c r="AR436" s="1" t="s">
        <v>324</v>
      </c>
      <c r="AS436" s="1">
        <v>210181</v>
      </c>
      <c r="AT436" s="1" t="s">
        <v>115</v>
      </c>
      <c r="AV436" s="241">
        <v>782</v>
      </c>
      <c r="AX436" s="1">
        <f t="shared" si="72"/>
        <v>1</v>
      </c>
      <c r="AY436" s="1" t="str">
        <f>IF(COUNTIF($AX$2:AX436,1)&gt;$AG$1,"",IF(AX436="","",E436))</f>
        <v/>
      </c>
      <c r="BM436" s="138">
        <f t="shared" si="73"/>
        <v>0</v>
      </c>
      <c r="BN436" s="42">
        <f t="shared" si="74"/>
        <v>0</v>
      </c>
      <c r="BS436" s="1">
        <v>10063</v>
      </c>
      <c r="BT436" s="1" t="s">
        <v>902</v>
      </c>
      <c r="BX436" s="36"/>
    </row>
    <row r="437" spans="2:76" ht="14.25">
      <c r="B437" s="36"/>
      <c r="C437" s="36"/>
      <c r="D437" s="36"/>
      <c r="E437" s="36"/>
      <c r="F437" s="36"/>
      <c r="G437" s="36"/>
      <c r="H437" s="36"/>
      <c r="J437" s="36"/>
      <c r="K437" s="1" t="str">
        <f t="shared" si="75"/>
        <v/>
      </c>
      <c r="L437" s="1" t="str">
        <f t="shared" si="77"/>
        <v/>
      </c>
      <c r="M437" s="94">
        <v>432</v>
      </c>
      <c r="N437" s="36" t="s">
        <v>2087</v>
      </c>
      <c r="O437" s="95">
        <v>310139</v>
      </c>
      <c r="P437" s="36"/>
      <c r="AI437" s="122">
        <v>125</v>
      </c>
      <c r="AJ437" s="1" t="s">
        <v>1780</v>
      </c>
      <c r="AK437" s="1">
        <v>309832</v>
      </c>
      <c r="AL437" s="1" t="s">
        <v>930</v>
      </c>
      <c r="AN437" s="270">
        <v>531</v>
      </c>
      <c r="AQ437" s="1">
        <v>289</v>
      </c>
      <c r="AR437" s="1" t="s">
        <v>325</v>
      </c>
      <c r="AS437" s="1">
        <v>210182</v>
      </c>
      <c r="AT437" s="1" t="s">
        <v>116</v>
      </c>
      <c r="AV437" s="241">
        <v>783</v>
      </c>
      <c r="AX437" s="1">
        <f t="shared" si="72"/>
        <v>1</v>
      </c>
      <c r="AY437" s="1" t="str">
        <f>IF(COUNTIF($AX$2:AX437,1)&gt;$AG$1,"",IF(AX437="","",E437))</f>
        <v/>
      </c>
      <c r="BM437" s="138">
        <f t="shared" si="73"/>
        <v>0</v>
      </c>
      <c r="BN437" s="42">
        <f t="shared" si="74"/>
        <v>0</v>
      </c>
      <c r="BS437" s="1">
        <v>10064</v>
      </c>
      <c r="BT437" s="1" t="s">
        <v>902</v>
      </c>
      <c r="BX437" s="36"/>
    </row>
    <row r="438" spans="2:76" ht="14.25">
      <c r="B438" s="36"/>
      <c r="C438" s="36"/>
      <c r="D438" s="36"/>
      <c r="E438" s="36"/>
      <c r="F438" s="36"/>
      <c r="G438" s="36"/>
      <c r="H438" s="36"/>
      <c r="J438" s="36"/>
      <c r="K438" s="1" t="str">
        <f t="shared" si="75"/>
        <v/>
      </c>
      <c r="L438" s="1" t="str">
        <f t="shared" si="77"/>
        <v/>
      </c>
      <c r="M438" s="94">
        <v>433</v>
      </c>
      <c r="N438" s="36" t="s">
        <v>2088</v>
      </c>
      <c r="O438" s="95">
        <v>310140</v>
      </c>
      <c r="P438" s="36"/>
      <c r="AI438" s="122">
        <v>126</v>
      </c>
      <c r="AJ438" s="1" t="s">
        <v>1781</v>
      </c>
      <c r="AK438" s="1">
        <v>309833</v>
      </c>
      <c r="AL438" s="1" t="s">
        <v>115</v>
      </c>
      <c r="AN438" s="270">
        <v>532</v>
      </c>
      <c r="AQ438" s="1">
        <v>290</v>
      </c>
      <c r="AR438" s="1" t="s">
        <v>326</v>
      </c>
      <c r="AS438" s="1">
        <v>210183</v>
      </c>
      <c r="AT438" s="1" t="s">
        <v>115</v>
      </c>
      <c r="AV438" s="241">
        <v>784</v>
      </c>
      <c r="AX438" s="1">
        <f t="shared" si="72"/>
        <v>1</v>
      </c>
      <c r="AY438" s="1" t="str">
        <f>IF(COUNTIF($AX$2:AX438,1)&gt;$AG$1,"",IF(AX438="","",E438))</f>
        <v/>
      </c>
      <c r="BM438" s="138">
        <f t="shared" si="73"/>
        <v>0</v>
      </c>
      <c r="BN438" s="42">
        <f t="shared" si="74"/>
        <v>0</v>
      </c>
      <c r="BS438" s="1">
        <v>10065</v>
      </c>
      <c r="BT438" s="1" t="s">
        <v>902</v>
      </c>
      <c r="BX438" s="36"/>
    </row>
    <row r="439" spans="2:76" ht="14.25">
      <c r="B439" s="36"/>
      <c r="C439" s="36"/>
      <c r="D439" s="36"/>
      <c r="E439" s="36"/>
      <c r="F439" s="36"/>
      <c r="G439" s="36"/>
      <c r="H439" s="36"/>
      <c r="J439" s="36"/>
      <c r="K439" s="1" t="str">
        <f t="shared" si="75"/>
        <v/>
      </c>
      <c r="L439" s="1" t="str">
        <f t="shared" si="77"/>
        <v/>
      </c>
      <c r="M439" s="94">
        <v>434</v>
      </c>
      <c r="N439" s="36" t="s">
        <v>2089</v>
      </c>
      <c r="O439" s="95">
        <v>310141</v>
      </c>
      <c r="P439" s="36"/>
      <c r="AI439" s="122">
        <v>127</v>
      </c>
      <c r="AJ439" s="1" t="s">
        <v>1782</v>
      </c>
      <c r="AK439" s="1">
        <v>309834</v>
      </c>
      <c r="AL439" s="1" t="s">
        <v>930</v>
      </c>
      <c r="AN439" s="270">
        <v>533</v>
      </c>
      <c r="AQ439" s="1">
        <v>291</v>
      </c>
      <c r="AR439" s="1" t="s">
        <v>327</v>
      </c>
      <c r="AS439" s="1">
        <v>210194</v>
      </c>
      <c r="AT439" s="1" t="s">
        <v>116</v>
      </c>
      <c r="AV439" s="241">
        <v>785</v>
      </c>
      <c r="AX439" s="1">
        <f t="shared" si="72"/>
        <v>1</v>
      </c>
      <c r="AY439" s="1" t="str">
        <f>IF(COUNTIF($AX$2:AX439,1)&gt;$AG$1,"",IF(AX439="","",E439))</f>
        <v/>
      </c>
      <c r="BM439" s="138">
        <f t="shared" si="73"/>
        <v>0</v>
      </c>
      <c r="BN439" s="42">
        <f t="shared" si="74"/>
        <v>0</v>
      </c>
      <c r="BS439" s="1">
        <v>10066</v>
      </c>
      <c r="BT439" s="1" t="s">
        <v>902</v>
      </c>
      <c r="BX439" s="36"/>
    </row>
    <row r="440" spans="2:76" ht="14.25">
      <c r="B440" s="36"/>
      <c r="C440" s="36"/>
      <c r="D440" s="36"/>
      <c r="E440" s="36"/>
      <c r="F440" s="36"/>
      <c r="G440" s="36"/>
      <c r="H440" s="36"/>
      <c r="J440" s="36"/>
      <c r="K440" s="1" t="str">
        <f t="shared" si="75"/>
        <v/>
      </c>
      <c r="L440" s="1" t="str">
        <f t="shared" si="77"/>
        <v/>
      </c>
      <c r="M440" s="94">
        <v>435</v>
      </c>
      <c r="N440" s="36" t="s">
        <v>2090</v>
      </c>
      <c r="O440" s="95">
        <v>310142</v>
      </c>
      <c r="P440" s="36"/>
      <c r="AI440" s="122">
        <v>128</v>
      </c>
      <c r="AJ440" s="1" t="s">
        <v>1783</v>
      </c>
      <c r="AK440" s="1">
        <v>309835</v>
      </c>
      <c r="AL440" s="1" t="s">
        <v>115</v>
      </c>
      <c r="AN440" s="270">
        <v>534</v>
      </c>
      <c r="AQ440" s="1">
        <v>292</v>
      </c>
      <c r="AR440" s="1" t="s">
        <v>328</v>
      </c>
      <c r="AS440" s="1">
        <v>210180</v>
      </c>
      <c r="AT440" s="1" t="s">
        <v>115</v>
      </c>
      <c r="AV440" s="241">
        <v>786</v>
      </c>
      <c r="AX440" s="1">
        <f t="shared" si="72"/>
        <v>1</v>
      </c>
      <c r="AY440" s="1" t="str">
        <f>IF(COUNTIF($AX$2:AX440,1)&gt;$AG$1,"",IF(AX440="","",E440))</f>
        <v/>
      </c>
      <c r="BM440" s="138">
        <f t="shared" si="73"/>
        <v>0</v>
      </c>
      <c r="BN440" s="42">
        <f t="shared" si="74"/>
        <v>0</v>
      </c>
      <c r="BS440" s="1">
        <v>10067</v>
      </c>
      <c r="BT440" s="1" t="s">
        <v>902</v>
      </c>
      <c r="BX440" s="36"/>
    </row>
    <row r="441" spans="2:76" ht="14.25">
      <c r="B441" s="36"/>
      <c r="C441" s="36"/>
      <c r="D441" s="36"/>
      <c r="E441" s="36"/>
      <c r="F441" s="36"/>
      <c r="G441" s="36"/>
      <c r="H441" s="36"/>
      <c r="J441" s="36"/>
      <c r="K441" s="1" t="str">
        <f t="shared" si="75"/>
        <v/>
      </c>
      <c r="L441" s="1" t="str">
        <f t="shared" si="77"/>
        <v/>
      </c>
      <c r="M441" s="94">
        <v>436</v>
      </c>
      <c r="N441" s="36" t="s">
        <v>2091</v>
      </c>
      <c r="O441" s="95">
        <v>310143</v>
      </c>
      <c r="P441" s="36"/>
      <c r="AI441" s="122">
        <v>129</v>
      </c>
      <c r="AJ441" s="1" t="s">
        <v>1784</v>
      </c>
      <c r="AK441" s="1">
        <v>309836</v>
      </c>
      <c r="AL441" s="1" t="s">
        <v>930</v>
      </c>
      <c r="AN441" s="270">
        <v>535</v>
      </c>
      <c r="AQ441" s="1">
        <v>293</v>
      </c>
      <c r="AR441" s="1" t="s">
        <v>329</v>
      </c>
      <c r="AS441" s="1">
        <v>210184</v>
      </c>
      <c r="AT441" s="1" t="s">
        <v>116</v>
      </c>
      <c r="AV441" s="241">
        <v>787</v>
      </c>
      <c r="AX441" s="1">
        <f t="shared" si="72"/>
        <v>1</v>
      </c>
      <c r="AY441" s="1" t="str">
        <f>IF(COUNTIF($AX$2:AX441,1)&gt;$AG$1,"",IF(AX441="","",E441))</f>
        <v/>
      </c>
      <c r="BM441" s="138">
        <f t="shared" si="73"/>
        <v>0</v>
      </c>
      <c r="BN441" s="42">
        <f t="shared" si="74"/>
        <v>0</v>
      </c>
      <c r="BS441" s="1">
        <v>10068</v>
      </c>
      <c r="BT441" s="1" t="s">
        <v>902</v>
      </c>
      <c r="BX441" s="36"/>
    </row>
    <row r="442" spans="2:76" ht="14.25">
      <c r="B442" s="36"/>
      <c r="C442" s="36"/>
      <c r="D442" s="36"/>
      <c r="E442" s="36"/>
      <c r="F442" s="36"/>
      <c r="G442" s="36"/>
      <c r="H442" s="36"/>
      <c r="J442" s="36"/>
      <c r="K442" s="1" t="str">
        <f t="shared" si="75"/>
        <v/>
      </c>
      <c r="L442" s="1" t="str">
        <f t="shared" si="77"/>
        <v/>
      </c>
      <c r="M442" s="94">
        <v>437</v>
      </c>
      <c r="N442" s="36" t="s">
        <v>2092</v>
      </c>
      <c r="O442" s="95">
        <v>310144</v>
      </c>
      <c r="P442" s="36"/>
      <c r="AI442" s="122">
        <v>130</v>
      </c>
      <c r="AJ442" s="1" t="s">
        <v>1785</v>
      </c>
      <c r="AK442" s="1">
        <v>309837</v>
      </c>
      <c r="AL442" s="1" t="s">
        <v>115</v>
      </c>
      <c r="AN442" s="270">
        <v>536</v>
      </c>
      <c r="AQ442" s="1">
        <v>294</v>
      </c>
      <c r="AR442" s="1" t="s">
        <v>330</v>
      </c>
      <c r="AS442" s="1">
        <v>210185</v>
      </c>
      <c r="AT442" s="1" t="s">
        <v>115</v>
      </c>
      <c r="AV442" s="241">
        <v>788</v>
      </c>
      <c r="AX442" s="1">
        <f t="shared" si="72"/>
        <v>1</v>
      </c>
      <c r="AY442" s="1" t="str">
        <f>IF(COUNTIF($AX$2:AX442,1)&gt;$AG$1,"",IF(AX442="","",E442))</f>
        <v/>
      </c>
      <c r="BM442" s="138">
        <f t="shared" si="73"/>
        <v>0</v>
      </c>
      <c r="BN442" s="42">
        <f t="shared" si="74"/>
        <v>0</v>
      </c>
      <c r="BS442" s="1">
        <v>10069</v>
      </c>
      <c r="BT442" s="1" t="s">
        <v>902</v>
      </c>
      <c r="BX442" s="36"/>
    </row>
    <row r="443" spans="2:76" ht="14.25">
      <c r="B443" s="36"/>
      <c r="C443" s="36"/>
      <c r="D443" s="36"/>
      <c r="E443" s="36"/>
      <c r="F443" s="36"/>
      <c r="G443" s="36"/>
      <c r="H443" s="36"/>
      <c r="J443" s="36"/>
      <c r="K443" s="1" t="str">
        <f t="shared" si="75"/>
        <v/>
      </c>
      <c r="L443" s="1" t="str">
        <f t="shared" si="77"/>
        <v/>
      </c>
      <c r="M443" s="94">
        <v>438</v>
      </c>
      <c r="N443" s="36" t="s">
        <v>2093</v>
      </c>
      <c r="O443" s="95">
        <v>310145</v>
      </c>
      <c r="P443" s="36"/>
      <c r="AI443" s="122">
        <v>131</v>
      </c>
      <c r="AJ443" s="1" t="s">
        <v>1786</v>
      </c>
      <c r="AK443" s="1">
        <v>309838</v>
      </c>
      <c r="AL443" s="1" t="s">
        <v>930</v>
      </c>
      <c r="AN443" s="270">
        <v>537</v>
      </c>
      <c r="AQ443" s="1">
        <v>295</v>
      </c>
      <c r="AR443" s="1" t="s">
        <v>331</v>
      </c>
      <c r="AS443" s="1">
        <v>210149</v>
      </c>
      <c r="AT443" s="1" t="s">
        <v>115</v>
      </c>
      <c r="AV443" s="241">
        <v>789</v>
      </c>
      <c r="AX443" s="1">
        <f t="shared" si="72"/>
        <v>1</v>
      </c>
      <c r="AY443" s="1" t="str">
        <f>IF(COUNTIF($AX$2:AX443,1)&gt;$AG$1,"",IF(AX443="","",E443))</f>
        <v/>
      </c>
      <c r="BM443" s="138">
        <f t="shared" si="73"/>
        <v>0</v>
      </c>
      <c r="BN443" s="42">
        <f t="shared" si="74"/>
        <v>0</v>
      </c>
      <c r="BS443" s="1">
        <v>10070</v>
      </c>
      <c r="BT443" s="1" t="s">
        <v>902</v>
      </c>
      <c r="BX443" s="36"/>
    </row>
    <row r="444" spans="2:76" ht="14.25">
      <c r="B444" s="36"/>
      <c r="C444" s="36"/>
      <c r="D444" s="36"/>
      <c r="E444" s="36"/>
      <c r="F444" s="36"/>
      <c r="G444" s="36"/>
      <c r="H444" s="36"/>
      <c r="J444" s="36"/>
      <c r="K444" s="1" t="str">
        <f t="shared" si="75"/>
        <v/>
      </c>
      <c r="L444" s="1" t="str">
        <f t="shared" si="77"/>
        <v/>
      </c>
      <c r="M444" s="94">
        <v>439</v>
      </c>
      <c r="N444" s="36" t="s">
        <v>2094</v>
      </c>
      <c r="O444" s="95">
        <v>310146</v>
      </c>
      <c r="P444" s="36"/>
      <c r="AI444" s="122">
        <v>132</v>
      </c>
      <c r="AJ444" s="1" t="s">
        <v>1787</v>
      </c>
      <c r="AK444" s="1">
        <v>309839</v>
      </c>
      <c r="AL444" s="1" t="s">
        <v>930</v>
      </c>
      <c r="AN444" s="270">
        <v>538</v>
      </c>
      <c r="AQ444" s="1">
        <v>296</v>
      </c>
      <c r="AR444" s="1" t="s">
        <v>332</v>
      </c>
      <c r="AS444" s="1">
        <v>210187</v>
      </c>
      <c r="AT444" s="1" t="s">
        <v>116</v>
      </c>
      <c r="AV444" s="241">
        <v>790</v>
      </c>
      <c r="AX444" s="1">
        <f t="shared" si="72"/>
        <v>1</v>
      </c>
      <c r="AY444" s="1" t="str">
        <f>IF(COUNTIF($AX$2:AX444,1)&gt;$AG$1,"",IF(AX444="","",E444))</f>
        <v/>
      </c>
      <c r="BM444" s="138">
        <f t="shared" si="73"/>
        <v>0</v>
      </c>
      <c r="BN444" s="42">
        <f t="shared" si="74"/>
        <v>0</v>
      </c>
      <c r="BS444" s="1">
        <v>10071</v>
      </c>
      <c r="BT444" s="1" t="s">
        <v>902</v>
      </c>
      <c r="BX444" s="36"/>
    </row>
    <row r="445" spans="2:76" ht="14.25">
      <c r="B445" s="36"/>
      <c r="C445" s="36"/>
      <c r="D445" s="36"/>
      <c r="E445" s="36"/>
      <c r="F445" s="36"/>
      <c r="G445" s="36"/>
      <c r="H445" s="36"/>
      <c r="J445" s="36"/>
      <c r="K445" s="1" t="str">
        <f t="shared" si="75"/>
        <v/>
      </c>
      <c r="L445" s="1" t="str">
        <f t="shared" si="77"/>
        <v/>
      </c>
      <c r="M445" s="94">
        <v>440</v>
      </c>
      <c r="N445" s="36" t="s">
        <v>2095</v>
      </c>
      <c r="O445" s="95">
        <v>310147</v>
      </c>
      <c r="P445" s="36"/>
      <c r="AI445" s="122">
        <v>133</v>
      </c>
      <c r="AJ445" s="1" t="s">
        <v>1788</v>
      </c>
      <c r="AK445" s="1">
        <v>309840</v>
      </c>
      <c r="AL445" s="1" t="s">
        <v>115</v>
      </c>
      <c r="AN445" s="270">
        <v>539</v>
      </c>
      <c r="AQ445" s="1">
        <v>297</v>
      </c>
      <c r="AR445" s="1" t="s">
        <v>333</v>
      </c>
      <c r="AS445" s="1">
        <v>210188</v>
      </c>
      <c r="AT445" s="1" t="s">
        <v>115</v>
      </c>
      <c r="AV445" s="241">
        <v>791</v>
      </c>
      <c r="AX445" s="1">
        <f t="shared" si="72"/>
        <v>1</v>
      </c>
      <c r="AY445" s="1" t="str">
        <f>IF(COUNTIF($AX$2:AX445,1)&gt;$AG$1,"",IF(AX445="","",E445))</f>
        <v/>
      </c>
      <c r="BM445" s="138">
        <f t="shared" si="73"/>
        <v>0</v>
      </c>
      <c r="BN445" s="42">
        <f t="shared" si="74"/>
        <v>0</v>
      </c>
      <c r="BS445" s="1">
        <v>10072</v>
      </c>
      <c r="BT445" s="1" t="s">
        <v>902</v>
      </c>
      <c r="BX445" s="36"/>
    </row>
    <row r="446" spans="2:76" ht="14.25">
      <c r="B446" s="36"/>
      <c r="C446" s="36"/>
      <c r="D446" s="36"/>
      <c r="E446" s="36"/>
      <c r="F446" s="36"/>
      <c r="G446" s="36"/>
      <c r="H446" s="36"/>
      <c r="J446" s="36"/>
      <c r="K446" s="1" t="str">
        <f t="shared" si="75"/>
        <v/>
      </c>
      <c r="L446" s="1" t="str">
        <f t="shared" si="77"/>
        <v/>
      </c>
      <c r="M446" s="94">
        <v>441</v>
      </c>
      <c r="N446" s="36" t="s">
        <v>2096</v>
      </c>
      <c r="O446" s="95">
        <v>310148</v>
      </c>
      <c r="P446" s="36"/>
      <c r="AI446" s="122">
        <v>134</v>
      </c>
      <c r="AJ446" s="1" t="s">
        <v>1789</v>
      </c>
      <c r="AK446" s="1">
        <v>309841</v>
      </c>
      <c r="AL446" s="1" t="s">
        <v>930</v>
      </c>
      <c r="AN446" s="270">
        <v>540</v>
      </c>
      <c r="AQ446" s="1">
        <v>298</v>
      </c>
      <c r="AR446" s="1" t="s">
        <v>334</v>
      </c>
      <c r="AS446" s="1">
        <v>210189</v>
      </c>
      <c r="AT446" s="1" t="s">
        <v>116</v>
      </c>
      <c r="AV446" s="241">
        <v>792</v>
      </c>
      <c r="AX446" s="1">
        <f t="shared" si="72"/>
        <v>1</v>
      </c>
      <c r="AY446" s="1" t="str">
        <f>IF(COUNTIF($AX$2:AX446,1)&gt;$AG$1,"",IF(AX446="","",E446))</f>
        <v/>
      </c>
      <c r="BM446" s="138">
        <f t="shared" si="73"/>
        <v>0</v>
      </c>
      <c r="BN446" s="42">
        <f t="shared" si="74"/>
        <v>0</v>
      </c>
      <c r="BS446" s="1">
        <v>10073</v>
      </c>
      <c r="BT446" s="1" t="s">
        <v>902</v>
      </c>
      <c r="BX446" s="36"/>
    </row>
    <row r="447" spans="2:76" ht="14.25">
      <c r="B447" s="36"/>
      <c r="C447" s="36"/>
      <c r="D447" s="36"/>
      <c r="E447" s="36"/>
      <c r="F447" s="36"/>
      <c r="G447" s="36"/>
      <c r="H447" s="36"/>
      <c r="J447" s="36"/>
      <c r="K447" s="1" t="str">
        <f t="shared" si="75"/>
        <v/>
      </c>
      <c r="L447" s="1" t="str">
        <f t="shared" si="77"/>
        <v/>
      </c>
      <c r="M447" s="94">
        <v>442</v>
      </c>
      <c r="N447" s="36" t="s">
        <v>2097</v>
      </c>
      <c r="O447" s="95">
        <v>310149</v>
      </c>
      <c r="P447" s="36"/>
      <c r="AI447" s="122">
        <v>135</v>
      </c>
      <c r="AJ447" s="1" t="s">
        <v>1790</v>
      </c>
      <c r="AK447" s="1">
        <v>309842</v>
      </c>
      <c r="AL447" s="1" t="s">
        <v>115</v>
      </c>
      <c r="AN447" s="270">
        <v>541</v>
      </c>
      <c r="AQ447" s="1">
        <v>299</v>
      </c>
      <c r="AR447" s="1" t="s">
        <v>335</v>
      </c>
      <c r="AS447" s="1">
        <v>210190</v>
      </c>
      <c r="AT447" s="1" t="s">
        <v>115</v>
      </c>
      <c r="AV447" s="241">
        <v>793</v>
      </c>
      <c r="AX447" s="1">
        <f t="shared" si="72"/>
        <v>1</v>
      </c>
      <c r="AY447" s="1" t="str">
        <f>IF(COUNTIF($AX$2:AX447,1)&gt;$AG$1,"",IF(AX447="","",E447))</f>
        <v/>
      </c>
      <c r="BM447" s="138">
        <f t="shared" si="73"/>
        <v>0</v>
      </c>
      <c r="BN447" s="42">
        <f t="shared" si="74"/>
        <v>0</v>
      </c>
      <c r="BS447" s="1">
        <v>10074</v>
      </c>
      <c r="BT447" s="1" t="s">
        <v>902</v>
      </c>
      <c r="BX447" s="36"/>
    </row>
    <row r="448" spans="2:76" ht="14.25">
      <c r="B448" s="36"/>
      <c r="C448" s="36"/>
      <c r="D448" s="36"/>
      <c r="E448" s="36"/>
      <c r="F448" s="36"/>
      <c r="G448" s="36"/>
      <c r="H448" s="36"/>
      <c r="J448" s="36"/>
      <c r="K448" s="1" t="str">
        <f t="shared" si="75"/>
        <v/>
      </c>
      <c r="L448" s="1" t="str">
        <f t="shared" si="77"/>
        <v/>
      </c>
      <c r="M448" s="94">
        <v>443</v>
      </c>
      <c r="N448" s="36" t="s">
        <v>2098</v>
      </c>
      <c r="O448" s="95">
        <v>310150</v>
      </c>
      <c r="P448" s="36"/>
      <c r="AI448" s="122">
        <v>136</v>
      </c>
      <c r="AJ448" s="1" t="s">
        <v>1791</v>
      </c>
      <c r="AK448" s="1">
        <v>309843</v>
      </c>
      <c r="AL448" s="1" t="s">
        <v>930</v>
      </c>
      <c r="AN448" s="270">
        <v>542</v>
      </c>
      <c r="AQ448" s="1">
        <v>300</v>
      </c>
      <c r="AR448" s="1" t="s">
        <v>336</v>
      </c>
      <c r="AS448" s="1">
        <v>210191</v>
      </c>
      <c r="AT448" s="1" t="s">
        <v>115</v>
      </c>
      <c r="AV448" s="241">
        <v>794</v>
      </c>
      <c r="AX448" s="1">
        <f t="shared" si="72"/>
        <v>1</v>
      </c>
      <c r="AY448" s="1" t="str">
        <f>IF(COUNTIF($AX$2:AX448,1)&gt;$AG$1,"",IF(AX448="","",E448))</f>
        <v/>
      </c>
      <c r="BM448" s="138">
        <f t="shared" si="73"/>
        <v>0</v>
      </c>
      <c r="BN448" s="42">
        <f t="shared" si="74"/>
        <v>0</v>
      </c>
      <c r="BS448" s="1">
        <v>10075</v>
      </c>
      <c r="BT448" s="1" t="s">
        <v>902</v>
      </c>
      <c r="BX448" s="36"/>
    </row>
    <row r="449" spans="2:76" ht="14.25">
      <c r="B449" s="36"/>
      <c r="C449" s="36"/>
      <c r="D449" s="36"/>
      <c r="E449" s="36"/>
      <c r="F449" s="36"/>
      <c r="G449" s="36"/>
      <c r="H449" s="36"/>
      <c r="J449" s="36"/>
      <c r="K449" s="1" t="str">
        <f t="shared" si="75"/>
        <v/>
      </c>
      <c r="L449" s="1" t="str">
        <f t="shared" si="77"/>
        <v/>
      </c>
      <c r="M449" s="94">
        <v>444</v>
      </c>
      <c r="N449" s="36" t="s">
        <v>2099</v>
      </c>
      <c r="O449" s="95">
        <v>310151</v>
      </c>
      <c r="P449" s="36"/>
      <c r="AI449" s="122">
        <v>137</v>
      </c>
      <c r="AJ449" s="1" t="s">
        <v>1792</v>
      </c>
      <c r="AK449" s="1">
        <v>309844</v>
      </c>
      <c r="AL449" s="1" t="s">
        <v>115</v>
      </c>
      <c r="AN449" s="270">
        <v>543</v>
      </c>
      <c r="AQ449" s="1">
        <v>301</v>
      </c>
      <c r="AR449" s="1" t="s">
        <v>337</v>
      </c>
      <c r="AS449" s="1">
        <v>210192</v>
      </c>
      <c r="AT449" s="1" t="s">
        <v>116</v>
      </c>
      <c r="AV449" s="241">
        <v>795</v>
      </c>
      <c r="AX449" s="1">
        <f t="shared" si="72"/>
        <v>1</v>
      </c>
      <c r="AY449" s="1" t="str">
        <f>IF(COUNTIF($AX$2:AX449,1)&gt;$AG$1,"",IF(AX449="","",E449))</f>
        <v/>
      </c>
      <c r="BM449" s="138">
        <f t="shared" si="73"/>
        <v>0</v>
      </c>
      <c r="BN449" s="42">
        <f t="shared" si="74"/>
        <v>0</v>
      </c>
      <c r="BS449" s="1">
        <v>10076</v>
      </c>
      <c r="BT449" s="1" t="s">
        <v>902</v>
      </c>
      <c r="BX449" s="36"/>
    </row>
    <row r="450" spans="2:76" ht="14.25">
      <c r="B450" s="36"/>
      <c r="C450" s="36"/>
      <c r="D450" s="36"/>
      <c r="E450" s="36"/>
      <c r="F450" s="36"/>
      <c r="G450" s="36"/>
      <c r="H450" s="36"/>
      <c r="J450" s="36"/>
      <c r="K450" s="1" t="str">
        <f t="shared" si="75"/>
        <v/>
      </c>
      <c r="L450" s="1" t="str">
        <f t="shared" si="77"/>
        <v/>
      </c>
      <c r="M450" s="94">
        <v>445</v>
      </c>
      <c r="N450" s="36" t="s">
        <v>2100</v>
      </c>
      <c r="O450" s="95">
        <v>310152</v>
      </c>
      <c r="P450" s="36"/>
      <c r="AI450" s="122">
        <v>138</v>
      </c>
      <c r="AJ450" s="1" t="s">
        <v>1793</v>
      </c>
      <c r="AK450" s="1">
        <v>309845</v>
      </c>
      <c r="AL450" s="1" t="s">
        <v>930</v>
      </c>
      <c r="AN450" s="270">
        <v>544</v>
      </c>
      <c r="AQ450" s="1">
        <v>302</v>
      </c>
      <c r="AR450" s="1" t="s">
        <v>338</v>
      </c>
      <c r="AS450" s="1">
        <v>210193</v>
      </c>
      <c r="AT450" s="1" t="s">
        <v>115</v>
      </c>
      <c r="AV450" s="241">
        <v>796</v>
      </c>
      <c r="AX450" s="1">
        <f t="shared" ref="AX450:AX513" si="78">IF(AND(C450&lt;&gt;"A0",C450&lt;&gt;"P9"),1,"")</f>
        <v>1</v>
      </c>
      <c r="AY450" s="1" t="str">
        <f>IF(COUNTIF($AX$2:AX450,1)&gt;$AG$1,"",IF(AX450="","",E450))</f>
        <v/>
      </c>
      <c r="BM450" s="138">
        <f t="shared" ref="BM450:BM513" si="79">I450</f>
        <v>0</v>
      </c>
      <c r="BN450" s="42">
        <f t="shared" ref="BN450:BN513" si="80">A450</f>
        <v>0</v>
      </c>
      <c r="BS450" s="1">
        <v>10077</v>
      </c>
      <c r="BT450" s="1" t="s">
        <v>902</v>
      </c>
      <c r="BX450" s="36"/>
    </row>
    <row r="451" spans="2:76" ht="14.25">
      <c r="B451" s="36"/>
      <c r="C451" s="36"/>
      <c r="D451" s="36"/>
      <c r="E451" s="36"/>
      <c r="F451" s="36"/>
      <c r="G451" s="36"/>
      <c r="H451" s="36"/>
      <c r="J451" s="36"/>
      <c r="K451" s="1" t="str">
        <f t="shared" ref="K451:K514" si="81">IF(B451="722W","",IF(OR(C451="B1",C451="B9",C451="W1",C451="W2",C451="U9"),IF(MAX($A$2:$A$400)-A451&gt;10000,A451+100000,A451),""))</f>
        <v/>
      </c>
      <c r="L451" s="1" t="str">
        <f t="shared" si="77"/>
        <v/>
      </c>
      <c r="M451" s="94">
        <v>446</v>
      </c>
      <c r="N451" s="36" t="s">
        <v>2101</v>
      </c>
      <c r="O451" s="95">
        <v>310153</v>
      </c>
      <c r="P451" s="36"/>
      <c r="AI451" s="122">
        <v>139</v>
      </c>
      <c r="AJ451" s="1" t="s">
        <v>1794</v>
      </c>
      <c r="AK451" s="1">
        <v>309846</v>
      </c>
      <c r="AL451" s="1" t="s">
        <v>930</v>
      </c>
      <c r="AN451" s="270">
        <v>545</v>
      </c>
      <c r="AQ451" s="1">
        <v>303</v>
      </c>
      <c r="AR451" s="1" t="s">
        <v>339</v>
      </c>
      <c r="AS451" s="1">
        <v>210196</v>
      </c>
      <c r="AT451" s="1" t="s">
        <v>116</v>
      </c>
      <c r="AV451" s="241">
        <v>797</v>
      </c>
      <c r="AX451" s="1">
        <f t="shared" si="78"/>
        <v>1</v>
      </c>
      <c r="AY451" s="1" t="str">
        <f>IF(COUNTIF($AX$2:AX451,1)&gt;$AG$1,"",IF(AX451="","",E451))</f>
        <v/>
      </c>
      <c r="BM451" s="138">
        <f t="shared" si="79"/>
        <v>0</v>
      </c>
      <c r="BN451" s="42">
        <f t="shared" si="80"/>
        <v>0</v>
      </c>
      <c r="BS451" s="1">
        <v>10078</v>
      </c>
      <c r="BT451" s="1" t="s">
        <v>902</v>
      </c>
      <c r="BX451" s="36"/>
    </row>
    <row r="452" spans="2:76" ht="14.25">
      <c r="B452" s="36"/>
      <c r="C452" s="36"/>
      <c r="D452" s="36"/>
      <c r="E452" s="36"/>
      <c r="F452" s="36"/>
      <c r="G452" s="36"/>
      <c r="H452" s="36"/>
      <c r="J452" s="36"/>
      <c r="K452" s="1" t="str">
        <f t="shared" si="81"/>
        <v/>
      </c>
      <c r="L452" s="1" t="str">
        <f t="shared" ref="L452:L515" si="82">IF(AND(MIN(I:I)&lt;20,MAX(I:I)&gt;980,I452&lt;20),I452,"")</f>
        <v/>
      </c>
      <c r="M452" s="94">
        <v>447</v>
      </c>
      <c r="N452" s="36" t="s">
        <v>2102</v>
      </c>
      <c r="O452" s="95">
        <v>310154</v>
      </c>
      <c r="P452" s="36"/>
      <c r="AI452" s="122">
        <v>140</v>
      </c>
      <c r="AJ452" s="1" t="s">
        <v>1795</v>
      </c>
      <c r="AK452" s="1">
        <v>309847</v>
      </c>
      <c r="AL452" s="1" t="s">
        <v>115</v>
      </c>
      <c r="AN452" s="270">
        <v>546</v>
      </c>
      <c r="AQ452" s="1">
        <v>304</v>
      </c>
      <c r="AR452" s="1" t="s">
        <v>340</v>
      </c>
      <c r="AS452" s="1">
        <v>210197</v>
      </c>
      <c r="AT452" s="1" t="s">
        <v>115</v>
      </c>
      <c r="AV452" s="241">
        <v>798</v>
      </c>
      <c r="AX452" s="1">
        <f t="shared" si="78"/>
        <v>1</v>
      </c>
      <c r="AY452" s="1" t="str">
        <f>IF(COUNTIF($AX$2:AX452,1)&gt;$AG$1,"",IF(AX452="","",E452))</f>
        <v/>
      </c>
      <c r="BM452" s="138">
        <f t="shared" si="79"/>
        <v>0</v>
      </c>
      <c r="BN452" s="42">
        <f t="shared" si="80"/>
        <v>0</v>
      </c>
      <c r="BS452" s="1">
        <v>10079</v>
      </c>
      <c r="BT452" s="1" t="s">
        <v>902</v>
      </c>
      <c r="BX452" s="36"/>
    </row>
    <row r="453" spans="2:76" ht="14.25">
      <c r="B453" s="36"/>
      <c r="C453" s="36"/>
      <c r="D453" s="36"/>
      <c r="E453" s="36"/>
      <c r="F453" s="36"/>
      <c r="G453" s="36"/>
      <c r="H453" s="36"/>
      <c r="J453" s="36"/>
      <c r="K453" s="1" t="str">
        <f t="shared" si="81"/>
        <v/>
      </c>
      <c r="L453" s="1" t="str">
        <f t="shared" si="82"/>
        <v/>
      </c>
      <c r="M453" s="94">
        <v>448</v>
      </c>
      <c r="N453" s="36" t="s">
        <v>2103</v>
      </c>
      <c r="O453" s="95">
        <v>310155</v>
      </c>
      <c r="P453" s="36"/>
      <c r="AI453" s="122">
        <v>141</v>
      </c>
      <c r="AJ453" s="1" t="s">
        <v>1796</v>
      </c>
      <c r="AK453" s="1">
        <v>309848</v>
      </c>
      <c r="AL453" s="1" t="s">
        <v>930</v>
      </c>
      <c r="AN453" s="270">
        <v>547</v>
      </c>
      <c r="AQ453" s="1">
        <v>305</v>
      </c>
      <c r="AR453" s="1" t="s">
        <v>341</v>
      </c>
      <c r="AS453" s="1">
        <v>210198</v>
      </c>
      <c r="AT453" s="1" t="s">
        <v>115</v>
      </c>
      <c r="AV453" s="241">
        <v>799</v>
      </c>
      <c r="AX453" s="1">
        <f t="shared" si="78"/>
        <v>1</v>
      </c>
      <c r="AY453" s="1" t="str">
        <f>IF(COUNTIF($AX$2:AX453,1)&gt;$AG$1,"",IF(AX453="","",E453))</f>
        <v/>
      </c>
      <c r="BM453" s="138">
        <f t="shared" si="79"/>
        <v>0</v>
      </c>
      <c r="BN453" s="42">
        <f t="shared" si="80"/>
        <v>0</v>
      </c>
      <c r="BS453" s="1">
        <v>10080</v>
      </c>
      <c r="BT453" s="1" t="s">
        <v>902</v>
      </c>
      <c r="BX453" s="36"/>
    </row>
    <row r="454" spans="2:76" ht="14.25">
      <c r="B454" s="36"/>
      <c r="C454" s="36"/>
      <c r="D454" s="36"/>
      <c r="E454" s="36"/>
      <c r="F454" s="36"/>
      <c r="G454" s="36"/>
      <c r="H454" s="36"/>
      <c r="J454" s="36"/>
      <c r="K454" s="1" t="str">
        <f t="shared" si="81"/>
        <v/>
      </c>
      <c r="L454" s="1" t="str">
        <f t="shared" si="82"/>
        <v/>
      </c>
      <c r="M454" s="94">
        <v>449</v>
      </c>
      <c r="N454" s="36" t="s">
        <v>2104</v>
      </c>
      <c r="O454" s="95">
        <v>310156</v>
      </c>
      <c r="P454" s="36"/>
      <c r="AI454" s="122">
        <v>142</v>
      </c>
      <c r="AJ454" s="1" t="s">
        <v>1797</v>
      </c>
      <c r="AK454" s="1">
        <v>309849</v>
      </c>
      <c r="AL454" s="1" t="s">
        <v>115</v>
      </c>
      <c r="AN454" s="270">
        <v>548</v>
      </c>
      <c r="AQ454" s="1">
        <v>306</v>
      </c>
      <c r="AR454" s="1" t="s">
        <v>342</v>
      </c>
      <c r="AS454" s="1">
        <v>210199</v>
      </c>
      <c r="AT454" s="1" t="s">
        <v>116</v>
      </c>
      <c r="AV454" s="241">
        <v>800</v>
      </c>
      <c r="AX454" s="1">
        <f t="shared" si="78"/>
        <v>1</v>
      </c>
      <c r="AY454" s="1" t="str">
        <f>IF(COUNTIF($AX$2:AX454,1)&gt;$AG$1,"",IF(AX454="","",E454))</f>
        <v/>
      </c>
      <c r="BM454" s="138">
        <f t="shared" si="79"/>
        <v>0</v>
      </c>
      <c r="BN454" s="42">
        <f t="shared" si="80"/>
        <v>0</v>
      </c>
      <c r="BS454" s="1">
        <v>10081</v>
      </c>
      <c r="BT454" s="1" t="s">
        <v>902</v>
      </c>
      <c r="BX454" s="36"/>
    </row>
    <row r="455" spans="2:76" ht="14.25">
      <c r="B455" s="36"/>
      <c r="C455" s="36"/>
      <c r="D455" s="36"/>
      <c r="E455" s="36"/>
      <c r="F455" s="36"/>
      <c r="G455" s="36"/>
      <c r="H455" s="36"/>
      <c r="J455" s="36"/>
      <c r="K455" s="1" t="str">
        <f t="shared" si="81"/>
        <v/>
      </c>
      <c r="L455" s="1" t="str">
        <f t="shared" si="82"/>
        <v/>
      </c>
      <c r="M455" s="94">
        <v>450</v>
      </c>
      <c r="N455" s="36" t="s">
        <v>2105</v>
      </c>
      <c r="O455" s="95">
        <v>310157</v>
      </c>
      <c r="P455" s="36"/>
      <c r="AI455" s="122">
        <v>143</v>
      </c>
      <c r="AJ455" s="1" t="s">
        <v>1798</v>
      </c>
      <c r="AK455" s="1">
        <v>309850</v>
      </c>
      <c r="AL455" s="1" t="s">
        <v>930</v>
      </c>
      <c r="AN455" s="270">
        <v>549</v>
      </c>
      <c r="AQ455" s="1">
        <v>307</v>
      </c>
      <c r="AR455" s="1" t="s">
        <v>343</v>
      </c>
      <c r="AS455" s="1">
        <v>210200</v>
      </c>
      <c r="AT455" s="1" t="s">
        <v>115</v>
      </c>
      <c r="AV455" s="241">
        <v>801</v>
      </c>
      <c r="AX455" s="1">
        <f t="shared" si="78"/>
        <v>1</v>
      </c>
      <c r="AY455" s="1" t="str">
        <f>IF(COUNTIF($AX$2:AX455,1)&gt;$AG$1,"",IF(AX455="","",E455))</f>
        <v/>
      </c>
      <c r="BM455" s="138">
        <f t="shared" si="79"/>
        <v>0</v>
      </c>
      <c r="BN455" s="42">
        <f t="shared" si="80"/>
        <v>0</v>
      </c>
      <c r="BS455" s="1">
        <v>10082</v>
      </c>
      <c r="BT455" s="1" t="s">
        <v>902</v>
      </c>
      <c r="BX455" s="36"/>
    </row>
    <row r="456" spans="2:76" ht="14.25">
      <c r="B456" s="36"/>
      <c r="C456" s="36"/>
      <c r="D456" s="36"/>
      <c r="E456" s="36"/>
      <c r="F456" s="36"/>
      <c r="G456" s="36"/>
      <c r="H456" s="36"/>
      <c r="J456" s="36"/>
      <c r="K456" s="1" t="str">
        <f t="shared" si="81"/>
        <v/>
      </c>
      <c r="L456" s="1" t="str">
        <f t="shared" si="82"/>
        <v/>
      </c>
      <c r="M456" s="94">
        <v>451</v>
      </c>
      <c r="N456" s="36" t="s">
        <v>2106</v>
      </c>
      <c r="O456" s="95">
        <v>310158</v>
      </c>
      <c r="P456" s="36"/>
      <c r="AI456" s="122">
        <v>144</v>
      </c>
      <c r="AJ456" s="1" t="s">
        <v>1799</v>
      </c>
      <c r="AK456" s="1">
        <v>309851</v>
      </c>
      <c r="AL456" s="1" t="s">
        <v>115</v>
      </c>
      <c r="AN456" s="270">
        <v>550</v>
      </c>
      <c r="AQ456" s="1">
        <v>308</v>
      </c>
      <c r="AR456" s="1" t="s">
        <v>344</v>
      </c>
      <c r="AS456" s="1">
        <v>210201</v>
      </c>
      <c r="AT456" s="1" t="s">
        <v>116</v>
      </c>
      <c r="AV456" s="241">
        <v>802</v>
      </c>
      <c r="AX456" s="1">
        <f t="shared" si="78"/>
        <v>1</v>
      </c>
      <c r="AY456" s="1" t="str">
        <f>IF(COUNTIF($AX$2:AX456,1)&gt;$AG$1,"",IF(AX456="","",E456))</f>
        <v/>
      </c>
      <c r="BM456" s="138">
        <f t="shared" si="79"/>
        <v>0</v>
      </c>
      <c r="BN456" s="42">
        <f t="shared" si="80"/>
        <v>0</v>
      </c>
      <c r="BS456" s="1">
        <v>10083</v>
      </c>
      <c r="BT456" s="1" t="s">
        <v>902</v>
      </c>
      <c r="BX456" s="36"/>
    </row>
    <row r="457" spans="2:76" ht="14.25">
      <c r="B457" s="36"/>
      <c r="C457" s="36"/>
      <c r="D457" s="36"/>
      <c r="E457" s="36"/>
      <c r="F457" s="36"/>
      <c r="G457" s="36"/>
      <c r="H457" s="36"/>
      <c r="J457" s="36"/>
      <c r="K457" s="1" t="str">
        <f t="shared" si="81"/>
        <v/>
      </c>
      <c r="L457" s="1" t="str">
        <f t="shared" si="82"/>
        <v/>
      </c>
      <c r="M457" s="94">
        <v>452</v>
      </c>
      <c r="N457" s="36" t="s">
        <v>2107</v>
      </c>
      <c r="O457" s="95">
        <v>310159</v>
      </c>
      <c r="P457" s="36"/>
      <c r="AI457" s="122">
        <v>145</v>
      </c>
      <c r="AJ457" s="1" t="s">
        <v>1800</v>
      </c>
      <c r="AK457" s="1">
        <v>309852</v>
      </c>
      <c r="AL457" s="1" t="s">
        <v>930</v>
      </c>
      <c r="AN457" s="270">
        <v>551</v>
      </c>
      <c r="AQ457" s="1">
        <v>309</v>
      </c>
      <c r="AR457" s="1" t="s">
        <v>345</v>
      </c>
      <c r="AS457" s="1">
        <v>210202</v>
      </c>
      <c r="AT457" s="1" t="s">
        <v>115</v>
      </c>
      <c r="AV457" s="241">
        <v>803</v>
      </c>
      <c r="AX457" s="1">
        <f t="shared" si="78"/>
        <v>1</v>
      </c>
      <c r="AY457" s="1" t="str">
        <f>IF(COUNTIF($AX$2:AX457,1)&gt;$AG$1,"",IF(AX457="","",E457))</f>
        <v/>
      </c>
      <c r="BM457" s="138">
        <f t="shared" si="79"/>
        <v>0</v>
      </c>
      <c r="BN457" s="42">
        <f t="shared" si="80"/>
        <v>0</v>
      </c>
      <c r="BS457" s="1">
        <v>10084</v>
      </c>
      <c r="BT457" s="1" t="s">
        <v>902</v>
      </c>
      <c r="BX457" s="36"/>
    </row>
    <row r="458" spans="2:76" ht="14.25">
      <c r="B458" s="36"/>
      <c r="C458" s="36"/>
      <c r="D458" s="36"/>
      <c r="E458" s="36"/>
      <c r="F458" s="36"/>
      <c r="G458" s="36"/>
      <c r="H458" s="36"/>
      <c r="J458" s="36"/>
      <c r="K458" s="1" t="str">
        <f t="shared" si="81"/>
        <v/>
      </c>
      <c r="L458" s="1" t="str">
        <f t="shared" si="82"/>
        <v/>
      </c>
      <c r="M458" s="94">
        <v>453</v>
      </c>
      <c r="N458" s="36" t="s">
        <v>2108</v>
      </c>
      <c r="O458" s="95">
        <v>310160</v>
      </c>
      <c r="P458" s="36"/>
      <c r="AI458" s="122">
        <v>146</v>
      </c>
      <c r="AJ458" s="1" t="s">
        <v>1801</v>
      </c>
      <c r="AK458" s="1">
        <v>309853</v>
      </c>
      <c r="AL458" s="1" t="s">
        <v>930</v>
      </c>
      <c r="AN458" s="270">
        <v>552</v>
      </c>
      <c r="AQ458" s="1">
        <v>310</v>
      </c>
      <c r="AR458" s="1" t="s">
        <v>346</v>
      </c>
      <c r="AS458" s="1">
        <v>210203</v>
      </c>
      <c r="AT458" s="1" t="s">
        <v>115</v>
      </c>
      <c r="AV458" s="241">
        <v>804</v>
      </c>
      <c r="AX458" s="1">
        <f t="shared" si="78"/>
        <v>1</v>
      </c>
      <c r="AY458" s="1" t="str">
        <f>IF(COUNTIF($AX$2:AX458,1)&gt;$AG$1,"",IF(AX458="","",E458))</f>
        <v/>
      </c>
      <c r="BM458" s="138">
        <f t="shared" si="79"/>
        <v>0</v>
      </c>
      <c r="BN458" s="42">
        <f t="shared" si="80"/>
        <v>0</v>
      </c>
      <c r="BS458" s="1">
        <v>10085</v>
      </c>
      <c r="BT458" s="1" t="s">
        <v>902</v>
      </c>
      <c r="BX458" s="36"/>
    </row>
    <row r="459" spans="2:76" ht="14.25">
      <c r="B459" s="36"/>
      <c r="C459" s="36"/>
      <c r="D459" s="36"/>
      <c r="E459" s="36"/>
      <c r="F459" s="36"/>
      <c r="G459" s="36"/>
      <c r="H459" s="36"/>
      <c r="J459" s="36"/>
      <c r="K459" s="1" t="str">
        <f t="shared" si="81"/>
        <v/>
      </c>
      <c r="L459" s="1" t="str">
        <f t="shared" si="82"/>
        <v/>
      </c>
      <c r="M459" s="94">
        <v>454</v>
      </c>
      <c r="N459" s="36" t="s">
        <v>2109</v>
      </c>
      <c r="O459" s="95">
        <v>310161</v>
      </c>
      <c r="P459" s="36"/>
      <c r="AI459" s="122">
        <v>147</v>
      </c>
      <c r="AJ459" s="1" t="s">
        <v>1802</v>
      </c>
      <c r="AK459" s="1">
        <v>309854</v>
      </c>
      <c r="AL459" s="1" t="s">
        <v>115</v>
      </c>
      <c r="AN459" s="270">
        <v>553</v>
      </c>
      <c r="AQ459" s="1">
        <v>311</v>
      </c>
      <c r="AR459" s="1" t="s">
        <v>347</v>
      </c>
      <c r="AS459" s="1">
        <v>210204</v>
      </c>
      <c r="AT459" s="1" t="s">
        <v>116</v>
      </c>
      <c r="AV459" s="241">
        <v>805</v>
      </c>
      <c r="AX459" s="1">
        <f t="shared" si="78"/>
        <v>1</v>
      </c>
      <c r="AY459" s="1" t="str">
        <f>IF(COUNTIF($AX$2:AX459,1)&gt;$AG$1,"",IF(AX459="","",E459))</f>
        <v/>
      </c>
      <c r="BM459" s="138">
        <f t="shared" si="79"/>
        <v>0</v>
      </c>
      <c r="BN459" s="42">
        <f t="shared" si="80"/>
        <v>0</v>
      </c>
      <c r="BS459" s="1">
        <v>10086</v>
      </c>
      <c r="BT459" s="1" t="s">
        <v>902</v>
      </c>
      <c r="BX459" s="36"/>
    </row>
    <row r="460" spans="2:76" ht="14.25">
      <c r="B460" s="36"/>
      <c r="C460" s="36"/>
      <c r="D460" s="36"/>
      <c r="E460" s="36"/>
      <c r="F460" s="36"/>
      <c r="G460" s="36"/>
      <c r="H460" s="36"/>
      <c r="J460" s="36"/>
      <c r="K460" s="1" t="str">
        <f t="shared" si="81"/>
        <v/>
      </c>
      <c r="L460" s="1" t="str">
        <f t="shared" si="82"/>
        <v/>
      </c>
      <c r="M460" s="94">
        <v>455</v>
      </c>
      <c r="N460" s="36" t="s">
        <v>2110</v>
      </c>
      <c r="O460" s="95">
        <v>310162</v>
      </c>
      <c r="P460" s="36"/>
      <c r="AI460" s="122">
        <v>148</v>
      </c>
      <c r="AJ460" s="1" t="s">
        <v>1803</v>
      </c>
      <c r="AK460" s="1">
        <v>309855</v>
      </c>
      <c r="AL460" s="1" t="s">
        <v>930</v>
      </c>
      <c r="AN460" s="270">
        <v>554</v>
      </c>
      <c r="AQ460" s="1">
        <v>312</v>
      </c>
      <c r="AR460" s="1" t="s">
        <v>348</v>
      </c>
      <c r="AS460" s="1">
        <v>210205</v>
      </c>
      <c r="AT460" s="1" t="s">
        <v>115</v>
      </c>
      <c r="AV460" s="241">
        <v>806</v>
      </c>
      <c r="AX460" s="1">
        <f t="shared" si="78"/>
        <v>1</v>
      </c>
      <c r="AY460" s="1" t="str">
        <f>IF(COUNTIF($AX$2:AX460,1)&gt;$AG$1,"",IF(AX460="","",E460))</f>
        <v/>
      </c>
      <c r="BM460" s="138">
        <f t="shared" si="79"/>
        <v>0</v>
      </c>
      <c r="BN460" s="42">
        <f t="shared" si="80"/>
        <v>0</v>
      </c>
      <c r="BS460" s="1">
        <v>10087</v>
      </c>
      <c r="BT460" s="1" t="s">
        <v>902</v>
      </c>
      <c r="BX460" s="36"/>
    </row>
    <row r="461" spans="2:76" ht="14.25">
      <c r="B461" s="36"/>
      <c r="C461" s="36"/>
      <c r="D461" s="36"/>
      <c r="E461" s="36"/>
      <c r="F461" s="36"/>
      <c r="G461" s="36"/>
      <c r="H461" s="36"/>
      <c r="J461" s="36"/>
      <c r="K461" s="1" t="str">
        <f t="shared" si="81"/>
        <v/>
      </c>
      <c r="L461" s="1" t="str">
        <f t="shared" si="82"/>
        <v/>
      </c>
      <c r="M461" s="94">
        <v>456</v>
      </c>
      <c r="N461" s="36" t="s">
        <v>2111</v>
      </c>
      <c r="O461" s="95">
        <v>310163</v>
      </c>
      <c r="P461" s="36"/>
      <c r="AI461" s="122">
        <v>149</v>
      </c>
      <c r="AJ461" s="1" t="s">
        <v>1804</v>
      </c>
      <c r="AK461" s="1">
        <v>309856</v>
      </c>
      <c r="AL461" s="1" t="s">
        <v>115</v>
      </c>
      <c r="AN461" s="270">
        <v>555</v>
      </c>
      <c r="AQ461" s="1">
        <v>313</v>
      </c>
      <c r="AR461" s="1" t="s">
        <v>349</v>
      </c>
      <c r="AS461" s="1">
        <v>210214</v>
      </c>
      <c r="AT461" s="1" t="s">
        <v>116</v>
      </c>
      <c r="AV461" s="241">
        <v>807</v>
      </c>
      <c r="AX461" s="1">
        <f t="shared" si="78"/>
        <v>1</v>
      </c>
      <c r="AY461" s="1" t="str">
        <f>IF(COUNTIF($AX$2:AX461,1)&gt;$AG$1,"",IF(AX461="","",E461))</f>
        <v/>
      </c>
      <c r="BM461" s="138">
        <f t="shared" si="79"/>
        <v>0</v>
      </c>
      <c r="BN461" s="42">
        <f t="shared" si="80"/>
        <v>0</v>
      </c>
      <c r="BS461" s="1">
        <v>10088</v>
      </c>
      <c r="BT461" s="1" t="s">
        <v>902</v>
      </c>
      <c r="BX461" s="36"/>
    </row>
    <row r="462" spans="2:76" ht="14.25">
      <c r="B462" s="36"/>
      <c r="C462" s="36"/>
      <c r="D462" s="36"/>
      <c r="E462" s="36"/>
      <c r="F462" s="36"/>
      <c r="G462" s="36"/>
      <c r="H462" s="36"/>
      <c r="J462" s="36"/>
      <c r="K462" s="1" t="str">
        <f t="shared" si="81"/>
        <v/>
      </c>
      <c r="L462" s="1" t="str">
        <f t="shared" si="82"/>
        <v/>
      </c>
      <c r="M462" s="94">
        <v>457</v>
      </c>
      <c r="N462" s="36" t="s">
        <v>2112</v>
      </c>
      <c r="O462" s="95">
        <v>310164</v>
      </c>
      <c r="P462" s="36"/>
      <c r="AI462" s="122">
        <v>150</v>
      </c>
      <c r="AJ462" s="1" t="s">
        <v>1805</v>
      </c>
      <c r="AK462" s="1">
        <v>309857</v>
      </c>
      <c r="AL462" s="1" t="s">
        <v>930</v>
      </c>
      <c r="AN462" s="270">
        <v>556</v>
      </c>
      <c r="AQ462" s="1">
        <v>314</v>
      </c>
      <c r="AR462" s="1" t="s">
        <v>350</v>
      </c>
      <c r="AS462" s="1">
        <v>210215</v>
      </c>
      <c r="AT462" s="1" t="s">
        <v>115</v>
      </c>
      <c r="AV462" s="241">
        <v>808</v>
      </c>
      <c r="AX462" s="1">
        <f t="shared" si="78"/>
        <v>1</v>
      </c>
      <c r="AY462" s="1" t="str">
        <f>IF(COUNTIF($AX$2:AX462,1)&gt;$AG$1,"",IF(AX462="","",E462))</f>
        <v/>
      </c>
      <c r="BM462" s="138">
        <f t="shared" si="79"/>
        <v>0</v>
      </c>
      <c r="BN462" s="42">
        <f t="shared" si="80"/>
        <v>0</v>
      </c>
      <c r="BS462" s="1">
        <v>10089</v>
      </c>
      <c r="BT462" s="1" t="s">
        <v>902</v>
      </c>
      <c r="BX462" s="36"/>
    </row>
    <row r="463" spans="2:76" ht="14.25">
      <c r="B463" s="36"/>
      <c r="C463" s="36"/>
      <c r="D463" s="36"/>
      <c r="E463" s="36"/>
      <c r="F463" s="36"/>
      <c r="G463" s="36"/>
      <c r="H463" s="36"/>
      <c r="J463" s="36"/>
      <c r="K463" s="1" t="str">
        <f t="shared" si="81"/>
        <v/>
      </c>
      <c r="L463" s="1" t="str">
        <f t="shared" si="82"/>
        <v/>
      </c>
      <c r="M463" s="94">
        <v>458</v>
      </c>
      <c r="N463" s="36" t="s">
        <v>2113</v>
      </c>
      <c r="O463" s="95">
        <v>310165</v>
      </c>
      <c r="P463" s="36"/>
      <c r="AI463" s="122">
        <v>151</v>
      </c>
      <c r="AJ463" s="1" t="s">
        <v>1806</v>
      </c>
      <c r="AK463" s="1">
        <v>309858</v>
      </c>
      <c r="AL463" s="1" t="s">
        <v>115</v>
      </c>
      <c r="AN463" s="270">
        <v>557</v>
      </c>
      <c r="AQ463" s="1">
        <v>315</v>
      </c>
      <c r="AR463" s="1" t="s">
        <v>351</v>
      </c>
      <c r="AS463" s="1">
        <v>210206</v>
      </c>
      <c r="AT463" s="1" t="s">
        <v>116</v>
      </c>
      <c r="AV463" s="241">
        <v>809</v>
      </c>
      <c r="AX463" s="1">
        <f t="shared" si="78"/>
        <v>1</v>
      </c>
      <c r="AY463" s="1" t="str">
        <f>IF(COUNTIF($AX$2:AX463,1)&gt;$AG$1,"",IF(AX463="","",E463))</f>
        <v/>
      </c>
      <c r="BM463" s="138">
        <f t="shared" si="79"/>
        <v>0</v>
      </c>
      <c r="BN463" s="42">
        <f t="shared" si="80"/>
        <v>0</v>
      </c>
      <c r="BS463" s="1">
        <v>10090</v>
      </c>
      <c r="BT463" s="1" t="s">
        <v>902</v>
      </c>
      <c r="BX463" s="36"/>
    </row>
    <row r="464" spans="2:76" ht="14.25">
      <c r="B464" s="36"/>
      <c r="C464" s="36"/>
      <c r="D464" s="36"/>
      <c r="E464" s="36"/>
      <c r="F464" s="36"/>
      <c r="G464" s="36"/>
      <c r="H464" s="36"/>
      <c r="J464" s="36"/>
      <c r="K464" s="1" t="str">
        <f t="shared" si="81"/>
        <v/>
      </c>
      <c r="L464" s="1" t="str">
        <f t="shared" si="82"/>
        <v/>
      </c>
      <c r="M464" s="94">
        <v>459</v>
      </c>
      <c r="N464" s="36" t="s">
        <v>2114</v>
      </c>
      <c r="O464" s="95">
        <v>310166</v>
      </c>
      <c r="P464" s="36"/>
      <c r="AI464" s="122">
        <v>152</v>
      </c>
      <c r="AJ464" s="1" t="s">
        <v>1807</v>
      </c>
      <c r="AK464" s="1">
        <v>309859</v>
      </c>
      <c r="AL464" s="1" t="s">
        <v>930</v>
      </c>
      <c r="AN464" s="270">
        <v>558</v>
      </c>
      <c r="AQ464" s="1">
        <v>316</v>
      </c>
      <c r="AR464" s="1" t="s">
        <v>352</v>
      </c>
      <c r="AS464" s="1">
        <v>210207</v>
      </c>
      <c r="AT464" s="1" t="s">
        <v>115</v>
      </c>
      <c r="AV464" s="241">
        <v>810</v>
      </c>
      <c r="AX464" s="1">
        <f t="shared" si="78"/>
        <v>1</v>
      </c>
      <c r="AY464" s="1" t="str">
        <f>IF(COUNTIF($AX$2:AX464,1)&gt;$AG$1,"",IF(AX464="","",E464))</f>
        <v/>
      </c>
      <c r="BM464" s="138">
        <f t="shared" si="79"/>
        <v>0</v>
      </c>
      <c r="BN464" s="42">
        <f t="shared" si="80"/>
        <v>0</v>
      </c>
      <c r="BS464" s="1">
        <v>10091</v>
      </c>
      <c r="BT464" s="1" t="s">
        <v>902</v>
      </c>
      <c r="BX464" s="36"/>
    </row>
    <row r="465" spans="2:76" ht="14.25">
      <c r="B465" s="36"/>
      <c r="C465" s="36"/>
      <c r="D465" s="36"/>
      <c r="E465" s="36"/>
      <c r="F465" s="36"/>
      <c r="G465" s="36"/>
      <c r="H465" s="36"/>
      <c r="J465" s="36"/>
      <c r="K465" s="1" t="str">
        <f t="shared" si="81"/>
        <v/>
      </c>
      <c r="L465" s="1" t="str">
        <f t="shared" si="82"/>
        <v/>
      </c>
      <c r="M465" s="94">
        <v>460</v>
      </c>
      <c r="N465" s="36" t="s">
        <v>2115</v>
      </c>
      <c r="O465" s="95">
        <v>310167</v>
      </c>
      <c r="P465" s="36"/>
      <c r="AI465" s="122">
        <v>153</v>
      </c>
      <c r="AJ465" s="1" t="s">
        <v>1808</v>
      </c>
      <c r="AK465" s="1">
        <v>309860</v>
      </c>
      <c r="AL465" s="1" t="s">
        <v>930</v>
      </c>
      <c r="AN465" s="270">
        <v>559</v>
      </c>
      <c r="AQ465" s="1">
        <v>317</v>
      </c>
      <c r="AR465" s="1" t="s">
        <v>353</v>
      </c>
      <c r="AS465" s="1">
        <v>210208</v>
      </c>
      <c r="AT465" s="1" t="s">
        <v>115</v>
      </c>
      <c r="AV465" s="241">
        <v>811</v>
      </c>
      <c r="AX465" s="1">
        <f t="shared" si="78"/>
        <v>1</v>
      </c>
      <c r="AY465" s="1" t="str">
        <f>IF(COUNTIF($AX$2:AX465,1)&gt;$AG$1,"",IF(AX465="","",E465))</f>
        <v/>
      </c>
      <c r="BM465" s="138">
        <f t="shared" si="79"/>
        <v>0</v>
      </c>
      <c r="BN465" s="42">
        <f t="shared" si="80"/>
        <v>0</v>
      </c>
      <c r="BS465" s="1">
        <v>10092</v>
      </c>
      <c r="BT465" s="1" t="s">
        <v>902</v>
      </c>
      <c r="BX465" s="36"/>
    </row>
    <row r="466" spans="2:76" ht="14.25">
      <c r="B466" s="36"/>
      <c r="C466" s="36"/>
      <c r="D466" s="36"/>
      <c r="E466" s="36"/>
      <c r="F466" s="36"/>
      <c r="G466" s="36"/>
      <c r="H466" s="36"/>
      <c r="J466" s="36"/>
      <c r="K466" s="1" t="str">
        <f t="shared" si="81"/>
        <v/>
      </c>
      <c r="L466" s="1" t="str">
        <f t="shared" si="82"/>
        <v/>
      </c>
      <c r="M466" s="94">
        <v>461</v>
      </c>
      <c r="N466" s="36" t="s">
        <v>2116</v>
      </c>
      <c r="O466" s="95">
        <v>310168</v>
      </c>
      <c r="P466" s="36"/>
      <c r="AI466" s="122">
        <v>154</v>
      </c>
      <c r="AJ466" s="1" t="s">
        <v>1809</v>
      </c>
      <c r="AK466" s="1">
        <v>309861</v>
      </c>
      <c r="AL466" s="1" t="s">
        <v>115</v>
      </c>
      <c r="AN466" s="270">
        <v>560</v>
      </c>
      <c r="AQ466" s="1">
        <v>318</v>
      </c>
      <c r="AR466" s="1" t="s">
        <v>354</v>
      </c>
      <c r="AS466" s="1">
        <v>210209</v>
      </c>
      <c r="AT466" s="1" t="s">
        <v>116</v>
      </c>
      <c r="AV466" s="241">
        <v>812</v>
      </c>
      <c r="AX466" s="1">
        <f t="shared" si="78"/>
        <v>1</v>
      </c>
      <c r="AY466" s="1" t="str">
        <f>IF(COUNTIF($AX$2:AX466,1)&gt;$AG$1,"",IF(AX466="","",E466))</f>
        <v/>
      </c>
      <c r="BM466" s="138">
        <f t="shared" si="79"/>
        <v>0</v>
      </c>
      <c r="BN466" s="42">
        <f t="shared" si="80"/>
        <v>0</v>
      </c>
      <c r="BS466" s="1">
        <v>10093</v>
      </c>
      <c r="BT466" s="1" t="s">
        <v>902</v>
      </c>
      <c r="BX466" s="36"/>
    </row>
    <row r="467" spans="2:76" ht="14.25">
      <c r="B467" s="36"/>
      <c r="C467" s="36"/>
      <c r="D467" s="36"/>
      <c r="E467" s="36"/>
      <c r="F467" s="36"/>
      <c r="G467" s="36"/>
      <c r="H467" s="36"/>
      <c r="J467" s="36"/>
      <c r="K467" s="1" t="str">
        <f t="shared" si="81"/>
        <v/>
      </c>
      <c r="L467" s="1" t="str">
        <f t="shared" si="82"/>
        <v/>
      </c>
      <c r="M467" s="94">
        <v>462</v>
      </c>
      <c r="N467" s="36" t="s">
        <v>2117</v>
      </c>
      <c r="O467" s="95">
        <v>310169</v>
      </c>
      <c r="P467" s="36"/>
      <c r="AI467" s="122">
        <v>155</v>
      </c>
      <c r="AJ467" s="1" t="s">
        <v>1810</v>
      </c>
      <c r="AK467" s="1">
        <v>309862</v>
      </c>
      <c r="AL467" s="1" t="s">
        <v>930</v>
      </c>
      <c r="AN467" s="270">
        <v>561</v>
      </c>
      <c r="AQ467" s="1">
        <v>319</v>
      </c>
      <c r="AR467" s="1" t="s">
        <v>355</v>
      </c>
      <c r="AS467" s="1">
        <v>210210</v>
      </c>
      <c r="AT467" s="1" t="s">
        <v>115</v>
      </c>
      <c r="AV467" s="241">
        <v>813</v>
      </c>
      <c r="AX467" s="1">
        <f t="shared" si="78"/>
        <v>1</v>
      </c>
      <c r="AY467" s="1" t="str">
        <f>IF(COUNTIF($AX$2:AX467,1)&gt;$AG$1,"",IF(AX467="","",E467))</f>
        <v/>
      </c>
      <c r="BM467" s="138">
        <f t="shared" si="79"/>
        <v>0</v>
      </c>
      <c r="BN467" s="42">
        <f t="shared" si="80"/>
        <v>0</v>
      </c>
      <c r="BS467" s="1">
        <v>10094</v>
      </c>
      <c r="BT467" s="1" t="s">
        <v>902</v>
      </c>
      <c r="BX467" s="36"/>
    </row>
    <row r="468" spans="2:76" ht="14.25">
      <c r="B468" s="36"/>
      <c r="C468" s="36"/>
      <c r="D468" s="36"/>
      <c r="E468" s="36"/>
      <c r="F468" s="36"/>
      <c r="G468" s="36"/>
      <c r="H468" s="36"/>
      <c r="J468" s="36"/>
      <c r="K468" s="1" t="str">
        <f t="shared" si="81"/>
        <v/>
      </c>
      <c r="L468" s="1" t="str">
        <f t="shared" si="82"/>
        <v/>
      </c>
      <c r="M468" s="94">
        <v>463</v>
      </c>
      <c r="N468" s="36" t="s">
        <v>2118</v>
      </c>
      <c r="O468" s="95">
        <v>310170</v>
      </c>
      <c r="P468" s="36"/>
      <c r="AI468" s="122">
        <v>156</v>
      </c>
      <c r="AJ468" s="1" t="s">
        <v>1811</v>
      </c>
      <c r="AK468" s="1">
        <v>309863</v>
      </c>
      <c r="AL468" s="1" t="s">
        <v>115</v>
      </c>
      <c r="AN468" s="270">
        <v>562</v>
      </c>
      <c r="AQ468" s="1">
        <v>320</v>
      </c>
      <c r="AR468" s="1" t="s">
        <v>356</v>
      </c>
      <c r="AS468" s="1">
        <v>210211</v>
      </c>
      <c r="AT468" s="1" t="s">
        <v>116</v>
      </c>
      <c r="AV468" s="241">
        <v>814</v>
      </c>
      <c r="AX468" s="1">
        <f t="shared" si="78"/>
        <v>1</v>
      </c>
      <c r="AY468" s="1" t="str">
        <f>IF(COUNTIF($AX$2:AX468,1)&gt;$AG$1,"",IF(AX468="","",E468))</f>
        <v/>
      </c>
      <c r="BM468" s="138">
        <f t="shared" si="79"/>
        <v>0</v>
      </c>
      <c r="BN468" s="42">
        <f t="shared" si="80"/>
        <v>0</v>
      </c>
      <c r="BS468" s="1">
        <v>10095</v>
      </c>
      <c r="BT468" s="1" t="s">
        <v>902</v>
      </c>
      <c r="BX468" s="36"/>
    </row>
    <row r="469" spans="2:76" ht="14.25">
      <c r="B469" s="36"/>
      <c r="C469" s="36"/>
      <c r="D469" s="36"/>
      <c r="E469" s="36"/>
      <c r="F469" s="36"/>
      <c r="G469" s="36"/>
      <c r="H469" s="36"/>
      <c r="J469" s="36"/>
      <c r="K469" s="1" t="str">
        <f t="shared" si="81"/>
        <v/>
      </c>
      <c r="L469" s="1" t="str">
        <f t="shared" si="82"/>
        <v/>
      </c>
      <c r="M469" s="94">
        <v>464</v>
      </c>
      <c r="N469" s="36" t="s">
        <v>2119</v>
      </c>
      <c r="O469" s="95">
        <v>310171</v>
      </c>
      <c r="P469" s="36"/>
      <c r="AI469" s="122">
        <v>157</v>
      </c>
      <c r="AJ469" s="1" t="s">
        <v>1812</v>
      </c>
      <c r="AK469" s="1">
        <v>309864</v>
      </c>
      <c r="AL469" s="1" t="s">
        <v>930</v>
      </c>
      <c r="AN469" s="270">
        <v>563</v>
      </c>
      <c r="AQ469" s="1">
        <v>321</v>
      </c>
      <c r="AR469" s="1" t="s">
        <v>357</v>
      </c>
      <c r="AS469" s="1">
        <v>210212</v>
      </c>
      <c r="AT469" s="1" t="s">
        <v>115</v>
      </c>
      <c r="AV469" s="241">
        <v>815</v>
      </c>
      <c r="AX469" s="1">
        <f t="shared" si="78"/>
        <v>1</v>
      </c>
      <c r="AY469" s="1" t="str">
        <f>IF(COUNTIF($AX$2:AX469,1)&gt;$AG$1,"",IF(AX469="","",E469))</f>
        <v/>
      </c>
      <c r="BM469" s="138">
        <f t="shared" si="79"/>
        <v>0</v>
      </c>
      <c r="BN469" s="42">
        <f t="shared" si="80"/>
        <v>0</v>
      </c>
      <c r="BS469" s="1">
        <v>10096</v>
      </c>
      <c r="BT469" s="1" t="s">
        <v>902</v>
      </c>
      <c r="BX469" s="36"/>
    </row>
    <row r="470" spans="2:76" ht="14.25">
      <c r="B470" s="36"/>
      <c r="C470" s="36"/>
      <c r="D470" s="36"/>
      <c r="E470" s="36"/>
      <c r="F470" s="36"/>
      <c r="G470" s="36"/>
      <c r="H470" s="36"/>
      <c r="J470" s="36"/>
      <c r="K470" s="1" t="str">
        <f t="shared" si="81"/>
        <v/>
      </c>
      <c r="L470" s="1" t="str">
        <f t="shared" si="82"/>
        <v/>
      </c>
      <c r="M470" s="94">
        <v>465</v>
      </c>
      <c r="N470" s="36" t="s">
        <v>2120</v>
      </c>
      <c r="O470" s="95">
        <v>310172</v>
      </c>
      <c r="P470" s="36"/>
      <c r="AI470" s="122">
        <v>158</v>
      </c>
      <c r="AJ470" s="1" t="s">
        <v>1813</v>
      </c>
      <c r="AK470" s="1">
        <v>309865</v>
      </c>
      <c r="AL470" s="1" t="s">
        <v>115</v>
      </c>
      <c r="AN470" s="270">
        <v>564</v>
      </c>
      <c r="AQ470" s="1">
        <v>322</v>
      </c>
      <c r="AR470" s="1" t="s">
        <v>358</v>
      </c>
      <c r="AS470" s="1">
        <v>210213</v>
      </c>
      <c r="AT470" s="1" t="s">
        <v>115</v>
      </c>
      <c r="AV470" s="241">
        <v>816</v>
      </c>
      <c r="AX470" s="1">
        <f t="shared" si="78"/>
        <v>1</v>
      </c>
      <c r="AY470" s="1" t="str">
        <f>IF(COUNTIF($AX$2:AX470,1)&gt;$AG$1,"",IF(AX470="","",E470))</f>
        <v/>
      </c>
      <c r="BM470" s="138">
        <f t="shared" si="79"/>
        <v>0</v>
      </c>
      <c r="BN470" s="42">
        <f t="shared" si="80"/>
        <v>0</v>
      </c>
      <c r="BS470" s="1">
        <v>10097</v>
      </c>
      <c r="BT470" s="1" t="s">
        <v>902</v>
      </c>
      <c r="BX470" s="36"/>
    </row>
    <row r="471" spans="2:76" ht="14.25">
      <c r="B471" s="36"/>
      <c r="C471" s="36"/>
      <c r="D471" s="36"/>
      <c r="E471" s="36"/>
      <c r="F471" s="36"/>
      <c r="G471" s="36"/>
      <c r="H471" s="36"/>
      <c r="J471" s="36"/>
      <c r="K471" s="1" t="str">
        <f t="shared" si="81"/>
        <v/>
      </c>
      <c r="L471" s="1" t="str">
        <f t="shared" si="82"/>
        <v/>
      </c>
      <c r="M471" s="94">
        <v>466</v>
      </c>
      <c r="N471" s="36" t="s">
        <v>2121</v>
      </c>
      <c r="O471" s="95">
        <v>310173</v>
      </c>
      <c r="P471" s="36"/>
      <c r="AI471" s="122">
        <v>159</v>
      </c>
      <c r="AJ471" s="1" t="s">
        <v>1814</v>
      </c>
      <c r="AK471" s="1">
        <v>309866</v>
      </c>
      <c r="AL471" s="1" t="s">
        <v>930</v>
      </c>
      <c r="AN471" s="270">
        <v>565</v>
      </c>
      <c r="AQ471" s="1">
        <v>323</v>
      </c>
      <c r="AR471" s="1" t="s">
        <v>359</v>
      </c>
      <c r="AS471" s="1">
        <v>210216</v>
      </c>
      <c r="AT471" s="1" t="s">
        <v>116</v>
      </c>
      <c r="AV471" s="241">
        <v>817</v>
      </c>
      <c r="AX471" s="1">
        <f t="shared" si="78"/>
        <v>1</v>
      </c>
      <c r="AY471" s="1" t="str">
        <f>IF(COUNTIF($AX$2:AX471,1)&gt;$AG$1,"",IF(AX471="","",E471))</f>
        <v/>
      </c>
      <c r="BM471" s="138">
        <f t="shared" si="79"/>
        <v>0</v>
      </c>
      <c r="BN471" s="42">
        <f t="shared" si="80"/>
        <v>0</v>
      </c>
      <c r="BS471" s="1">
        <v>10098</v>
      </c>
      <c r="BT471" s="1" t="s">
        <v>902</v>
      </c>
      <c r="BX471" s="36"/>
    </row>
    <row r="472" spans="2:76" ht="14.25">
      <c r="B472" s="36"/>
      <c r="C472" s="36"/>
      <c r="D472" s="36"/>
      <c r="E472" s="36"/>
      <c r="F472" s="36"/>
      <c r="G472" s="36"/>
      <c r="H472" s="36"/>
      <c r="J472" s="36"/>
      <c r="K472" s="1" t="str">
        <f t="shared" si="81"/>
        <v/>
      </c>
      <c r="L472" s="1" t="str">
        <f t="shared" si="82"/>
        <v/>
      </c>
      <c r="M472" s="94">
        <v>467</v>
      </c>
      <c r="N472" s="36" t="s">
        <v>2122</v>
      </c>
      <c r="O472" s="95">
        <v>310174</v>
      </c>
      <c r="P472" s="36"/>
      <c r="AI472" s="122">
        <v>160</v>
      </c>
      <c r="AJ472" s="1" t="s">
        <v>1815</v>
      </c>
      <c r="AK472" s="1">
        <v>309867</v>
      </c>
      <c r="AL472" s="1" t="s">
        <v>930</v>
      </c>
      <c r="AN472" s="270">
        <v>566</v>
      </c>
      <c r="AQ472" s="1">
        <v>324</v>
      </c>
      <c r="AR472" s="1" t="s">
        <v>360</v>
      </c>
      <c r="AS472" s="1">
        <v>210217</v>
      </c>
      <c r="AT472" s="1" t="s">
        <v>115</v>
      </c>
      <c r="AV472" s="241">
        <v>818</v>
      </c>
      <c r="AX472" s="1">
        <f t="shared" si="78"/>
        <v>1</v>
      </c>
      <c r="AY472" s="1" t="str">
        <f>IF(COUNTIF($AX$2:AX472,1)&gt;$AG$1,"",IF(AX472="","",E472))</f>
        <v/>
      </c>
      <c r="BM472" s="138">
        <f t="shared" si="79"/>
        <v>0</v>
      </c>
      <c r="BN472" s="42">
        <f t="shared" si="80"/>
        <v>0</v>
      </c>
      <c r="BS472" s="1">
        <v>10099</v>
      </c>
      <c r="BT472" s="1" t="s">
        <v>902</v>
      </c>
      <c r="BX472" s="36"/>
    </row>
    <row r="473" spans="2:76" ht="14.25">
      <c r="B473" s="36"/>
      <c r="C473" s="36"/>
      <c r="D473" s="36"/>
      <c r="E473" s="36"/>
      <c r="F473" s="36"/>
      <c r="G473" s="36"/>
      <c r="H473" s="36"/>
      <c r="J473" s="36"/>
      <c r="K473" s="1" t="str">
        <f t="shared" si="81"/>
        <v/>
      </c>
      <c r="L473" s="1" t="str">
        <f t="shared" si="82"/>
        <v/>
      </c>
      <c r="M473" s="94">
        <v>468</v>
      </c>
      <c r="N473" s="36" t="s">
        <v>2123</v>
      </c>
      <c r="O473" s="95">
        <v>310175</v>
      </c>
      <c r="P473" s="36"/>
      <c r="AI473" s="122">
        <v>161</v>
      </c>
      <c r="AJ473" s="1" t="s">
        <v>1816</v>
      </c>
      <c r="AK473" s="1">
        <v>309868</v>
      </c>
      <c r="AL473" s="1" t="s">
        <v>115</v>
      </c>
      <c r="AN473" s="270">
        <v>567</v>
      </c>
      <c r="AQ473" s="1">
        <v>325</v>
      </c>
      <c r="AR473" s="1" t="s">
        <v>361</v>
      </c>
      <c r="AS473" s="1">
        <v>210218</v>
      </c>
      <c r="AT473" s="1" t="s">
        <v>116</v>
      </c>
      <c r="AV473" s="241">
        <v>819</v>
      </c>
      <c r="AX473" s="1">
        <f t="shared" si="78"/>
        <v>1</v>
      </c>
      <c r="AY473" s="1" t="str">
        <f>IF(COUNTIF($AX$2:AX473,1)&gt;$AG$1,"",IF(AX473="","",E473))</f>
        <v/>
      </c>
      <c r="BM473" s="138">
        <f t="shared" si="79"/>
        <v>0</v>
      </c>
      <c r="BN473" s="42">
        <f t="shared" si="80"/>
        <v>0</v>
      </c>
      <c r="BS473" s="1">
        <v>10100</v>
      </c>
      <c r="BT473" s="1" t="s">
        <v>902</v>
      </c>
      <c r="BX473" s="36"/>
    </row>
    <row r="474" spans="2:76" ht="14.25">
      <c r="B474" s="36"/>
      <c r="C474" s="36"/>
      <c r="D474" s="36"/>
      <c r="E474" s="36"/>
      <c r="F474" s="36"/>
      <c r="G474" s="36"/>
      <c r="H474" s="36"/>
      <c r="J474" s="36"/>
      <c r="K474" s="1" t="str">
        <f t="shared" si="81"/>
        <v/>
      </c>
      <c r="L474" s="1" t="str">
        <f t="shared" si="82"/>
        <v/>
      </c>
      <c r="M474" s="94">
        <v>469</v>
      </c>
      <c r="N474" s="36" t="s">
        <v>2124</v>
      </c>
      <c r="O474" s="95">
        <v>310176</v>
      </c>
      <c r="P474" s="36"/>
      <c r="AI474" s="122">
        <v>162</v>
      </c>
      <c r="AJ474" s="1" t="s">
        <v>1817</v>
      </c>
      <c r="AK474" s="1">
        <v>309869</v>
      </c>
      <c r="AL474" s="1" t="s">
        <v>930</v>
      </c>
      <c r="AN474" s="270">
        <v>568</v>
      </c>
      <c r="AQ474" s="1">
        <v>326</v>
      </c>
      <c r="AR474" s="1" t="s">
        <v>362</v>
      </c>
      <c r="AS474" s="1">
        <v>210219</v>
      </c>
      <c r="AT474" s="1" t="s">
        <v>115</v>
      </c>
      <c r="AV474" s="241">
        <v>820</v>
      </c>
      <c r="AX474" s="1">
        <f t="shared" si="78"/>
        <v>1</v>
      </c>
      <c r="AY474" s="1" t="str">
        <f>IF(COUNTIF($AX$2:AX474,1)&gt;$AG$1,"",IF(AX474="","",E474))</f>
        <v/>
      </c>
      <c r="BM474" s="138">
        <f t="shared" si="79"/>
        <v>0</v>
      </c>
      <c r="BN474" s="42">
        <f t="shared" si="80"/>
        <v>0</v>
      </c>
      <c r="BS474" s="1">
        <v>10101</v>
      </c>
      <c r="BT474" s="1" t="s">
        <v>902</v>
      </c>
      <c r="BX474" s="36"/>
    </row>
    <row r="475" spans="2:76" ht="14.25">
      <c r="B475" s="36"/>
      <c r="C475" s="36"/>
      <c r="D475" s="36"/>
      <c r="E475" s="36"/>
      <c r="F475" s="36"/>
      <c r="G475" s="36"/>
      <c r="H475" s="36"/>
      <c r="J475" s="36"/>
      <c r="K475" s="1" t="str">
        <f t="shared" si="81"/>
        <v/>
      </c>
      <c r="L475" s="1" t="str">
        <f t="shared" si="82"/>
        <v/>
      </c>
      <c r="M475" s="94">
        <v>470</v>
      </c>
      <c r="N475" s="36" t="s">
        <v>2125</v>
      </c>
      <c r="O475" s="95">
        <v>310177</v>
      </c>
      <c r="P475" s="36"/>
      <c r="AI475" s="122">
        <v>163</v>
      </c>
      <c r="AJ475" s="1" t="s">
        <v>1818</v>
      </c>
      <c r="AK475" s="1">
        <v>309870</v>
      </c>
      <c r="AL475" s="1" t="s">
        <v>115</v>
      </c>
      <c r="AN475" s="270">
        <v>569</v>
      </c>
      <c r="AQ475" s="1">
        <v>327</v>
      </c>
      <c r="AR475" s="1" t="s">
        <v>363</v>
      </c>
      <c r="AS475" s="1">
        <v>210220</v>
      </c>
      <c r="AT475" s="1" t="s">
        <v>115</v>
      </c>
      <c r="AV475" s="241">
        <v>821</v>
      </c>
      <c r="AX475" s="1">
        <f t="shared" si="78"/>
        <v>1</v>
      </c>
      <c r="AY475" s="1" t="str">
        <f>IF(COUNTIF($AX$2:AX475,1)&gt;$AG$1,"",IF(AX475="","",E475))</f>
        <v/>
      </c>
      <c r="BM475" s="138">
        <f t="shared" si="79"/>
        <v>0</v>
      </c>
      <c r="BN475" s="42">
        <f t="shared" si="80"/>
        <v>0</v>
      </c>
      <c r="BS475" s="1">
        <v>10102</v>
      </c>
      <c r="BT475" s="1" t="s">
        <v>902</v>
      </c>
      <c r="BX475" s="36"/>
    </row>
    <row r="476" spans="2:76" ht="14.25">
      <c r="B476" s="36"/>
      <c r="C476" s="36"/>
      <c r="D476" s="36"/>
      <c r="E476" s="36"/>
      <c r="F476" s="36"/>
      <c r="G476" s="36"/>
      <c r="H476" s="36"/>
      <c r="J476" s="36"/>
      <c r="K476" s="1" t="str">
        <f t="shared" si="81"/>
        <v/>
      </c>
      <c r="L476" s="1" t="str">
        <f t="shared" si="82"/>
        <v/>
      </c>
      <c r="M476" s="94">
        <v>471</v>
      </c>
      <c r="N476" s="36" t="s">
        <v>2126</v>
      </c>
      <c r="O476" s="95">
        <v>310178</v>
      </c>
      <c r="P476" s="36"/>
      <c r="AI476" s="122">
        <v>164</v>
      </c>
      <c r="AJ476" s="1" t="s">
        <v>1819</v>
      </c>
      <c r="AK476" s="1">
        <v>309871</v>
      </c>
      <c r="AL476" s="1" t="s">
        <v>930</v>
      </c>
      <c r="AN476" s="270">
        <v>570</v>
      </c>
      <c r="AQ476" s="1">
        <v>328</v>
      </c>
      <c r="AR476" s="1" t="s">
        <v>364</v>
      </c>
      <c r="AS476" s="1">
        <v>210221</v>
      </c>
      <c r="AT476" s="1" t="s">
        <v>116</v>
      </c>
      <c r="AV476" s="241">
        <v>822</v>
      </c>
      <c r="AX476" s="1">
        <f t="shared" si="78"/>
        <v>1</v>
      </c>
      <c r="AY476" s="1" t="str">
        <f>IF(COUNTIF($AX$2:AX476,1)&gt;$AG$1,"",IF(AX476="","",E476))</f>
        <v/>
      </c>
      <c r="BM476" s="138">
        <f t="shared" si="79"/>
        <v>0</v>
      </c>
      <c r="BN476" s="42">
        <f t="shared" si="80"/>
        <v>0</v>
      </c>
      <c r="BS476" s="1">
        <v>10103</v>
      </c>
      <c r="BT476" s="1" t="s">
        <v>902</v>
      </c>
      <c r="BX476" s="36"/>
    </row>
    <row r="477" spans="2:76" ht="14.25">
      <c r="B477" s="36"/>
      <c r="C477" s="36"/>
      <c r="D477" s="36"/>
      <c r="E477" s="36"/>
      <c r="F477" s="36"/>
      <c r="G477" s="36"/>
      <c r="H477" s="36"/>
      <c r="J477" s="36"/>
      <c r="K477" s="1" t="str">
        <f t="shared" si="81"/>
        <v/>
      </c>
      <c r="L477" s="1" t="str">
        <f t="shared" si="82"/>
        <v/>
      </c>
      <c r="M477" s="94">
        <v>472</v>
      </c>
      <c r="N477" s="36" t="s">
        <v>2127</v>
      </c>
      <c r="O477" s="95">
        <v>310179</v>
      </c>
      <c r="P477" s="36"/>
      <c r="AI477" s="122">
        <v>165</v>
      </c>
      <c r="AJ477" s="1" t="s">
        <v>1820</v>
      </c>
      <c r="AK477" s="1">
        <v>309872</v>
      </c>
      <c r="AL477" s="1" t="s">
        <v>115</v>
      </c>
      <c r="AN477" s="270">
        <v>571</v>
      </c>
      <c r="AQ477" s="1">
        <v>329</v>
      </c>
      <c r="AR477" s="1" t="s">
        <v>365</v>
      </c>
      <c r="AS477" s="1">
        <v>210222</v>
      </c>
      <c r="AT477" s="1" t="s">
        <v>115</v>
      </c>
      <c r="AV477" s="241">
        <v>823</v>
      </c>
      <c r="AX477" s="1">
        <f t="shared" si="78"/>
        <v>1</v>
      </c>
      <c r="AY477" s="1" t="str">
        <f>IF(COUNTIF($AX$2:AX477,1)&gt;$AG$1,"",IF(AX477="","",E477))</f>
        <v/>
      </c>
      <c r="BM477" s="138">
        <f t="shared" si="79"/>
        <v>0</v>
      </c>
      <c r="BN477" s="42">
        <f t="shared" si="80"/>
        <v>0</v>
      </c>
      <c r="BS477" s="1">
        <v>10104</v>
      </c>
      <c r="BT477" s="1" t="s">
        <v>902</v>
      </c>
      <c r="BX477" s="36"/>
    </row>
    <row r="478" spans="2:76" ht="14.25">
      <c r="B478" s="36"/>
      <c r="C478" s="36"/>
      <c r="D478" s="36"/>
      <c r="E478" s="36"/>
      <c r="F478" s="36"/>
      <c r="G478" s="36"/>
      <c r="H478" s="36"/>
      <c r="J478" s="36"/>
      <c r="K478" s="1" t="str">
        <f t="shared" si="81"/>
        <v/>
      </c>
      <c r="L478" s="1" t="str">
        <f t="shared" si="82"/>
        <v/>
      </c>
      <c r="M478" s="94">
        <v>473</v>
      </c>
      <c r="N478" s="36" t="s">
        <v>2135</v>
      </c>
      <c r="O478" s="95">
        <v>310187</v>
      </c>
      <c r="P478" s="36"/>
      <c r="AI478" s="122">
        <v>166</v>
      </c>
      <c r="AJ478" s="1" t="s">
        <v>1821</v>
      </c>
      <c r="AK478" s="1">
        <v>309873</v>
      </c>
      <c r="AL478" s="1" t="s">
        <v>930</v>
      </c>
      <c r="AN478" s="270">
        <v>572</v>
      </c>
      <c r="AQ478" s="1">
        <v>330</v>
      </c>
      <c r="AR478" s="1" t="s">
        <v>366</v>
      </c>
      <c r="AS478" s="1">
        <v>210223</v>
      </c>
      <c r="AT478" s="1" t="s">
        <v>116</v>
      </c>
      <c r="AV478" s="241">
        <v>824</v>
      </c>
      <c r="AX478" s="1">
        <f t="shared" si="78"/>
        <v>1</v>
      </c>
      <c r="AY478" s="1" t="str">
        <f>IF(COUNTIF($AX$2:AX478,1)&gt;$AG$1,"",IF(AX478="","",E478))</f>
        <v/>
      </c>
      <c r="BM478" s="138">
        <f t="shared" si="79"/>
        <v>0</v>
      </c>
      <c r="BN478" s="42">
        <f t="shared" si="80"/>
        <v>0</v>
      </c>
      <c r="BS478" s="1">
        <v>10105</v>
      </c>
      <c r="BT478" s="1" t="s">
        <v>902</v>
      </c>
      <c r="BX478" s="36"/>
    </row>
    <row r="479" spans="2:76" ht="14.25">
      <c r="B479" s="36"/>
      <c r="C479" s="36"/>
      <c r="D479" s="36"/>
      <c r="E479" s="36"/>
      <c r="F479" s="36"/>
      <c r="G479" s="36"/>
      <c r="H479" s="36"/>
      <c r="J479" s="36"/>
      <c r="K479" s="1" t="str">
        <f t="shared" si="81"/>
        <v/>
      </c>
      <c r="L479" s="1" t="str">
        <f t="shared" si="82"/>
        <v/>
      </c>
      <c r="M479" s="94">
        <v>474</v>
      </c>
      <c r="N479" s="36" t="s">
        <v>2129</v>
      </c>
      <c r="O479" s="95">
        <v>310181</v>
      </c>
      <c r="P479" s="36"/>
      <c r="AI479" s="122">
        <v>167</v>
      </c>
      <c r="AJ479" s="1" t="s">
        <v>1822</v>
      </c>
      <c r="AK479" s="1">
        <v>309874</v>
      </c>
      <c r="AL479" s="1" t="s">
        <v>930</v>
      </c>
      <c r="AN479" s="270">
        <v>573</v>
      </c>
      <c r="AQ479" s="1">
        <v>331</v>
      </c>
      <c r="AR479" s="1" t="s">
        <v>367</v>
      </c>
      <c r="AS479" s="1">
        <v>210224</v>
      </c>
      <c r="AT479" s="1" t="s">
        <v>115</v>
      </c>
      <c r="AV479" s="241">
        <v>825</v>
      </c>
      <c r="AX479" s="1">
        <f t="shared" si="78"/>
        <v>1</v>
      </c>
      <c r="AY479" s="1" t="str">
        <f>IF(COUNTIF($AX$2:AX479,1)&gt;$AG$1,"",IF(AX479="","",E479))</f>
        <v/>
      </c>
      <c r="BM479" s="138">
        <f t="shared" si="79"/>
        <v>0</v>
      </c>
      <c r="BN479" s="42">
        <f t="shared" si="80"/>
        <v>0</v>
      </c>
      <c r="BS479" s="1">
        <v>10106</v>
      </c>
      <c r="BT479" s="1" t="s">
        <v>902</v>
      </c>
      <c r="BX479" s="36"/>
    </row>
    <row r="480" spans="2:76" ht="14.25">
      <c r="B480" s="36"/>
      <c r="C480" s="36"/>
      <c r="D480" s="36"/>
      <c r="E480" s="36"/>
      <c r="F480" s="36"/>
      <c r="G480" s="36"/>
      <c r="H480" s="36"/>
      <c r="J480" s="36"/>
      <c r="K480" s="1" t="str">
        <f t="shared" si="81"/>
        <v/>
      </c>
      <c r="L480" s="1" t="str">
        <f t="shared" si="82"/>
        <v/>
      </c>
      <c r="M480" s="94">
        <v>475</v>
      </c>
      <c r="N480" s="36" t="s">
        <v>2130</v>
      </c>
      <c r="O480" s="95">
        <v>310182</v>
      </c>
      <c r="P480" s="36"/>
      <c r="AI480" s="122">
        <v>168</v>
      </c>
      <c r="AJ480" s="1" t="s">
        <v>1823</v>
      </c>
      <c r="AK480" s="1">
        <v>309875</v>
      </c>
      <c r="AL480" s="1" t="s">
        <v>115</v>
      </c>
      <c r="AN480" s="270">
        <v>574</v>
      </c>
      <c r="AQ480" s="1">
        <v>332</v>
      </c>
      <c r="AR480" s="1" t="s">
        <v>368</v>
      </c>
      <c r="AS480" s="1">
        <v>210225</v>
      </c>
      <c r="AT480" s="1" t="s">
        <v>115</v>
      </c>
      <c r="AV480" s="241">
        <v>826</v>
      </c>
      <c r="AX480" s="1">
        <f t="shared" si="78"/>
        <v>1</v>
      </c>
      <c r="AY480" s="1" t="str">
        <f>IF(COUNTIF($AX$2:AX480,1)&gt;$AG$1,"",IF(AX480="","",E480))</f>
        <v/>
      </c>
      <c r="BM480" s="138">
        <f t="shared" si="79"/>
        <v>0</v>
      </c>
      <c r="BN480" s="42">
        <f t="shared" si="80"/>
        <v>0</v>
      </c>
      <c r="BS480" s="1">
        <v>10107</v>
      </c>
      <c r="BT480" s="1" t="s">
        <v>902</v>
      </c>
      <c r="BX480" s="36"/>
    </row>
    <row r="481" spans="2:76" ht="14.25">
      <c r="B481" s="36"/>
      <c r="C481" s="36"/>
      <c r="D481" s="36"/>
      <c r="E481" s="36"/>
      <c r="F481" s="36"/>
      <c r="G481" s="36"/>
      <c r="H481" s="36"/>
      <c r="J481" s="36"/>
      <c r="K481" s="1" t="str">
        <f t="shared" si="81"/>
        <v/>
      </c>
      <c r="L481" s="1" t="str">
        <f t="shared" si="82"/>
        <v/>
      </c>
      <c r="M481" s="94">
        <v>476</v>
      </c>
      <c r="N481" s="36" t="s">
        <v>2131</v>
      </c>
      <c r="O481" s="95">
        <v>310183</v>
      </c>
      <c r="P481" s="36"/>
      <c r="AI481" s="122">
        <v>169</v>
      </c>
      <c r="AJ481" s="1" t="s">
        <v>1824</v>
      </c>
      <c r="AK481" s="1">
        <v>309876</v>
      </c>
      <c r="AL481" s="1" t="s">
        <v>930</v>
      </c>
      <c r="AN481" s="270">
        <v>575</v>
      </c>
      <c r="AQ481" s="1">
        <v>333</v>
      </c>
      <c r="AR481" s="1" t="s">
        <v>369</v>
      </c>
      <c r="AS481" s="1">
        <v>210226</v>
      </c>
      <c r="AT481" s="1" t="s">
        <v>116</v>
      </c>
      <c r="AV481" s="241">
        <v>827</v>
      </c>
      <c r="AX481" s="1">
        <f t="shared" si="78"/>
        <v>1</v>
      </c>
      <c r="AY481" s="1" t="str">
        <f>IF(COUNTIF($AX$2:AX481,1)&gt;$AG$1,"",IF(AX481="","",E481))</f>
        <v/>
      </c>
      <c r="BM481" s="138">
        <f t="shared" si="79"/>
        <v>0</v>
      </c>
      <c r="BN481" s="42">
        <f t="shared" si="80"/>
        <v>0</v>
      </c>
      <c r="BS481" s="1">
        <v>10108</v>
      </c>
      <c r="BT481" s="1" t="s">
        <v>902</v>
      </c>
      <c r="BX481" s="36"/>
    </row>
    <row r="482" spans="2:76" ht="14.25">
      <c r="B482" s="36"/>
      <c r="C482" s="36"/>
      <c r="D482" s="36"/>
      <c r="E482" s="36"/>
      <c r="F482" s="36"/>
      <c r="G482" s="36"/>
      <c r="H482" s="36"/>
      <c r="J482" s="36"/>
      <c r="K482" s="1" t="str">
        <f t="shared" si="81"/>
        <v/>
      </c>
      <c r="L482" s="1" t="str">
        <f t="shared" si="82"/>
        <v/>
      </c>
      <c r="M482" s="94">
        <v>477</v>
      </c>
      <c r="N482" s="36" t="s">
        <v>2132</v>
      </c>
      <c r="O482" s="95">
        <v>310184</v>
      </c>
      <c r="P482" s="36"/>
      <c r="AI482" s="122">
        <v>170</v>
      </c>
      <c r="AJ482" s="1" t="s">
        <v>1825</v>
      </c>
      <c r="AK482" s="1">
        <v>309877</v>
      </c>
      <c r="AL482" s="1" t="s">
        <v>115</v>
      </c>
      <c r="AN482" s="270">
        <v>576</v>
      </c>
      <c r="AQ482" s="1">
        <v>334</v>
      </c>
      <c r="AR482" s="1" t="s">
        <v>370</v>
      </c>
      <c r="AS482" s="1">
        <v>210227</v>
      </c>
      <c r="AT482" s="1" t="s">
        <v>115</v>
      </c>
      <c r="AV482" s="241">
        <v>828</v>
      </c>
      <c r="AX482" s="1">
        <f t="shared" si="78"/>
        <v>1</v>
      </c>
      <c r="AY482" s="1" t="str">
        <f>IF(COUNTIF($AX$2:AX482,1)&gt;$AG$1,"",IF(AX482="","",E482))</f>
        <v/>
      </c>
      <c r="BM482" s="138">
        <f t="shared" si="79"/>
        <v>0</v>
      </c>
      <c r="BN482" s="42">
        <f t="shared" si="80"/>
        <v>0</v>
      </c>
      <c r="BS482" s="1">
        <v>10109</v>
      </c>
      <c r="BT482" s="1" t="s">
        <v>902</v>
      </c>
      <c r="BX482" s="36"/>
    </row>
    <row r="483" spans="2:76" ht="14.25">
      <c r="B483" s="36"/>
      <c r="C483" s="36"/>
      <c r="D483" s="36"/>
      <c r="E483" s="36"/>
      <c r="F483" s="36"/>
      <c r="G483" s="36"/>
      <c r="H483" s="36"/>
      <c r="J483" s="36"/>
      <c r="K483" s="1" t="str">
        <f t="shared" si="81"/>
        <v/>
      </c>
      <c r="L483" s="1" t="str">
        <f t="shared" si="82"/>
        <v/>
      </c>
      <c r="M483" s="94">
        <v>478</v>
      </c>
      <c r="N483" s="36" t="s">
        <v>2133</v>
      </c>
      <c r="O483" s="95">
        <v>310185</v>
      </c>
      <c r="P483" s="36"/>
      <c r="AI483" s="122">
        <v>171</v>
      </c>
      <c r="AJ483" s="1" t="s">
        <v>1826</v>
      </c>
      <c r="AK483" s="1">
        <v>309878</v>
      </c>
      <c r="AL483" s="1" t="s">
        <v>930</v>
      </c>
      <c r="AN483" s="270">
        <v>577</v>
      </c>
      <c r="AQ483" s="1">
        <v>335</v>
      </c>
      <c r="AR483" s="1" t="s">
        <v>371</v>
      </c>
      <c r="AS483" s="1">
        <v>210236</v>
      </c>
      <c r="AT483" s="1" t="s">
        <v>116</v>
      </c>
      <c r="AV483" s="241">
        <v>829</v>
      </c>
      <c r="AX483" s="1">
        <f t="shared" si="78"/>
        <v>1</v>
      </c>
      <c r="AY483" s="1" t="str">
        <f>IF(COUNTIF($AX$2:AX483,1)&gt;$AG$1,"",IF(AX483="","",E483))</f>
        <v/>
      </c>
      <c r="BM483" s="138">
        <f t="shared" si="79"/>
        <v>0</v>
      </c>
      <c r="BN483" s="42">
        <f t="shared" si="80"/>
        <v>0</v>
      </c>
      <c r="BS483" s="1">
        <v>10110</v>
      </c>
      <c r="BT483" s="1" t="s">
        <v>902</v>
      </c>
      <c r="BX483" s="36"/>
    </row>
    <row r="484" spans="2:76" ht="14.25">
      <c r="B484" s="36"/>
      <c r="C484" s="36"/>
      <c r="D484" s="36"/>
      <c r="E484" s="36"/>
      <c r="F484" s="36"/>
      <c r="G484" s="36"/>
      <c r="H484" s="36"/>
      <c r="J484" s="36"/>
      <c r="K484" s="1" t="str">
        <f t="shared" si="81"/>
        <v/>
      </c>
      <c r="L484" s="1" t="str">
        <f t="shared" si="82"/>
        <v/>
      </c>
      <c r="M484" s="94">
        <v>479</v>
      </c>
      <c r="N484" s="36" t="s">
        <v>2134</v>
      </c>
      <c r="O484" s="95">
        <v>310186</v>
      </c>
      <c r="P484" s="36"/>
      <c r="AI484" s="122">
        <v>172</v>
      </c>
      <c r="AJ484" s="1" t="s">
        <v>1827</v>
      </c>
      <c r="AK484" s="1">
        <v>309879</v>
      </c>
      <c r="AL484" s="1" t="s">
        <v>115</v>
      </c>
      <c r="AN484" s="270">
        <v>578</v>
      </c>
      <c r="AQ484" s="1">
        <v>336</v>
      </c>
      <c r="AR484" s="1" t="s">
        <v>372</v>
      </c>
      <c r="AS484" s="1">
        <v>210237</v>
      </c>
      <c r="AT484" s="1" t="s">
        <v>115</v>
      </c>
      <c r="AV484" s="241">
        <v>830</v>
      </c>
      <c r="AX484" s="1">
        <f t="shared" si="78"/>
        <v>1</v>
      </c>
      <c r="AY484" s="1" t="str">
        <f>IF(COUNTIF($AX$2:AX484,1)&gt;$AG$1,"",IF(AX484="","",E484))</f>
        <v/>
      </c>
      <c r="BM484" s="138">
        <f t="shared" si="79"/>
        <v>0</v>
      </c>
      <c r="BN484" s="42">
        <f t="shared" si="80"/>
        <v>0</v>
      </c>
      <c r="BS484" s="1">
        <v>10111</v>
      </c>
      <c r="BT484" s="1" t="s">
        <v>902</v>
      </c>
      <c r="BX484" s="36"/>
    </row>
    <row r="485" spans="2:76" ht="14.25">
      <c r="B485" s="36"/>
      <c r="C485" s="36"/>
      <c r="D485" s="36"/>
      <c r="E485" s="36"/>
      <c r="F485" s="36"/>
      <c r="G485" s="36"/>
      <c r="H485" s="36"/>
      <c r="J485" s="36"/>
      <c r="K485" s="1" t="str">
        <f t="shared" si="81"/>
        <v/>
      </c>
      <c r="L485" s="1" t="str">
        <f t="shared" si="82"/>
        <v/>
      </c>
      <c r="M485" s="94">
        <v>480</v>
      </c>
      <c r="N485" s="36" t="s">
        <v>2128</v>
      </c>
      <c r="O485" s="95">
        <v>310180</v>
      </c>
      <c r="P485" s="36"/>
      <c r="AI485" s="122">
        <v>173</v>
      </c>
      <c r="AJ485" s="1" t="s">
        <v>1828</v>
      </c>
      <c r="AK485" s="1">
        <v>309880</v>
      </c>
      <c r="AL485" s="1" t="s">
        <v>930</v>
      </c>
      <c r="AN485" s="270">
        <v>579</v>
      </c>
      <c r="AQ485" s="1">
        <v>337</v>
      </c>
      <c r="AR485" s="1" t="s">
        <v>373</v>
      </c>
      <c r="AS485" s="1">
        <v>210228</v>
      </c>
      <c r="AT485" s="1" t="s">
        <v>116</v>
      </c>
      <c r="AV485" s="241">
        <v>831</v>
      </c>
      <c r="AX485" s="1">
        <f t="shared" si="78"/>
        <v>1</v>
      </c>
      <c r="AY485" s="1" t="str">
        <f>IF(COUNTIF($AX$2:AX485,1)&gt;$AG$1,"",IF(AX485="","",E485))</f>
        <v/>
      </c>
      <c r="BM485" s="138">
        <f t="shared" si="79"/>
        <v>0</v>
      </c>
      <c r="BN485" s="42">
        <f t="shared" si="80"/>
        <v>0</v>
      </c>
      <c r="BS485" s="1">
        <v>10112</v>
      </c>
      <c r="BT485" s="1" t="s">
        <v>902</v>
      </c>
      <c r="BX485" s="36"/>
    </row>
    <row r="486" spans="2:76" ht="14.25">
      <c r="B486" s="36"/>
      <c r="C486" s="36"/>
      <c r="D486" s="36"/>
      <c r="E486" s="36"/>
      <c r="F486" s="36"/>
      <c r="G486" s="36"/>
      <c r="H486" s="36"/>
      <c r="J486" s="36"/>
      <c r="K486" s="1" t="str">
        <f t="shared" si="81"/>
        <v/>
      </c>
      <c r="L486" s="1" t="str">
        <f t="shared" si="82"/>
        <v/>
      </c>
      <c r="M486" s="94">
        <v>481</v>
      </c>
      <c r="N486" s="36" t="s">
        <v>2136</v>
      </c>
      <c r="O486" s="95">
        <v>310188</v>
      </c>
      <c r="P486" s="36"/>
      <c r="AI486" s="122">
        <v>174</v>
      </c>
      <c r="AJ486" s="1" t="s">
        <v>1829</v>
      </c>
      <c r="AK486" s="1">
        <v>309881</v>
      </c>
      <c r="AL486" s="1" t="s">
        <v>930</v>
      </c>
      <c r="AN486" s="270">
        <v>580</v>
      </c>
      <c r="AQ486" s="1">
        <v>338</v>
      </c>
      <c r="AR486" s="1" t="s">
        <v>374</v>
      </c>
      <c r="AS486" s="1">
        <v>210229</v>
      </c>
      <c r="AT486" s="1" t="s">
        <v>115</v>
      </c>
      <c r="AV486" s="241">
        <v>832</v>
      </c>
      <c r="AX486" s="1">
        <f t="shared" si="78"/>
        <v>1</v>
      </c>
      <c r="AY486" s="1" t="str">
        <f>IF(COUNTIF($AX$2:AX486,1)&gt;$AG$1,"",IF(AX486="","",E486))</f>
        <v/>
      </c>
      <c r="BM486" s="138">
        <f t="shared" si="79"/>
        <v>0</v>
      </c>
      <c r="BN486" s="42">
        <f t="shared" si="80"/>
        <v>0</v>
      </c>
      <c r="BS486" s="1">
        <v>10113</v>
      </c>
      <c r="BT486" s="1" t="s">
        <v>902</v>
      </c>
      <c r="BX486" s="36"/>
    </row>
    <row r="487" spans="2:76" ht="14.25">
      <c r="B487" s="36"/>
      <c r="C487" s="36"/>
      <c r="D487" s="36"/>
      <c r="E487" s="36"/>
      <c r="F487" s="36"/>
      <c r="G487" s="36"/>
      <c r="H487" s="36"/>
      <c r="J487" s="36"/>
      <c r="K487" s="1" t="str">
        <f t="shared" si="81"/>
        <v/>
      </c>
      <c r="L487" s="1" t="str">
        <f t="shared" si="82"/>
        <v/>
      </c>
      <c r="M487" s="94">
        <v>482</v>
      </c>
      <c r="N487" s="36" t="s">
        <v>2137</v>
      </c>
      <c r="O487" s="95">
        <v>310189</v>
      </c>
      <c r="P487" s="36"/>
      <c r="AI487" s="122">
        <v>175</v>
      </c>
      <c r="AJ487" s="1" t="s">
        <v>1830</v>
      </c>
      <c r="AK487" s="1">
        <v>309882</v>
      </c>
      <c r="AL487" s="1" t="s">
        <v>115</v>
      </c>
      <c r="AN487" s="270">
        <v>581</v>
      </c>
      <c r="AQ487" s="1">
        <v>339</v>
      </c>
      <c r="AR487" s="1" t="s">
        <v>375</v>
      </c>
      <c r="AS487" s="1">
        <v>210230</v>
      </c>
      <c r="AT487" s="1" t="s">
        <v>115</v>
      </c>
      <c r="AV487" s="241">
        <v>833</v>
      </c>
      <c r="AX487" s="1">
        <f t="shared" si="78"/>
        <v>1</v>
      </c>
      <c r="AY487" s="1" t="str">
        <f>IF(COUNTIF($AX$2:AX487,1)&gt;$AG$1,"",IF(AX487="","",E487))</f>
        <v/>
      </c>
      <c r="BM487" s="138">
        <f t="shared" si="79"/>
        <v>0</v>
      </c>
      <c r="BN487" s="42">
        <f t="shared" si="80"/>
        <v>0</v>
      </c>
      <c r="BS487" s="1">
        <v>10114</v>
      </c>
      <c r="BT487" s="1" t="s">
        <v>902</v>
      </c>
      <c r="BX487" s="36"/>
    </row>
    <row r="488" spans="2:76" ht="14.25">
      <c r="B488" s="36"/>
      <c r="C488" s="36"/>
      <c r="D488" s="36"/>
      <c r="E488" s="36"/>
      <c r="F488" s="36"/>
      <c r="G488" s="36"/>
      <c r="H488" s="36"/>
      <c r="J488" s="36"/>
      <c r="K488" s="1" t="str">
        <f t="shared" si="81"/>
        <v/>
      </c>
      <c r="L488" s="1" t="str">
        <f t="shared" si="82"/>
        <v/>
      </c>
      <c r="M488" s="94">
        <v>483</v>
      </c>
      <c r="N488" s="36" t="s">
        <v>2138</v>
      </c>
      <c r="O488" s="95">
        <v>310190</v>
      </c>
      <c r="P488" s="36"/>
      <c r="AI488" s="122">
        <v>176</v>
      </c>
      <c r="AJ488" s="1" t="s">
        <v>1831</v>
      </c>
      <c r="AK488" s="1">
        <v>309883</v>
      </c>
      <c r="AL488" s="1" t="s">
        <v>930</v>
      </c>
      <c r="AN488" s="270">
        <v>582</v>
      </c>
      <c r="AQ488" s="1">
        <v>340</v>
      </c>
      <c r="AR488" s="1" t="s">
        <v>376</v>
      </c>
      <c r="AS488" s="1">
        <v>210231</v>
      </c>
      <c r="AT488" s="1" t="s">
        <v>116</v>
      </c>
      <c r="AV488" s="241">
        <v>834</v>
      </c>
      <c r="AX488" s="1">
        <f t="shared" si="78"/>
        <v>1</v>
      </c>
      <c r="AY488" s="1" t="str">
        <f>IF(COUNTIF($AX$2:AX488,1)&gt;$AG$1,"",IF(AX488="","",E488))</f>
        <v/>
      </c>
      <c r="BM488" s="138">
        <f t="shared" si="79"/>
        <v>0</v>
      </c>
      <c r="BN488" s="42">
        <f t="shared" si="80"/>
        <v>0</v>
      </c>
      <c r="BS488" s="1">
        <v>10115</v>
      </c>
      <c r="BT488" s="1" t="s">
        <v>902</v>
      </c>
      <c r="BX488" s="36"/>
    </row>
    <row r="489" spans="2:76" ht="14.25">
      <c r="B489" s="36"/>
      <c r="C489" s="36"/>
      <c r="D489" s="36"/>
      <c r="E489" s="36"/>
      <c r="F489" s="36"/>
      <c r="G489" s="36"/>
      <c r="H489" s="36"/>
      <c r="J489" s="36"/>
      <c r="K489" s="1" t="str">
        <f t="shared" si="81"/>
        <v/>
      </c>
      <c r="L489" s="1" t="str">
        <f t="shared" si="82"/>
        <v/>
      </c>
      <c r="M489" s="94">
        <v>484</v>
      </c>
      <c r="N489" s="36" t="s">
        <v>2139</v>
      </c>
      <c r="O489" s="95">
        <v>310191</v>
      </c>
      <c r="P489" s="36"/>
      <c r="AI489" s="122">
        <v>177</v>
      </c>
      <c r="AJ489" s="1" t="s">
        <v>1832</v>
      </c>
      <c r="AK489" s="1">
        <v>309884</v>
      </c>
      <c r="AL489" s="1" t="s">
        <v>115</v>
      </c>
      <c r="AN489" s="270">
        <v>583</v>
      </c>
      <c r="AQ489" s="1">
        <v>341</v>
      </c>
      <c r="AR489" s="1" t="s">
        <v>377</v>
      </c>
      <c r="AS489" s="1">
        <v>210232</v>
      </c>
      <c r="AT489" s="1" t="s">
        <v>115</v>
      </c>
      <c r="AV489" s="241">
        <v>835</v>
      </c>
      <c r="AX489" s="1">
        <f t="shared" si="78"/>
        <v>1</v>
      </c>
      <c r="AY489" s="1" t="str">
        <f>IF(COUNTIF($AX$2:AX489,1)&gt;$AG$1,"",IF(AX489="","",E489))</f>
        <v/>
      </c>
      <c r="BM489" s="138">
        <f t="shared" si="79"/>
        <v>0</v>
      </c>
      <c r="BN489" s="42">
        <f t="shared" si="80"/>
        <v>0</v>
      </c>
      <c r="BS489" s="1">
        <v>10116</v>
      </c>
      <c r="BT489" s="1" t="s">
        <v>902</v>
      </c>
      <c r="BX489" s="36"/>
    </row>
    <row r="490" spans="2:76" ht="14.25">
      <c r="B490" s="36"/>
      <c r="C490" s="36"/>
      <c r="D490" s="36"/>
      <c r="E490" s="36"/>
      <c r="F490" s="36"/>
      <c r="G490" s="36"/>
      <c r="H490" s="36"/>
      <c r="J490" s="36"/>
      <c r="K490" s="1" t="str">
        <f t="shared" si="81"/>
        <v/>
      </c>
      <c r="L490" s="1" t="str">
        <f t="shared" si="82"/>
        <v/>
      </c>
      <c r="M490" s="94">
        <v>485</v>
      </c>
      <c r="N490" s="36" t="s">
        <v>2140</v>
      </c>
      <c r="O490" s="95">
        <v>310192</v>
      </c>
      <c r="P490" s="36"/>
      <c r="AI490" s="122">
        <v>178</v>
      </c>
      <c r="AJ490" s="1" t="s">
        <v>1833</v>
      </c>
      <c r="AK490" s="1">
        <v>309885</v>
      </c>
      <c r="AL490" s="1" t="s">
        <v>930</v>
      </c>
      <c r="AN490" s="270">
        <v>584</v>
      </c>
      <c r="AQ490" s="1">
        <v>342</v>
      </c>
      <c r="AR490" s="1" t="s">
        <v>378</v>
      </c>
      <c r="AS490" s="1">
        <v>210233</v>
      </c>
      <c r="AT490" s="1" t="s">
        <v>116</v>
      </c>
      <c r="AV490" s="241">
        <v>836</v>
      </c>
      <c r="AX490" s="1">
        <f t="shared" si="78"/>
        <v>1</v>
      </c>
      <c r="AY490" s="1" t="str">
        <f>IF(COUNTIF($AX$2:AX490,1)&gt;$AG$1,"",IF(AX490="","",E490))</f>
        <v/>
      </c>
      <c r="BM490" s="138">
        <f t="shared" si="79"/>
        <v>0</v>
      </c>
      <c r="BN490" s="42">
        <f t="shared" si="80"/>
        <v>0</v>
      </c>
      <c r="BS490" s="1">
        <v>10117</v>
      </c>
      <c r="BT490" s="1" t="s">
        <v>902</v>
      </c>
      <c r="BX490" s="36"/>
    </row>
    <row r="491" spans="2:76" ht="14.25">
      <c r="B491" s="36"/>
      <c r="C491" s="36"/>
      <c r="D491" s="36"/>
      <c r="E491" s="36"/>
      <c r="F491" s="36"/>
      <c r="G491" s="36"/>
      <c r="H491" s="36"/>
      <c r="J491" s="36"/>
      <c r="K491" s="1" t="str">
        <f t="shared" si="81"/>
        <v/>
      </c>
      <c r="L491" s="1" t="str">
        <f t="shared" si="82"/>
        <v/>
      </c>
      <c r="M491" s="94">
        <v>486</v>
      </c>
      <c r="N491" s="36" t="s">
        <v>2141</v>
      </c>
      <c r="O491" s="95">
        <v>310193</v>
      </c>
      <c r="P491" s="36"/>
      <c r="AI491" s="122">
        <v>179</v>
      </c>
      <c r="AJ491" s="1" t="s">
        <v>1834</v>
      </c>
      <c r="AK491" s="1">
        <v>309886</v>
      </c>
      <c r="AL491" s="1" t="s">
        <v>115</v>
      </c>
      <c r="AN491" s="270">
        <v>585</v>
      </c>
      <c r="AQ491" s="1">
        <v>343</v>
      </c>
      <c r="AR491" s="1" t="s">
        <v>379</v>
      </c>
      <c r="AS491" s="1">
        <v>210234</v>
      </c>
      <c r="AT491" s="1" t="s">
        <v>115</v>
      </c>
      <c r="AV491" s="241">
        <v>837</v>
      </c>
      <c r="AX491" s="1">
        <f t="shared" si="78"/>
        <v>1</v>
      </c>
      <c r="AY491" s="1" t="str">
        <f>IF(COUNTIF($AX$2:AX491,1)&gt;$AG$1,"",IF(AX491="","",E491))</f>
        <v/>
      </c>
      <c r="BM491" s="138">
        <f t="shared" si="79"/>
        <v>0</v>
      </c>
      <c r="BN491" s="42">
        <f t="shared" si="80"/>
        <v>0</v>
      </c>
      <c r="BS491" s="1">
        <v>10118</v>
      </c>
      <c r="BT491" s="1" t="s">
        <v>902</v>
      </c>
      <c r="BX491" s="36"/>
    </row>
    <row r="492" spans="2:76" ht="14.25">
      <c r="B492" s="36"/>
      <c r="C492" s="36"/>
      <c r="D492" s="36"/>
      <c r="E492" s="36"/>
      <c r="F492" s="36"/>
      <c r="G492" s="36"/>
      <c r="H492" s="36"/>
      <c r="J492" s="36"/>
      <c r="K492" s="1" t="str">
        <f t="shared" si="81"/>
        <v/>
      </c>
      <c r="L492" s="1" t="str">
        <f t="shared" si="82"/>
        <v/>
      </c>
      <c r="M492" s="94">
        <v>487</v>
      </c>
      <c r="N492" s="36" t="s">
        <v>2142</v>
      </c>
      <c r="O492" s="95">
        <v>310194</v>
      </c>
      <c r="P492" s="36"/>
      <c r="AI492" s="122">
        <v>180</v>
      </c>
      <c r="AJ492" s="1" t="s">
        <v>1835</v>
      </c>
      <c r="AK492" s="1">
        <v>309887</v>
      </c>
      <c r="AL492" s="1" t="s">
        <v>930</v>
      </c>
      <c r="AN492" s="270">
        <v>586</v>
      </c>
      <c r="AQ492" s="1">
        <v>344</v>
      </c>
      <c r="AR492" s="1" t="s">
        <v>380</v>
      </c>
      <c r="AS492" s="1">
        <v>210235</v>
      </c>
      <c r="AT492" s="1" t="s">
        <v>115</v>
      </c>
      <c r="AV492" s="241">
        <v>838</v>
      </c>
      <c r="AX492" s="1">
        <f t="shared" si="78"/>
        <v>1</v>
      </c>
      <c r="AY492" s="1" t="str">
        <f>IF(COUNTIF($AX$2:AX492,1)&gt;$AG$1,"",IF(AX492="","",E492))</f>
        <v/>
      </c>
      <c r="BM492" s="138">
        <f t="shared" si="79"/>
        <v>0</v>
      </c>
      <c r="BN492" s="42">
        <f t="shared" si="80"/>
        <v>0</v>
      </c>
      <c r="BS492" s="1">
        <v>10119</v>
      </c>
      <c r="BT492" s="1" t="s">
        <v>902</v>
      </c>
      <c r="BX492" s="36"/>
    </row>
    <row r="493" spans="2:76" ht="14.25">
      <c r="B493" s="36"/>
      <c r="C493" s="36"/>
      <c r="D493" s="36"/>
      <c r="E493" s="36"/>
      <c r="F493" s="36"/>
      <c r="G493" s="36"/>
      <c r="H493" s="36"/>
      <c r="J493" s="36"/>
      <c r="K493" s="1" t="str">
        <f t="shared" si="81"/>
        <v/>
      </c>
      <c r="L493" s="1" t="str">
        <f t="shared" si="82"/>
        <v/>
      </c>
      <c r="M493" s="94">
        <v>488</v>
      </c>
      <c r="N493" s="36" t="s">
        <v>2143</v>
      </c>
      <c r="O493" s="95">
        <v>310195</v>
      </c>
      <c r="P493" s="36"/>
      <c r="AI493" s="122">
        <v>181</v>
      </c>
      <c r="AJ493" s="1" t="s">
        <v>1836</v>
      </c>
      <c r="AK493" s="1">
        <v>309888</v>
      </c>
      <c r="AL493" s="1" t="s">
        <v>115</v>
      </c>
      <c r="AN493" s="270">
        <v>587</v>
      </c>
      <c r="AQ493" s="1">
        <v>345</v>
      </c>
      <c r="AR493" s="1" t="s">
        <v>381</v>
      </c>
      <c r="AS493" s="1">
        <v>210238</v>
      </c>
      <c r="AT493" s="1" t="s">
        <v>116</v>
      </c>
      <c r="AV493" s="241">
        <v>839</v>
      </c>
      <c r="AX493" s="1">
        <f t="shared" si="78"/>
        <v>1</v>
      </c>
      <c r="AY493" s="1" t="str">
        <f>IF(COUNTIF($AX$2:AX493,1)&gt;$AG$1,"",IF(AX493="","",E493))</f>
        <v/>
      </c>
      <c r="BM493" s="138">
        <f t="shared" si="79"/>
        <v>0</v>
      </c>
      <c r="BN493" s="42">
        <f t="shared" si="80"/>
        <v>0</v>
      </c>
      <c r="BS493" s="1">
        <v>10120</v>
      </c>
      <c r="BT493" s="1" t="s">
        <v>902</v>
      </c>
      <c r="BX493" s="36"/>
    </row>
    <row r="494" spans="2:76" ht="14.25">
      <c r="B494" s="36"/>
      <c r="C494" s="36"/>
      <c r="D494" s="36"/>
      <c r="E494" s="36"/>
      <c r="F494" s="36"/>
      <c r="G494" s="36"/>
      <c r="H494" s="36"/>
      <c r="J494" s="36"/>
      <c r="K494" s="1" t="str">
        <f t="shared" si="81"/>
        <v/>
      </c>
      <c r="L494" s="1" t="str">
        <f t="shared" si="82"/>
        <v/>
      </c>
      <c r="M494" s="94">
        <v>489</v>
      </c>
      <c r="N494" s="36" t="s">
        <v>2144</v>
      </c>
      <c r="O494" s="95">
        <v>310196</v>
      </c>
      <c r="P494" s="36"/>
      <c r="AI494" s="122">
        <v>182</v>
      </c>
      <c r="AJ494" s="1" t="s">
        <v>1837</v>
      </c>
      <c r="AK494" s="1">
        <v>309889</v>
      </c>
      <c r="AL494" s="1" t="s">
        <v>930</v>
      </c>
      <c r="AN494" s="270">
        <v>588</v>
      </c>
      <c r="AQ494" s="1">
        <v>346</v>
      </c>
      <c r="AR494" s="1" t="s">
        <v>382</v>
      </c>
      <c r="AS494" s="1">
        <v>210239</v>
      </c>
      <c r="AT494" s="1" t="s">
        <v>115</v>
      </c>
      <c r="AV494" s="241">
        <v>840</v>
      </c>
      <c r="AX494" s="1">
        <f t="shared" si="78"/>
        <v>1</v>
      </c>
      <c r="AY494" s="1" t="str">
        <f>IF(COUNTIF($AX$2:AX494,1)&gt;$AG$1,"",IF(AX494="","",E494))</f>
        <v/>
      </c>
      <c r="BM494" s="138">
        <f t="shared" si="79"/>
        <v>0</v>
      </c>
      <c r="BN494" s="42">
        <f t="shared" si="80"/>
        <v>0</v>
      </c>
      <c r="BS494" s="1">
        <v>10121</v>
      </c>
      <c r="BT494" s="1" t="s">
        <v>902</v>
      </c>
      <c r="BX494" s="36"/>
    </row>
    <row r="495" spans="2:76" ht="14.25">
      <c r="B495" s="36"/>
      <c r="C495" s="36"/>
      <c r="D495" s="36"/>
      <c r="E495" s="36"/>
      <c r="F495" s="36"/>
      <c r="G495" s="36"/>
      <c r="H495" s="36"/>
      <c r="J495" s="36"/>
      <c r="K495" s="1" t="str">
        <f t="shared" si="81"/>
        <v/>
      </c>
      <c r="L495" s="1" t="str">
        <f t="shared" si="82"/>
        <v/>
      </c>
      <c r="M495" s="94">
        <v>490</v>
      </c>
      <c r="N495" s="36" t="s">
        <v>2145</v>
      </c>
      <c r="O495" s="95">
        <v>310197</v>
      </c>
      <c r="P495" s="36"/>
      <c r="AI495" s="122">
        <v>183</v>
      </c>
      <c r="AJ495" s="1" t="s">
        <v>1838</v>
      </c>
      <c r="AK495" s="1">
        <v>309890</v>
      </c>
      <c r="AL495" s="1" t="s">
        <v>930</v>
      </c>
      <c r="AN495" s="270">
        <v>589</v>
      </c>
      <c r="AQ495" s="1">
        <v>347</v>
      </c>
      <c r="AR495" s="1" t="s">
        <v>383</v>
      </c>
      <c r="AS495" s="1">
        <v>210240</v>
      </c>
      <c r="AT495" s="1" t="s">
        <v>116</v>
      </c>
      <c r="AV495" s="241">
        <v>841</v>
      </c>
      <c r="AX495" s="1">
        <f t="shared" si="78"/>
        <v>1</v>
      </c>
      <c r="AY495" s="1" t="str">
        <f>IF(COUNTIF($AX$2:AX495,1)&gt;$AG$1,"",IF(AX495="","",E495))</f>
        <v/>
      </c>
      <c r="BM495" s="138">
        <f t="shared" si="79"/>
        <v>0</v>
      </c>
      <c r="BN495" s="42">
        <f t="shared" si="80"/>
        <v>0</v>
      </c>
      <c r="BS495" s="1">
        <v>10122</v>
      </c>
      <c r="BT495" s="1" t="s">
        <v>902</v>
      </c>
      <c r="BX495" s="36"/>
    </row>
    <row r="496" spans="2:76" ht="14.25">
      <c r="B496" s="36"/>
      <c r="C496" s="36"/>
      <c r="D496" s="36"/>
      <c r="E496" s="36"/>
      <c r="F496" s="36"/>
      <c r="G496" s="36"/>
      <c r="H496" s="36"/>
      <c r="J496" s="36"/>
      <c r="K496" s="1" t="str">
        <f t="shared" si="81"/>
        <v/>
      </c>
      <c r="L496" s="1" t="str">
        <f t="shared" si="82"/>
        <v/>
      </c>
      <c r="M496" s="94">
        <v>491</v>
      </c>
      <c r="N496" s="36" t="s">
        <v>2146</v>
      </c>
      <c r="O496" s="95">
        <v>310198</v>
      </c>
      <c r="P496" s="36"/>
      <c r="AI496" s="122">
        <v>184</v>
      </c>
      <c r="AJ496" s="1" t="s">
        <v>1839</v>
      </c>
      <c r="AK496" s="1">
        <v>309891</v>
      </c>
      <c r="AL496" s="1" t="s">
        <v>115</v>
      </c>
      <c r="AN496" s="270">
        <v>590</v>
      </c>
      <c r="AQ496" s="1">
        <v>348</v>
      </c>
      <c r="AR496" s="1" t="s">
        <v>384</v>
      </c>
      <c r="AS496" s="1">
        <v>210241</v>
      </c>
      <c r="AT496" s="1" t="s">
        <v>115</v>
      </c>
      <c r="AV496" s="241">
        <v>842</v>
      </c>
      <c r="AX496" s="1">
        <f t="shared" si="78"/>
        <v>1</v>
      </c>
      <c r="AY496" s="1" t="str">
        <f>IF(COUNTIF($AX$2:AX496,1)&gt;$AG$1,"",IF(AX496="","",E496))</f>
        <v/>
      </c>
      <c r="BM496" s="138">
        <f t="shared" si="79"/>
        <v>0</v>
      </c>
      <c r="BN496" s="42">
        <f t="shared" si="80"/>
        <v>0</v>
      </c>
      <c r="BS496" s="1">
        <v>10123</v>
      </c>
      <c r="BT496" s="1" t="s">
        <v>902</v>
      </c>
      <c r="BX496" s="36"/>
    </row>
    <row r="497" spans="2:76" ht="14.25">
      <c r="B497" s="36"/>
      <c r="C497" s="36"/>
      <c r="D497" s="36"/>
      <c r="E497" s="36"/>
      <c r="F497" s="36"/>
      <c r="G497" s="36"/>
      <c r="H497" s="36"/>
      <c r="J497" s="36"/>
      <c r="K497" s="1" t="str">
        <f t="shared" si="81"/>
        <v/>
      </c>
      <c r="L497" s="1" t="str">
        <f t="shared" si="82"/>
        <v/>
      </c>
      <c r="M497" s="94">
        <v>492</v>
      </c>
      <c r="N497" s="36" t="s">
        <v>2148</v>
      </c>
      <c r="O497" s="95">
        <v>310199</v>
      </c>
      <c r="P497" s="36"/>
      <c r="AI497" s="122">
        <v>185</v>
      </c>
      <c r="AJ497" s="1" t="s">
        <v>1840</v>
      </c>
      <c r="AK497" s="1">
        <v>309892</v>
      </c>
      <c r="AL497" s="1" t="s">
        <v>930</v>
      </c>
      <c r="AN497" s="270">
        <v>591</v>
      </c>
      <c r="AQ497" s="1">
        <v>349</v>
      </c>
      <c r="AR497" s="1" t="s">
        <v>385</v>
      </c>
      <c r="AS497" s="1">
        <v>210242</v>
      </c>
      <c r="AT497" s="1" t="s">
        <v>115</v>
      </c>
      <c r="AV497" s="241">
        <v>843</v>
      </c>
      <c r="AX497" s="1">
        <f t="shared" si="78"/>
        <v>1</v>
      </c>
      <c r="AY497" s="1" t="str">
        <f>IF(COUNTIF($AX$2:AX497,1)&gt;$AG$1,"",IF(AX497="","",E497))</f>
        <v/>
      </c>
      <c r="BM497" s="138">
        <f t="shared" si="79"/>
        <v>0</v>
      </c>
      <c r="BN497" s="42">
        <f t="shared" si="80"/>
        <v>0</v>
      </c>
      <c r="BS497" s="1">
        <v>10124</v>
      </c>
      <c r="BT497" s="1" t="s">
        <v>902</v>
      </c>
      <c r="BX497" s="36"/>
    </row>
    <row r="498" spans="2:76" ht="14.25">
      <c r="B498" s="36"/>
      <c r="C498" s="36"/>
      <c r="D498" s="36"/>
      <c r="E498" s="36"/>
      <c r="F498" s="36"/>
      <c r="G498" s="36"/>
      <c r="H498" s="36"/>
      <c r="J498" s="36"/>
      <c r="K498" s="1" t="str">
        <f t="shared" si="81"/>
        <v/>
      </c>
      <c r="L498" s="1" t="str">
        <f t="shared" si="82"/>
        <v/>
      </c>
      <c r="M498" s="94">
        <v>493</v>
      </c>
      <c r="N498" s="36" t="s">
        <v>2149</v>
      </c>
      <c r="O498" s="95">
        <v>310200</v>
      </c>
      <c r="P498" s="36"/>
      <c r="AI498" s="122">
        <v>186</v>
      </c>
      <c r="AJ498" s="1" t="s">
        <v>1841</v>
      </c>
      <c r="AK498" s="1">
        <v>309893</v>
      </c>
      <c r="AL498" s="1" t="s">
        <v>115</v>
      </c>
      <c r="AN498" s="270">
        <v>592</v>
      </c>
      <c r="AQ498" s="1">
        <v>350</v>
      </c>
      <c r="AR498" s="1" t="s">
        <v>386</v>
      </c>
      <c r="AS498" s="1">
        <v>210243</v>
      </c>
      <c r="AT498" s="1" t="s">
        <v>116</v>
      </c>
      <c r="AV498" s="241">
        <v>844</v>
      </c>
      <c r="AX498" s="1">
        <f t="shared" si="78"/>
        <v>1</v>
      </c>
      <c r="AY498" s="1" t="str">
        <f>IF(COUNTIF($AX$2:AX498,1)&gt;$AG$1,"",IF(AX498="","",E498))</f>
        <v/>
      </c>
      <c r="BM498" s="138">
        <f t="shared" si="79"/>
        <v>0</v>
      </c>
      <c r="BN498" s="42">
        <f t="shared" si="80"/>
        <v>0</v>
      </c>
      <c r="BS498" s="1">
        <v>10125</v>
      </c>
      <c r="BT498" s="1" t="s">
        <v>902</v>
      </c>
      <c r="BX498" s="36"/>
    </row>
    <row r="499" spans="2:76" ht="14.25">
      <c r="B499" s="36"/>
      <c r="C499" s="36"/>
      <c r="D499" s="36"/>
      <c r="E499" s="36"/>
      <c r="F499" s="36"/>
      <c r="G499" s="36"/>
      <c r="H499" s="36"/>
      <c r="J499" s="36"/>
      <c r="K499" s="1" t="str">
        <f t="shared" si="81"/>
        <v/>
      </c>
      <c r="L499" s="1" t="str">
        <f t="shared" si="82"/>
        <v/>
      </c>
      <c r="M499" s="94">
        <v>494</v>
      </c>
      <c r="N499" s="36" t="s">
        <v>2150</v>
      </c>
      <c r="O499" s="95">
        <v>310201</v>
      </c>
      <c r="P499" s="36"/>
      <c r="AI499" s="122">
        <v>187</v>
      </c>
      <c r="AJ499" s="1" t="s">
        <v>1842</v>
      </c>
      <c r="AK499" s="1">
        <v>309894</v>
      </c>
      <c r="AL499" s="1" t="s">
        <v>930</v>
      </c>
      <c r="AN499" s="270">
        <v>593</v>
      </c>
      <c r="AQ499" s="1">
        <v>351</v>
      </c>
      <c r="AR499" s="1" t="s">
        <v>387</v>
      </c>
      <c r="AS499" s="1">
        <v>210244</v>
      </c>
      <c r="AT499" s="1" t="s">
        <v>115</v>
      </c>
      <c r="AV499" s="241">
        <v>845</v>
      </c>
      <c r="AX499" s="1">
        <f t="shared" si="78"/>
        <v>1</v>
      </c>
      <c r="AY499" s="1" t="str">
        <f>IF(COUNTIF($AX$2:AX499,1)&gt;$AG$1,"",IF(AX499="","",E499))</f>
        <v/>
      </c>
      <c r="BM499" s="138">
        <f t="shared" si="79"/>
        <v>0</v>
      </c>
      <c r="BN499" s="42">
        <f t="shared" si="80"/>
        <v>0</v>
      </c>
      <c r="BS499" s="1">
        <v>10126</v>
      </c>
      <c r="BT499" s="1" t="s">
        <v>902</v>
      </c>
      <c r="BX499" s="36"/>
    </row>
    <row r="500" spans="2:76" ht="14.25">
      <c r="B500" s="36"/>
      <c r="C500" s="36"/>
      <c r="D500" s="36"/>
      <c r="E500" s="36"/>
      <c r="F500" s="36"/>
      <c r="G500" s="36"/>
      <c r="H500" s="36"/>
      <c r="J500" s="36"/>
      <c r="K500" s="1" t="str">
        <f t="shared" si="81"/>
        <v/>
      </c>
      <c r="L500" s="1" t="str">
        <f t="shared" si="82"/>
        <v/>
      </c>
      <c r="M500" s="94">
        <v>495</v>
      </c>
      <c r="N500" s="36" t="s">
        <v>2151</v>
      </c>
      <c r="O500" s="95">
        <v>310202</v>
      </c>
      <c r="P500" s="36"/>
      <c r="AI500" s="122">
        <v>188</v>
      </c>
      <c r="AJ500" s="1" t="s">
        <v>1843</v>
      </c>
      <c r="AK500" s="1">
        <v>309895</v>
      </c>
      <c r="AL500" s="1" t="s">
        <v>115</v>
      </c>
      <c r="AN500" s="270">
        <v>594</v>
      </c>
      <c r="AQ500" s="115">
        <v>352</v>
      </c>
      <c r="AR500" s="1" t="s">
        <v>388</v>
      </c>
      <c r="AS500" s="1">
        <v>210245</v>
      </c>
      <c r="AT500" s="1" t="s">
        <v>116</v>
      </c>
      <c r="AV500" s="241">
        <v>846</v>
      </c>
      <c r="AX500" s="1">
        <f t="shared" si="78"/>
        <v>1</v>
      </c>
      <c r="AY500" s="1" t="str">
        <f>IF(COUNTIF($AX$2:AX500,1)&gt;$AG$1,"",IF(AX500="","",E500))</f>
        <v/>
      </c>
      <c r="BM500" s="138">
        <f t="shared" si="79"/>
        <v>0</v>
      </c>
      <c r="BN500" s="42">
        <f t="shared" si="80"/>
        <v>0</v>
      </c>
      <c r="BS500" s="1">
        <v>10127</v>
      </c>
      <c r="BT500" s="1" t="s">
        <v>902</v>
      </c>
      <c r="BX500" s="36"/>
    </row>
    <row r="501" spans="2:76" ht="14.25">
      <c r="B501" s="36"/>
      <c r="C501" s="36"/>
      <c r="D501" s="36"/>
      <c r="E501" s="36"/>
      <c r="F501" s="36"/>
      <c r="G501" s="36"/>
      <c r="H501" s="36"/>
      <c r="J501" s="36"/>
      <c r="K501" s="1" t="str">
        <f t="shared" si="81"/>
        <v/>
      </c>
      <c r="L501" s="1" t="str">
        <f t="shared" si="82"/>
        <v/>
      </c>
      <c r="M501" s="94">
        <v>496</v>
      </c>
      <c r="N501" s="36" t="s">
        <v>2152</v>
      </c>
      <c r="O501" s="95">
        <v>310203</v>
      </c>
      <c r="P501" s="36"/>
      <c r="AI501" s="122">
        <v>189</v>
      </c>
      <c r="AJ501" s="1" t="s">
        <v>1844</v>
      </c>
      <c r="AK501" s="1">
        <v>309896</v>
      </c>
      <c r="AL501" s="1" t="s">
        <v>930</v>
      </c>
      <c r="AN501" s="270">
        <v>595</v>
      </c>
      <c r="AQ501" s="1">
        <v>353</v>
      </c>
      <c r="AR501" s="1" t="s">
        <v>389</v>
      </c>
      <c r="AS501" s="1">
        <v>210246</v>
      </c>
      <c r="AT501" s="1" t="s">
        <v>115</v>
      </c>
      <c r="AV501" s="241">
        <v>847</v>
      </c>
      <c r="AX501" s="1">
        <f t="shared" si="78"/>
        <v>1</v>
      </c>
      <c r="AY501" s="1" t="str">
        <f>IF(COUNTIF($AX$2:AX501,1)&gt;$AG$1,"",IF(AX501="","",E501))</f>
        <v/>
      </c>
      <c r="BM501" s="138">
        <f t="shared" si="79"/>
        <v>0</v>
      </c>
      <c r="BN501" s="42">
        <f t="shared" si="80"/>
        <v>0</v>
      </c>
      <c r="BS501" s="1">
        <v>10128</v>
      </c>
      <c r="BT501" s="1" t="s">
        <v>902</v>
      </c>
      <c r="BX501" s="36"/>
    </row>
    <row r="502" spans="2:76" ht="14.25">
      <c r="B502" s="36"/>
      <c r="C502" s="36"/>
      <c r="D502" s="36"/>
      <c r="E502" s="36"/>
      <c r="F502" s="36"/>
      <c r="G502" s="36"/>
      <c r="H502" s="36"/>
      <c r="J502" s="36"/>
      <c r="K502" s="1" t="str">
        <f t="shared" si="81"/>
        <v/>
      </c>
      <c r="L502" s="1" t="str">
        <f t="shared" si="82"/>
        <v/>
      </c>
      <c r="M502" s="94">
        <v>497</v>
      </c>
      <c r="N502" s="36" t="s">
        <v>2153</v>
      </c>
      <c r="O502" s="95">
        <v>310204</v>
      </c>
      <c r="P502" s="36"/>
      <c r="AI502" s="122">
        <v>190</v>
      </c>
      <c r="AJ502" s="1" t="s">
        <v>1845</v>
      </c>
      <c r="AK502" s="1">
        <v>309897</v>
      </c>
      <c r="AL502" s="1" t="s">
        <v>930</v>
      </c>
      <c r="AN502" s="270">
        <v>596</v>
      </c>
      <c r="AQ502" s="1">
        <v>354</v>
      </c>
      <c r="AR502" s="1" t="s">
        <v>390</v>
      </c>
      <c r="AS502" s="1">
        <v>210247</v>
      </c>
      <c r="AT502" s="1" t="s">
        <v>115</v>
      </c>
      <c r="AV502" s="241">
        <v>848</v>
      </c>
      <c r="AX502" s="1">
        <f t="shared" si="78"/>
        <v>1</v>
      </c>
      <c r="AY502" s="1" t="str">
        <f>IF(COUNTIF($AX$2:AX502,1)&gt;$AG$1,"",IF(AX502="","",E502))</f>
        <v/>
      </c>
      <c r="BM502" s="138">
        <f t="shared" si="79"/>
        <v>0</v>
      </c>
      <c r="BN502" s="42">
        <f t="shared" si="80"/>
        <v>0</v>
      </c>
      <c r="BS502" s="1">
        <v>10129</v>
      </c>
      <c r="BT502" s="1" t="s">
        <v>902</v>
      </c>
      <c r="BX502" s="36"/>
    </row>
    <row r="503" spans="2:76" ht="14.25">
      <c r="B503" s="36"/>
      <c r="C503" s="36"/>
      <c r="D503" s="36"/>
      <c r="E503" s="36"/>
      <c r="F503" s="36"/>
      <c r="G503" s="36"/>
      <c r="H503" s="36"/>
      <c r="J503" s="36"/>
      <c r="K503" s="1" t="str">
        <f t="shared" si="81"/>
        <v/>
      </c>
      <c r="L503" s="1" t="str">
        <f t="shared" si="82"/>
        <v/>
      </c>
      <c r="M503" s="94">
        <v>498</v>
      </c>
      <c r="N503" s="36" t="s">
        <v>2154</v>
      </c>
      <c r="O503" s="95">
        <v>310205</v>
      </c>
      <c r="P503" s="36"/>
      <c r="AI503" s="122">
        <v>191</v>
      </c>
      <c r="AJ503" s="1" t="s">
        <v>1846</v>
      </c>
      <c r="AK503" s="1">
        <v>309898</v>
      </c>
      <c r="AL503" s="1" t="s">
        <v>115</v>
      </c>
      <c r="AN503" s="270">
        <v>597</v>
      </c>
      <c r="AQ503" s="1">
        <v>355</v>
      </c>
      <c r="AR503" s="1" t="s">
        <v>391</v>
      </c>
      <c r="AS503" s="1">
        <v>210248</v>
      </c>
      <c r="AT503" s="1" t="s">
        <v>116</v>
      </c>
      <c r="AV503" s="241">
        <v>849</v>
      </c>
      <c r="AX503" s="1">
        <f t="shared" si="78"/>
        <v>1</v>
      </c>
      <c r="AY503" s="1" t="str">
        <f>IF(COUNTIF($AX$2:AX503,1)&gt;$AG$1,"",IF(AX503="","",E503))</f>
        <v/>
      </c>
      <c r="BM503" s="138">
        <f t="shared" si="79"/>
        <v>0</v>
      </c>
      <c r="BN503" s="42">
        <f t="shared" si="80"/>
        <v>0</v>
      </c>
      <c r="BS503" s="1">
        <v>10130</v>
      </c>
      <c r="BT503" s="1" t="s">
        <v>902</v>
      </c>
      <c r="BX503" s="36"/>
    </row>
    <row r="504" spans="2:76" ht="14.25">
      <c r="B504" s="36"/>
      <c r="C504" s="36"/>
      <c r="D504" s="36"/>
      <c r="E504" s="36"/>
      <c r="F504" s="36"/>
      <c r="G504" s="36"/>
      <c r="H504" s="36"/>
      <c r="J504" s="36"/>
      <c r="K504" s="1" t="str">
        <f t="shared" si="81"/>
        <v/>
      </c>
      <c r="L504" s="1" t="str">
        <f t="shared" si="82"/>
        <v/>
      </c>
      <c r="M504" s="94">
        <v>499</v>
      </c>
      <c r="N504" s="36" t="s">
        <v>2155</v>
      </c>
      <c r="O504" s="95">
        <v>310206</v>
      </c>
      <c r="P504" s="36"/>
      <c r="AI504" s="122">
        <v>192</v>
      </c>
      <c r="AJ504" s="1" t="s">
        <v>1847</v>
      </c>
      <c r="AK504" s="1">
        <v>309899</v>
      </c>
      <c r="AL504" s="1" t="s">
        <v>930</v>
      </c>
      <c r="AN504" s="270">
        <v>598</v>
      </c>
      <c r="AQ504" s="1">
        <v>356</v>
      </c>
      <c r="AR504" s="1" t="s">
        <v>392</v>
      </c>
      <c r="AS504" s="1">
        <v>210249</v>
      </c>
      <c r="AT504" s="1" t="s">
        <v>115</v>
      </c>
      <c r="AV504" s="241">
        <v>850</v>
      </c>
      <c r="AX504" s="1">
        <f t="shared" si="78"/>
        <v>1</v>
      </c>
      <c r="AY504" s="1" t="str">
        <f>IF(COUNTIF($AX$2:AX504,1)&gt;$AG$1,"",IF(AX504="","",E504))</f>
        <v/>
      </c>
      <c r="BM504" s="138">
        <f t="shared" si="79"/>
        <v>0</v>
      </c>
      <c r="BN504" s="42">
        <f t="shared" si="80"/>
        <v>0</v>
      </c>
      <c r="BS504" s="1">
        <v>10131</v>
      </c>
      <c r="BT504" s="1" t="s">
        <v>902</v>
      </c>
      <c r="BX504" s="36"/>
    </row>
    <row r="505" spans="2:76" ht="14.25">
      <c r="B505" s="36"/>
      <c r="C505" s="36"/>
      <c r="D505" s="36"/>
      <c r="E505" s="36"/>
      <c r="F505" s="36"/>
      <c r="G505" s="36"/>
      <c r="H505" s="36"/>
      <c r="J505" s="36"/>
      <c r="K505" s="1" t="str">
        <f t="shared" si="81"/>
        <v/>
      </c>
      <c r="L505" s="1" t="str">
        <f t="shared" si="82"/>
        <v/>
      </c>
      <c r="M505" s="94">
        <v>500</v>
      </c>
      <c r="N505" s="36" t="s">
        <v>2156</v>
      </c>
      <c r="O505" s="95">
        <v>310207</v>
      </c>
      <c r="P505" s="36"/>
      <c r="AI505" s="122">
        <v>193</v>
      </c>
      <c r="AJ505" s="1" t="s">
        <v>1848</v>
      </c>
      <c r="AK505" s="1">
        <v>309900</v>
      </c>
      <c r="AL505" s="1" t="s">
        <v>115</v>
      </c>
      <c r="AN505" s="270">
        <v>599</v>
      </c>
      <c r="AQ505" s="1">
        <v>357</v>
      </c>
      <c r="AR505" s="1" t="s">
        <v>393</v>
      </c>
      <c r="AS505" s="1">
        <v>210250</v>
      </c>
      <c r="AT505" s="1" t="s">
        <v>116</v>
      </c>
      <c r="AV505" s="241">
        <v>851</v>
      </c>
      <c r="AX505" s="1">
        <f t="shared" si="78"/>
        <v>1</v>
      </c>
      <c r="AY505" s="1" t="str">
        <f>IF(COUNTIF($AX$2:AX505,1)&gt;$AG$1,"",IF(AX505="","",E505))</f>
        <v/>
      </c>
      <c r="BM505" s="138">
        <f t="shared" si="79"/>
        <v>0</v>
      </c>
      <c r="BN505" s="42">
        <f t="shared" si="80"/>
        <v>0</v>
      </c>
      <c r="BS505" s="1">
        <v>10132</v>
      </c>
      <c r="BT505" s="1" t="s">
        <v>902</v>
      </c>
      <c r="BX505" s="36"/>
    </row>
    <row r="506" spans="2:76" ht="14.25">
      <c r="B506" s="36"/>
      <c r="C506" s="36"/>
      <c r="D506" s="36"/>
      <c r="E506" s="36"/>
      <c r="F506" s="36"/>
      <c r="G506" s="36"/>
      <c r="H506" s="36"/>
      <c r="J506" s="36"/>
      <c r="K506" s="1" t="str">
        <f t="shared" si="81"/>
        <v/>
      </c>
      <c r="L506" s="1" t="str">
        <f t="shared" si="82"/>
        <v/>
      </c>
      <c r="M506" s="94">
        <v>501</v>
      </c>
      <c r="N506" s="36" t="s">
        <v>2157</v>
      </c>
      <c r="O506" s="95">
        <v>310208</v>
      </c>
      <c r="P506" s="36"/>
      <c r="AI506" s="122">
        <v>194</v>
      </c>
      <c r="AJ506" s="1" t="s">
        <v>1849</v>
      </c>
      <c r="AK506" s="1">
        <v>309901</v>
      </c>
      <c r="AL506" s="1" t="s">
        <v>930</v>
      </c>
      <c r="AN506" s="270">
        <v>600</v>
      </c>
      <c r="AQ506" s="1">
        <v>358</v>
      </c>
      <c r="AR506" s="1" t="s">
        <v>394</v>
      </c>
      <c r="AS506" s="1">
        <v>210251</v>
      </c>
      <c r="AT506" s="1" t="s">
        <v>115</v>
      </c>
      <c r="AV506" s="241">
        <v>852</v>
      </c>
      <c r="AX506" s="1">
        <f t="shared" si="78"/>
        <v>1</v>
      </c>
      <c r="AY506" s="1" t="str">
        <f>IF(COUNTIF($AX$2:AX506,1)&gt;$AG$1,"",IF(AX506="","",E506))</f>
        <v/>
      </c>
      <c r="BM506" s="138">
        <f t="shared" si="79"/>
        <v>0</v>
      </c>
      <c r="BN506" s="42">
        <f t="shared" si="80"/>
        <v>0</v>
      </c>
      <c r="BS506" s="1">
        <v>10133</v>
      </c>
      <c r="BT506" s="1" t="s">
        <v>902</v>
      </c>
      <c r="BX506" s="36"/>
    </row>
    <row r="507" spans="2:76" ht="14.25">
      <c r="B507" s="36"/>
      <c r="C507" s="36"/>
      <c r="D507" s="36"/>
      <c r="E507" s="36"/>
      <c r="F507" s="36"/>
      <c r="G507" s="36"/>
      <c r="H507" s="36"/>
      <c r="J507" s="36"/>
      <c r="K507" s="1" t="str">
        <f t="shared" si="81"/>
        <v/>
      </c>
      <c r="L507" s="1" t="str">
        <f t="shared" si="82"/>
        <v/>
      </c>
      <c r="M507" s="94">
        <v>502</v>
      </c>
      <c r="N507" s="36" t="s">
        <v>2158</v>
      </c>
      <c r="O507" s="95">
        <v>310209</v>
      </c>
      <c r="P507" s="36"/>
      <c r="AI507" s="122">
        <v>195</v>
      </c>
      <c r="AJ507" s="1" t="s">
        <v>1850</v>
      </c>
      <c r="AK507" s="1">
        <v>309902</v>
      </c>
      <c r="AL507" s="1" t="s">
        <v>115</v>
      </c>
      <c r="AN507" s="270">
        <v>601</v>
      </c>
      <c r="AQ507" s="1">
        <v>359</v>
      </c>
      <c r="AR507" s="1" t="s">
        <v>395</v>
      </c>
      <c r="AS507" s="1">
        <v>210253</v>
      </c>
      <c r="AT507" s="1" t="s">
        <v>116</v>
      </c>
      <c r="AV507" s="241">
        <v>853</v>
      </c>
      <c r="AX507" s="1">
        <f t="shared" si="78"/>
        <v>1</v>
      </c>
      <c r="AY507" s="1" t="str">
        <f>IF(COUNTIF($AX$2:AX507,1)&gt;$AG$1,"",IF(AX507="","",E507))</f>
        <v/>
      </c>
      <c r="BM507" s="138">
        <f t="shared" si="79"/>
        <v>0</v>
      </c>
      <c r="BN507" s="42">
        <f t="shared" si="80"/>
        <v>0</v>
      </c>
      <c r="BS507" s="1">
        <v>10134</v>
      </c>
      <c r="BT507" s="1" t="s">
        <v>902</v>
      </c>
      <c r="BX507" s="36"/>
    </row>
    <row r="508" spans="2:76" ht="14.25">
      <c r="B508" s="36"/>
      <c r="C508" s="36"/>
      <c r="D508" s="36"/>
      <c r="E508" s="36"/>
      <c r="F508" s="36"/>
      <c r="G508" s="36"/>
      <c r="H508" s="36"/>
      <c r="J508" s="36"/>
      <c r="K508" s="1" t="str">
        <f t="shared" si="81"/>
        <v/>
      </c>
      <c r="L508" s="1" t="str">
        <f t="shared" si="82"/>
        <v/>
      </c>
      <c r="M508" s="94">
        <v>503</v>
      </c>
      <c r="N508" s="36" t="s">
        <v>2159</v>
      </c>
      <c r="O508" s="95">
        <v>310210</v>
      </c>
      <c r="P508" s="36"/>
      <c r="AI508" s="122">
        <v>196</v>
      </c>
      <c r="AJ508" s="1" t="s">
        <v>1851</v>
      </c>
      <c r="AK508" s="1">
        <v>309903</v>
      </c>
      <c r="AL508" s="1" t="s">
        <v>930</v>
      </c>
      <c r="AN508" s="270">
        <v>602</v>
      </c>
      <c r="AQ508" s="1">
        <v>360</v>
      </c>
      <c r="AR508" s="1" t="s">
        <v>396</v>
      </c>
      <c r="AS508" s="1">
        <v>210252</v>
      </c>
      <c r="AT508" s="1" t="s">
        <v>115</v>
      </c>
      <c r="AV508" s="241">
        <v>854</v>
      </c>
      <c r="AX508" s="1">
        <f t="shared" si="78"/>
        <v>1</v>
      </c>
      <c r="AY508" s="1" t="str">
        <f>IF(COUNTIF($AX$2:AX508,1)&gt;$AG$1,"",IF(AX508="","",E508))</f>
        <v/>
      </c>
      <c r="BM508" s="138">
        <f t="shared" si="79"/>
        <v>0</v>
      </c>
      <c r="BN508" s="42">
        <f t="shared" si="80"/>
        <v>0</v>
      </c>
      <c r="BS508" s="1">
        <v>10135</v>
      </c>
      <c r="BT508" s="1" t="s">
        <v>902</v>
      </c>
      <c r="BX508" s="36"/>
    </row>
    <row r="509" spans="2:76" ht="14.25">
      <c r="B509" s="36"/>
      <c r="C509" s="36"/>
      <c r="D509" s="36"/>
      <c r="E509" s="36"/>
      <c r="F509" s="36"/>
      <c r="G509" s="36"/>
      <c r="H509" s="36"/>
      <c r="J509" s="36"/>
      <c r="K509" s="1" t="str">
        <f t="shared" si="81"/>
        <v/>
      </c>
      <c r="L509" s="1" t="str">
        <f t="shared" si="82"/>
        <v/>
      </c>
      <c r="M509" s="94">
        <v>504</v>
      </c>
      <c r="N509" s="36" t="s">
        <v>2160</v>
      </c>
      <c r="O509" s="95">
        <v>310211</v>
      </c>
      <c r="P509" s="36"/>
      <c r="AI509" s="122">
        <v>197</v>
      </c>
      <c r="AJ509" s="1" t="s">
        <v>1852</v>
      </c>
      <c r="AK509" s="1">
        <v>309904</v>
      </c>
      <c r="AL509" s="1" t="s">
        <v>930</v>
      </c>
      <c r="AN509" s="270">
        <v>603</v>
      </c>
      <c r="AQ509" s="1">
        <v>361</v>
      </c>
      <c r="AR509" s="1" t="s">
        <v>397</v>
      </c>
      <c r="AS509" s="1">
        <v>210254</v>
      </c>
      <c r="AT509" s="1" t="s">
        <v>115</v>
      </c>
      <c r="AV509" s="241">
        <v>855</v>
      </c>
      <c r="AX509" s="1">
        <f t="shared" si="78"/>
        <v>1</v>
      </c>
      <c r="AY509" s="1" t="str">
        <f>IF(COUNTIF($AX$2:AX509,1)&gt;$AG$1,"",IF(AX509="","",E509))</f>
        <v/>
      </c>
      <c r="BM509" s="138">
        <f t="shared" si="79"/>
        <v>0</v>
      </c>
      <c r="BN509" s="42">
        <f t="shared" si="80"/>
        <v>0</v>
      </c>
      <c r="BS509" s="1">
        <v>10136</v>
      </c>
      <c r="BT509" s="1" t="s">
        <v>902</v>
      </c>
      <c r="BX509" s="36"/>
    </row>
    <row r="510" spans="2:76" ht="14.25">
      <c r="B510" s="36"/>
      <c r="C510" s="36"/>
      <c r="D510" s="36"/>
      <c r="E510" s="36"/>
      <c r="F510" s="36"/>
      <c r="G510" s="36"/>
      <c r="H510" s="36"/>
      <c r="J510" s="36"/>
      <c r="K510" s="1" t="str">
        <f t="shared" si="81"/>
        <v/>
      </c>
      <c r="L510" s="1" t="str">
        <f t="shared" si="82"/>
        <v/>
      </c>
      <c r="M510" s="94">
        <v>505</v>
      </c>
      <c r="N510" s="36" t="s">
        <v>2161</v>
      </c>
      <c r="O510" s="95">
        <v>310212</v>
      </c>
      <c r="P510" s="36"/>
      <c r="AI510" s="122">
        <v>198</v>
      </c>
      <c r="AJ510" s="1" t="s">
        <v>1853</v>
      </c>
      <c r="AK510" s="1">
        <v>309905</v>
      </c>
      <c r="AL510" s="1" t="s">
        <v>115</v>
      </c>
      <c r="AN510" s="270">
        <v>604</v>
      </c>
      <c r="AQ510" s="1">
        <v>362</v>
      </c>
      <c r="AR510" s="1" t="s">
        <v>398</v>
      </c>
      <c r="AS510" s="1">
        <v>210255</v>
      </c>
      <c r="AT510" s="1" t="s">
        <v>116</v>
      </c>
      <c r="AV510" s="241">
        <v>856</v>
      </c>
      <c r="AX510" s="1">
        <f t="shared" si="78"/>
        <v>1</v>
      </c>
      <c r="AY510" s="1" t="str">
        <f>IF(COUNTIF($AX$2:AX510,1)&gt;$AG$1,"",IF(AX510="","",E510))</f>
        <v/>
      </c>
      <c r="BM510" s="138">
        <f t="shared" si="79"/>
        <v>0</v>
      </c>
      <c r="BN510" s="42">
        <f t="shared" si="80"/>
        <v>0</v>
      </c>
      <c r="BS510" s="1">
        <v>10137</v>
      </c>
      <c r="BT510" s="1" t="s">
        <v>902</v>
      </c>
      <c r="BX510" s="36"/>
    </row>
    <row r="511" spans="2:76" ht="14.25">
      <c r="B511" s="36"/>
      <c r="C511" s="36"/>
      <c r="D511" s="36"/>
      <c r="E511" s="36"/>
      <c r="F511" s="36"/>
      <c r="G511" s="36"/>
      <c r="H511" s="36"/>
      <c r="J511" s="36"/>
      <c r="K511" s="1" t="str">
        <f t="shared" si="81"/>
        <v/>
      </c>
      <c r="L511" s="1" t="str">
        <f t="shared" si="82"/>
        <v/>
      </c>
      <c r="M511" s="94">
        <v>506</v>
      </c>
      <c r="N511" s="36" t="s">
        <v>2162</v>
      </c>
      <c r="O511" s="95">
        <v>310213</v>
      </c>
      <c r="P511" s="36"/>
      <c r="AI511" s="122">
        <v>199</v>
      </c>
      <c r="AJ511" s="1" t="s">
        <v>1854</v>
      </c>
      <c r="AK511" s="1">
        <v>309906</v>
      </c>
      <c r="AL511" s="1" t="s">
        <v>930</v>
      </c>
      <c r="AN511" s="270">
        <v>605</v>
      </c>
      <c r="AQ511" s="1">
        <v>363</v>
      </c>
      <c r="AR511" s="1" t="s">
        <v>399</v>
      </c>
      <c r="AS511" s="1">
        <v>210256</v>
      </c>
      <c r="AT511" s="1" t="s">
        <v>115</v>
      </c>
      <c r="AV511" s="241">
        <v>857</v>
      </c>
      <c r="AX511" s="1">
        <f t="shared" si="78"/>
        <v>1</v>
      </c>
      <c r="AY511" s="1" t="str">
        <f>IF(COUNTIF($AX$2:AX511,1)&gt;$AG$1,"",IF(AX511="","",E511))</f>
        <v/>
      </c>
      <c r="BM511" s="138">
        <f t="shared" si="79"/>
        <v>0</v>
      </c>
      <c r="BN511" s="42">
        <f t="shared" si="80"/>
        <v>0</v>
      </c>
      <c r="BS511" s="1">
        <v>10138</v>
      </c>
      <c r="BT511" s="1" t="s">
        <v>902</v>
      </c>
      <c r="BX511" s="36"/>
    </row>
    <row r="512" spans="2:76" ht="14.25">
      <c r="B512" s="36"/>
      <c r="C512" s="36"/>
      <c r="D512" s="36"/>
      <c r="E512" s="36"/>
      <c r="F512" s="36"/>
      <c r="G512" s="36"/>
      <c r="H512" s="36"/>
      <c r="J512" s="36"/>
      <c r="K512" s="1" t="str">
        <f t="shared" si="81"/>
        <v/>
      </c>
      <c r="L512" s="1" t="str">
        <f t="shared" si="82"/>
        <v/>
      </c>
      <c r="M512" s="94">
        <v>507</v>
      </c>
      <c r="N512" s="36" t="s">
        <v>2163</v>
      </c>
      <c r="O512" s="95">
        <v>310214</v>
      </c>
      <c r="P512" s="36"/>
      <c r="AI512" s="122">
        <v>200</v>
      </c>
      <c r="AJ512" s="1" t="s">
        <v>1855</v>
      </c>
      <c r="AK512" s="1">
        <v>309907</v>
      </c>
      <c r="AL512" s="1" t="s">
        <v>115</v>
      </c>
      <c r="AN512" s="270">
        <v>606</v>
      </c>
      <c r="AQ512" s="1">
        <v>364</v>
      </c>
      <c r="AR512" s="1" t="s">
        <v>400</v>
      </c>
      <c r="AS512" s="1">
        <v>210257</v>
      </c>
      <c r="AT512" s="1" t="s">
        <v>116</v>
      </c>
      <c r="AV512" s="241">
        <v>858</v>
      </c>
      <c r="AX512" s="1">
        <f t="shared" si="78"/>
        <v>1</v>
      </c>
      <c r="AY512" s="1" t="str">
        <f>IF(COUNTIF($AX$2:AX512,1)&gt;$AG$1,"",IF(AX512="","",E512))</f>
        <v/>
      </c>
      <c r="BM512" s="138">
        <f t="shared" si="79"/>
        <v>0</v>
      </c>
      <c r="BN512" s="42">
        <f t="shared" si="80"/>
        <v>0</v>
      </c>
      <c r="BS512" s="1">
        <v>10139</v>
      </c>
      <c r="BT512" s="1" t="s">
        <v>902</v>
      </c>
      <c r="BX512" s="36"/>
    </row>
    <row r="513" spans="2:76" ht="14.25">
      <c r="B513" s="36"/>
      <c r="C513" s="36"/>
      <c r="D513" s="36"/>
      <c r="E513" s="36"/>
      <c r="F513" s="36"/>
      <c r="G513" s="36"/>
      <c r="H513" s="36"/>
      <c r="J513" s="36"/>
      <c r="K513" s="1" t="str">
        <f t="shared" si="81"/>
        <v/>
      </c>
      <c r="L513" s="1" t="str">
        <f t="shared" si="82"/>
        <v/>
      </c>
      <c r="M513" s="94">
        <v>508</v>
      </c>
      <c r="N513" s="36" t="s">
        <v>2164</v>
      </c>
      <c r="O513" s="95">
        <v>310215</v>
      </c>
      <c r="P513" s="36"/>
      <c r="AI513" s="122">
        <v>201</v>
      </c>
      <c r="AJ513" s="1" t="s">
        <v>1856</v>
      </c>
      <c r="AK513" s="1">
        <v>309908</v>
      </c>
      <c r="AL513" s="1" t="s">
        <v>930</v>
      </c>
      <c r="AN513" s="270">
        <v>607</v>
      </c>
      <c r="AQ513" s="1">
        <v>365</v>
      </c>
      <c r="AR513" s="1" t="s">
        <v>401</v>
      </c>
      <c r="AS513" s="1">
        <v>210258</v>
      </c>
      <c r="AT513" s="1" t="s">
        <v>115</v>
      </c>
      <c r="AV513" s="241">
        <v>859</v>
      </c>
      <c r="AX513" s="1">
        <f t="shared" si="78"/>
        <v>1</v>
      </c>
      <c r="AY513" s="1" t="str">
        <f>IF(COUNTIF($AX$2:AX513,1)&gt;$AG$1,"",IF(AX513="","",E513))</f>
        <v/>
      </c>
      <c r="BM513" s="138">
        <f t="shared" si="79"/>
        <v>0</v>
      </c>
      <c r="BN513" s="42">
        <f t="shared" si="80"/>
        <v>0</v>
      </c>
      <c r="BS513" s="1">
        <v>10140</v>
      </c>
      <c r="BT513" s="1" t="s">
        <v>902</v>
      </c>
      <c r="BX513" s="36"/>
    </row>
    <row r="514" spans="2:76" ht="14.25">
      <c r="B514" s="36"/>
      <c r="C514" s="36"/>
      <c r="D514" s="36"/>
      <c r="E514" s="36"/>
      <c r="F514" s="36"/>
      <c r="G514" s="36"/>
      <c r="H514" s="36"/>
      <c r="J514" s="36"/>
      <c r="K514" s="1" t="str">
        <f t="shared" si="81"/>
        <v/>
      </c>
      <c r="L514" s="1" t="str">
        <f t="shared" si="82"/>
        <v/>
      </c>
      <c r="M514" s="94">
        <v>509</v>
      </c>
      <c r="N514" s="36" t="s">
        <v>2165</v>
      </c>
      <c r="O514" s="95">
        <v>310216</v>
      </c>
      <c r="P514" s="36"/>
      <c r="AI514" s="122">
        <v>202</v>
      </c>
      <c r="AJ514" s="1" t="s">
        <v>1857</v>
      </c>
      <c r="AK514" s="1">
        <v>309909</v>
      </c>
      <c r="AL514" s="1" t="s">
        <v>115</v>
      </c>
      <c r="AN514" s="270">
        <v>608</v>
      </c>
      <c r="AQ514" s="1">
        <v>366</v>
      </c>
      <c r="AR514" s="1" t="s">
        <v>402</v>
      </c>
      <c r="AS514" s="1">
        <v>210259</v>
      </c>
      <c r="AT514" s="1" t="s">
        <v>115</v>
      </c>
      <c r="AV514" s="241">
        <v>860</v>
      </c>
      <c r="AX514" s="1">
        <f t="shared" ref="AX514:AX577" si="83">IF(AND(C514&lt;&gt;"A0",C514&lt;&gt;"P9"),1,"")</f>
        <v>1</v>
      </c>
      <c r="AY514" s="1" t="str">
        <f>IF(COUNTIF($AX$2:AX514,1)&gt;$AG$1,"",IF(AX514="","",E514))</f>
        <v/>
      </c>
      <c r="BM514" s="138">
        <f t="shared" ref="BM514:BM577" si="84">I514</f>
        <v>0</v>
      </c>
      <c r="BN514" s="42">
        <f t="shared" ref="BN514:BN577" si="85">A514</f>
        <v>0</v>
      </c>
      <c r="BS514" s="1">
        <v>10141</v>
      </c>
      <c r="BT514" s="1" t="s">
        <v>902</v>
      </c>
      <c r="BX514" s="36"/>
    </row>
    <row r="515" spans="2:76" ht="14.25">
      <c r="B515" s="36"/>
      <c r="C515" s="36"/>
      <c r="D515" s="36"/>
      <c r="E515" s="36"/>
      <c r="F515" s="36"/>
      <c r="G515" s="36"/>
      <c r="H515" s="36"/>
      <c r="J515" s="36"/>
      <c r="K515" s="1" t="str">
        <f t="shared" ref="K515:K578" si="86">IF(B515="722W","",IF(OR(C515="B1",C515="B9",C515="W1",C515="W2",C515="U9"),IF(MAX($A$2:$A$400)-A515&gt;10000,A515+100000,A515),""))</f>
        <v/>
      </c>
      <c r="L515" s="1" t="str">
        <f t="shared" si="82"/>
        <v/>
      </c>
      <c r="M515" s="94">
        <v>510</v>
      </c>
      <c r="N515" s="36" t="s">
        <v>2166</v>
      </c>
      <c r="O515" s="95">
        <v>310217</v>
      </c>
      <c r="P515" s="36"/>
      <c r="AI515" s="122">
        <v>203</v>
      </c>
      <c r="AJ515" s="1" t="s">
        <v>1858</v>
      </c>
      <c r="AK515" s="1">
        <v>309910</v>
      </c>
      <c r="AL515" s="1" t="s">
        <v>930</v>
      </c>
      <c r="AN515" s="270">
        <v>609</v>
      </c>
      <c r="AQ515" s="1">
        <v>367</v>
      </c>
      <c r="AR515" s="1" t="s">
        <v>403</v>
      </c>
      <c r="AS515" s="1">
        <v>210260</v>
      </c>
      <c r="AT515" s="1" t="s">
        <v>116</v>
      </c>
      <c r="AV515" s="241">
        <v>861</v>
      </c>
      <c r="AX515" s="1">
        <f t="shared" si="83"/>
        <v>1</v>
      </c>
      <c r="AY515" s="1" t="str">
        <f>IF(COUNTIF($AX$2:AX515,1)&gt;$AG$1,"",IF(AX515="","",E515))</f>
        <v/>
      </c>
      <c r="BM515" s="138">
        <f t="shared" si="84"/>
        <v>0</v>
      </c>
      <c r="BN515" s="42">
        <f t="shared" si="85"/>
        <v>0</v>
      </c>
      <c r="BS515" s="1">
        <v>10142</v>
      </c>
      <c r="BT515" s="1" t="s">
        <v>902</v>
      </c>
      <c r="BX515" s="36"/>
    </row>
    <row r="516" spans="2:76" ht="14.25">
      <c r="B516" s="36"/>
      <c r="C516" s="36"/>
      <c r="D516" s="36"/>
      <c r="E516" s="36"/>
      <c r="F516" s="36"/>
      <c r="G516" s="36"/>
      <c r="H516" s="36"/>
      <c r="J516" s="36"/>
      <c r="K516" s="1" t="str">
        <f t="shared" si="86"/>
        <v/>
      </c>
      <c r="L516" s="1" t="str">
        <f t="shared" ref="L516:L579" si="87">IF(AND(MIN(I:I)&lt;20,MAX(I:I)&gt;980,I516&lt;20),I516,"")</f>
        <v/>
      </c>
      <c r="M516" s="94">
        <v>511</v>
      </c>
      <c r="N516" s="36" t="s">
        <v>2167</v>
      </c>
      <c r="O516" s="95">
        <v>310218</v>
      </c>
      <c r="P516" s="36"/>
      <c r="AI516" s="122">
        <v>204</v>
      </c>
      <c r="AJ516" s="1" t="s">
        <v>1859</v>
      </c>
      <c r="AK516" s="1">
        <v>309911</v>
      </c>
      <c r="AL516" s="1" t="s">
        <v>930</v>
      </c>
      <c r="AN516" s="270">
        <v>610</v>
      </c>
      <c r="AQ516" s="1">
        <v>368</v>
      </c>
      <c r="AR516" s="1" t="s">
        <v>404</v>
      </c>
      <c r="AS516" s="1">
        <v>210261</v>
      </c>
      <c r="AT516" s="1" t="s">
        <v>115</v>
      </c>
      <c r="AV516" s="241">
        <v>862</v>
      </c>
      <c r="AX516" s="1">
        <f t="shared" si="83"/>
        <v>1</v>
      </c>
      <c r="AY516" s="1" t="str">
        <f>IF(COUNTIF($AX$2:AX516,1)&gt;$AG$1,"",IF(AX516="","",E516))</f>
        <v/>
      </c>
      <c r="BM516" s="138">
        <f t="shared" si="84"/>
        <v>0</v>
      </c>
      <c r="BN516" s="42">
        <f t="shared" si="85"/>
        <v>0</v>
      </c>
      <c r="BS516" s="1">
        <v>10143</v>
      </c>
      <c r="BT516" s="1" t="s">
        <v>902</v>
      </c>
      <c r="BX516" s="36"/>
    </row>
    <row r="517" spans="2:76" ht="14.25">
      <c r="B517" s="36"/>
      <c r="C517" s="36"/>
      <c r="D517" s="36"/>
      <c r="E517" s="36"/>
      <c r="F517" s="36"/>
      <c r="G517" s="36"/>
      <c r="H517" s="36"/>
      <c r="J517" s="36"/>
      <c r="K517" s="1" t="str">
        <f t="shared" si="86"/>
        <v/>
      </c>
      <c r="L517" s="1" t="str">
        <f t="shared" si="87"/>
        <v/>
      </c>
      <c r="M517" s="94">
        <v>512</v>
      </c>
      <c r="N517" s="36" t="s">
        <v>2168</v>
      </c>
      <c r="O517" s="95">
        <v>310219</v>
      </c>
      <c r="P517" s="36"/>
      <c r="AI517" s="122">
        <v>205</v>
      </c>
      <c r="AJ517" s="1" t="s">
        <v>1860</v>
      </c>
      <c r="AK517" s="1">
        <v>309912</v>
      </c>
      <c r="AL517" s="1" t="s">
        <v>115</v>
      </c>
      <c r="AN517" s="270">
        <v>611</v>
      </c>
      <c r="AQ517" s="1">
        <v>369</v>
      </c>
      <c r="AR517" s="1" t="s">
        <v>405</v>
      </c>
      <c r="AS517" s="1">
        <v>210262</v>
      </c>
      <c r="AT517" s="1" t="s">
        <v>116</v>
      </c>
      <c r="AV517" s="241">
        <v>863</v>
      </c>
      <c r="AX517" s="1">
        <f t="shared" si="83"/>
        <v>1</v>
      </c>
      <c r="AY517" s="1" t="str">
        <f>IF(COUNTIF($AX$2:AX517,1)&gt;$AG$1,"",IF(AX517="","",E517))</f>
        <v/>
      </c>
      <c r="BM517" s="138">
        <f t="shared" si="84"/>
        <v>0</v>
      </c>
      <c r="BN517" s="42">
        <f t="shared" si="85"/>
        <v>0</v>
      </c>
      <c r="BS517" s="1">
        <v>10144</v>
      </c>
      <c r="BT517" s="1" t="s">
        <v>902</v>
      </c>
      <c r="BX517" s="36"/>
    </row>
    <row r="518" spans="2:76" ht="14.25">
      <c r="B518" s="36"/>
      <c r="C518" s="36"/>
      <c r="D518" s="36"/>
      <c r="E518" s="36"/>
      <c r="F518" s="36"/>
      <c r="G518" s="36"/>
      <c r="H518" s="36"/>
      <c r="J518" s="36"/>
      <c r="K518" s="1" t="str">
        <f t="shared" si="86"/>
        <v/>
      </c>
      <c r="L518" s="1" t="str">
        <f t="shared" si="87"/>
        <v/>
      </c>
      <c r="M518" s="94">
        <v>513</v>
      </c>
      <c r="N518" s="36" t="s">
        <v>2169</v>
      </c>
      <c r="O518" s="95">
        <v>310220</v>
      </c>
      <c r="P518" s="36"/>
      <c r="AI518" s="122">
        <v>206</v>
      </c>
      <c r="AJ518" s="1" t="s">
        <v>1861</v>
      </c>
      <c r="AK518" s="1">
        <v>309913</v>
      </c>
      <c r="AL518" s="1" t="s">
        <v>930</v>
      </c>
      <c r="AN518" s="270">
        <v>612</v>
      </c>
      <c r="AQ518" s="1">
        <v>370</v>
      </c>
      <c r="AR518" s="1" t="s">
        <v>406</v>
      </c>
      <c r="AS518" s="1">
        <v>210263</v>
      </c>
      <c r="AT518" s="1" t="s">
        <v>115</v>
      </c>
      <c r="AV518" s="241">
        <v>864</v>
      </c>
      <c r="AX518" s="1">
        <f t="shared" si="83"/>
        <v>1</v>
      </c>
      <c r="AY518" s="1" t="str">
        <f>IF(COUNTIF($AX$2:AX518,1)&gt;$AG$1,"",IF(AX518="","",E518))</f>
        <v/>
      </c>
      <c r="BM518" s="138">
        <f t="shared" si="84"/>
        <v>0</v>
      </c>
      <c r="BN518" s="42">
        <f t="shared" si="85"/>
        <v>0</v>
      </c>
      <c r="BS518" s="1">
        <v>10145</v>
      </c>
      <c r="BT518" s="1" t="s">
        <v>902</v>
      </c>
      <c r="BX518" s="36"/>
    </row>
    <row r="519" spans="2:76" ht="14.25">
      <c r="B519" s="36"/>
      <c r="C519" s="36"/>
      <c r="D519" s="36"/>
      <c r="E519" s="36"/>
      <c r="F519" s="36"/>
      <c r="G519" s="36"/>
      <c r="H519" s="36"/>
      <c r="J519" s="36"/>
      <c r="K519" s="1" t="str">
        <f t="shared" si="86"/>
        <v/>
      </c>
      <c r="L519" s="1" t="str">
        <f t="shared" si="87"/>
        <v/>
      </c>
      <c r="M519" s="94">
        <v>514</v>
      </c>
      <c r="N519" s="36" t="s">
        <v>2170</v>
      </c>
      <c r="O519" s="95">
        <v>310221</v>
      </c>
      <c r="P519" s="36"/>
      <c r="AI519" s="122">
        <v>207</v>
      </c>
      <c r="AJ519" s="1" t="s">
        <v>1862</v>
      </c>
      <c r="AK519" s="1">
        <v>309914</v>
      </c>
      <c r="AL519" s="1" t="s">
        <v>115</v>
      </c>
      <c r="AN519" s="270">
        <v>613</v>
      </c>
      <c r="AQ519" s="1">
        <v>371</v>
      </c>
      <c r="AR519" s="1" t="s">
        <v>407</v>
      </c>
      <c r="AS519" s="1">
        <v>210264</v>
      </c>
      <c r="AT519" s="1" t="s">
        <v>115</v>
      </c>
      <c r="AV519" s="241">
        <v>865</v>
      </c>
      <c r="AX519" s="1">
        <f t="shared" si="83"/>
        <v>1</v>
      </c>
      <c r="AY519" s="1" t="str">
        <f>IF(COUNTIF($AX$2:AX519,1)&gt;$AG$1,"",IF(AX519="","",E519))</f>
        <v/>
      </c>
      <c r="BM519" s="138">
        <f t="shared" si="84"/>
        <v>0</v>
      </c>
      <c r="BN519" s="42">
        <f t="shared" si="85"/>
        <v>0</v>
      </c>
      <c r="BS519" s="1">
        <v>10146</v>
      </c>
      <c r="BT519" s="1" t="s">
        <v>902</v>
      </c>
      <c r="BX519" s="36"/>
    </row>
    <row r="520" spans="2:76" ht="14.25">
      <c r="B520" s="36"/>
      <c r="C520" s="36"/>
      <c r="D520" s="36"/>
      <c r="E520" s="36"/>
      <c r="F520" s="36"/>
      <c r="G520" s="36"/>
      <c r="H520" s="36"/>
      <c r="J520" s="36"/>
      <c r="K520" s="1" t="str">
        <f t="shared" si="86"/>
        <v/>
      </c>
      <c r="L520" s="1" t="str">
        <f t="shared" si="87"/>
        <v/>
      </c>
      <c r="M520" s="94">
        <v>515</v>
      </c>
      <c r="N520" s="36" t="s">
        <v>2171</v>
      </c>
      <c r="O520" s="95">
        <v>310222</v>
      </c>
      <c r="P520" s="36"/>
      <c r="AI520" s="122">
        <v>208</v>
      </c>
      <c r="AJ520" s="1" t="s">
        <v>1863</v>
      </c>
      <c r="AK520" s="1">
        <v>309915</v>
      </c>
      <c r="AL520" s="1" t="s">
        <v>930</v>
      </c>
      <c r="AN520" s="270">
        <v>614</v>
      </c>
      <c r="AQ520" s="1">
        <v>372</v>
      </c>
      <c r="AR520" s="1" t="s">
        <v>408</v>
      </c>
      <c r="AS520" s="1">
        <v>210265</v>
      </c>
      <c r="AT520" s="1" t="s">
        <v>116</v>
      </c>
      <c r="AV520" s="241">
        <v>866</v>
      </c>
      <c r="AX520" s="1">
        <f t="shared" si="83"/>
        <v>1</v>
      </c>
      <c r="AY520" s="1" t="str">
        <f>IF(COUNTIF($AX$2:AX520,1)&gt;$AG$1,"",IF(AX520="","",E520))</f>
        <v/>
      </c>
      <c r="BM520" s="138">
        <f t="shared" si="84"/>
        <v>0</v>
      </c>
      <c r="BN520" s="42">
        <f t="shared" si="85"/>
        <v>0</v>
      </c>
      <c r="BS520" s="1">
        <v>10147</v>
      </c>
      <c r="BT520" s="1" t="s">
        <v>902</v>
      </c>
      <c r="BX520" s="36"/>
    </row>
    <row r="521" spans="2:76" ht="14.25">
      <c r="B521" s="36"/>
      <c r="C521" s="36"/>
      <c r="D521" s="36"/>
      <c r="E521" s="36"/>
      <c r="F521" s="36"/>
      <c r="G521" s="36"/>
      <c r="H521" s="36"/>
      <c r="J521" s="36"/>
      <c r="K521" s="1" t="str">
        <f t="shared" si="86"/>
        <v/>
      </c>
      <c r="L521" s="1" t="str">
        <f t="shared" si="87"/>
        <v/>
      </c>
      <c r="M521" s="94">
        <v>516</v>
      </c>
      <c r="N521" s="36" t="s">
        <v>2172</v>
      </c>
      <c r="O521" s="95">
        <v>310223</v>
      </c>
      <c r="P521" s="36"/>
      <c r="AI521" s="122">
        <v>209</v>
      </c>
      <c r="AJ521" s="1" t="s">
        <v>1864</v>
      </c>
      <c r="AK521" s="1">
        <v>309916</v>
      </c>
      <c r="AL521" s="1" t="s">
        <v>115</v>
      </c>
      <c r="AN521" s="270">
        <v>615</v>
      </c>
      <c r="AQ521" s="1">
        <v>373</v>
      </c>
      <c r="AR521" s="1" t="s">
        <v>409</v>
      </c>
      <c r="AS521" s="1">
        <v>210266</v>
      </c>
      <c r="AT521" s="1" t="s">
        <v>115</v>
      </c>
      <c r="AV521" s="241">
        <v>867</v>
      </c>
      <c r="AX521" s="1">
        <f t="shared" si="83"/>
        <v>1</v>
      </c>
      <c r="AY521" s="1" t="str">
        <f>IF(COUNTIF($AX$2:AX521,1)&gt;$AG$1,"",IF(AX521="","",E521))</f>
        <v/>
      </c>
      <c r="BM521" s="138">
        <f t="shared" si="84"/>
        <v>0</v>
      </c>
      <c r="BN521" s="42">
        <f t="shared" si="85"/>
        <v>0</v>
      </c>
      <c r="BS521" s="1">
        <v>10148</v>
      </c>
      <c r="BT521" s="1" t="s">
        <v>902</v>
      </c>
      <c r="BX521" s="36"/>
    </row>
    <row r="522" spans="2:76" ht="14.25">
      <c r="B522" s="36"/>
      <c r="C522" s="36"/>
      <c r="D522" s="36"/>
      <c r="E522" s="36"/>
      <c r="F522" s="36"/>
      <c r="G522" s="36"/>
      <c r="H522" s="36"/>
      <c r="J522" s="36"/>
      <c r="K522" s="1" t="str">
        <f t="shared" si="86"/>
        <v/>
      </c>
      <c r="L522" s="1" t="str">
        <f t="shared" si="87"/>
        <v/>
      </c>
      <c r="M522" s="94">
        <v>517</v>
      </c>
      <c r="N522" s="36" t="s">
        <v>2173</v>
      </c>
      <c r="O522" s="95">
        <v>310224</v>
      </c>
      <c r="P522" s="36"/>
      <c r="AI522" s="122">
        <v>210</v>
      </c>
      <c r="AJ522" s="1" t="s">
        <v>1865</v>
      </c>
      <c r="AK522" s="1">
        <v>309917</v>
      </c>
      <c r="AL522" s="1" t="s">
        <v>930</v>
      </c>
      <c r="AN522" s="270">
        <v>616</v>
      </c>
      <c r="AQ522" s="1">
        <v>374</v>
      </c>
      <c r="AR522" s="1" t="s">
        <v>410</v>
      </c>
      <c r="AS522" s="1">
        <v>210267</v>
      </c>
      <c r="AT522" s="1" t="s">
        <v>116</v>
      </c>
      <c r="AV522" s="241">
        <v>868</v>
      </c>
      <c r="AX522" s="1">
        <f t="shared" si="83"/>
        <v>1</v>
      </c>
      <c r="AY522" s="1" t="str">
        <f>IF(COUNTIF($AX$2:AX522,1)&gt;$AG$1,"",IF(AX522="","",E522))</f>
        <v/>
      </c>
      <c r="BM522" s="138">
        <f t="shared" si="84"/>
        <v>0</v>
      </c>
      <c r="BN522" s="42">
        <f t="shared" si="85"/>
        <v>0</v>
      </c>
      <c r="BS522" s="1">
        <v>10149</v>
      </c>
      <c r="BT522" s="1" t="s">
        <v>902</v>
      </c>
      <c r="BX522" s="36"/>
    </row>
    <row r="523" spans="2:76" ht="14.25">
      <c r="B523" s="36"/>
      <c r="C523" s="36"/>
      <c r="D523" s="36"/>
      <c r="E523" s="36"/>
      <c r="F523" s="36"/>
      <c r="G523" s="36"/>
      <c r="H523" s="36"/>
      <c r="J523" s="36"/>
      <c r="K523" s="1" t="str">
        <f t="shared" si="86"/>
        <v/>
      </c>
      <c r="L523" s="1" t="str">
        <f t="shared" si="87"/>
        <v/>
      </c>
      <c r="M523" s="94">
        <v>518</v>
      </c>
      <c r="N523" s="36" t="s">
        <v>2174</v>
      </c>
      <c r="O523" s="95">
        <v>310225</v>
      </c>
      <c r="P523" s="36"/>
      <c r="AI523" s="122">
        <v>211</v>
      </c>
      <c r="AJ523" s="1" t="s">
        <v>1866</v>
      </c>
      <c r="AK523" s="1">
        <v>309918</v>
      </c>
      <c r="AL523" s="1" t="s">
        <v>930</v>
      </c>
      <c r="AN523" s="270">
        <v>617</v>
      </c>
      <c r="AQ523" s="1">
        <v>375</v>
      </c>
      <c r="AR523" s="1" t="s">
        <v>411</v>
      </c>
      <c r="AS523" s="1">
        <v>210268</v>
      </c>
      <c r="AT523" s="1" t="s">
        <v>115</v>
      </c>
      <c r="AV523" s="241">
        <v>869</v>
      </c>
      <c r="AX523" s="1">
        <f t="shared" si="83"/>
        <v>1</v>
      </c>
      <c r="AY523" s="1" t="str">
        <f>IF(COUNTIF($AX$2:AX523,1)&gt;$AG$1,"",IF(AX523="","",E523))</f>
        <v/>
      </c>
      <c r="BM523" s="138">
        <f t="shared" si="84"/>
        <v>0</v>
      </c>
      <c r="BN523" s="42">
        <f t="shared" si="85"/>
        <v>0</v>
      </c>
      <c r="BS523" s="1">
        <v>10150</v>
      </c>
      <c r="BT523" s="1" t="s">
        <v>902</v>
      </c>
      <c r="BX523" s="36"/>
    </row>
    <row r="524" spans="2:76" ht="14.25">
      <c r="B524" s="36"/>
      <c r="C524" s="36"/>
      <c r="D524" s="36"/>
      <c r="E524" s="36"/>
      <c r="F524" s="36"/>
      <c r="G524" s="36"/>
      <c r="H524" s="36"/>
      <c r="J524" s="36"/>
      <c r="K524" s="1" t="str">
        <f t="shared" si="86"/>
        <v/>
      </c>
      <c r="L524" s="1" t="str">
        <f t="shared" si="87"/>
        <v/>
      </c>
      <c r="M524" s="94">
        <v>519</v>
      </c>
      <c r="N524" s="36" t="s">
        <v>2175</v>
      </c>
      <c r="O524" s="95">
        <v>310226</v>
      </c>
      <c r="P524" s="36"/>
      <c r="AI524" s="122">
        <v>212</v>
      </c>
      <c r="AJ524" s="1" t="s">
        <v>1867</v>
      </c>
      <c r="AK524" s="1">
        <v>309919</v>
      </c>
      <c r="AL524" s="1" t="s">
        <v>115</v>
      </c>
      <c r="AN524" s="270">
        <v>618</v>
      </c>
      <c r="AQ524" s="1">
        <v>376</v>
      </c>
      <c r="AR524" s="1" t="s">
        <v>412</v>
      </c>
      <c r="AS524" s="1">
        <v>210269</v>
      </c>
      <c r="AT524" s="1" t="s">
        <v>115</v>
      </c>
      <c r="AV524" s="241">
        <v>870</v>
      </c>
      <c r="AX524" s="1">
        <f t="shared" si="83"/>
        <v>1</v>
      </c>
      <c r="AY524" s="1" t="str">
        <f>IF(COUNTIF($AX$2:AX524,1)&gt;$AG$1,"",IF(AX524="","",E524))</f>
        <v/>
      </c>
      <c r="BM524" s="138">
        <f t="shared" si="84"/>
        <v>0</v>
      </c>
      <c r="BN524" s="42">
        <f t="shared" si="85"/>
        <v>0</v>
      </c>
      <c r="BS524" s="1">
        <v>10151</v>
      </c>
      <c r="BT524" s="1" t="s">
        <v>902</v>
      </c>
      <c r="BX524" s="36"/>
    </row>
    <row r="525" spans="2:76" ht="14.25">
      <c r="B525" s="36"/>
      <c r="C525" s="36"/>
      <c r="D525" s="36"/>
      <c r="E525" s="36"/>
      <c r="F525" s="36"/>
      <c r="G525" s="36"/>
      <c r="H525" s="36"/>
      <c r="J525" s="36"/>
      <c r="K525" s="1" t="str">
        <f t="shared" si="86"/>
        <v/>
      </c>
      <c r="L525" s="1" t="str">
        <f t="shared" si="87"/>
        <v/>
      </c>
      <c r="M525" s="94">
        <v>520</v>
      </c>
      <c r="N525" s="36" t="s">
        <v>2176</v>
      </c>
      <c r="O525" s="95">
        <v>310227</v>
      </c>
      <c r="P525" s="36"/>
      <c r="AI525" s="122">
        <v>213</v>
      </c>
      <c r="AJ525" s="1" t="s">
        <v>1868</v>
      </c>
      <c r="AK525" s="1">
        <v>309920</v>
      </c>
      <c r="AL525" s="1" t="s">
        <v>930</v>
      </c>
      <c r="AN525" s="270">
        <v>619</v>
      </c>
      <c r="AQ525" s="1">
        <v>377</v>
      </c>
      <c r="AR525" s="1" t="s">
        <v>413</v>
      </c>
      <c r="AS525" s="1">
        <v>210270</v>
      </c>
      <c r="AT525" s="1" t="s">
        <v>116</v>
      </c>
      <c r="AV525" s="241">
        <v>871</v>
      </c>
      <c r="AX525" s="1">
        <f t="shared" si="83"/>
        <v>1</v>
      </c>
      <c r="AY525" s="1" t="str">
        <f>IF(COUNTIF($AX$2:AX525,1)&gt;$AG$1,"",IF(AX525="","",E525))</f>
        <v/>
      </c>
      <c r="BM525" s="138">
        <f t="shared" si="84"/>
        <v>0</v>
      </c>
      <c r="BN525" s="42">
        <f t="shared" si="85"/>
        <v>0</v>
      </c>
      <c r="BS525" s="1">
        <v>10152</v>
      </c>
      <c r="BT525" s="1" t="s">
        <v>902</v>
      </c>
      <c r="BX525" s="36"/>
    </row>
    <row r="526" spans="2:76" ht="14.25">
      <c r="B526" s="36"/>
      <c r="C526" s="36"/>
      <c r="D526" s="36"/>
      <c r="E526" s="36"/>
      <c r="F526" s="36"/>
      <c r="G526" s="36"/>
      <c r="H526" s="36"/>
      <c r="J526" s="36"/>
      <c r="K526" s="1" t="str">
        <f t="shared" si="86"/>
        <v/>
      </c>
      <c r="L526" s="1" t="str">
        <f t="shared" si="87"/>
        <v/>
      </c>
      <c r="M526" s="94">
        <v>521</v>
      </c>
      <c r="N526" s="36" t="s">
        <v>2177</v>
      </c>
      <c r="O526" s="95">
        <v>310228</v>
      </c>
      <c r="P526" s="36"/>
      <c r="AI526" s="122">
        <v>214</v>
      </c>
      <c r="AJ526" s="1" t="s">
        <v>1869</v>
      </c>
      <c r="AK526" s="1">
        <v>309921</v>
      </c>
      <c r="AL526" s="1" t="s">
        <v>115</v>
      </c>
      <c r="AN526" s="270">
        <v>620</v>
      </c>
      <c r="AQ526" s="1">
        <v>378</v>
      </c>
      <c r="AR526" s="1" t="s">
        <v>414</v>
      </c>
      <c r="AS526" s="1">
        <v>210271</v>
      </c>
      <c r="AT526" s="1" t="s">
        <v>115</v>
      </c>
      <c r="AV526" s="241">
        <v>872</v>
      </c>
      <c r="AX526" s="1">
        <f t="shared" si="83"/>
        <v>1</v>
      </c>
      <c r="AY526" s="1" t="str">
        <f>IF(COUNTIF($AX$2:AX526,1)&gt;$AG$1,"",IF(AX526="","",E526))</f>
        <v/>
      </c>
      <c r="BM526" s="138">
        <f t="shared" si="84"/>
        <v>0</v>
      </c>
      <c r="BN526" s="42">
        <f t="shared" si="85"/>
        <v>0</v>
      </c>
      <c r="BS526" s="1">
        <v>10153</v>
      </c>
      <c r="BT526" s="1" t="s">
        <v>902</v>
      </c>
      <c r="BX526" s="36"/>
    </row>
    <row r="527" spans="2:76" ht="14.25">
      <c r="B527" s="36"/>
      <c r="C527" s="36"/>
      <c r="D527" s="36"/>
      <c r="E527" s="36"/>
      <c r="F527" s="36"/>
      <c r="G527" s="36"/>
      <c r="H527" s="36"/>
      <c r="J527" s="36"/>
      <c r="K527" s="1" t="str">
        <f t="shared" si="86"/>
        <v/>
      </c>
      <c r="L527" s="1" t="str">
        <f t="shared" si="87"/>
        <v/>
      </c>
      <c r="M527" s="94">
        <v>522</v>
      </c>
      <c r="N527" s="36" t="s">
        <v>2178</v>
      </c>
      <c r="O527" s="95">
        <v>310229</v>
      </c>
      <c r="P527" s="36"/>
      <c r="AI527" s="122">
        <v>215</v>
      </c>
      <c r="AJ527" s="1" t="s">
        <v>1870</v>
      </c>
      <c r="AK527" s="1">
        <v>309922</v>
      </c>
      <c r="AL527" s="1" t="s">
        <v>930</v>
      </c>
      <c r="AN527" s="270">
        <v>621</v>
      </c>
      <c r="AQ527" s="1">
        <v>379</v>
      </c>
      <c r="AR527" s="1" t="s">
        <v>415</v>
      </c>
      <c r="AS527" s="1">
        <v>210272</v>
      </c>
      <c r="AT527" s="1" t="s">
        <v>116</v>
      </c>
      <c r="AV527" s="241">
        <v>873</v>
      </c>
      <c r="AX527" s="1">
        <f t="shared" si="83"/>
        <v>1</v>
      </c>
      <c r="AY527" s="1" t="str">
        <f>IF(COUNTIF($AX$2:AX527,1)&gt;$AG$1,"",IF(AX527="","",E527))</f>
        <v/>
      </c>
      <c r="BM527" s="138">
        <f t="shared" si="84"/>
        <v>0</v>
      </c>
      <c r="BN527" s="42">
        <f t="shared" si="85"/>
        <v>0</v>
      </c>
      <c r="BS527" s="1">
        <v>10154</v>
      </c>
      <c r="BT527" s="1" t="s">
        <v>902</v>
      </c>
      <c r="BX527" s="36"/>
    </row>
    <row r="528" spans="2:76" ht="14.25">
      <c r="B528" s="36"/>
      <c r="C528" s="36"/>
      <c r="D528" s="36"/>
      <c r="E528" s="36"/>
      <c r="F528" s="36"/>
      <c r="G528" s="36"/>
      <c r="H528" s="36"/>
      <c r="J528" s="36"/>
      <c r="K528" s="1" t="str">
        <f t="shared" si="86"/>
        <v/>
      </c>
      <c r="L528" s="1" t="str">
        <f t="shared" si="87"/>
        <v/>
      </c>
      <c r="M528" s="94">
        <v>523</v>
      </c>
      <c r="N528" s="36" t="s">
        <v>2179</v>
      </c>
      <c r="O528" s="95">
        <v>310230</v>
      </c>
      <c r="P528" s="36"/>
      <c r="AI528" s="122">
        <v>216</v>
      </c>
      <c r="AJ528" s="1" t="s">
        <v>1871</v>
      </c>
      <c r="AK528" s="1">
        <v>309923</v>
      </c>
      <c r="AL528" s="1" t="s">
        <v>115</v>
      </c>
      <c r="AN528" s="270">
        <v>622</v>
      </c>
      <c r="AQ528" s="1">
        <v>380</v>
      </c>
      <c r="AR528" s="1" t="s">
        <v>416</v>
      </c>
      <c r="AS528" s="1">
        <v>210273</v>
      </c>
      <c r="AT528" s="1" t="s">
        <v>115</v>
      </c>
      <c r="AV528" s="241">
        <v>874</v>
      </c>
      <c r="AX528" s="1">
        <f t="shared" si="83"/>
        <v>1</v>
      </c>
      <c r="AY528" s="1" t="str">
        <f>IF(COUNTIF($AX$2:AX528,1)&gt;$AG$1,"",IF(AX528="","",E528))</f>
        <v/>
      </c>
      <c r="BM528" s="138">
        <f t="shared" si="84"/>
        <v>0</v>
      </c>
      <c r="BN528" s="42">
        <f t="shared" si="85"/>
        <v>0</v>
      </c>
      <c r="BS528" s="1">
        <v>10155</v>
      </c>
      <c r="BT528" s="1" t="s">
        <v>902</v>
      </c>
      <c r="BX528" s="36"/>
    </row>
    <row r="529" spans="2:76" ht="14.25">
      <c r="B529" s="36"/>
      <c r="C529" s="36"/>
      <c r="D529" s="36"/>
      <c r="E529" s="36"/>
      <c r="F529" s="36"/>
      <c r="G529" s="36"/>
      <c r="H529" s="36"/>
      <c r="J529" s="36"/>
      <c r="K529" s="1" t="str">
        <f t="shared" si="86"/>
        <v/>
      </c>
      <c r="L529" s="1" t="str">
        <f t="shared" si="87"/>
        <v/>
      </c>
      <c r="M529" s="94">
        <v>524</v>
      </c>
      <c r="N529" s="36" t="s">
        <v>2180</v>
      </c>
      <c r="O529" s="95">
        <v>310231</v>
      </c>
      <c r="P529" s="36"/>
      <c r="AI529" s="122">
        <v>217</v>
      </c>
      <c r="AJ529" s="1" t="s">
        <v>1872</v>
      </c>
      <c r="AK529" s="1">
        <v>309924</v>
      </c>
      <c r="AL529" s="1" t="s">
        <v>930</v>
      </c>
      <c r="AN529" s="270">
        <v>623</v>
      </c>
      <c r="AQ529" s="1">
        <v>381</v>
      </c>
      <c r="AR529" s="1" t="s">
        <v>417</v>
      </c>
      <c r="AS529" s="1">
        <v>210275</v>
      </c>
      <c r="AT529" s="1" t="s">
        <v>116</v>
      </c>
      <c r="AV529" s="241">
        <v>875</v>
      </c>
      <c r="AX529" s="1">
        <f t="shared" si="83"/>
        <v>1</v>
      </c>
      <c r="AY529" s="1" t="str">
        <f>IF(COUNTIF($AX$2:AX529,1)&gt;$AG$1,"",IF(AX529="","",E529))</f>
        <v/>
      </c>
      <c r="BM529" s="138">
        <f t="shared" si="84"/>
        <v>0</v>
      </c>
      <c r="BN529" s="42">
        <f t="shared" si="85"/>
        <v>0</v>
      </c>
      <c r="BS529" s="1">
        <v>10156</v>
      </c>
      <c r="BT529" s="1" t="s">
        <v>902</v>
      </c>
      <c r="BX529" s="36"/>
    </row>
    <row r="530" spans="2:76" ht="14.25">
      <c r="B530" s="36"/>
      <c r="C530" s="36"/>
      <c r="D530" s="36"/>
      <c r="E530" s="36"/>
      <c r="F530" s="36"/>
      <c r="G530" s="36"/>
      <c r="H530" s="36"/>
      <c r="J530" s="36"/>
      <c r="K530" s="1" t="str">
        <f t="shared" si="86"/>
        <v/>
      </c>
      <c r="L530" s="1" t="str">
        <f t="shared" si="87"/>
        <v/>
      </c>
      <c r="M530" s="94">
        <v>525</v>
      </c>
      <c r="N530" s="36" t="s">
        <v>2181</v>
      </c>
      <c r="O530" s="95">
        <v>310232</v>
      </c>
      <c r="P530" s="36"/>
      <c r="AI530" s="122">
        <v>218</v>
      </c>
      <c r="AJ530" s="1" t="s">
        <v>1873</v>
      </c>
      <c r="AK530" s="1">
        <v>309925</v>
      </c>
      <c r="AL530" s="1" t="s">
        <v>930</v>
      </c>
      <c r="AN530" s="270">
        <v>624</v>
      </c>
      <c r="AQ530" s="1">
        <v>382</v>
      </c>
      <c r="AR530" s="1" t="s">
        <v>418</v>
      </c>
      <c r="AS530" s="1">
        <v>210274</v>
      </c>
      <c r="AT530" s="1" t="s">
        <v>115</v>
      </c>
      <c r="AV530" s="241">
        <v>876</v>
      </c>
      <c r="AX530" s="1">
        <f t="shared" si="83"/>
        <v>1</v>
      </c>
      <c r="AY530" s="1" t="str">
        <f>IF(COUNTIF($AX$2:AX530,1)&gt;$AG$1,"",IF(AX530="","",E530))</f>
        <v/>
      </c>
      <c r="BM530" s="138">
        <f t="shared" si="84"/>
        <v>0</v>
      </c>
      <c r="BN530" s="42">
        <f t="shared" si="85"/>
        <v>0</v>
      </c>
      <c r="BS530" s="1">
        <v>10157</v>
      </c>
      <c r="BT530" s="1" t="s">
        <v>902</v>
      </c>
      <c r="BX530" s="36"/>
    </row>
    <row r="531" spans="2:76" ht="14.25">
      <c r="B531" s="36"/>
      <c r="C531" s="36"/>
      <c r="D531" s="36"/>
      <c r="E531" s="36"/>
      <c r="F531" s="36"/>
      <c r="G531" s="36"/>
      <c r="H531" s="36"/>
      <c r="J531" s="36"/>
      <c r="K531" s="1" t="str">
        <f t="shared" si="86"/>
        <v/>
      </c>
      <c r="L531" s="1" t="str">
        <f t="shared" si="87"/>
        <v/>
      </c>
      <c r="M531" s="94">
        <v>526</v>
      </c>
      <c r="N531" s="36" t="s">
        <v>2182</v>
      </c>
      <c r="O531" s="95">
        <v>310233</v>
      </c>
      <c r="P531" s="36"/>
      <c r="AI531" s="122">
        <v>219</v>
      </c>
      <c r="AJ531" s="1" t="s">
        <v>1874</v>
      </c>
      <c r="AK531" s="1">
        <v>309926</v>
      </c>
      <c r="AL531" s="1" t="s">
        <v>115</v>
      </c>
      <c r="AN531" s="270">
        <v>625</v>
      </c>
      <c r="AQ531" s="1">
        <v>383</v>
      </c>
      <c r="AR531" s="1" t="s">
        <v>419</v>
      </c>
      <c r="AS531" s="1">
        <v>210276</v>
      </c>
      <c r="AT531" s="1" t="s">
        <v>115</v>
      </c>
      <c r="AV531" s="241">
        <v>877</v>
      </c>
      <c r="AX531" s="1">
        <f t="shared" si="83"/>
        <v>1</v>
      </c>
      <c r="AY531" s="1" t="str">
        <f>IF(COUNTIF($AX$2:AX531,1)&gt;$AG$1,"",IF(AX531="","",E531))</f>
        <v/>
      </c>
      <c r="BM531" s="138">
        <f t="shared" si="84"/>
        <v>0</v>
      </c>
      <c r="BN531" s="42">
        <f t="shared" si="85"/>
        <v>0</v>
      </c>
      <c r="BS531" s="1">
        <v>10158</v>
      </c>
      <c r="BT531" s="1" t="s">
        <v>902</v>
      </c>
      <c r="BX531" s="36"/>
    </row>
    <row r="532" spans="2:76" ht="14.25">
      <c r="B532" s="36"/>
      <c r="C532" s="36"/>
      <c r="D532" s="36"/>
      <c r="E532" s="36"/>
      <c r="F532" s="36"/>
      <c r="G532" s="36"/>
      <c r="H532" s="36"/>
      <c r="J532" s="36"/>
      <c r="K532" s="1" t="str">
        <f t="shared" si="86"/>
        <v/>
      </c>
      <c r="L532" s="1" t="str">
        <f t="shared" si="87"/>
        <v/>
      </c>
      <c r="M532" s="94">
        <v>527</v>
      </c>
      <c r="N532" s="36" t="s">
        <v>2183</v>
      </c>
      <c r="O532" s="95">
        <v>310234</v>
      </c>
      <c r="P532" s="36"/>
      <c r="AI532" s="122">
        <v>220</v>
      </c>
      <c r="AJ532" s="1" t="s">
        <v>1875</v>
      </c>
      <c r="AK532" s="1">
        <v>309927</v>
      </c>
      <c r="AL532" s="1" t="s">
        <v>930</v>
      </c>
      <c r="AN532" s="270">
        <v>626</v>
      </c>
      <c r="AQ532" s="1">
        <v>384</v>
      </c>
      <c r="AR532" s="1" t="s">
        <v>420</v>
      </c>
      <c r="AS532" s="1">
        <v>210277</v>
      </c>
      <c r="AT532" s="1" t="s">
        <v>116</v>
      </c>
      <c r="AV532" s="241">
        <v>878</v>
      </c>
      <c r="AX532" s="1">
        <f t="shared" si="83"/>
        <v>1</v>
      </c>
      <c r="AY532" s="1" t="str">
        <f>IF(COUNTIF($AX$2:AX532,1)&gt;$AG$1,"",IF(AX532="","",E532))</f>
        <v/>
      </c>
      <c r="BM532" s="138">
        <f t="shared" si="84"/>
        <v>0</v>
      </c>
      <c r="BN532" s="42">
        <f t="shared" si="85"/>
        <v>0</v>
      </c>
      <c r="BS532" s="1">
        <v>10159</v>
      </c>
      <c r="BT532" s="1" t="s">
        <v>902</v>
      </c>
      <c r="BX532" s="36"/>
    </row>
    <row r="533" spans="2:76" ht="14.25">
      <c r="B533" s="36"/>
      <c r="C533" s="36"/>
      <c r="D533" s="36"/>
      <c r="E533" s="36"/>
      <c r="F533" s="36"/>
      <c r="G533" s="36"/>
      <c r="H533" s="36"/>
      <c r="J533" s="36"/>
      <c r="K533" s="1" t="str">
        <f t="shared" si="86"/>
        <v/>
      </c>
      <c r="L533" s="1" t="str">
        <f t="shared" si="87"/>
        <v/>
      </c>
      <c r="M533" s="94">
        <v>528</v>
      </c>
      <c r="N533" s="36" t="s">
        <v>2184</v>
      </c>
      <c r="O533" s="95">
        <v>310235</v>
      </c>
      <c r="P533" s="36"/>
      <c r="AI533" s="122">
        <v>221</v>
      </c>
      <c r="AJ533" s="1" t="s">
        <v>1876</v>
      </c>
      <c r="AK533" s="1">
        <v>309928</v>
      </c>
      <c r="AL533" s="1" t="s">
        <v>115</v>
      </c>
      <c r="AN533" s="270">
        <v>627</v>
      </c>
      <c r="AQ533" s="1">
        <v>385</v>
      </c>
      <c r="AR533" s="1" t="s">
        <v>421</v>
      </c>
      <c r="AS533" s="1">
        <v>210278</v>
      </c>
      <c r="AT533" s="1" t="s">
        <v>115</v>
      </c>
      <c r="AV533" s="241">
        <v>879</v>
      </c>
      <c r="AX533" s="1">
        <f t="shared" si="83"/>
        <v>1</v>
      </c>
      <c r="AY533" s="1" t="str">
        <f>IF(COUNTIF($AX$2:AX533,1)&gt;$AG$1,"",IF(AX533="","",E533))</f>
        <v/>
      </c>
      <c r="BM533" s="138">
        <f t="shared" si="84"/>
        <v>0</v>
      </c>
      <c r="BN533" s="42">
        <f t="shared" si="85"/>
        <v>0</v>
      </c>
      <c r="BS533" s="1">
        <v>10160</v>
      </c>
      <c r="BT533" s="1" t="s">
        <v>902</v>
      </c>
      <c r="BX533" s="36"/>
    </row>
    <row r="534" spans="2:76" ht="14.25">
      <c r="B534" s="36"/>
      <c r="C534" s="36"/>
      <c r="D534" s="36"/>
      <c r="E534" s="36"/>
      <c r="F534" s="36"/>
      <c r="G534" s="36"/>
      <c r="H534" s="36"/>
      <c r="J534" s="36"/>
      <c r="K534" s="1" t="str">
        <f t="shared" si="86"/>
        <v/>
      </c>
      <c r="L534" s="1" t="str">
        <f t="shared" si="87"/>
        <v/>
      </c>
      <c r="M534" s="94">
        <v>529</v>
      </c>
      <c r="N534" s="36" t="s">
        <v>2185</v>
      </c>
      <c r="O534" s="95">
        <v>310236</v>
      </c>
      <c r="P534" s="36"/>
      <c r="AI534" s="122">
        <v>222</v>
      </c>
      <c r="AJ534" s="1" t="s">
        <v>1877</v>
      </c>
      <c r="AK534" s="1">
        <v>309929</v>
      </c>
      <c r="AL534" s="1" t="s">
        <v>930</v>
      </c>
      <c r="AN534" s="270">
        <v>628</v>
      </c>
      <c r="AQ534" s="1">
        <v>386</v>
      </c>
      <c r="AR534" s="1" t="s">
        <v>422</v>
      </c>
      <c r="AS534" s="1">
        <v>210279</v>
      </c>
      <c r="AT534" s="1" t="s">
        <v>116</v>
      </c>
      <c r="AV534" s="241">
        <v>880</v>
      </c>
      <c r="AX534" s="1">
        <f t="shared" si="83"/>
        <v>1</v>
      </c>
      <c r="AY534" s="1" t="str">
        <f>IF(COUNTIF($AX$2:AX534,1)&gt;$AG$1,"",IF(AX534="","",E534))</f>
        <v/>
      </c>
      <c r="BM534" s="138">
        <f t="shared" si="84"/>
        <v>0</v>
      </c>
      <c r="BN534" s="42">
        <f t="shared" si="85"/>
        <v>0</v>
      </c>
      <c r="BS534" s="1">
        <v>10161</v>
      </c>
      <c r="BT534" s="1" t="s">
        <v>902</v>
      </c>
      <c r="BX534" s="36"/>
    </row>
    <row r="535" spans="2:76" ht="14.25">
      <c r="B535" s="36"/>
      <c r="C535" s="36"/>
      <c r="D535" s="36"/>
      <c r="E535" s="36"/>
      <c r="F535" s="36"/>
      <c r="G535" s="36"/>
      <c r="H535" s="36"/>
      <c r="J535" s="36"/>
      <c r="K535" s="1" t="str">
        <f t="shared" si="86"/>
        <v/>
      </c>
      <c r="L535" s="1" t="str">
        <f t="shared" si="87"/>
        <v/>
      </c>
      <c r="M535" s="94">
        <v>530</v>
      </c>
      <c r="N535" s="36" t="s">
        <v>2186</v>
      </c>
      <c r="O535" s="95">
        <v>310237</v>
      </c>
      <c r="P535" s="36"/>
      <c r="AI535" s="122">
        <v>223</v>
      </c>
      <c r="AJ535" s="1" t="s">
        <v>1878</v>
      </c>
      <c r="AK535" s="1">
        <v>309930</v>
      </c>
      <c r="AL535" s="1" t="s">
        <v>115</v>
      </c>
      <c r="AN535" s="270">
        <v>629</v>
      </c>
      <c r="AQ535" s="1">
        <v>387</v>
      </c>
      <c r="AR535" s="1" t="s">
        <v>423</v>
      </c>
      <c r="AS535" s="1">
        <v>210280</v>
      </c>
      <c r="AT535" s="1" t="s">
        <v>115</v>
      </c>
      <c r="AV535" s="241">
        <v>881</v>
      </c>
      <c r="AX535" s="1">
        <f t="shared" si="83"/>
        <v>1</v>
      </c>
      <c r="AY535" s="1" t="str">
        <f>IF(COUNTIF($AX$2:AX535,1)&gt;$AG$1,"",IF(AX535="","",E535))</f>
        <v/>
      </c>
      <c r="BM535" s="138">
        <f t="shared" si="84"/>
        <v>0</v>
      </c>
      <c r="BN535" s="42">
        <f t="shared" si="85"/>
        <v>0</v>
      </c>
      <c r="BS535" s="1">
        <v>10162</v>
      </c>
      <c r="BT535" s="1" t="s">
        <v>902</v>
      </c>
      <c r="BX535" s="36"/>
    </row>
    <row r="536" spans="2:76" ht="14.25">
      <c r="B536" s="36"/>
      <c r="C536" s="36"/>
      <c r="D536" s="36"/>
      <c r="E536" s="36"/>
      <c r="F536" s="36"/>
      <c r="G536" s="36"/>
      <c r="H536" s="36"/>
      <c r="J536" s="36"/>
      <c r="K536" s="1" t="str">
        <f t="shared" si="86"/>
        <v/>
      </c>
      <c r="L536" s="1" t="str">
        <f t="shared" si="87"/>
        <v/>
      </c>
      <c r="M536" s="94">
        <v>531</v>
      </c>
      <c r="N536" s="36" t="s">
        <v>2187</v>
      </c>
      <c r="O536" s="95">
        <v>310238</v>
      </c>
      <c r="P536" s="36"/>
      <c r="AI536" s="122">
        <v>224</v>
      </c>
      <c r="AJ536" s="1" t="s">
        <v>1879</v>
      </c>
      <c r="AK536" s="1">
        <v>309931</v>
      </c>
      <c r="AL536" s="1" t="s">
        <v>930</v>
      </c>
      <c r="AN536" s="270">
        <v>630</v>
      </c>
      <c r="AQ536" s="1">
        <v>388</v>
      </c>
      <c r="AR536" s="1" t="s">
        <v>424</v>
      </c>
      <c r="AS536" s="1">
        <v>210281</v>
      </c>
      <c r="AT536" s="1" t="s">
        <v>115</v>
      </c>
      <c r="AV536" s="241">
        <v>882</v>
      </c>
      <c r="AX536" s="1">
        <f t="shared" si="83"/>
        <v>1</v>
      </c>
      <c r="AY536" s="1" t="str">
        <f>IF(COUNTIF($AX$2:AX536,1)&gt;$AG$1,"",IF(AX536="","",E536))</f>
        <v/>
      </c>
      <c r="BM536" s="138">
        <f t="shared" si="84"/>
        <v>0</v>
      </c>
      <c r="BN536" s="42">
        <f t="shared" si="85"/>
        <v>0</v>
      </c>
      <c r="BS536" s="1">
        <v>10163</v>
      </c>
      <c r="BT536" s="1" t="s">
        <v>902</v>
      </c>
      <c r="BX536" s="36"/>
    </row>
    <row r="537" spans="2:76" ht="14.25">
      <c r="B537" s="36"/>
      <c r="C537" s="36"/>
      <c r="D537" s="36"/>
      <c r="E537" s="36"/>
      <c r="F537" s="36"/>
      <c r="G537" s="36"/>
      <c r="H537" s="36"/>
      <c r="J537" s="36"/>
      <c r="K537" s="1" t="str">
        <f t="shared" si="86"/>
        <v/>
      </c>
      <c r="L537" s="1" t="str">
        <f t="shared" si="87"/>
        <v/>
      </c>
      <c r="M537" s="94">
        <v>532</v>
      </c>
      <c r="N537" s="36" t="s">
        <v>2188</v>
      </c>
      <c r="O537" s="95">
        <v>310239</v>
      </c>
      <c r="P537" s="36"/>
      <c r="AI537" s="122">
        <v>225</v>
      </c>
      <c r="AJ537" s="1" t="s">
        <v>1880</v>
      </c>
      <c r="AK537" s="1">
        <v>309932</v>
      </c>
      <c r="AL537" s="1" t="s">
        <v>930</v>
      </c>
      <c r="AN537" s="270">
        <v>631</v>
      </c>
      <c r="AQ537" s="1">
        <v>389</v>
      </c>
      <c r="AR537" s="1" t="s">
        <v>425</v>
      </c>
      <c r="AS537" s="1">
        <v>210282</v>
      </c>
      <c r="AT537" s="1" t="s">
        <v>116</v>
      </c>
      <c r="AV537" s="241">
        <v>883</v>
      </c>
      <c r="AX537" s="1">
        <f t="shared" si="83"/>
        <v>1</v>
      </c>
      <c r="AY537" s="1" t="str">
        <f>IF(COUNTIF($AX$2:AX537,1)&gt;$AG$1,"",IF(AX537="","",E537))</f>
        <v/>
      </c>
      <c r="BM537" s="138">
        <f t="shared" si="84"/>
        <v>0</v>
      </c>
      <c r="BN537" s="42">
        <f t="shared" si="85"/>
        <v>0</v>
      </c>
      <c r="BS537" s="1">
        <v>10164</v>
      </c>
      <c r="BT537" s="1" t="s">
        <v>902</v>
      </c>
      <c r="BX537" s="36"/>
    </row>
    <row r="538" spans="2:76" ht="14.25">
      <c r="B538" s="36"/>
      <c r="C538" s="36"/>
      <c r="D538" s="36"/>
      <c r="E538" s="36"/>
      <c r="F538" s="36"/>
      <c r="G538" s="36"/>
      <c r="H538" s="36"/>
      <c r="J538" s="36"/>
      <c r="K538" s="1" t="str">
        <f t="shared" si="86"/>
        <v/>
      </c>
      <c r="L538" s="1" t="str">
        <f t="shared" si="87"/>
        <v/>
      </c>
      <c r="M538" s="94">
        <v>533</v>
      </c>
      <c r="N538" s="36" t="s">
        <v>2189</v>
      </c>
      <c r="O538" s="95">
        <v>310240</v>
      </c>
      <c r="P538" s="36"/>
      <c r="AI538" s="122">
        <v>226</v>
      </c>
      <c r="AJ538" s="1" t="s">
        <v>1881</v>
      </c>
      <c r="AK538" s="1">
        <v>309933</v>
      </c>
      <c r="AL538" s="1" t="s">
        <v>115</v>
      </c>
      <c r="AN538" s="270">
        <v>632</v>
      </c>
      <c r="AQ538" s="1">
        <v>390</v>
      </c>
      <c r="AR538" s="1" t="s">
        <v>426</v>
      </c>
      <c r="AS538" s="1">
        <v>210283</v>
      </c>
      <c r="AT538" s="1" t="s">
        <v>115</v>
      </c>
      <c r="AV538" s="241">
        <v>884</v>
      </c>
      <c r="AX538" s="1">
        <f t="shared" si="83"/>
        <v>1</v>
      </c>
      <c r="AY538" s="1" t="str">
        <f>IF(COUNTIF($AX$2:AX538,1)&gt;$AG$1,"",IF(AX538="","",E538))</f>
        <v/>
      </c>
      <c r="BM538" s="138">
        <f t="shared" si="84"/>
        <v>0</v>
      </c>
      <c r="BN538" s="42">
        <f t="shared" si="85"/>
        <v>0</v>
      </c>
      <c r="BS538" s="1">
        <v>10165</v>
      </c>
      <c r="BT538" s="1" t="s">
        <v>902</v>
      </c>
      <c r="BX538" s="36"/>
    </row>
    <row r="539" spans="2:76" ht="14.25">
      <c r="B539" s="36"/>
      <c r="C539" s="36"/>
      <c r="D539" s="36"/>
      <c r="E539" s="36"/>
      <c r="F539" s="36"/>
      <c r="G539" s="36"/>
      <c r="H539" s="36"/>
      <c r="J539" s="36"/>
      <c r="K539" s="1" t="str">
        <f t="shared" si="86"/>
        <v/>
      </c>
      <c r="L539" s="1" t="str">
        <f t="shared" si="87"/>
        <v/>
      </c>
      <c r="M539" s="94">
        <v>534</v>
      </c>
      <c r="N539" s="36" t="s">
        <v>2190</v>
      </c>
      <c r="O539" s="95">
        <v>310241</v>
      </c>
      <c r="P539" s="36"/>
      <c r="AI539" s="122">
        <v>227</v>
      </c>
      <c r="AJ539" s="1" t="s">
        <v>1882</v>
      </c>
      <c r="AK539" s="1">
        <v>309934</v>
      </c>
      <c r="AL539" s="1" t="s">
        <v>930</v>
      </c>
      <c r="AN539" s="270">
        <v>633</v>
      </c>
      <c r="AQ539" s="1">
        <v>391</v>
      </c>
      <c r="AR539" s="1" t="s">
        <v>427</v>
      </c>
      <c r="AS539" s="1">
        <v>210284</v>
      </c>
      <c r="AT539" s="1" t="s">
        <v>116</v>
      </c>
      <c r="AV539" s="241">
        <v>885</v>
      </c>
      <c r="AX539" s="1">
        <f t="shared" si="83"/>
        <v>1</v>
      </c>
      <c r="AY539" s="1" t="str">
        <f>IF(COUNTIF($AX$2:AX539,1)&gt;$AG$1,"",IF(AX539="","",E539))</f>
        <v/>
      </c>
      <c r="BM539" s="138">
        <f t="shared" si="84"/>
        <v>0</v>
      </c>
      <c r="BN539" s="42">
        <f t="shared" si="85"/>
        <v>0</v>
      </c>
      <c r="BS539" s="1">
        <v>10166</v>
      </c>
      <c r="BT539" s="1" t="s">
        <v>902</v>
      </c>
      <c r="BX539" s="36"/>
    </row>
    <row r="540" spans="2:76" ht="14.25">
      <c r="B540" s="36"/>
      <c r="C540" s="36"/>
      <c r="D540" s="36"/>
      <c r="E540" s="36"/>
      <c r="F540" s="36"/>
      <c r="G540" s="36"/>
      <c r="H540" s="36"/>
      <c r="J540" s="36"/>
      <c r="K540" s="1" t="str">
        <f t="shared" si="86"/>
        <v/>
      </c>
      <c r="L540" s="1" t="str">
        <f t="shared" si="87"/>
        <v/>
      </c>
      <c r="M540" s="94">
        <v>535</v>
      </c>
      <c r="N540" s="36" t="s">
        <v>2191</v>
      </c>
      <c r="O540" s="95">
        <v>310242</v>
      </c>
      <c r="P540" s="36"/>
      <c r="AI540" s="122">
        <v>228</v>
      </c>
      <c r="AJ540" s="1" t="s">
        <v>1883</v>
      </c>
      <c r="AK540" s="1">
        <v>309935</v>
      </c>
      <c r="AL540" s="1" t="s">
        <v>115</v>
      </c>
      <c r="AN540" s="270">
        <v>634</v>
      </c>
      <c r="AQ540" s="1">
        <v>392</v>
      </c>
      <c r="AR540" s="1" t="s">
        <v>428</v>
      </c>
      <c r="AS540" s="1">
        <v>210285</v>
      </c>
      <c r="AT540" s="1" t="s">
        <v>115</v>
      </c>
      <c r="AV540" s="241">
        <v>886</v>
      </c>
      <c r="AX540" s="1">
        <f t="shared" si="83"/>
        <v>1</v>
      </c>
      <c r="AY540" s="1" t="str">
        <f>IF(COUNTIF($AX$2:AX540,1)&gt;$AG$1,"",IF(AX540="","",E540))</f>
        <v/>
      </c>
      <c r="BM540" s="138">
        <f t="shared" si="84"/>
        <v>0</v>
      </c>
      <c r="BN540" s="42">
        <f t="shared" si="85"/>
        <v>0</v>
      </c>
      <c r="BS540" s="1">
        <v>10167</v>
      </c>
      <c r="BT540" s="1" t="s">
        <v>902</v>
      </c>
      <c r="BX540" s="36"/>
    </row>
    <row r="541" spans="2:76" ht="14.25">
      <c r="B541" s="36"/>
      <c r="C541" s="36"/>
      <c r="D541" s="36"/>
      <c r="E541" s="36"/>
      <c r="F541" s="36"/>
      <c r="G541" s="36"/>
      <c r="H541" s="36"/>
      <c r="J541" s="36"/>
      <c r="K541" s="1" t="str">
        <f t="shared" si="86"/>
        <v/>
      </c>
      <c r="L541" s="1" t="str">
        <f t="shared" si="87"/>
        <v/>
      </c>
      <c r="M541" s="94">
        <v>536</v>
      </c>
      <c r="N541" s="36" t="s">
        <v>2192</v>
      </c>
      <c r="O541" s="95">
        <v>310243</v>
      </c>
      <c r="P541" s="36"/>
      <c r="AI541" s="122">
        <v>229</v>
      </c>
      <c r="AJ541" s="1" t="s">
        <v>1884</v>
      </c>
      <c r="AK541" s="1">
        <v>309936</v>
      </c>
      <c r="AL541" s="1" t="s">
        <v>930</v>
      </c>
      <c r="AN541" s="270">
        <v>635</v>
      </c>
      <c r="AQ541" s="1">
        <v>393</v>
      </c>
      <c r="AR541" s="1" t="s">
        <v>429</v>
      </c>
      <c r="AS541" s="1">
        <v>210286</v>
      </c>
      <c r="AT541" s="1" t="s">
        <v>115</v>
      </c>
      <c r="AV541" s="241">
        <v>887</v>
      </c>
      <c r="AX541" s="1">
        <f t="shared" si="83"/>
        <v>1</v>
      </c>
      <c r="AY541" s="1" t="str">
        <f>IF(COUNTIF($AX$2:AX541,1)&gt;$AG$1,"",IF(AX541="","",E541))</f>
        <v/>
      </c>
      <c r="BM541" s="138">
        <f t="shared" si="84"/>
        <v>0</v>
      </c>
      <c r="BN541" s="42">
        <f t="shared" si="85"/>
        <v>0</v>
      </c>
      <c r="BS541" s="1">
        <v>10168</v>
      </c>
      <c r="BT541" s="1" t="s">
        <v>902</v>
      </c>
      <c r="BX541" s="36"/>
    </row>
    <row r="542" spans="2:76" ht="14.25">
      <c r="B542" s="36"/>
      <c r="C542" s="36"/>
      <c r="D542" s="36"/>
      <c r="E542" s="36"/>
      <c r="F542" s="36"/>
      <c r="G542" s="36"/>
      <c r="H542" s="36"/>
      <c r="J542" s="36"/>
      <c r="K542" s="1" t="str">
        <f t="shared" si="86"/>
        <v/>
      </c>
      <c r="L542" s="1" t="str">
        <f t="shared" si="87"/>
        <v/>
      </c>
      <c r="M542" s="94">
        <v>537</v>
      </c>
      <c r="N542" s="36" t="s">
        <v>2193</v>
      </c>
      <c r="O542" s="95">
        <v>310244</v>
      </c>
      <c r="P542" s="36"/>
      <c r="AI542" s="122">
        <v>230</v>
      </c>
      <c r="AJ542" s="1" t="s">
        <v>1885</v>
      </c>
      <c r="AK542" s="1">
        <v>309937</v>
      </c>
      <c r="AL542" s="1" t="s">
        <v>115</v>
      </c>
      <c r="AN542" s="270">
        <v>636</v>
      </c>
      <c r="AQ542" s="1">
        <v>394</v>
      </c>
      <c r="AR542" s="1" t="s">
        <v>430</v>
      </c>
      <c r="AS542" s="1">
        <v>210287</v>
      </c>
      <c r="AT542" s="1" t="s">
        <v>116</v>
      </c>
      <c r="AV542" s="241">
        <v>888</v>
      </c>
      <c r="AX542" s="1">
        <f t="shared" si="83"/>
        <v>1</v>
      </c>
      <c r="AY542" s="1" t="str">
        <f>IF(COUNTIF($AX$2:AX542,1)&gt;$AG$1,"",IF(AX542="","",E542))</f>
        <v/>
      </c>
      <c r="BM542" s="138">
        <f t="shared" si="84"/>
        <v>0</v>
      </c>
      <c r="BN542" s="42">
        <f t="shared" si="85"/>
        <v>0</v>
      </c>
      <c r="BS542" s="1">
        <v>10169</v>
      </c>
      <c r="BT542" s="1" t="s">
        <v>902</v>
      </c>
      <c r="BX542" s="36"/>
    </row>
    <row r="543" spans="2:76" ht="14.25">
      <c r="B543" s="36"/>
      <c r="C543" s="36"/>
      <c r="D543" s="36"/>
      <c r="E543" s="36"/>
      <c r="F543" s="36"/>
      <c r="G543" s="36"/>
      <c r="H543" s="36"/>
      <c r="J543" s="36"/>
      <c r="K543" s="1" t="str">
        <f t="shared" si="86"/>
        <v/>
      </c>
      <c r="L543" s="1" t="str">
        <f t="shared" si="87"/>
        <v/>
      </c>
      <c r="M543" s="94">
        <v>538</v>
      </c>
      <c r="N543" s="36" t="s">
        <v>2194</v>
      </c>
      <c r="O543" s="95">
        <v>310245</v>
      </c>
      <c r="P543" s="36"/>
      <c r="AI543" s="122">
        <v>231</v>
      </c>
      <c r="AJ543" s="1" t="s">
        <v>1886</v>
      </c>
      <c r="AK543" s="1">
        <v>309938</v>
      </c>
      <c r="AL543" s="1" t="s">
        <v>930</v>
      </c>
      <c r="AN543" s="270">
        <v>637</v>
      </c>
      <c r="AQ543" s="1">
        <v>395</v>
      </c>
      <c r="AR543" s="1" t="s">
        <v>431</v>
      </c>
      <c r="AS543" s="1">
        <v>210288</v>
      </c>
      <c r="AT543" s="1" t="s">
        <v>115</v>
      </c>
      <c r="AV543" s="241">
        <v>889</v>
      </c>
      <c r="AX543" s="1">
        <f t="shared" si="83"/>
        <v>1</v>
      </c>
      <c r="AY543" s="1" t="str">
        <f>IF(COUNTIF($AX$2:AX543,1)&gt;$AG$1,"",IF(AX543="","",E543))</f>
        <v/>
      </c>
      <c r="BM543" s="138">
        <f t="shared" si="84"/>
        <v>0</v>
      </c>
      <c r="BN543" s="42">
        <f t="shared" si="85"/>
        <v>0</v>
      </c>
      <c r="BS543" s="1">
        <v>10170</v>
      </c>
      <c r="BT543" s="1" t="s">
        <v>902</v>
      </c>
      <c r="BX543" s="36"/>
    </row>
    <row r="544" spans="2:76" ht="14.25">
      <c r="B544" s="36"/>
      <c r="C544" s="36"/>
      <c r="D544" s="36"/>
      <c r="E544" s="36"/>
      <c r="F544" s="36"/>
      <c r="G544" s="36"/>
      <c r="H544" s="36"/>
      <c r="J544" s="36"/>
      <c r="K544" s="1" t="str">
        <f t="shared" si="86"/>
        <v/>
      </c>
      <c r="L544" s="1" t="str">
        <f t="shared" si="87"/>
        <v/>
      </c>
      <c r="M544" s="94">
        <v>539</v>
      </c>
      <c r="N544" s="36" t="s">
        <v>2195</v>
      </c>
      <c r="O544" s="95">
        <v>310246</v>
      </c>
      <c r="P544" s="36"/>
      <c r="AI544" s="122">
        <v>232</v>
      </c>
      <c r="AJ544" s="1" t="s">
        <v>1887</v>
      </c>
      <c r="AK544" s="1">
        <v>309939</v>
      </c>
      <c r="AL544" s="1" t="s">
        <v>930</v>
      </c>
      <c r="AN544" s="270">
        <v>638</v>
      </c>
      <c r="AQ544" s="1">
        <v>396</v>
      </c>
      <c r="AR544" s="1" t="s">
        <v>432</v>
      </c>
      <c r="AS544" s="1">
        <v>210289</v>
      </c>
      <c r="AT544" s="1" t="s">
        <v>116</v>
      </c>
      <c r="AV544" s="241">
        <v>890</v>
      </c>
      <c r="AX544" s="1">
        <f t="shared" si="83"/>
        <v>1</v>
      </c>
      <c r="AY544" s="1" t="str">
        <f>IF(COUNTIF($AX$2:AX544,1)&gt;$AG$1,"",IF(AX544="","",E544))</f>
        <v/>
      </c>
      <c r="BM544" s="138">
        <f t="shared" si="84"/>
        <v>0</v>
      </c>
      <c r="BN544" s="42">
        <f t="shared" si="85"/>
        <v>0</v>
      </c>
      <c r="BS544" s="1">
        <v>10171</v>
      </c>
      <c r="BT544" s="1" t="s">
        <v>902</v>
      </c>
      <c r="BX544" s="36"/>
    </row>
    <row r="545" spans="2:76" ht="14.25">
      <c r="B545" s="36"/>
      <c r="C545" s="36"/>
      <c r="D545" s="36"/>
      <c r="E545" s="36"/>
      <c r="F545" s="36"/>
      <c r="G545" s="36"/>
      <c r="H545" s="36"/>
      <c r="J545" s="36"/>
      <c r="K545" s="1" t="str">
        <f t="shared" si="86"/>
        <v/>
      </c>
      <c r="L545" s="1" t="str">
        <f t="shared" si="87"/>
        <v/>
      </c>
      <c r="M545" s="94">
        <v>540</v>
      </c>
      <c r="N545" s="36" t="s">
        <v>2196</v>
      </c>
      <c r="O545" s="95">
        <v>310247</v>
      </c>
      <c r="P545" s="36"/>
      <c r="AI545" s="122">
        <v>233</v>
      </c>
      <c r="AJ545" s="1" t="s">
        <v>1888</v>
      </c>
      <c r="AK545" s="1">
        <v>309940</v>
      </c>
      <c r="AL545" s="1" t="s">
        <v>115</v>
      </c>
      <c r="AN545" s="270">
        <v>639</v>
      </c>
      <c r="AQ545" s="1">
        <v>397</v>
      </c>
      <c r="AR545" s="1" t="s">
        <v>433</v>
      </c>
      <c r="AS545" s="1">
        <v>210290</v>
      </c>
      <c r="AT545" s="1" t="s">
        <v>115</v>
      </c>
      <c r="AV545" s="241">
        <v>891</v>
      </c>
      <c r="AX545" s="1">
        <f t="shared" si="83"/>
        <v>1</v>
      </c>
      <c r="AY545" s="1" t="str">
        <f>IF(COUNTIF($AX$2:AX545,1)&gt;$AG$1,"",IF(AX545="","",E545))</f>
        <v/>
      </c>
      <c r="BM545" s="138">
        <f t="shared" si="84"/>
        <v>0</v>
      </c>
      <c r="BN545" s="42">
        <f t="shared" si="85"/>
        <v>0</v>
      </c>
      <c r="BS545" s="1">
        <v>10172</v>
      </c>
      <c r="BT545" s="1" t="s">
        <v>902</v>
      </c>
      <c r="BX545" s="36"/>
    </row>
    <row r="546" spans="2:76" ht="14.25">
      <c r="B546" s="36"/>
      <c r="C546" s="36"/>
      <c r="D546" s="36"/>
      <c r="E546" s="36"/>
      <c r="F546" s="36"/>
      <c r="G546" s="36"/>
      <c r="H546" s="36"/>
      <c r="J546" s="36"/>
      <c r="K546" s="1" t="str">
        <f t="shared" si="86"/>
        <v/>
      </c>
      <c r="L546" s="1" t="str">
        <f t="shared" si="87"/>
        <v/>
      </c>
      <c r="M546" s="94">
        <v>541</v>
      </c>
      <c r="N546" s="36" t="s">
        <v>2197</v>
      </c>
      <c r="O546" s="95">
        <v>310248</v>
      </c>
      <c r="P546" s="36"/>
      <c r="AI546" s="122">
        <v>234</v>
      </c>
      <c r="AJ546" s="1" t="s">
        <v>1889</v>
      </c>
      <c r="AK546" s="1">
        <v>309941</v>
      </c>
      <c r="AL546" s="1" t="s">
        <v>930</v>
      </c>
      <c r="AN546" s="270">
        <v>640</v>
      </c>
      <c r="AQ546" s="1">
        <v>398</v>
      </c>
      <c r="AR546" s="1" t="s">
        <v>434</v>
      </c>
      <c r="AS546" s="1">
        <v>210291</v>
      </c>
      <c r="AT546" s="1" t="s">
        <v>115</v>
      </c>
      <c r="AV546" s="241">
        <v>892</v>
      </c>
      <c r="AX546" s="1">
        <f t="shared" si="83"/>
        <v>1</v>
      </c>
      <c r="AY546" s="1" t="str">
        <f>IF(COUNTIF($AX$2:AX546,1)&gt;$AG$1,"",IF(AX546="","",E546))</f>
        <v/>
      </c>
      <c r="BM546" s="138">
        <f t="shared" si="84"/>
        <v>0</v>
      </c>
      <c r="BN546" s="42">
        <f t="shared" si="85"/>
        <v>0</v>
      </c>
      <c r="BS546" s="1">
        <v>10173</v>
      </c>
      <c r="BT546" s="1" t="s">
        <v>902</v>
      </c>
      <c r="BX546" s="36"/>
    </row>
    <row r="547" spans="2:76" ht="14.25">
      <c r="B547" s="36"/>
      <c r="C547" s="36"/>
      <c r="D547" s="36"/>
      <c r="E547" s="36"/>
      <c r="F547" s="36"/>
      <c r="G547" s="36"/>
      <c r="H547" s="36"/>
      <c r="J547" s="36"/>
      <c r="K547" s="1" t="str">
        <f t="shared" si="86"/>
        <v/>
      </c>
      <c r="L547" s="1" t="str">
        <f t="shared" si="87"/>
        <v/>
      </c>
      <c r="M547" s="94">
        <v>542</v>
      </c>
      <c r="N547" s="36" t="s">
        <v>2198</v>
      </c>
      <c r="O547" s="95">
        <v>310249</v>
      </c>
      <c r="P547" s="36"/>
      <c r="AI547" s="122">
        <v>235</v>
      </c>
      <c r="AJ547" s="1" t="s">
        <v>1890</v>
      </c>
      <c r="AK547" s="1">
        <v>309942</v>
      </c>
      <c r="AL547" s="1" t="s">
        <v>115</v>
      </c>
      <c r="AN547" s="270">
        <v>641</v>
      </c>
      <c r="AQ547" s="1">
        <v>399</v>
      </c>
      <c r="AR547" s="1" t="s">
        <v>435</v>
      </c>
      <c r="AS547" s="1">
        <v>210292</v>
      </c>
      <c r="AT547" s="1" t="s">
        <v>116</v>
      </c>
      <c r="AV547" s="241">
        <v>893</v>
      </c>
      <c r="AX547" s="1">
        <f t="shared" si="83"/>
        <v>1</v>
      </c>
      <c r="AY547" s="1" t="str">
        <f>IF(COUNTIF($AX$2:AX547,1)&gt;$AG$1,"",IF(AX547="","",E547))</f>
        <v/>
      </c>
      <c r="BM547" s="138">
        <f t="shared" si="84"/>
        <v>0</v>
      </c>
      <c r="BN547" s="42">
        <f t="shared" si="85"/>
        <v>0</v>
      </c>
      <c r="BS547" s="1">
        <v>10174</v>
      </c>
      <c r="BT547" s="1" t="s">
        <v>902</v>
      </c>
      <c r="BX547" s="36"/>
    </row>
    <row r="548" spans="2:76" ht="14.25">
      <c r="B548" s="36"/>
      <c r="C548" s="36"/>
      <c r="D548" s="36"/>
      <c r="E548" s="36"/>
      <c r="F548" s="36"/>
      <c r="G548" s="36"/>
      <c r="H548" s="36"/>
      <c r="J548" s="36"/>
      <c r="K548" s="1" t="str">
        <f t="shared" si="86"/>
        <v/>
      </c>
      <c r="L548" s="1" t="str">
        <f t="shared" si="87"/>
        <v/>
      </c>
      <c r="M548" s="94">
        <v>543</v>
      </c>
      <c r="N548" s="36" t="s">
        <v>2199</v>
      </c>
      <c r="O548" s="95">
        <v>310250</v>
      </c>
      <c r="P548" s="36"/>
      <c r="AI548" s="122">
        <v>236</v>
      </c>
      <c r="AJ548" s="1" t="s">
        <v>1891</v>
      </c>
      <c r="AK548" s="1">
        <v>309943</v>
      </c>
      <c r="AL548" s="1" t="s">
        <v>930</v>
      </c>
      <c r="AN548" s="270">
        <v>642</v>
      </c>
      <c r="AQ548" s="1">
        <v>400</v>
      </c>
      <c r="AR548" s="1" t="s">
        <v>436</v>
      </c>
      <c r="AS548" s="1">
        <v>210293</v>
      </c>
      <c r="AT548" s="1" t="s">
        <v>115</v>
      </c>
      <c r="AV548" s="241">
        <v>894</v>
      </c>
      <c r="AX548" s="1">
        <f t="shared" si="83"/>
        <v>1</v>
      </c>
      <c r="AY548" s="1" t="str">
        <f>IF(COUNTIF($AX$2:AX548,1)&gt;$AG$1,"",IF(AX548="","",E548))</f>
        <v/>
      </c>
      <c r="BM548" s="138">
        <f t="shared" si="84"/>
        <v>0</v>
      </c>
      <c r="BN548" s="42">
        <f t="shared" si="85"/>
        <v>0</v>
      </c>
      <c r="BS548" s="1">
        <v>10175</v>
      </c>
      <c r="BT548" s="1" t="s">
        <v>902</v>
      </c>
      <c r="BX548" s="36"/>
    </row>
    <row r="549" spans="2:76" ht="14.25">
      <c r="B549" s="36"/>
      <c r="C549" s="36"/>
      <c r="D549" s="36"/>
      <c r="E549" s="36"/>
      <c r="F549" s="36"/>
      <c r="G549" s="36"/>
      <c r="H549" s="36"/>
      <c r="J549" s="36"/>
      <c r="K549" s="1" t="str">
        <f t="shared" si="86"/>
        <v/>
      </c>
      <c r="L549" s="1" t="str">
        <f t="shared" si="87"/>
        <v/>
      </c>
      <c r="M549" s="94">
        <v>544</v>
      </c>
      <c r="N549" s="36" t="s">
        <v>2200</v>
      </c>
      <c r="O549" s="95">
        <v>310251</v>
      </c>
      <c r="P549" s="36"/>
      <c r="AI549" s="122">
        <v>237</v>
      </c>
      <c r="AJ549" s="1" t="s">
        <v>1892</v>
      </c>
      <c r="AK549" s="1">
        <v>309944</v>
      </c>
      <c r="AL549" s="1" t="s">
        <v>115</v>
      </c>
      <c r="AN549" s="270">
        <v>643</v>
      </c>
      <c r="AQ549" s="1">
        <v>401</v>
      </c>
      <c r="AR549" s="1" t="s">
        <v>437</v>
      </c>
      <c r="AS549" s="1">
        <v>210294</v>
      </c>
      <c r="AT549" s="1" t="s">
        <v>116</v>
      </c>
      <c r="AV549" s="241">
        <v>895</v>
      </c>
      <c r="AX549" s="1">
        <f t="shared" si="83"/>
        <v>1</v>
      </c>
      <c r="AY549" s="1" t="str">
        <f>IF(COUNTIF($AX$2:AX549,1)&gt;$AG$1,"",IF(AX549="","",E549))</f>
        <v/>
      </c>
      <c r="BM549" s="138">
        <f t="shared" si="84"/>
        <v>0</v>
      </c>
      <c r="BN549" s="42">
        <f t="shared" si="85"/>
        <v>0</v>
      </c>
      <c r="BS549" s="1">
        <v>10176</v>
      </c>
      <c r="BT549" s="1" t="s">
        <v>902</v>
      </c>
      <c r="BX549" s="36"/>
    </row>
    <row r="550" spans="2:76" ht="14.25">
      <c r="B550" s="36"/>
      <c r="C550" s="36"/>
      <c r="D550" s="36"/>
      <c r="E550" s="36"/>
      <c r="F550" s="36"/>
      <c r="G550" s="36"/>
      <c r="H550" s="36"/>
      <c r="J550" s="36"/>
      <c r="K550" s="1" t="str">
        <f t="shared" si="86"/>
        <v/>
      </c>
      <c r="L550" s="1" t="str">
        <f t="shared" si="87"/>
        <v/>
      </c>
      <c r="M550" s="94">
        <v>545</v>
      </c>
      <c r="N550" s="36" t="s">
        <v>2201</v>
      </c>
      <c r="O550" s="95">
        <v>310252</v>
      </c>
      <c r="P550" s="36"/>
      <c r="AI550" s="122">
        <v>238</v>
      </c>
      <c r="AJ550" s="1" t="s">
        <v>1893</v>
      </c>
      <c r="AK550" s="1">
        <v>309945</v>
      </c>
      <c r="AL550" s="1" t="s">
        <v>930</v>
      </c>
      <c r="AN550" s="270">
        <v>644</v>
      </c>
      <c r="AQ550" s="1">
        <v>402</v>
      </c>
      <c r="AR550" s="1" t="s">
        <v>438</v>
      </c>
      <c r="AS550" s="1">
        <v>210298</v>
      </c>
      <c r="AT550" s="1" t="s">
        <v>115</v>
      </c>
      <c r="AV550" s="241">
        <v>896</v>
      </c>
      <c r="AX550" s="1">
        <f t="shared" si="83"/>
        <v>1</v>
      </c>
      <c r="AY550" s="1" t="str">
        <f>IF(COUNTIF($AX$2:AX550,1)&gt;$AG$1,"",IF(AX550="","",E550))</f>
        <v/>
      </c>
      <c r="BM550" s="138">
        <f t="shared" si="84"/>
        <v>0</v>
      </c>
      <c r="BN550" s="42">
        <f t="shared" si="85"/>
        <v>0</v>
      </c>
      <c r="BS550" s="1">
        <v>10177</v>
      </c>
      <c r="BT550" s="1" t="s">
        <v>902</v>
      </c>
      <c r="BX550" s="36"/>
    </row>
    <row r="551" spans="2:76" ht="14.25">
      <c r="B551" s="36"/>
      <c r="C551" s="36"/>
      <c r="D551" s="36"/>
      <c r="E551" s="36"/>
      <c r="F551" s="36"/>
      <c r="G551" s="36"/>
      <c r="H551" s="36"/>
      <c r="J551" s="36"/>
      <c r="K551" s="1" t="str">
        <f t="shared" si="86"/>
        <v/>
      </c>
      <c r="L551" s="1" t="str">
        <f t="shared" si="87"/>
        <v/>
      </c>
      <c r="M551" s="94">
        <v>546</v>
      </c>
      <c r="N551" s="36" t="s">
        <v>2202</v>
      </c>
      <c r="O551" s="95">
        <v>310253</v>
      </c>
      <c r="P551" s="36"/>
      <c r="AI551" s="122">
        <v>239</v>
      </c>
      <c r="AJ551" s="1" t="s">
        <v>1894</v>
      </c>
      <c r="AK551" s="1">
        <v>309946</v>
      </c>
      <c r="AL551" s="1" t="s">
        <v>930</v>
      </c>
      <c r="AN551" s="270">
        <v>645</v>
      </c>
      <c r="AQ551" s="1">
        <v>403</v>
      </c>
      <c r="AR551" s="1" t="s">
        <v>439</v>
      </c>
      <c r="AS551" s="1">
        <v>210299</v>
      </c>
      <c r="AT551" s="1" t="s">
        <v>116</v>
      </c>
      <c r="AV551" s="241">
        <v>897</v>
      </c>
      <c r="AX551" s="1">
        <f t="shared" si="83"/>
        <v>1</v>
      </c>
      <c r="AY551" s="1" t="str">
        <f>IF(COUNTIF($AX$2:AX551,1)&gt;$AG$1,"",IF(AX551="","",E551))</f>
        <v/>
      </c>
      <c r="BM551" s="138">
        <f t="shared" si="84"/>
        <v>0</v>
      </c>
      <c r="BN551" s="42">
        <f t="shared" si="85"/>
        <v>0</v>
      </c>
      <c r="BS551" s="1">
        <v>10178</v>
      </c>
      <c r="BT551" s="1" t="s">
        <v>902</v>
      </c>
      <c r="BX551" s="36"/>
    </row>
    <row r="552" spans="2:76" ht="14.25">
      <c r="B552" s="36"/>
      <c r="C552" s="36"/>
      <c r="D552" s="36"/>
      <c r="E552" s="36"/>
      <c r="F552" s="36"/>
      <c r="G552" s="36"/>
      <c r="H552" s="36"/>
      <c r="J552" s="36"/>
      <c r="K552" s="1" t="str">
        <f t="shared" si="86"/>
        <v/>
      </c>
      <c r="L552" s="1" t="str">
        <f t="shared" si="87"/>
        <v/>
      </c>
      <c r="M552" s="94">
        <v>547</v>
      </c>
      <c r="N552" s="36" t="s">
        <v>2203</v>
      </c>
      <c r="O552" s="95">
        <v>310254</v>
      </c>
      <c r="P552" s="36"/>
      <c r="AI552" s="122">
        <v>240</v>
      </c>
      <c r="AJ552" s="1" t="s">
        <v>1895</v>
      </c>
      <c r="AK552" s="1">
        <v>309947</v>
      </c>
      <c r="AL552" s="1" t="s">
        <v>115</v>
      </c>
      <c r="AN552" s="270">
        <v>646</v>
      </c>
      <c r="AQ552" s="1">
        <v>404</v>
      </c>
      <c r="AR552" s="1" t="s">
        <v>440</v>
      </c>
      <c r="AS552" s="1">
        <v>210295</v>
      </c>
      <c r="AT552" s="1" t="s">
        <v>115</v>
      </c>
      <c r="AV552" s="241">
        <v>898</v>
      </c>
      <c r="AX552" s="1">
        <f t="shared" si="83"/>
        <v>1</v>
      </c>
      <c r="AY552" s="1" t="str">
        <f>IF(COUNTIF($AX$2:AX552,1)&gt;$AG$1,"",IF(AX552="","",E552))</f>
        <v/>
      </c>
      <c r="BM552" s="138">
        <f t="shared" si="84"/>
        <v>0</v>
      </c>
      <c r="BN552" s="42">
        <f t="shared" si="85"/>
        <v>0</v>
      </c>
      <c r="BS552" s="1">
        <v>10179</v>
      </c>
      <c r="BT552" s="1" t="s">
        <v>902</v>
      </c>
      <c r="BX552" s="36"/>
    </row>
    <row r="553" spans="2:76" ht="14.25">
      <c r="B553" s="36"/>
      <c r="C553" s="36"/>
      <c r="D553" s="36"/>
      <c r="E553" s="36"/>
      <c r="F553" s="36"/>
      <c r="G553" s="36"/>
      <c r="H553" s="36"/>
      <c r="J553" s="36"/>
      <c r="K553" s="1" t="str">
        <f t="shared" si="86"/>
        <v/>
      </c>
      <c r="L553" s="1" t="str">
        <f t="shared" si="87"/>
        <v/>
      </c>
      <c r="M553" s="94">
        <v>548</v>
      </c>
      <c r="N553" s="36" t="s">
        <v>2204</v>
      </c>
      <c r="O553" s="95">
        <v>310255</v>
      </c>
      <c r="P553" s="36"/>
      <c r="AI553" s="122">
        <v>241</v>
      </c>
      <c r="AJ553" s="1" t="s">
        <v>1896</v>
      </c>
      <c r="AK553" s="1">
        <v>309948</v>
      </c>
      <c r="AL553" s="1" t="s">
        <v>930</v>
      </c>
      <c r="AN553" s="270">
        <v>647</v>
      </c>
      <c r="AQ553" s="1">
        <v>405</v>
      </c>
      <c r="AR553" s="1" t="s">
        <v>441</v>
      </c>
      <c r="AS553" s="1">
        <v>210296</v>
      </c>
      <c r="AT553" s="1" t="s">
        <v>115</v>
      </c>
      <c r="AV553" s="241">
        <v>899</v>
      </c>
      <c r="AX553" s="1">
        <f t="shared" si="83"/>
        <v>1</v>
      </c>
      <c r="AY553" s="1" t="str">
        <f>IF(COUNTIF($AX$2:AX553,1)&gt;$AG$1,"",IF(AX553="","",E553))</f>
        <v/>
      </c>
      <c r="BM553" s="138">
        <f t="shared" si="84"/>
        <v>0</v>
      </c>
      <c r="BN553" s="42">
        <f t="shared" si="85"/>
        <v>0</v>
      </c>
      <c r="BS553" s="1">
        <v>10180</v>
      </c>
      <c r="BT553" s="1" t="s">
        <v>902</v>
      </c>
      <c r="BX553" s="36"/>
    </row>
    <row r="554" spans="2:76" ht="14.25">
      <c r="B554" s="36"/>
      <c r="C554" s="36"/>
      <c r="D554" s="36"/>
      <c r="E554" s="36"/>
      <c r="F554" s="36"/>
      <c r="G554" s="36"/>
      <c r="H554" s="36"/>
      <c r="J554" s="36"/>
      <c r="K554" s="1" t="str">
        <f t="shared" si="86"/>
        <v/>
      </c>
      <c r="L554" s="1" t="str">
        <f t="shared" si="87"/>
        <v/>
      </c>
      <c r="M554" s="94">
        <v>549</v>
      </c>
      <c r="N554" s="36" t="s">
        <v>2205</v>
      </c>
      <c r="O554" s="95">
        <v>310256</v>
      </c>
      <c r="P554" s="36"/>
      <c r="AI554" s="122">
        <v>242</v>
      </c>
      <c r="AJ554" s="1" t="s">
        <v>1897</v>
      </c>
      <c r="AK554" s="1">
        <v>309949</v>
      </c>
      <c r="AL554" s="1" t="s">
        <v>115</v>
      </c>
      <c r="AN554" s="270">
        <v>648</v>
      </c>
      <c r="AQ554" s="1">
        <v>406</v>
      </c>
      <c r="AR554" s="1" t="s">
        <v>442</v>
      </c>
      <c r="AS554" s="1">
        <v>210297</v>
      </c>
      <c r="AT554" s="1" t="s">
        <v>116</v>
      </c>
      <c r="AV554" s="241">
        <v>900</v>
      </c>
      <c r="AX554" s="1">
        <f t="shared" si="83"/>
        <v>1</v>
      </c>
      <c r="AY554" s="1" t="str">
        <f>IF(COUNTIF($AX$2:AX554,1)&gt;$AG$1,"",IF(AX554="","",E554))</f>
        <v/>
      </c>
      <c r="BM554" s="138">
        <f t="shared" si="84"/>
        <v>0</v>
      </c>
      <c r="BN554" s="42">
        <f t="shared" si="85"/>
        <v>0</v>
      </c>
      <c r="BS554" s="1">
        <v>10181</v>
      </c>
      <c r="BT554" s="1" t="s">
        <v>902</v>
      </c>
      <c r="BX554" s="36"/>
    </row>
    <row r="555" spans="2:76" ht="14.25">
      <c r="B555" s="36"/>
      <c r="C555" s="36"/>
      <c r="D555" s="36"/>
      <c r="E555" s="36"/>
      <c r="F555" s="36"/>
      <c r="G555" s="36"/>
      <c r="H555" s="36"/>
      <c r="J555" s="36"/>
      <c r="K555" s="1" t="str">
        <f t="shared" si="86"/>
        <v/>
      </c>
      <c r="L555" s="1" t="str">
        <f t="shared" si="87"/>
        <v/>
      </c>
      <c r="M555" s="94">
        <v>550</v>
      </c>
      <c r="N555" s="36" t="s">
        <v>2206</v>
      </c>
      <c r="O555" s="95">
        <v>310257</v>
      </c>
      <c r="P555" s="36"/>
      <c r="AI555" s="122">
        <v>243</v>
      </c>
      <c r="AJ555" s="1" t="s">
        <v>1898</v>
      </c>
      <c r="AK555" s="1">
        <v>309950</v>
      </c>
      <c r="AL555" s="1" t="s">
        <v>930</v>
      </c>
      <c r="AN555" s="270">
        <v>649</v>
      </c>
      <c r="AQ555" s="1">
        <v>407</v>
      </c>
      <c r="AR555" s="1" t="s">
        <v>443</v>
      </c>
      <c r="AS555" s="1">
        <v>210300</v>
      </c>
      <c r="AT555" s="1" t="s">
        <v>115</v>
      </c>
      <c r="AV555" s="241">
        <v>901</v>
      </c>
      <c r="AX555" s="1">
        <f t="shared" si="83"/>
        <v>1</v>
      </c>
      <c r="AY555" s="1" t="str">
        <f>IF(COUNTIF($AX$2:AX555,1)&gt;$AG$1,"",IF(AX555="","",E555))</f>
        <v/>
      </c>
      <c r="BM555" s="138">
        <f t="shared" si="84"/>
        <v>0</v>
      </c>
      <c r="BN555" s="42">
        <f t="shared" si="85"/>
        <v>0</v>
      </c>
      <c r="BS555" s="1">
        <v>10182</v>
      </c>
      <c r="BT555" s="1" t="s">
        <v>902</v>
      </c>
      <c r="BX555" s="36"/>
    </row>
    <row r="556" spans="2:76" ht="14.25">
      <c r="B556" s="36"/>
      <c r="C556" s="36"/>
      <c r="D556" s="36"/>
      <c r="E556" s="36"/>
      <c r="F556" s="36"/>
      <c r="G556" s="36"/>
      <c r="H556" s="36"/>
      <c r="J556" s="36"/>
      <c r="K556" s="1" t="str">
        <f t="shared" si="86"/>
        <v/>
      </c>
      <c r="L556" s="1" t="str">
        <f t="shared" si="87"/>
        <v/>
      </c>
      <c r="M556" s="94">
        <v>551</v>
      </c>
      <c r="N556" s="36" t="s">
        <v>2207</v>
      </c>
      <c r="O556" s="95">
        <v>310258</v>
      </c>
      <c r="P556" s="36"/>
      <c r="AI556" s="122">
        <v>244</v>
      </c>
      <c r="AJ556" s="1" t="s">
        <v>1899</v>
      </c>
      <c r="AK556" s="1">
        <v>309951</v>
      </c>
      <c r="AL556" s="1" t="s">
        <v>115</v>
      </c>
      <c r="AN556" s="270">
        <v>650</v>
      </c>
      <c r="AQ556" s="1">
        <v>408</v>
      </c>
      <c r="AR556" s="1" t="s">
        <v>444</v>
      </c>
      <c r="AS556" s="1">
        <v>210301</v>
      </c>
      <c r="AT556" s="1" t="s">
        <v>116</v>
      </c>
      <c r="AV556" s="241">
        <v>902</v>
      </c>
      <c r="AX556" s="1">
        <f t="shared" si="83"/>
        <v>1</v>
      </c>
      <c r="AY556" s="1" t="str">
        <f>IF(COUNTIF($AX$2:AX556,1)&gt;$AG$1,"",IF(AX556="","",E556))</f>
        <v/>
      </c>
      <c r="BM556" s="138">
        <f t="shared" si="84"/>
        <v>0</v>
      </c>
      <c r="BN556" s="42">
        <f t="shared" si="85"/>
        <v>0</v>
      </c>
      <c r="BS556" s="1">
        <v>10183</v>
      </c>
      <c r="BT556" s="1" t="s">
        <v>902</v>
      </c>
      <c r="BX556" s="36"/>
    </row>
    <row r="557" spans="2:76" ht="14.25">
      <c r="B557" s="36"/>
      <c r="C557" s="36"/>
      <c r="D557" s="36"/>
      <c r="E557" s="36"/>
      <c r="F557" s="36"/>
      <c r="G557" s="36"/>
      <c r="H557" s="36"/>
      <c r="J557" s="36"/>
      <c r="K557" s="1" t="str">
        <f t="shared" si="86"/>
        <v/>
      </c>
      <c r="L557" s="1" t="str">
        <f t="shared" si="87"/>
        <v/>
      </c>
      <c r="M557" s="94">
        <v>552</v>
      </c>
      <c r="N557" s="36" t="s">
        <v>2208</v>
      </c>
      <c r="O557" s="95">
        <v>310259</v>
      </c>
      <c r="P557" s="36"/>
      <c r="AI557" s="122">
        <v>245</v>
      </c>
      <c r="AJ557" s="1" t="s">
        <v>1900</v>
      </c>
      <c r="AK557" s="1">
        <v>309952</v>
      </c>
      <c r="AL557" s="1" t="s">
        <v>930</v>
      </c>
      <c r="AN557" s="270">
        <v>651</v>
      </c>
      <c r="AQ557" s="1">
        <v>409</v>
      </c>
      <c r="AR557" s="1" t="s">
        <v>445</v>
      </c>
      <c r="AS557" s="1">
        <v>210302</v>
      </c>
      <c r="AT557" s="1" t="s">
        <v>115</v>
      </c>
      <c r="AV557" s="241">
        <v>903</v>
      </c>
      <c r="AX557" s="1">
        <f t="shared" si="83"/>
        <v>1</v>
      </c>
      <c r="AY557" s="1" t="str">
        <f>IF(COUNTIF($AX$2:AX557,1)&gt;$AG$1,"",IF(AX557="","",E557))</f>
        <v/>
      </c>
      <c r="BM557" s="138">
        <f t="shared" si="84"/>
        <v>0</v>
      </c>
      <c r="BN557" s="42">
        <f t="shared" si="85"/>
        <v>0</v>
      </c>
      <c r="BS557" s="1">
        <v>10184</v>
      </c>
      <c r="BT557" s="1" t="s">
        <v>902</v>
      </c>
      <c r="BX557" s="36"/>
    </row>
    <row r="558" spans="2:76" ht="14.25">
      <c r="B558" s="36"/>
      <c r="C558" s="36"/>
      <c r="D558" s="36"/>
      <c r="E558" s="36"/>
      <c r="F558" s="36"/>
      <c r="G558" s="36"/>
      <c r="H558" s="36"/>
      <c r="J558" s="36"/>
      <c r="K558" s="1" t="str">
        <f t="shared" si="86"/>
        <v/>
      </c>
      <c r="L558" s="1" t="str">
        <f t="shared" si="87"/>
        <v/>
      </c>
      <c r="M558" s="94">
        <v>553</v>
      </c>
      <c r="N558" s="36" t="s">
        <v>2209</v>
      </c>
      <c r="O558" s="95">
        <v>310260</v>
      </c>
      <c r="P558" s="36"/>
      <c r="AI558" s="122">
        <v>246</v>
      </c>
      <c r="AJ558" s="1" t="s">
        <v>1901</v>
      </c>
      <c r="AK558" s="1">
        <v>309953</v>
      </c>
      <c r="AL558" s="1" t="s">
        <v>930</v>
      </c>
      <c r="AN558" s="270">
        <v>652</v>
      </c>
      <c r="AQ558" s="1">
        <v>410</v>
      </c>
      <c r="AR558" s="1" t="s">
        <v>446</v>
      </c>
      <c r="AS558" s="1">
        <v>210303</v>
      </c>
      <c r="AT558" s="1" t="s">
        <v>115</v>
      </c>
      <c r="AV558" s="241">
        <v>904</v>
      </c>
      <c r="AX558" s="1">
        <f t="shared" si="83"/>
        <v>1</v>
      </c>
      <c r="AY558" s="1" t="str">
        <f>IF(COUNTIF($AX$2:AX558,1)&gt;$AG$1,"",IF(AX558="","",E558))</f>
        <v/>
      </c>
      <c r="BM558" s="138">
        <f t="shared" si="84"/>
        <v>0</v>
      </c>
      <c r="BN558" s="42">
        <f t="shared" si="85"/>
        <v>0</v>
      </c>
      <c r="BS558" s="1">
        <v>10185</v>
      </c>
      <c r="BT558" s="1" t="s">
        <v>902</v>
      </c>
      <c r="BX558" s="36"/>
    </row>
    <row r="559" spans="2:76" ht="14.25">
      <c r="B559" s="36"/>
      <c r="C559" s="36"/>
      <c r="D559" s="36"/>
      <c r="E559" s="36"/>
      <c r="F559" s="36"/>
      <c r="G559" s="36"/>
      <c r="H559" s="36"/>
      <c r="J559" s="36"/>
      <c r="K559" s="1" t="str">
        <f t="shared" si="86"/>
        <v/>
      </c>
      <c r="L559" s="1" t="str">
        <f t="shared" si="87"/>
        <v/>
      </c>
      <c r="M559" s="94">
        <v>554</v>
      </c>
      <c r="N559" s="36" t="s">
        <v>2210</v>
      </c>
      <c r="O559" s="95">
        <v>310261</v>
      </c>
      <c r="P559" s="36"/>
      <c r="AI559" s="122">
        <v>247</v>
      </c>
      <c r="AJ559" s="1" t="s">
        <v>1902</v>
      </c>
      <c r="AK559" s="1">
        <v>309954</v>
      </c>
      <c r="AL559" s="1" t="s">
        <v>115</v>
      </c>
      <c r="AN559" s="270">
        <v>653</v>
      </c>
      <c r="AQ559" s="1">
        <v>411</v>
      </c>
      <c r="AR559" s="1" t="s">
        <v>447</v>
      </c>
      <c r="AS559" s="1">
        <v>210304</v>
      </c>
      <c r="AT559" s="1" t="s">
        <v>116</v>
      </c>
      <c r="AV559" s="241">
        <v>905</v>
      </c>
      <c r="AX559" s="1">
        <f t="shared" si="83"/>
        <v>1</v>
      </c>
      <c r="AY559" s="1" t="str">
        <f>IF(COUNTIF($AX$2:AX559,1)&gt;$AG$1,"",IF(AX559="","",E559))</f>
        <v/>
      </c>
      <c r="BM559" s="138">
        <f t="shared" si="84"/>
        <v>0</v>
      </c>
      <c r="BN559" s="42">
        <f t="shared" si="85"/>
        <v>0</v>
      </c>
      <c r="BS559" s="1">
        <v>10186</v>
      </c>
      <c r="BT559" s="1" t="s">
        <v>902</v>
      </c>
      <c r="BX559" s="36"/>
    </row>
    <row r="560" spans="2:76" ht="14.25">
      <c r="B560" s="36"/>
      <c r="C560" s="36"/>
      <c r="D560" s="36"/>
      <c r="E560" s="36"/>
      <c r="F560" s="36"/>
      <c r="G560" s="36"/>
      <c r="H560" s="36"/>
      <c r="J560" s="36"/>
      <c r="K560" s="1" t="str">
        <f t="shared" si="86"/>
        <v/>
      </c>
      <c r="L560" s="1" t="str">
        <f t="shared" si="87"/>
        <v/>
      </c>
      <c r="M560" s="94">
        <v>555</v>
      </c>
      <c r="N560" s="36" t="s">
        <v>2211</v>
      </c>
      <c r="O560" s="95">
        <v>310262</v>
      </c>
      <c r="P560" s="36"/>
      <c r="AI560" s="122">
        <v>248</v>
      </c>
      <c r="AJ560" s="1" t="s">
        <v>1903</v>
      </c>
      <c r="AK560" s="1">
        <v>309955</v>
      </c>
      <c r="AL560" s="1" t="s">
        <v>930</v>
      </c>
      <c r="AN560" s="270">
        <v>654</v>
      </c>
      <c r="AQ560" s="1">
        <v>412</v>
      </c>
      <c r="AR560" s="1" t="s">
        <v>448</v>
      </c>
      <c r="AS560" s="1">
        <v>210305</v>
      </c>
      <c r="AT560" s="1" t="s">
        <v>115</v>
      </c>
      <c r="AV560" s="241">
        <v>906</v>
      </c>
      <c r="AX560" s="1">
        <f t="shared" si="83"/>
        <v>1</v>
      </c>
      <c r="AY560" s="1" t="str">
        <f>IF(COUNTIF($AX$2:AX560,1)&gt;$AG$1,"",IF(AX560="","",E560))</f>
        <v/>
      </c>
      <c r="BM560" s="138">
        <f t="shared" si="84"/>
        <v>0</v>
      </c>
      <c r="BN560" s="42">
        <f t="shared" si="85"/>
        <v>0</v>
      </c>
      <c r="BS560" s="1">
        <v>10187</v>
      </c>
      <c r="BT560" s="1" t="s">
        <v>902</v>
      </c>
      <c r="BX560" s="36"/>
    </row>
    <row r="561" spans="2:76" ht="14.25">
      <c r="B561" s="36"/>
      <c r="C561" s="36"/>
      <c r="D561" s="36"/>
      <c r="E561" s="36"/>
      <c r="F561" s="36"/>
      <c r="G561" s="36"/>
      <c r="H561" s="36"/>
      <c r="J561" s="36"/>
      <c r="K561" s="1" t="str">
        <f t="shared" si="86"/>
        <v/>
      </c>
      <c r="L561" s="1" t="str">
        <f t="shared" si="87"/>
        <v/>
      </c>
      <c r="M561" s="94">
        <v>556</v>
      </c>
      <c r="N561" s="36" t="s">
        <v>2212</v>
      </c>
      <c r="O561" s="95">
        <v>310263</v>
      </c>
      <c r="P561" s="36"/>
      <c r="AI561" s="122">
        <v>249</v>
      </c>
      <c r="AJ561" s="1" t="s">
        <v>1904</v>
      </c>
      <c r="AK561" s="1">
        <v>309956</v>
      </c>
      <c r="AL561" s="1" t="s">
        <v>115</v>
      </c>
      <c r="AN561" s="270">
        <v>655</v>
      </c>
      <c r="AQ561" s="1">
        <v>413</v>
      </c>
      <c r="AR561" s="1" t="s">
        <v>449</v>
      </c>
      <c r="AS561" s="1">
        <v>210306</v>
      </c>
      <c r="AT561" s="1" t="s">
        <v>116</v>
      </c>
      <c r="AV561" s="241">
        <v>907</v>
      </c>
      <c r="AX561" s="1">
        <f t="shared" si="83"/>
        <v>1</v>
      </c>
      <c r="AY561" s="1" t="str">
        <f>IF(COUNTIF($AX$2:AX561,1)&gt;$AG$1,"",IF(AX561="","",E561))</f>
        <v/>
      </c>
      <c r="BM561" s="138">
        <f t="shared" si="84"/>
        <v>0</v>
      </c>
      <c r="BN561" s="42">
        <f t="shared" si="85"/>
        <v>0</v>
      </c>
      <c r="BS561" s="1">
        <v>10188</v>
      </c>
      <c r="BT561" s="1" t="s">
        <v>902</v>
      </c>
      <c r="BX561" s="36"/>
    </row>
    <row r="562" spans="2:76" ht="14.25">
      <c r="B562" s="36"/>
      <c r="C562" s="36"/>
      <c r="D562" s="36"/>
      <c r="E562" s="36"/>
      <c r="F562" s="36"/>
      <c r="G562" s="36"/>
      <c r="H562" s="36"/>
      <c r="J562" s="36"/>
      <c r="K562" s="1" t="str">
        <f t="shared" si="86"/>
        <v/>
      </c>
      <c r="L562" s="1" t="str">
        <f t="shared" si="87"/>
        <v/>
      </c>
      <c r="M562" s="94">
        <v>557</v>
      </c>
      <c r="N562" s="36" t="s">
        <v>2213</v>
      </c>
      <c r="O562" s="95">
        <v>310264</v>
      </c>
      <c r="P562" s="36"/>
      <c r="AI562" s="122">
        <v>250</v>
      </c>
      <c r="AJ562" s="1" t="s">
        <v>1905</v>
      </c>
      <c r="AK562" s="1">
        <v>309957</v>
      </c>
      <c r="AL562" s="1" t="s">
        <v>930</v>
      </c>
      <c r="AN562" s="270">
        <v>656</v>
      </c>
      <c r="AQ562" s="1">
        <v>414</v>
      </c>
      <c r="AR562" s="1" t="s">
        <v>450</v>
      </c>
      <c r="AS562" s="1">
        <v>210307</v>
      </c>
      <c r="AT562" s="1" t="s">
        <v>115</v>
      </c>
      <c r="AV562" s="241">
        <v>908</v>
      </c>
      <c r="AX562" s="1">
        <f t="shared" si="83"/>
        <v>1</v>
      </c>
      <c r="AY562" s="1" t="str">
        <f>IF(COUNTIF($AX$2:AX562,1)&gt;$AG$1,"",IF(AX562="","",E562))</f>
        <v/>
      </c>
      <c r="BM562" s="138">
        <f t="shared" si="84"/>
        <v>0</v>
      </c>
      <c r="BN562" s="42">
        <f t="shared" si="85"/>
        <v>0</v>
      </c>
      <c r="BS562" s="1">
        <v>10189</v>
      </c>
      <c r="BT562" s="1" t="s">
        <v>902</v>
      </c>
      <c r="BX562" s="36"/>
    </row>
    <row r="563" spans="2:76" ht="14.25">
      <c r="B563" s="36"/>
      <c r="C563" s="36"/>
      <c r="D563" s="36"/>
      <c r="E563" s="36"/>
      <c r="F563" s="36"/>
      <c r="G563" s="36"/>
      <c r="H563" s="36"/>
      <c r="J563" s="36"/>
      <c r="K563" s="1" t="str">
        <f t="shared" si="86"/>
        <v/>
      </c>
      <c r="L563" s="1" t="str">
        <f t="shared" si="87"/>
        <v/>
      </c>
      <c r="M563" s="94">
        <v>558</v>
      </c>
      <c r="N563" s="36" t="s">
        <v>2214</v>
      </c>
      <c r="O563" s="95">
        <v>310265</v>
      </c>
      <c r="P563" s="36"/>
      <c r="AI563" s="122">
        <v>251</v>
      </c>
      <c r="AJ563" s="1" t="s">
        <v>1906</v>
      </c>
      <c r="AK563" s="1">
        <v>309958</v>
      </c>
      <c r="AL563" s="1" t="s">
        <v>115</v>
      </c>
      <c r="AN563" s="270">
        <v>657</v>
      </c>
      <c r="AQ563" s="1">
        <v>415</v>
      </c>
      <c r="AR563" s="1" t="s">
        <v>451</v>
      </c>
      <c r="AS563" s="1">
        <v>210308</v>
      </c>
      <c r="AT563" s="1" t="s">
        <v>115</v>
      </c>
      <c r="AV563" s="241">
        <v>909</v>
      </c>
      <c r="AX563" s="1">
        <f t="shared" si="83"/>
        <v>1</v>
      </c>
      <c r="AY563" s="1" t="str">
        <f>IF(COUNTIF($AX$2:AX563,1)&gt;$AG$1,"",IF(AX563="","",E563))</f>
        <v/>
      </c>
      <c r="BM563" s="138">
        <f t="shared" si="84"/>
        <v>0</v>
      </c>
      <c r="BN563" s="42">
        <f t="shared" si="85"/>
        <v>0</v>
      </c>
      <c r="BS563" s="1">
        <v>10190</v>
      </c>
      <c r="BT563" s="1" t="s">
        <v>902</v>
      </c>
      <c r="BX563" s="36"/>
    </row>
    <row r="564" spans="2:76" ht="14.25">
      <c r="B564" s="36"/>
      <c r="C564" s="36"/>
      <c r="D564" s="36"/>
      <c r="E564" s="36"/>
      <c r="F564" s="36"/>
      <c r="G564" s="36"/>
      <c r="H564" s="36"/>
      <c r="J564" s="36"/>
      <c r="K564" s="1" t="str">
        <f t="shared" si="86"/>
        <v/>
      </c>
      <c r="L564" s="1" t="str">
        <f t="shared" si="87"/>
        <v/>
      </c>
      <c r="M564" s="94">
        <v>559</v>
      </c>
      <c r="N564" s="36" t="s">
        <v>2215</v>
      </c>
      <c r="O564" s="95">
        <v>310266</v>
      </c>
      <c r="P564" s="36"/>
      <c r="AI564" s="122">
        <v>252</v>
      </c>
      <c r="AJ564" s="1" t="s">
        <v>1907</v>
      </c>
      <c r="AK564" s="1">
        <v>309959</v>
      </c>
      <c r="AL564" s="1" t="s">
        <v>930</v>
      </c>
      <c r="AN564" s="270">
        <v>658</v>
      </c>
      <c r="AQ564" s="1">
        <v>416</v>
      </c>
      <c r="AR564" s="1" t="s">
        <v>452</v>
      </c>
      <c r="AS564" s="1">
        <v>210309</v>
      </c>
      <c r="AT564" s="1" t="s">
        <v>116</v>
      </c>
      <c r="AV564" s="241">
        <v>910</v>
      </c>
      <c r="AX564" s="1">
        <f t="shared" si="83"/>
        <v>1</v>
      </c>
      <c r="AY564" s="1" t="str">
        <f>IF(COUNTIF($AX$2:AX564,1)&gt;$AG$1,"",IF(AX564="","",E564))</f>
        <v/>
      </c>
      <c r="BM564" s="138">
        <f t="shared" si="84"/>
        <v>0</v>
      </c>
      <c r="BN564" s="42">
        <f t="shared" si="85"/>
        <v>0</v>
      </c>
      <c r="BS564" s="1">
        <v>10191</v>
      </c>
      <c r="BT564" s="1" t="s">
        <v>902</v>
      </c>
      <c r="BX564" s="36"/>
    </row>
    <row r="565" spans="2:76" ht="14.25">
      <c r="B565" s="36"/>
      <c r="C565" s="36"/>
      <c r="D565" s="36"/>
      <c r="E565" s="36"/>
      <c r="F565" s="36"/>
      <c r="G565" s="36"/>
      <c r="H565" s="36"/>
      <c r="J565" s="36"/>
      <c r="K565" s="1" t="str">
        <f t="shared" si="86"/>
        <v/>
      </c>
      <c r="L565" s="1" t="str">
        <f t="shared" si="87"/>
        <v/>
      </c>
      <c r="M565" s="94">
        <v>560</v>
      </c>
      <c r="N565" s="36" t="s">
        <v>2216</v>
      </c>
      <c r="O565" s="95">
        <v>310267</v>
      </c>
      <c r="P565" s="36"/>
      <c r="AI565" s="122">
        <v>253</v>
      </c>
      <c r="AJ565" s="1" t="s">
        <v>1908</v>
      </c>
      <c r="AK565" s="1">
        <v>309960</v>
      </c>
      <c r="AL565" s="1" t="s">
        <v>930</v>
      </c>
      <c r="AN565" s="270">
        <v>659</v>
      </c>
      <c r="AQ565" s="1">
        <v>417</v>
      </c>
      <c r="AR565" s="1" t="s">
        <v>453</v>
      </c>
      <c r="AS565" s="1">
        <v>210310</v>
      </c>
      <c r="AT565" s="1" t="s">
        <v>115</v>
      </c>
      <c r="AV565" s="241">
        <v>911</v>
      </c>
      <c r="AX565" s="1">
        <f t="shared" si="83"/>
        <v>1</v>
      </c>
      <c r="AY565" s="1" t="str">
        <f>IF(COUNTIF($AX$2:AX565,1)&gt;$AG$1,"",IF(AX565="","",E565))</f>
        <v/>
      </c>
      <c r="BM565" s="138">
        <f t="shared" si="84"/>
        <v>0</v>
      </c>
      <c r="BN565" s="42">
        <f t="shared" si="85"/>
        <v>0</v>
      </c>
      <c r="BS565" s="1">
        <v>10192</v>
      </c>
      <c r="BT565" s="1" t="s">
        <v>902</v>
      </c>
      <c r="BX565" s="36"/>
    </row>
    <row r="566" spans="2:76" ht="14.25">
      <c r="B566" s="36"/>
      <c r="C566" s="36"/>
      <c r="D566" s="36"/>
      <c r="E566" s="36"/>
      <c r="F566" s="36"/>
      <c r="G566" s="36"/>
      <c r="H566" s="36"/>
      <c r="J566" s="36"/>
      <c r="K566" s="1" t="str">
        <f t="shared" si="86"/>
        <v/>
      </c>
      <c r="L566" s="1" t="str">
        <f t="shared" si="87"/>
        <v/>
      </c>
      <c r="M566" s="94">
        <v>561</v>
      </c>
      <c r="N566" s="36" t="s">
        <v>2217</v>
      </c>
      <c r="O566" s="95">
        <v>310268</v>
      </c>
      <c r="P566" s="36"/>
      <c r="AI566" s="122">
        <v>254</v>
      </c>
      <c r="AJ566" s="1" t="s">
        <v>1909</v>
      </c>
      <c r="AK566" s="1">
        <v>309961</v>
      </c>
      <c r="AL566" s="1" t="s">
        <v>115</v>
      </c>
      <c r="AN566" s="270">
        <v>660</v>
      </c>
      <c r="AQ566" s="1">
        <v>418</v>
      </c>
      <c r="AR566" s="1" t="s">
        <v>454</v>
      </c>
      <c r="AS566" s="1">
        <v>210311</v>
      </c>
      <c r="AT566" s="1" t="s">
        <v>116</v>
      </c>
      <c r="AV566" s="241">
        <v>912</v>
      </c>
      <c r="AX566" s="1">
        <f t="shared" si="83"/>
        <v>1</v>
      </c>
      <c r="AY566" s="1" t="str">
        <f>IF(COUNTIF($AX$2:AX566,1)&gt;$AG$1,"",IF(AX566="","",E566))</f>
        <v/>
      </c>
      <c r="BM566" s="138">
        <f t="shared" si="84"/>
        <v>0</v>
      </c>
      <c r="BN566" s="42">
        <f t="shared" si="85"/>
        <v>0</v>
      </c>
      <c r="BS566" s="1">
        <v>10193</v>
      </c>
      <c r="BT566" s="1" t="s">
        <v>902</v>
      </c>
      <c r="BX566" s="36"/>
    </row>
    <row r="567" spans="2:76" ht="14.25">
      <c r="B567" s="36"/>
      <c r="C567" s="36"/>
      <c r="D567" s="36"/>
      <c r="E567" s="36"/>
      <c r="F567" s="36"/>
      <c r="G567" s="36"/>
      <c r="H567" s="36"/>
      <c r="J567" s="36"/>
      <c r="K567" s="1" t="str">
        <f t="shared" si="86"/>
        <v/>
      </c>
      <c r="L567" s="1" t="str">
        <f t="shared" si="87"/>
        <v/>
      </c>
      <c r="M567" s="94">
        <v>562</v>
      </c>
      <c r="N567" s="36" t="s">
        <v>2218</v>
      </c>
      <c r="O567" s="95">
        <v>310269</v>
      </c>
      <c r="P567" s="36"/>
      <c r="AI567" s="122">
        <v>255</v>
      </c>
      <c r="AJ567" s="1" t="s">
        <v>1910</v>
      </c>
      <c r="AK567" s="1">
        <v>309962</v>
      </c>
      <c r="AL567" s="1" t="s">
        <v>930</v>
      </c>
      <c r="AN567" s="270">
        <v>661</v>
      </c>
      <c r="AQ567" s="1">
        <v>419</v>
      </c>
      <c r="AR567" s="1" t="s">
        <v>455</v>
      </c>
      <c r="AS567" s="1">
        <v>210312</v>
      </c>
      <c r="AT567" s="1" t="s">
        <v>115</v>
      </c>
      <c r="AV567" s="241">
        <v>913</v>
      </c>
      <c r="AX567" s="1">
        <f t="shared" si="83"/>
        <v>1</v>
      </c>
      <c r="AY567" s="1" t="str">
        <f>IF(COUNTIF($AX$2:AX567,1)&gt;$AG$1,"",IF(AX567="","",E567))</f>
        <v/>
      </c>
      <c r="BM567" s="138">
        <f t="shared" si="84"/>
        <v>0</v>
      </c>
      <c r="BN567" s="42">
        <f t="shared" si="85"/>
        <v>0</v>
      </c>
      <c r="BS567" s="1">
        <v>10194</v>
      </c>
      <c r="BT567" s="1" t="s">
        <v>902</v>
      </c>
      <c r="BX567" s="36"/>
    </row>
    <row r="568" spans="2:76" ht="14.25">
      <c r="B568" s="36"/>
      <c r="C568" s="36"/>
      <c r="D568" s="36"/>
      <c r="E568" s="36"/>
      <c r="F568" s="36"/>
      <c r="G568" s="36"/>
      <c r="H568" s="36"/>
      <c r="J568" s="36"/>
      <c r="K568" s="1" t="str">
        <f t="shared" si="86"/>
        <v/>
      </c>
      <c r="L568" s="1" t="str">
        <f t="shared" si="87"/>
        <v/>
      </c>
      <c r="M568" s="94">
        <v>563</v>
      </c>
      <c r="N568" s="36" t="s">
        <v>2219</v>
      </c>
      <c r="O568" s="95">
        <v>310270</v>
      </c>
      <c r="P568" s="36"/>
      <c r="AI568" s="122">
        <v>256</v>
      </c>
      <c r="AJ568" s="1" t="s">
        <v>1911</v>
      </c>
      <c r="AK568" s="1">
        <v>309963</v>
      </c>
      <c r="AL568" s="1" t="s">
        <v>115</v>
      </c>
      <c r="AN568" s="270">
        <v>662</v>
      </c>
      <c r="AQ568" s="1">
        <v>420</v>
      </c>
      <c r="AR568" s="1" t="s">
        <v>456</v>
      </c>
      <c r="AS568" s="1">
        <v>210313</v>
      </c>
      <c r="AT568" s="1" t="s">
        <v>115</v>
      </c>
      <c r="AV568" s="241">
        <v>914</v>
      </c>
      <c r="AX568" s="1">
        <f t="shared" si="83"/>
        <v>1</v>
      </c>
      <c r="AY568" s="1" t="str">
        <f>IF(COUNTIF($AX$2:AX568,1)&gt;$AG$1,"",IF(AX568="","",E568))</f>
        <v/>
      </c>
      <c r="BM568" s="138">
        <f t="shared" si="84"/>
        <v>0</v>
      </c>
      <c r="BN568" s="42">
        <f t="shared" si="85"/>
        <v>0</v>
      </c>
      <c r="BS568" s="1">
        <v>10195</v>
      </c>
      <c r="BT568" s="1" t="s">
        <v>902</v>
      </c>
      <c r="BX568" s="36"/>
    </row>
    <row r="569" spans="2:76" ht="14.25">
      <c r="B569" s="36"/>
      <c r="C569" s="36"/>
      <c r="D569" s="36"/>
      <c r="E569" s="36"/>
      <c r="F569" s="36"/>
      <c r="G569" s="36"/>
      <c r="H569" s="36"/>
      <c r="J569" s="36"/>
      <c r="K569" s="1" t="str">
        <f t="shared" si="86"/>
        <v/>
      </c>
      <c r="L569" s="1" t="str">
        <f t="shared" si="87"/>
        <v/>
      </c>
      <c r="M569" s="94">
        <v>564</v>
      </c>
      <c r="N569" s="36" t="s">
        <v>2220</v>
      </c>
      <c r="O569" s="95">
        <v>310271</v>
      </c>
      <c r="P569" s="36"/>
      <c r="AI569" s="122">
        <v>257</v>
      </c>
      <c r="AJ569" s="1" t="s">
        <v>1912</v>
      </c>
      <c r="AK569" s="1">
        <v>309964</v>
      </c>
      <c r="AL569" s="1" t="s">
        <v>930</v>
      </c>
      <c r="AN569" s="270">
        <v>663</v>
      </c>
      <c r="AQ569" s="1">
        <v>421</v>
      </c>
      <c r="AR569" s="1" t="s">
        <v>457</v>
      </c>
      <c r="AS569" s="1">
        <v>210314</v>
      </c>
      <c r="AT569" s="1" t="s">
        <v>116</v>
      </c>
      <c r="AV569" s="241">
        <v>915</v>
      </c>
      <c r="AX569" s="1">
        <f t="shared" si="83"/>
        <v>1</v>
      </c>
      <c r="AY569" s="1" t="str">
        <f>IF(COUNTIF($AX$2:AX569,1)&gt;$AG$1,"",IF(AX569="","",E569))</f>
        <v/>
      </c>
      <c r="BM569" s="138">
        <f t="shared" si="84"/>
        <v>0</v>
      </c>
      <c r="BN569" s="42">
        <f t="shared" si="85"/>
        <v>0</v>
      </c>
      <c r="BS569" s="1">
        <v>10196</v>
      </c>
      <c r="BT569" s="1" t="s">
        <v>902</v>
      </c>
      <c r="BX569" s="36"/>
    </row>
    <row r="570" spans="2:76" ht="14.25">
      <c r="B570" s="36"/>
      <c r="C570" s="36"/>
      <c r="D570" s="36"/>
      <c r="E570" s="36"/>
      <c r="F570" s="36"/>
      <c r="G570" s="36"/>
      <c r="H570" s="36"/>
      <c r="J570" s="36"/>
      <c r="K570" s="1" t="str">
        <f t="shared" si="86"/>
        <v/>
      </c>
      <c r="L570" s="1" t="str">
        <f t="shared" si="87"/>
        <v/>
      </c>
      <c r="M570" s="94">
        <v>565</v>
      </c>
      <c r="N570" s="36" t="s">
        <v>2221</v>
      </c>
      <c r="O570" s="95">
        <v>310272</v>
      </c>
      <c r="P570" s="36"/>
      <c r="AI570" s="122">
        <v>258</v>
      </c>
      <c r="AJ570" s="1" t="s">
        <v>1913</v>
      </c>
      <c r="AK570" s="1">
        <v>309965</v>
      </c>
      <c r="AL570" s="1" t="s">
        <v>930</v>
      </c>
      <c r="AN570" s="270">
        <v>664</v>
      </c>
      <c r="AQ570" s="1">
        <v>422</v>
      </c>
      <c r="AR570" s="1" t="s">
        <v>458</v>
      </c>
      <c r="AS570" s="1">
        <v>210320</v>
      </c>
      <c r="AT570" s="1" t="s">
        <v>115</v>
      </c>
      <c r="AV570" s="241">
        <v>916</v>
      </c>
      <c r="AX570" s="1">
        <f t="shared" si="83"/>
        <v>1</v>
      </c>
      <c r="AY570" s="1" t="str">
        <f>IF(COUNTIF($AX$2:AX570,1)&gt;$AG$1,"",IF(AX570="","",E570))</f>
        <v/>
      </c>
      <c r="BM570" s="138">
        <f t="shared" si="84"/>
        <v>0</v>
      </c>
      <c r="BN570" s="42">
        <f t="shared" si="85"/>
        <v>0</v>
      </c>
      <c r="BS570" s="1">
        <v>10197</v>
      </c>
      <c r="BT570" s="1" t="s">
        <v>902</v>
      </c>
      <c r="BX570" s="36"/>
    </row>
    <row r="571" spans="2:76" ht="14.25">
      <c r="B571" s="36"/>
      <c r="C571" s="36"/>
      <c r="D571" s="36"/>
      <c r="E571" s="36"/>
      <c r="F571" s="36"/>
      <c r="G571" s="36"/>
      <c r="H571" s="36"/>
      <c r="J571" s="36"/>
      <c r="K571" s="1" t="str">
        <f t="shared" si="86"/>
        <v/>
      </c>
      <c r="L571" s="1" t="str">
        <f t="shared" si="87"/>
        <v/>
      </c>
      <c r="M571" s="94">
        <v>566</v>
      </c>
      <c r="N571" s="36" t="s">
        <v>2222</v>
      </c>
      <c r="O571" s="95">
        <v>310273</v>
      </c>
      <c r="P571" s="36"/>
      <c r="AI571" s="122">
        <v>259</v>
      </c>
      <c r="AJ571" s="1" t="s">
        <v>1914</v>
      </c>
      <c r="AK571" s="1">
        <v>309966</v>
      </c>
      <c r="AL571" s="1" t="s">
        <v>115</v>
      </c>
      <c r="AN571" s="270">
        <v>665</v>
      </c>
      <c r="AQ571" s="1">
        <v>423</v>
      </c>
      <c r="AR571" s="1" t="s">
        <v>459</v>
      </c>
      <c r="AS571" s="1">
        <v>210321</v>
      </c>
      <c r="AT571" s="1" t="s">
        <v>116</v>
      </c>
      <c r="AV571" s="241">
        <v>917</v>
      </c>
      <c r="AX571" s="1">
        <f t="shared" si="83"/>
        <v>1</v>
      </c>
      <c r="AY571" s="1" t="str">
        <f>IF(COUNTIF($AX$2:AX571,1)&gt;$AG$1,"",IF(AX571="","",E571))</f>
        <v/>
      </c>
      <c r="BM571" s="138">
        <f t="shared" si="84"/>
        <v>0</v>
      </c>
      <c r="BN571" s="42">
        <f t="shared" si="85"/>
        <v>0</v>
      </c>
      <c r="BS571" s="1">
        <v>10198</v>
      </c>
      <c r="BT571" s="1" t="s">
        <v>902</v>
      </c>
      <c r="BX571" s="36"/>
    </row>
    <row r="572" spans="2:76" ht="14.25">
      <c r="B572" s="36"/>
      <c r="C572" s="36"/>
      <c r="D572" s="36"/>
      <c r="E572" s="36"/>
      <c r="F572" s="36"/>
      <c r="G572" s="36"/>
      <c r="H572" s="36"/>
      <c r="J572" s="36"/>
      <c r="K572" s="1" t="str">
        <f t="shared" si="86"/>
        <v/>
      </c>
      <c r="L572" s="1" t="str">
        <f t="shared" si="87"/>
        <v/>
      </c>
      <c r="M572" s="94">
        <v>567</v>
      </c>
      <c r="N572" s="36" t="s">
        <v>2223</v>
      </c>
      <c r="O572" s="95">
        <v>310274</v>
      </c>
      <c r="P572" s="36"/>
      <c r="AI572" s="122">
        <v>260</v>
      </c>
      <c r="AJ572" s="1" t="s">
        <v>1915</v>
      </c>
      <c r="AK572" s="1">
        <v>309967</v>
      </c>
      <c r="AL572" s="1" t="s">
        <v>930</v>
      </c>
      <c r="AN572" s="270">
        <v>666</v>
      </c>
      <c r="AQ572" s="1">
        <v>424</v>
      </c>
      <c r="AR572" s="1" t="s">
        <v>460</v>
      </c>
      <c r="AS572" s="1">
        <v>210315</v>
      </c>
      <c r="AT572" s="1" t="s">
        <v>115</v>
      </c>
      <c r="AV572" s="241">
        <v>918</v>
      </c>
      <c r="AX572" s="1">
        <f t="shared" si="83"/>
        <v>1</v>
      </c>
      <c r="AY572" s="1" t="str">
        <f>IF(COUNTIF($AX$2:AX572,1)&gt;$AG$1,"",IF(AX572="","",E572))</f>
        <v/>
      </c>
      <c r="BM572" s="138">
        <f t="shared" si="84"/>
        <v>0</v>
      </c>
      <c r="BN572" s="42">
        <f t="shared" si="85"/>
        <v>0</v>
      </c>
      <c r="BS572" s="1">
        <v>10199</v>
      </c>
      <c r="BT572" s="1" t="s">
        <v>902</v>
      </c>
      <c r="BX572" s="36"/>
    </row>
    <row r="573" spans="2:76" ht="14.25">
      <c r="B573" s="36"/>
      <c r="C573" s="36"/>
      <c r="D573" s="36"/>
      <c r="E573" s="36"/>
      <c r="F573" s="36"/>
      <c r="G573" s="36"/>
      <c r="H573" s="36"/>
      <c r="J573" s="36"/>
      <c r="K573" s="1" t="str">
        <f t="shared" si="86"/>
        <v/>
      </c>
      <c r="L573" s="1" t="str">
        <f t="shared" si="87"/>
        <v/>
      </c>
      <c r="M573" s="94">
        <v>568</v>
      </c>
      <c r="N573" s="36" t="s">
        <v>2224</v>
      </c>
      <c r="O573" s="95">
        <v>310275</v>
      </c>
      <c r="P573" s="36"/>
      <c r="AI573" s="122">
        <v>261</v>
      </c>
      <c r="AJ573" s="1" t="s">
        <v>1916</v>
      </c>
      <c r="AK573" s="1">
        <v>309968</v>
      </c>
      <c r="AL573" s="1" t="s">
        <v>115</v>
      </c>
      <c r="AN573" s="270">
        <v>667</v>
      </c>
      <c r="AQ573" s="1">
        <v>425</v>
      </c>
      <c r="AR573" s="1" t="s">
        <v>461</v>
      </c>
      <c r="AS573" s="1">
        <v>210316</v>
      </c>
      <c r="AT573" s="1" t="s">
        <v>116</v>
      </c>
      <c r="AV573" s="241">
        <v>919</v>
      </c>
      <c r="AX573" s="1">
        <f t="shared" si="83"/>
        <v>1</v>
      </c>
      <c r="AY573" s="1" t="str">
        <f>IF(COUNTIF($AX$2:AX573,1)&gt;$AG$1,"",IF(AX573="","",E573))</f>
        <v/>
      </c>
      <c r="BM573" s="138">
        <f t="shared" si="84"/>
        <v>0</v>
      </c>
      <c r="BN573" s="42">
        <f t="shared" si="85"/>
        <v>0</v>
      </c>
      <c r="BS573" s="1">
        <v>10200</v>
      </c>
      <c r="BT573" s="1" t="s">
        <v>902</v>
      </c>
      <c r="BX573" s="36"/>
    </row>
    <row r="574" spans="2:76" ht="14.25">
      <c r="B574" s="36"/>
      <c r="C574" s="36"/>
      <c r="D574" s="36"/>
      <c r="E574" s="36"/>
      <c r="F574" s="36"/>
      <c r="G574" s="36"/>
      <c r="H574" s="36"/>
      <c r="J574" s="36"/>
      <c r="K574" s="1" t="str">
        <f t="shared" si="86"/>
        <v/>
      </c>
      <c r="L574" s="1" t="str">
        <f t="shared" si="87"/>
        <v/>
      </c>
      <c r="M574" s="94">
        <v>569</v>
      </c>
      <c r="N574" s="36" t="s">
        <v>2225</v>
      </c>
      <c r="O574" s="95">
        <v>310276</v>
      </c>
      <c r="P574" s="36"/>
      <c r="AI574" s="122">
        <v>262</v>
      </c>
      <c r="AJ574" s="1" t="s">
        <v>1917</v>
      </c>
      <c r="AK574" s="1">
        <v>309969</v>
      </c>
      <c r="AL574" s="1" t="s">
        <v>930</v>
      </c>
      <c r="AN574" s="270">
        <v>668</v>
      </c>
      <c r="AQ574" s="1">
        <v>426</v>
      </c>
      <c r="AR574" s="1" t="s">
        <v>462</v>
      </c>
      <c r="AS574" s="1">
        <v>210317</v>
      </c>
      <c r="AT574" s="1" t="s">
        <v>115</v>
      </c>
      <c r="AV574" s="241">
        <v>920</v>
      </c>
      <c r="AX574" s="1">
        <f t="shared" si="83"/>
        <v>1</v>
      </c>
      <c r="AY574" s="1" t="str">
        <f>IF(COUNTIF($AX$2:AX574,1)&gt;$AG$1,"",IF(AX574="","",E574))</f>
        <v/>
      </c>
      <c r="BM574" s="138">
        <f t="shared" si="84"/>
        <v>0</v>
      </c>
      <c r="BN574" s="42">
        <f t="shared" si="85"/>
        <v>0</v>
      </c>
      <c r="BS574" s="1">
        <v>10201</v>
      </c>
      <c r="BT574" s="1" t="s">
        <v>902</v>
      </c>
      <c r="BX574" s="36"/>
    </row>
    <row r="575" spans="2:76" ht="14.25">
      <c r="B575" s="36"/>
      <c r="C575" s="36"/>
      <c r="D575" s="36"/>
      <c r="E575" s="36"/>
      <c r="F575" s="36"/>
      <c r="G575" s="36"/>
      <c r="H575" s="36"/>
      <c r="J575" s="36"/>
      <c r="K575" s="1" t="str">
        <f t="shared" si="86"/>
        <v/>
      </c>
      <c r="L575" s="1" t="str">
        <f t="shared" si="87"/>
        <v/>
      </c>
      <c r="M575" s="94">
        <v>570</v>
      </c>
      <c r="N575" s="36" t="s">
        <v>2226</v>
      </c>
      <c r="O575" s="95">
        <v>310277</v>
      </c>
      <c r="P575" s="36"/>
      <c r="AI575" s="122">
        <v>263</v>
      </c>
      <c r="AJ575" s="1" t="s">
        <v>1918</v>
      </c>
      <c r="AK575" s="1">
        <v>309970</v>
      </c>
      <c r="AL575" s="1" t="s">
        <v>115</v>
      </c>
      <c r="AN575" s="270">
        <v>669</v>
      </c>
      <c r="AQ575" s="1">
        <v>427</v>
      </c>
      <c r="AR575" s="1" t="s">
        <v>463</v>
      </c>
      <c r="AS575" s="1">
        <v>210318</v>
      </c>
      <c r="AT575" s="1" t="s">
        <v>115</v>
      </c>
      <c r="AV575" s="241">
        <v>921</v>
      </c>
      <c r="AX575" s="1">
        <f t="shared" si="83"/>
        <v>1</v>
      </c>
      <c r="AY575" s="1" t="str">
        <f>IF(COUNTIF($AX$2:AX575,1)&gt;$AG$1,"",IF(AX575="","",E575))</f>
        <v/>
      </c>
      <c r="BM575" s="138">
        <f t="shared" si="84"/>
        <v>0</v>
      </c>
      <c r="BN575" s="42">
        <f t="shared" si="85"/>
        <v>0</v>
      </c>
      <c r="BS575" s="1">
        <v>10202</v>
      </c>
      <c r="BT575" s="1" t="s">
        <v>902</v>
      </c>
      <c r="BX575" s="36"/>
    </row>
    <row r="576" spans="2:76" ht="14.25">
      <c r="B576" s="36"/>
      <c r="C576" s="36"/>
      <c r="D576" s="36"/>
      <c r="E576" s="36"/>
      <c r="F576" s="36"/>
      <c r="G576" s="36"/>
      <c r="H576" s="36"/>
      <c r="J576" s="36"/>
      <c r="K576" s="1" t="str">
        <f t="shared" si="86"/>
        <v/>
      </c>
      <c r="L576" s="1" t="str">
        <f t="shared" si="87"/>
        <v/>
      </c>
      <c r="M576" s="94">
        <v>571</v>
      </c>
      <c r="N576" s="36" t="s">
        <v>2227</v>
      </c>
      <c r="O576" s="95">
        <v>310278</v>
      </c>
      <c r="P576" s="36"/>
      <c r="AI576" s="122">
        <v>264</v>
      </c>
      <c r="AJ576" s="1" t="s">
        <v>1919</v>
      </c>
      <c r="AK576" s="1">
        <v>309971</v>
      </c>
      <c r="AL576" s="1" t="s">
        <v>930</v>
      </c>
      <c r="AN576" s="270">
        <v>670</v>
      </c>
      <c r="AQ576" s="1">
        <v>428</v>
      </c>
      <c r="AR576" s="1" t="s">
        <v>464</v>
      </c>
      <c r="AS576" s="1">
        <v>210319</v>
      </c>
      <c r="AT576" s="1" t="s">
        <v>116</v>
      </c>
      <c r="AV576" s="241">
        <v>922</v>
      </c>
      <c r="AX576" s="1">
        <f t="shared" si="83"/>
        <v>1</v>
      </c>
      <c r="AY576" s="1" t="str">
        <f>IF(COUNTIF($AX$2:AX576,1)&gt;$AG$1,"",IF(AX576="","",E576))</f>
        <v/>
      </c>
      <c r="BM576" s="138">
        <f t="shared" si="84"/>
        <v>0</v>
      </c>
      <c r="BN576" s="42">
        <f t="shared" si="85"/>
        <v>0</v>
      </c>
      <c r="BS576" s="1">
        <v>10203</v>
      </c>
      <c r="BT576" s="1" t="s">
        <v>902</v>
      </c>
      <c r="BX576" s="36"/>
    </row>
    <row r="577" spans="2:76" ht="14.25">
      <c r="B577" s="36"/>
      <c r="C577" s="36"/>
      <c r="D577" s="36"/>
      <c r="E577" s="36"/>
      <c r="F577" s="36"/>
      <c r="G577" s="36"/>
      <c r="H577" s="36"/>
      <c r="J577" s="36"/>
      <c r="K577" s="1" t="str">
        <f t="shared" si="86"/>
        <v/>
      </c>
      <c r="L577" s="1" t="str">
        <f t="shared" si="87"/>
        <v/>
      </c>
      <c r="M577" s="94">
        <v>572</v>
      </c>
      <c r="N577" s="36" t="s">
        <v>2228</v>
      </c>
      <c r="O577" s="95">
        <v>310279</v>
      </c>
      <c r="P577" s="36"/>
      <c r="AI577" s="122">
        <v>265</v>
      </c>
      <c r="AJ577" s="1" t="s">
        <v>1920</v>
      </c>
      <c r="AK577" s="1">
        <v>309972</v>
      </c>
      <c r="AL577" s="1" t="s">
        <v>930</v>
      </c>
      <c r="AN577" s="270">
        <v>671</v>
      </c>
      <c r="AQ577" s="1">
        <v>429</v>
      </c>
      <c r="AR577" s="1" t="s">
        <v>465</v>
      </c>
      <c r="AS577" s="1">
        <v>210322</v>
      </c>
      <c r="AT577" s="1" t="s">
        <v>115</v>
      </c>
      <c r="AV577" s="241">
        <v>923</v>
      </c>
      <c r="AX577" s="1">
        <f t="shared" si="83"/>
        <v>1</v>
      </c>
      <c r="AY577" s="1" t="str">
        <f>IF(COUNTIF($AX$2:AX577,1)&gt;$AG$1,"",IF(AX577="","",E577))</f>
        <v/>
      </c>
      <c r="BM577" s="138">
        <f t="shared" si="84"/>
        <v>0</v>
      </c>
      <c r="BN577" s="42">
        <f t="shared" si="85"/>
        <v>0</v>
      </c>
      <c r="BS577" s="1">
        <v>10204</v>
      </c>
      <c r="BT577" s="1" t="s">
        <v>902</v>
      </c>
      <c r="BX577" s="36"/>
    </row>
    <row r="578" spans="2:76" ht="14.25">
      <c r="B578" s="36"/>
      <c r="C578" s="36"/>
      <c r="D578" s="36"/>
      <c r="E578" s="36"/>
      <c r="F578" s="36"/>
      <c r="G578" s="36"/>
      <c r="H578" s="36"/>
      <c r="J578" s="36"/>
      <c r="K578" s="1" t="str">
        <f t="shared" si="86"/>
        <v/>
      </c>
      <c r="L578" s="1" t="str">
        <f t="shared" si="87"/>
        <v/>
      </c>
      <c r="M578" s="94">
        <v>573</v>
      </c>
      <c r="N578" s="36" t="s">
        <v>2229</v>
      </c>
      <c r="O578" s="95">
        <v>310280</v>
      </c>
      <c r="P578" s="36"/>
      <c r="AI578" s="122">
        <v>266</v>
      </c>
      <c r="AJ578" s="1" t="s">
        <v>1921</v>
      </c>
      <c r="AK578" s="1">
        <v>309973</v>
      </c>
      <c r="AL578" s="1" t="s">
        <v>115</v>
      </c>
      <c r="AN578" s="270">
        <v>672</v>
      </c>
      <c r="AQ578" s="1">
        <v>430</v>
      </c>
      <c r="AR578" s="1" t="s">
        <v>466</v>
      </c>
      <c r="AS578" s="1">
        <v>210323</v>
      </c>
      <c r="AT578" s="1" t="s">
        <v>116</v>
      </c>
      <c r="AV578" s="241">
        <v>924</v>
      </c>
      <c r="AX578" s="1">
        <f t="shared" ref="AX578:AX588" si="88">IF(AND(C578&lt;&gt;"A0",C578&lt;&gt;"P9"),1,"")</f>
        <v>1</v>
      </c>
      <c r="AY578" s="1" t="str">
        <f>IF(COUNTIF($AX$2:AX578,1)&gt;$AG$1,"",IF(AX578="","",E578))</f>
        <v/>
      </c>
      <c r="BM578" s="138">
        <f t="shared" ref="BM578:BM641" si="89">I578</f>
        <v>0</v>
      </c>
      <c r="BN578" s="42">
        <f t="shared" ref="BN578:BN641" si="90">A578</f>
        <v>0</v>
      </c>
      <c r="BS578" s="1">
        <v>10205</v>
      </c>
      <c r="BT578" s="1" t="s">
        <v>902</v>
      </c>
      <c r="BX578" s="36"/>
    </row>
    <row r="579" spans="2:76" ht="14.25">
      <c r="B579" s="36"/>
      <c r="C579" s="36"/>
      <c r="D579" s="36"/>
      <c r="E579" s="36"/>
      <c r="F579" s="36"/>
      <c r="G579" s="36"/>
      <c r="H579" s="36"/>
      <c r="J579" s="36"/>
      <c r="K579" s="1" t="str">
        <f t="shared" ref="K579:K642" si="91">IF(B579="722W","",IF(OR(C579="B1",C579="B9",C579="W1",C579="W2",C579="U9"),IF(MAX($A$2:$A$400)-A579&gt;10000,A579+100000,A579),""))</f>
        <v/>
      </c>
      <c r="L579" s="1" t="str">
        <f t="shared" si="87"/>
        <v/>
      </c>
      <c r="M579" s="94">
        <v>574</v>
      </c>
      <c r="N579" s="36" t="s">
        <v>2230</v>
      </c>
      <c r="O579" s="95">
        <v>310281</v>
      </c>
      <c r="P579" s="36"/>
      <c r="AI579" s="122">
        <v>267</v>
      </c>
      <c r="AJ579" s="1" t="s">
        <v>1922</v>
      </c>
      <c r="AK579" s="1">
        <v>309974</v>
      </c>
      <c r="AL579" s="1" t="s">
        <v>930</v>
      </c>
      <c r="AN579" s="270">
        <v>673</v>
      </c>
      <c r="AQ579" s="1">
        <v>431</v>
      </c>
      <c r="AR579" s="1" t="s">
        <v>467</v>
      </c>
      <c r="AS579" s="1">
        <v>210324</v>
      </c>
      <c r="AT579" s="1" t="s">
        <v>115</v>
      </c>
      <c r="AV579" s="241">
        <v>925</v>
      </c>
      <c r="AX579" s="1">
        <f t="shared" si="88"/>
        <v>1</v>
      </c>
      <c r="AY579" s="1" t="str">
        <f>IF(COUNTIF($AX$2:AX579,1)&gt;$AG$1,"",IF(AX579="","",E579))</f>
        <v/>
      </c>
      <c r="BM579" s="138">
        <f t="shared" si="89"/>
        <v>0</v>
      </c>
      <c r="BN579" s="42">
        <f t="shared" si="90"/>
        <v>0</v>
      </c>
      <c r="BS579" s="1">
        <v>10206</v>
      </c>
      <c r="BT579" s="1" t="s">
        <v>902</v>
      </c>
      <c r="BX579" s="36"/>
    </row>
    <row r="580" spans="2:76" ht="14.25">
      <c r="B580" s="36"/>
      <c r="C580" s="36"/>
      <c r="D580" s="36"/>
      <c r="E580" s="36"/>
      <c r="F580" s="36"/>
      <c r="G580" s="36"/>
      <c r="H580" s="36"/>
      <c r="J580" s="36"/>
      <c r="K580" s="1" t="str">
        <f t="shared" si="91"/>
        <v/>
      </c>
      <c r="L580" s="1" t="str">
        <f t="shared" ref="L580:L643" si="92">IF(AND(MIN(I:I)&lt;20,MAX(I:I)&gt;980,I580&lt;20),I580,"")</f>
        <v/>
      </c>
      <c r="M580" s="94">
        <v>575</v>
      </c>
      <c r="N580" s="36" t="s">
        <v>2231</v>
      </c>
      <c r="O580" s="95">
        <v>310282</v>
      </c>
      <c r="P580" s="36"/>
      <c r="AI580" s="122">
        <v>268</v>
      </c>
      <c r="AJ580" s="1" t="s">
        <v>1923</v>
      </c>
      <c r="AK580" s="1">
        <v>309975</v>
      </c>
      <c r="AL580" s="1" t="s">
        <v>115</v>
      </c>
      <c r="AN580" s="270">
        <v>674</v>
      </c>
      <c r="AQ580" s="1">
        <v>432</v>
      </c>
      <c r="AR580" s="1" t="s">
        <v>468</v>
      </c>
      <c r="AS580" s="1">
        <v>210325</v>
      </c>
      <c r="AT580" s="1" t="s">
        <v>115</v>
      </c>
      <c r="AV580" s="241">
        <v>926</v>
      </c>
      <c r="AX580" s="1">
        <f t="shared" si="88"/>
        <v>1</v>
      </c>
      <c r="AY580" s="1" t="str">
        <f>IF(COUNTIF($AX$2:AX580,1)&gt;$AG$1,"",IF(AX580="","",E580))</f>
        <v/>
      </c>
      <c r="BM580" s="138">
        <f t="shared" si="89"/>
        <v>0</v>
      </c>
      <c r="BN580" s="42">
        <f t="shared" si="90"/>
        <v>0</v>
      </c>
      <c r="BS580" s="1">
        <v>10207</v>
      </c>
      <c r="BT580" s="1" t="s">
        <v>902</v>
      </c>
      <c r="BX580" s="36"/>
    </row>
    <row r="581" spans="2:76" ht="14.25">
      <c r="B581" s="36"/>
      <c r="C581" s="36"/>
      <c r="D581" s="36"/>
      <c r="E581" s="36"/>
      <c r="F581" s="36"/>
      <c r="G581" s="36"/>
      <c r="H581" s="36"/>
      <c r="J581" s="36"/>
      <c r="K581" s="1" t="str">
        <f t="shared" si="91"/>
        <v/>
      </c>
      <c r="L581" s="1" t="str">
        <f t="shared" si="92"/>
        <v/>
      </c>
      <c r="M581" s="94">
        <v>576</v>
      </c>
      <c r="N581" s="36" t="s">
        <v>2232</v>
      </c>
      <c r="O581" s="95">
        <v>310283</v>
      </c>
      <c r="P581" s="36"/>
      <c r="AI581" s="122">
        <v>269</v>
      </c>
      <c r="AJ581" s="1" t="s">
        <v>1924</v>
      </c>
      <c r="AK581" s="1">
        <v>309976</v>
      </c>
      <c r="AL581" s="1" t="s">
        <v>930</v>
      </c>
      <c r="AN581" s="270">
        <v>675</v>
      </c>
      <c r="AQ581" s="1">
        <v>433</v>
      </c>
      <c r="AR581" s="1" t="s">
        <v>469</v>
      </c>
      <c r="AS581" s="1">
        <v>210150</v>
      </c>
      <c r="AT581" s="1" t="s">
        <v>116</v>
      </c>
      <c r="AV581" s="241">
        <v>927</v>
      </c>
      <c r="AX581" s="1">
        <f t="shared" si="88"/>
        <v>1</v>
      </c>
      <c r="AY581" s="1" t="str">
        <f>IF(COUNTIF($AX$2:AX581,1)&gt;$AG$1,"",IF(AX581="","",E581))</f>
        <v/>
      </c>
      <c r="BM581" s="138">
        <f t="shared" si="89"/>
        <v>0</v>
      </c>
      <c r="BN581" s="42">
        <f t="shared" si="90"/>
        <v>0</v>
      </c>
      <c r="BS581" s="1">
        <v>10208</v>
      </c>
      <c r="BT581" s="1" t="s">
        <v>902</v>
      </c>
      <c r="BX581" s="36"/>
    </row>
    <row r="582" spans="2:76" ht="14.25">
      <c r="B582" s="36"/>
      <c r="C582" s="36"/>
      <c r="D582" s="36"/>
      <c r="E582" s="36"/>
      <c r="F582" s="36"/>
      <c r="G582" s="36"/>
      <c r="H582" s="36"/>
      <c r="J582" s="36"/>
      <c r="K582" s="1" t="str">
        <f t="shared" si="91"/>
        <v/>
      </c>
      <c r="L582" s="1" t="str">
        <f t="shared" si="92"/>
        <v/>
      </c>
      <c r="M582" s="94">
        <v>577</v>
      </c>
      <c r="N582" s="36" t="s">
        <v>2233</v>
      </c>
      <c r="O582" s="95">
        <v>310284</v>
      </c>
      <c r="P582" s="36"/>
      <c r="AI582" s="122">
        <v>270</v>
      </c>
      <c r="AJ582" s="1" t="s">
        <v>1925</v>
      </c>
      <c r="AK582" s="1">
        <v>309977</v>
      </c>
      <c r="AL582" s="1" t="s">
        <v>115</v>
      </c>
      <c r="AN582" s="270">
        <v>676</v>
      </c>
      <c r="AQ582" s="1">
        <v>434</v>
      </c>
      <c r="AR582" s="1" t="s">
        <v>470</v>
      </c>
      <c r="AS582" s="1">
        <v>210327</v>
      </c>
      <c r="AT582" s="1" t="s">
        <v>115</v>
      </c>
      <c r="AV582" s="241">
        <v>928</v>
      </c>
      <c r="AX582" s="1">
        <f t="shared" si="88"/>
        <v>1</v>
      </c>
      <c r="AY582" s="1" t="str">
        <f>IF(COUNTIF($AX$2:AX582,1)&gt;$AG$1,"",IF(AX582="","",E582))</f>
        <v/>
      </c>
      <c r="BM582" s="138">
        <f t="shared" si="89"/>
        <v>0</v>
      </c>
      <c r="BN582" s="42">
        <f t="shared" si="90"/>
        <v>0</v>
      </c>
      <c r="BS582" s="1">
        <v>10209</v>
      </c>
      <c r="BT582" s="1" t="s">
        <v>902</v>
      </c>
      <c r="BX582" s="36"/>
    </row>
    <row r="583" spans="2:76" ht="14.25">
      <c r="B583" s="36"/>
      <c r="C583" s="36"/>
      <c r="D583" s="36"/>
      <c r="E583" s="36"/>
      <c r="F583" s="36"/>
      <c r="G583" s="36"/>
      <c r="H583" s="36"/>
      <c r="J583" s="36"/>
      <c r="K583" s="1" t="str">
        <f t="shared" si="91"/>
        <v/>
      </c>
      <c r="L583" s="1" t="str">
        <f t="shared" si="92"/>
        <v/>
      </c>
      <c r="M583" s="94">
        <v>578</v>
      </c>
      <c r="N583" s="36" t="s">
        <v>2234</v>
      </c>
      <c r="O583" s="95">
        <v>310285</v>
      </c>
      <c r="P583" s="36"/>
      <c r="AI583" s="122">
        <v>271</v>
      </c>
      <c r="AJ583" s="1" t="s">
        <v>1926</v>
      </c>
      <c r="AK583" s="1">
        <v>309978</v>
      </c>
      <c r="AL583" s="1" t="s">
        <v>930</v>
      </c>
      <c r="AN583" s="270">
        <v>677</v>
      </c>
      <c r="AQ583" s="1">
        <v>435</v>
      </c>
      <c r="AR583" s="1" t="s">
        <v>471</v>
      </c>
      <c r="AS583" s="1">
        <v>210328</v>
      </c>
      <c r="AT583" s="1" t="s">
        <v>116</v>
      </c>
      <c r="AV583" s="241">
        <v>929</v>
      </c>
      <c r="AX583" s="1">
        <f t="shared" si="88"/>
        <v>1</v>
      </c>
      <c r="AY583" s="1" t="str">
        <f>IF(COUNTIF($AX$2:AX583,1)&gt;$AG$1,"",IF(AX583="","",E583))</f>
        <v/>
      </c>
      <c r="BM583" s="138">
        <f t="shared" si="89"/>
        <v>0</v>
      </c>
      <c r="BN583" s="42">
        <f t="shared" si="90"/>
        <v>0</v>
      </c>
      <c r="BS583" s="1">
        <v>10210</v>
      </c>
      <c r="BT583" s="1" t="s">
        <v>902</v>
      </c>
      <c r="BX583" s="36"/>
    </row>
    <row r="584" spans="2:76" ht="14.25">
      <c r="B584" s="36"/>
      <c r="C584" s="36"/>
      <c r="D584" s="36"/>
      <c r="E584" s="36"/>
      <c r="F584" s="36"/>
      <c r="G584" s="36"/>
      <c r="H584" s="36"/>
      <c r="J584" s="36"/>
      <c r="K584" s="1" t="str">
        <f t="shared" si="91"/>
        <v/>
      </c>
      <c r="L584" s="1" t="str">
        <f t="shared" si="92"/>
        <v/>
      </c>
      <c r="M584" s="94">
        <v>579</v>
      </c>
      <c r="N584" s="36" t="s">
        <v>2235</v>
      </c>
      <c r="O584" s="95">
        <v>310286</v>
      </c>
      <c r="P584" s="36"/>
      <c r="AI584" s="122">
        <v>272</v>
      </c>
      <c r="AJ584" s="1" t="s">
        <v>1927</v>
      </c>
      <c r="AK584" s="1">
        <v>309979</v>
      </c>
      <c r="AL584" s="1" t="s">
        <v>930</v>
      </c>
      <c r="AN584" s="270">
        <v>678</v>
      </c>
      <c r="AQ584" s="1">
        <v>436</v>
      </c>
      <c r="AR584" s="1" t="s">
        <v>472</v>
      </c>
      <c r="AS584" s="1">
        <v>210329</v>
      </c>
      <c r="AT584" s="1" t="s">
        <v>115</v>
      </c>
      <c r="AV584" s="241">
        <v>930</v>
      </c>
      <c r="AX584" s="1">
        <f t="shared" si="88"/>
        <v>1</v>
      </c>
      <c r="AY584" s="1" t="str">
        <f>IF(COUNTIF($AX$2:AX584,1)&gt;$AG$1,"",IF(AX584="","",E584))</f>
        <v/>
      </c>
      <c r="BM584" s="138">
        <f t="shared" si="89"/>
        <v>0</v>
      </c>
      <c r="BN584" s="42">
        <f t="shared" si="90"/>
        <v>0</v>
      </c>
      <c r="BS584" s="1">
        <v>10211</v>
      </c>
      <c r="BT584" s="1" t="s">
        <v>902</v>
      </c>
      <c r="BX584" s="36"/>
    </row>
    <row r="585" spans="2:76" ht="14.25">
      <c r="B585" s="36"/>
      <c r="C585" s="36"/>
      <c r="D585" s="36"/>
      <c r="E585" s="36"/>
      <c r="F585" s="36"/>
      <c r="G585" s="36"/>
      <c r="H585" s="36"/>
      <c r="J585" s="36"/>
      <c r="K585" s="1" t="str">
        <f t="shared" si="91"/>
        <v/>
      </c>
      <c r="L585" s="1" t="str">
        <f t="shared" si="92"/>
        <v/>
      </c>
      <c r="M585" s="94">
        <v>580</v>
      </c>
      <c r="N585" s="36" t="s">
        <v>2236</v>
      </c>
      <c r="O585" s="95">
        <v>310287</v>
      </c>
      <c r="P585" s="36"/>
      <c r="AI585" s="122">
        <v>273</v>
      </c>
      <c r="AJ585" s="1" t="s">
        <v>1928</v>
      </c>
      <c r="AK585" s="1">
        <v>309980</v>
      </c>
      <c r="AL585" s="1" t="s">
        <v>115</v>
      </c>
      <c r="AN585" s="270">
        <v>679</v>
      </c>
      <c r="AQ585" s="1">
        <v>437</v>
      </c>
      <c r="AR585" s="1" t="s">
        <v>473</v>
      </c>
      <c r="AS585" s="1">
        <v>210330</v>
      </c>
      <c r="AT585" s="1" t="s">
        <v>115</v>
      </c>
      <c r="AV585" s="241">
        <v>931</v>
      </c>
      <c r="AX585" s="1">
        <f t="shared" si="88"/>
        <v>1</v>
      </c>
      <c r="AY585" s="1" t="str">
        <f>IF(COUNTIF($AX$2:AX585,1)&gt;$AG$1,"",IF(AX585="","",E585))</f>
        <v/>
      </c>
      <c r="BM585" s="138">
        <f t="shared" si="89"/>
        <v>0</v>
      </c>
      <c r="BN585" s="42">
        <f t="shared" si="90"/>
        <v>0</v>
      </c>
      <c r="BS585" s="1">
        <v>10212</v>
      </c>
      <c r="BT585" s="1" t="s">
        <v>902</v>
      </c>
      <c r="BX585" s="36"/>
    </row>
    <row r="586" spans="2:76" ht="14.25">
      <c r="B586" s="36"/>
      <c r="C586" s="36"/>
      <c r="D586" s="36"/>
      <c r="E586" s="36"/>
      <c r="F586" s="36"/>
      <c r="G586" s="36"/>
      <c r="H586" s="36"/>
      <c r="J586" s="36"/>
      <c r="K586" s="1" t="str">
        <f t="shared" si="91"/>
        <v/>
      </c>
      <c r="L586" s="1" t="str">
        <f t="shared" si="92"/>
        <v/>
      </c>
      <c r="M586" s="94">
        <v>581</v>
      </c>
      <c r="N586" s="36" t="s">
        <v>2237</v>
      </c>
      <c r="O586" s="95">
        <v>310288</v>
      </c>
      <c r="P586" s="36"/>
      <c r="AI586" s="122">
        <v>274</v>
      </c>
      <c r="AJ586" s="1" t="s">
        <v>1929</v>
      </c>
      <c r="AK586" s="1">
        <v>309981</v>
      </c>
      <c r="AL586" s="1" t="s">
        <v>930</v>
      </c>
      <c r="AN586" s="270">
        <v>680</v>
      </c>
      <c r="AQ586" s="1">
        <v>438</v>
      </c>
      <c r="AR586" s="1" t="s">
        <v>474</v>
      </c>
      <c r="AS586" s="1">
        <v>210162</v>
      </c>
      <c r="AT586" s="1" t="s">
        <v>116</v>
      </c>
      <c r="AV586" s="241">
        <v>932</v>
      </c>
      <c r="AX586" s="1">
        <f t="shared" si="88"/>
        <v>1</v>
      </c>
      <c r="AY586" s="1" t="str">
        <f>IF(COUNTIF($AX$2:AX586,1)&gt;$AG$1,"",IF(AX586="","",E586))</f>
        <v/>
      </c>
      <c r="BM586" s="138">
        <f t="shared" si="89"/>
        <v>0</v>
      </c>
      <c r="BN586" s="42">
        <f t="shared" si="90"/>
        <v>0</v>
      </c>
      <c r="BS586" s="1">
        <v>10213</v>
      </c>
      <c r="BT586" s="1" t="s">
        <v>902</v>
      </c>
      <c r="BX586" s="36"/>
    </row>
    <row r="587" spans="2:76" ht="14.25">
      <c r="B587" s="36"/>
      <c r="C587" s="36"/>
      <c r="D587" s="36"/>
      <c r="E587" s="36"/>
      <c r="F587" s="36"/>
      <c r="G587" s="36"/>
      <c r="H587" s="36"/>
      <c r="J587" s="36"/>
      <c r="K587" s="1" t="str">
        <f t="shared" si="91"/>
        <v/>
      </c>
      <c r="L587" s="1" t="str">
        <f t="shared" si="92"/>
        <v/>
      </c>
      <c r="M587" s="94">
        <v>582</v>
      </c>
      <c r="N587" s="36" t="s">
        <v>2238</v>
      </c>
      <c r="O587" s="95">
        <v>310289</v>
      </c>
      <c r="P587" s="36"/>
      <c r="AI587" s="122">
        <v>275</v>
      </c>
      <c r="AJ587" s="1" t="s">
        <v>1930</v>
      </c>
      <c r="AK587" s="1">
        <v>309982</v>
      </c>
      <c r="AL587" s="1" t="s">
        <v>115</v>
      </c>
      <c r="AN587" s="270">
        <v>681</v>
      </c>
      <c r="AQ587" s="1">
        <v>439</v>
      </c>
      <c r="AR587" s="1" t="s">
        <v>475</v>
      </c>
      <c r="AS587" s="1">
        <v>210332</v>
      </c>
      <c r="AT587" s="1" t="s">
        <v>115</v>
      </c>
      <c r="AV587" s="241">
        <v>933</v>
      </c>
      <c r="AX587" s="1">
        <f t="shared" si="88"/>
        <v>1</v>
      </c>
      <c r="AY587" s="1" t="str">
        <f>IF(COUNTIF($AX$2:AX587,1)&gt;$AG$1,"",IF(AX587="","",E587))</f>
        <v/>
      </c>
      <c r="BM587" s="138">
        <f t="shared" si="89"/>
        <v>0</v>
      </c>
      <c r="BN587" s="42">
        <f t="shared" si="90"/>
        <v>0</v>
      </c>
      <c r="BS587" s="1">
        <v>10214</v>
      </c>
      <c r="BT587" s="1" t="s">
        <v>902</v>
      </c>
      <c r="BX587" s="36"/>
    </row>
    <row r="588" spans="2:76" ht="14.25">
      <c r="B588" s="36"/>
      <c r="C588" s="36"/>
      <c r="D588" s="36"/>
      <c r="E588" s="36"/>
      <c r="F588" s="36"/>
      <c r="G588" s="36"/>
      <c r="H588" s="36"/>
      <c r="J588" s="36"/>
      <c r="K588" s="1" t="str">
        <f t="shared" si="91"/>
        <v/>
      </c>
      <c r="L588" s="1" t="str">
        <f t="shared" si="92"/>
        <v/>
      </c>
      <c r="M588" s="94">
        <v>583</v>
      </c>
      <c r="N588" s="36" t="s">
        <v>2239</v>
      </c>
      <c r="O588" s="95">
        <v>310290</v>
      </c>
      <c r="P588" s="36"/>
      <c r="AI588" s="122">
        <v>276</v>
      </c>
      <c r="AJ588" s="1" t="s">
        <v>1931</v>
      </c>
      <c r="AK588" s="1">
        <v>309983</v>
      </c>
      <c r="AL588" s="1" t="s">
        <v>930</v>
      </c>
      <c r="AN588" s="270">
        <v>682</v>
      </c>
      <c r="AQ588" s="1">
        <v>440</v>
      </c>
      <c r="AR588" s="1" t="s">
        <v>476</v>
      </c>
      <c r="AS588" s="1">
        <v>210333</v>
      </c>
      <c r="AT588" s="1" t="s">
        <v>116</v>
      </c>
      <c r="AV588" s="241">
        <v>934</v>
      </c>
      <c r="AX588" s="1">
        <f t="shared" si="88"/>
        <v>1</v>
      </c>
      <c r="AY588" s="1" t="str">
        <f>IF(COUNTIF($AX$2:AX588,1)&gt;$AG$1,"",IF(AX588="","",E588))</f>
        <v/>
      </c>
      <c r="BM588" s="138">
        <f t="shared" si="89"/>
        <v>0</v>
      </c>
      <c r="BN588" s="42">
        <f t="shared" si="90"/>
        <v>0</v>
      </c>
      <c r="BS588" s="1">
        <v>10215</v>
      </c>
      <c r="BT588" s="1" t="s">
        <v>902</v>
      </c>
      <c r="BX588" s="36"/>
    </row>
    <row r="589" spans="2:76" ht="14.25">
      <c r="B589" s="36"/>
      <c r="C589" s="36"/>
      <c r="D589" s="36"/>
      <c r="E589" s="36"/>
      <c r="F589" s="36"/>
      <c r="G589" s="36"/>
      <c r="H589" s="36"/>
      <c r="J589" s="36"/>
      <c r="K589" s="1" t="str">
        <f t="shared" si="91"/>
        <v/>
      </c>
      <c r="L589" s="1" t="str">
        <f t="shared" si="92"/>
        <v/>
      </c>
      <c r="M589" s="94">
        <v>584</v>
      </c>
      <c r="N589" s="36" t="s">
        <v>2240</v>
      </c>
      <c r="O589" s="95">
        <v>310291</v>
      </c>
      <c r="P589" s="36"/>
      <c r="AI589" s="122">
        <v>277</v>
      </c>
      <c r="AJ589" s="1" t="s">
        <v>1932</v>
      </c>
      <c r="AK589" s="1">
        <v>309984</v>
      </c>
      <c r="AL589" s="1" t="s">
        <v>115</v>
      </c>
      <c r="AN589" s="270">
        <v>683</v>
      </c>
      <c r="AQ589" s="1">
        <v>441</v>
      </c>
      <c r="AR589" s="1" t="s">
        <v>477</v>
      </c>
      <c r="AS589" s="1">
        <v>210334</v>
      </c>
      <c r="AT589" s="1" t="s">
        <v>115</v>
      </c>
      <c r="AV589" s="241">
        <v>935</v>
      </c>
      <c r="BM589" s="138">
        <f t="shared" si="89"/>
        <v>0</v>
      </c>
      <c r="BN589" s="42">
        <f t="shared" si="90"/>
        <v>0</v>
      </c>
      <c r="BS589" s="1">
        <v>10216</v>
      </c>
      <c r="BT589" s="1" t="s">
        <v>902</v>
      </c>
      <c r="BX589" s="36"/>
    </row>
    <row r="590" spans="2:76" ht="14.25">
      <c r="B590" s="36"/>
      <c r="C590" s="36"/>
      <c r="D590" s="36"/>
      <c r="E590" s="36"/>
      <c r="F590" s="36"/>
      <c r="G590" s="36"/>
      <c r="H590" s="36"/>
      <c r="J590" s="36"/>
      <c r="K590" s="1" t="str">
        <f t="shared" si="91"/>
        <v/>
      </c>
      <c r="L590" s="1" t="str">
        <f t="shared" si="92"/>
        <v/>
      </c>
      <c r="M590" s="94">
        <v>585</v>
      </c>
      <c r="N590" s="36" t="s">
        <v>2241</v>
      </c>
      <c r="O590" s="95">
        <v>310292</v>
      </c>
      <c r="P590" s="36"/>
      <c r="AI590" s="122">
        <v>278</v>
      </c>
      <c r="AJ590" s="1" t="s">
        <v>1933</v>
      </c>
      <c r="AK590" s="1">
        <v>309985</v>
      </c>
      <c r="AL590" s="1" t="s">
        <v>930</v>
      </c>
      <c r="AN590" s="270">
        <v>684</v>
      </c>
      <c r="AQ590" s="1">
        <v>442</v>
      </c>
      <c r="AR590" s="1" t="s">
        <v>478</v>
      </c>
      <c r="AS590" s="1">
        <v>210335</v>
      </c>
      <c r="AT590" s="1" t="s">
        <v>115</v>
      </c>
      <c r="AV590" s="241">
        <v>936</v>
      </c>
      <c r="BM590" s="138">
        <f t="shared" si="89"/>
        <v>0</v>
      </c>
      <c r="BN590" s="42">
        <f t="shared" si="90"/>
        <v>0</v>
      </c>
      <c r="BS590" s="1">
        <v>10217</v>
      </c>
      <c r="BT590" s="1" t="s">
        <v>902</v>
      </c>
      <c r="BX590" s="36"/>
    </row>
    <row r="591" spans="2:76" ht="14.25">
      <c r="B591" s="36"/>
      <c r="C591" s="36"/>
      <c r="D591" s="36"/>
      <c r="E591" s="36"/>
      <c r="F591" s="36"/>
      <c r="G591" s="36"/>
      <c r="H591" s="36"/>
      <c r="J591" s="36"/>
      <c r="K591" s="1" t="str">
        <f t="shared" si="91"/>
        <v/>
      </c>
      <c r="L591" s="1" t="str">
        <f t="shared" si="92"/>
        <v/>
      </c>
      <c r="M591" s="94">
        <v>586</v>
      </c>
      <c r="N591" s="36" t="s">
        <v>2242</v>
      </c>
      <c r="O591" s="95">
        <v>310293</v>
      </c>
      <c r="P591" s="36"/>
      <c r="AI591" s="122">
        <v>279</v>
      </c>
      <c r="AJ591" s="1" t="s">
        <v>1934</v>
      </c>
      <c r="AK591" s="1">
        <v>309986</v>
      </c>
      <c r="AL591" s="1" t="s">
        <v>930</v>
      </c>
      <c r="AN591" s="270">
        <v>685</v>
      </c>
      <c r="AQ591" s="1">
        <v>443</v>
      </c>
      <c r="AR591" s="1" t="s">
        <v>479</v>
      </c>
      <c r="AS591" s="1">
        <v>210336</v>
      </c>
      <c r="AT591" s="1" t="s">
        <v>116</v>
      </c>
      <c r="AV591" s="241">
        <v>937</v>
      </c>
      <c r="BM591" s="138">
        <f t="shared" si="89"/>
        <v>0</v>
      </c>
      <c r="BN591" s="42">
        <f t="shared" si="90"/>
        <v>0</v>
      </c>
      <c r="BS591" s="1">
        <v>10218</v>
      </c>
      <c r="BT591" s="1" t="s">
        <v>902</v>
      </c>
      <c r="BX591" s="36"/>
    </row>
    <row r="592" spans="2:76" ht="14.25">
      <c r="B592" s="36"/>
      <c r="C592" s="36"/>
      <c r="D592" s="36"/>
      <c r="E592" s="36"/>
      <c r="F592" s="36"/>
      <c r="G592" s="36"/>
      <c r="H592" s="36"/>
      <c r="J592" s="36"/>
      <c r="K592" s="1" t="str">
        <f t="shared" si="91"/>
        <v/>
      </c>
      <c r="L592" s="1" t="str">
        <f t="shared" si="92"/>
        <v/>
      </c>
      <c r="M592" s="94">
        <v>587</v>
      </c>
      <c r="N592" s="36" t="s">
        <v>2243</v>
      </c>
      <c r="O592" s="95">
        <v>310294</v>
      </c>
      <c r="P592" s="36"/>
      <c r="AI592" s="122">
        <v>280</v>
      </c>
      <c r="AJ592" s="1" t="s">
        <v>1935</v>
      </c>
      <c r="AK592" s="1">
        <v>309987</v>
      </c>
      <c r="AL592" s="1" t="s">
        <v>115</v>
      </c>
      <c r="AN592" s="270">
        <v>686</v>
      </c>
      <c r="AQ592" s="1">
        <v>444</v>
      </c>
      <c r="AR592" s="1" t="s">
        <v>480</v>
      </c>
      <c r="AS592" s="1">
        <v>210337</v>
      </c>
      <c r="AT592" s="1" t="s">
        <v>115</v>
      </c>
      <c r="AV592" s="241">
        <v>938</v>
      </c>
      <c r="BM592" s="138">
        <f t="shared" si="89"/>
        <v>0</v>
      </c>
      <c r="BN592" s="42">
        <f t="shared" si="90"/>
        <v>0</v>
      </c>
      <c r="BS592" s="1">
        <v>10219</v>
      </c>
      <c r="BT592" s="1" t="s">
        <v>902</v>
      </c>
      <c r="BX592" s="36"/>
    </row>
    <row r="593" spans="2:76" ht="14.25">
      <c r="B593" s="36"/>
      <c r="C593" s="36"/>
      <c r="D593" s="36"/>
      <c r="E593" s="36"/>
      <c r="F593" s="36"/>
      <c r="G593" s="36"/>
      <c r="H593" s="36"/>
      <c r="J593" s="36"/>
      <c r="K593" s="1" t="str">
        <f t="shared" si="91"/>
        <v/>
      </c>
      <c r="L593" s="1" t="str">
        <f t="shared" si="92"/>
        <v/>
      </c>
      <c r="M593" s="94">
        <v>588</v>
      </c>
      <c r="N593" s="36" t="s">
        <v>2244</v>
      </c>
      <c r="O593" s="95">
        <v>310295</v>
      </c>
      <c r="P593" s="36"/>
      <c r="AI593" s="122">
        <v>281</v>
      </c>
      <c r="AJ593" s="1" t="s">
        <v>1936</v>
      </c>
      <c r="AK593" s="1">
        <v>309988</v>
      </c>
      <c r="AL593" s="1" t="s">
        <v>930</v>
      </c>
      <c r="AN593" s="270">
        <v>687</v>
      </c>
      <c r="AQ593" s="1">
        <v>445</v>
      </c>
      <c r="AR593" s="1" t="s">
        <v>481</v>
      </c>
      <c r="AS593" s="1">
        <v>210338</v>
      </c>
      <c r="AT593" s="1" t="s">
        <v>116</v>
      </c>
      <c r="AV593" s="241">
        <v>939</v>
      </c>
      <c r="BM593" s="138">
        <f t="shared" si="89"/>
        <v>0</v>
      </c>
      <c r="BN593" s="42">
        <f t="shared" si="90"/>
        <v>0</v>
      </c>
      <c r="BS593" s="1">
        <v>10220</v>
      </c>
      <c r="BT593" s="1" t="s">
        <v>902</v>
      </c>
      <c r="BX593" s="36"/>
    </row>
    <row r="594" spans="2:76" ht="14.25">
      <c r="B594" s="36"/>
      <c r="C594" s="36"/>
      <c r="D594" s="36"/>
      <c r="E594" s="36"/>
      <c r="F594" s="36"/>
      <c r="G594" s="36"/>
      <c r="H594" s="36"/>
      <c r="J594" s="36"/>
      <c r="K594" s="1" t="str">
        <f t="shared" si="91"/>
        <v/>
      </c>
      <c r="L594" s="1" t="str">
        <f t="shared" si="92"/>
        <v/>
      </c>
      <c r="M594" s="94">
        <v>589</v>
      </c>
      <c r="N594" s="36" t="s">
        <v>2245</v>
      </c>
      <c r="O594" s="95">
        <v>310296</v>
      </c>
      <c r="P594" s="36"/>
      <c r="AI594" s="122">
        <v>282</v>
      </c>
      <c r="AJ594" s="1" t="s">
        <v>1937</v>
      </c>
      <c r="AK594" s="1">
        <v>309989</v>
      </c>
      <c r="AL594" s="1" t="s">
        <v>115</v>
      </c>
      <c r="AN594" s="270">
        <v>688</v>
      </c>
      <c r="AQ594" s="1">
        <v>446</v>
      </c>
      <c r="AR594" s="1" t="s">
        <v>482</v>
      </c>
      <c r="AS594" s="1">
        <v>210339</v>
      </c>
      <c r="AT594" s="1" t="s">
        <v>115</v>
      </c>
      <c r="AV594" s="241">
        <v>940</v>
      </c>
      <c r="BM594" s="138">
        <f t="shared" si="89"/>
        <v>0</v>
      </c>
      <c r="BN594" s="42">
        <f t="shared" si="90"/>
        <v>0</v>
      </c>
      <c r="BS594" s="1">
        <v>10221</v>
      </c>
      <c r="BT594" s="1" t="s">
        <v>902</v>
      </c>
      <c r="BX594" s="36"/>
    </row>
    <row r="595" spans="2:76" ht="14.25">
      <c r="B595" s="36"/>
      <c r="C595" s="36"/>
      <c r="D595" s="36"/>
      <c r="E595" s="36"/>
      <c r="F595" s="36"/>
      <c r="G595" s="36"/>
      <c r="H595" s="36"/>
      <c r="J595" s="36"/>
      <c r="K595" s="1" t="str">
        <f t="shared" si="91"/>
        <v/>
      </c>
      <c r="L595" s="1" t="str">
        <f t="shared" si="92"/>
        <v/>
      </c>
      <c r="M595" s="94">
        <v>590</v>
      </c>
      <c r="N595" s="36" t="s">
        <v>2246</v>
      </c>
      <c r="O595" s="95">
        <v>310297</v>
      </c>
      <c r="P595" s="36"/>
      <c r="AI595" s="122">
        <v>283</v>
      </c>
      <c r="AJ595" s="1" t="s">
        <v>1938</v>
      </c>
      <c r="AK595" s="1">
        <v>309990</v>
      </c>
      <c r="AL595" s="1" t="s">
        <v>930</v>
      </c>
      <c r="AN595" s="270">
        <v>689</v>
      </c>
      <c r="AQ595" s="1">
        <v>447</v>
      </c>
      <c r="AR595" s="1" t="s">
        <v>483</v>
      </c>
      <c r="AS595" s="1">
        <v>210340</v>
      </c>
      <c r="AT595" s="1" t="s">
        <v>116</v>
      </c>
      <c r="AV595" s="241">
        <v>941</v>
      </c>
      <c r="BM595" s="138">
        <f t="shared" si="89"/>
        <v>0</v>
      </c>
      <c r="BN595" s="42">
        <f t="shared" si="90"/>
        <v>0</v>
      </c>
      <c r="BS595" s="1">
        <v>10222</v>
      </c>
      <c r="BT595" s="1" t="s">
        <v>902</v>
      </c>
      <c r="BX595" s="36"/>
    </row>
    <row r="596" spans="2:76" ht="14.25">
      <c r="B596" s="36"/>
      <c r="C596" s="36"/>
      <c r="D596" s="36"/>
      <c r="E596" s="36"/>
      <c r="F596" s="36"/>
      <c r="G596" s="36"/>
      <c r="H596" s="36"/>
      <c r="J596" s="36"/>
      <c r="K596" s="1" t="str">
        <f t="shared" si="91"/>
        <v/>
      </c>
      <c r="L596" s="1" t="str">
        <f t="shared" si="92"/>
        <v/>
      </c>
      <c r="M596" s="94">
        <v>591</v>
      </c>
      <c r="N596" s="36" t="s">
        <v>2247</v>
      </c>
      <c r="O596" s="95">
        <v>310298</v>
      </c>
      <c r="P596" s="36"/>
      <c r="AI596" s="122">
        <v>284</v>
      </c>
      <c r="AJ596" s="1" t="s">
        <v>1939</v>
      </c>
      <c r="AK596" s="1">
        <v>309991</v>
      </c>
      <c r="AL596" s="1" t="s">
        <v>115</v>
      </c>
      <c r="AN596" s="270">
        <v>690</v>
      </c>
      <c r="AQ596" s="1">
        <v>448</v>
      </c>
      <c r="AR596" s="1" t="s">
        <v>484</v>
      </c>
      <c r="AS596" s="1">
        <v>210341</v>
      </c>
      <c r="AT596" s="1" t="s">
        <v>115</v>
      </c>
      <c r="AV596" s="241">
        <v>942</v>
      </c>
      <c r="BM596" s="138">
        <f t="shared" si="89"/>
        <v>0</v>
      </c>
      <c r="BN596" s="42">
        <f t="shared" si="90"/>
        <v>0</v>
      </c>
      <c r="BS596" s="1">
        <v>10223</v>
      </c>
      <c r="BT596" s="1" t="s">
        <v>902</v>
      </c>
      <c r="BX596" s="36"/>
    </row>
    <row r="597" spans="2:76" ht="14.25">
      <c r="B597" s="36"/>
      <c r="C597" s="36"/>
      <c r="D597" s="36"/>
      <c r="E597" s="36"/>
      <c r="F597" s="36"/>
      <c r="G597" s="36"/>
      <c r="H597" s="36"/>
      <c r="J597" s="36"/>
      <c r="K597" s="1" t="str">
        <f t="shared" si="91"/>
        <v/>
      </c>
      <c r="L597" s="1" t="str">
        <f t="shared" si="92"/>
        <v/>
      </c>
      <c r="M597" s="94">
        <v>592</v>
      </c>
      <c r="N597" s="36" t="s">
        <v>2248</v>
      </c>
      <c r="O597" s="95">
        <v>310299</v>
      </c>
      <c r="P597" s="36"/>
      <c r="AI597" s="122">
        <v>285</v>
      </c>
      <c r="AJ597" s="1" t="s">
        <v>1940</v>
      </c>
      <c r="AK597" s="1">
        <v>309992</v>
      </c>
      <c r="AL597" s="1" t="s">
        <v>930</v>
      </c>
      <c r="AN597" s="270">
        <v>691</v>
      </c>
      <c r="AQ597" s="1">
        <v>449</v>
      </c>
      <c r="AR597" s="1" t="s">
        <v>485</v>
      </c>
      <c r="AS597" s="1">
        <v>210342</v>
      </c>
      <c r="AT597" s="1" t="s">
        <v>115</v>
      </c>
      <c r="AV597" s="241">
        <v>943</v>
      </c>
      <c r="BM597" s="138">
        <f t="shared" si="89"/>
        <v>0</v>
      </c>
      <c r="BN597" s="42">
        <f t="shared" si="90"/>
        <v>0</v>
      </c>
      <c r="BS597" s="1">
        <v>10224</v>
      </c>
      <c r="BT597" s="1" t="s">
        <v>902</v>
      </c>
      <c r="BX597" s="36"/>
    </row>
    <row r="598" spans="2:76" ht="14.25">
      <c r="B598" s="36"/>
      <c r="C598" s="36"/>
      <c r="D598" s="36"/>
      <c r="E598" s="36"/>
      <c r="F598" s="36"/>
      <c r="G598" s="36"/>
      <c r="H598" s="36"/>
      <c r="J598" s="36"/>
      <c r="K598" s="1" t="str">
        <f t="shared" si="91"/>
        <v/>
      </c>
      <c r="L598" s="1" t="str">
        <f t="shared" si="92"/>
        <v/>
      </c>
      <c r="M598" s="94">
        <v>593</v>
      </c>
      <c r="N598" s="36" t="s">
        <v>2249</v>
      </c>
      <c r="O598" s="95">
        <v>310300</v>
      </c>
      <c r="P598" s="36"/>
      <c r="AI598" s="122">
        <v>286</v>
      </c>
      <c r="AJ598" s="1" t="s">
        <v>1941</v>
      </c>
      <c r="AK598" s="1">
        <v>309993</v>
      </c>
      <c r="AL598" s="1" t="s">
        <v>930</v>
      </c>
      <c r="AN598" s="270">
        <v>692</v>
      </c>
      <c r="AQ598" s="1">
        <v>450</v>
      </c>
      <c r="AR598" s="1" t="s">
        <v>486</v>
      </c>
      <c r="AS598" s="1">
        <v>210343</v>
      </c>
      <c r="AT598" s="1" t="s">
        <v>116</v>
      </c>
      <c r="AV598" s="241">
        <v>944</v>
      </c>
      <c r="BM598" s="138">
        <f t="shared" si="89"/>
        <v>0</v>
      </c>
      <c r="BN598" s="42">
        <f t="shared" si="90"/>
        <v>0</v>
      </c>
      <c r="BS598" s="1">
        <v>10225</v>
      </c>
      <c r="BT598" s="1" t="s">
        <v>902</v>
      </c>
      <c r="BX598" s="36"/>
    </row>
    <row r="599" spans="2:76" ht="14.25">
      <c r="B599" s="36"/>
      <c r="C599" s="36"/>
      <c r="D599" s="36"/>
      <c r="E599" s="36"/>
      <c r="F599" s="36"/>
      <c r="G599" s="36"/>
      <c r="H599" s="36"/>
      <c r="J599" s="36"/>
      <c r="K599" s="1" t="str">
        <f t="shared" si="91"/>
        <v/>
      </c>
      <c r="L599" s="1" t="str">
        <f t="shared" si="92"/>
        <v/>
      </c>
      <c r="M599" s="94">
        <v>594</v>
      </c>
      <c r="N599" s="36" t="s">
        <v>2250</v>
      </c>
      <c r="O599" s="95">
        <v>310301</v>
      </c>
      <c r="P599" s="36"/>
      <c r="AI599" s="122">
        <v>287</v>
      </c>
      <c r="AJ599" s="1" t="s">
        <v>1942</v>
      </c>
      <c r="AK599" s="1">
        <v>309994</v>
      </c>
      <c r="AL599" s="1" t="s">
        <v>115</v>
      </c>
      <c r="AN599" s="270">
        <v>693</v>
      </c>
      <c r="AQ599" s="1">
        <v>451</v>
      </c>
      <c r="AR599" s="1" t="s">
        <v>487</v>
      </c>
      <c r="AS599" s="1">
        <v>210344</v>
      </c>
      <c r="AT599" s="1" t="s">
        <v>115</v>
      </c>
      <c r="AV599" s="241">
        <v>945</v>
      </c>
      <c r="BM599" s="138">
        <f t="shared" si="89"/>
        <v>0</v>
      </c>
      <c r="BN599" s="42">
        <f t="shared" si="90"/>
        <v>0</v>
      </c>
      <c r="BS599" s="1">
        <v>10226</v>
      </c>
      <c r="BT599" s="1" t="s">
        <v>902</v>
      </c>
      <c r="BX599" s="36"/>
    </row>
    <row r="600" spans="2:76" ht="14.25">
      <c r="B600" s="36"/>
      <c r="C600" s="36"/>
      <c r="D600" s="36"/>
      <c r="E600" s="36"/>
      <c r="F600" s="36"/>
      <c r="G600" s="36"/>
      <c r="H600" s="36"/>
      <c r="J600" s="36"/>
      <c r="K600" s="1" t="str">
        <f t="shared" si="91"/>
        <v/>
      </c>
      <c r="L600" s="1" t="str">
        <f t="shared" si="92"/>
        <v/>
      </c>
      <c r="M600" s="94">
        <v>595</v>
      </c>
      <c r="N600" s="36" t="s">
        <v>2251</v>
      </c>
      <c r="O600" s="95">
        <v>310302</v>
      </c>
      <c r="P600" s="36"/>
      <c r="AI600" s="122">
        <v>288</v>
      </c>
      <c r="AJ600" s="1" t="s">
        <v>1943</v>
      </c>
      <c r="AK600" s="1">
        <v>309995</v>
      </c>
      <c r="AL600" s="1" t="s">
        <v>930</v>
      </c>
      <c r="AN600" s="270">
        <v>694</v>
      </c>
      <c r="AQ600" s="1">
        <v>452</v>
      </c>
      <c r="AR600" s="1" t="s">
        <v>488</v>
      </c>
      <c r="AS600" s="1">
        <v>210345</v>
      </c>
      <c r="AT600" s="1" t="s">
        <v>116</v>
      </c>
      <c r="AV600" s="241">
        <v>946</v>
      </c>
      <c r="BM600" s="138">
        <f t="shared" si="89"/>
        <v>0</v>
      </c>
      <c r="BN600" s="42">
        <f t="shared" si="90"/>
        <v>0</v>
      </c>
      <c r="BS600" s="1">
        <v>10227</v>
      </c>
      <c r="BT600" s="1" t="s">
        <v>902</v>
      </c>
      <c r="BX600" s="36"/>
    </row>
    <row r="601" spans="2:76" ht="14.25">
      <c r="B601" s="36"/>
      <c r="C601" s="36"/>
      <c r="D601" s="36"/>
      <c r="E601" s="36"/>
      <c r="F601" s="36"/>
      <c r="G601" s="36"/>
      <c r="H601" s="36"/>
      <c r="J601" s="36"/>
      <c r="K601" s="1" t="str">
        <f t="shared" si="91"/>
        <v/>
      </c>
      <c r="L601" s="1" t="str">
        <f t="shared" si="92"/>
        <v/>
      </c>
      <c r="M601" s="94">
        <v>596</v>
      </c>
      <c r="N601" s="36" t="s">
        <v>2252</v>
      </c>
      <c r="O601" s="95">
        <v>310303</v>
      </c>
      <c r="P601" s="36"/>
      <c r="AI601" s="122">
        <v>289</v>
      </c>
      <c r="AJ601" s="1" t="s">
        <v>1944</v>
      </c>
      <c r="AK601" s="1">
        <v>309996</v>
      </c>
      <c r="AL601" s="1" t="s">
        <v>115</v>
      </c>
      <c r="AN601" s="270">
        <v>695</v>
      </c>
      <c r="AQ601" s="1">
        <v>453</v>
      </c>
      <c r="AR601" s="1" t="s">
        <v>489</v>
      </c>
      <c r="AS601" s="1">
        <v>210346</v>
      </c>
      <c r="AT601" s="1" t="s">
        <v>115</v>
      </c>
      <c r="AV601" s="241">
        <v>947</v>
      </c>
      <c r="BM601" s="138">
        <f t="shared" si="89"/>
        <v>0</v>
      </c>
      <c r="BN601" s="42">
        <f t="shared" si="90"/>
        <v>0</v>
      </c>
      <c r="BS601" s="1">
        <v>10228</v>
      </c>
      <c r="BT601" s="1" t="s">
        <v>902</v>
      </c>
      <c r="BX601" s="36"/>
    </row>
    <row r="602" spans="2:76" ht="14.25">
      <c r="B602" s="36"/>
      <c r="C602" s="36"/>
      <c r="D602" s="36"/>
      <c r="E602" s="36"/>
      <c r="F602" s="36"/>
      <c r="G602" s="36"/>
      <c r="H602" s="36"/>
      <c r="J602" s="36"/>
      <c r="K602" s="1" t="str">
        <f t="shared" si="91"/>
        <v/>
      </c>
      <c r="L602" s="1" t="str">
        <f t="shared" si="92"/>
        <v/>
      </c>
      <c r="M602" s="94">
        <v>597</v>
      </c>
      <c r="N602" s="36" t="s">
        <v>2253</v>
      </c>
      <c r="O602" s="95">
        <v>310304</v>
      </c>
      <c r="P602" s="36"/>
      <c r="AI602" s="122">
        <v>290</v>
      </c>
      <c r="AJ602" s="1" t="s">
        <v>1945</v>
      </c>
      <c r="AK602" s="1">
        <v>309997</v>
      </c>
      <c r="AL602" s="1" t="s">
        <v>930</v>
      </c>
      <c r="AN602" s="270">
        <v>696</v>
      </c>
      <c r="AQ602" s="1">
        <v>454</v>
      </c>
      <c r="AR602" s="1" t="s">
        <v>490</v>
      </c>
      <c r="AS602" s="1">
        <v>210347</v>
      </c>
      <c r="AT602" s="1" t="s">
        <v>115</v>
      </c>
      <c r="AV602" s="241">
        <v>948</v>
      </c>
      <c r="BM602" s="138">
        <f t="shared" si="89"/>
        <v>0</v>
      </c>
      <c r="BN602" s="42">
        <f t="shared" si="90"/>
        <v>0</v>
      </c>
      <c r="BS602" s="1">
        <v>10229</v>
      </c>
      <c r="BT602" s="1" t="s">
        <v>902</v>
      </c>
      <c r="BX602" s="36"/>
    </row>
    <row r="603" spans="2:76" ht="14.25">
      <c r="B603" s="36"/>
      <c r="C603" s="36"/>
      <c r="D603" s="36"/>
      <c r="E603" s="36"/>
      <c r="F603" s="36"/>
      <c r="G603" s="36"/>
      <c r="H603" s="36"/>
      <c r="J603" s="36"/>
      <c r="K603" s="1" t="str">
        <f t="shared" si="91"/>
        <v/>
      </c>
      <c r="L603" s="1" t="str">
        <f t="shared" si="92"/>
        <v/>
      </c>
      <c r="M603" s="94">
        <v>598</v>
      </c>
      <c r="N603" s="36" t="s">
        <v>2254</v>
      </c>
      <c r="O603" s="95">
        <v>310305</v>
      </c>
      <c r="P603" s="36"/>
      <c r="AI603" s="122">
        <v>291</v>
      </c>
      <c r="AJ603" s="1" t="s">
        <v>1946</v>
      </c>
      <c r="AK603" s="1">
        <v>309998</v>
      </c>
      <c r="AL603" s="1" t="s">
        <v>115</v>
      </c>
      <c r="AN603" s="270">
        <v>697</v>
      </c>
      <c r="AQ603" s="1">
        <v>455</v>
      </c>
      <c r="AR603" s="1" t="s">
        <v>491</v>
      </c>
      <c r="AS603" s="1">
        <v>210348</v>
      </c>
      <c r="AT603" s="1" t="s">
        <v>116</v>
      </c>
      <c r="AV603" s="241">
        <v>949</v>
      </c>
      <c r="BM603" s="138">
        <f t="shared" si="89"/>
        <v>0</v>
      </c>
      <c r="BN603" s="42">
        <f t="shared" si="90"/>
        <v>0</v>
      </c>
      <c r="BS603" s="1">
        <v>10230</v>
      </c>
      <c r="BT603" s="1" t="s">
        <v>902</v>
      </c>
      <c r="BX603" s="36"/>
    </row>
    <row r="604" spans="2:76" ht="14.25">
      <c r="B604" s="36"/>
      <c r="C604" s="36"/>
      <c r="D604" s="36"/>
      <c r="E604" s="36"/>
      <c r="F604" s="36"/>
      <c r="G604" s="36"/>
      <c r="H604" s="36"/>
      <c r="J604" s="36"/>
      <c r="K604" s="1" t="str">
        <f t="shared" si="91"/>
        <v/>
      </c>
      <c r="L604" s="1" t="str">
        <f t="shared" si="92"/>
        <v/>
      </c>
      <c r="M604" s="94">
        <v>599</v>
      </c>
      <c r="N604" s="36" t="s">
        <v>2255</v>
      </c>
      <c r="O604" s="95">
        <v>310306</v>
      </c>
      <c r="P604" s="36"/>
      <c r="AI604" s="122">
        <v>292</v>
      </c>
      <c r="AJ604" s="1" t="s">
        <v>1947</v>
      </c>
      <c r="AK604" s="1">
        <v>309999</v>
      </c>
      <c r="AL604" s="1" t="s">
        <v>930</v>
      </c>
      <c r="AN604" s="270">
        <v>698</v>
      </c>
      <c r="AQ604" s="1">
        <v>456</v>
      </c>
      <c r="AR604" s="1" t="s">
        <v>492</v>
      </c>
      <c r="AS604" s="1">
        <v>210349</v>
      </c>
      <c r="AT604" s="1" t="s">
        <v>115</v>
      </c>
      <c r="AV604" s="241">
        <v>950</v>
      </c>
      <c r="BM604" s="138">
        <f t="shared" si="89"/>
        <v>0</v>
      </c>
      <c r="BN604" s="42">
        <f t="shared" si="90"/>
        <v>0</v>
      </c>
      <c r="BS604" s="1">
        <v>10231</v>
      </c>
      <c r="BT604" s="1" t="s">
        <v>902</v>
      </c>
      <c r="BX604" s="36"/>
    </row>
    <row r="605" spans="2:76" ht="14.25">
      <c r="B605" s="36"/>
      <c r="C605" s="36"/>
      <c r="D605" s="36"/>
      <c r="E605" s="36"/>
      <c r="F605" s="36"/>
      <c r="G605" s="36"/>
      <c r="H605" s="36"/>
      <c r="J605" s="36"/>
      <c r="K605" s="1" t="str">
        <f t="shared" si="91"/>
        <v/>
      </c>
      <c r="L605" s="1" t="str">
        <f t="shared" si="92"/>
        <v/>
      </c>
      <c r="M605" s="94">
        <v>600</v>
      </c>
      <c r="N605" s="36" t="s">
        <v>2256</v>
      </c>
      <c r="O605" s="95">
        <v>310307</v>
      </c>
      <c r="P605" s="36"/>
      <c r="AI605" s="122">
        <v>293</v>
      </c>
      <c r="AJ605" s="1" t="s">
        <v>1948</v>
      </c>
      <c r="AK605" s="1">
        <v>310000</v>
      </c>
      <c r="AL605" s="1" t="s">
        <v>930</v>
      </c>
      <c r="AN605" s="270">
        <v>699</v>
      </c>
      <c r="AQ605" s="1">
        <v>457</v>
      </c>
      <c r="AR605" s="1" t="s">
        <v>493</v>
      </c>
      <c r="AS605" s="1">
        <v>210350</v>
      </c>
      <c r="AT605" s="1" t="s">
        <v>116</v>
      </c>
      <c r="AV605" s="241">
        <v>951</v>
      </c>
      <c r="BM605" s="138">
        <f t="shared" si="89"/>
        <v>0</v>
      </c>
      <c r="BN605" s="42">
        <f t="shared" si="90"/>
        <v>0</v>
      </c>
      <c r="BS605" s="1">
        <v>10232</v>
      </c>
      <c r="BT605" s="1" t="s">
        <v>902</v>
      </c>
      <c r="BX605" s="36"/>
    </row>
    <row r="606" spans="2:76" ht="14.25">
      <c r="B606" s="36"/>
      <c r="C606" s="36"/>
      <c r="D606" s="36"/>
      <c r="E606" s="36"/>
      <c r="F606" s="36"/>
      <c r="G606" s="36"/>
      <c r="H606" s="36"/>
      <c r="J606" s="36"/>
      <c r="K606" s="1" t="str">
        <f t="shared" si="91"/>
        <v/>
      </c>
      <c r="L606" s="1" t="str">
        <f t="shared" si="92"/>
        <v/>
      </c>
      <c r="M606" s="94">
        <v>601</v>
      </c>
      <c r="N606" s="36" t="s">
        <v>2257</v>
      </c>
      <c r="O606" s="95">
        <v>310308</v>
      </c>
      <c r="P606" s="36"/>
      <c r="AI606" s="122">
        <v>294</v>
      </c>
      <c r="AJ606" s="1" t="s">
        <v>1949</v>
      </c>
      <c r="AK606" s="1">
        <v>310001</v>
      </c>
      <c r="AL606" s="1" t="s">
        <v>115</v>
      </c>
      <c r="AN606" s="270">
        <v>700</v>
      </c>
      <c r="AQ606" s="1">
        <v>458</v>
      </c>
      <c r="AR606" s="1" t="s">
        <v>494</v>
      </c>
      <c r="AS606" s="1">
        <v>210351</v>
      </c>
      <c r="AT606" s="1" t="s">
        <v>115</v>
      </c>
      <c r="AV606" s="241">
        <v>952</v>
      </c>
      <c r="BM606" s="138">
        <f t="shared" si="89"/>
        <v>0</v>
      </c>
      <c r="BN606" s="42">
        <f t="shared" si="90"/>
        <v>0</v>
      </c>
      <c r="BS606" s="1">
        <v>10233</v>
      </c>
      <c r="BT606" s="1" t="s">
        <v>902</v>
      </c>
      <c r="BX606" s="36"/>
    </row>
    <row r="607" spans="2:76" ht="14.25">
      <c r="B607" s="36"/>
      <c r="C607" s="36"/>
      <c r="D607" s="36"/>
      <c r="E607" s="36"/>
      <c r="F607" s="36"/>
      <c r="G607" s="36"/>
      <c r="H607" s="36"/>
      <c r="J607" s="36"/>
      <c r="K607" s="1" t="str">
        <f t="shared" si="91"/>
        <v/>
      </c>
      <c r="L607" s="1" t="str">
        <f t="shared" si="92"/>
        <v/>
      </c>
      <c r="M607" s="94">
        <v>602</v>
      </c>
      <c r="N607" s="36" t="s">
        <v>2258</v>
      </c>
      <c r="O607" s="95">
        <v>310309</v>
      </c>
      <c r="P607" s="36"/>
      <c r="AI607" s="122">
        <v>295</v>
      </c>
      <c r="AJ607" s="1" t="s">
        <v>1950</v>
      </c>
      <c r="AK607" s="1">
        <v>310002</v>
      </c>
      <c r="AL607" s="1" t="s">
        <v>930</v>
      </c>
      <c r="AN607" s="270">
        <v>701</v>
      </c>
      <c r="AQ607" s="1">
        <v>459</v>
      </c>
      <c r="AR607" s="1" t="s">
        <v>495</v>
      </c>
      <c r="AS607" s="1">
        <v>210352</v>
      </c>
      <c r="AT607" s="1" t="s">
        <v>115</v>
      </c>
      <c r="AV607" s="241">
        <v>953</v>
      </c>
      <c r="BM607" s="138">
        <f t="shared" si="89"/>
        <v>0</v>
      </c>
      <c r="BN607" s="42">
        <f t="shared" si="90"/>
        <v>0</v>
      </c>
      <c r="BS607" s="1">
        <v>10234</v>
      </c>
      <c r="BT607" s="1" t="s">
        <v>902</v>
      </c>
      <c r="BX607" s="36"/>
    </row>
    <row r="608" spans="2:76" ht="14.25">
      <c r="B608" s="36"/>
      <c r="C608" s="36"/>
      <c r="D608" s="36"/>
      <c r="E608" s="36"/>
      <c r="F608" s="36"/>
      <c r="G608" s="36"/>
      <c r="H608" s="36"/>
      <c r="J608" s="36"/>
      <c r="K608" s="1" t="str">
        <f t="shared" si="91"/>
        <v/>
      </c>
      <c r="L608" s="1" t="str">
        <f t="shared" si="92"/>
        <v/>
      </c>
      <c r="M608" s="94">
        <v>603</v>
      </c>
      <c r="N608" s="36" t="s">
        <v>2259</v>
      </c>
      <c r="O608" s="95">
        <v>310310</v>
      </c>
      <c r="P608" s="36"/>
      <c r="AI608" s="122">
        <v>296</v>
      </c>
      <c r="AJ608" s="1" t="s">
        <v>1951</v>
      </c>
      <c r="AK608" s="1">
        <v>310003</v>
      </c>
      <c r="AL608" s="1" t="s">
        <v>115</v>
      </c>
      <c r="AN608" s="270">
        <v>702</v>
      </c>
      <c r="AQ608" s="1">
        <v>460</v>
      </c>
      <c r="AR608" s="1" t="s">
        <v>496</v>
      </c>
      <c r="AS608" s="1">
        <v>210353</v>
      </c>
      <c r="AT608" s="1" t="s">
        <v>116</v>
      </c>
      <c r="AV608" s="241">
        <v>954</v>
      </c>
      <c r="BM608" s="138">
        <f t="shared" si="89"/>
        <v>0</v>
      </c>
      <c r="BN608" s="42">
        <f t="shared" si="90"/>
        <v>0</v>
      </c>
      <c r="BS608" s="1">
        <v>10235</v>
      </c>
      <c r="BT608" s="1" t="s">
        <v>902</v>
      </c>
      <c r="BX608" s="36"/>
    </row>
    <row r="609" spans="2:76" ht="14.25">
      <c r="B609" s="36"/>
      <c r="C609" s="36"/>
      <c r="D609" s="36"/>
      <c r="E609" s="36"/>
      <c r="F609" s="36"/>
      <c r="G609" s="36"/>
      <c r="H609" s="36"/>
      <c r="J609" s="36"/>
      <c r="K609" s="1" t="str">
        <f t="shared" si="91"/>
        <v/>
      </c>
      <c r="L609" s="1" t="str">
        <f t="shared" si="92"/>
        <v/>
      </c>
      <c r="M609" s="94">
        <v>604</v>
      </c>
      <c r="N609" s="36" t="s">
        <v>2260</v>
      </c>
      <c r="O609" s="95">
        <v>310311</v>
      </c>
      <c r="P609" s="36"/>
      <c r="AI609" s="122">
        <v>297</v>
      </c>
      <c r="AJ609" s="1" t="s">
        <v>1952</v>
      </c>
      <c r="AK609" s="1">
        <v>310004</v>
      </c>
      <c r="AL609" s="1" t="s">
        <v>930</v>
      </c>
      <c r="AN609" s="270">
        <v>703</v>
      </c>
      <c r="AQ609" s="1">
        <v>461</v>
      </c>
      <c r="AR609" s="1" t="s">
        <v>497</v>
      </c>
      <c r="AS609" s="1">
        <v>210354</v>
      </c>
      <c r="AT609" s="1" t="s">
        <v>115</v>
      </c>
      <c r="AV609" s="241">
        <v>955</v>
      </c>
      <c r="BM609" s="138">
        <f t="shared" si="89"/>
        <v>0</v>
      </c>
      <c r="BN609" s="42">
        <f t="shared" si="90"/>
        <v>0</v>
      </c>
      <c r="BS609" s="1">
        <v>10236</v>
      </c>
      <c r="BT609" s="1" t="s">
        <v>902</v>
      </c>
      <c r="BX609" s="36"/>
    </row>
    <row r="610" spans="2:76" ht="14.25">
      <c r="B610" s="36"/>
      <c r="C610" s="36"/>
      <c r="D610" s="36"/>
      <c r="E610" s="36"/>
      <c r="F610" s="36"/>
      <c r="G610" s="36"/>
      <c r="H610" s="36"/>
      <c r="J610" s="36"/>
      <c r="K610" s="1" t="str">
        <f t="shared" si="91"/>
        <v/>
      </c>
      <c r="L610" s="1" t="str">
        <f t="shared" si="92"/>
        <v/>
      </c>
      <c r="M610" s="94">
        <v>605</v>
      </c>
      <c r="N610" s="36" t="s">
        <v>2261</v>
      </c>
      <c r="O610" s="95">
        <v>310312</v>
      </c>
      <c r="P610" s="36"/>
      <c r="AI610" s="122">
        <v>298</v>
      </c>
      <c r="AJ610" s="1" t="s">
        <v>1953</v>
      </c>
      <c r="AK610" s="1">
        <v>310005</v>
      </c>
      <c r="AL610" s="1" t="s">
        <v>115</v>
      </c>
      <c r="AN610" s="270">
        <v>704</v>
      </c>
      <c r="AQ610" s="1">
        <v>462</v>
      </c>
      <c r="AR610" s="1" t="s">
        <v>498</v>
      </c>
      <c r="AS610" s="1">
        <v>210355</v>
      </c>
      <c r="AT610" s="1" t="s">
        <v>116</v>
      </c>
      <c r="AV610" s="241">
        <v>956</v>
      </c>
      <c r="BM610" s="138">
        <f t="shared" si="89"/>
        <v>0</v>
      </c>
      <c r="BN610" s="42">
        <f t="shared" si="90"/>
        <v>0</v>
      </c>
      <c r="BS610" s="1">
        <v>10237</v>
      </c>
      <c r="BT610" s="1" t="s">
        <v>902</v>
      </c>
      <c r="BX610" s="36"/>
    </row>
    <row r="611" spans="2:76" ht="14.25">
      <c r="B611" s="36"/>
      <c r="C611" s="36"/>
      <c r="D611" s="36"/>
      <c r="E611" s="36"/>
      <c r="F611" s="36"/>
      <c r="G611" s="36"/>
      <c r="H611" s="36"/>
      <c r="J611" s="36"/>
      <c r="K611" s="1" t="str">
        <f t="shared" si="91"/>
        <v/>
      </c>
      <c r="L611" s="1" t="str">
        <f t="shared" si="92"/>
        <v/>
      </c>
      <c r="M611" s="94">
        <v>606</v>
      </c>
      <c r="N611" s="36" t="s">
        <v>2262</v>
      </c>
      <c r="O611" s="95">
        <v>310313</v>
      </c>
      <c r="P611" s="36"/>
      <c r="AI611" s="122">
        <v>299</v>
      </c>
      <c r="AJ611" s="1" t="s">
        <v>1954</v>
      </c>
      <c r="AK611" s="1">
        <v>310006</v>
      </c>
      <c r="AL611" s="1" t="s">
        <v>930</v>
      </c>
      <c r="AN611" s="270">
        <v>705</v>
      </c>
      <c r="AQ611" s="1">
        <v>463</v>
      </c>
      <c r="AR611" s="1" t="s">
        <v>499</v>
      </c>
      <c r="AS611" s="1">
        <v>210356</v>
      </c>
      <c r="AT611" s="1" t="s">
        <v>115</v>
      </c>
      <c r="AV611" s="241">
        <v>957</v>
      </c>
      <c r="BM611" s="138">
        <f t="shared" si="89"/>
        <v>0</v>
      </c>
      <c r="BN611" s="42">
        <f t="shared" si="90"/>
        <v>0</v>
      </c>
      <c r="BS611" s="1">
        <v>10238</v>
      </c>
      <c r="BT611" s="1" t="s">
        <v>902</v>
      </c>
      <c r="BX611" s="36"/>
    </row>
    <row r="612" spans="2:76" ht="14.25">
      <c r="B612" s="36"/>
      <c r="C612" s="36"/>
      <c r="D612" s="36"/>
      <c r="E612" s="36"/>
      <c r="F612" s="36"/>
      <c r="G612" s="36"/>
      <c r="H612" s="36"/>
      <c r="J612" s="36"/>
      <c r="K612" s="1" t="str">
        <f t="shared" si="91"/>
        <v/>
      </c>
      <c r="L612" s="1" t="str">
        <f t="shared" si="92"/>
        <v/>
      </c>
      <c r="M612" s="94">
        <v>607</v>
      </c>
      <c r="N612" s="36" t="s">
        <v>2263</v>
      </c>
      <c r="O612" s="95">
        <v>310314</v>
      </c>
      <c r="P612" s="36"/>
      <c r="AI612" s="122">
        <v>300</v>
      </c>
      <c r="AJ612" s="1" t="s">
        <v>1955</v>
      </c>
      <c r="AK612" s="1">
        <v>310007</v>
      </c>
      <c r="AL612" s="1" t="s">
        <v>930</v>
      </c>
      <c r="AN612" s="270">
        <v>706</v>
      </c>
      <c r="AQ612" s="1">
        <v>464</v>
      </c>
      <c r="AR612" s="1" t="s">
        <v>500</v>
      </c>
      <c r="AS612" s="1">
        <v>210357</v>
      </c>
      <c r="AT612" s="1" t="s">
        <v>115</v>
      </c>
      <c r="AV612" s="241">
        <v>958</v>
      </c>
      <c r="BM612" s="138">
        <f t="shared" si="89"/>
        <v>0</v>
      </c>
      <c r="BN612" s="42">
        <f t="shared" si="90"/>
        <v>0</v>
      </c>
      <c r="BS612" s="1">
        <v>10239</v>
      </c>
      <c r="BT612" s="1" t="s">
        <v>902</v>
      </c>
      <c r="BX612" s="36"/>
    </row>
    <row r="613" spans="2:76" ht="14.25">
      <c r="B613" s="36"/>
      <c r="C613" s="36"/>
      <c r="D613" s="36"/>
      <c r="E613" s="36"/>
      <c r="F613" s="36"/>
      <c r="G613" s="36"/>
      <c r="H613" s="36"/>
      <c r="J613" s="36"/>
      <c r="K613" s="1" t="str">
        <f t="shared" si="91"/>
        <v/>
      </c>
      <c r="L613" s="1" t="str">
        <f t="shared" si="92"/>
        <v/>
      </c>
      <c r="M613" s="94">
        <v>608</v>
      </c>
      <c r="N613" s="36" t="s">
        <v>2264</v>
      </c>
      <c r="O613" s="95">
        <v>310315</v>
      </c>
      <c r="P613" s="36"/>
      <c r="AI613" s="122">
        <v>301</v>
      </c>
      <c r="AJ613" s="1" t="s">
        <v>1956</v>
      </c>
      <c r="AK613" s="1">
        <v>310008</v>
      </c>
      <c r="AL613" s="1" t="s">
        <v>115</v>
      </c>
      <c r="AN613" s="270">
        <v>707</v>
      </c>
      <c r="AQ613" s="1">
        <v>465</v>
      </c>
      <c r="AR613" s="1" t="s">
        <v>501</v>
      </c>
      <c r="AS613" s="1">
        <v>210358</v>
      </c>
      <c r="AT613" s="1" t="s">
        <v>116</v>
      </c>
      <c r="AV613" s="241">
        <v>959</v>
      </c>
      <c r="BM613" s="138">
        <f t="shared" si="89"/>
        <v>0</v>
      </c>
      <c r="BN613" s="42">
        <f t="shared" si="90"/>
        <v>0</v>
      </c>
      <c r="BS613" s="1">
        <v>10240</v>
      </c>
      <c r="BT613" s="1" t="s">
        <v>902</v>
      </c>
      <c r="BX613" s="36"/>
    </row>
    <row r="614" spans="2:76" ht="14.25">
      <c r="B614" s="36"/>
      <c r="C614" s="36"/>
      <c r="D614" s="36"/>
      <c r="E614" s="36"/>
      <c r="F614" s="36"/>
      <c r="G614" s="36"/>
      <c r="H614" s="36"/>
      <c r="J614" s="36"/>
      <c r="K614" s="1" t="str">
        <f t="shared" si="91"/>
        <v/>
      </c>
      <c r="L614" s="1" t="str">
        <f t="shared" si="92"/>
        <v/>
      </c>
      <c r="M614" s="94">
        <v>609</v>
      </c>
      <c r="N614" s="36" t="s">
        <v>2265</v>
      </c>
      <c r="O614" s="95">
        <v>310316</v>
      </c>
      <c r="P614" s="36"/>
      <c r="AI614" s="122">
        <v>302</v>
      </c>
      <c r="AJ614" s="1" t="s">
        <v>1957</v>
      </c>
      <c r="AK614" s="1">
        <v>310009</v>
      </c>
      <c r="AL614" s="1" t="s">
        <v>930</v>
      </c>
      <c r="AN614" s="270">
        <v>708</v>
      </c>
      <c r="AQ614" s="1">
        <v>466</v>
      </c>
      <c r="AR614" s="1" t="s">
        <v>502</v>
      </c>
      <c r="AS614" s="1">
        <v>210359</v>
      </c>
      <c r="AT614" s="1" t="s">
        <v>115</v>
      </c>
      <c r="AV614" s="241">
        <v>960</v>
      </c>
      <c r="BM614" s="138">
        <f t="shared" si="89"/>
        <v>0</v>
      </c>
      <c r="BN614" s="42">
        <f t="shared" si="90"/>
        <v>0</v>
      </c>
      <c r="BS614" s="1">
        <v>10241</v>
      </c>
      <c r="BT614" s="1" t="s">
        <v>902</v>
      </c>
      <c r="BX614" s="36"/>
    </row>
    <row r="615" spans="2:76" ht="14.25">
      <c r="B615" s="36"/>
      <c r="C615" s="36"/>
      <c r="D615" s="36"/>
      <c r="E615" s="36"/>
      <c r="F615" s="36"/>
      <c r="G615" s="36"/>
      <c r="H615" s="36"/>
      <c r="J615" s="36"/>
      <c r="K615" s="1" t="str">
        <f t="shared" si="91"/>
        <v/>
      </c>
      <c r="L615" s="1" t="str">
        <f t="shared" si="92"/>
        <v/>
      </c>
      <c r="M615" s="94">
        <v>610</v>
      </c>
      <c r="N615" s="36" t="s">
        <v>2266</v>
      </c>
      <c r="O615" s="95">
        <v>310317</v>
      </c>
      <c r="P615" s="36"/>
      <c r="AI615" s="122">
        <v>303</v>
      </c>
      <c r="AJ615" s="1" t="s">
        <v>1958</v>
      </c>
      <c r="AK615" s="1">
        <v>310010</v>
      </c>
      <c r="AL615" s="1" t="s">
        <v>115</v>
      </c>
      <c r="AN615" s="270">
        <v>709</v>
      </c>
      <c r="AQ615" s="1">
        <v>467</v>
      </c>
      <c r="AR615" s="1" t="s">
        <v>503</v>
      </c>
      <c r="AS615" s="1">
        <v>210360</v>
      </c>
      <c r="AT615" s="1" t="s">
        <v>116</v>
      </c>
      <c r="AV615" s="241">
        <v>961</v>
      </c>
      <c r="BM615" s="138">
        <f t="shared" si="89"/>
        <v>0</v>
      </c>
      <c r="BN615" s="42">
        <f t="shared" si="90"/>
        <v>0</v>
      </c>
      <c r="BS615" s="1">
        <v>10242</v>
      </c>
      <c r="BT615" s="1" t="s">
        <v>902</v>
      </c>
      <c r="BX615" s="36"/>
    </row>
    <row r="616" spans="2:76" ht="14.25">
      <c r="B616" s="36"/>
      <c r="C616" s="36"/>
      <c r="D616" s="36"/>
      <c r="E616" s="36"/>
      <c r="F616" s="36"/>
      <c r="G616" s="36"/>
      <c r="H616" s="36"/>
      <c r="J616" s="36"/>
      <c r="K616" s="1" t="str">
        <f t="shared" si="91"/>
        <v/>
      </c>
      <c r="L616" s="1" t="str">
        <f t="shared" si="92"/>
        <v/>
      </c>
      <c r="M616" s="94">
        <v>611</v>
      </c>
      <c r="N616" s="36" t="s">
        <v>2267</v>
      </c>
      <c r="O616" s="95">
        <v>310318</v>
      </c>
      <c r="P616" s="36"/>
      <c r="AI616" s="122">
        <v>304</v>
      </c>
      <c r="AJ616" s="1" t="s">
        <v>1959</v>
      </c>
      <c r="AK616" s="1">
        <v>310011</v>
      </c>
      <c r="AL616" s="1" t="s">
        <v>930</v>
      </c>
      <c r="AN616" s="270">
        <v>710</v>
      </c>
      <c r="AQ616" s="1">
        <v>468</v>
      </c>
      <c r="AR616" s="1" t="s">
        <v>504</v>
      </c>
      <c r="AS616" s="1">
        <v>210361</v>
      </c>
      <c r="AT616" s="1" t="s">
        <v>115</v>
      </c>
      <c r="AV616" s="241">
        <v>962</v>
      </c>
      <c r="BM616" s="138">
        <f t="shared" si="89"/>
        <v>0</v>
      </c>
      <c r="BN616" s="42">
        <f t="shared" si="90"/>
        <v>0</v>
      </c>
      <c r="BS616" s="1">
        <v>10243</v>
      </c>
      <c r="BT616" s="1" t="s">
        <v>902</v>
      </c>
      <c r="BX616" s="36"/>
    </row>
    <row r="617" spans="2:76" ht="14.25">
      <c r="B617" s="36"/>
      <c r="C617" s="36"/>
      <c r="D617" s="36"/>
      <c r="E617" s="36"/>
      <c r="F617" s="36"/>
      <c r="G617" s="36"/>
      <c r="H617" s="36"/>
      <c r="J617" s="36"/>
      <c r="K617" s="1" t="str">
        <f t="shared" si="91"/>
        <v/>
      </c>
      <c r="L617" s="1" t="str">
        <f t="shared" si="92"/>
        <v/>
      </c>
      <c r="M617" s="94">
        <v>612</v>
      </c>
      <c r="N617" s="36" t="s">
        <v>2268</v>
      </c>
      <c r="O617" s="95">
        <v>310319</v>
      </c>
      <c r="P617" s="36"/>
      <c r="AI617" s="122">
        <v>305</v>
      </c>
      <c r="AJ617" s="1" t="s">
        <v>1960</v>
      </c>
      <c r="AK617" s="1">
        <v>310012</v>
      </c>
      <c r="AL617" s="1" t="s">
        <v>115</v>
      </c>
      <c r="AN617" s="270">
        <v>711</v>
      </c>
      <c r="AQ617" s="1">
        <v>469</v>
      </c>
      <c r="AR617" s="1" t="s">
        <v>505</v>
      </c>
      <c r="AS617" s="1">
        <v>210362</v>
      </c>
      <c r="AT617" s="1" t="s">
        <v>116</v>
      </c>
      <c r="AV617" s="241">
        <v>963</v>
      </c>
      <c r="BM617" s="138">
        <f t="shared" si="89"/>
        <v>0</v>
      </c>
      <c r="BN617" s="42">
        <f t="shared" si="90"/>
        <v>0</v>
      </c>
      <c r="BS617" s="1">
        <v>10244</v>
      </c>
      <c r="BT617" s="1" t="s">
        <v>902</v>
      </c>
      <c r="BX617" s="36"/>
    </row>
    <row r="618" spans="2:76" ht="14.25">
      <c r="B618" s="36"/>
      <c r="C618" s="36"/>
      <c r="D618" s="36"/>
      <c r="E618" s="36"/>
      <c r="F618" s="36"/>
      <c r="G618" s="36"/>
      <c r="H618" s="36"/>
      <c r="J618" s="36"/>
      <c r="K618" s="1" t="str">
        <f t="shared" si="91"/>
        <v/>
      </c>
      <c r="L618" s="1" t="str">
        <f t="shared" si="92"/>
        <v/>
      </c>
      <c r="M618" s="94">
        <v>613</v>
      </c>
      <c r="N618" s="36" t="s">
        <v>2269</v>
      </c>
      <c r="O618" s="95">
        <v>310320</v>
      </c>
      <c r="P618" s="36"/>
      <c r="AI618" s="122">
        <v>306</v>
      </c>
      <c r="AJ618" s="1" t="s">
        <v>1961</v>
      </c>
      <c r="AK618" s="1">
        <v>310013</v>
      </c>
      <c r="AL618" s="1" t="s">
        <v>930</v>
      </c>
      <c r="AN618" s="270">
        <v>712</v>
      </c>
      <c r="AQ618" s="1">
        <v>470</v>
      </c>
      <c r="AR618" s="1" t="s">
        <v>506</v>
      </c>
      <c r="AS618" s="1">
        <v>210363</v>
      </c>
      <c r="AT618" s="1" t="s">
        <v>115</v>
      </c>
      <c r="AV618" s="241">
        <v>964</v>
      </c>
      <c r="BM618" s="138">
        <f t="shared" si="89"/>
        <v>0</v>
      </c>
      <c r="BN618" s="42">
        <f t="shared" si="90"/>
        <v>0</v>
      </c>
      <c r="BS618" s="1">
        <v>10245</v>
      </c>
      <c r="BT618" s="1" t="s">
        <v>902</v>
      </c>
      <c r="BX618" s="36"/>
    </row>
    <row r="619" spans="2:76" ht="14.25">
      <c r="B619" s="36"/>
      <c r="C619" s="36"/>
      <c r="D619" s="36"/>
      <c r="E619" s="36"/>
      <c r="F619" s="36"/>
      <c r="G619" s="36"/>
      <c r="H619" s="36"/>
      <c r="J619" s="36"/>
      <c r="K619" s="1" t="str">
        <f t="shared" si="91"/>
        <v/>
      </c>
      <c r="L619" s="1" t="str">
        <f t="shared" si="92"/>
        <v/>
      </c>
      <c r="M619" s="94">
        <v>614</v>
      </c>
      <c r="N619" s="36" t="s">
        <v>2270</v>
      </c>
      <c r="O619" s="95">
        <v>310321</v>
      </c>
      <c r="P619" s="36"/>
      <c r="AI619" s="122">
        <v>307</v>
      </c>
      <c r="AJ619" s="1" t="s">
        <v>1962</v>
      </c>
      <c r="AK619" s="1">
        <v>310014</v>
      </c>
      <c r="AL619" s="1" t="s">
        <v>930</v>
      </c>
      <c r="AN619" s="270">
        <v>713</v>
      </c>
      <c r="AQ619" s="1">
        <v>471</v>
      </c>
      <c r="AR619" s="1" t="s">
        <v>507</v>
      </c>
      <c r="AS619" s="1">
        <v>210364</v>
      </c>
      <c r="AT619" s="1" t="s">
        <v>115</v>
      </c>
      <c r="AV619" s="241">
        <v>965</v>
      </c>
      <c r="BM619" s="138">
        <f t="shared" si="89"/>
        <v>0</v>
      </c>
      <c r="BN619" s="42">
        <f t="shared" si="90"/>
        <v>0</v>
      </c>
      <c r="BS619" s="1">
        <v>10246</v>
      </c>
      <c r="BT619" s="1" t="s">
        <v>902</v>
      </c>
      <c r="BX619" s="36"/>
    </row>
    <row r="620" spans="2:76" ht="14.25">
      <c r="B620" s="36"/>
      <c r="C620" s="36"/>
      <c r="D620" s="36"/>
      <c r="E620" s="36"/>
      <c r="F620" s="36"/>
      <c r="G620" s="36"/>
      <c r="H620" s="36"/>
      <c r="J620" s="36"/>
      <c r="K620" s="1" t="str">
        <f t="shared" si="91"/>
        <v/>
      </c>
      <c r="L620" s="1" t="str">
        <f t="shared" si="92"/>
        <v/>
      </c>
      <c r="M620" s="94">
        <v>615</v>
      </c>
      <c r="N620" s="36" t="s">
        <v>2271</v>
      </c>
      <c r="O620" s="95">
        <v>310322</v>
      </c>
      <c r="P620" s="36"/>
      <c r="AI620" s="122">
        <v>308</v>
      </c>
      <c r="AJ620" s="1" t="s">
        <v>1963</v>
      </c>
      <c r="AK620" s="1">
        <v>310015</v>
      </c>
      <c r="AL620" s="1" t="s">
        <v>115</v>
      </c>
      <c r="AN620" s="270">
        <v>714</v>
      </c>
      <c r="AQ620" s="1">
        <v>472</v>
      </c>
      <c r="AR620" s="1" t="s">
        <v>508</v>
      </c>
      <c r="AS620" s="1">
        <v>210365</v>
      </c>
      <c r="AT620" s="1" t="s">
        <v>116</v>
      </c>
      <c r="AV620" s="241">
        <v>966</v>
      </c>
      <c r="BM620" s="138">
        <f t="shared" si="89"/>
        <v>0</v>
      </c>
      <c r="BN620" s="42">
        <f t="shared" si="90"/>
        <v>0</v>
      </c>
      <c r="BS620" s="1">
        <v>10247</v>
      </c>
      <c r="BT620" s="1" t="s">
        <v>902</v>
      </c>
      <c r="BX620" s="36"/>
    </row>
    <row r="621" spans="2:76" ht="14.25">
      <c r="B621" s="36"/>
      <c r="C621" s="36"/>
      <c r="D621" s="36"/>
      <c r="E621" s="36"/>
      <c r="F621" s="36"/>
      <c r="G621" s="36"/>
      <c r="H621" s="36"/>
      <c r="J621" s="36"/>
      <c r="K621" s="1" t="str">
        <f t="shared" si="91"/>
        <v/>
      </c>
      <c r="L621" s="1" t="str">
        <f t="shared" si="92"/>
        <v/>
      </c>
      <c r="M621" s="94">
        <v>616</v>
      </c>
      <c r="N621" s="36" t="s">
        <v>2272</v>
      </c>
      <c r="O621" s="95">
        <v>310323</v>
      </c>
      <c r="P621" s="36"/>
      <c r="AI621" s="122">
        <v>309</v>
      </c>
      <c r="AJ621" s="1" t="s">
        <v>1964</v>
      </c>
      <c r="AK621" s="1">
        <v>310016</v>
      </c>
      <c r="AL621" s="1" t="s">
        <v>930</v>
      </c>
      <c r="AN621" s="270">
        <v>715</v>
      </c>
      <c r="AQ621" s="1">
        <v>473</v>
      </c>
      <c r="AR621" s="1" t="s">
        <v>509</v>
      </c>
      <c r="AS621" s="1">
        <v>210366</v>
      </c>
      <c r="AT621" s="1" t="s">
        <v>115</v>
      </c>
      <c r="AV621" s="241">
        <v>967</v>
      </c>
      <c r="BM621" s="138">
        <f t="shared" si="89"/>
        <v>0</v>
      </c>
      <c r="BN621" s="42">
        <f t="shared" si="90"/>
        <v>0</v>
      </c>
      <c r="BS621" s="1">
        <v>10248</v>
      </c>
      <c r="BT621" s="1" t="s">
        <v>902</v>
      </c>
      <c r="BX621" s="36"/>
    </row>
    <row r="622" spans="2:76" ht="14.25">
      <c r="B622" s="36"/>
      <c r="C622" s="36"/>
      <c r="D622" s="36"/>
      <c r="E622" s="36"/>
      <c r="F622" s="36"/>
      <c r="G622" s="36"/>
      <c r="H622" s="36"/>
      <c r="J622" s="36"/>
      <c r="K622" s="1" t="str">
        <f t="shared" si="91"/>
        <v/>
      </c>
      <c r="L622" s="1" t="str">
        <f t="shared" si="92"/>
        <v/>
      </c>
      <c r="M622" s="94">
        <v>617</v>
      </c>
      <c r="N622" s="36" t="s">
        <v>2273</v>
      </c>
      <c r="O622" s="95">
        <v>310324</v>
      </c>
      <c r="P622" s="36"/>
      <c r="AI622" s="122">
        <v>310</v>
      </c>
      <c r="AJ622" s="1" t="s">
        <v>1965</v>
      </c>
      <c r="AK622" s="1">
        <v>310017</v>
      </c>
      <c r="AL622" s="1" t="s">
        <v>115</v>
      </c>
      <c r="AN622" s="270">
        <v>716</v>
      </c>
      <c r="AQ622" s="1">
        <v>474</v>
      </c>
      <c r="AR622" s="1" t="s">
        <v>510</v>
      </c>
      <c r="AS622" s="1">
        <v>210367</v>
      </c>
      <c r="AT622" s="1" t="s">
        <v>116</v>
      </c>
      <c r="AV622" s="241">
        <v>968</v>
      </c>
      <c r="BM622" s="138">
        <f t="shared" si="89"/>
        <v>0</v>
      </c>
      <c r="BN622" s="42">
        <f t="shared" si="90"/>
        <v>0</v>
      </c>
      <c r="BS622" s="1">
        <v>10249</v>
      </c>
      <c r="BT622" s="1" t="s">
        <v>902</v>
      </c>
      <c r="BX622" s="36"/>
    </row>
    <row r="623" spans="2:76" ht="14.25">
      <c r="B623" s="36"/>
      <c r="C623" s="36"/>
      <c r="D623" s="36"/>
      <c r="E623" s="36"/>
      <c r="F623" s="36"/>
      <c r="G623" s="36"/>
      <c r="H623" s="36"/>
      <c r="J623" s="36"/>
      <c r="K623" s="1" t="str">
        <f t="shared" si="91"/>
        <v/>
      </c>
      <c r="L623" s="1" t="str">
        <f t="shared" si="92"/>
        <v/>
      </c>
      <c r="M623" s="94">
        <v>618</v>
      </c>
      <c r="N623" s="36" t="s">
        <v>2274</v>
      </c>
      <c r="O623" s="95">
        <v>310325</v>
      </c>
      <c r="P623" s="36"/>
      <c r="AI623" s="122">
        <v>311</v>
      </c>
      <c r="AJ623" s="1" t="s">
        <v>1966</v>
      </c>
      <c r="AK623" s="1">
        <v>310018</v>
      </c>
      <c r="AL623" s="1" t="s">
        <v>930</v>
      </c>
      <c r="AN623" s="270">
        <v>717</v>
      </c>
      <c r="AQ623" s="1">
        <v>475</v>
      </c>
      <c r="AR623" s="1" t="s">
        <v>511</v>
      </c>
      <c r="AS623" s="1">
        <v>210368</v>
      </c>
      <c r="AT623" s="1" t="s">
        <v>115</v>
      </c>
      <c r="AV623" s="241">
        <v>969</v>
      </c>
      <c r="BM623" s="138">
        <f t="shared" si="89"/>
        <v>0</v>
      </c>
      <c r="BN623" s="42">
        <f t="shared" si="90"/>
        <v>0</v>
      </c>
      <c r="BS623" s="1">
        <v>10250</v>
      </c>
      <c r="BT623" s="1" t="s">
        <v>902</v>
      </c>
      <c r="BX623" s="36"/>
    </row>
    <row r="624" spans="2:76" ht="14.25">
      <c r="B624" s="36"/>
      <c r="C624" s="36"/>
      <c r="D624" s="36"/>
      <c r="E624" s="36"/>
      <c r="F624" s="36"/>
      <c r="G624" s="36"/>
      <c r="H624" s="36"/>
      <c r="J624" s="36"/>
      <c r="K624" s="1" t="str">
        <f t="shared" si="91"/>
        <v/>
      </c>
      <c r="L624" s="1" t="str">
        <f t="shared" si="92"/>
        <v/>
      </c>
      <c r="M624" s="94">
        <v>619</v>
      </c>
      <c r="N624" s="36" t="s">
        <v>2275</v>
      </c>
      <c r="O624" s="95">
        <v>310326</v>
      </c>
      <c r="P624" s="36"/>
      <c r="AI624" s="122">
        <v>312</v>
      </c>
      <c r="AJ624" s="1" t="s">
        <v>1967</v>
      </c>
      <c r="AK624" s="1">
        <v>310019</v>
      </c>
      <c r="AL624" s="1" t="s">
        <v>115</v>
      </c>
      <c r="AN624" s="270">
        <v>718</v>
      </c>
      <c r="AQ624" s="1">
        <v>476</v>
      </c>
      <c r="AR624" s="1" t="s">
        <v>512</v>
      </c>
      <c r="AS624" s="1">
        <v>210369</v>
      </c>
      <c r="AT624" s="1" t="s">
        <v>115</v>
      </c>
      <c r="AV624" s="241">
        <v>970</v>
      </c>
      <c r="BM624" s="138">
        <f t="shared" si="89"/>
        <v>0</v>
      </c>
      <c r="BN624" s="42">
        <f t="shared" si="90"/>
        <v>0</v>
      </c>
      <c r="BS624" s="1">
        <v>10251</v>
      </c>
      <c r="BT624" s="1" t="s">
        <v>902</v>
      </c>
      <c r="BX624" s="36"/>
    </row>
    <row r="625" spans="2:76" ht="14.25">
      <c r="B625" s="36"/>
      <c r="C625" s="36"/>
      <c r="D625" s="36"/>
      <c r="E625" s="36"/>
      <c r="F625" s="36"/>
      <c r="G625" s="36"/>
      <c r="H625" s="36"/>
      <c r="J625" s="36"/>
      <c r="K625" s="1" t="str">
        <f t="shared" si="91"/>
        <v/>
      </c>
      <c r="L625" s="1" t="str">
        <f t="shared" si="92"/>
        <v/>
      </c>
      <c r="M625" s="94">
        <v>620</v>
      </c>
      <c r="N625" s="36" t="s">
        <v>2276</v>
      </c>
      <c r="O625" s="95">
        <v>310327</v>
      </c>
      <c r="P625" s="36"/>
      <c r="AI625" s="122">
        <v>313</v>
      </c>
      <c r="AJ625" s="1" t="s">
        <v>1968</v>
      </c>
      <c r="AK625" s="1">
        <v>310020</v>
      </c>
      <c r="AL625" s="1" t="s">
        <v>930</v>
      </c>
      <c r="AN625" s="270">
        <v>719</v>
      </c>
      <c r="AQ625" s="1">
        <v>477</v>
      </c>
      <c r="AR625" s="1" t="s">
        <v>513</v>
      </c>
      <c r="AS625" s="1">
        <v>210370</v>
      </c>
      <c r="AT625" s="1" t="s">
        <v>116</v>
      </c>
      <c r="AV625" s="241">
        <v>971</v>
      </c>
      <c r="BM625" s="138">
        <f t="shared" si="89"/>
        <v>0</v>
      </c>
      <c r="BN625" s="42">
        <f t="shared" si="90"/>
        <v>0</v>
      </c>
      <c r="BS625" s="1">
        <v>10252</v>
      </c>
      <c r="BT625" s="1" t="s">
        <v>902</v>
      </c>
      <c r="BX625" s="36"/>
    </row>
    <row r="626" spans="2:76" ht="14.25">
      <c r="B626" s="36"/>
      <c r="C626" s="36"/>
      <c r="D626" s="36"/>
      <c r="E626" s="36"/>
      <c r="F626" s="36"/>
      <c r="G626" s="36"/>
      <c r="H626" s="36"/>
      <c r="J626" s="36"/>
      <c r="K626" s="1" t="str">
        <f t="shared" si="91"/>
        <v/>
      </c>
      <c r="L626" s="1" t="str">
        <f t="shared" si="92"/>
        <v/>
      </c>
      <c r="M626" s="94">
        <v>621</v>
      </c>
      <c r="N626" s="36" t="s">
        <v>2277</v>
      </c>
      <c r="O626" s="95">
        <v>310328</v>
      </c>
      <c r="P626" s="36"/>
      <c r="AI626" s="122">
        <v>314</v>
      </c>
      <c r="AJ626" s="1" t="s">
        <v>1969</v>
      </c>
      <c r="AK626" s="1">
        <v>310021</v>
      </c>
      <c r="AL626" s="1" t="s">
        <v>930</v>
      </c>
      <c r="AN626" s="270">
        <v>720</v>
      </c>
      <c r="AQ626" s="1">
        <v>478</v>
      </c>
      <c r="AR626" s="1" t="s">
        <v>514</v>
      </c>
      <c r="AS626" s="1">
        <v>210371</v>
      </c>
      <c r="AT626" s="1" t="s">
        <v>115</v>
      </c>
      <c r="AV626" s="241">
        <v>972</v>
      </c>
      <c r="BM626" s="138">
        <f t="shared" si="89"/>
        <v>0</v>
      </c>
      <c r="BN626" s="42">
        <f t="shared" si="90"/>
        <v>0</v>
      </c>
      <c r="BS626" s="1">
        <v>10253</v>
      </c>
      <c r="BT626" s="1" t="s">
        <v>902</v>
      </c>
      <c r="BX626" s="36"/>
    </row>
    <row r="627" spans="2:76" ht="14.25">
      <c r="B627" s="36"/>
      <c r="C627" s="36"/>
      <c r="D627" s="36"/>
      <c r="E627" s="36"/>
      <c r="F627" s="36"/>
      <c r="G627" s="36"/>
      <c r="H627" s="36"/>
      <c r="J627" s="36"/>
      <c r="K627" s="1" t="str">
        <f t="shared" si="91"/>
        <v/>
      </c>
      <c r="L627" s="1" t="str">
        <f t="shared" si="92"/>
        <v/>
      </c>
      <c r="M627" s="94">
        <v>622</v>
      </c>
      <c r="N627" s="36" t="s">
        <v>2278</v>
      </c>
      <c r="O627" s="95">
        <v>310329</v>
      </c>
      <c r="P627" s="36"/>
      <c r="AI627" s="122">
        <v>315</v>
      </c>
      <c r="AJ627" s="1" t="s">
        <v>1970</v>
      </c>
      <c r="AK627" s="1">
        <v>310022</v>
      </c>
      <c r="AL627" s="1" t="s">
        <v>115</v>
      </c>
      <c r="AN627" s="270">
        <v>721</v>
      </c>
      <c r="AQ627" s="1">
        <v>479</v>
      </c>
      <c r="AR627" s="1" t="s">
        <v>515</v>
      </c>
      <c r="AS627" s="1">
        <v>210372</v>
      </c>
      <c r="AT627" s="1" t="s">
        <v>116</v>
      </c>
      <c r="AV627" s="241">
        <v>973</v>
      </c>
      <c r="BM627" s="138">
        <f t="shared" si="89"/>
        <v>0</v>
      </c>
      <c r="BN627" s="42">
        <f t="shared" si="90"/>
        <v>0</v>
      </c>
      <c r="BS627" s="1">
        <v>10254</v>
      </c>
      <c r="BT627" s="1" t="s">
        <v>902</v>
      </c>
      <c r="BX627" s="36"/>
    </row>
    <row r="628" spans="2:76" ht="14.25">
      <c r="B628" s="36"/>
      <c r="C628" s="36"/>
      <c r="D628" s="36"/>
      <c r="E628" s="36"/>
      <c r="F628" s="36"/>
      <c r="G628" s="36"/>
      <c r="H628" s="36"/>
      <c r="J628" s="36"/>
      <c r="K628" s="1" t="str">
        <f t="shared" si="91"/>
        <v/>
      </c>
      <c r="L628" s="1" t="str">
        <f t="shared" si="92"/>
        <v/>
      </c>
      <c r="M628" s="94">
        <v>623</v>
      </c>
      <c r="N628" s="36" t="s">
        <v>2279</v>
      </c>
      <c r="O628" s="95">
        <v>310330</v>
      </c>
      <c r="P628" s="36"/>
      <c r="AI628" s="122">
        <v>316</v>
      </c>
      <c r="AJ628" s="1" t="s">
        <v>1971</v>
      </c>
      <c r="AK628" s="1">
        <v>310023</v>
      </c>
      <c r="AL628" s="1" t="s">
        <v>930</v>
      </c>
      <c r="AN628" s="270">
        <v>722</v>
      </c>
      <c r="AQ628" s="1">
        <v>480</v>
      </c>
      <c r="AR628" s="1" t="s">
        <v>516</v>
      </c>
      <c r="AS628" s="1">
        <v>210373</v>
      </c>
      <c r="AT628" s="1" t="s">
        <v>115</v>
      </c>
      <c r="AV628" s="241">
        <v>974</v>
      </c>
      <c r="BM628" s="138">
        <f t="shared" si="89"/>
        <v>0</v>
      </c>
      <c r="BN628" s="42">
        <f t="shared" si="90"/>
        <v>0</v>
      </c>
      <c r="BS628" s="1">
        <v>10255</v>
      </c>
      <c r="BT628" s="1" t="s">
        <v>902</v>
      </c>
      <c r="BX628" s="36"/>
    </row>
    <row r="629" spans="2:76" ht="14.25">
      <c r="B629" s="36"/>
      <c r="C629" s="36"/>
      <c r="D629" s="36"/>
      <c r="E629" s="36"/>
      <c r="F629" s="36"/>
      <c r="G629" s="36"/>
      <c r="H629" s="36"/>
      <c r="J629" s="36"/>
      <c r="K629" s="1" t="str">
        <f t="shared" si="91"/>
        <v/>
      </c>
      <c r="L629" s="1" t="str">
        <f t="shared" si="92"/>
        <v/>
      </c>
      <c r="M629" s="94">
        <v>624</v>
      </c>
      <c r="N629" s="36" t="s">
        <v>2280</v>
      </c>
      <c r="O629" s="95">
        <v>310331</v>
      </c>
      <c r="P629" s="36"/>
      <c r="AI629" s="122">
        <v>317</v>
      </c>
      <c r="AJ629" s="1" t="s">
        <v>1972</v>
      </c>
      <c r="AK629" s="1">
        <v>310024</v>
      </c>
      <c r="AL629" s="1" t="s">
        <v>115</v>
      </c>
      <c r="AN629" s="270">
        <v>723</v>
      </c>
      <c r="AQ629" s="1">
        <v>481</v>
      </c>
      <c r="AR629" s="1" t="s">
        <v>517</v>
      </c>
      <c r="AS629" s="1">
        <v>210374</v>
      </c>
      <c r="AT629" s="1" t="s">
        <v>115</v>
      </c>
      <c r="AV629" s="241">
        <v>975</v>
      </c>
      <c r="BM629" s="138">
        <f t="shared" si="89"/>
        <v>0</v>
      </c>
      <c r="BN629" s="42">
        <f t="shared" si="90"/>
        <v>0</v>
      </c>
      <c r="BS629" s="1">
        <v>10256</v>
      </c>
      <c r="BT629" s="1" t="s">
        <v>902</v>
      </c>
      <c r="BX629" s="36"/>
    </row>
    <row r="630" spans="2:76" ht="14.25">
      <c r="B630" s="36"/>
      <c r="C630" s="36"/>
      <c r="D630" s="36"/>
      <c r="E630" s="36"/>
      <c r="F630" s="36"/>
      <c r="G630" s="36"/>
      <c r="H630" s="36"/>
      <c r="J630" s="36"/>
      <c r="K630" s="1" t="str">
        <f t="shared" si="91"/>
        <v/>
      </c>
      <c r="L630" s="1" t="str">
        <f t="shared" si="92"/>
        <v/>
      </c>
      <c r="M630" s="94">
        <v>625</v>
      </c>
      <c r="N630" s="36" t="s">
        <v>2281</v>
      </c>
      <c r="O630" s="95">
        <v>310332</v>
      </c>
      <c r="P630" s="36"/>
      <c r="AI630" s="122">
        <v>318</v>
      </c>
      <c r="AJ630" s="1" t="s">
        <v>1973</v>
      </c>
      <c r="AK630" s="1">
        <v>310025</v>
      </c>
      <c r="AL630" s="1" t="s">
        <v>930</v>
      </c>
      <c r="AN630" s="270">
        <v>724</v>
      </c>
      <c r="AQ630" s="1">
        <v>482</v>
      </c>
      <c r="AR630" s="1" t="s">
        <v>518</v>
      </c>
      <c r="AS630" s="1">
        <v>210375</v>
      </c>
      <c r="AT630" s="1" t="s">
        <v>116</v>
      </c>
      <c r="AV630" s="241">
        <v>976</v>
      </c>
      <c r="BM630" s="138">
        <f t="shared" si="89"/>
        <v>0</v>
      </c>
      <c r="BN630" s="42">
        <f t="shared" si="90"/>
        <v>0</v>
      </c>
      <c r="BS630" s="1">
        <v>10257</v>
      </c>
      <c r="BT630" s="1" t="s">
        <v>902</v>
      </c>
      <c r="BX630" s="36"/>
    </row>
    <row r="631" spans="2:76" ht="14.25">
      <c r="B631" s="36"/>
      <c r="C631" s="36"/>
      <c r="D631" s="36"/>
      <c r="E631" s="36"/>
      <c r="F631" s="36"/>
      <c r="G631" s="36"/>
      <c r="H631" s="36"/>
      <c r="J631" s="36"/>
      <c r="K631" s="1" t="str">
        <f t="shared" si="91"/>
        <v/>
      </c>
      <c r="L631" s="1" t="str">
        <f t="shared" si="92"/>
        <v/>
      </c>
      <c r="M631" s="94">
        <v>626</v>
      </c>
      <c r="N631" s="36" t="s">
        <v>2282</v>
      </c>
      <c r="O631" s="95">
        <v>310333</v>
      </c>
      <c r="P631" s="36"/>
      <c r="AI631" s="122">
        <v>319</v>
      </c>
      <c r="AJ631" s="1" t="s">
        <v>1974</v>
      </c>
      <c r="AK631" s="1">
        <v>310026</v>
      </c>
      <c r="AL631" s="1" t="s">
        <v>115</v>
      </c>
      <c r="AN631" s="270">
        <v>725</v>
      </c>
      <c r="AQ631" s="1">
        <v>483</v>
      </c>
      <c r="AR631" s="1" t="s">
        <v>519</v>
      </c>
      <c r="AS631" s="1">
        <v>210376</v>
      </c>
      <c r="AT631" s="1" t="s">
        <v>115</v>
      </c>
      <c r="AV631" s="241">
        <v>977</v>
      </c>
      <c r="BM631" s="138">
        <f t="shared" si="89"/>
        <v>0</v>
      </c>
      <c r="BN631" s="42">
        <f t="shared" si="90"/>
        <v>0</v>
      </c>
      <c r="BS631" s="1">
        <v>10258</v>
      </c>
      <c r="BT631" s="1" t="s">
        <v>902</v>
      </c>
      <c r="BX631" s="36"/>
    </row>
    <row r="632" spans="2:76" ht="14.25">
      <c r="B632" s="36"/>
      <c r="C632" s="36"/>
      <c r="D632" s="36"/>
      <c r="E632" s="36"/>
      <c r="F632" s="36"/>
      <c r="G632" s="36"/>
      <c r="H632" s="36"/>
      <c r="J632" s="36"/>
      <c r="K632" s="1" t="str">
        <f t="shared" si="91"/>
        <v/>
      </c>
      <c r="L632" s="1" t="str">
        <f t="shared" si="92"/>
        <v/>
      </c>
      <c r="M632" s="94">
        <v>627</v>
      </c>
      <c r="N632" s="36" t="s">
        <v>2283</v>
      </c>
      <c r="O632" s="95">
        <v>310334</v>
      </c>
      <c r="P632" s="36"/>
      <c r="AI632" s="122">
        <v>320</v>
      </c>
      <c r="AJ632" s="1" t="s">
        <v>1975</v>
      </c>
      <c r="AK632" s="1">
        <v>310027</v>
      </c>
      <c r="AL632" s="1" t="s">
        <v>930</v>
      </c>
      <c r="AN632" s="270">
        <v>726</v>
      </c>
      <c r="AQ632" s="1">
        <v>484</v>
      </c>
      <c r="AR632" s="1" t="s">
        <v>520</v>
      </c>
      <c r="AS632" s="1">
        <v>210377</v>
      </c>
      <c r="AT632" s="1" t="s">
        <v>116</v>
      </c>
      <c r="AV632" s="241">
        <v>978</v>
      </c>
      <c r="BM632" s="138">
        <f t="shared" si="89"/>
        <v>0</v>
      </c>
      <c r="BN632" s="42">
        <f t="shared" si="90"/>
        <v>0</v>
      </c>
      <c r="BS632" s="1">
        <v>10259</v>
      </c>
      <c r="BT632" s="1" t="s">
        <v>902</v>
      </c>
      <c r="BX632" s="36"/>
    </row>
    <row r="633" spans="2:76" ht="14.25">
      <c r="B633" s="36"/>
      <c r="C633" s="36"/>
      <c r="D633" s="36"/>
      <c r="E633" s="36"/>
      <c r="F633" s="36"/>
      <c r="G633" s="36"/>
      <c r="H633" s="36"/>
      <c r="J633" s="36"/>
      <c r="K633" s="1" t="str">
        <f t="shared" si="91"/>
        <v/>
      </c>
      <c r="L633" s="1" t="str">
        <f t="shared" si="92"/>
        <v/>
      </c>
      <c r="M633" s="94">
        <v>628</v>
      </c>
      <c r="N633" s="36" t="s">
        <v>2284</v>
      </c>
      <c r="O633" s="95">
        <v>310335</v>
      </c>
      <c r="P633" s="36"/>
      <c r="AI633" s="122">
        <v>321</v>
      </c>
      <c r="AJ633" s="1" t="s">
        <v>1976</v>
      </c>
      <c r="AK633" s="1">
        <v>310028</v>
      </c>
      <c r="AL633" s="1" t="s">
        <v>930</v>
      </c>
      <c r="AN633" s="270">
        <v>727</v>
      </c>
      <c r="AQ633" s="1">
        <v>485</v>
      </c>
      <c r="AR633" s="1" t="s">
        <v>521</v>
      </c>
      <c r="AS633" s="1">
        <v>210378</v>
      </c>
      <c r="AT633" s="1" t="s">
        <v>115</v>
      </c>
      <c r="AV633" s="241">
        <v>979</v>
      </c>
      <c r="BM633" s="138">
        <f t="shared" si="89"/>
        <v>0</v>
      </c>
      <c r="BN633" s="42">
        <f t="shared" si="90"/>
        <v>0</v>
      </c>
      <c r="BS633" s="1">
        <v>10260</v>
      </c>
      <c r="BT633" s="1" t="s">
        <v>902</v>
      </c>
      <c r="BX633" s="36"/>
    </row>
    <row r="634" spans="2:76" ht="14.25">
      <c r="B634" s="36"/>
      <c r="C634" s="36"/>
      <c r="D634" s="36"/>
      <c r="E634" s="36"/>
      <c r="F634" s="36"/>
      <c r="G634" s="36"/>
      <c r="H634" s="36"/>
      <c r="J634" s="36"/>
      <c r="K634" s="1" t="str">
        <f t="shared" si="91"/>
        <v/>
      </c>
      <c r="L634" s="1" t="str">
        <f t="shared" si="92"/>
        <v/>
      </c>
      <c r="M634" s="94">
        <v>629</v>
      </c>
      <c r="N634" s="36" t="s">
        <v>2285</v>
      </c>
      <c r="O634" s="95">
        <v>310336</v>
      </c>
      <c r="P634" s="36"/>
      <c r="AI634" s="122">
        <v>322</v>
      </c>
      <c r="AJ634" s="1" t="s">
        <v>1977</v>
      </c>
      <c r="AK634" s="1">
        <v>310029</v>
      </c>
      <c r="AL634" s="1" t="s">
        <v>115</v>
      </c>
      <c r="AN634" s="270">
        <v>728</v>
      </c>
      <c r="AQ634" s="1">
        <v>486</v>
      </c>
      <c r="AR634" s="1" t="s">
        <v>522</v>
      </c>
      <c r="AS634" s="1">
        <v>210379</v>
      </c>
      <c r="AT634" s="1" t="s">
        <v>115</v>
      </c>
      <c r="AV634" s="241">
        <v>980</v>
      </c>
      <c r="BM634" s="138">
        <f t="shared" si="89"/>
        <v>0</v>
      </c>
      <c r="BN634" s="42">
        <f t="shared" si="90"/>
        <v>0</v>
      </c>
      <c r="BS634" s="1">
        <v>10261</v>
      </c>
      <c r="BT634" s="1" t="s">
        <v>902</v>
      </c>
      <c r="BX634" s="36"/>
    </row>
    <row r="635" spans="2:76" ht="14.25">
      <c r="B635" s="36"/>
      <c r="C635" s="36"/>
      <c r="D635" s="36"/>
      <c r="E635" s="36"/>
      <c r="F635" s="36"/>
      <c r="G635" s="36"/>
      <c r="H635" s="36"/>
      <c r="J635" s="36"/>
      <c r="K635" s="1" t="str">
        <f t="shared" si="91"/>
        <v/>
      </c>
      <c r="L635" s="1" t="str">
        <f t="shared" si="92"/>
        <v/>
      </c>
      <c r="M635" s="94">
        <v>630</v>
      </c>
      <c r="N635" s="36" t="s">
        <v>2286</v>
      </c>
      <c r="O635" s="95">
        <v>310337</v>
      </c>
      <c r="P635" s="36"/>
      <c r="AI635" s="122">
        <v>323</v>
      </c>
      <c r="AJ635" s="1" t="s">
        <v>1978</v>
      </c>
      <c r="AK635" s="1">
        <v>310030</v>
      </c>
      <c r="AL635" s="1" t="s">
        <v>930</v>
      </c>
      <c r="AN635" s="270">
        <v>729</v>
      </c>
      <c r="AQ635" s="1">
        <v>487</v>
      </c>
      <c r="AR635" s="1" t="s">
        <v>523</v>
      </c>
      <c r="AS635" s="1">
        <v>210380</v>
      </c>
      <c r="AT635" s="1" t="s">
        <v>116</v>
      </c>
      <c r="AV635" s="241">
        <v>981</v>
      </c>
      <c r="BM635" s="138">
        <f t="shared" si="89"/>
        <v>0</v>
      </c>
      <c r="BN635" s="42">
        <f t="shared" si="90"/>
        <v>0</v>
      </c>
      <c r="BS635" s="1">
        <v>10262</v>
      </c>
      <c r="BT635" s="1" t="s">
        <v>902</v>
      </c>
      <c r="BX635" s="36"/>
    </row>
    <row r="636" spans="2:76" ht="14.25">
      <c r="B636" s="36"/>
      <c r="C636" s="36"/>
      <c r="D636" s="36"/>
      <c r="E636" s="36"/>
      <c r="F636" s="36"/>
      <c r="G636" s="36"/>
      <c r="H636" s="36"/>
      <c r="J636" s="36"/>
      <c r="K636" s="1" t="str">
        <f t="shared" si="91"/>
        <v/>
      </c>
      <c r="L636" s="1" t="str">
        <f t="shared" si="92"/>
        <v/>
      </c>
      <c r="M636" s="94">
        <v>631</v>
      </c>
      <c r="N636" s="36" t="s">
        <v>2287</v>
      </c>
      <c r="O636" s="95">
        <v>310338</v>
      </c>
      <c r="P636" s="36"/>
      <c r="AI636" s="122">
        <v>324</v>
      </c>
      <c r="AJ636" s="1" t="s">
        <v>1979</v>
      </c>
      <c r="AK636" s="1">
        <v>310031</v>
      </c>
      <c r="AL636" s="1" t="s">
        <v>115</v>
      </c>
      <c r="AN636" s="270">
        <v>730</v>
      </c>
      <c r="AQ636" s="1">
        <v>488</v>
      </c>
      <c r="AR636" s="1" t="s">
        <v>524</v>
      </c>
      <c r="AS636" s="1">
        <v>210381</v>
      </c>
      <c r="AT636" s="1" t="s">
        <v>115</v>
      </c>
      <c r="AV636" s="241">
        <v>982</v>
      </c>
      <c r="BM636" s="138">
        <f t="shared" si="89"/>
        <v>0</v>
      </c>
      <c r="BN636" s="42">
        <f t="shared" si="90"/>
        <v>0</v>
      </c>
      <c r="BS636" s="1">
        <v>10263</v>
      </c>
      <c r="BT636" s="1" t="s">
        <v>902</v>
      </c>
      <c r="BX636" s="36"/>
    </row>
    <row r="637" spans="2:76" ht="14.25">
      <c r="B637" s="36"/>
      <c r="C637" s="36"/>
      <c r="D637" s="36"/>
      <c r="E637" s="36"/>
      <c r="F637" s="36"/>
      <c r="G637" s="36"/>
      <c r="H637" s="36"/>
      <c r="J637" s="36"/>
      <c r="K637" s="1" t="str">
        <f t="shared" si="91"/>
        <v/>
      </c>
      <c r="L637" s="1" t="str">
        <f t="shared" si="92"/>
        <v/>
      </c>
      <c r="M637" s="94">
        <v>632</v>
      </c>
      <c r="N637" s="36" t="s">
        <v>2288</v>
      </c>
      <c r="O637" s="95">
        <v>310339</v>
      </c>
      <c r="P637" s="36"/>
      <c r="AI637" s="122">
        <v>325</v>
      </c>
      <c r="AJ637" s="1" t="s">
        <v>1980</v>
      </c>
      <c r="AK637" s="1">
        <v>310032</v>
      </c>
      <c r="AL637" s="1" t="s">
        <v>930</v>
      </c>
      <c r="AN637" s="270">
        <v>731</v>
      </c>
      <c r="AQ637" s="1">
        <v>489</v>
      </c>
      <c r="AR637" s="1" t="s">
        <v>525</v>
      </c>
      <c r="AS637" s="1">
        <v>210382</v>
      </c>
      <c r="AT637" s="1" t="s">
        <v>116</v>
      </c>
      <c r="AV637" s="241">
        <v>983</v>
      </c>
      <c r="BM637" s="138">
        <f t="shared" si="89"/>
        <v>0</v>
      </c>
      <c r="BN637" s="42">
        <f t="shared" si="90"/>
        <v>0</v>
      </c>
      <c r="BS637" s="1">
        <v>10264</v>
      </c>
      <c r="BT637" s="1" t="s">
        <v>902</v>
      </c>
      <c r="BX637" s="36"/>
    </row>
    <row r="638" spans="2:76" ht="14.25">
      <c r="B638" s="36"/>
      <c r="C638" s="36"/>
      <c r="D638" s="36"/>
      <c r="E638" s="36"/>
      <c r="F638" s="36"/>
      <c r="G638" s="36"/>
      <c r="H638" s="36"/>
      <c r="J638" s="36"/>
      <c r="K638" s="1" t="str">
        <f t="shared" si="91"/>
        <v/>
      </c>
      <c r="L638" s="1" t="str">
        <f t="shared" si="92"/>
        <v/>
      </c>
      <c r="M638" s="94">
        <v>633</v>
      </c>
      <c r="N638" s="36" t="s">
        <v>2289</v>
      </c>
      <c r="O638" s="95">
        <v>310340</v>
      </c>
      <c r="P638" s="36"/>
      <c r="AI638" s="122">
        <v>326</v>
      </c>
      <c r="AJ638" s="1" t="s">
        <v>1981</v>
      </c>
      <c r="AK638" s="1">
        <v>310033</v>
      </c>
      <c r="AL638" s="1" t="s">
        <v>115</v>
      </c>
      <c r="AN638" s="270">
        <v>732</v>
      </c>
      <c r="AQ638" s="1">
        <v>490</v>
      </c>
      <c r="AR638" s="1" t="s">
        <v>526</v>
      </c>
      <c r="AS638" s="1">
        <v>210383</v>
      </c>
      <c r="AT638" s="1" t="s">
        <v>115</v>
      </c>
      <c r="AV638" s="241">
        <v>984</v>
      </c>
      <c r="BM638" s="138">
        <f t="shared" si="89"/>
        <v>0</v>
      </c>
      <c r="BN638" s="42">
        <f t="shared" si="90"/>
        <v>0</v>
      </c>
      <c r="BS638" s="1">
        <v>10265</v>
      </c>
      <c r="BT638" s="1" t="s">
        <v>902</v>
      </c>
      <c r="BX638" s="36"/>
    </row>
    <row r="639" spans="2:76" ht="14.25">
      <c r="B639" s="36"/>
      <c r="C639" s="36"/>
      <c r="D639" s="36"/>
      <c r="E639" s="36"/>
      <c r="F639" s="36"/>
      <c r="G639" s="36"/>
      <c r="H639" s="36"/>
      <c r="J639" s="36"/>
      <c r="K639" s="1" t="str">
        <f t="shared" si="91"/>
        <v/>
      </c>
      <c r="L639" s="1" t="str">
        <f t="shared" si="92"/>
        <v/>
      </c>
      <c r="M639" s="94">
        <v>634</v>
      </c>
      <c r="N639" s="36" t="s">
        <v>2290</v>
      </c>
      <c r="O639" s="95">
        <v>310341</v>
      </c>
      <c r="P639" s="36"/>
      <c r="AI639" s="122">
        <v>327</v>
      </c>
      <c r="AJ639" s="1" t="s">
        <v>1982</v>
      </c>
      <c r="AK639" s="1">
        <v>310034</v>
      </c>
      <c r="AL639" s="1" t="s">
        <v>930</v>
      </c>
      <c r="AN639" s="270">
        <v>733</v>
      </c>
      <c r="AQ639" s="1">
        <v>491</v>
      </c>
      <c r="AR639" s="1" t="s">
        <v>527</v>
      </c>
      <c r="AS639" s="1">
        <v>210384</v>
      </c>
      <c r="AT639" s="1" t="s">
        <v>116</v>
      </c>
      <c r="AV639" s="241">
        <v>985</v>
      </c>
      <c r="BM639" s="138">
        <f t="shared" si="89"/>
        <v>0</v>
      </c>
      <c r="BN639" s="42">
        <f t="shared" si="90"/>
        <v>0</v>
      </c>
      <c r="BS639" s="1">
        <v>10266</v>
      </c>
      <c r="BT639" s="1" t="s">
        <v>902</v>
      </c>
      <c r="BX639" s="36"/>
    </row>
    <row r="640" spans="2:76" ht="14.25">
      <c r="B640" s="36"/>
      <c r="C640" s="36"/>
      <c r="D640" s="36"/>
      <c r="E640" s="36"/>
      <c r="F640" s="36"/>
      <c r="G640" s="36"/>
      <c r="H640" s="36"/>
      <c r="J640" s="36"/>
      <c r="K640" s="1" t="str">
        <f t="shared" si="91"/>
        <v/>
      </c>
      <c r="L640" s="1" t="str">
        <f t="shared" si="92"/>
        <v/>
      </c>
      <c r="M640" s="94">
        <v>635</v>
      </c>
      <c r="N640" s="36" t="s">
        <v>2291</v>
      </c>
      <c r="O640" s="95">
        <v>310342</v>
      </c>
      <c r="P640" s="36"/>
      <c r="AI640" s="122">
        <v>328</v>
      </c>
      <c r="AJ640" s="1" t="s">
        <v>1983</v>
      </c>
      <c r="AK640" s="1">
        <v>310035</v>
      </c>
      <c r="AL640" s="1" t="s">
        <v>930</v>
      </c>
      <c r="AN640" s="270">
        <v>734</v>
      </c>
      <c r="AQ640" s="1">
        <v>492</v>
      </c>
      <c r="AR640" s="1" t="s">
        <v>528</v>
      </c>
      <c r="AS640" s="1">
        <v>210385</v>
      </c>
      <c r="AT640" s="1" t="s">
        <v>115</v>
      </c>
      <c r="AV640" s="241">
        <v>986</v>
      </c>
      <c r="BM640" s="138">
        <f t="shared" si="89"/>
        <v>0</v>
      </c>
      <c r="BN640" s="42">
        <f t="shared" si="90"/>
        <v>0</v>
      </c>
      <c r="BS640" s="1">
        <v>10267</v>
      </c>
      <c r="BT640" s="1" t="s">
        <v>902</v>
      </c>
      <c r="BX640" s="36"/>
    </row>
    <row r="641" spans="2:76" ht="14.25">
      <c r="B641" s="36"/>
      <c r="C641" s="36"/>
      <c r="D641" s="36"/>
      <c r="E641" s="36"/>
      <c r="F641" s="36"/>
      <c r="G641" s="36"/>
      <c r="H641" s="36"/>
      <c r="J641" s="36"/>
      <c r="K641" s="1" t="str">
        <f t="shared" si="91"/>
        <v/>
      </c>
      <c r="L641" s="1" t="str">
        <f t="shared" si="92"/>
        <v/>
      </c>
      <c r="M641" s="94">
        <v>636</v>
      </c>
      <c r="N641" s="36" t="s">
        <v>2292</v>
      </c>
      <c r="O641" s="95">
        <v>310343</v>
      </c>
      <c r="P641" s="36"/>
      <c r="AI641" s="122">
        <v>329</v>
      </c>
      <c r="AJ641" s="1" t="s">
        <v>1984</v>
      </c>
      <c r="AK641" s="1">
        <v>310036</v>
      </c>
      <c r="AL641" s="1" t="s">
        <v>115</v>
      </c>
      <c r="AN641" s="270">
        <v>735</v>
      </c>
      <c r="AQ641" s="1">
        <v>493</v>
      </c>
      <c r="AR641" s="1" t="s">
        <v>529</v>
      </c>
      <c r="AS641" s="1">
        <v>210386</v>
      </c>
      <c r="AT641" s="1" t="s">
        <v>115</v>
      </c>
      <c r="AV641" s="241">
        <v>987</v>
      </c>
      <c r="BM641" s="138">
        <f t="shared" si="89"/>
        <v>0</v>
      </c>
      <c r="BN641" s="42">
        <f t="shared" si="90"/>
        <v>0</v>
      </c>
      <c r="BS641" s="1">
        <v>10268</v>
      </c>
      <c r="BT641" s="1" t="s">
        <v>902</v>
      </c>
      <c r="BX641" s="36"/>
    </row>
    <row r="642" spans="2:76" ht="14.25">
      <c r="B642" s="36"/>
      <c r="C642" s="36"/>
      <c r="D642" s="36"/>
      <c r="E642" s="36"/>
      <c r="F642" s="36"/>
      <c r="G642" s="36"/>
      <c r="H642" s="36"/>
      <c r="J642" s="36"/>
      <c r="K642" s="1" t="str">
        <f t="shared" si="91"/>
        <v/>
      </c>
      <c r="L642" s="1" t="str">
        <f t="shared" si="92"/>
        <v/>
      </c>
      <c r="M642" s="94">
        <v>637</v>
      </c>
      <c r="N642" s="36" t="s">
        <v>2293</v>
      </c>
      <c r="O642" s="95">
        <v>310344</v>
      </c>
      <c r="P642" s="36"/>
      <c r="AI642" s="122">
        <v>330</v>
      </c>
      <c r="AJ642" s="1" t="s">
        <v>1985</v>
      </c>
      <c r="AK642" s="1">
        <v>310037</v>
      </c>
      <c r="AL642" s="1" t="s">
        <v>930</v>
      </c>
      <c r="AN642" s="270">
        <v>736</v>
      </c>
      <c r="AQ642" s="1">
        <v>494</v>
      </c>
      <c r="AR642" s="1" t="s">
        <v>530</v>
      </c>
      <c r="AS642" s="1">
        <v>210387</v>
      </c>
      <c r="AT642" s="1" t="s">
        <v>116</v>
      </c>
      <c r="AV642" s="241">
        <v>988</v>
      </c>
      <c r="BM642" s="138">
        <f t="shared" ref="BM642:BM705" si="93">I642</f>
        <v>0</v>
      </c>
      <c r="BN642" s="42">
        <f t="shared" ref="BN642:BN705" si="94">A642</f>
        <v>0</v>
      </c>
      <c r="BS642" s="1">
        <v>10269</v>
      </c>
      <c r="BT642" s="1" t="s">
        <v>902</v>
      </c>
      <c r="BX642" s="36"/>
    </row>
    <row r="643" spans="2:76" ht="14.25">
      <c r="B643" s="36"/>
      <c r="C643" s="36"/>
      <c r="D643" s="36"/>
      <c r="E643" s="36"/>
      <c r="F643" s="36"/>
      <c r="G643" s="36"/>
      <c r="H643" s="36"/>
      <c r="J643" s="36"/>
      <c r="K643" s="1" t="str">
        <f t="shared" ref="K643:K706" si="95">IF(B643="722W","",IF(OR(C643="B1",C643="B9",C643="W1",C643="W2",C643="U9"),IF(MAX($A$2:$A$400)-A643&gt;10000,A643+100000,A643),""))</f>
        <v/>
      </c>
      <c r="L643" s="1" t="str">
        <f t="shared" si="92"/>
        <v/>
      </c>
      <c r="M643" s="94">
        <v>638</v>
      </c>
      <c r="N643" s="36" t="s">
        <v>2294</v>
      </c>
      <c r="O643" s="95">
        <v>310345</v>
      </c>
      <c r="P643" s="36"/>
      <c r="AI643" s="122">
        <v>331</v>
      </c>
      <c r="AJ643" s="1" t="s">
        <v>1986</v>
      </c>
      <c r="AK643" s="1">
        <v>310038</v>
      </c>
      <c r="AL643" s="1" t="s">
        <v>115</v>
      </c>
      <c r="AN643" s="270">
        <v>737</v>
      </c>
      <c r="AQ643" s="1">
        <v>495</v>
      </c>
      <c r="AR643" s="1" t="s">
        <v>531</v>
      </c>
      <c r="AS643" s="1">
        <v>210388</v>
      </c>
      <c r="AT643" s="1" t="s">
        <v>115</v>
      </c>
      <c r="AV643" s="241">
        <v>989</v>
      </c>
      <c r="BM643" s="138">
        <f t="shared" si="93"/>
        <v>0</v>
      </c>
      <c r="BN643" s="42">
        <f t="shared" si="94"/>
        <v>0</v>
      </c>
      <c r="BS643" s="1">
        <v>10270</v>
      </c>
      <c r="BT643" s="1" t="s">
        <v>902</v>
      </c>
      <c r="BX643" s="36"/>
    </row>
    <row r="644" spans="2:76" ht="14.25">
      <c r="B644" s="36"/>
      <c r="C644" s="36"/>
      <c r="D644" s="36"/>
      <c r="E644" s="36"/>
      <c r="F644" s="36"/>
      <c r="G644" s="36"/>
      <c r="H644" s="36"/>
      <c r="J644" s="36"/>
      <c r="K644" s="1" t="str">
        <f t="shared" si="95"/>
        <v/>
      </c>
      <c r="L644" s="1" t="str">
        <f t="shared" ref="L644:L707" si="96">IF(AND(MIN(I:I)&lt;20,MAX(I:I)&gt;980,I644&lt;20),I644,"")</f>
        <v/>
      </c>
      <c r="M644" s="94">
        <v>639</v>
      </c>
      <c r="N644" s="36" t="s">
        <v>2295</v>
      </c>
      <c r="O644" s="95">
        <v>310346</v>
      </c>
      <c r="P644" s="36"/>
      <c r="AI644" s="122">
        <v>332</v>
      </c>
      <c r="AJ644" s="1" t="s">
        <v>1987</v>
      </c>
      <c r="AK644" s="1">
        <v>310039</v>
      </c>
      <c r="AL644" s="1" t="s">
        <v>930</v>
      </c>
      <c r="AN644" s="270">
        <v>738</v>
      </c>
      <c r="AQ644" s="1">
        <v>496</v>
      </c>
      <c r="AR644" s="1" t="s">
        <v>532</v>
      </c>
      <c r="AS644" s="1">
        <v>210389</v>
      </c>
      <c r="AT644" s="1" t="s">
        <v>116</v>
      </c>
      <c r="AV644" s="241">
        <v>990</v>
      </c>
      <c r="BM644" s="138">
        <f t="shared" si="93"/>
        <v>0</v>
      </c>
      <c r="BN644" s="42">
        <f t="shared" si="94"/>
        <v>0</v>
      </c>
      <c r="BS644" s="1">
        <v>10271</v>
      </c>
      <c r="BT644" s="1" t="s">
        <v>902</v>
      </c>
      <c r="BX644" s="36"/>
    </row>
    <row r="645" spans="2:76" ht="14.25">
      <c r="B645" s="36"/>
      <c r="C645" s="36"/>
      <c r="D645" s="36"/>
      <c r="E645" s="36"/>
      <c r="F645" s="36"/>
      <c r="G645" s="36"/>
      <c r="H645" s="36"/>
      <c r="J645" s="36"/>
      <c r="K645" s="1" t="str">
        <f t="shared" si="95"/>
        <v/>
      </c>
      <c r="L645" s="1" t="str">
        <f t="shared" si="96"/>
        <v/>
      </c>
      <c r="M645" s="94">
        <v>640</v>
      </c>
      <c r="N645" s="36" t="s">
        <v>2296</v>
      </c>
      <c r="O645" s="95">
        <v>310347</v>
      </c>
      <c r="P645" s="36"/>
      <c r="AI645" s="122">
        <v>333</v>
      </c>
      <c r="AJ645" s="1" t="s">
        <v>1988</v>
      </c>
      <c r="AK645" s="1">
        <v>310040</v>
      </c>
      <c r="AL645" s="1" t="s">
        <v>115</v>
      </c>
      <c r="AN645" s="270">
        <v>739</v>
      </c>
      <c r="AQ645" s="1">
        <v>497</v>
      </c>
      <c r="AR645" s="1" t="s">
        <v>533</v>
      </c>
      <c r="AS645" s="1">
        <v>210390</v>
      </c>
      <c r="AT645" s="1" t="s">
        <v>115</v>
      </c>
      <c r="AV645" s="241">
        <v>991</v>
      </c>
      <c r="BM645" s="138">
        <f t="shared" si="93"/>
        <v>0</v>
      </c>
      <c r="BN645" s="42">
        <f t="shared" si="94"/>
        <v>0</v>
      </c>
      <c r="BS645" s="1">
        <v>10272</v>
      </c>
      <c r="BT645" s="1" t="s">
        <v>902</v>
      </c>
      <c r="BX645" s="36"/>
    </row>
    <row r="646" spans="2:76" ht="14.25">
      <c r="B646" s="36"/>
      <c r="C646" s="36"/>
      <c r="D646" s="36"/>
      <c r="E646" s="36"/>
      <c r="F646" s="36"/>
      <c r="G646" s="36"/>
      <c r="H646" s="36"/>
      <c r="J646" s="36"/>
      <c r="K646" s="1" t="str">
        <f t="shared" si="95"/>
        <v/>
      </c>
      <c r="L646" s="1" t="str">
        <f t="shared" si="96"/>
        <v/>
      </c>
      <c r="M646" s="94">
        <v>641</v>
      </c>
      <c r="N646" s="36" t="s">
        <v>2297</v>
      </c>
      <c r="O646" s="95">
        <v>310348</v>
      </c>
      <c r="P646" s="36"/>
      <c r="AI646" s="122">
        <v>334</v>
      </c>
      <c r="AJ646" s="1" t="s">
        <v>1989</v>
      </c>
      <c r="AK646" s="1">
        <v>310041</v>
      </c>
      <c r="AL646" s="1" t="s">
        <v>930</v>
      </c>
      <c r="AN646" s="270">
        <v>740</v>
      </c>
      <c r="AQ646" s="1">
        <v>498</v>
      </c>
      <c r="AR646" s="1" t="s">
        <v>534</v>
      </c>
      <c r="AS646" s="1">
        <v>210391</v>
      </c>
      <c r="AT646" s="1" t="s">
        <v>115</v>
      </c>
      <c r="AV646" s="241">
        <v>992</v>
      </c>
      <c r="BM646" s="138">
        <f t="shared" si="93"/>
        <v>0</v>
      </c>
      <c r="BN646" s="42">
        <f t="shared" si="94"/>
        <v>0</v>
      </c>
      <c r="BS646" s="1">
        <v>10273</v>
      </c>
      <c r="BT646" s="1" t="s">
        <v>902</v>
      </c>
      <c r="BX646" s="36"/>
    </row>
    <row r="647" spans="2:76" ht="14.25">
      <c r="B647" s="36"/>
      <c r="C647" s="36"/>
      <c r="D647" s="36"/>
      <c r="E647" s="36"/>
      <c r="F647" s="36"/>
      <c r="G647" s="36"/>
      <c r="H647" s="36"/>
      <c r="J647" s="36"/>
      <c r="K647" s="1" t="str">
        <f t="shared" si="95"/>
        <v/>
      </c>
      <c r="L647" s="1" t="str">
        <f t="shared" si="96"/>
        <v/>
      </c>
      <c r="M647" s="94">
        <v>642</v>
      </c>
      <c r="N647" s="36" t="s">
        <v>2298</v>
      </c>
      <c r="O647" s="95">
        <v>310349</v>
      </c>
      <c r="P647" s="36"/>
      <c r="AI647" s="122">
        <v>335</v>
      </c>
      <c r="AJ647" s="1" t="s">
        <v>1990</v>
      </c>
      <c r="AK647" s="1">
        <v>310042</v>
      </c>
      <c r="AL647" s="1" t="s">
        <v>930</v>
      </c>
      <c r="AN647" s="270">
        <v>741</v>
      </c>
      <c r="AQ647" s="1">
        <v>499</v>
      </c>
      <c r="AR647" s="1" t="s">
        <v>535</v>
      </c>
      <c r="AS647" s="1">
        <v>210392</v>
      </c>
      <c r="AT647" s="1" t="s">
        <v>116</v>
      </c>
      <c r="AV647" s="241">
        <v>993</v>
      </c>
      <c r="BM647" s="138">
        <f t="shared" si="93"/>
        <v>0</v>
      </c>
      <c r="BN647" s="42">
        <f t="shared" si="94"/>
        <v>0</v>
      </c>
      <c r="BS647" s="1">
        <v>10274</v>
      </c>
      <c r="BT647" s="1" t="s">
        <v>902</v>
      </c>
      <c r="BX647" s="36"/>
    </row>
    <row r="648" spans="2:76" ht="14.25">
      <c r="B648" s="36"/>
      <c r="C648" s="36"/>
      <c r="D648" s="36"/>
      <c r="E648" s="36"/>
      <c r="F648" s="36"/>
      <c r="G648" s="36"/>
      <c r="H648" s="36"/>
      <c r="J648" s="36"/>
      <c r="K648" s="1" t="str">
        <f t="shared" si="95"/>
        <v/>
      </c>
      <c r="L648" s="1" t="str">
        <f t="shared" si="96"/>
        <v/>
      </c>
      <c r="M648" s="94">
        <v>643</v>
      </c>
      <c r="N648" s="36" t="s">
        <v>2299</v>
      </c>
      <c r="O648" s="95">
        <v>310350</v>
      </c>
      <c r="P648" s="36"/>
      <c r="AI648" s="122">
        <v>336</v>
      </c>
      <c r="AJ648" s="1" t="s">
        <v>1991</v>
      </c>
      <c r="AK648" s="1">
        <v>310043</v>
      </c>
      <c r="AL648" s="1" t="s">
        <v>115</v>
      </c>
      <c r="AN648" s="270">
        <v>742</v>
      </c>
      <c r="AQ648" s="1">
        <v>500</v>
      </c>
      <c r="AR648" s="1" t="s">
        <v>536</v>
      </c>
      <c r="AS648" s="1">
        <v>210393</v>
      </c>
      <c r="AT648" s="1" t="s">
        <v>115</v>
      </c>
      <c r="AV648" s="241">
        <v>994</v>
      </c>
      <c r="BM648" s="138">
        <f t="shared" si="93"/>
        <v>0</v>
      </c>
      <c r="BN648" s="42">
        <f t="shared" si="94"/>
        <v>0</v>
      </c>
      <c r="BS648" s="1">
        <v>10275</v>
      </c>
      <c r="BT648" s="1" t="s">
        <v>902</v>
      </c>
      <c r="BX648" s="36"/>
    </row>
    <row r="649" spans="2:76" ht="14.25">
      <c r="B649" s="36"/>
      <c r="C649" s="36"/>
      <c r="D649" s="36"/>
      <c r="E649" s="36"/>
      <c r="F649" s="36"/>
      <c r="G649" s="36"/>
      <c r="H649" s="36"/>
      <c r="J649" s="36"/>
      <c r="K649" s="1" t="str">
        <f t="shared" si="95"/>
        <v/>
      </c>
      <c r="L649" s="1" t="str">
        <f t="shared" si="96"/>
        <v/>
      </c>
      <c r="M649" s="94">
        <v>644</v>
      </c>
      <c r="N649" s="36" t="s">
        <v>2300</v>
      </c>
      <c r="O649" s="95">
        <v>310351</v>
      </c>
      <c r="P649" s="36"/>
      <c r="AI649" s="122">
        <v>337</v>
      </c>
      <c r="AJ649" s="1" t="s">
        <v>1992</v>
      </c>
      <c r="AK649" s="1">
        <v>310044</v>
      </c>
      <c r="AL649" s="1" t="s">
        <v>930</v>
      </c>
      <c r="AN649" s="270">
        <v>743</v>
      </c>
      <c r="AQ649" s="1">
        <v>501</v>
      </c>
      <c r="AR649" s="1" t="s">
        <v>537</v>
      </c>
      <c r="AS649" s="1">
        <v>210394</v>
      </c>
      <c r="AT649" s="1" t="s">
        <v>116</v>
      </c>
      <c r="AV649" s="241">
        <v>995</v>
      </c>
      <c r="BM649" s="138">
        <f t="shared" si="93"/>
        <v>0</v>
      </c>
      <c r="BN649" s="42">
        <f t="shared" si="94"/>
        <v>0</v>
      </c>
      <c r="BS649" s="1">
        <v>10276</v>
      </c>
      <c r="BT649" s="1" t="s">
        <v>902</v>
      </c>
      <c r="BX649" s="36"/>
    </row>
    <row r="650" spans="2:76" ht="14.25">
      <c r="B650" s="36"/>
      <c r="C650" s="36"/>
      <c r="D650" s="36"/>
      <c r="E650" s="36"/>
      <c r="F650" s="36"/>
      <c r="G650" s="36"/>
      <c r="H650" s="36"/>
      <c r="J650" s="36"/>
      <c r="K650" s="1" t="str">
        <f t="shared" si="95"/>
        <v/>
      </c>
      <c r="L650" s="1" t="str">
        <f t="shared" si="96"/>
        <v/>
      </c>
      <c r="M650" s="94">
        <v>645</v>
      </c>
      <c r="N650" s="36" t="s">
        <v>2301</v>
      </c>
      <c r="O650" s="95">
        <v>310352</v>
      </c>
      <c r="P650" s="36"/>
      <c r="AI650" s="122">
        <v>338</v>
      </c>
      <c r="AJ650" s="1" t="s">
        <v>1993</v>
      </c>
      <c r="AK650" s="1">
        <v>310045</v>
      </c>
      <c r="AL650" s="1" t="s">
        <v>115</v>
      </c>
      <c r="AN650" s="270">
        <v>744</v>
      </c>
      <c r="AQ650" s="1">
        <v>502</v>
      </c>
      <c r="AR650" s="1" t="s">
        <v>538</v>
      </c>
      <c r="AS650" s="1">
        <v>210395</v>
      </c>
      <c r="AT650" s="1" t="s">
        <v>115</v>
      </c>
      <c r="AV650" s="241">
        <v>996</v>
      </c>
      <c r="BM650" s="138">
        <f t="shared" si="93"/>
        <v>0</v>
      </c>
      <c r="BN650" s="42">
        <f t="shared" si="94"/>
        <v>0</v>
      </c>
      <c r="BS650" s="1">
        <v>10277</v>
      </c>
      <c r="BT650" s="1" t="s">
        <v>902</v>
      </c>
      <c r="BX650" s="36"/>
    </row>
    <row r="651" spans="2:76" ht="14.25">
      <c r="B651" s="36"/>
      <c r="C651" s="36"/>
      <c r="D651" s="36"/>
      <c r="E651" s="36"/>
      <c r="F651" s="36"/>
      <c r="G651" s="36"/>
      <c r="H651" s="36"/>
      <c r="J651" s="36"/>
      <c r="K651" s="1" t="str">
        <f t="shared" si="95"/>
        <v/>
      </c>
      <c r="L651" s="1" t="str">
        <f t="shared" si="96"/>
        <v/>
      </c>
      <c r="M651" s="94">
        <v>646</v>
      </c>
      <c r="N651" s="36" t="s">
        <v>2302</v>
      </c>
      <c r="O651" s="95">
        <v>310353</v>
      </c>
      <c r="P651" s="36"/>
      <c r="AI651" s="122">
        <v>339</v>
      </c>
      <c r="AJ651" s="1" t="s">
        <v>1994</v>
      </c>
      <c r="AK651" s="1">
        <v>310046</v>
      </c>
      <c r="AL651" s="1" t="s">
        <v>930</v>
      </c>
      <c r="AN651" s="270">
        <v>745</v>
      </c>
      <c r="AQ651" s="1">
        <v>503</v>
      </c>
      <c r="AR651" s="1" t="s">
        <v>539</v>
      </c>
      <c r="AS651" s="1">
        <v>210396</v>
      </c>
      <c r="AT651" s="1" t="s">
        <v>115</v>
      </c>
      <c r="AV651" s="241">
        <v>997</v>
      </c>
      <c r="BM651" s="138">
        <f t="shared" si="93"/>
        <v>0</v>
      </c>
      <c r="BN651" s="42">
        <f t="shared" si="94"/>
        <v>0</v>
      </c>
      <c r="BS651" s="1">
        <v>10278</v>
      </c>
      <c r="BT651" s="1" t="s">
        <v>902</v>
      </c>
      <c r="BX651" s="36"/>
    </row>
    <row r="652" spans="2:76" ht="14.25">
      <c r="B652" s="36"/>
      <c r="C652" s="36"/>
      <c r="D652" s="36"/>
      <c r="E652" s="36"/>
      <c r="F652" s="36"/>
      <c r="G652" s="36"/>
      <c r="H652" s="36"/>
      <c r="J652" s="36"/>
      <c r="K652" s="1" t="str">
        <f t="shared" si="95"/>
        <v/>
      </c>
      <c r="L652" s="1" t="str">
        <f t="shared" si="96"/>
        <v/>
      </c>
      <c r="M652" s="94">
        <v>647</v>
      </c>
      <c r="N652" s="36" t="s">
        <v>2303</v>
      </c>
      <c r="O652" s="95">
        <v>310354</v>
      </c>
      <c r="P652" s="36"/>
      <c r="AI652" s="122">
        <v>340</v>
      </c>
      <c r="AJ652" s="1" t="s">
        <v>1995</v>
      </c>
      <c r="AK652" s="1">
        <v>310047</v>
      </c>
      <c r="AL652" s="1" t="s">
        <v>115</v>
      </c>
      <c r="AN652" s="270">
        <v>746</v>
      </c>
      <c r="AQ652" s="1">
        <v>504</v>
      </c>
      <c r="AR652" s="1" t="s">
        <v>540</v>
      </c>
      <c r="AS652" s="1">
        <v>210397</v>
      </c>
      <c r="AT652" s="1" t="s">
        <v>116</v>
      </c>
      <c r="AV652" s="241">
        <v>998</v>
      </c>
      <c r="BM652" s="138">
        <f t="shared" si="93"/>
        <v>0</v>
      </c>
      <c r="BN652" s="42">
        <f t="shared" si="94"/>
        <v>0</v>
      </c>
      <c r="BS652" s="1">
        <v>10279</v>
      </c>
      <c r="BT652" s="1" t="s">
        <v>902</v>
      </c>
      <c r="BX652" s="36"/>
    </row>
    <row r="653" spans="2:76" ht="14.25">
      <c r="B653" s="36"/>
      <c r="C653" s="36"/>
      <c r="D653" s="36"/>
      <c r="E653" s="36"/>
      <c r="F653" s="36"/>
      <c r="G653" s="36"/>
      <c r="H653" s="36"/>
      <c r="J653" s="36"/>
      <c r="K653" s="1" t="str">
        <f t="shared" si="95"/>
        <v/>
      </c>
      <c r="L653" s="1" t="str">
        <f t="shared" si="96"/>
        <v/>
      </c>
      <c r="M653" s="94">
        <v>648</v>
      </c>
      <c r="N653" s="36" t="s">
        <v>2304</v>
      </c>
      <c r="O653" s="95">
        <v>310355</v>
      </c>
      <c r="P653" s="36"/>
      <c r="AI653" s="122">
        <v>341</v>
      </c>
      <c r="AJ653" s="1" t="s">
        <v>1996</v>
      </c>
      <c r="AK653" s="1">
        <v>310048</v>
      </c>
      <c r="AL653" s="1" t="s">
        <v>930</v>
      </c>
      <c r="AN653" s="270">
        <v>747</v>
      </c>
      <c r="AQ653" s="1">
        <v>505</v>
      </c>
      <c r="AR653" s="1" t="s">
        <v>541</v>
      </c>
      <c r="AS653" s="1">
        <v>210398</v>
      </c>
      <c r="AT653" s="1" t="s">
        <v>115</v>
      </c>
      <c r="AV653" s="241">
        <v>999</v>
      </c>
      <c r="BM653" s="138">
        <f t="shared" si="93"/>
        <v>0</v>
      </c>
      <c r="BN653" s="42">
        <f t="shared" si="94"/>
        <v>0</v>
      </c>
      <c r="BS653" s="1">
        <v>10280</v>
      </c>
      <c r="BT653" s="1" t="s">
        <v>902</v>
      </c>
      <c r="BX653" s="36"/>
    </row>
    <row r="654" spans="2:76" ht="14.25">
      <c r="B654" s="36"/>
      <c r="C654" s="36"/>
      <c r="D654" s="36"/>
      <c r="E654" s="36"/>
      <c r="F654" s="36"/>
      <c r="G654" s="36"/>
      <c r="H654" s="36"/>
      <c r="J654" s="36"/>
      <c r="K654" s="1" t="str">
        <f t="shared" si="95"/>
        <v/>
      </c>
      <c r="L654" s="1" t="str">
        <f t="shared" si="96"/>
        <v/>
      </c>
      <c r="M654" s="94">
        <v>649</v>
      </c>
      <c r="N654" s="36" t="s">
        <v>2305</v>
      </c>
      <c r="O654" s="95">
        <v>310356</v>
      </c>
      <c r="P654" s="36"/>
      <c r="AI654" s="122">
        <v>342</v>
      </c>
      <c r="AJ654" s="1" t="s">
        <v>1997</v>
      </c>
      <c r="AK654" s="1">
        <v>310049</v>
      </c>
      <c r="AL654" s="1" t="s">
        <v>930</v>
      </c>
      <c r="AN654" s="270">
        <v>748</v>
      </c>
      <c r="AQ654" s="1">
        <v>506</v>
      </c>
      <c r="AR654" s="1" t="s">
        <v>542</v>
      </c>
      <c r="AS654" s="1">
        <v>210399</v>
      </c>
      <c r="AT654" s="1" t="s">
        <v>116</v>
      </c>
      <c r="AV654" s="241">
        <v>0</v>
      </c>
      <c r="BM654" s="138">
        <f t="shared" si="93"/>
        <v>0</v>
      </c>
      <c r="BN654" s="42">
        <f t="shared" si="94"/>
        <v>0</v>
      </c>
      <c r="BS654" s="1">
        <v>10281</v>
      </c>
      <c r="BT654" s="1" t="s">
        <v>902</v>
      </c>
      <c r="BX654" s="36"/>
    </row>
    <row r="655" spans="2:76" ht="14.25">
      <c r="B655" s="36"/>
      <c r="C655" s="36"/>
      <c r="D655" s="36"/>
      <c r="E655" s="36"/>
      <c r="F655" s="36"/>
      <c r="G655" s="36"/>
      <c r="H655" s="36"/>
      <c r="J655" s="36"/>
      <c r="K655" s="1" t="str">
        <f t="shared" si="95"/>
        <v/>
      </c>
      <c r="L655" s="1" t="str">
        <f t="shared" si="96"/>
        <v/>
      </c>
      <c r="M655" s="94">
        <v>650</v>
      </c>
      <c r="N655" s="36" t="s">
        <v>2306</v>
      </c>
      <c r="O655" s="95">
        <v>310357</v>
      </c>
      <c r="P655" s="36"/>
      <c r="AI655" s="122">
        <v>343</v>
      </c>
      <c r="AJ655" s="1" t="s">
        <v>1998</v>
      </c>
      <c r="AK655" s="1">
        <v>310050</v>
      </c>
      <c r="AL655" s="1" t="s">
        <v>115</v>
      </c>
      <c r="AN655" s="270">
        <v>749</v>
      </c>
      <c r="AQ655" s="1">
        <v>507</v>
      </c>
      <c r="AR655" s="1" t="s">
        <v>543</v>
      </c>
      <c r="AS655" s="1">
        <v>210400</v>
      </c>
      <c r="AT655" s="1" t="s">
        <v>115</v>
      </c>
      <c r="AV655" s="241">
        <v>1</v>
      </c>
      <c r="BM655" s="138">
        <f t="shared" si="93"/>
        <v>0</v>
      </c>
      <c r="BN655" s="42">
        <f t="shared" si="94"/>
        <v>0</v>
      </c>
      <c r="BS655" s="1">
        <v>10282</v>
      </c>
      <c r="BT655" s="1" t="s">
        <v>902</v>
      </c>
      <c r="BX655" s="36"/>
    </row>
    <row r="656" spans="2:76" ht="14.25">
      <c r="B656" s="36"/>
      <c r="C656" s="36"/>
      <c r="D656" s="36"/>
      <c r="E656" s="36"/>
      <c r="F656" s="36"/>
      <c r="G656" s="36"/>
      <c r="H656" s="36"/>
      <c r="J656" s="36"/>
      <c r="K656" s="1" t="str">
        <f t="shared" si="95"/>
        <v/>
      </c>
      <c r="L656" s="1" t="str">
        <f t="shared" si="96"/>
        <v/>
      </c>
      <c r="M656" s="94">
        <v>651</v>
      </c>
      <c r="N656" s="36" t="s">
        <v>2307</v>
      </c>
      <c r="O656" s="95">
        <v>310358</v>
      </c>
      <c r="P656" s="36"/>
      <c r="AI656" s="122">
        <v>344</v>
      </c>
      <c r="AJ656" s="1" t="s">
        <v>1999</v>
      </c>
      <c r="AK656" s="1">
        <v>310051</v>
      </c>
      <c r="AL656" s="1" t="s">
        <v>930</v>
      </c>
      <c r="AN656" s="270">
        <v>750</v>
      </c>
      <c r="AQ656" s="1">
        <v>508</v>
      </c>
      <c r="AR656" s="1" t="s">
        <v>544</v>
      </c>
      <c r="AS656" s="1">
        <v>210401</v>
      </c>
      <c r="AT656" s="1" t="s">
        <v>115</v>
      </c>
      <c r="AV656" s="241">
        <v>2</v>
      </c>
      <c r="BM656" s="138">
        <f t="shared" si="93"/>
        <v>0</v>
      </c>
      <c r="BN656" s="42">
        <f t="shared" si="94"/>
        <v>0</v>
      </c>
      <c r="BS656" s="1">
        <v>10283</v>
      </c>
      <c r="BT656" s="1" t="s">
        <v>902</v>
      </c>
      <c r="BX656" s="36"/>
    </row>
    <row r="657" spans="2:76" ht="14.25">
      <c r="B657" s="36"/>
      <c r="C657" s="36"/>
      <c r="D657" s="36"/>
      <c r="E657" s="36"/>
      <c r="F657" s="36"/>
      <c r="G657" s="36"/>
      <c r="H657" s="36"/>
      <c r="J657" s="36"/>
      <c r="K657" s="1" t="str">
        <f t="shared" si="95"/>
        <v/>
      </c>
      <c r="L657" s="1" t="str">
        <f t="shared" si="96"/>
        <v/>
      </c>
      <c r="M657" s="94">
        <v>652</v>
      </c>
      <c r="N657" s="36" t="s">
        <v>2308</v>
      </c>
      <c r="O657" s="95">
        <v>310359</v>
      </c>
      <c r="P657" s="36"/>
      <c r="AI657" s="122">
        <v>345</v>
      </c>
      <c r="AJ657" s="1" t="s">
        <v>2000</v>
      </c>
      <c r="AK657" s="1">
        <v>310052</v>
      </c>
      <c r="AL657" s="1" t="s">
        <v>115</v>
      </c>
      <c r="AN657" s="270">
        <v>751</v>
      </c>
      <c r="AQ657" s="1">
        <v>509</v>
      </c>
      <c r="AR657" s="1" t="s">
        <v>545</v>
      </c>
      <c r="AS657" s="1">
        <v>210402</v>
      </c>
      <c r="AT657" s="1" t="s">
        <v>116</v>
      </c>
      <c r="AV657" s="241">
        <v>3</v>
      </c>
      <c r="BM657" s="138">
        <f t="shared" si="93"/>
        <v>0</v>
      </c>
      <c r="BN657" s="42">
        <f t="shared" si="94"/>
        <v>0</v>
      </c>
      <c r="BS657" s="1">
        <v>10284</v>
      </c>
      <c r="BT657" s="1" t="s">
        <v>902</v>
      </c>
      <c r="BX657" s="36"/>
    </row>
    <row r="658" spans="2:76" ht="14.25">
      <c r="B658" s="36"/>
      <c r="C658" s="36"/>
      <c r="D658" s="36"/>
      <c r="E658" s="36"/>
      <c r="F658" s="36"/>
      <c r="G658" s="36"/>
      <c r="H658" s="36"/>
      <c r="J658" s="36"/>
      <c r="K658" s="1" t="str">
        <f t="shared" si="95"/>
        <v/>
      </c>
      <c r="L658" s="1" t="str">
        <f t="shared" si="96"/>
        <v/>
      </c>
      <c r="M658" s="94">
        <v>653</v>
      </c>
      <c r="N658" s="36" t="s">
        <v>2309</v>
      </c>
      <c r="O658" s="95">
        <v>310360</v>
      </c>
      <c r="P658" s="36"/>
      <c r="AI658" s="122">
        <v>346</v>
      </c>
      <c r="AJ658" s="1" t="s">
        <v>2001</v>
      </c>
      <c r="AK658" s="1">
        <v>310053</v>
      </c>
      <c r="AL658" s="1" t="s">
        <v>930</v>
      </c>
      <c r="AN658" s="270">
        <v>752</v>
      </c>
      <c r="AQ658" s="1">
        <v>510</v>
      </c>
      <c r="AR658" s="1" t="s">
        <v>546</v>
      </c>
      <c r="AS658" s="1">
        <v>210403</v>
      </c>
      <c r="AT658" s="1" t="s">
        <v>115</v>
      </c>
      <c r="AV658" s="241">
        <v>4</v>
      </c>
      <c r="BM658" s="138">
        <f t="shared" si="93"/>
        <v>0</v>
      </c>
      <c r="BN658" s="42">
        <f t="shared" si="94"/>
        <v>0</v>
      </c>
      <c r="BS658" s="1">
        <v>10285</v>
      </c>
      <c r="BT658" s="1" t="s">
        <v>902</v>
      </c>
      <c r="BX658" s="36"/>
    </row>
    <row r="659" spans="2:76" ht="14.25">
      <c r="B659" s="36"/>
      <c r="C659" s="36"/>
      <c r="D659" s="36"/>
      <c r="E659" s="36"/>
      <c r="F659" s="36"/>
      <c r="G659" s="36"/>
      <c r="H659" s="36"/>
      <c r="J659" s="36"/>
      <c r="K659" s="1" t="str">
        <f t="shared" si="95"/>
        <v/>
      </c>
      <c r="L659" s="1" t="str">
        <f t="shared" si="96"/>
        <v/>
      </c>
      <c r="M659" s="94">
        <v>654</v>
      </c>
      <c r="N659" s="36" t="s">
        <v>2310</v>
      </c>
      <c r="O659" s="95">
        <v>310361</v>
      </c>
      <c r="P659" s="36"/>
      <c r="AI659" s="122">
        <v>347</v>
      </c>
      <c r="AJ659" s="1" t="s">
        <v>2002</v>
      </c>
      <c r="AK659" s="1">
        <v>310054</v>
      </c>
      <c r="AL659" s="1" t="s">
        <v>115</v>
      </c>
      <c r="AN659" s="270">
        <v>753</v>
      </c>
      <c r="AQ659" s="1">
        <v>511</v>
      </c>
      <c r="AR659" s="1" t="s">
        <v>547</v>
      </c>
      <c r="AS659" s="1">
        <v>210404</v>
      </c>
      <c r="AT659" s="1" t="s">
        <v>116</v>
      </c>
      <c r="AV659" s="241">
        <v>5</v>
      </c>
      <c r="BM659" s="138">
        <f t="shared" si="93"/>
        <v>0</v>
      </c>
      <c r="BN659" s="42">
        <f t="shared" si="94"/>
        <v>0</v>
      </c>
      <c r="BS659" s="1">
        <v>10286</v>
      </c>
      <c r="BT659" s="1" t="s">
        <v>902</v>
      </c>
      <c r="BX659" s="36"/>
    </row>
    <row r="660" spans="2:76" ht="14.25">
      <c r="B660" s="36"/>
      <c r="C660" s="36"/>
      <c r="D660" s="36"/>
      <c r="E660" s="36"/>
      <c r="F660" s="36"/>
      <c r="G660" s="36"/>
      <c r="H660" s="36"/>
      <c r="J660" s="36"/>
      <c r="K660" s="1" t="str">
        <f t="shared" si="95"/>
        <v/>
      </c>
      <c r="L660" s="1" t="str">
        <f t="shared" si="96"/>
        <v/>
      </c>
      <c r="M660" s="94">
        <v>655</v>
      </c>
      <c r="N660" s="36" t="s">
        <v>2311</v>
      </c>
      <c r="O660" s="95">
        <v>310362</v>
      </c>
      <c r="P660" s="36"/>
      <c r="AI660" s="122">
        <v>348</v>
      </c>
      <c r="AJ660" s="1" t="s">
        <v>2003</v>
      </c>
      <c r="AK660" s="1">
        <v>310055</v>
      </c>
      <c r="AL660" s="1" t="s">
        <v>930</v>
      </c>
      <c r="AN660" s="270">
        <v>754</v>
      </c>
      <c r="AQ660" s="1">
        <v>512</v>
      </c>
      <c r="AR660" s="1" t="s">
        <v>548</v>
      </c>
      <c r="AS660" s="1">
        <v>210405</v>
      </c>
      <c r="AT660" s="1" t="s">
        <v>115</v>
      </c>
      <c r="AV660" s="241">
        <v>6</v>
      </c>
      <c r="BM660" s="138">
        <f t="shared" si="93"/>
        <v>0</v>
      </c>
      <c r="BN660" s="42">
        <f t="shared" si="94"/>
        <v>0</v>
      </c>
      <c r="BS660" s="1">
        <v>10287</v>
      </c>
      <c r="BT660" s="1" t="s">
        <v>902</v>
      </c>
      <c r="BX660" s="36"/>
    </row>
    <row r="661" spans="2:76" ht="14.25">
      <c r="B661" s="36"/>
      <c r="C661" s="36"/>
      <c r="D661" s="36"/>
      <c r="E661" s="36"/>
      <c r="F661" s="36"/>
      <c r="G661" s="36"/>
      <c r="H661" s="36"/>
      <c r="J661" s="36"/>
      <c r="K661" s="1" t="str">
        <f t="shared" si="95"/>
        <v/>
      </c>
      <c r="L661" s="1" t="str">
        <f t="shared" si="96"/>
        <v/>
      </c>
      <c r="M661" s="94">
        <v>656</v>
      </c>
      <c r="N661" s="36" t="s">
        <v>2312</v>
      </c>
      <c r="O661" s="95">
        <v>310363</v>
      </c>
      <c r="P661" s="36"/>
      <c r="AI661" s="122">
        <v>349</v>
      </c>
      <c r="AJ661" s="1" t="s">
        <v>2004</v>
      </c>
      <c r="AK661" s="1">
        <v>310056</v>
      </c>
      <c r="AL661" s="1" t="s">
        <v>930</v>
      </c>
      <c r="AN661" s="270">
        <v>755</v>
      </c>
      <c r="AQ661" s="1">
        <v>513</v>
      </c>
      <c r="AR661" s="1" t="s">
        <v>549</v>
      </c>
      <c r="AS661" s="1">
        <v>210406</v>
      </c>
      <c r="AT661" s="1" t="s">
        <v>116</v>
      </c>
      <c r="AV661" s="241">
        <v>7</v>
      </c>
      <c r="BM661" s="138">
        <f t="shared" si="93"/>
        <v>0</v>
      </c>
      <c r="BN661" s="42">
        <f t="shared" si="94"/>
        <v>0</v>
      </c>
      <c r="BS661" s="1">
        <v>10288</v>
      </c>
      <c r="BT661" s="1" t="s">
        <v>902</v>
      </c>
      <c r="BX661" s="36"/>
    </row>
    <row r="662" spans="2:76" ht="14.25">
      <c r="B662" s="36"/>
      <c r="C662" s="36"/>
      <c r="D662" s="36"/>
      <c r="E662" s="36"/>
      <c r="F662" s="36"/>
      <c r="G662" s="36"/>
      <c r="H662" s="36"/>
      <c r="J662" s="36"/>
      <c r="K662" s="1" t="str">
        <f t="shared" si="95"/>
        <v/>
      </c>
      <c r="L662" s="1" t="str">
        <f t="shared" si="96"/>
        <v/>
      </c>
      <c r="M662" s="94">
        <v>657</v>
      </c>
      <c r="N662" s="36" t="s">
        <v>2313</v>
      </c>
      <c r="O662" s="95">
        <v>310364</v>
      </c>
      <c r="P662" s="36"/>
      <c r="AI662" s="122">
        <v>350</v>
      </c>
      <c r="AJ662" s="1" t="s">
        <v>2005</v>
      </c>
      <c r="AK662" s="1">
        <v>310057</v>
      </c>
      <c r="AL662" s="1" t="s">
        <v>115</v>
      </c>
      <c r="AN662" s="270">
        <v>756</v>
      </c>
      <c r="AQ662" s="1">
        <v>514</v>
      </c>
      <c r="AR662" s="1" t="s">
        <v>550</v>
      </c>
      <c r="AS662" s="1">
        <v>210407</v>
      </c>
      <c r="AT662" s="1" t="s">
        <v>115</v>
      </c>
      <c r="AV662" s="241">
        <v>8</v>
      </c>
      <c r="BM662" s="138">
        <f t="shared" si="93"/>
        <v>0</v>
      </c>
      <c r="BN662" s="42">
        <f t="shared" si="94"/>
        <v>0</v>
      </c>
      <c r="BS662" s="1">
        <v>10289</v>
      </c>
      <c r="BT662" s="1" t="s">
        <v>902</v>
      </c>
      <c r="BX662" s="36"/>
    </row>
    <row r="663" spans="2:76" ht="14.25">
      <c r="B663" s="36"/>
      <c r="C663" s="36"/>
      <c r="D663" s="36"/>
      <c r="E663" s="36"/>
      <c r="F663" s="36"/>
      <c r="G663" s="36"/>
      <c r="H663" s="36"/>
      <c r="J663" s="36"/>
      <c r="K663" s="1" t="str">
        <f t="shared" si="95"/>
        <v/>
      </c>
      <c r="L663" s="1" t="str">
        <f t="shared" si="96"/>
        <v/>
      </c>
      <c r="M663" s="94">
        <v>658</v>
      </c>
      <c r="N663" s="36" t="s">
        <v>2314</v>
      </c>
      <c r="O663" s="95">
        <v>310365</v>
      </c>
      <c r="P663" s="36"/>
      <c r="AI663" s="122">
        <v>351</v>
      </c>
      <c r="AJ663" s="1" t="s">
        <v>2006</v>
      </c>
      <c r="AK663" s="1">
        <v>310058</v>
      </c>
      <c r="AL663" s="1" t="s">
        <v>930</v>
      </c>
      <c r="AN663" s="270">
        <v>757</v>
      </c>
      <c r="AQ663" s="1">
        <v>515</v>
      </c>
      <c r="AR663" s="1" t="s">
        <v>551</v>
      </c>
      <c r="AS663" s="1">
        <v>210408</v>
      </c>
      <c r="AT663" s="1" t="s">
        <v>115</v>
      </c>
      <c r="AV663" s="241">
        <v>9</v>
      </c>
      <c r="BM663" s="138">
        <f t="shared" si="93"/>
        <v>0</v>
      </c>
      <c r="BN663" s="42">
        <f t="shared" si="94"/>
        <v>0</v>
      </c>
      <c r="BS663" s="1">
        <v>10290</v>
      </c>
      <c r="BT663" s="1" t="s">
        <v>902</v>
      </c>
      <c r="BX663" s="36"/>
    </row>
    <row r="664" spans="2:76" ht="14.25">
      <c r="B664" s="36"/>
      <c r="C664" s="36"/>
      <c r="D664" s="36"/>
      <c r="E664" s="36"/>
      <c r="F664" s="36"/>
      <c r="G664" s="36"/>
      <c r="H664" s="36"/>
      <c r="J664" s="36"/>
      <c r="K664" s="1" t="str">
        <f t="shared" si="95"/>
        <v/>
      </c>
      <c r="L664" s="1" t="str">
        <f t="shared" si="96"/>
        <v/>
      </c>
      <c r="M664" s="94">
        <v>659</v>
      </c>
      <c r="N664" s="36" t="s">
        <v>2315</v>
      </c>
      <c r="O664" s="95">
        <v>310366</v>
      </c>
      <c r="P664" s="36"/>
      <c r="AI664" s="122">
        <v>352</v>
      </c>
      <c r="AJ664" s="1" t="s">
        <v>2007</v>
      </c>
      <c r="AK664" s="1">
        <v>310059</v>
      </c>
      <c r="AL664" s="1" t="s">
        <v>115</v>
      </c>
      <c r="AN664" s="270">
        <v>758</v>
      </c>
      <c r="AQ664" s="1">
        <v>516</v>
      </c>
      <c r="AR664" s="1" t="s">
        <v>552</v>
      </c>
      <c r="AS664" s="1">
        <v>210409</v>
      </c>
      <c r="AT664" s="1" t="s">
        <v>116</v>
      </c>
      <c r="AV664" s="241">
        <v>10</v>
      </c>
      <c r="BM664" s="138">
        <f t="shared" si="93"/>
        <v>0</v>
      </c>
      <c r="BN664" s="42">
        <f t="shared" si="94"/>
        <v>0</v>
      </c>
      <c r="BS664" s="1">
        <v>10291</v>
      </c>
      <c r="BT664" s="1" t="s">
        <v>902</v>
      </c>
      <c r="BX664" s="36"/>
    </row>
    <row r="665" spans="2:76" ht="14.25">
      <c r="B665" s="36"/>
      <c r="C665" s="36"/>
      <c r="D665" s="36"/>
      <c r="E665" s="36"/>
      <c r="F665" s="36"/>
      <c r="G665" s="36"/>
      <c r="H665" s="36"/>
      <c r="J665" s="36"/>
      <c r="K665" s="1" t="str">
        <f t="shared" si="95"/>
        <v/>
      </c>
      <c r="L665" s="1" t="str">
        <f t="shared" si="96"/>
        <v/>
      </c>
      <c r="M665" s="94">
        <v>660</v>
      </c>
      <c r="N665" s="36" t="s">
        <v>2316</v>
      </c>
      <c r="O665" s="95">
        <v>310367</v>
      </c>
      <c r="P665" s="36"/>
      <c r="AI665" s="122">
        <v>353</v>
      </c>
      <c r="AJ665" s="1" t="s">
        <v>2008</v>
      </c>
      <c r="AK665" s="1">
        <v>310060</v>
      </c>
      <c r="AL665" s="1" t="s">
        <v>930</v>
      </c>
      <c r="AN665" s="270">
        <v>759</v>
      </c>
      <c r="AQ665" s="1">
        <v>517</v>
      </c>
      <c r="AR665" s="1" t="s">
        <v>553</v>
      </c>
      <c r="AS665" s="1">
        <v>210410</v>
      </c>
      <c r="AT665" s="1" t="s">
        <v>115</v>
      </c>
      <c r="AV665" s="241">
        <v>11</v>
      </c>
      <c r="BM665" s="138">
        <f t="shared" si="93"/>
        <v>0</v>
      </c>
      <c r="BN665" s="42">
        <f t="shared" si="94"/>
        <v>0</v>
      </c>
      <c r="BS665" s="1">
        <v>10292</v>
      </c>
      <c r="BT665" s="1" t="s">
        <v>902</v>
      </c>
      <c r="BX665" s="36"/>
    </row>
    <row r="666" spans="2:76" ht="14.25">
      <c r="B666" s="36"/>
      <c r="C666" s="36"/>
      <c r="D666" s="36"/>
      <c r="E666" s="36"/>
      <c r="F666" s="36"/>
      <c r="G666" s="36"/>
      <c r="H666" s="36"/>
      <c r="J666" s="36"/>
      <c r="K666" s="1" t="str">
        <f t="shared" si="95"/>
        <v/>
      </c>
      <c r="L666" s="1" t="str">
        <f t="shared" si="96"/>
        <v/>
      </c>
      <c r="M666" s="94">
        <v>661</v>
      </c>
      <c r="N666" s="36" t="s">
        <v>2317</v>
      </c>
      <c r="O666" s="95">
        <v>310368</v>
      </c>
      <c r="P666" s="36"/>
      <c r="AI666" s="122">
        <v>354</v>
      </c>
      <c r="AJ666" s="1" t="s">
        <v>2009</v>
      </c>
      <c r="AK666" s="1">
        <v>310061</v>
      </c>
      <c r="AL666" s="1" t="s">
        <v>930</v>
      </c>
      <c r="AN666" s="270">
        <v>760</v>
      </c>
      <c r="AQ666" s="1">
        <v>518</v>
      </c>
      <c r="AR666" s="1" t="s">
        <v>554</v>
      </c>
      <c r="AS666" s="1">
        <v>210411</v>
      </c>
      <c r="AT666" s="1" t="s">
        <v>116</v>
      </c>
      <c r="AV666" s="241">
        <v>12</v>
      </c>
      <c r="BM666" s="138">
        <f t="shared" si="93"/>
        <v>0</v>
      </c>
      <c r="BN666" s="42">
        <f t="shared" si="94"/>
        <v>0</v>
      </c>
      <c r="BS666" s="1">
        <v>10293</v>
      </c>
      <c r="BT666" s="1" t="s">
        <v>902</v>
      </c>
      <c r="BX666" s="36"/>
    </row>
    <row r="667" spans="2:76" ht="14.25">
      <c r="B667" s="36"/>
      <c r="C667" s="36"/>
      <c r="D667" s="36"/>
      <c r="E667" s="36"/>
      <c r="F667" s="36"/>
      <c r="G667" s="36"/>
      <c r="H667" s="36"/>
      <c r="J667" s="36"/>
      <c r="K667" s="1" t="str">
        <f t="shared" si="95"/>
        <v/>
      </c>
      <c r="L667" s="1" t="str">
        <f t="shared" si="96"/>
        <v/>
      </c>
      <c r="M667" s="94">
        <v>662</v>
      </c>
      <c r="N667" s="36" t="s">
        <v>2318</v>
      </c>
      <c r="O667" s="95">
        <v>310369</v>
      </c>
      <c r="P667" s="36"/>
      <c r="AI667" s="122">
        <v>355</v>
      </c>
      <c r="AJ667" s="1" t="s">
        <v>2010</v>
      </c>
      <c r="AK667" s="1">
        <v>310062</v>
      </c>
      <c r="AL667" s="1" t="s">
        <v>115</v>
      </c>
      <c r="AN667" s="270">
        <v>761</v>
      </c>
      <c r="AQ667" s="1">
        <v>519</v>
      </c>
      <c r="AR667" s="1" t="s">
        <v>555</v>
      </c>
      <c r="AS667" s="1">
        <v>210412</v>
      </c>
      <c r="AT667" s="1" t="s">
        <v>115</v>
      </c>
      <c r="AV667" s="241">
        <v>13</v>
      </c>
      <c r="BM667" s="138">
        <f t="shared" si="93"/>
        <v>0</v>
      </c>
      <c r="BN667" s="42">
        <f t="shared" si="94"/>
        <v>0</v>
      </c>
      <c r="BS667" s="1">
        <v>10294</v>
      </c>
      <c r="BT667" s="1" t="s">
        <v>902</v>
      </c>
      <c r="BX667" s="36"/>
    </row>
    <row r="668" spans="2:76" ht="14.25">
      <c r="B668" s="36"/>
      <c r="C668" s="36"/>
      <c r="D668" s="36"/>
      <c r="E668" s="36"/>
      <c r="F668" s="36"/>
      <c r="G668" s="36"/>
      <c r="H668" s="36"/>
      <c r="J668" s="36"/>
      <c r="K668" s="1" t="str">
        <f t="shared" si="95"/>
        <v/>
      </c>
      <c r="L668" s="1" t="str">
        <f t="shared" si="96"/>
        <v/>
      </c>
      <c r="M668" s="94">
        <v>663</v>
      </c>
      <c r="N668" s="36" t="s">
        <v>2319</v>
      </c>
      <c r="O668" s="95">
        <v>310370</v>
      </c>
      <c r="P668" s="36"/>
      <c r="AI668" s="122">
        <v>356</v>
      </c>
      <c r="AJ668" s="1" t="s">
        <v>2011</v>
      </c>
      <c r="AK668" s="1">
        <v>310063</v>
      </c>
      <c r="AL668" s="1" t="s">
        <v>930</v>
      </c>
      <c r="AN668" s="270">
        <v>762</v>
      </c>
      <c r="AQ668" s="1">
        <v>520</v>
      </c>
      <c r="AR668" s="1" t="s">
        <v>556</v>
      </c>
      <c r="AS668" s="1">
        <v>210413</v>
      </c>
      <c r="AT668" s="1" t="s">
        <v>115</v>
      </c>
      <c r="AV668" s="241">
        <v>14</v>
      </c>
      <c r="BM668" s="138">
        <f t="shared" si="93"/>
        <v>0</v>
      </c>
      <c r="BN668" s="42">
        <f t="shared" si="94"/>
        <v>0</v>
      </c>
      <c r="BS668" s="1">
        <v>10295</v>
      </c>
      <c r="BT668" s="1" t="s">
        <v>902</v>
      </c>
      <c r="BX668" s="36"/>
    </row>
    <row r="669" spans="2:76" ht="14.25">
      <c r="B669" s="36"/>
      <c r="C669" s="36"/>
      <c r="D669" s="36"/>
      <c r="E669" s="36"/>
      <c r="F669" s="36"/>
      <c r="G669" s="36"/>
      <c r="H669" s="36"/>
      <c r="J669" s="36"/>
      <c r="K669" s="1" t="str">
        <f t="shared" si="95"/>
        <v/>
      </c>
      <c r="L669" s="1" t="str">
        <f t="shared" si="96"/>
        <v/>
      </c>
      <c r="M669" s="94">
        <v>664</v>
      </c>
      <c r="N669" s="36" t="s">
        <v>2320</v>
      </c>
      <c r="O669" s="95">
        <v>310371</v>
      </c>
      <c r="P669" s="36"/>
      <c r="AI669" s="122">
        <v>357</v>
      </c>
      <c r="AJ669" s="1" t="s">
        <v>2012</v>
      </c>
      <c r="AK669" s="1">
        <v>310064</v>
      </c>
      <c r="AL669" s="1" t="s">
        <v>115</v>
      </c>
      <c r="AN669" s="270">
        <v>763</v>
      </c>
      <c r="AQ669" s="1">
        <v>521</v>
      </c>
      <c r="AR669" s="1" t="s">
        <v>557</v>
      </c>
      <c r="AS669" s="1">
        <v>210414</v>
      </c>
      <c r="AT669" s="1" t="s">
        <v>116</v>
      </c>
      <c r="AV669" s="241">
        <v>15</v>
      </c>
      <c r="BM669" s="138">
        <f t="shared" si="93"/>
        <v>0</v>
      </c>
      <c r="BN669" s="42">
        <f t="shared" si="94"/>
        <v>0</v>
      </c>
      <c r="BS669" s="1">
        <v>10296</v>
      </c>
      <c r="BT669" s="1" t="s">
        <v>902</v>
      </c>
      <c r="BX669" s="36"/>
    </row>
    <row r="670" spans="2:76" ht="14.25">
      <c r="B670" s="36"/>
      <c r="C670" s="36"/>
      <c r="D670" s="36"/>
      <c r="E670" s="36"/>
      <c r="F670" s="36"/>
      <c r="G670" s="36"/>
      <c r="H670" s="36"/>
      <c r="J670" s="36"/>
      <c r="K670" s="1" t="str">
        <f t="shared" si="95"/>
        <v/>
      </c>
      <c r="L670" s="1" t="str">
        <f t="shared" si="96"/>
        <v/>
      </c>
      <c r="M670" s="94">
        <v>665</v>
      </c>
      <c r="N670" s="36" t="s">
        <v>2321</v>
      </c>
      <c r="O670" s="95">
        <v>310372</v>
      </c>
      <c r="P670" s="36"/>
      <c r="AI670" s="122">
        <v>358</v>
      </c>
      <c r="AJ670" s="1" t="s">
        <v>2013</v>
      </c>
      <c r="AK670" s="1">
        <v>310065</v>
      </c>
      <c r="AL670" s="1" t="s">
        <v>930</v>
      </c>
      <c r="AN670" s="270">
        <v>764</v>
      </c>
      <c r="AQ670" s="1">
        <v>522</v>
      </c>
      <c r="AR670" s="1" t="s">
        <v>558</v>
      </c>
      <c r="AS670" s="1">
        <v>210415</v>
      </c>
      <c r="AT670" s="1" t="s">
        <v>115</v>
      </c>
      <c r="AV670" s="241">
        <v>16</v>
      </c>
      <c r="BM670" s="138">
        <f t="shared" si="93"/>
        <v>0</v>
      </c>
      <c r="BN670" s="42">
        <f t="shared" si="94"/>
        <v>0</v>
      </c>
      <c r="BS670" s="1">
        <v>10297</v>
      </c>
      <c r="BT670" s="1" t="s">
        <v>902</v>
      </c>
      <c r="BX670" s="36"/>
    </row>
    <row r="671" spans="2:76" ht="14.25">
      <c r="B671" s="36"/>
      <c r="C671" s="36"/>
      <c r="D671" s="36"/>
      <c r="E671" s="36"/>
      <c r="F671" s="36"/>
      <c r="G671" s="36"/>
      <c r="H671" s="36"/>
      <c r="J671" s="36"/>
      <c r="K671" s="1" t="str">
        <f t="shared" si="95"/>
        <v/>
      </c>
      <c r="L671" s="1" t="str">
        <f t="shared" si="96"/>
        <v/>
      </c>
      <c r="M671" s="94">
        <v>666</v>
      </c>
      <c r="N671" s="36" t="s">
        <v>2322</v>
      </c>
      <c r="O671" s="95">
        <v>310373</v>
      </c>
      <c r="P671" s="36"/>
      <c r="AI671" s="122">
        <v>359</v>
      </c>
      <c r="AJ671" s="1" t="s">
        <v>2014</v>
      </c>
      <c r="AK671" s="1">
        <v>310066</v>
      </c>
      <c r="AL671" s="1" t="s">
        <v>115</v>
      </c>
      <c r="AN671" s="270">
        <v>765</v>
      </c>
      <c r="AQ671" s="1">
        <v>523</v>
      </c>
      <c r="AR671" s="1" t="s">
        <v>559</v>
      </c>
      <c r="AS671" s="1">
        <v>210416</v>
      </c>
      <c r="AT671" s="1" t="s">
        <v>116</v>
      </c>
      <c r="AV671" s="241">
        <v>17</v>
      </c>
      <c r="BM671" s="138">
        <f t="shared" si="93"/>
        <v>0</v>
      </c>
      <c r="BN671" s="42">
        <f t="shared" si="94"/>
        <v>0</v>
      </c>
      <c r="BS671" s="1">
        <v>10298</v>
      </c>
      <c r="BT671" s="1" t="s">
        <v>902</v>
      </c>
      <c r="BX671" s="36"/>
    </row>
    <row r="672" spans="2:76" ht="14.25">
      <c r="B672" s="36"/>
      <c r="C672" s="36"/>
      <c r="D672" s="36"/>
      <c r="E672" s="36"/>
      <c r="F672" s="36"/>
      <c r="G672" s="36"/>
      <c r="H672" s="36"/>
      <c r="J672" s="36"/>
      <c r="K672" s="1" t="str">
        <f t="shared" si="95"/>
        <v/>
      </c>
      <c r="L672" s="1" t="str">
        <f t="shared" si="96"/>
        <v/>
      </c>
      <c r="M672" s="94">
        <v>667</v>
      </c>
      <c r="N672" s="36" t="s">
        <v>2323</v>
      </c>
      <c r="O672" s="95">
        <v>310374</v>
      </c>
      <c r="P672" s="36"/>
      <c r="AI672" s="122">
        <v>360</v>
      </c>
      <c r="AJ672" s="1" t="s">
        <v>2015</v>
      </c>
      <c r="AK672" s="1">
        <v>310067</v>
      </c>
      <c r="AL672" s="1" t="s">
        <v>930</v>
      </c>
      <c r="AN672" s="270">
        <v>766</v>
      </c>
      <c r="AQ672" s="1">
        <v>524</v>
      </c>
      <c r="AR672" s="1" t="s">
        <v>560</v>
      </c>
      <c r="AS672" s="1">
        <v>210417</v>
      </c>
      <c r="AT672" s="1" t="s">
        <v>115</v>
      </c>
      <c r="AV672" s="241">
        <v>18</v>
      </c>
      <c r="BM672" s="138">
        <f t="shared" si="93"/>
        <v>0</v>
      </c>
      <c r="BN672" s="42">
        <f t="shared" si="94"/>
        <v>0</v>
      </c>
      <c r="BS672" s="1">
        <v>10299</v>
      </c>
      <c r="BT672" s="1" t="s">
        <v>902</v>
      </c>
      <c r="BX672" s="36"/>
    </row>
    <row r="673" spans="2:76" ht="14.25">
      <c r="B673" s="36"/>
      <c r="C673" s="36"/>
      <c r="D673" s="36"/>
      <c r="E673" s="36"/>
      <c r="F673" s="36"/>
      <c r="G673" s="36"/>
      <c r="H673" s="36"/>
      <c r="J673" s="36"/>
      <c r="K673" s="1" t="str">
        <f t="shared" si="95"/>
        <v/>
      </c>
      <c r="L673" s="1" t="str">
        <f t="shared" si="96"/>
        <v/>
      </c>
      <c r="M673" s="94">
        <v>668</v>
      </c>
      <c r="N673" s="36" t="s">
        <v>2324</v>
      </c>
      <c r="O673" s="95">
        <v>310375</v>
      </c>
      <c r="P673" s="36"/>
      <c r="AI673" s="122">
        <v>361</v>
      </c>
      <c r="AJ673" s="1" t="s">
        <v>2016</v>
      </c>
      <c r="AK673" s="1">
        <v>310068</v>
      </c>
      <c r="AL673" s="1" t="s">
        <v>930</v>
      </c>
      <c r="AN673" s="270">
        <v>767</v>
      </c>
      <c r="AQ673" s="1">
        <v>525</v>
      </c>
      <c r="AR673" s="1" t="s">
        <v>561</v>
      </c>
      <c r="AS673" s="1">
        <v>210420</v>
      </c>
      <c r="AT673" s="1" t="s">
        <v>115</v>
      </c>
      <c r="AV673" s="241">
        <v>19</v>
      </c>
      <c r="BM673" s="138">
        <f t="shared" si="93"/>
        <v>0</v>
      </c>
      <c r="BN673" s="42">
        <f t="shared" si="94"/>
        <v>0</v>
      </c>
      <c r="BS673" s="1">
        <v>10300</v>
      </c>
      <c r="BT673" s="1" t="s">
        <v>902</v>
      </c>
      <c r="BX673" s="36"/>
    </row>
    <row r="674" spans="2:76" ht="14.25">
      <c r="B674" s="36"/>
      <c r="C674" s="36"/>
      <c r="D674" s="36"/>
      <c r="E674" s="36"/>
      <c r="F674" s="36"/>
      <c r="G674" s="36"/>
      <c r="H674" s="36"/>
      <c r="J674" s="36"/>
      <c r="K674" s="1" t="str">
        <f t="shared" si="95"/>
        <v/>
      </c>
      <c r="L674" s="1" t="str">
        <f t="shared" si="96"/>
        <v/>
      </c>
      <c r="M674" s="94">
        <v>669</v>
      </c>
      <c r="N674" s="36" t="s">
        <v>2325</v>
      </c>
      <c r="O674" s="95">
        <v>310376</v>
      </c>
      <c r="P674" s="36"/>
      <c r="AI674" s="122">
        <v>362</v>
      </c>
      <c r="AJ674" s="1" t="s">
        <v>2017</v>
      </c>
      <c r="AK674" s="1">
        <v>310069</v>
      </c>
      <c r="AL674" s="1" t="s">
        <v>115</v>
      </c>
      <c r="AN674" s="270">
        <v>768</v>
      </c>
      <c r="AQ674" s="1">
        <v>526</v>
      </c>
      <c r="AR674" s="1" t="s">
        <v>562</v>
      </c>
      <c r="AS674" s="1">
        <v>210421</v>
      </c>
      <c r="AT674" s="1" t="s">
        <v>116</v>
      </c>
      <c r="AV674" s="241">
        <v>20</v>
      </c>
      <c r="BM674" s="138">
        <f t="shared" si="93"/>
        <v>0</v>
      </c>
      <c r="BN674" s="42">
        <f t="shared" si="94"/>
        <v>0</v>
      </c>
      <c r="BS674" s="1">
        <v>10301</v>
      </c>
      <c r="BT674" s="1" t="s">
        <v>902</v>
      </c>
      <c r="BX674" s="36"/>
    </row>
    <row r="675" spans="2:76" ht="14.25">
      <c r="B675" s="36"/>
      <c r="C675" s="36"/>
      <c r="D675" s="36"/>
      <c r="E675" s="36"/>
      <c r="F675" s="36"/>
      <c r="G675" s="36"/>
      <c r="H675" s="36"/>
      <c r="J675" s="36"/>
      <c r="K675" s="1" t="str">
        <f t="shared" si="95"/>
        <v/>
      </c>
      <c r="L675" s="1" t="str">
        <f t="shared" si="96"/>
        <v/>
      </c>
      <c r="M675" s="94">
        <v>670</v>
      </c>
      <c r="N675" s="36" t="s">
        <v>2326</v>
      </c>
      <c r="O675" s="95">
        <v>310377</v>
      </c>
      <c r="P675" s="36"/>
      <c r="AI675" s="122">
        <v>363</v>
      </c>
      <c r="AJ675" s="1" t="s">
        <v>2018</v>
      </c>
      <c r="AK675" s="1">
        <v>310070</v>
      </c>
      <c r="AL675" s="1" t="s">
        <v>930</v>
      </c>
      <c r="AN675" s="270">
        <v>769</v>
      </c>
      <c r="AQ675" s="1">
        <v>527</v>
      </c>
      <c r="AR675" s="1" t="s">
        <v>563</v>
      </c>
      <c r="AS675" s="1">
        <v>210422</v>
      </c>
      <c r="AT675" s="1" t="s">
        <v>115</v>
      </c>
      <c r="AV675" s="241">
        <v>21</v>
      </c>
      <c r="BM675" s="138">
        <f t="shared" si="93"/>
        <v>0</v>
      </c>
      <c r="BN675" s="42">
        <f t="shared" si="94"/>
        <v>0</v>
      </c>
      <c r="BS675" s="1">
        <v>10302</v>
      </c>
      <c r="BT675" s="1" t="s">
        <v>902</v>
      </c>
      <c r="BX675" s="36"/>
    </row>
    <row r="676" spans="2:76" ht="14.25">
      <c r="B676" s="36"/>
      <c r="C676" s="36"/>
      <c r="D676" s="36"/>
      <c r="E676" s="36"/>
      <c r="F676" s="36"/>
      <c r="G676" s="36"/>
      <c r="H676" s="36"/>
      <c r="J676" s="36"/>
      <c r="K676" s="1" t="str">
        <f t="shared" si="95"/>
        <v/>
      </c>
      <c r="L676" s="1" t="str">
        <f t="shared" si="96"/>
        <v/>
      </c>
      <c r="M676" s="94">
        <v>671</v>
      </c>
      <c r="N676" s="36" t="s">
        <v>2327</v>
      </c>
      <c r="O676" s="95">
        <v>310378</v>
      </c>
      <c r="P676" s="36"/>
      <c r="AI676" s="122">
        <v>364</v>
      </c>
      <c r="AJ676" s="1" t="s">
        <v>2019</v>
      </c>
      <c r="AK676" s="1">
        <v>310071</v>
      </c>
      <c r="AL676" s="1" t="s">
        <v>115</v>
      </c>
      <c r="AN676" s="270">
        <v>770</v>
      </c>
      <c r="AQ676" s="1">
        <v>528</v>
      </c>
      <c r="AR676" s="1" t="s">
        <v>564</v>
      </c>
      <c r="AS676" s="1">
        <v>210423</v>
      </c>
      <c r="AT676" s="1" t="s">
        <v>116</v>
      </c>
      <c r="AV676" s="241">
        <v>22</v>
      </c>
      <c r="BM676" s="138">
        <f t="shared" si="93"/>
        <v>0</v>
      </c>
      <c r="BN676" s="42">
        <f t="shared" si="94"/>
        <v>0</v>
      </c>
      <c r="BS676" s="1">
        <v>10303</v>
      </c>
      <c r="BT676" s="1" t="s">
        <v>902</v>
      </c>
      <c r="BX676" s="36"/>
    </row>
    <row r="677" spans="2:76" ht="14.25">
      <c r="B677" s="36"/>
      <c r="C677" s="36"/>
      <c r="D677" s="36"/>
      <c r="E677" s="36"/>
      <c r="F677" s="36"/>
      <c r="G677" s="36"/>
      <c r="H677" s="36"/>
      <c r="J677" s="36"/>
      <c r="K677" s="1" t="str">
        <f t="shared" si="95"/>
        <v/>
      </c>
      <c r="L677" s="1" t="str">
        <f t="shared" si="96"/>
        <v/>
      </c>
      <c r="M677" s="94">
        <v>672</v>
      </c>
      <c r="N677" s="36" t="s">
        <v>2328</v>
      </c>
      <c r="O677" s="95">
        <v>310379</v>
      </c>
      <c r="P677" s="36"/>
      <c r="AI677" s="122">
        <v>365</v>
      </c>
      <c r="AJ677" s="1" t="s">
        <v>2020</v>
      </c>
      <c r="AK677" s="1">
        <v>310072</v>
      </c>
      <c r="AL677" s="1" t="s">
        <v>930</v>
      </c>
      <c r="AN677" s="270">
        <v>771</v>
      </c>
      <c r="AQ677" s="1">
        <v>529</v>
      </c>
      <c r="AR677" s="1" t="s">
        <v>565</v>
      </c>
      <c r="AS677" s="1">
        <v>210424</v>
      </c>
      <c r="AT677" s="1" t="s">
        <v>115</v>
      </c>
      <c r="AV677" s="241">
        <v>23</v>
      </c>
      <c r="BM677" s="138">
        <f t="shared" si="93"/>
        <v>0</v>
      </c>
      <c r="BN677" s="42">
        <f t="shared" si="94"/>
        <v>0</v>
      </c>
      <c r="BS677" s="1">
        <v>10304</v>
      </c>
      <c r="BT677" s="1" t="s">
        <v>902</v>
      </c>
      <c r="BX677" s="36"/>
    </row>
    <row r="678" spans="2:76" ht="14.25">
      <c r="B678" s="36"/>
      <c r="C678" s="36"/>
      <c r="D678" s="36"/>
      <c r="E678" s="36"/>
      <c r="F678" s="36"/>
      <c r="G678" s="36"/>
      <c r="H678" s="36"/>
      <c r="J678" s="36"/>
      <c r="K678" s="1" t="str">
        <f t="shared" si="95"/>
        <v/>
      </c>
      <c r="L678" s="1" t="str">
        <f t="shared" si="96"/>
        <v/>
      </c>
      <c r="M678" s="94">
        <v>673</v>
      </c>
      <c r="N678" s="36" t="s">
        <v>2329</v>
      </c>
      <c r="O678" s="95">
        <v>310380</v>
      </c>
      <c r="P678" s="36"/>
      <c r="AI678" s="122">
        <v>366</v>
      </c>
      <c r="AJ678" s="1" t="s">
        <v>2021</v>
      </c>
      <c r="AK678" s="1">
        <v>310073</v>
      </c>
      <c r="AL678" s="1" t="s">
        <v>115</v>
      </c>
      <c r="AN678" s="270">
        <v>772</v>
      </c>
      <c r="AQ678" s="1">
        <v>530</v>
      </c>
      <c r="AR678" s="1" t="s">
        <v>566</v>
      </c>
      <c r="AS678" s="1">
        <v>210425</v>
      </c>
      <c r="AT678" s="1" t="s">
        <v>115</v>
      </c>
      <c r="AV678" s="241">
        <v>24</v>
      </c>
      <c r="BM678" s="138">
        <f t="shared" si="93"/>
        <v>0</v>
      </c>
      <c r="BN678" s="42">
        <f t="shared" si="94"/>
        <v>0</v>
      </c>
      <c r="BS678" s="1">
        <v>10305</v>
      </c>
      <c r="BT678" s="1" t="s">
        <v>902</v>
      </c>
      <c r="BX678" s="36"/>
    </row>
    <row r="679" spans="2:76" ht="14.25">
      <c r="B679" s="36"/>
      <c r="C679" s="36"/>
      <c r="D679" s="36"/>
      <c r="E679" s="36"/>
      <c r="F679" s="36"/>
      <c r="G679" s="36"/>
      <c r="H679" s="36"/>
      <c r="J679" s="36"/>
      <c r="K679" s="1" t="str">
        <f t="shared" si="95"/>
        <v/>
      </c>
      <c r="L679" s="1" t="str">
        <f t="shared" si="96"/>
        <v/>
      </c>
      <c r="M679" s="94">
        <v>674</v>
      </c>
      <c r="N679" s="36" t="s">
        <v>2330</v>
      </c>
      <c r="O679" s="95">
        <v>310381</v>
      </c>
      <c r="P679" s="36"/>
      <c r="AI679" s="122">
        <v>367</v>
      </c>
      <c r="AJ679" s="1" t="s">
        <v>2022</v>
      </c>
      <c r="AK679" s="1">
        <v>310074</v>
      </c>
      <c r="AL679" s="1" t="s">
        <v>930</v>
      </c>
      <c r="AN679" s="270">
        <v>773</v>
      </c>
      <c r="AQ679" s="1">
        <v>531</v>
      </c>
      <c r="AR679" s="1" t="s">
        <v>567</v>
      </c>
      <c r="AS679" s="1">
        <v>210426</v>
      </c>
      <c r="AT679" s="1" t="s">
        <v>116</v>
      </c>
      <c r="AV679" s="241">
        <v>25</v>
      </c>
      <c r="BM679" s="138">
        <f t="shared" si="93"/>
        <v>0</v>
      </c>
      <c r="BN679" s="42">
        <f t="shared" si="94"/>
        <v>0</v>
      </c>
      <c r="BS679" s="1">
        <v>10306</v>
      </c>
      <c r="BT679" s="1" t="s">
        <v>902</v>
      </c>
      <c r="BX679" s="36"/>
    </row>
    <row r="680" spans="2:76" ht="14.25">
      <c r="B680" s="36"/>
      <c r="C680" s="36"/>
      <c r="D680" s="36"/>
      <c r="E680" s="36"/>
      <c r="F680" s="36"/>
      <c r="G680" s="36"/>
      <c r="H680" s="36"/>
      <c r="J680" s="36"/>
      <c r="K680" s="1" t="str">
        <f t="shared" si="95"/>
        <v/>
      </c>
      <c r="L680" s="1" t="str">
        <f t="shared" si="96"/>
        <v/>
      </c>
      <c r="M680" s="94">
        <v>675</v>
      </c>
      <c r="N680" s="36" t="s">
        <v>2331</v>
      </c>
      <c r="O680" s="95">
        <v>310382</v>
      </c>
      <c r="P680" s="36"/>
      <c r="AI680" s="122">
        <v>368</v>
      </c>
      <c r="AJ680" s="1" t="s">
        <v>2023</v>
      </c>
      <c r="AK680" s="1">
        <v>310075</v>
      </c>
      <c r="AL680" s="1" t="s">
        <v>930</v>
      </c>
      <c r="AN680" s="270">
        <v>774</v>
      </c>
      <c r="AQ680" s="1">
        <v>532</v>
      </c>
      <c r="AR680" s="1" t="s">
        <v>568</v>
      </c>
      <c r="AS680" s="1">
        <v>210418</v>
      </c>
      <c r="AT680" s="1" t="s">
        <v>115</v>
      </c>
      <c r="AV680" s="241">
        <v>26</v>
      </c>
      <c r="BM680" s="138">
        <f t="shared" si="93"/>
        <v>0</v>
      </c>
      <c r="BN680" s="42">
        <f t="shared" si="94"/>
        <v>0</v>
      </c>
      <c r="BS680" s="1">
        <v>10307</v>
      </c>
      <c r="BT680" s="1" t="s">
        <v>902</v>
      </c>
      <c r="BX680" s="36"/>
    </row>
    <row r="681" spans="2:76" ht="14.25">
      <c r="B681" s="36"/>
      <c r="C681" s="36"/>
      <c r="D681" s="36"/>
      <c r="E681" s="36"/>
      <c r="F681" s="36"/>
      <c r="G681" s="36"/>
      <c r="H681" s="36"/>
      <c r="J681" s="36"/>
      <c r="K681" s="1" t="str">
        <f t="shared" si="95"/>
        <v/>
      </c>
      <c r="L681" s="1" t="str">
        <f t="shared" si="96"/>
        <v/>
      </c>
      <c r="M681" s="94">
        <v>676</v>
      </c>
      <c r="N681" s="36" t="s">
        <v>2332</v>
      </c>
      <c r="O681" s="95">
        <v>310383</v>
      </c>
      <c r="P681" s="36"/>
      <c r="AI681" s="122">
        <v>369</v>
      </c>
      <c r="AJ681" s="1" t="s">
        <v>2024</v>
      </c>
      <c r="AK681" s="1">
        <v>310076</v>
      </c>
      <c r="AL681" s="1" t="s">
        <v>115</v>
      </c>
      <c r="AN681" s="270">
        <v>775</v>
      </c>
      <c r="AQ681" s="1">
        <v>533</v>
      </c>
      <c r="AR681" s="1" t="s">
        <v>569</v>
      </c>
      <c r="AS681" s="1">
        <v>210419</v>
      </c>
      <c r="AT681" s="1" t="s">
        <v>116</v>
      </c>
      <c r="AV681" s="241">
        <v>27</v>
      </c>
      <c r="BM681" s="138">
        <f t="shared" si="93"/>
        <v>0</v>
      </c>
      <c r="BN681" s="42">
        <f t="shared" si="94"/>
        <v>0</v>
      </c>
      <c r="BS681" s="1">
        <v>10308</v>
      </c>
      <c r="BT681" s="1" t="s">
        <v>902</v>
      </c>
      <c r="BX681" s="36"/>
    </row>
    <row r="682" spans="2:76" ht="14.25">
      <c r="B682" s="36"/>
      <c r="C682" s="36"/>
      <c r="D682" s="36"/>
      <c r="E682" s="36"/>
      <c r="F682" s="36"/>
      <c r="G682" s="36"/>
      <c r="H682" s="36"/>
      <c r="J682" s="36"/>
      <c r="K682" s="1" t="str">
        <f t="shared" si="95"/>
        <v/>
      </c>
      <c r="L682" s="1" t="str">
        <f t="shared" si="96"/>
        <v/>
      </c>
      <c r="M682" s="94">
        <v>677</v>
      </c>
      <c r="N682" s="36" t="s">
        <v>2333</v>
      </c>
      <c r="O682" s="95">
        <v>310384</v>
      </c>
      <c r="P682" s="36"/>
      <c r="AI682" s="122">
        <v>370</v>
      </c>
      <c r="AJ682" s="1" t="s">
        <v>2025</v>
      </c>
      <c r="AK682" s="1">
        <v>310077</v>
      </c>
      <c r="AL682" s="1" t="s">
        <v>930</v>
      </c>
      <c r="AN682" s="270">
        <v>776</v>
      </c>
      <c r="AQ682" s="1">
        <v>534</v>
      </c>
      <c r="AR682" s="1" t="s">
        <v>570</v>
      </c>
      <c r="AS682" s="1">
        <v>210427</v>
      </c>
      <c r="AT682" s="1" t="s">
        <v>115</v>
      </c>
      <c r="AV682" s="241">
        <v>28</v>
      </c>
      <c r="BM682" s="138">
        <f t="shared" si="93"/>
        <v>0</v>
      </c>
      <c r="BN682" s="42">
        <f t="shared" si="94"/>
        <v>0</v>
      </c>
      <c r="BS682" s="1">
        <v>10309</v>
      </c>
      <c r="BT682" s="1" t="s">
        <v>902</v>
      </c>
      <c r="BX682" s="36"/>
    </row>
    <row r="683" spans="2:76" ht="14.25">
      <c r="B683" s="36"/>
      <c r="C683" s="36"/>
      <c r="D683" s="36"/>
      <c r="E683" s="36"/>
      <c r="F683" s="36"/>
      <c r="G683" s="36"/>
      <c r="H683" s="36"/>
      <c r="J683" s="36"/>
      <c r="K683" s="1" t="str">
        <f t="shared" si="95"/>
        <v/>
      </c>
      <c r="L683" s="1" t="str">
        <f t="shared" si="96"/>
        <v/>
      </c>
      <c r="M683" s="94">
        <v>678</v>
      </c>
      <c r="N683" s="36" t="s">
        <v>2334</v>
      </c>
      <c r="O683" s="95">
        <v>310385</v>
      </c>
      <c r="P683" s="36"/>
      <c r="AI683" s="122">
        <v>371</v>
      </c>
      <c r="AJ683" s="1" t="s">
        <v>2026</v>
      </c>
      <c r="AK683" s="1">
        <v>310078</v>
      </c>
      <c r="AL683" s="1" t="s">
        <v>115</v>
      </c>
      <c r="AN683" s="270">
        <v>777</v>
      </c>
      <c r="AQ683" s="1">
        <v>535</v>
      </c>
      <c r="AR683" s="1" t="s">
        <v>571</v>
      </c>
      <c r="AS683" s="1">
        <v>210428</v>
      </c>
      <c r="AT683" s="1" t="s">
        <v>116</v>
      </c>
      <c r="AV683" s="241">
        <v>29</v>
      </c>
      <c r="BM683" s="138">
        <f t="shared" si="93"/>
        <v>0</v>
      </c>
      <c r="BN683" s="42">
        <f t="shared" si="94"/>
        <v>0</v>
      </c>
      <c r="BS683" s="1">
        <v>10310</v>
      </c>
      <c r="BT683" s="1" t="s">
        <v>902</v>
      </c>
      <c r="BX683" s="36"/>
    </row>
    <row r="684" spans="2:76" ht="14.25">
      <c r="B684" s="36"/>
      <c r="C684" s="36"/>
      <c r="D684" s="36"/>
      <c r="E684" s="36"/>
      <c r="F684" s="36"/>
      <c r="G684" s="36"/>
      <c r="H684" s="36"/>
      <c r="J684" s="36"/>
      <c r="K684" s="1" t="str">
        <f t="shared" si="95"/>
        <v/>
      </c>
      <c r="L684" s="1" t="str">
        <f t="shared" si="96"/>
        <v/>
      </c>
      <c r="M684" s="94">
        <v>679</v>
      </c>
      <c r="N684" s="36" t="s">
        <v>2335</v>
      </c>
      <c r="O684" s="95">
        <v>310386</v>
      </c>
      <c r="P684" s="36"/>
      <c r="AI684" s="122">
        <v>372</v>
      </c>
      <c r="AJ684" s="1" t="s">
        <v>2027</v>
      </c>
      <c r="AK684" s="1">
        <v>310079</v>
      </c>
      <c r="AL684" s="1" t="s">
        <v>930</v>
      </c>
      <c r="AN684" s="270">
        <v>778</v>
      </c>
      <c r="AQ684" s="1">
        <v>536</v>
      </c>
      <c r="AR684" s="1" t="s">
        <v>572</v>
      </c>
      <c r="AS684" s="1">
        <v>210429</v>
      </c>
      <c r="AT684" s="1" t="s">
        <v>115</v>
      </c>
      <c r="AV684" s="241">
        <v>30</v>
      </c>
      <c r="BM684" s="138">
        <f t="shared" si="93"/>
        <v>0</v>
      </c>
      <c r="BN684" s="42">
        <f t="shared" si="94"/>
        <v>0</v>
      </c>
      <c r="BS684" s="1">
        <v>10311</v>
      </c>
      <c r="BT684" s="1" t="s">
        <v>902</v>
      </c>
      <c r="BX684" s="36"/>
    </row>
    <row r="685" spans="2:76" ht="14.25">
      <c r="B685" s="36"/>
      <c r="C685" s="36"/>
      <c r="D685" s="36"/>
      <c r="E685" s="36"/>
      <c r="F685" s="36"/>
      <c r="G685" s="36"/>
      <c r="H685" s="36"/>
      <c r="J685" s="36"/>
      <c r="K685" s="1" t="str">
        <f t="shared" si="95"/>
        <v/>
      </c>
      <c r="L685" s="1" t="str">
        <f t="shared" si="96"/>
        <v/>
      </c>
      <c r="M685" s="94">
        <v>680</v>
      </c>
      <c r="N685" s="36" t="s">
        <v>2336</v>
      </c>
      <c r="O685" s="95">
        <v>310387</v>
      </c>
      <c r="P685" s="36"/>
      <c r="AI685" s="122">
        <v>373</v>
      </c>
      <c r="AJ685" s="1" t="s">
        <v>2028</v>
      </c>
      <c r="AK685" s="1">
        <v>310080</v>
      </c>
      <c r="AL685" s="1" t="s">
        <v>115</v>
      </c>
      <c r="AN685" s="270">
        <v>779</v>
      </c>
      <c r="AQ685" s="1">
        <v>537</v>
      </c>
      <c r="AR685" s="1" t="s">
        <v>573</v>
      </c>
      <c r="AS685" s="1">
        <v>210430</v>
      </c>
      <c r="AT685" s="1" t="s">
        <v>115</v>
      </c>
      <c r="AV685" s="241">
        <v>31</v>
      </c>
      <c r="BM685" s="138">
        <f t="shared" si="93"/>
        <v>0</v>
      </c>
      <c r="BN685" s="42">
        <f t="shared" si="94"/>
        <v>0</v>
      </c>
      <c r="BS685" s="1">
        <v>10312</v>
      </c>
      <c r="BT685" s="1" t="s">
        <v>902</v>
      </c>
      <c r="BX685" s="36"/>
    </row>
    <row r="686" spans="2:76" ht="14.25">
      <c r="B686" s="36"/>
      <c r="C686" s="36"/>
      <c r="D686" s="36"/>
      <c r="E686" s="36"/>
      <c r="F686" s="36"/>
      <c r="G686" s="36"/>
      <c r="H686" s="36"/>
      <c r="J686" s="36"/>
      <c r="K686" s="1" t="str">
        <f t="shared" si="95"/>
        <v/>
      </c>
      <c r="L686" s="1" t="str">
        <f t="shared" si="96"/>
        <v/>
      </c>
      <c r="M686" s="94">
        <v>681</v>
      </c>
      <c r="N686" s="36" t="s">
        <v>2337</v>
      </c>
      <c r="O686" s="95">
        <v>310388</v>
      </c>
      <c r="P686" s="36"/>
      <c r="AI686" s="122">
        <v>374</v>
      </c>
      <c r="AJ686" s="1" t="s">
        <v>2029</v>
      </c>
      <c r="AK686" s="1">
        <v>310081</v>
      </c>
      <c r="AL686" s="1" t="s">
        <v>930</v>
      </c>
      <c r="AN686" s="270">
        <v>780</v>
      </c>
      <c r="AQ686" s="1">
        <v>538</v>
      </c>
      <c r="AR686" s="1" t="s">
        <v>574</v>
      </c>
      <c r="AS686" s="1">
        <v>210431</v>
      </c>
      <c r="AT686" s="1" t="s">
        <v>116</v>
      </c>
      <c r="AV686" s="241">
        <v>32</v>
      </c>
      <c r="BM686" s="138">
        <f t="shared" si="93"/>
        <v>0</v>
      </c>
      <c r="BN686" s="42">
        <f t="shared" si="94"/>
        <v>0</v>
      </c>
      <c r="BS686" s="1">
        <v>10313</v>
      </c>
      <c r="BT686" s="1" t="s">
        <v>902</v>
      </c>
      <c r="BX686" s="36"/>
    </row>
    <row r="687" spans="2:76" ht="14.25">
      <c r="B687" s="36"/>
      <c r="C687" s="36"/>
      <c r="D687" s="36"/>
      <c r="E687" s="36"/>
      <c r="F687" s="36"/>
      <c r="G687" s="36"/>
      <c r="H687" s="36"/>
      <c r="J687" s="36"/>
      <c r="K687" s="1" t="str">
        <f t="shared" si="95"/>
        <v/>
      </c>
      <c r="L687" s="1" t="str">
        <f t="shared" si="96"/>
        <v/>
      </c>
      <c r="M687" s="94">
        <v>682</v>
      </c>
      <c r="N687" s="36" t="s">
        <v>2338</v>
      </c>
      <c r="O687" s="95">
        <v>310389</v>
      </c>
      <c r="P687" s="36"/>
      <c r="AI687" s="122">
        <v>375</v>
      </c>
      <c r="AJ687" s="1" t="s">
        <v>2030</v>
      </c>
      <c r="AK687" s="1">
        <v>310082</v>
      </c>
      <c r="AL687" s="1" t="s">
        <v>930</v>
      </c>
      <c r="AN687" s="270">
        <v>781</v>
      </c>
      <c r="AQ687" s="1">
        <v>539</v>
      </c>
      <c r="AR687" s="1" t="s">
        <v>575</v>
      </c>
      <c r="AS687" s="1">
        <v>210432</v>
      </c>
      <c r="AT687" s="1" t="s">
        <v>115</v>
      </c>
      <c r="AV687" s="241">
        <v>33</v>
      </c>
      <c r="BM687" s="138">
        <f t="shared" si="93"/>
        <v>0</v>
      </c>
      <c r="BN687" s="42">
        <f t="shared" si="94"/>
        <v>0</v>
      </c>
      <c r="BS687" s="1">
        <v>10314</v>
      </c>
      <c r="BT687" s="1" t="s">
        <v>902</v>
      </c>
      <c r="BX687" s="36"/>
    </row>
    <row r="688" spans="2:76" ht="14.25">
      <c r="B688" s="36"/>
      <c r="C688" s="36"/>
      <c r="D688" s="36"/>
      <c r="E688" s="36"/>
      <c r="F688" s="36"/>
      <c r="G688" s="36"/>
      <c r="H688" s="36"/>
      <c r="J688" s="36"/>
      <c r="K688" s="1" t="str">
        <f t="shared" si="95"/>
        <v/>
      </c>
      <c r="L688" s="1" t="str">
        <f t="shared" si="96"/>
        <v/>
      </c>
      <c r="M688" s="94">
        <v>683</v>
      </c>
      <c r="N688" s="36" t="s">
        <v>2339</v>
      </c>
      <c r="O688" s="95">
        <v>310390</v>
      </c>
      <c r="P688" s="36"/>
      <c r="AI688" s="122">
        <v>376</v>
      </c>
      <c r="AJ688" s="1" t="s">
        <v>2031</v>
      </c>
      <c r="AK688" s="1">
        <v>310083</v>
      </c>
      <c r="AL688" s="1" t="s">
        <v>115</v>
      </c>
      <c r="AN688" s="270">
        <v>782</v>
      </c>
      <c r="AQ688" s="1">
        <v>540</v>
      </c>
      <c r="AR688" s="1" t="s">
        <v>576</v>
      </c>
      <c r="AS688" s="1">
        <v>210433</v>
      </c>
      <c r="AT688" s="1" t="s">
        <v>116</v>
      </c>
      <c r="AV688" s="241">
        <v>34</v>
      </c>
      <c r="BM688" s="138">
        <f t="shared" si="93"/>
        <v>0</v>
      </c>
      <c r="BN688" s="42">
        <f t="shared" si="94"/>
        <v>0</v>
      </c>
      <c r="BS688" s="1">
        <v>10315</v>
      </c>
      <c r="BT688" s="1" t="s">
        <v>902</v>
      </c>
      <c r="BX688" s="36"/>
    </row>
    <row r="689" spans="2:76" ht="14.25">
      <c r="B689" s="36"/>
      <c r="C689" s="36"/>
      <c r="D689" s="36"/>
      <c r="E689" s="36"/>
      <c r="F689" s="36"/>
      <c r="G689" s="36"/>
      <c r="H689" s="36"/>
      <c r="J689" s="36"/>
      <c r="K689" s="1" t="str">
        <f t="shared" si="95"/>
        <v/>
      </c>
      <c r="L689" s="1" t="str">
        <f t="shared" si="96"/>
        <v/>
      </c>
      <c r="M689" s="94">
        <v>684</v>
      </c>
      <c r="N689" s="36" t="s">
        <v>2340</v>
      </c>
      <c r="O689" s="95">
        <v>310391</v>
      </c>
      <c r="P689" s="36"/>
      <c r="AI689" s="122">
        <v>377</v>
      </c>
      <c r="AJ689" s="1" t="s">
        <v>2032</v>
      </c>
      <c r="AK689" s="1">
        <v>310084</v>
      </c>
      <c r="AL689" s="1" t="s">
        <v>930</v>
      </c>
      <c r="AN689" s="270">
        <v>783</v>
      </c>
      <c r="AQ689" s="1">
        <v>541</v>
      </c>
      <c r="AR689" s="1" t="s">
        <v>577</v>
      </c>
      <c r="AS689" s="1">
        <v>210434</v>
      </c>
      <c r="AT689" s="1" t="s">
        <v>115</v>
      </c>
      <c r="AV689" s="241">
        <v>35</v>
      </c>
      <c r="BM689" s="138">
        <f t="shared" si="93"/>
        <v>0</v>
      </c>
      <c r="BN689" s="42">
        <f t="shared" si="94"/>
        <v>0</v>
      </c>
      <c r="BS689" s="1">
        <v>10316</v>
      </c>
      <c r="BT689" s="1" t="s">
        <v>902</v>
      </c>
      <c r="BX689" s="36"/>
    </row>
    <row r="690" spans="2:76" ht="14.25">
      <c r="B690" s="36"/>
      <c r="C690" s="36"/>
      <c r="D690" s="36"/>
      <c r="E690" s="36"/>
      <c r="F690" s="36"/>
      <c r="G690" s="36"/>
      <c r="H690" s="36"/>
      <c r="J690" s="36"/>
      <c r="K690" s="1" t="str">
        <f t="shared" si="95"/>
        <v/>
      </c>
      <c r="L690" s="1" t="str">
        <f t="shared" si="96"/>
        <v/>
      </c>
      <c r="M690" s="94">
        <v>685</v>
      </c>
      <c r="N690" s="36" t="s">
        <v>2341</v>
      </c>
      <c r="O690" s="95">
        <v>310392</v>
      </c>
      <c r="P690" s="36"/>
      <c r="AI690" s="122">
        <v>378</v>
      </c>
      <c r="AJ690" s="1" t="s">
        <v>2033</v>
      </c>
      <c r="AK690" s="1">
        <v>310085</v>
      </c>
      <c r="AL690" s="1" t="s">
        <v>115</v>
      </c>
      <c r="AN690" s="270">
        <v>784</v>
      </c>
      <c r="AQ690" s="1">
        <v>542</v>
      </c>
      <c r="AR690" s="1" t="s">
        <v>578</v>
      </c>
      <c r="AS690" s="1">
        <v>210435</v>
      </c>
      <c r="AT690" s="1" t="s">
        <v>115</v>
      </c>
      <c r="AV690" s="241">
        <v>36</v>
      </c>
      <c r="BM690" s="138">
        <f t="shared" si="93"/>
        <v>0</v>
      </c>
      <c r="BN690" s="42">
        <f t="shared" si="94"/>
        <v>0</v>
      </c>
      <c r="BS690" s="1">
        <v>10317</v>
      </c>
      <c r="BT690" s="1" t="s">
        <v>902</v>
      </c>
      <c r="BX690" s="36"/>
    </row>
    <row r="691" spans="2:76" ht="14.25">
      <c r="B691" s="36"/>
      <c r="C691" s="36"/>
      <c r="D691" s="36"/>
      <c r="E691" s="36"/>
      <c r="F691" s="36"/>
      <c r="G691" s="36"/>
      <c r="H691" s="36"/>
      <c r="J691" s="36"/>
      <c r="K691" s="1" t="str">
        <f t="shared" si="95"/>
        <v/>
      </c>
      <c r="L691" s="1" t="str">
        <f t="shared" si="96"/>
        <v/>
      </c>
      <c r="M691" s="94">
        <v>686</v>
      </c>
      <c r="N691" s="36" t="s">
        <v>2342</v>
      </c>
      <c r="O691" s="95">
        <v>310393</v>
      </c>
      <c r="P691" s="36"/>
      <c r="AI691" s="122">
        <v>379</v>
      </c>
      <c r="AJ691" s="1" t="s">
        <v>2034</v>
      </c>
      <c r="AK691" s="1">
        <v>310086</v>
      </c>
      <c r="AL691" s="1" t="s">
        <v>930</v>
      </c>
      <c r="AN691" s="270">
        <v>785</v>
      </c>
      <c r="AQ691" s="1">
        <v>543</v>
      </c>
      <c r="AR691" s="1" t="s">
        <v>579</v>
      </c>
      <c r="AS691" s="1">
        <v>210436</v>
      </c>
      <c r="AT691" s="1" t="s">
        <v>116</v>
      </c>
      <c r="AV691" s="241">
        <v>37</v>
      </c>
      <c r="BM691" s="138">
        <f t="shared" si="93"/>
        <v>0</v>
      </c>
      <c r="BN691" s="42">
        <f t="shared" si="94"/>
        <v>0</v>
      </c>
      <c r="BS691" s="1">
        <v>10318</v>
      </c>
      <c r="BT691" s="1" t="s">
        <v>902</v>
      </c>
      <c r="BX691" s="36"/>
    </row>
    <row r="692" spans="2:76" ht="14.25">
      <c r="B692" s="36"/>
      <c r="C692" s="36"/>
      <c r="D692" s="36"/>
      <c r="E692" s="36"/>
      <c r="F692" s="36"/>
      <c r="G692" s="36"/>
      <c r="H692" s="36"/>
      <c r="J692" s="36"/>
      <c r="K692" s="1" t="str">
        <f t="shared" si="95"/>
        <v/>
      </c>
      <c r="L692" s="1" t="str">
        <f t="shared" si="96"/>
        <v/>
      </c>
      <c r="M692" s="94">
        <v>687</v>
      </c>
      <c r="N692" s="36" t="s">
        <v>2343</v>
      </c>
      <c r="O692" s="95">
        <v>310394</v>
      </c>
      <c r="P692" s="36"/>
      <c r="AI692" s="122">
        <v>380</v>
      </c>
      <c r="AJ692" s="1" t="s">
        <v>2035</v>
      </c>
      <c r="AK692" s="1">
        <v>310087</v>
      </c>
      <c r="AL692" s="1" t="s">
        <v>115</v>
      </c>
      <c r="AN692" s="270">
        <v>786</v>
      </c>
      <c r="AQ692" s="1">
        <v>544</v>
      </c>
      <c r="AR692" s="1" t="s">
        <v>580</v>
      </c>
      <c r="AS692" s="1">
        <v>210437</v>
      </c>
      <c r="AT692" s="1" t="s">
        <v>115</v>
      </c>
      <c r="AV692" s="241">
        <v>38</v>
      </c>
      <c r="BM692" s="138">
        <f t="shared" si="93"/>
        <v>0</v>
      </c>
      <c r="BN692" s="42">
        <f t="shared" si="94"/>
        <v>0</v>
      </c>
      <c r="BS692" s="1">
        <v>10319</v>
      </c>
      <c r="BT692" s="1" t="s">
        <v>902</v>
      </c>
      <c r="BX692" s="36"/>
    </row>
    <row r="693" spans="2:76" ht="14.25">
      <c r="B693" s="36"/>
      <c r="C693" s="36"/>
      <c r="D693" s="36"/>
      <c r="E693" s="36"/>
      <c r="F693" s="36"/>
      <c r="G693" s="36"/>
      <c r="H693" s="36"/>
      <c r="J693" s="36"/>
      <c r="K693" s="1" t="str">
        <f t="shared" si="95"/>
        <v/>
      </c>
      <c r="L693" s="1" t="str">
        <f t="shared" si="96"/>
        <v/>
      </c>
      <c r="M693" s="94">
        <v>688</v>
      </c>
      <c r="N693" s="36" t="s">
        <v>2344</v>
      </c>
      <c r="O693" s="95">
        <v>310395</v>
      </c>
      <c r="P693" s="36"/>
      <c r="AI693" s="122">
        <v>381</v>
      </c>
      <c r="AJ693" s="1" t="s">
        <v>2036</v>
      </c>
      <c r="AK693" s="1">
        <v>310088</v>
      </c>
      <c r="AL693" s="1" t="s">
        <v>930</v>
      </c>
      <c r="AN693" s="270">
        <v>787</v>
      </c>
      <c r="AQ693" s="1">
        <v>545</v>
      </c>
      <c r="AR693" s="1" t="s">
        <v>581</v>
      </c>
      <c r="AS693" s="1">
        <v>210438</v>
      </c>
      <c r="AT693" s="1" t="s">
        <v>116</v>
      </c>
      <c r="AV693" s="241">
        <v>39</v>
      </c>
      <c r="BM693" s="138">
        <f t="shared" si="93"/>
        <v>0</v>
      </c>
      <c r="BN693" s="42">
        <f t="shared" si="94"/>
        <v>0</v>
      </c>
      <c r="BS693" s="1">
        <v>10320</v>
      </c>
      <c r="BT693" s="1" t="s">
        <v>902</v>
      </c>
      <c r="BX693" s="36"/>
    </row>
    <row r="694" spans="2:76" ht="14.25">
      <c r="B694" s="36"/>
      <c r="C694" s="36"/>
      <c r="D694" s="36"/>
      <c r="E694" s="36"/>
      <c r="F694" s="36"/>
      <c r="G694" s="36"/>
      <c r="H694" s="36"/>
      <c r="J694" s="36"/>
      <c r="K694" s="1" t="str">
        <f t="shared" si="95"/>
        <v/>
      </c>
      <c r="L694" s="1" t="str">
        <f t="shared" si="96"/>
        <v/>
      </c>
      <c r="M694" s="94">
        <v>689</v>
      </c>
      <c r="N694" s="36" t="s">
        <v>2345</v>
      </c>
      <c r="O694" s="95">
        <v>310396</v>
      </c>
      <c r="P694" s="36"/>
      <c r="AI694" s="122">
        <v>382</v>
      </c>
      <c r="AJ694" s="1" t="s">
        <v>2037</v>
      </c>
      <c r="AK694" s="1">
        <v>310089</v>
      </c>
      <c r="AL694" s="1" t="s">
        <v>930</v>
      </c>
      <c r="AN694" s="270">
        <v>788</v>
      </c>
      <c r="AQ694" s="1">
        <v>546</v>
      </c>
      <c r="AR694" s="1" t="s">
        <v>582</v>
      </c>
      <c r="AS694" s="1">
        <v>210439</v>
      </c>
      <c r="AT694" s="1" t="s">
        <v>115</v>
      </c>
      <c r="AV694" s="241">
        <v>40</v>
      </c>
      <c r="BM694" s="138">
        <f t="shared" si="93"/>
        <v>0</v>
      </c>
      <c r="BN694" s="42">
        <f t="shared" si="94"/>
        <v>0</v>
      </c>
      <c r="BS694" s="1">
        <v>10321</v>
      </c>
      <c r="BT694" s="1" t="s">
        <v>902</v>
      </c>
      <c r="BX694" s="36"/>
    </row>
    <row r="695" spans="2:76" ht="14.25">
      <c r="B695" s="36"/>
      <c r="C695" s="36"/>
      <c r="D695" s="36"/>
      <c r="E695" s="36"/>
      <c r="F695" s="36"/>
      <c r="G695" s="36"/>
      <c r="H695" s="36"/>
      <c r="J695" s="36"/>
      <c r="K695" s="1" t="str">
        <f t="shared" si="95"/>
        <v/>
      </c>
      <c r="L695" s="1" t="str">
        <f t="shared" si="96"/>
        <v/>
      </c>
      <c r="M695" s="94">
        <v>690</v>
      </c>
      <c r="N695" s="36" t="s">
        <v>2346</v>
      </c>
      <c r="O695" s="95">
        <v>310397</v>
      </c>
      <c r="P695" s="36"/>
      <c r="AI695" s="122">
        <v>383</v>
      </c>
      <c r="AJ695" s="1" t="s">
        <v>2038</v>
      </c>
      <c r="AK695" s="1">
        <v>310090</v>
      </c>
      <c r="AL695" s="1" t="s">
        <v>115</v>
      </c>
      <c r="AN695" s="270">
        <v>789</v>
      </c>
      <c r="AQ695" s="1">
        <v>547</v>
      </c>
      <c r="AR695" s="1" t="s">
        <v>583</v>
      </c>
      <c r="AS695" s="1">
        <v>210440</v>
      </c>
      <c r="AT695" s="1" t="s">
        <v>115</v>
      </c>
      <c r="AV695" s="241">
        <v>41</v>
      </c>
      <c r="BM695" s="138">
        <f t="shared" si="93"/>
        <v>0</v>
      </c>
      <c r="BN695" s="42">
        <f t="shared" si="94"/>
        <v>0</v>
      </c>
      <c r="BS695" s="1">
        <v>10322</v>
      </c>
      <c r="BT695" s="1" t="s">
        <v>902</v>
      </c>
      <c r="BX695" s="36"/>
    </row>
    <row r="696" spans="2:76" ht="14.25">
      <c r="B696" s="36"/>
      <c r="C696" s="36"/>
      <c r="D696" s="36"/>
      <c r="E696" s="36"/>
      <c r="F696" s="36"/>
      <c r="G696" s="36"/>
      <c r="H696" s="36"/>
      <c r="J696" s="36"/>
      <c r="K696" s="1" t="str">
        <f t="shared" si="95"/>
        <v/>
      </c>
      <c r="L696" s="1" t="str">
        <f t="shared" si="96"/>
        <v/>
      </c>
      <c r="M696" s="94">
        <v>691</v>
      </c>
      <c r="N696" s="36" t="s">
        <v>2347</v>
      </c>
      <c r="O696" s="95">
        <v>310398</v>
      </c>
      <c r="P696" s="36"/>
      <c r="AI696" s="122">
        <v>384</v>
      </c>
      <c r="AJ696" s="1" t="s">
        <v>2039</v>
      </c>
      <c r="AK696" s="1">
        <v>310091</v>
      </c>
      <c r="AL696" s="1" t="s">
        <v>930</v>
      </c>
      <c r="AN696" s="270">
        <v>790</v>
      </c>
      <c r="AQ696" s="1">
        <v>548</v>
      </c>
      <c r="AR696" s="1" t="s">
        <v>584</v>
      </c>
      <c r="AS696" s="1">
        <v>210441</v>
      </c>
      <c r="AT696" s="1" t="s">
        <v>116</v>
      </c>
      <c r="AV696" s="241">
        <v>42</v>
      </c>
      <c r="BM696" s="138">
        <f t="shared" si="93"/>
        <v>0</v>
      </c>
      <c r="BN696" s="42">
        <f t="shared" si="94"/>
        <v>0</v>
      </c>
      <c r="BS696" s="1">
        <v>10323</v>
      </c>
      <c r="BT696" s="1" t="s">
        <v>902</v>
      </c>
      <c r="BX696" s="36"/>
    </row>
    <row r="697" spans="2:76" ht="14.25">
      <c r="B697" s="36"/>
      <c r="C697" s="36"/>
      <c r="D697" s="36"/>
      <c r="E697" s="36"/>
      <c r="F697" s="36"/>
      <c r="G697" s="36"/>
      <c r="H697" s="36"/>
      <c r="J697" s="36"/>
      <c r="K697" s="1" t="str">
        <f t="shared" si="95"/>
        <v/>
      </c>
      <c r="L697" s="1" t="str">
        <f t="shared" si="96"/>
        <v/>
      </c>
      <c r="M697" s="94">
        <v>692</v>
      </c>
      <c r="N697" s="36" t="s">
        <v>2348</v>
      </c>
      <c r="O697" s="95">
        <v>310399</v>
      </c>
      <c r="P697" s="36"/>
      <c r="AI697" s="122">
        <v>385</v>
      </c>
      <c r="AJ697" s="1" t="s">
        <v>2040</v>
      </c>
      <c r="AK697" s="1">
        <v>310092</v>
      </c>
      <c r="AL697" s="1" t="s">
        <v>115</v>
      </c>
      <c r="AN697" s="270">
        <v>791</v>
      </c>
      <c r="AQ697" s="1">
        <v>549</v>
      </c>
      <c r="AR697" s="1" t="s">
        <v>585</v>
      </c>
      <c r="AS697" s="1">
        <v>210442</v>
      </c>
      <c r="AT697" s="1" t="s">
        <v>115</v>
      </c>
      <c r="AV697" s="241">
        <v>43</v>
      </c>
      <c r="BM697" s="138">
        <f t="shared" si="93"/>
        <v>0</v>
      </c>
      <c r="BN697" s="42">
        <f t="shared" si="94"/>
        <v>0</v>
      </c>
      <c r="BS697" s="1">
        <v>10324</v>
      </c>
      <c r="BT697" s="1" t="s">
        <v>902</v>
      </c>
      <c r="BX697" s="36"/>
    </row>
    <row r="698" spans="2:76" ht="14.25">
      <c r="B698" s="36"/>
      <c r="C698" s="36"/>
      <c r="D698" s="36"/>
      <c r="E698" s="36"/>
      <c r="F698" s="36"/>
      <c r="G698" s="36"/>
      <c r="H698" s="36"/>
      <c r="J698" s="36"/>
      <c r="K698" s="1" t="str">
        <f t="shared" si="95"/>
        <v/>
      </c>
      <c r="L698" s="1" t="str">
        <f t="shared" si="96"/>
        <v/>
      </c>
      <c r="M698" s="94">
        <v>693</v>
      </c>
      <c r="N698" s="36" t="s">
        <v>2349</v>
      </c>
      <c r="O698" s="95">
        <v>310400</v>
      </c>
      <c r="P698" s="36"/>
      <c r="AI698" s="122">
        <v>386</v>
      </c>
      <c r="AJ698" s="1" t="s">
        <v>2041</v>
      </c>
      <c r="AK698" s="1">
        <v>310093</v>
      </c>
      <c r="AL698" s="1" t="s">
        <v>930</v>
      </c>
      <c r="AN698" s="270">
        <v>792</v>
      </c>
      <c r="AQ698" s="1">
        <v>550</v>
      </c>
      <c r="AR698" s="1" t="s">
        <v>586</v>
      </c>
      <c r="AS698" s="1">
        <v>210443</v>
      </c>
      <c r="AT698" s="1" t="s">
        <v>116</v>
      </c>
      <c r="AV698" s="241">
        <v>44</v>
      </c>
      <c r="BM698" s="138">
        <f t="shared" si="93"/>
        <v>0</v>
      </c>
      <c r="BN698" s="42">
        <f t="shared" si="94"/>
        <v>0</v>
      </c>
      <c r="BS698" s="1">
        <v>10325</v>
      </c>
      <c r="BT698" s="1" t="s">
        <v>902</v>
      </c>
      <c r="BX698" s="36"/>
    </row>
    <row r="699" spans="2:76" ht="14.25">
      <c r="B699" s="36"/>
      <c r="C699" s="36"/>
      <c r="D699" s="36"/>
      <c r="E699" s="36"/>
      <c r="F699" s="36"/>
      <c r="G699" s="36"/>
      <c r="H699" s="36"/>
      <c r="J699" s="36"/>
      <c r="K699" s="1" t="str">
        <f t="shared" si="95"/>
        <v/>
      </c>
      <c r="L699" s="1" t="str">
        <f t="shared" si="96"/>
        <v/>
      </c>
      <c r="M699" s="94">
        <v>694</v>
      </c>
      <c r="N699" s="36" t="s">
        <v>2350</v>
      </c>
      <c r="O699" s="95">
        <v>310401</v>
      </c>
      <c r="P699" s="36"/>
      <c r="AI699" s="122">
        <v>387</v>
      </c>
      <c r="AJ699" s="1" t="s">
        <v>2042</v>
      </c>
      <c r="AK699" s="1">
        <v>310094</v>
      </c>
      <c r="AL699" s="1" t="s">
        <v>115</v>
      </c>
      <c r="AN699" s="270">
        <v>793</v>
      </c>
      <c r="AQ699" s="1">
        <v>551</v>
      </c>
      <c r="AR699" s="1" t="s">
        <v>587</v>
      </c>
      <c r="AS699" s="1">
        <v>210444</v>
      </c>
      <c r="AT699" s="1" t="s">
        <v>115</v>
      </c>
      <c r="AV699" s="241">
        <v>45</v>
      </c>
      <c r="BM699" s="138">
        <f t="shared" si="93"/>
        <v>0</v>
      </c>
      <c r="BN699" s="42">
        <f t="shared" si="94"/>
        <v>0</v>
      </c>
      <c r="BS699" s="1">
        <v>10326</v>
      </c>
      <c r="BT699" s="1" t="s">
        <v>902</v>
      </c>
      <c r="BX699" s="36"/>
    </row>
    <row r="700" spans="2:76" ht="14.25">
      <c r="B700" s="36"/>
      <c r="C700" s="36"/>
      <c r="D700" s="36"/>
      <c r="E700" s="36"/>
      <c r="F700" s="36"/>
      <c r="G700" s="36"/>
      <c r="H700" s="36"/>
      <c r="J700" s="36"/>
      <c r="K700" s="1" t="str">
        <f t="shared" si="95"/>
        <v/>
      </c>
      <c r="L700" s="1" t="str">
        <f t="shared" si="96"/>
        <v/>
      </c>
      <c r="M700" s="94">
        <v>695</v>
      </c>
      <c r="N700" s="36" t="s">
        <v>2351</v>
      </c>
      <c r="O700" s="95">
        <v>310402</v>
      </c>
      <c r="P700" s="36"/>
      <c r="AI700" s="122">
        <v>388</v>
      </c>
      <c r="AJ700" s="1" t="s">
        <v>2043</v>
      </c>
      <c r="AK700" s="1">
        <v>310095</v>
      </c>
      <c r="AL700" s="1" t="s">
        <v>930</v>
      </c>
      <c r="AN700" s="270">
        <v>794</v>
      </c>
      <c r="AQ700" s="1">
        <v>552</v>
      </c>
      <c r="AR700" s="1" t="s">
        <v>588</v>
      </c>
      <c r="AS700" s="1">
        <v>210446</v>
      </c>
      <c r="AT700" s="1" t="s">
        <v>115</v>
      </c>
      <c r="AV700" s="241">
        <v>46</v>
      </c>
      <c r="BM700" s="138">
        <f t="shared" si="93"/>
        <v>0</v>
      </c>
      <c r="BN700" s="42">
        <f t="shared" si="94"/>
        <v>0</v>
      </c>
      <c r="BS700" s="1">
        <v>10327</v>
      </c>
      <c r="BT700" s="1" t="s">
        <v>902</v>
      </c>
      <c r="BX700" s="36"/>
    </row>
    <row r="701" spans="2:76" ht="14.25">
      <c r="B701" s="36"/>
      <c r="C701" s="36"/>
      <c r="D701" s="36"/>
      <c r="E701" s="36"/>
      <c r="F701" s="36"/>
      <c r="G701" s="36"/>
      <c r="H701" s="36"/>
      <c r="J701" s="36"/>
      <c r="K701" s="1" t="str">
        <f t="shared" si="95"/>
        <v/>
      </c>
      <c r="L701" s="1" t="str">
        <f t="shared" si="96"/>
        <v/>
      </c>
      <c r="M701" s="94">
        <v>696</v>
      </c>
      <c r="N701" s="36" t="s">
        <v>2352</v>
      </c>
      <c r="O701" s="95">
        <v>310403</v>
      </c>
      <c r="P701" s="36"/>
      <c r="AI701" s="122">
        <v>389</v>
      </c>
      <c r="AJ701" s="1" t="s">
        <v>2044</v>
      </c>
      <c r="AK701" s="1">
        <v>310096</v>
      </c>
      <c r="AL701" s="1" t="s">
        <v>930</v>
      </c>
      <c r="AN701" s="270">
        <v>795</v>
      </c>
      <c r="AQ701" s="1">
        <v>553</v>
      </c>
      <c r="AR701" s="1" t="s">
        <v>589</v>
      </c>
      <c r="AS701" s="1">
        <v>210445</v>
      </c>
      <c r="AT701" s="1" t="s">
        <v>116</v>
      </c>
      <c r="AV701" s="241">
        <v>47</v>
      </c>
      <c r="BM701" s="138">
        <f t="shared" si="93"/>
        <v>0</v>
      </c>
      <c r="BN701" s="42">
        <f t="shared" si="94"/>
        <v>0</v>
      </c>
      <c r="BS701" s="1">
        <v>10328</v>
      </c>
      <c r="BT701" s="1" t="s">
        <v>902</v>
      </c>
      <c r="BX701" s="36"/>
    </row>
    <row r="702" spans="2:76" ht="14.25">
      <c r="B702" s="36"/>
      <c r="C702" s="36"/>
      <c r="D702" s="36"/>
      <c r="E702" s="36"/>
      <c r="F702" s="36"/>
      <c r="G702" s="36"/>
      <c r="H702" s="36"/>
      <c r="J702" s="36"/>
      <c r="K702" s="1" t="str">
        <f t="shared" si="95"/>
        <v/>
      </c>
      <c r="L702" s="1" t="str">
        <f t="shared" si="96"/>
        <v/>
      </c>
      <c r="M702" s="94">
        <v>697</v>
      </c>
      <c r="N702" s="36" t="s">
        <v>2353</v>
      </c>
      <c r="O702" s="95">
        <v>310404</v>
      </c>
      <c r="P702" s="36"/>
      <c r="AI702" s="122">
        <v>390</v>
      </c>
      <c r="AJ702" s="1" t="s">
        <v>2045</v>
      </c>
      <c r="AK702" s="1">
        <v>310097</v>
      </c>
      <c r="AL702" s="1" t="s">
        <v>115</v>
      </c>
      <c r="AN702" s="270">
        <v>796</v>
      </c>
      <c r="AQ702" s="1">
        <v>554</v>
      </c>
      <c r="AR702" s="1" t="s">
        <v>590</v>
      </c>
      <c r="AS702" s="1">
        <v>210447</v>
      </c>
      <c r="AT702" s="1" t="s">
        <v>115</v>
      </c>
      <c r="AV702" s="241">
        <v>48</v>
      </c>
      <c r="BM702" s="138">
        <f t="shared" si="93"/>
        <v>0</v>
      </c>
      <c r="BN702" s="42">
        <f t="shared" si="94"/>
        <v>0</v>
      </c>
      <c r="BS702" s="1">
        <v>10329</v>
      </c>
      <c r="BT702" s="1" t="s">
        <v>902</v>
      </c>
      <c r="BX702" s="36"/>
    </row>
    <row r="703" spans="2:76" ht="14.25">
      <c r="B703" s="36"/>
      <c r="C703" s="36"/>
      <c r="D703" s="36"/>
      <c r="E703" s="36"/>
      <c r="F703" s="36"/>
      <c r="G703" s="36"/>
      <c r="H703" s="36"/>
      <c r="J703" s="36"/>
      <c r="K703" s="1" t="str">
        <f t="shared" si="95"/>
        <v/>
      </c>
      <c r="L703" s="1" t="str">
        <f t="shared" si="96"/>
        <v/>
      </c>
      <c r="M703" s="94">
        <v>698</v>
      </c>
      <c r="N703" s="36" t="s">
        <v>2354</v>
      </c>
      <c r="O703" s="95">
        <v>310405</v>
      </c>
      <c r="P703" s="36"/>
      <c r="AI703" s="122">
        <v>391</v>
      </c>
      <c r="AJ703" s="1" t="s">
        <v>2046</v>
      </c>
      <c r="AK703" s="1">
        <v>310098</v>
      </c>
      <c r="AL703" s="1" t="s">
        <v>930</v>
      </c>
      <c r="AN703" s="270">
        <v>797</v>
      </c>
      <c r="AQ703" s="1">
        <v>555</v>
      </c>
      <c r="AR703" s="1" t="s">
        <v>591</v>
      </c>
      <c r="AS703" s="1">
        <v>210448</v>
      </c>
      <c r="AT703" s="1" t="s">
        <v>116</v>
      </c>
      <c r="AV703" s="241">
        <v>49</v>
      </c>
      <c r="BM703" s="138">
        <f t="shared" si="93"/>
        <v>0</v>
      </c>
      <c r="BN703" s="42">
        <f t="shared" si="94"/>
        <v>0</v>
      </c>
      <c r="BS703" s="1">
        <v>10330</v>
      </c>
      <c r="BT703" s="1" t="s">
        <v>902</v>
      </c>
      <c r="BX703" s="36"/>
    </row>
    <row r="704" spans="2:76" ht="14.25">
      <c r="B704" s="36"/>
      <c r="C704" s="36"/>
      <c r="D704" s="36"/>
      <c r="E704" s="36"/>
      <c r="F704" s="36"/>
      <c r="G704" s="36"/>
      <c r="H704" s="36"/>
      <c r="J704" s="36"/>
      <c r="K704" s="1" t="str">
        <f t="shared" si="95"/>
        <v/>
      </c>
      <c r="L704" s="1" t="str">
        <f t="shared" si="96"/>
        <v/>
      </c>
      <c r="M704" s="94">
        <v>699</v>
      </c>
      <c r="N704" s="36" t="s">
        <v>2355</v>
      </c>
      <c r="O704" s="95">
        <v>310406</v>
      </c>
      <c r="P704" s="36"/>
      <c r="AI704" s="122">
        <v>392</v>
      </c>
      <c r="AJ704" s="1" t="s">
        <v>2047</v>
      </c>
      <c r="AK704" s="1">
        <v>310099</v>
      </c>
      <c r="AL704" s="1" t="s">
        <v>115</v>
      </c>
      <c r="AN704" s="270">
        <v>798</v>
      </c>
      <c r="AQ704" s="1">
        <v>556</v>
      </c>
      <c r="AR704" s="1" t="s">
        <v>592</v>
      </c>
      <c r="AS704" s="1">
        <v>210449</v>
      </c>
      <c r="AT704" s="1" t="s">
        <v>115</v>
      </c>
      <c r="AV704" s="241">
        <v>50</v>
      </c>
      <c r="BM704" s="138">
        <f t="shared" si="93"/>
        <v>0</v>
      </c>
      <c r="BN704" s="42">
        <f t="shared" si="94"/>
        <v>0</v>
      </c>
      <c r="BS704" s="1">
        <v>10331</v>
      </c>
      <c r="BT704" s="1" t="s">
        <v>902</v>
      </c>
      <c r="BX704" s="36"/>
    </row>
    <row r="705" spans="2:76" ht="14.25">
      <c r="B705" s="36"/>
      <c r="C705" s="36"/>
      <c r="D705" s="36"/>
      <c r="E705" s="36"/>
      <c r="F705" s="36"/>
      <c r="G705" s="36"/>
      <c r="H705" s="36"/>
      <c r="J705" s="36"/>
      <c r="K705" s="1" t="str">
        <f t="shared" si="95"/>
        <v/>
      </c>
      <c r="L705" s="1" t="str">
        <f t="shared" si="96"/>
        <v/>
      </c>
      <c r="M705" s="94">
        <v>700</v>
      </c>
      <c r="N705" s="36" t="s">
        <v>2356</v>
      </c>
      <c r="O705" s="95">
        <v>310407</v>
      </c>
      <c r="P705" s="36"/>
      <c r="AI705" s="122">
        <v>393</v>
      </c>
      <c r="AJ705" s="1" t="s">
        <v>2048</v>
      </c>
      <c r="AK705" s="1">
        <v>310100</v>
      </c>
      <c r="AL705" s="1" t="s">
        <v>930</v>
      </c>
      <c r="AN705" s="270">
        <v>799</v>
      </c>
      <c r="AQ705" s="1">
        <v>557</v>
      </c>
      <c r="AR705" s="1" t="s">
        <v>593</v>
      </c>
      <c r="AS705" s="1">
        <v>210450</v>
      </c>
      <c r="AT705" s="1" t="s">
        <v>116</v>
      </c>
      <c r="AV705" s="241">
        <v>51</v>
      </c>
      <c r="BM705" s="138">
        <f t="shared" si="93"/>
        <v>0</v>
      </c>
      <c r="BN705" s="42">
        <f t="shared" si="94"/>
        <v>0</v>
      </c>
      <c r="BS705" s="1">
        <v>10332</v>
      </c>
      <c r="BT705" s="1" t="s">
        <v>902</v>
      </c>
      <c r="BX705" s="36"/>
    </row>
    <row r="706" spans="2:76" ht="14.25">
      <c r="B706" s="36"/>
      <c r="C706" s="36"/>
      <c r="D706" s="36"/>
      <c r="E706" s="36"/>
      <c r="F706" s="36"/>
      <c r="G706" s="36"/>
      <c r="H706" s="36"/>
      <c r="J706" s="36"/>
      <c r="K706" s="1" t="str">
        <f t="shared" si="95"/>
        <v/>
      </c>
      <c r="L706" s="1" t="str">
        <f t="shared" si="96"/>
        <v/>
      </c>
      <c r="M706" s="94">
        <v>701</v>
      </c>
      <c r="N706" s="36" t="s">
        <v>2357</v>
      </c>
      <c r="O706" s="95">
        <v>310408</v>
      </c>
      <c r="P706" s="36"/>
      <c r="AI706" s="122">
        <v>394</v>
      </c>
      <c r="AJ706" s="1" t="s">
        <v>2049</v>
      </c>
      <c r="AK706" s="1">
        <v>310101</v>
      </c>
      <c r="AL706" s="1" t="s">
        <v>115</v>
      </c>
      <c r="AN706" s="270">
        <v>800</v>
      </c>
      <c r="AQ706" s="1">
        <v>558</v>
      </c>
      <c r="AR706" s="1" t="s">
        <v>594</v>
      </c>
      <c r="AS706" s="1">
        <v>210451</v>
      </c>
      <c r="AT706" s="1" t="s">
        <v>115</v>
      </c>
      <c r="AV706" s="241">
        <v>52</v>
      </c>
      <c r="BM706" s="138">
        <f t="shared" ref="BM706:BM769" si="97">I706</f>
        <v>0</v>
      </c>
      <c r="BN706" s="42">
        <f t="shared" ref="BN706:BN769" si="98">A706</f>
        <v>0</v>
      </c>
      <c r="BS706" s="1">
        <v>10333</v>
      </c>
      <c r="BT706" s="1" t="s">
        <v>902</v>
      </c>
      <c r="BX706" s="36"/>
    </row>
    <row r="707" spans="2:76" ht="14.25">
      <c r="B707" s="36"/>
      <c r="C707" s="36"/>
      <c r="D707" s="36"/>
      <c r="E707" s="36"/>
      <c r="F707" s="36"/>
      <c r="G707" s="36"/>
      <c r="H707" s="36"/>
      <c r="J707" s="36"/>
      <c r="K707" s="1" t="str">
        <f>IF(B707="722W","",IF(OR(C707="B1",C707="B9",C707="W1",C707="W2",C707="U9"),IF(MAX($A$2:$A$400)-A707&gt;10000,A707+100000,A707),""))</f>
        <v/>
      </c>
      <c r="L707" s="1" t="str">
        <f t="shared" si="96"/>
        <v/>
      </c>
      <c r="M707" s="94">
        <v>702</v>
      </c>
      <c r="N707" s="36" t="s">
        <v>2358</v>
      </c>
      <c r="O707" s="95">
        <v>310409</v>
      </c>
      <c r="P707" s="36"/>
      <c r="AI707" s="122">
        <v>395</v>
      </c>
      <c r="AJ707" s="1" t="s">
        <v>2050</v>
      </c>
      <c r="AK707" s="1">
        <v>310102</v>
      </c>
      <c r="AL707" s="1" t="s">
        <v>930</v>
      </c>
      <c r="AN707" s="270">
        <v>801</v>
      </c>
      <c r="AQ707" s="1">
        <v>559</v>
      </c>
      <c r="AR707" s="1" t="s">
        <v>595</v>
      </c>
      <c r="AS707" s="1">
        <v>210452</v>
      </c>
      <c r="AT707" s="1" t="s">
        <v>115</v>
      </c>
      <c r="AV707" s="241">
        <v>53</v>
      </c>
      <c r="BM707" s="138">
        <f t="shared" si="97"/>
        <v>0</v>
      </c>
      <c r="BN707" s="42">
        <f t="shared" si="98"/>
        <v>0</v>
      </c>
      <c r="BS707" s="1">
        <v>10334</v>
      </c>
      <c r="BT707" s="1" t="s">
        <v>902</v>
      </c>
      <c r="BX707" s="36"/>
    </row>
    <row r="708" spans="2:76" ht="14.25">
      <c r="B708" s="36"/>
      <c r="C708" s="36"/>
      <c r="D708" s="36"/>
      <c r="E708" s="36"/>
      <c r="F708" s="36"/>
      <c r="G708" s="36"/>
      <c r="H708" s="36"/>
      <c r="J708" s="36"/>
      <c r="K708" s="1" t="str">
        <f>IF(B708="722W","",IF(OR(C708="B1",C708="B9",C708="W1",C708="W2",C708="U9"),IF(MAX($A$2:$A$400)-A708&gt;10000,A708+100000,A708),""))</f>
        <v/>
      </c>
      <c r="L708" s="1" t="str">
        <f t="shared" ref="L708:L771" si="99">IF(AND(MIN(I:I)&lt;20,MAX(I:I)&gt;980,I708&lt;20),I708,"")</f>
        <v/>
      </c>
      <c r="M708" s="94">
        <v>703</v>
      </c>
      <c r="N708" s="36" t="s">
        <v>2359</v>
      </c>
      <c r="O708" s="95">
        <v>310410</v>
      </c>
      <c r="P708" s="36"/>
      <c r="AI708" s="122">
        <v>396</v>
      </c>
      <c r="AJ708" s="1" t="s">
        <v>2051</v>
      </c>
      <c r="AK708" s="1">
        <v>310103</v>
      </c>
      <c r="AL708" s="1" t="s">
        <v>930</v>
      </c>
      <c r="AN708" s="270">
        <v>802</v>
      </c>
      <c r="AQ708" s="1">
        <v>560</v>
      </c>
      <c r="AR708" s="1" t="s">
        <v>596</v>
      </c>
      <c r="AS708" s="1">
        <v>210453</v>
      </c>
      <c r="AT708" s="1" t="s">
        <v>116</v>
      </c>
      <c r="AV708" s="241">
        <v>54</v>
      </c>
      <c r="BM708" s="138">
        <f t="shared" si="97"/>
        <v>0</v>
      </c>
      <c r="BN708" s="42">
        <f t="shared" si="98"/>
        <v>0</v>
      </c>
      <c r="BS708" s="1">
        <v>10335</v>
      </c>
      <c r="BT708" s="1" t="s">
        <v>902</v>
      </c>
      <c r="BX708" s="36"/>
    </row>
    <row r="709" spans="2:76" ht="14.25">
      <c r="B709" s="36"/>
      <c r="C709" s="36"/>
      <c r="D709" s="36"/>
      <c r="E709" s="36"/>
      <c r="F709" s="36"/>
      <c r="G709" s="36"/>
      <c r="H709" s="36"/>
      <c r="J709" s="36"/>
      <c r="K709" s="1" t="str">
        <f>IF(B709="722W","",IF(OR(C709="B1",C709="B9",C709="W1",C709="W2",C709="U9"),IF(MAX($A$2:$A$400)-A709&gt;10000,A709+100000,A709),""))</f>
        <v/>
      </c>
      <c r="L709" s="1" t="str">
        <f t="shared" si="99"/>
        <v/>
      </c>
      <c r="M709" s="94">
        <v>704</v>
      </c>
      <c r="N709" s="36" t="s">
        <v>2360</v>
      </c>
      <c r="O709" s="95">
        <v>310411</v>
      </c>
      <c r="P709" s="36"/>
      <c r="AI709" s="122">
        <v>397</v>
      </c>
      <c r="AJ709" s="1" t="s">
        <v>2052</v>
      </c>
      <c r="AK709" s="1">
        <v>310104</v>
      </c>
      <c r="AL709" s="1" t="s">
        <v>115</v>
      </c>
      <c r="AN709" s="270">
        <v>803</v>
      </c>
      <c r="AQ709" s="1">
        <v>561</v>
      </c>
      <c r="AR709" s="1" t="s">
        <v>597</v>
      </c>
      <c r="AS709" s="1">
        <v>210454</v>
      </c>
      <c r="AT709" s="1" t="s">
        <v>115</v>
      </c>
      <c r="AV709" s="241">
        <v>55</v>
      </c>
      <c r="BM709" s="138">
        <f t="shared" si="97"/>
        <v>0</v>
      </c>
      <c r="BN709" s="42">
        <f t="shared" si="98"/>
        <v>0</v>
      </c>
      <c r="BS709" s="1">
        <v>10336</v>
      </c>
      <c r="BT709" s="1" t="s">
        <v>902</v>
      </c>
      <c r="BX709" s="36"/>
    </row>
    <row r="710" spans="2:76" ht="14.25">
      <c r="B710" s="36"/>
      <c r="C710" s="36"/>
      <c r="D710" s="36"/>
      <c r="E710" s="36"/>
      <c r="F710" s="36"/>
      <c r="G710" s="36"/>
      <c r="H710" s="36"/>
      <c r="J710" s="36"/>
      <c r="K710" s="1" t="str">
        <f>IF(B710="722W","",IF(OR(C710="B1",C710="B9",C710="W1",C710="W2",C710="U9"),IF(MAX($A$2:$A$400)-A710&gt;10000,A710+100000,A710),""))</f>
        <v/>
      </c>
      <c r="L710" s="1" t="str">
        <f t="shared" si="99"/>
        <v/>
      </c>
      <c r="M710" s="94">
        <v>705</v>
      </c>
      <c r="N710" s="36" t="s">
        <v>2361</v>
      </c>
      <c r="O710" s="95">
        <v>310412</v>
      </c>
      <c r="P710" s="36"/>
      <c r="AI710" s="122">
        <v>398</v>
      </c>
      <c r="AJ710" s="1" t="s">
        <v>2053</v>
      </c>
      <c r="AK710" s="1">
        <v>310105</v>
      </c>
      <c r="AL710" s="1" t="s">
        <v>930</v>
      </c>
      <c r="AN710" s="270">
        <v>804</v>
      </c>
      <c r="AQ710" s="1">
        <v>562</v>
      </c>
      <c r="AR710" s="1" t="s">
        <v>598</v>
      </c>
      <c r="AS710" s="1">
        <v>210455</v>
      </c>
      <c r="AT710" s="1" t="s">
        <v>116</v>
      </c>
      <c r="AV710" s="241">
        <v>56</v>
      </c>
      <c r="BM710" s="138">
        <f t="shared" si="97"/>
        <v>0</v>
      </c>
      <c r="BN710" s="42">
        <f t="shared" si="98"/>
        <v>0</v>
      </c>
      <c r="BS710" s="1">
        <v>10337</v>
      </c>
      <c r="BT710" s="1" t="s">
        <v>902</v>
      </c>
      <c r="BX710" s="36"/>
    </row>
    <row r="711" spans="2:76" ht="14.25">
      <c r="B711" s="36"/>
      <c r="C711" s="36"/>
      <c r="D711" s="36"/>
      <c r="E711" s="36"/>
      <c r="F711" s="36"/>
      <c r="G711" s="36"/>
      <c r="H711" s="36"/>
      <c r="J711" s="36"/>
      <c r="K711" s="1" t="str">
        <f>IF(B711="722W","",IF(OR(C711="B1",C711="B9",C711="W1",C711="W2",C711="U9"),IF(MAX($A$2:$A$400)-A711&gt;10000,A711+100000,A711),""))</f>
        <v/>
      </c>
      <c r="L711" s="1" t="str">
        <f t="shared" si="99"/>
        <v/>
      </c>
      <c r="M711" s="94">
        <v>706</v>
      </c>
      <c r="N711" s="36" t="s">
        <v>2362</v>
      </c>
      <c r="O711" s="95">
        <v>310413</v>
      </c>
      <c r="P711" s="36"/>
      <c r="AI711" s="122">
        <v>399</v>
      </c>
      <c r="AJ711" s="1" t="s">
        <v>2054</v>
      </c>
      <c r="AK711" s="1">
        <v>310106</v>
      </c>
      <c r="AL711" s="1" t="s">
        <v>115</v>
      </c>
      <c r="AN711" s="270">
        <v>805</v>
      </c>
      <c r="AQ711" s="1">
        <v>563</v>
      </c>
      <c r="AR711" s="1" t="s">
        <v>599</v>
      </c>
      <c r="AS711" s="1">
        <v>210456</v>
      </c>
      <c r="AT711" s="1" t="s">
        <v>115</v>
      </c>
      <c r="AV711" s="241">
        <v>57</v>
      </c>
      <c r="BM711" s="138">
        <f t="shared" si="97"/>
        <v>0</v>
      </c>
      <c r="BN711" s="42">
        <f t="shared" si="98"/>
        <v>0</v>
      </c>
      <c r="BS711" s="1">
        <v>10338</v>
      </c>
      <c r="BT711" s="1" t="s">
        <v>902</v>
      </c>
      <c r="BX711" s="36"/>
    </row>
    <row r="712" spans="2:76" ht="14.25">
      <c r="B712" s="36"/>
      <c r="C712" s="36"/>
      <c r="D712" s="36"/>
      <c r="E712" s="36"/>
      <c r="F712" s="36"/>
      <c r="G712" s="36"/>
      <c r="H712" s="36"/>
      <c r="J712" s="36"/>
      <c r="L712" s="1" t="str">
        <f t="shared" si="99"/>
        <v/>
      </c>
      <c r="M712" s="94">
        <v>707</v>
      </c>
      <c r="N712" s="36" t="s">
        <v>2363</v>
      </c>
      <c r="O712" s="95">
        <v>310414</v>
      </c>
      <c r="P712" s="36"/>
      <c r="AI712" s="122">
        <v>400</v>
      </c>
      <c r="AJ712" s="1" t="s">
        <v>2055</v>
      </c>
      <c r="AK712" s="1">
        <v>310107</v>
      </c>
      <c r="AL712" s="1" t="s">
        <v>930</v>
      </c>
      <c r="AN712" s="270">
        <v>806</v>
      </c>
      <c r="AQ712" s="1">
        <v>564</v>
      </c>
      <c r="AR712" s="1" t="s">
        <v>600</v>
      </c>
      <c r="AS712" s="1">
        <v>210457</v>
      </c>
      <c r="AT712" s="1" t="s">
        <v>115</v>
      </c>
      <c r="AV712" s="241">
        <v>58</v>
      </c>
      <c r="BM712" s="138">
        <f t="shared" si="97"/>
        <v>0</v>
      </c>
      <c r="BN712" s="42">
        <f t="shared" si="98"/>
        <v>0</v>
      </c>
      <c r="BS712" s="1">
        <v>10339</v>
      </c>
      <c r="BT712" s="1" t="s">
        <v>902</v>
      </c>
      <c r="BX712" s="36"/>
    </row>
    <row r="713" spans="2:76" ht="14.25">
      <c r="B713" s="36"/>
      <c r="C713" s="36"/>
      <c r="D713" s="36"/>
      <c r="E713" s="36"/>
      <c r="F713" s="36"/>
      <c r="G713" s="36"/>
      <c r="H713" s="36"/>
      <c r="J713" s="36"/>
      <c r="L713" s="1" t="str">
        <f t="shared" si="99"/>
        <v/>
      </c>
      <c r="M713" s="94">
        <v>708</v>
      </c>
      <c r="N713" s="36" t="s">
        <v>2364</v>
      </c>
      <c r="O713" s="95">
        <v>310415</v>
      </c>
      <c r="P713" s="36"/>
      <c r="AI713" s="122">
        <v>401</v>
      </c>
      <c r="AJ713" s="1" t="s">
        <v>2056</v>
      </c>
      <c r="AK713" s="1">
        <v>310108</v>
      </c>
      <c r="AL713" s="1" t="s">
        <v>115</v>
      </c>
      <c r="AN713" s="270">
        <v>807</v>
      </c>
      <c r="AQ713" s="1">
        <v>565</v>
      </c>
      <c r="AR713" s="1" t="s">
        <v>601</v>
      </c>
      <c r="AS713" s="1">
        <v>210458</v>
      </c>
      <c r="AT713" s="1" t="s">
        <v>116</v>
      </c>
      <c r="AV713" s="241">
        <v>59</v>
      </c>
      <c r="BM713" s="138">
        <f t="shared" si="97"/>
        <v>0</v>
      </c>
      <c r="BN713" s="42">
        <f t="shared" si="98"/>
        <v>0</v>
      </c>
      <c r="BS713" s="1">
        <v>10340</v>
      </c>
      <c r="BT713" s="1" t="s">
        <v>902</v>
      </c>
      <c r="BX713" s="36"/>
    </row>
    <row r="714" spans="2:76" ht="14.25">
      <c r="B714" s="36"/>
      <c r="C714" s="36"/>
      <c r="D714" s="36"/>
      <c r="E714" s="36"/>
      <c r="F714" s="36"/>
      <c r="G714" s="36"/>
      <c r="H714" s="36"/>
      <c r="J714" s="36"/>
      <c r="L714" s="1" t="str">
        <f t="shared" si="99"/>
        <v/>
      </c>
      <c r="M714" s="94">
        <v>709</v>
      </c>
      <c r="N714" s="36" t="s">
        <v>2365</v>
      </c>
      <c r="O714" s="95">
        <v>310416</v>
      </c>
      <c r="P714" s="36"/>
      <c r="AI714" s="122">
        <v>402</v>
      </c>
      <c r="AJ714" s="1" t="s">
        <v>2057</v>
      </c>
      <c r="AK714" s="1">
        <v>310109</v>
      </c>
      <c r="AL714" s="1" t="s">
        <v>930</v>
      </c>
      <c r="AN714" s="270">
        <v>808</v>
      </c>
      <c r="AQ714" s="1">
        <v>566</v>
      </c>
      <c r="AR714" s="1" t="s">
        <v>602</v>
      </c>
      <c r="AS714" s="1">
        <v>210459</v>
      </c>
      <c r="AT714" s="1" t="s">
        <v>115</v>
      </c>
      <c r="AV714" s="241">
        <v>60</v>
      </c>
      <c r="BM714" s="138">
        <f t="shared" si="97"/>
        <v>0</v>
      </c>
      <c r="BN714" s="42">
        <f t="shared" si="98"/>
        <v>0</v>
      </c>
      <c r="BS714" s="1">
        <v>10341</v>
      </c>
      <c r="BT714" s="1" t="s">
        <v>902</v>
      </c>
      <c r="BX714" s="36"/>
    </row>
    <row r="715" spans="2:76" ht="14.25">
      <c r="B715" s="36"/>
      <c r="C715" s="36"/>
      <c r="D715" s="36"/>
      <c r="E715" s="36"/>
      <c r="F715" s="36"/>
      <c r="G715" s="36"/>
      <c r="H715" s="36"/>
      <c r="J715" s="36"/>
      <c r="L715" s="1" t="str">
        <f t="shared" si="99"/>
        <v/>
      </c>
      <c r="M715" s="94">
        <v>710</v>
      </c>
      <c r="N715" s="36" t="s">
        <v>2366</v>
      </c>
      <c r="O715" s="95">
        <v>310417</v>
      </c>
      <c r="P715" s="36"/>
      <c r="AI715" s="122">
        <v>403</v>
      </c>
      <c r="AJ715" s="1" t="s">
        <v>2058</v>
      </c>
      <c r="AK715" s="1">
        <v>310110</v>
      </c>
      <c r="AL715" s="1" t="s">
        <v>930</v>
      </c>
      <c r="AN715" s="270">
        <v>809</v>
      </c>
      <c r="AQ715" s="1">
        <v>567</v>
      </c>
      <c r="AR715" s="1" t="s">
        <v>603</v>
      </c>
      <c r="AS715" s="1">
        <v>210460</v>
      </c>
      <c r="AT715" s="1" t="s">
        <v>116</v>
      </c>
      <c r="AV715" s="241">
        <v>61</v>
      </c>
      <c r="BM715" s="138">
        <f t="shared" si="97"/>
        <v>0</v>
      </c>
      <c r="BN715" s="42">
        <f t="shared" si="98"/>
        <v>0</v>
      </c>
      <c r="BS715" s="1">
        <v>10342</v>
      </c>
      <c r="BT715" s="1" t="s">
        <v>902</v>
      </c>
      <c r="BX715" s="36"/>
    </row>
    <row r="716" spans="2:76" ht="14.25">
      <c r="B716" s="36"/>
      <c r="C716" s="36"/>
      <c r="D716" s="36"/>
      <c r="E716" s="36"/>
      <c r="F716" s="36"/>
      <c r="G716" s="36"/>
      <c r="H716" s="36"/>
      <c r="J716" s="36"/>
      <c r="L716" s="1" t="str">
        <f t="shared" si="99"/>
        <v/>
      </c>
      <c r="M716" s="94">
        <v>711</v>
      </c>
      <c r="N716" s="36" t="s">
        <v>2367</v>
      </c>
      <c r="O716" s="95">
        <v>310418</v>
      </c>
      <c r="P716" s="36"/>
      <c r="AI716" s="122">
        <v>404</v>
      </c>
      <c r="AJ716" s="1" t="s">
        <v>2059</v>
      </c>
      <c r="AK716" s="1">
        <v>310111</v>
      </c>
      <c r="AL716" s="1" t="s">
        <v>115</v>
      </c>
      <c r="AN716" s="270">
        <v>810</v>
      </c>
      <c r="AQ716" s="1">
        <v>568</v>
      </c>
      <c r="AR716" s="1" t="s">
        <v>604</v>
      </c>
      <c r="AS716" s="1">
        <v>210461</v>
      </c>
      <c r="AT716" s="1" t="s">
        <v>115</v>
      </c>
      <c r="AV716" s="241">
        <v>62</v>
      </c>
      <c r="BM716" s="138">
        <f t="shared" si="97"/>
        <v>0</v>
      </c>
      <c r="BN716" s="42">
        <f t="shared" si="98"/>
        <v>0</v>
      </c>
      <c r="BS716" s="1">
        <v>10343</v>
      </c>
      <c r="BT716" s="1" t="s">
        <v>902</v>
      </c>
      <c r="BX716" s="36"/>
    </row>
    <row r="717" spans="2:76" ht="14.25">
      <c r="B717" s="36"/>
      <c r="C717" s="36"/>
      <c r="D717" s="36"/>
      <c r="E717" s="36"/>
      <c r="F717" s="36"/>
      <c r="G717" s="36"/>
      <c r="H717" s="36"/>
      <c r="J717" s="36"/>
      <c r="L717" s="1" t="str">
        <f t="shared" si="99"/>
        <v/>
      </c>
      <c r="M717" s="94">
        <v>712</v>
      </c>
      <c r="N717" s="36" t="s">
        <v>2368</v>
      </c>
      <c r="O717" s="95">
        <v>310419</v>
      </c>
      <c r="P717" s="36"/>
      <c r="AI717" s="122">
        <v>405</v>
      </c>
      <c r="AJ717" s="1" t="s">
        <v>2060</v>
      </c>
      <c r="AK717" s="1">
        <v>310112</v>
      </c>
      <c r="AL717" s="1" t="s">
        <v>930</v>
      </c>
      <c r="AN717" s="270">
        <v>811</v>
      </c>
      <c r="AQ717" s="1">
        <v>569</v>
      </c>
      <c r="AR717" s="1" t="s">
        <v>605</v>
      </c>
      <c r="AS717" s="1">
        <v>210464</v>
      </c>
      <c r="AT717" s="1" t="s">
        <v>115</v>
      </c>
      <c r="AV717" s="241">
        <v>63</v>
      </c>
      <c r="BM717" s="138">
        <f t="shared" si="97"/>
        <v>0</v>
      </c>
      <c r="BN717" s="42">
        <f t="shared" si="98"/>
        <v>0</v>
      </c>
      <c r="BS717" s="1">
        <v>10344</v>
      </c>
      <c r="BT717" s="1" t="s">
        <v>902</v>
      </c>
      <c r="BX717" s="36"/>
    </row>
    <row r="718" spans="2:76" ht="14.25">
      <c r="B718" s="36"/>
      <c r="C718" s="36"/>
      <c r="D718" s="36"/>
      <c r="E718" s="36"/>
      <c r="F718" s="36"/>
      <c r="G718" s="36"/>
      <c r="H718" s="36"/>
      <c r="J718" s="36"/>
      <c r="L718" s="1" t="str">
        <f t="shared" si="99"/>
        <v/>
      </c>
      <c r="M718" s="94">
        <v>713</v>
      </c>
      <c r="N718" s="36" t="s">
        <v>2369</v>
      </c>
      <c r="O718" s="95">
        <v>310420</v>
      </c>
      <c r="P718" s="36"/>
      <c r="AI718" s="122">
        <v>406</v>
      </c>
      <c r="AJ718" s="1" t="s">
        <v>2061</v>
      </c>
      <c r="AK718" s="1">
        <v>310113</v>
      </c>
      <c r="AL718" s="1" t="s">
        <v>115</v>
      </c>
      <c r="AN718" s="270">
        <v>812</v>
      </c>
      <c r="AQ718" s="1">
        <v>570</v>
      </c>
      <c r="AR718" s="1" t="s">
        <v>606</v>
      </c>
      <c r="AS718" s="1">
        <v>210465</v>
      </c>
      <c r="AT718" s="1" t="s">
        <v>116</v>
      </c>
      <c r="AV718" s="241">
        <v>64</v>
      </c>
      <c r="BM718" s="138">
        <f t="shared" si="97"/>
        <v>0</v>
      </c>
      <c r="BN718" s="42">
        <f t="shared" si="98"/>
        <v>0</v>
      </c>
      <c r="BS718" s="1">
        <v>10345</v>
      </c>
      <c r="BT718" s="1" t="s">
        <v>902</v>
      </c>
      <c r="BX718" s="36"/>
    </row>
    <row r="719" spans="2:76" ht="14.25">
      <c r="B719" s="36"/>
      <c r="C719" s="36"/>
      <c r="D719" s="36"/>
      <c r="E719" s="36"/>
      <c r="F719" s="36"/>
      <c r="G719" s="36"/>
      <c r="H719" s="36"/>
      <c r="J719" s="36"/>
      <c r="L719" s="1" t="str">
        <f t="shared" si="99"/>
        <v/>
      </c>
      <c r="M719" s="94">
        <v>714</v>
      </c>
      <c r="N719" s="36" t="s">
        <v>2370</v>
      </c>
      <c r="O719" s="95">
        <v>310421</v>
      </c>
      <c r="P719" s="36"/>
      <c r="AI719" s="122">
        <v>407</v>
      </c>
      <c r="AJ719" s="1" t="s">
        <v>2062</v>
      </c>
      <c r="AK719" s="1">
        <v>310114</v>
      </c>
      <c r="AL719" s="1" t="s">
        <v>930</v>
      </c>
      <c r="AN719" s="270">
        <v>813</v>
      </c>
      <c r="AQ719" s="1">
        <v>571</v>
      </c>
      <c r="AR719" s="1" t="s">
        <v>607</v>
      </c>
      <c r="AS719" s="1">
        <v>210466</v>
      </c>
      <c r="AT719" s="1" t="s">
        <v>115</v>
      </c>
      <c r="AV719" s="241">
        <v>65</v>
      </c>
      <c r="BM719" s="138">
        <f t="shared" si="97"/>
        <v>0</v>
      </c>
      <c r="BN719" s="42">
        <f t="shared" si="98"/>
        <v>0</v>
      </c>
      <c r="BS719" s="1">
        <v>10346</v>
      </c>
      <c r="BT719" s="1" t="s">
        <v>902</v>
      </c>
      <c r="BX719" s="36"/>
    </row>
    <row r="720" spans="2:76" ht="14.25">
      <c r="B720" s="36"/>
      <c r="C720" s="36"/>
      <c r="D720" s="36"/>
      <c r="E720" s="36"/>
      <c r="F720" s="36"/>
      <c r="G720" s="36"/>
      <c r="H720" s="36"/>
      <c r="J720" s="36"/>
      <c r="L720" s="1" t="str">
        <f t="shared" si="99"/>
        <v/>
      </c>
      <c r="M720" s="94">
        <v>715</v>
      </c>
      <c r="N720" s="36" t="s">
        <v>2371</v>
      </c>
      <c r="O720" s="95">
        <v>310422</v>
      </c>
      <c r="P720" s="36"/>
      <c r="AI720" s="122">
        <v>408</v>
      </c>
      <c r="AJ720" s="1" t="s">
        <v>2063</v>
      </c>
      <c r="AK720" s="1">
        <v>310115</v>
      </c>
      <c r="AL720" s="1" t="s">
        <v>115</v>
      </c>
      <c r="AN720" s="270">
        <v>814</v>
      </c>
      <c r="AQ720" s="1">
        <v>572</v>
      </c>
      <c r="AR720" s="1" t="s">
        <v>608</v>
      </c>
      <c r="AS720" s="1">
        <v>210467</v>
      </c>
      <c r="AT720" s="1" t="s">
        <v>116</v>
      </c>
      <c r="AV720" s="241">
        <v>66</v>
      </c>
      <c r="BM720" s="138">
        <f t="shared" si="97"/>
        <v>0</v>
      </c>
      <c r="BN720" s="42">
        <f t="shared" si="98"/>
        <v>0</v>
      </c>
      <c r="BS720" s="1">
        <v>10347</v>
      </c>
      <c r="BT720" s="1" t="s">
        <v>902</v>
      </c>
      <c r="BX720" s="36"/>
    </row>
    <row r="721" spans="2:76" ht="14.25">
      <c r="B721" s="36"/>
      <c r="C721" s="36"/>
      <c r="D721" s="36"/>
      <c r="E721" s="36"/>
      <c r="F721" s="36"/>
      <c r="G721" s="36"/>
      <c r="H721" s="36"/>
      <c r="J721" s="36"/>
      <c r="L721" s="1" t="str">
        <f t="shared" si="99"/>
        <v/>
      </c>
      <c r="M721" s="94">
        <v>716</v>
      </c>
      <c r="N721" s="36" t="s">
        <v>2372</v>
      </c>
      <c r="O721" s="95">
        <v>310423</v>
      </c>
      <c r="P721" s="36"/>
      <c r="AI721" s="122">
        <v>409</v>
      </c>
      <c r="AJ721" s="1" t="s">
        <v>2064</v>
      </c>
      <c r="AK721" s="1">
        <v>310116</v>
      </c>
      <c r="AL721" s="1" t="s">
        <v>930</v>
      </c>
      <c r="AN721" s="270">
        <v>815</v>
      </c>
      <c r="AQ721" s="1">
        <v>573</v>
      </c>
      <c r="AR721" s="1" t="s">
        <v>609</v>
      </c>
      <c r="AS721" s="1">
        <v>210468</v>
      </c>
      <c r="AT721" s="1" t="s">
        <v>115</v>
      </c>
      <c r="AV721" s="241">
        <v>67</v>
      </c>
      <c r="BM721" s="138">
        <f t="shared" si="97"/>
        <v>0</v>
      </c>
      <c r="BN721" s="42">
        <f t="shared" si="98"/>
        <v>0</v>
      </c>
      <c r="BS721" s="1">
        <v>10348</v>
      </c>
      <c r="BT721" s="1" t="s">
        <v>902</v>
      </c>
      <c r="BX721" s="36"/>
    </row>
    <row r="722" spans="2:76" ht="14.25">
      <c r="B722" s="36"/>
      <c r="C722" s="36"/>
      <c r="D722" s="36"/>
      <c r="E722" s="36"/>
      <c r="F722" s="36"/>
      <c r="G722" s="36"/>
      <c r="H722" s="36"/>
      <c r="J722" s="36"/>
      <c r="L722" s="1" t="str">
        <f t="shared" si="99"/>
        <v/>
      </c>
      <c r="M722" s="94">
        <v>717</v>
      </c>
      <c r="N722" s="36" t="s">
        <v>2373</v>
      </c>
      <c r="O722" s="95">
        <v>310424</v>
      </c>
      <c r="P722" s="36"/>
      <c r="AI722" s="122">
        <v>410</v>
      </c>
      <c r="AJ722" s="1" t="s">
        <v>2065</v>
      </c>
      <c r="AK722" s="1">
        <v>310117</v>
      </c>
      <c r="AL722" s="1" t="s">
        <v>930</v>
      </c>
      <c r="AN722" s="270">
        <v>816</v>
      </c>
      <c r="AQ722" s="1">
        <v>574</v>
      </c>
      <c r="AR722" s="1" t="s">
        <v>610</v>
      </c>
      <c r="AS722" s="1">
        <v>210469</v>
      </c>
      <c r="AT722" s="1" t="s">
        <v>115</v>
      </c>
      <c r="AV722" s="241">
        <v>68</v>
      </c>
      <c r="BM722" s="138">
        <f t="shared" si="97"/>
        <v>0</v>
      </c>
      <c r="BN722" s="42">
        <f t="shared" si="98"/>
        <v>0</v>
      </c>
      <c r="BS722" s="1">
        <v>10349</v>
      </c>
      <c r="BT722" s="1" t="s">
        <v>902</v>
      </c>
      <c r="BX722" s="36"/>
    </row>
    <row r="723" spans="2:76" ht="14.25">
      <c r="B723" s="36"/>
      <c r="C723" s="36"/>
      <c r="D723" s="36"/>
      <c r="E723" s="36"/>
      <c r="F723" s="36"/>
      <c r="G723" s="36"/>
      <c r="H723" s="36"/>
      <c r="J723" s="36"/>
      <c r="L723" s="1" t="str">
        <f t="shared" si="99"/>
        <v/>
      </c>
      <c r="M723" s="94">
        <v>718</v>
      </c>
      <c r="N723" s="36" t="s">
        <v>2374</v>
      </c>
      <c r="O723" s="95">
        <v>310425</v>
      </c>
      <c r="P723" s="36"/>
      <c r="AI723" s="122">
        <v>411</v>
      </c>
      <c r="AJ723" s="1" t="s">
        <v>2066</v>
      </c>
      <c r="AK723" s="1">
        <v>310118</v>
      </c>
      <c r="AL723" s="1" t="s">
        <v>115</v>
      </c>
      <c r="AN723" s="270">
        <v>817</v>
      </c>
      <c r="AQ723" s="1">
        <v>575</v>
      </c>
      <c r="AR723" s="1" t="s">
        <v>611</v>
      </c>
      <c r="AS723" s="1">
        <v>210470</v>
      </c>
      <c r="AT723" s="1" t="s">
        <v>116</v>
      </c>
      <c r="AV723" s="241">
        <v>69</v>
      </c>
      <c r="BM723" s="138">
        <f t="shared" si="97"/>
        <v>0</v>
      </c>
      <c r="BN723" s="42">
        <f t="shared" si="98"/>
        <v>0</v>
      </c>
      <c r="BS723" s="1">
        <v>10350</v>
      </c>
      <c r="BT723" s="1" t="s">
        <v>902</v>
      </c>
      <c r="BX723" s="36"/>
    </row>
    <row r="724" spans="2:76" ht="14.25">
      <c r="B724" s="36"/>
      <c r="C724" s="36"/>
      <c r="D724" s="36"/>
      <c r="E724" s="36"/>
      <c r="F724" s="36"/>
      <c r="G724" s="36"/>
      <c r="H724" s="36"/>
      <c r="J724" s="36"/>
      <c r="L724" s="1" t="str">
        <f t="shared" si="99"/>
        <v/>
      </c>
      <c r="M724" s="94">
        <v>719</v>
      </c>
      <c r="N724" s="36" t="s">
        <v>2375</v>
      </c>
      <c r="O724" s="95">
        <v>310426</v>
      </c>
      <c r="P724" s="36"/>
      <c r="AI724" s="122">
        <v>412</v>
      </c>
      <c r="AJ724" s="1" t="s">
        <v>2067</v>
      </c>
      <c r="AK724" s="1">
        <v>310119</v>
      </c>
      <c r="AL724" s="1" t="s">
        <v>930</v>
      </c>
      <c r="AN724" s="270">
        <v>818</v>
      </c>
      <c r="AQ724" s="1">
        <v>576</v>
      </c>
      <c r="AR724" s="1" t="s">
        <v>612</v>
      </c>
      <c r="AS724" s="1">
        <v>210462</v>
      </c>
      <c r="AT724" s="1" t="s">
        <v>115</v>
      </c>
      <c r="AV724" s="241">
        <v>70</v>
      </c>
      <c r="BM724" s="138">
        <f t="shared" si="97"/>
        <v>0</v>
      </c>
      <c r="BN724" s="42">
        <f t="shared" si="98"/>
        <v>0</v>
      </c>
      <c r="BS724" s="1">
        <v>10351</v>
      </c>
      <c r="BT724" s="1" t="s">
        <v>902</v>
      </c>
      <c r="BX724" s="36"/>
    </row>
    <row r="725" spans="2:76" ht="14.25">
      <c r="B725" s="36"/>
      <c r="C725" s="36"/>
      <c r="D725" s="36"/>
      <c r="E725" s="36"/>
      <c r="F725" s="36"/>
      <c r="G725" s="36"/>
      <c r="H725" s="36"/>
      <c r="J725" s="36"/>
      <c r="L725" s="1" t="str">
        <f t="shared" si="99"/>
        <v/>
      </c>
      <c r="M725" s="94">
        <v>720</v>
      </c>
      <c r="N725" s="36" t="s">
        <v>2376</v>
      </c>
      <c r="O725" s="95">
        <v>310427</v>
      </c>
      <c r="P725" s="36"/>
      <c r="AI725" s="122">
        <v>413</v>
      </c>
      <c r="AJ725" s="1" t="s">
        <v>2068</v>
      </c>
      <c r="AK725" s="1">
        <v>310120</v>
      </c>
      <c r="AL725" s="1" t="s">
        <v>115</v>
      </c>
      <c r="AN725" s="270">
        <v>819</v>
      </c>
      <c r="AQ725" s="1">
        <v>577</v>
      </c>
      <c r="AR725" s="1" t="s">
        <v>613</v>
      </c>
      <c r="AS725" s="1">
        <v>210463</v>
      </c>
      <c r="AT725" s="1" t="s">
        <v>116</v>
      </c>
      <c r="AV725" s="241">
        <v>71</v>
      </c>
      <c r="BM725" s="138">
        <f t="shared" si="97"/>
        <v>0</v>
      </c>
      <c r="BN725" s="42">
        <f t="shared" si="98"/>
        <v>0</v>
      </c>
      <c r="BS725" s="1">
        <v>10352</v>
      </c>
      <c r="BT725" s="1" t="s">
        <v>902</v>
      </c>
      <c r="BX725" s="36"/>
    </row>
    <row r="726" spans="2:76" ht="14.25">
      <c r="B726" s="36"/>
      <c r="C726" s="36"/>
      <c r="D726" s="36"/>
      <c r="E726" s="36"/>
      <c r="F726" s="36"/>
      <c r="G726" s="36"/>
      <c r="H726" s="36"/>
      <c r="J726" s="36"/>
      <c r="L726" s="1" t="str">
        <f t="shared" si="99"/>
        <v/>
      </c>
      <c r="M726" s="94">
        <v>721</v>
      </c>
      <c r="N726" s="36" t="s">
        <v>2377</v>
      </c>
      <c r="O726" s="95">
        <v>310428</v>
      </c>
      <c r="P726" s="36"/>
      <c r="AI726" s="122">
        <v>414</v>
      </c>
      <c r="AJ726" s="1" t="s">
        <v>2069</v>
      </c>
      <c r="AK726" s="1">
        <v>310121</v>
      </c>
      <c r="AL726" s="1" t="s">
        <v>930</v>
      </c>
      <c r="AN726" s="270">
        <v>820</v>
      </c>
      <c r="AQ726" s="1">
        <v>578</v>
      </c>
      <c r="AR726" s="1" t="s">
        <v>614</v>
      </c>
      <c r="AS726" s="1">
        <v>210471</v>
      </c>
      <c r="AT726" s="1" t="s">
        <v>115</v>
      </c>
      <c r="AV726" s="241">
        <v>72</v>
      </c>
      <c r="BM726" s="138">
        <f t="shared" si="97"/>
        <v>0</v>
      </c>
      <c r="BN726" s="42">
        <f t="shared" si="98"/>
        <v>0</v>
      </c>
      <c r="BS726" s="1">
        <v>10353</v>
      </c>
      <c r="BT726" s="1" t="s">
        <v>902</v>
      </c>
      <c r="BX726" s="36"/>
    </row>
    <row r="727" spans="2:76" ht="14.25">
      <c r="B727" s="36"/>
      <c r="C727" s="36"/>
      <c r="D727" s="36"/>
      <c r="E727" s="36"/>
      <c r="F727" s="36"/>
      <c r="G727" s="36"/>
      <c r="H727" s="36"/>
      <c r="J727" s="36"/>
      <c r="L727" s="1" t="str">
        <f t="shared" si="99"/>
        <v/>
      </c>
      <c r="M727" s="94">
        <v>722</v>
      </c>
      <c r="N727" s="36" t="s">
        <v>2378</v>
      </c>
      <c r="O727" s="95">
        <v>310429</v>
      </c>
      <c r="P727" s="36"/>
      <c r="AI727" s="122">
        <v>415</v>
      </c>
      <c r="AJ727" s="1" t="s">
        <v>2070</v>
      </c>
      <c r="AK727" s="1">
        <v>310122</v>
      </c>
      <c r="AL727" s="1" t="s">
        <v>115</v>
      </c>
      <c r="AN727" s="270">
        <v>821</v>
      </c>
      <c r="AQ727" s="1">
        <v>579</v>
      </c>
      <c r="AR727" s="1" t="s">
        <v>615</v>
      </c>
      <c r="AS727" s="1">
        <v>210472</v>
      </c>
      <c r="AT727" s="1" t="s">
        <v>116</v>
      </c>
      <c r="AV727" s="241">
        <v>73</v>
      </c>
      <c r="BM727" s="138">
        <f t="shared" si="97"/>
        <v>0</v>
      </c>
      <c r="BN727" s="42">
        <f t="shared" si="98"/>
        <v>0</v>
      </c>
      <c r="BS727" s="1">
        <v>10354</v>
      </c>
      <c r="BT727" s="1" t="s">
        <v>902</v>
      </c>
      <c r="BX727" s="36"/>
    </row>
    <row r="728" spans="2:76" ht="14.25">
      <c r="B728" s="36"/>
      <c r="C728" s="36"/>
      <c r="D728" s="36"/>
      <c r="E728" s="36"/>
      <c r="F728" s="36"/>
      <c r="G728" s="36"/>
      <c r="H728" s="36"/>
      <c r="J728" s="36"/>
      <c r="L728" s="1" t="str">
        <f t="shared" si="99"/>
        <v/>
      </c>
      <c r="M728" s="94">
        <v>723</v>
      </c>
      <c r="N728" s="36" t="s">
        <v>2379</v>
      </c>
      <c r="O728" s="95">
        <v>310430</v>
      </c>
      <c r="P728" s="36"/>
      <c r="AI728" s="122">
        <v>416</v>
      </c>
      <c r="AJ728" s="1" t="s">
        <v>2071</v>
      </c>
      <c r="AK728" s="1">
        <v>310123</v>
      </c>
      <c r="AL728" s="1" t="s">
        <v>930</v>
      </c>
      <c r="AN728" s="270">
        <v>822</v>
      </c>
      <c r="AQ728" s="1">
        <v>580</v>
      </c>
      <c r="AR728" s="1" t="s">
        <v>616</v>
      </c>
      <c r="AS728" s="1">
        <v>210473</v>
      </c>
      <c r="AT728" s="1" t="s">
        <v>115</v>
      </c>
      <c r="AV728" s="241">
        <v>74</v>
      </c>
      <c r="BM728" s="138">
        <f t="shared" si="97"/>
        <v>0</v>
      </c>
      <c r="BN728" s="42">
        <f t="shared" si="98"/>
        <v>0</v>
      </c>
      <c r="BS728" s="1">
        <v>10355</v>
      </c>
      <c r="BT728" s="1" t="s">
        <v>902</v>
      </c>
      <c r="BX728" s="36"/>
    </row>
    <row r="729" spans="2:76" ht="14.25">
      <c r="B729" s="36"/>
      <c r="C729" s="36"/>
      <c r="D729" s="36"/>
      <c r="E729" s="36"/>
      <c r="F729" s="36"/>
      <c r="G729" s="36"/>
      <c r="H729" s="36"/>
      <c r="J729" s="36"/>
      <c r="L729" s="1" t="str">
        <f t="shared" si="99"/>
        <v/>
      </c>
      <c r="M729" s="94">
        <v>724</v>
      </c>
      <c r="N729" s="36" t="s">
        <v>2380</v>
      </c>
      <c r="O729" s="95">
        <v>310431</v>
      </c>
      <c r="P729" s="36"/>
      <c r="AI729" s="122">
        <v>417</v>
      </c>
      <c r="AJ729" s="1" t="s">
        <v>2072</v>
      </c>
      <c r="AK729" s="1">
        <v>310124</v>
      </c>
      <c r="AL729" s="1" t="s">
        <v>930</v>
      </c>
      <c r="AN729" s="270">
        <v>823</v>
      </c>
      <c r="AQ729" s="1">
        <v>581</v>
      </c>
      <c r="AR729" s="1" t="s">
        <v>617</v>
      </c>
      <c r="AS729" s="1">
        <v>210474</v>
      </c>
      <c r="AT729" s="1" t="s">
        <v>115</v>
      </c>
      <c r="AV729" s="241">
        <v>75</v>
      </c>
      <c r="BM729" s="138">
        <f t="shared" si="97"/>
        <v>0</v>
      </c>
      <c r="BN729" s="42">
        <f t="shared" si="98"/>
        <v>0</v>
      </c>
      <c r="BS729" s="1">
        <v>10356</v>
      </c>
      <c r="BT729" s="1" t="s">
        <v>902</v>
      </c>
      <c r="BX729" s="36"/>
    </row>
    <row r="730" spans="2:76" ht="14.25">
      <c r="B730" s="36"/>
      <c r="C730" s="36"/>
      <c r="D730" s="36"/>
      <c r="E730" s="36"/>
      <c r="F730" s="36"/>
      <c r="G730" s="36"/>
      <c r="H730" s="36"/>
      <c r="J730" s="36"/>
      <c r="L730" s="1" t="str">
        <f t="shared" si="99"/>
        <v/>
      </c>
      <c r="M730" s="94">
        <v>725</v>
      </c>
      <c r="N730" s="36" t="s">
        <v>2381</v>
      </c>
      <c r="O730" s="95">
        <v>310432</v>
      </c>
      <c r="P730" s="36"/>
      <c r="AI730" s="122">
        <v>418</v>
      </c>
      <c r="AJ730" s="1" t="s">
        <v>2073</v>
      </c>
      <c r="AK730" s="1">
        <v>310125</v>
      </c>
      <c r="AL730" s="1" t="s">
        <v>115</v>
      </c>
      <c r="AN730" s="270">
        <v>824</v>
      </c>
      <c r="AQ730" s="1">
        <v>582</v>
      </c>
      <c r="AR730" s="1" t="s">
        <v>618</v>
      </c>
      <c r="AS730" s="1">
        <v>210475</v>
      </c>
      <c r="AT730" s="1" t="s">
        <v>116</v>
      </c>
      <c r="AV730" s="241">
        <v>76</v>
      </c>
      <c r="BM730" s="138">
        <f t="shared" si="97"/>
        <v>0</v>
      </c>
      <c r="BN730" s="42">
        <f t="shared" si="98"/>
        <v>0</v>
      </c>
      <c r="BS730" s="1">
        <v>10357</v>
      </c>
      <c r="BT730" s="1" t="s">
        <v>902</v>
      </c>
      <c r="BX730" s="36"/>
    </row>
    <row r="731" spans="2:76" ht="14.25">
      <c r="B731" s="36"/>
      <c r="C731" s="36"/>
      <c r="D731" s="36"/>
      <c r="E731" s="36"/>
      <c r="F731" s="36"/>
      <c r="G731" s="36"/>
      <c r="H731" s="36"/>
      <c r="J731" s="36"/>
      <c r="L731" s="1" t="str">
        <f t="shared" si="99"/>
        <v/>
      </c>
      <c r="M731" s="94">
        <v>726</v>
      </c>
      <c r="N731" s="36" t="s">
        <v>2382</v>
      </c>
      <c r="O731" s="95">
        <v>310433</v>
      </c>
      <c r="P731" s="36"/>
      <c r="AI731" s="122">
        <v>419</v>
      </c>
      <c r="AJ731" s="1" t="s">
        <v>2074</v>
      </c>
      <c r="AK731" s="1">
        <v>310126</v>
      </c>
      <c r="AL731" s="1" t="s">
        <v>930</v>
      </c>
      <c r="AN731" s="270">
        <v>825</v>
      </c>
      <c r="AQ731" s="1">
        <v>583</v>
      </c>
      <c r="AR731" s="1" t="s">
        <v>619</v>
      </c>
      <c r="AS731" s="1">
        <v>210476</v>
      </c>
      <c r="AT731" s="1" t="s">
        <v>115</v>
      </c>
      <c r="AV731" s="241">
        <v>77</v>
      </c>
      <c r="BM731" s="138">
        <f t="shared" si="97"/>
        <v>0</v>
      </c>
      <c r="BN731" s="42">
        <f t="shared" si="98"/>
        <v>0</v>
      </c>
      <c r="BS731" s="1">
        <v>10358</v>
      </c>
      <c r="BT731" s="1" t="s">
        <v>902</v>
      </c>
      <c r="BX731" s="36"/>
    </row>
    <row r="732" spans="2:76" ht="14.25">
      <c r="B732" s="36"/>
      <c r="C732" s="36"/>
      <c r="D732" s="36"/>
      <c r="E732" s="36"/>
      <c r="F732" s="36"/>
      <c r="G732" s="36"/>
      <c r="H732" s="36"/>
      <c r="J732" s="36"/>
      <c r="L732" s="1" t="str">
        <f t="shared" si="99"/>
        <v/>
      </c>
      <c r="M732" s="94">
        <v>727</v>
      </c>
      <c r="N732" s="36" t="s">
        <v>2383</v>
      </c>
      <c r="O732" s="95">
        <v>310434</v>
      </c>
      <c r="P732" s="36"/>
      <c r="AI732" s="122">
        <v>420</v>
      </c>
      <c r="AJ732" s="1" t="s">
        <v>2075</v>
      </c>
      <c r="AK732" s="1">
        <v>310127</v>
      </c>
      <c r="AL732" s="1" t="s">
        <v>115</v>
      </c>
      <c r="AN732" s="270">
        <v>826</v>
      </c>
      <c r="AQ732" s="1">
        <v>584</v>
      </c>
      <c r="AR732" s="1" t="s">
        <v>620</v>
      </c>
      <c r="AS732" s="1">
        <v>210477</v>
      </c>
      <c r="AT732" s="1" t="s">
        <v>116</v>
      </c>
      <c r="AV732" s="241">
        <v>78</v>
      </c>
      <c r="BM732" s="138">
        <f t="shared" si="97"/>
        <v>0</v>
      </c>
      <c r="BN732" s="42">
        <f t="shared" si="98"/>
        <v>0</v>
      </c>
      <c r="BS732" s="1">
        <v>10359</v>
      </c>
      <c r="BT732" s="1" t="s">
        <v>902</v>
      </c>
      <c r="BX732" s="36"/>
    </row>
    <row r="733" spans="2:76" ht="14.25">
      <c r="B733" s="36"/>
      <c r="C733" s="36"/>
      <c r="D733" s="36"/>
      <c r="E733" s="36"/>
      <c r="F733" s="36"/>
      <c r="G733" s="36"/>
      <c r="H733" s="36"/>
      <c r="J733" s="36"/>
      <c r="L733" s="1" t="str">
        <f t="shared" si="99"/>
        <v/>
      </c>
      <c r="M733" s="94">
        <v>728</v>
      </c>
      <c r="N733" s="36" t="s">
        <v>2384</v>
      </c>
      <c r="O733" s="95">
        <v>310435</v>
      </c>
      <c r="P733" s="36"/>
      <c r="AI733" s="122">
        <v>421</v>
      </c>
      <c r="AJ733" s="1" t="s">
        <v>2076</v>
      </c>
      <c r="AK733" s="1">
        <v>310128</v>
      </c>
      <c r="AL733" s="1" t="s">
        <v>930</v>
      </c>
      <c r="AN733" s="270">
        <v>827</v>
      </c>
      <c r="AQ733" s="1">
        <v>585</v>
      </c>
      <c r="AR733" s="1" t="s">
        <v>621</v>
      </c>
      <c r="AS733" s="1">
        <v>210478</v>
      </c>
      <c r="AT733" s="1" t="s">
        <v>115</v>
      </c>
      <c r="AV733" s="241">
        <v>79</v>
      </c>
      <c r="BM733" s="138">
        <f t="shared" si="97"/>
        <v>0</v>
      </c>
      <c r="BN733" s="42">
        <f t="shared" si="98"/>
        <v>0</v>
      </c>
      <c r="BS733" s="1">
        <v>10360</v>
      </c>
      <c r="BT733" s="1" t="s">
        <v>902</v>
      </c>
      <c r="BX733" s="36"/>
    </row>
    <row r="734" spans="2:76" ht="14.25">
      <c r="B734" s="36"/>
      <c r="C734" s="36"/>
      <c r="D734" s="36"/>
      <c r="E734" s="36"/>
      <c r="F734" s="36"/>
      <c r="G734" s="36"/>
      <c r="H734" s="36"/>
      <c r="J734" s="36"/>
      <c r="L734" s="1" t="str">
        <f t="shared" si="99"/>
        <v/>
      </c>
      <c r="M734" s="94">
        <v>729</v>
      </c>
      <c r="N734" s="36" t="s">
        <v>2385</v>
      </c>
      <c r="O734" s="95">
        <v>310436</v>
      </c>
      <c r="P734" s="36"/>
      <c r="AI734" s="122">
        <v>422</v>
      </c>
      <c r="AJ734" s="1" t="s">
        <v>2077</v>
      </c>
      <c r="AK734" s="1">
        <v>310129</v>
      </c>
      <c r="AL734" s="1" t="s">
        <v>115</v>
      </c>
      <c r="AN734" s="270">
        <v>828</v>
      </c>
      <c r="AQ734" s="1">
        <v>586</v>
      </c>
      <c r="AR734" s="1" t="s">
        <v>622</v>
      </c>
      <c r="AS734" s="1">
        <v>210479</v>
      </c>
      <c r="AT734" s="1" t="s">
        <v>115</v>
      </c>
      <c r="AV734" s="241">
        <v>80</v>
      </c>
      <c r="BM734" s="138">
        <f t="shared" si="97"/>
        <v>0</v>
      </c>
      <c r="BN734" s="42">
        <f t="shared" si="98"/>
        <v>0</v>
      </c>
      <c r="BS734" s="1">
        <v>10361</v>
      </c>
      <c r="BT734" s="1" t="s">
        <v>902</v>
      </c>
      <c r="BX734" s="36"/>
    </row>
    <row r="735" spans="2:76" ht="14.25">
      <c r="B735" s="36"/>
      <c r="C735" s="36"/>
      <c r="D735" s="36"/>
      <c r="E735" s="36"/>
      <c r="F735" s="36"/>
      <c r="G735" s="36"/>
      <c r="H735" s="36"/>
      <c r="J735" s="36"/>
      <c r="L735" s="1" t="str">
        <f t="shared" si="99"/>
        <v/>
      </c>
      <c r="M735" s="94">
        <v>730</v>
      </c>
      <c r="N735" s="36" t="s">
        <v>2386</v>
      </c>
      <c r="O735" s="95">
        <v>310437</v>
      </c>
      <c r="P735" s="36"/>
      <c r="AI735" s="122">
        <v>423</v>
      </c>
      <c r="AJ735" s="1" t="s">
        <v>2078</v>
      </c>
      <c r="AK735" s="1">
        <v>310130</v>
      </c>
      <c r="AL735" s="1" t="s">
        <v>930</v>
      </c>
      <c r="AN735" s="270">
        <v>829</v>
      </c>
      <c r="AQ735" s="1">
        <v>587</v>
      </c>
      <c r="AR735" s="1" t="s">
        <v>623</v>
      </c>
      <c r="AS735" s="1">
        <v>210480</v>
      </c>
      <c r="AT735" s="1" t="s">
        <v>116</v>
      </c>
      <c r="AV735" s="241">
        <v>81</v>
      </c>
      <c r="BM735" s="138">
        <f t="shared" si="97"/>
        <v>0</v>
      </c>
      <c r="BN735" s="42">
        <f t="shared" si="98"/>
        <v>0</v>
      </c>
      <c r="BS735" s="1">
        <v>10362</v>
      </c>
      <c r="BT735" s="1" t="s">
        <v>902</v>
      </c>
      <c r="BX735" s="36"/>
    </row>
    <row r="736" spans="2:76" ht="14.25">
      <c r="B736" s="36"/>
      <c r="C736" s="36"/>
      <c r="D736" s="36"/>
      <c r="E736" s="36"/>
      <c r="F736" s="36"/>
      <c r="G736" s="36"/>
      <c r="H736" s="36"/>
      <c r="J736" s="36"/>
      <c r="L736" s="1" t="str">
        <f t="shared" si="99"/>
        <v/>
      </c>
      <c r="M736" s="94">
        <v>731</v>
      </c>
      <c r="N736" s="36" t="s">
        <v>2387</v>
      </c>
      <c r="O736" s="95">
        <v>310438</v>
      </c>
      <c r="P736" s="36"/>
      <c r="AI736" s="122">
        <v>424</v>
      </c>
      <c r="AJ736" s="1" t="s">
        <v>2079</v>
      </c>
      <c r="AK736" s="1">
        <v>310131</v>
      </c>
      <c r="AL736" s="1" t="s">
        <v>930</v>
      </c>
      <c r="AN736" s="270">
        <v>830</v>
      </c>
      <c r="AQ736" s="1">
        <v>588</v>
      </c>
      <c r="AR736" s="1" t="s">
        <v>624</v>
      </c>
      <c r="AS736" s="1">
        <v>210481</v>
      </c>
      <c r="AT736" s="1" t="s">
        <v>115</v>
      </c>
      <c r="AV736" s="241">
        <v>82</v>
      </c>
      <c r="BM736" s="138">
        <f t="shared" si="97"/>
        <v>0</v>
      </c>
      <c r="BN736" s="42">
        <f t="shared" si="98"/>
        <v>0</v>
      </c>
      <c r="BS736" s="1">
        <v>10363</v>
      </c>
      <c r="BT736" s="1" t="s">
        <v>902</v>
      </c>
      <c r="BX736" s="36"/>
    </row>
    <row r="737" spans="2:76" ht="14.25">
      <c r="B737" s="36"/>
      <c r="C737" s="36"/>
      <c r="D737" s="36"/>
      <c r="E737" s="36"/>
      <c r="F737" s="36"/>
      <c r="G737" s="36"/>
      <c r="H737" s="36"/>
      <c r="J737" s="36"/>
      <c r="L737" s="1" t="str">
        <f t="shared" si="99"/>
        <v/>
      </c>
      <c r="M737" s="94">
        <v>732</v>
      </c>
      <c r="N737" s="36" t="s">
        <v>2388</v>
      </c>
      <c r="O737" s="95">
        <v>310439</v>
      </c>
      <c r="P737" s="36"/>
      <c r="AI737" s="122">
        <v>425</v>
      </c>
      <c r="AJ737" s="1" t="s">
        <v>2080</v>
      </c>
      <c r="AK737" s="1">
        <v>310132</v>
      </c>
      <c r="AL737" s="1" t="s">
        <v>115</v>
      </c>
      <c r="AN737" s="270">
        <v>831</v>
      </c>
      <c r="AQ737" s="1">
        <v>589</v>
      </c>
      <c r="AR737" s="1" t="s">
        <v>625</v>
      </c>
      <c r="AS737" s="1">
        <v>210482</v>
      </c>
      <c r="AT737" s="1" t="s">
        <v>116</v>
      </c>
      <c r="AV737" s="241">
        <v>83</v>
      </c>
      <c r="BM737" s="138">
        <f t="shared" si="97"/>
        <v>0</v>
      </c>
      <c r="BN737" s="42">
        <f t="shared" si="98"/>
        <v>0</v>
      </c>
      <c r="BS737" s="1">
        <v>10364</v>
      </c>
      <c r="BT737" s="1" t="s">
        <v>902</v>
      </c>
      <c r="BX737" s="36"/>
    </row>
    <row r="738" spans="2:76" ht="14.25">
      <c r="B738" s="36"/>
      <c r="C738" s="36"/>
      <c r="D738" s="36"/>
      <c r="E738" s="36"/>
      <c r="F738" s="36"/>
      <c r="G738" s="36"/>
      <c r="H738" s="36"/>
      <c r="J738" s="36"/>
      <c r="L738" s="1" t="str">
        <f t="shared" si="99"/>
        <v/>
      </c>
      <c r="M738" s="94">
        <v>733</v>
      </c>
      <c r="N738" s="36" t="s">
        <v>2389</v>
      </c>
      <c r="O738" s="95">
        <v>310440</v>
      </c>
      <c r="P738" s="36"/>
      <c r="AI738" s="122">
        <v>426</v>
      </c>
      <c r="AJ738" s="1" t="s">
        <v>2081</v>
      </c>
      <c r="AK738" s="1">
        <v>310133</v>
      </c>
      <c r="AL738" s="1" t="s">
        <v>930</v>
      </c>
      <c r="AN738" s="270">
        <v>832</v>
      </c>
      <c r="AQ738" s="1">
        <v>590</v>
      </c>
      <c r="AR738" s="1" t="s">
        <v>626</v>
      </c>
      <c r="AS738" s="1">
        <v>210483</v>
      </c>
      <c r="AT738" s="1" t="s">
        <v>115</v>
      </c>
      <c r="AV738" s="241">
        <v>84</v>
      </c>
      <c r="BM738" s="138">
        <f t="shared" si="97"/>
        <v>0</v>
      </c>
      <c r="BN738" s="42">
        <f t="shared" si="98"/>
        <v>0</v>
      </c>
      <c r="BS738" s="1">
        <v>10365</v>
      </c>
      <c r="BT738" s="1" t="s">
        <v>902</v>
      </c>
      <c r="BX738" s="36"/>
    </row>
    <row r="739" spans="2:76" ht="14.25">
      <c r="B739" s="36"/>
      <c r="C739" s="36"/>
      <c r="D739" s="36"/>
      <c r="E739" s="36"/>
      <c r="F739" s="36"/>
      <c r="G739" s="36"/>
      <c r="H739" s="36"/>
      <c r="J739" s="36"/>
      <c r="L739" s="1" t="str">
        <f t="shared" si="99"/>
        <v/>
      </c>
      <c r="M739" s="94">
        <v>734</v>
      </c>
      <c r="N739" s="36" t="s">
        <v>2390</v>
      </c>
      <c r="O739" s="95">
        <v>310441</v>
      </c>
      <c r="P739" s="36"/>
      <c r="AI739" s="122">
        <v>427</v>
      </c>
      <c r="AJ739" s="1" t="s">
        <v>2082</v>
      </c>
      <c r="AK739" s="1">
        <v>310134</v>
      </c>
      <c r="AL739" s="1" t="s">
        <v>115</v>
      </c>
      <c r="AN739" s="270">
        <v>833</v>
      </c>
      <c r="AQ739" s="1">
        <v>591</v>
      </c>
      <c r="AR739" s="1" t="s">
        <v>627</v>
      </c>
      <c r="AS739" s="1">
        <v>210484</v>
      </c>
      <c r="AT739" s="1" t="s">
        <v>115</v>
      </c>
      <c r="AV739" s="241">
        <v>85</v>
      </c>
      <c r="BM739" s="138">
        <f t="shared" si="97"/>
        <v>0</v>
      </c>
      <c r="BN739" s="42">
        <f t="shared" si="98"/>
        <v>0</v>
      </c>
      <c r="BS739" s="1">
        <v>10366</v>
      </c>
      <c r="BT739" s="1" t="s">
        <v>902</v>
      </c>
      <c r="BX739" s="36"/>
    </row>
    <row r="740" spans="2:76" ht="14.25">
      <c r="B740" s="36"/>
      <c r="C740" s="36"/>
      <c r="D740" s="36"/>
      <c r="E740" s="36"/>
      <c r="F740" s="36"/>
      <c r="G740" s="36"/>
      <c r="H740" s="36"/>
      <c r="J740" s="36"/>
      <c r="L740" s="1" t="str">
        <f t="shared" si="99"/>
        <v/>
      </c>
      <c r="M740" s="94">
        <v>735</v>
      </c>
      <c r="N740" s="36" t="s">
        <v>2391</v>
      </c>
      <c r="O740" s="95">
        <v>310442</v>
      </c>
      <c r="P740" s="36"/>
      <c r="AI740" s="122">
        <v>428</v>
      </c>
      <c r="AJ740" s="1" t="s">
        <v>2083</v>
      </c>
      <c r="AK740" s="1">
        <v>310135</v>
      </c>
      <c r="AL740" s="1" t="s">
        <v>930</v>
      </c>
      <c r="AN740" s="270">
        <v>834</v>
      </c>
      <c r="AQ740" s="1">
        <v>592</v>
      </c>
      <c r="AR740" s="1" t="s">
        <v>628</v>
      </c>
      <c r="AS740" s="1">
        <v>210487</v>
      </c>
      <c r="AT740" s="1" t="s">
        <v>116</v>
      </c>
      <c r="AV740" s="241">
        <v>86</v>
      </c>
      <c r="BM740" s="138">
        <f t="shared" si="97"/>
        <v>0</v>
      </c>
      <c r="BN740" s="42">
        <f t="shared" si="98"/>
        <v>0</v>
      </c>
      <c r="BS740" s="1">
        <v>10367</v>
      </c>
      <c r="BT740" s="1" t="s">
        <v>902</v>
      </c>
      <c r="BX740" s="36"/>
    </row>
    <row r="741" spans="2:76" ht="14.25">
      <c r="B741" s="36"/>
      <c r="C741" s="36"/>
      <c r="D741" s="36"/>
      <c r="E741" s="36"/>
      <c r="F741" s="36"/>
      <c r="G741" s="36"/>
      <c r="H741" s="36"/>
      <c r="J741" s="36"/>
      <c r="L741" s="1" t="str">
        <f t="shared" si="99"/>
        <v/>
      </c>
      <c r="M741" s="94">
        <v>736</v>
      </c>
      <c r="N741" s="36" t="s">
        <v>2392</v>
      </c>
      <c r="O741" s="95">
        <v>310443</v>
      </c>
      <c r="P741" s="36"/>
      <c r="AI741" s="122">
        <v>429</v>
      </c>
      <c r="AJ741" s="1" t="s">
        <v>2084</v>
      </c>
      <c r="AK741" s="1">
        <v>310136</v>
      </c>
      <c r="AL741" s="1" t="s">
        <v>115</v>
      </c>
      <c r="AN741" s="270">
        <v>835</v>
      </c>
      <c r="AQ741" s="1">
        <v>593</v>
      </c>
      <c r="AR741" s="1" t="s">
        <v>629</v>
      </c>
      <c r="AS741" s="1">
        <v>210488</v>
      </c>
      <c r="AT741" s="1" t="s">
        <v>115</v>
      </c>
      <c r="AV741" s="241">
        <v>87</v>
      </c>
      <c r="BM741" s="138">
        <f t="shared" si="97"/>
        <v>0</v>
      </c>
      <c r="BN741" s="42">
        <f t="shared" si="98"/>
        <v>0</v>
      </c>
      <c r="BS741" s="1">
        <v>10368</v>
      </c>
      <c r="BT741" s="1" t="s">
        <v>902</v>
      </c>
      <c r="BX741" s="36"/>
    </row>
    <row r="742" spans="2:76" ht="14.25">
      <c r="B742" s="36"/>
      <c r="C742" s="36"/>
      <c r="D742" s="36"/>
      <c r="E742" s="36"/>
      <c r="F742" s="36"/>
      <c r="G742" s="36"/>
      <c r="H742" s="36"/>
      <c r="J742" s="36"/>
      <c r="L742" s="1" t="str">
        <f t="shared" si="99"/>
        <v/>
      </c>
      <c r="M742" s="94">
        <v>737</v>
      </c>
      <c r="N742" s="36" t="s">
        <v>2393</v>
      </c>
      <c r="O742" s="95">
        <v>310444</v>
      </c>
      <c r="P742" s="36"/>
      <c r="AI742" s="122">
        <v>430</v>
      </c>
      <c r="AJ742" s="1" t="s">
        <v>2085</v>
      </c>
      <c r="AK742" s="1">
        <v>310137</v>
      </c>
      <c r="AL742" s="1" t="s">
        <v>930</v>
      </c>
      <c r="AN742" s="270">
        <v>836</v>
      </c>
      <c r="AQ742" s="1">
        <v>594</v>
      </c>
      <c r="AR742" s="1" t="s">
        <v>630</v>
      </c>
      <c r="AS742" s="1">
        <v>210489</v>
      </c>
      <c r="AT742" s="1" t="s">
        <v>116</v>
      </c>
      <c r="AV742" s="241">
        <v>88</v>
      </c>
      <c r="BM742" s="138">
        <f t="shared" si="97"/>
        <v>0</v>
      </c>
      <c r="BN742" s="42">
        <f t="shared" si="98"/>
        <v>0</v>
      </c>
      <c r="BS742" s="1">
        <v>10369</v>
      </c>
      <c r="BT742" s="1" t="s">
        <v>902</v>
      </c>
      <c r="BX742" s="36"/>
    </row>
    <row r="743" spans="2:76" ht="14.25">
      <c r="B743" s="36"/>
      <c r="C743" s="36"/>
      <c r="D743" s="36"/>
      <c r="E743" s="36"/>
      <c r="F743" s="36"/>
      <c r="G743" s="36"/>
      <c r="H743" s="36"/>
      <c r="J743" s="36"/>
      <c r="L743" s="1" t="str">
        <f t="shared" si="99"/>
        <v/>
      </c>
      <c r="M743" s="94">
        <v>738</v>
      </c>
      <c r="N743" s="36" t="s">
        <v>2394</v>
      </c>
      <c r="O743" s="95">
        <v>310445</v>
      </c>
      <c r="P743" s="36"/>
      <c r="AI743" s="122">
        <v>431</v>
      </c>
      <c r="AJ743" s="1" t="s">
        <v>2086</v>
      </c>
      <c r="AK743" s="1">
        <v>310138</v>
      </c>
      <c r="AL743" s="1" t="s">
        <v>930</v>
      </c>
      <c r="AN743" s="270">
        <v>837</v>
      </c>
      <c r="AQ743" s="1">
        <v>595</v>
      </c>
      <c r="AR743" s="1" t="s">
        <v>631</v>
      </c>
      <c r="AS743" s="1">
        <v>210490</v>
      </c>
      <c r="AT743" s="1" t="s">
        <v>115</v>
      </c>
      <c r="AV743" s="241">
        <v>89</v>
      </c>
      <c r="BM743" s="138">
        <f t="shared" si="97"/>
        <v>0</v>
      </c>
      <c r="BN743" s="42">
        <f t="shared" si="98"/>
        <v>0</v>
      </c>
      <c r="BS743" s="1">
        <v>10370</v>
      </c>
      <c r="BT743" s="1" t="s">
        <v>902</v>
      </c>
      <c r="BX743" s="36"/>
    </row>
    <row r="744" spans="2:76" ht="14.25">
      <c r="B744" s="36"/>
      <c r="C744" s="36"/>
      <c r="D744" s="36"/>
      <c r="E744" s="36"/>
      <c r="F744" s="36"/>
      <c r="G744" s="36"/>
      <c r="H744" s="36"/>
      <c r="J744" s="36"/>
      <c r="L744" s="1" t="str">
        <f t="shared" si="99"/>
        <v/>
      </c>
      <c r="M744" s="94">
        <v>739</v>
      </c>
      <c r="N744" s="36" t="s">
        <v>2395</v>
      </c>
      <c r="O744" s="95">
        <v>310446</v>
      </c>
      <c r="P744" s="36"/>
      <c r="AI744" s="122">
        <v>432</v>
      </c>
      <c r="AJ744" s="1" t="s">
        <v>2087</v>
      </c>
      <c r="AK744" s="1">
        <v>310139</v>
      </c>
      <c r="AL744" s="1" t="s">
        <v>115</v>
      </c>
      <c r="AN744" s="270">
        <v>838</v>
      </c>
      <c r="AQ744" s="1">
        <v>596</v>
      </c>
      <c r="AR744" s="1" t="s">
        <v>632</v>
      </c>
      <c r="AS744" s="1">
        <v>210491</v>
      </c>
      <c r="AT744" s="1" t="s">
        <v>115</v>
      </c>
      <c r="AV744" s="241">
        <v>90</v>
      </c>
      <c r="BM744" s="138">
        <f t="shared" si="97"/>
        <v>0</v>
      </c>
      <c r="BN744" s="42">
        <f t="shared" si="98"/>
        <v>0</v>
      </c>
      <c r="BS744" s="1">
        <v>10371</v>
      </c>
      <c r="BT744" s="1" t="s">
        <v>902</v>
      </c>
      <c r="BX744" s="36"/>
    </row>
    <row r="745" spans="2:76" ht="14.25">
      <c r="B745" s="36"/>
      <c r="C745" s="36"/>
      <c r="D745" s="36"/>
      <c r="E745" s="36"/>
      <c r="F745" s="36"/>
      <c r="G745" s="36"/>
      <c r="H745" s="36"/>
      <c r="J745" s="36"/>
      <c r="L745" s="1" t="str">
        <f t="shared" si="99"/>
        <v/>
      </c>
      <c r="M745" s="94">
        <v>740</v>
      </c>
      <c r="N745" s="36" t="s">
        <v>2396</v>
      </c>
      <c r="O745" s="95">
        <v>310447</v>
      </c>
      <c r="P745" s="36"/>
      <c r="AI745" s="122">
        <v>433</v>
      </c>
      <c r="AJ745" s="1" t="s">
        <v>2088</v>
      </c>
      <c r="AK745" s="1">
        <v>310140</v>
      </c>
      <c r="AL745" s="1" t="s">
        <v>930</v>
      </c>
      <c r="AN745" s="270">
        <v>839</v>
      </c>
      <c r="AQ745" s="1">
        <v>597</v>
      </c>
      <c r="AR745" s="1" t="s">
        <v>633</v>
      </c>
      <c r="AS745" s="1">
        <v>210485</v>
      </c>
      <c r="AT745" s="1" t="s">
        <v>116</v>
      </c>
      <c r="AV745" s="241">
        <v>91</v>
      </c>
      <c r="BM745" s="138">
        <f t="shared" si="97"/>
        <v>0</v>
      </c>
      <c r="BN745" s="42">
        <f t="shared" si="98"/>
        <v>0</v>
      </c>
      <c r="BS745" s="1">
        <v>10372</v>
      </c>
      <c r="BT745" s="1" t="s">
        <v>902</v>
      </c>
      <c r="BX745" s="36"/>
    </row>
    <row r="746" spans="2:76" ht="14.25">
      <c r="B746" s="36"/>
      <c r="C746" s="36"/>
      <c r="D746" s="36"/>
      <c r="E746" s="36"/>
      <c r="F746" s="36"/>
      <c r="G746" s="36"/>
      <c r="H746" s="36"/>
      <c r="J746" s="36"/>
      <c r="L746" s="1" t="str">
        <f t="shared" si="99"/>
        <v/>
      </c>
      <c r="M746" s="94">
        <v>741</v>
      </c>
      <c r="N746" s="36" t="s">
        <v>2397</v>
      </c>
      <c r="O746" s="95">
        <v>310448</v>
      </c>
      <c r="P746" s="36"/>
      <c r="AI746" s="122">
        <v>434</v>
      </c>
      <c r="AJ746" s="1" t="s">
        <v>2089</v>
      </c>
      <c r="AK746" s="1">
        <v>310141</v>
      </c>
      <c r="AL746" s="1" t="s">
        <v>115</v>
      </c>
      <c r="AN746" s="270">
        <v>840</v>
      </c>
      <c r="AQ746" s="1">
        <v>598</v>
      </c>
      <c r="AR746" s="1" t="s">
        <v>634</v>
      </c>
      <c r="AS746" s="1">
        <v>210498</v>
      </c>
      <c r="AT746" s="1" t="s">
        <v>115</v>
      </c>
      <c r="AV746" s="241">
        <v>92</v>
      </c>
      <c r="BM746" s="138">
        <f t="shared" si="97"/>
        <v>0</v>
      </c>
      <c r="BN746" s="42">
        <f t="shared" si="98"/>
        <v>0</v>
      </c>
      <c r="BS746" s="1">
        <v>10373</v>
      </c>
      <c r="BT746" s="1" t="s">
        <v>902</v>
      </c>
      <c r="BX746" s="36"/>
    </row>
    <row r="747" spans="2:76" ht="14.25">
      <c r="B747" s="36"/>
      <c r="C747" s="36"/>
      <c r="D747" s="36"/>
      <c r="E747" s="36"/>
      <c r="F747" s="36"/>
      <c r="G747" s="36"/>
      <c r="H747" s="36"/>
      <c r="J747" s="36"/>
      <c r="L747" s="1" t="str">
        <f t="shared" si="99"/>
        <v/>
      </c>
      <c r="M747" s="94">
        <v>742</v>
      </c>
      <c r="N747" s="36" t="s">
        <v>2398</v>
      </c>
      <c r="O747" s="95">
        <v>310449</v>
      </c>
      <c r="P747" s="36"/>
      <c r="AI747" s="122">
        <v>435</v>
      </c>
      <c r="AJ747" s="1" t="s">
        <v>2090</v>
      </c>
      <c r="AK747" s="1">
        <v>310142</v>
      </c>
      <c r="AL747" s="1" t="s">
        <v>930</v>
      </c>
      <c r="AN747" s="270">
        <v>841</v>
      </c>
      <c r="AQ747" s="1">
        <v>599</v>
      </c>
      <c r="AR747" s="1" t="s">
        <v>635</v>
      </c>
      <c r="AS747" s="1">
        <v>210492</v>
      </c>
      <c r="AT747" s="1" t="s">
        <v>116</v>
      </c>
      <c r="AV747" s="241">
        <v>93</v>
      </c>
      <c r="BM747" s="138">
        <f t="shared" si="97"/>
        <v>0</v>
      </c>
      <c r="BN747" s="42">
        <f t="shared" si="98"/>
        <v>0</v>
      </c>
      <c r="BS747" s="1">
        <v>10374</v>
      </c>
      <c r="BT747" s="1" t="s">
        <v>902</v>
      </c>
      <c r="BX747" s="36"/>
    </row>
    <row r="748" spans="2:76" ht="14.25">
      <c r="B748" s="36"/>
      <c r="C748" s="36"/>
      <c r="D748" s="36"/>
      <c r="E748" s="36"/>
      <c r="F748" s="36"/>
      <c r="G748" s="36"/>
      <c r="H748" s="36"/>
      <c r="J748" s="36"/>
      <c r="L748" s="1" t="str">
        <f t="shared" si="99"/>
        <v/>
      </c>
      <c r="M748" s="94">
        <v>743</v>
      </c>
      <c r="N748" s="36" t="s">
        <v>2399</v>
      </c>
      <c r="O748" s="95">
        <v>310450</v>
      </c>
      <c r="P748" s="36"/>
      <c r="AI748" s="122">
        <v>436</v>
      </c>
      <c r="AJ748" s="1" t="s">
        <v>2091</v>
      </c>
      <c r="AK748" s="1">
        <v>310143</v>
      </c>
      <c r="AL748" s="1" t="s">
        <v>115</v>
      </c>
      <c r="AN748" s="270">
        <v>842</v>
      </c>
      <c r="AQ748" s="1">
        <v>600</v>
      </c>
      <c r="AR748" s="1" t="s">
        <v>636</v>
      </c>
      <c r="AS748" s="1">
        <v>210493</v>
      </c>
      <c r="AT748" s="1" t="s">
        <v>115</v>
      </c>
      <c r="AV748" s="241">
        <v>94</v>
      </c>
      <c r="BM748" s="138">
        <f t="shared" si="97"/>
        <v>0</v>
      </c>
      <c r="BN748" s="42">
        <f t="shared" si="98"/>
        <v>0</v>
      </c>
      <c r="BS748" s="1">
        <v>10375</v>
      </c>
      <c r="BT748" s="1" t="s">
        <v>902</v>
      </c>
      <c r="BX748" s="36"/>
    </row>
    <row r="749" spans="2:76" ht="14.25">
      <c r="B749" s="36"/>
      <c r="C749" s="36"/>
      <c r="D749" s="36"/>
      <c r="E749" s="36"/>
      <c r="F749" s="36"/>
      <c r="G749" s="36"/>
      <c r="H749" s="36"/>
      <c r="J749" s="36"/>
      <c r="L749" s="1" t="str">
        <f t="shared" si="99"/>
        <v/>
      </c>
      <c r="M749" s="94">
        <v>744</v>
      </c>
      <c r="N749" s="36" t="s">
        <v>2400</v>
      </c>
      <c r="O749" s="95">
        <v>310451</v>
      </c>
      <c r="P749" s="36"/>
      <c r="AI749" s="122">
        <v>437</v>
      </c>
      <c r="AJ749" s="1" t="s">
        <v>2092</v>
      </c>
      <c r="AK749" s="1">
        <v>310144</v>
      </c>
      <c r="AL749" s="1" t="s">
        <v>930</v>
      </c>
      <c r="AN749" s="270">
        <v>843</v>
      </c>
      <c r="AQ749" s="1">
        <v>601</v>
      </c>
      <c r="AR749" s="1" t="s">
        <v>637</v>
      </c>
      <c r="AS749" s="1">
        <v>210494</v>
      </c>
      <c r="AT749" s="1" t="s">
        <v>116</v>
      </c>
      <c r="AV749" s="241">
        <v>95</v>
      </c>
      <c r="BM749" s="138">
        <f t="shared" si="97"/>
        <v>0</v>
      </c>
      <c r="BN749" s="42">
        <f t="shared" si="98"/>
        <v>0</v>
      </c>
      <c r="BS749" s="1">
        <v>10376</v>
      </c>
      <c r="BT749" s="1" t="s">
        <v>902</v>
      </c>
      <c r="BX749" s="36"/>
    </row>
    <row r="750" spans="2:76" ht="14.25">
      <c r="B750" s="36"/>
      <c r="C750" s="36"/>
      <c r="D750" s="36"/>
      <c r="E750" s="36"/>
      <c r="F750" s="36"/>
      <c r="G750" s="36"/>
      <c r="H750" s="36"/>
      <c r="J750" s="36"/>
      <c r="L750" s="1" t="str">
        <f t="shared" si="99"/>
        <v/>
      </c>
      <c r="M750" s="94">
        <v>745</v>
      </c>
      <c r="N750" s="36" t="s">
        <v>2401</v>
      </c>
      <c r="O750" s="95">
        <v>310452</v>
      </c>
      <c r="P750" s="36"/>
      <c r="AI750" s="122">
        <v>438</v>
      </c>
      <c r="AJ750" s="1" t="s">
        <v>2093</v>
      </c>
      <c r="AK750" s="1">
        <v>310145</v>
      </c>
      <c r="AL750" s="1" t="s">
        <v>930</v>
      </c>
      <c r="AN750" s="270">
        <v>844</v>
      </c>
      <c r="AQ750" s="1">
        <v>602</v>
      </c>
      <c r="AR750" s="1" t="s">
        <v>638</v>
      </c>
      <c r="AS750" s="1">
        <v>210495</v>
      </c>
      <c r="AT750" s="1" t="s">
        <v>115</v>
      </c>
      <c r="AV750" s="241">
        <v>96</v>
      </c>
      <c r="BM750" s="138">
        <f t="shared" si="97"/>
        <v>0</v>
      </c>
      <c r="BN750" s="42">
        <f t="shared" si="98"/>
        <v>0</v>
      </c>
      <c r="BS750" s="1">
        <v>10377</v>
      </c>
      <c r="BT750" s="1" t="s">
        <v>902</v>
      </c>
      <c r="BX750" s="36"/>
    </row>
    <row r="751" spans="2:76" ht="14.25">
      <c r="B751" s="36"/>
      <c r="C751" s="36"/>
      <c r="D751" s="36"/>
      <c r="E751" s="36"/>
      <c r="F751" s="36"/>
      <c r="G751" s="36"/>
      <c r="H751" s="36"/>
      <c r="J751" s="36"/>
      <c r="L751" s="1" t="str">
        <f t="shared" si="99"/>
        <v/>
      </c>
      <c r="M751" s="94">
        <v>746</v>
      </c>
      <c r="N751" s="36" t="s">
        <v>2402</v>
      </c>
      <c r="O751" s="95">
        <v>310453</v>
      </c>
      <c r="P751" s="36"/>
      <c r="AI751" s="122">
        <v>439</v>
      </c>
      <c r="AJ751" s="1" t="s">
        <v>2094</v>
      </c>
      <c r="AK751" s="1">
        <v>310146</v>
      </c>
      <c r="AL751" s="1" t="s">
        <v>115</v>
      </c>
      <c r="AN751" s="270">
        <v>845</v>
      </c>
      <c r="AQ751" s="1">
        <v>603</v>
      </c>
      <c r="AR751" s="1" t="s">
        <v>639</v>
      </c>
      <c r="AS751" s="1">
        <v>210496</v>
      </c>
      <c r="AT751" s="1" t="s">
        <v>115</v>
      </c>
      <c r="AV751" s="241">
        <v>97</v>
      </c>
      <c r="BM751" s="138">
        <f t="shared" si="97"/>
        <v>0</v>
      </c>
      <c r="BN751" s="42">
        <f t="shared" si="98"/>
        <v>0</v>
      </c>
      <c r="BS751" s="1">
        <v>10378</v>
      </c>
      <c r="BT751" s="1" t="s">
        <v>902</v>
      </c>
      <c r="BX751" s="36"/>
    </row>
    <row r="752" spans="2:76" ht="14.25">
      <c r="B752" s="36"/>
      <c r="C752" s="36"/>
      <c r="D752" s="36"/>
      <c r="E752" s="36"/>
      <c r="F752" s="36"/>
      <c r="G752" s="36"/>
      <c r="H752" s="36"/>
      <c r="J752" s="36"/>
      <c r="L752" s="1" t="str">
        <f t="shared" si="99"/>
        <v/>
      </c>
      <c r="M752" s="94">
        <v>747</v>
      </c>
      <c r="N752" s="36" t="s">
        <v>2403</v>
      </c>
      <c r="O752" s="95">
        <v>310454</v>
      </c>
      <c r="P752" s="36"/>
      <c r="AI752" s="122">
        <v>440</v>
      </c>
      <c r="AJ752" s="1" t="s">
        <v>2095</v>
      </c>
      <c r="AK752" s="1">
        <v>310147</v>
      </c>
      <c r="AL752" s="1" t="s">
        <v>930</v>
      </c>
      <c r="AN752" s="270">
        <v>846</v>
      </c>
      <c r="AQ752" s="1">
        <v>604</v>
      </c>
      <c r="AR752" s="1" t="s">
        <v>640</v>
      </c>
      <c r="AS752" s="1">
        <v>210497</v>
      </c>
      <c r="AT752" s="1" t="s">
        <v>116</v>
      </c>
      <c r="AV752" s="241">
        <v>98</v>
      </c>
      <c r="BM752" s="138">
        <f t="shared" si="97"/>
        <v>0</v>
      </c>
      <c r="BN752" s="42">
        <f t="shared" si="98"/>
        <v>0</v>
      </c>
      <c r="BS752" s="1">
        <v>10379</v>
      </c>
      <c r="BT752" s="1" t="s">
        <v>902</v>
      </c>
      <c r="BX752" s="36"/>
    </row>
    <row r="753" spans="2:76" ht="14.25">
      <c r="B753" s="36"/>
      <c r="C753" s="36"/>
      <c r="D753" s="36"/>
      <c r="E753" s="36"/>
      <c r="F753" s="36"/>
      <c r="G753" s="36"/>
      <c r="H753" s="36"/>
      <c r="J753" s="36"/>
      <c r="L753" s="1" t="str">
        <f t="shared" si="99"/>
        <v/>
      </c>
      <c r="M753" s="94">
        <v>748</v>
      </c>
      <c r="N753" s="36" t="s">
        <v>2404</v>
      </c>
      <c r="O753" s="95">
        <v>310455</v>
      </c>
      <c r="P753" s="36"/>
      <c r="AI753" s="122">
        <v>441</v>
      </c>
      <c r="AJ753" s="1" t="s">
        <v>2096</v>
      </c>
      <c r="AK753" s="1">
        <v>310148</v>
      </c>
      <c r="AL753" s="1" t="s">
        <v>115</v>
      </c>
      <c r="AN753" s="270">
        <v>847</v>
      </c>
      <c r="AQ753" s="1">
        <v>605</v>
      </c>
      <c r="AR753" s="1" t="s">
        <v>641</v>
      </c>
      <c r="AS753" s="1">
        <v>210486</v>
      </c>
      <c r="AT753" s="1" t="s">
        <v>115</v>
      </c>
      <c r="AV753" s="241">
        <v>99</v>
      </c>
      <c r="BM753" s="138">
        <f t="shared" si="97"/>
        <v>0</v>
      </c>
      <c r="BN753" s="42">
        <f t="shared" si="98"/>
        <v>0</v>
      </c>
      <c r="BS753" s="1">
        <v>10380</v>
      </c>
      <c r="BT753" s="1" t="s">
        <v>902</v>
      </c>
      <c r="BX753" s="36"/>
    </row>
    <row r="754" spans="2:76" ht="14.25">
      <c r="B754" s="36"/>
      <c r="C754" s="36"/>
      <c r="D754" s="36"/>
      <c r="E754" s="36"/>
      <c r="F754" s="36"/>
      <c r="G754" s="36"/>
      <c r="H754" s="36"/>
      <c r="J754" s="36"/>
      <c r="L754" s="1" t="str">
        <f t="shared" si="99"/>
        <v/>
      </c>
      <c r="M754" s="94">
        <v>749</v>
      </c>
      <c r="N754" s="36" t="s">
        <v>2405</v>
      </c>
      <c r="O754" s="95">
        <v>310456</v>
      </c>
      <c r="P754" s="36"/>
      <c r="AI754" s="122">
        <v>442</v>
      </c>
      <c r="AJ754" s="1" t="s">
        <v>2097</v>
      </c>
      <c r="AK754" s="1">
        <v>310149</v>
      </c>
      <c r="AL754" s="1" t="s">
        <v>930</v>
      </c>
      <c r="AN754" s="270">
        <v>848</v>
      </c>
      <c r="AQ754" s="1">
        <v>606</v>
      </c>
      <c r="AR754" s="1" t="s">
        <v>642</v>
      </c>
      <c r="AS754" s="1">
        <v>210499</v>
      </c>
      <c r="AT754" s="1" t="s">
        <v>116</v>
      </c>
      <c r="AV754" s="241">
        <v>100</v>
      </c>
      <c r="BM754" s="138">
        <f t="shared" si="97"/>
        <v>0</v>
      </c>
      <c r="BN754" s="42">
        <f t="shared" si="98"/>
        <v>0</v>
      </c>
      <c r="BS754" s="1">
        <v>10381</v>
      </c>
      <c r="BT754" s="1" t="s">
        <v>902</v>
      </c>
      <c r="BX754" s="36"/>
    </row>
    <row r="755" spans="2:76" ht="14.25">
      <c r="B755" s="36"/>
      <c r="C755" s="36"/>
      <c r="D755" s="36"/>
      <c r="E755" s="36"/>
      <c r="F755" s="36"/>
      <c r="G755" s="36"/>
      <c r="H755" s="36"/>
      <c r="J755" s="36"/>
      <c r="L755" s="1" t="str">
        <f t="shared" si="99"/>
        <v/>
      </c>
      <c r="M755" s="94">
        <v>750</v>
      </c>
      <c r="N755" s="36" t="s">
        <v>2406</v>
      </c>
      <c r="O755" s="95">
        <v>310457</v>
      </c>
      <c r="P755" s="36"/>
      <c r="AI755" s="122">
        <v>443</v>
      </c>
      <c r="AJ755" s="1" t="s">
        <v>2098</v>
      </c>
      <c r="AK755" s="1">
        <v>310150</v>
      </c>
      <c r="AL755" s="1" t="s">
        <v>115</v>
      </c>
      <c r="AN755" s="270">
        <v>849</v>
      </c>
      <c r="AQ755" s="1">
        <v>607</v>
      </c>
      <c r="AR755" s="1" t="s">
        <v>643</v>
      </c>
      <c r="AS755" s="1">
        <v>210500</v>
      </c>
      <c r="AT755" s="1" t="s">
        <v>115</v>
      </c>
      <c r="AV755" s="241">
        <v>101</v>
      </c>
      <c r="BM755" s="138">
        <f t="shared" si="97"/>
        <v>0</v>
      </c>
      <c r="BN755" s="42">
        <f t="shared" si="98"/>
        <v>0</v>
      </c>
      <c r="BS755" s="1">
        <v>10382</v>
      </c>
      <c r="BT755" s="1" t="s">
        <v>902</v>
      </c>
      <c r="BX755" s="36"/>
    </row>
    <row r="756" spans="2:76" ht="14.25">
      <c r="B756" s="36"/>
      <c r="C756" s="36"/>
      <c r="D756" s="36"/>
      <c r="E756" s="36"/>
      <c r="F756" s="36"/>
      <c r="G756" s="36"/>
      <c r="H756" s="36"/>
      <c r="J756" s="36"/>
      <c r="L756" s="1" t="str">
        <f t="shared" si="99"/>
        <v/>
      </c>
      <c r="M756" s="94">
        <v>751</v>
      </c>
      <c r="N756" s="36" t="s">
        <v>2407</v>
      </c>
      <c r="O756" s="95">
        <v>310458</v>
      </c>
      <c r="P756" s="36"/>
      <c r="AI756" s="122">
        <v>444</v>
      </c>
      <c r="AJ756" s="1" t="s">
        <v>2099</v>
      </c>
      <c r="AK756" s="1">
        <v>310151</v>
      </c>
      <c r="AL756" s="1" t="s">
        <v>930</v>
      </c>
      <c r="AN756" s="270">
        <v>850</v>
      </c>
      <c r="AQ756" s="1">
        <v>608</v>
      </c>
      <c r="AR756" s="1" t="s">
        <v>644</v>
      </c>
      <c r="AS756" s="1">
        <v>210501</v>
      </c>
      <c r="AT756" s="1" t="s">
        <v>115</v>
      </c>
      <c r="AV756" s="241">
        <v>102</v>
      </c>
      <c r="BM756" s="138">
        <f t="shared" si="97"/>
        <v>0</v>
      </c>
      <c r="BN756" s="42">
        <f t="shared" si="98"/>
        <v>0</v>
      </c>
      <c r="BS756" s="1">
        <v>10383</v>
      </c>
      <c r="BT756" s="1" t="s">
        <v>47</v>
      </c>
      <c r="BX756" s="36"/>
    </row>
    <row r="757" spans="2:76" ht="14.25">
      <c r="B757" s="36"/>
      <c r="C757" s="36"/>
      <c r="D757" s="36"/>
      <c r="E757" s="36"/>
      <c r="F757" s="36"/>
      <c r="G757" s="36"/>
      <c r="H757" s="36"/>
      <c r="J757" s="36"/>
      <c r="L757" s="1" t="str">
        <f t="shared" si="99"/>
        <v/>
      </c>
      <c r="M757" s="94">
        <v>752</v>
      </c>
      <c r="N757" s="36" t="s">
        <v>2408</v>
      </c>
      <c r="O757" s="95">
        <v>310459</v>
      </c>
      <c r="P757" s="36"/>
      <c r="AI757" s="122">
        <v>445</v>
      </c>
      <c r="AJ757" s="1" t="s">
        <v>2100</v>
      </c>
      <c r="AK757" s="1">
        <v>310152</v>
      </c>
      <c r="AL757" s="1" t="s">
        <v>930</v>
      </c>
      <c r="AN757" s="270">
        <v>851</v>
      </c>
      <c r="AQ757" s="1">
        <v>609</v>
      </c>
      <c r="AR757" s="1" t="s">
        <v>645</v>
      </c>
      <c r="AS757" s="1">
        <v>210502</v>
      </c>
      <c r="AT757" s="1" t="s">
        <v>116</v>
      </c>
      <c r="AV757" s="241">
        <v>103</v>
      </c>
      <c r="BM757" s="138">
        <f t="shared" si="97"/>
        <v>0</v>
      </c>
      <c r="BN757" s="42">
        <f t="shared" si="98"/>
        <v>0</v>
      </c>
      <c r="BS757" s="1">
        <v>10384</v>
      </c>
      <c r="BT757" s="1" t="s">
        <v>902</v>
      </c>
      <c r="BX757" s="36"/>
    </row>
    <row r="758" spans="2:76" ht="14.25">
      <c r="B758" s="36"/>
      <c r="C758" s="36"/>
      <c r="D758" s="36"/>
      <c r="E758" s="36"/>
      <c r="F758" s="36"/>
      <c r="G758" s="36"/>
      <c r="H758" s="36"/>
      <c r="J758" s="36"/>
      <c r="L758" s="1" t="str">
        <f t="shared" si="99"/>
        <v/>
      </c>
      <c r="M758" s="94">
        <v>753</v>
      </c>
      <c r="N758" s="36" t="s">
        <v>2409</v>
      </c>
      <c r="O758" s="95">
        <v>310460</v>
      </c>
      <c r="P758" s="36"/>
      <c r="AI758" s="122">
        <v>446</v>
      </c>
      <c r="AJ758" s="1" t="s">
        <v>2101</v>
      </c>
      <c r="AK758" s="1">
        <v>310153</v>
      </c>
      <c r="AL758" s="1" t="s">
        <v>115</v>
      </c>
      <c r="AN758" s="270">
        <v>852</v>
      </c>
      <c r="AQ758" s="1">
        <v>610</v>
      </c>
      <c r="AR758" s="1" t="s">
        <v>646</v>
      </c>
      <c r="AS758" s="1">
        <v>210503</v>
      </c>
      <c r="AT758" s="1" t="s">
        <v>115</v>
      </c>
      <c r="AV758" s="241">
        <v>104</v>
      </c>
      <c r="BM758" s="138">
        <f t="shared" si="97"/>
        <v>0</v>
      </c>
      <c r="BN758" s="42">
        <f t="shared" si="98"/>
        <v>0</v>
      </c>
      <c r="BS758" s="1">
        <v>10385</v>
      </c>
      <c r="BT758" s="1" t="s">
        <v>902</v>
      </c>
      <c r="BX758" s="36"/>
    </row>
    <row r="759" spans="2:76" ht="14.25">
      <c r="B759" s="36"/>
      <c r="C759" s="36"/>
      <c r="D759" s="36"/>
      <c r="E759" s="36"/>
      <c r="F759" s="36"/>
      <c r="G759" s="36"/>
      <c r="H759" s="36"/>
      <c r="J759" s="36"/>
      <c r="L759" s="1" t="str">
        <f t="shared" si="99"/>
        <v/>
      </c>
      <c r="M759" s="94">
        <v>754</v>
      </c>
      <c r="N759" s="36" t="s">
        <v>2410</v>
      </c>
      <c r="O759" s="95">
        <v>310461</v>
      </c>
      <c r="P759" s="36"/>
      <c r="AI759" s="122">
        <v>447</v>
      </c>
      <c r="AJ759" s="1" t="s">
        <v>2102</v>
      </c>
      <c r="AK759" s="1">
        <v>310154</v>
      </c>
      <c r="AL759" s="1" t="s">
        <v>930</v>
      </c>
      <c r="AN759" s="270">
        <v>853</v>
      </c>
      <c r="AQ759" s="1">
        <v>611</v>
      </c>
      <c r="AR759" s="1" t="s">
        <v>647</v>
      </c>
      <c r="AS759" s="1">
        <v>210506</v>
      </c>
      <c r="AT759" s="1" t="s">
        <v>116</v>
      </c>
      <c r="AV759" s="241">
        <v>105</v>
      </c>
      <c r="BM759" s="138">
        <f t="shared" si="97"/>
        <v>0</v>
      </c>
      <c r="BN759" s="42">
        <f t="shared" si="98"/>
        <v>0</v>
      </c>
      <c r="BS759" s="1">
        <v>10386</v>
      </c>
      <c r="BT759" s="1" t="s">
        <v>902</v>
      </c>
      <c r="BX759" s="36"/>
    </row>
    <row r="760" spans="2:76" ht="14.25">
      <c r="B760" s="36"/>
      <c r="C760" s="36"/>
      <c r="D760" s="36"/>
      <c r="E760" s="36"/>
      <c r="F760" s="36"/>
      <c r="G760" s="36"/>
      <c r="H760" s="36"/>
      <c r="J760" s="36"/>
      <c r="L760" s="1" t="str">
        <f t="shared" si="99"/>
        <v/>
      </c>
      <c r="M760" s="94">
        <v>755</v>
      </c>
      <c r="N760" s="36" t="s">
        <v>2411</v>
      </c>
      <c r="O760" s="95">
        <v>310462</v>
      </c>
      <c r="P760" s="36"/>
      <c r="AI760" s="122">
        <v>448</v>
      </c>
      <c r="AJ760" s="1" t="s">
        <v>2103</v>
      </c>
      <c r="AK760" s="1">
        <v>310155</v>
      </c>
      <c r="AL760" s="1" t="s">
        <v>115</v>
      </c>
      <c r="AN760" s="270">
        <v>854</v>
      </c>
      <c r="AQ760" s="1">
        <v>612</v>
      </c>
      <c r="AR760" s="1" t="s">
        <v>648</v>
      </c>
      <c r="AS760" s="1">
        <v>210507</v>
      </c>
      <c r="AT760" s="1" t="s">
        <v>115</v>
      </c>
      <c r="AV760" s="241">
        <v>106</v>
      </c>
      <c r="BM760" s="138">
        <f t="shared" si="97"/>
        <v>0</v>
      </c>
      <c r="BN760" s="42">
        <f t="shared" si="98"/>
        <v>0</v>
      </c>
      <c r="BS760" s="1">
        <v>10387</v>
      </c>
      <c r="BT760" s="1" t="s">
        <v>902</v>
      </c>
      <c r="BX760" s="36"/>
    </row>
    <row r="761" spans="2:76" ht="14.25">
      <c r="B761" s="36"/>
      <c r="C761" s="36"/>
      <c r="D761" s="36"/>
      <c r="E761" s="36"/>
      <c r="F761" s="36"/>
      <c r="G761" s="36"/>
      <c r="H761" s="36"/>
      <c r="J761" s="36"/>
      <c r="L761" s="1" t="str">
        <f t="shared" si="99"/>
        <v/>
      </c>
      <c r="M761" s="94">
        <v>756</v>
      </c>
      <c r="N761" s="36" t="s">
        <v>2412</v>
      </c>
      <c r="O761" s="95">
        <v>310463</v>
      </c>
      <c r="P761" s="36"/>
      <c r="AI761" s="122">
        <v>449</v>
      </c>
      <c r="AJ761" s="1" t="s">
        <v>2104</v>
      </c>
      <c r="AK761" s="1">
        <v>310156</v>
      </c>
      <c r="AL761" s="1" t="s">
        <v>930</v>
      </c>
      <c r="AN761" s="270">
        <v>855</v>
      </c>
      <c r="AQ761" s="1">
        <v>613</v>
      </c>
      <c r="AR761" s="1" t="s">
        <v>649</v>
      </c>
      <c r="AS761" s="1">
        <v>210508</v>
      </c>
      <c r="AT761" s="1" t="s">
        <v>115</v>
      </c>
      <c r="AV761" s="241">
        <v>107</v>
      </c>
      <c r="BM761" s="138">
        <f t="shared" si="97"/>
        <v>0</v>
      </c>
      <c r="BN761" s="42">
        <f t="shared" si="98"/>
        <v>0</v>
      </c>
      <c r="BS761" s="1">
        <v>10388</v>
      </c>
      <c r="BT761" s="1" t="s">
        <v>902</v>
      </c>
      <c r="BX761" s="36"/>
    </row>
    <row r="762" spans="2:76" ht="14.25">
      <c r="B762" s="36"/>
      <c r="C762" s="36"/>
      <c r="D762" s="36"/>
      <c r="E762" s="36"/>
      <c r="F762" s="36"/>
      <c r="G762" s="36"/>
      <c r="H762" s="36"/>
      <c r="J762" s="36"/>
      <c r="L762" s="1" t="str">
        <f t="shared" si="99"/>
        <v/>
      </c>
      <c r="M762" s="94">
        <v>757</v>
      </c>
      <c r="N762" s="36" t="s">
        <v>2413</v>
      </c>
      <c r="O762" s="95">
        <v>310464</v>
      </c>
      <c r="P762" s="36"/>
      <c r="AI762" s="122">
        <v>450</v>
      </c>
      <c r="AJ762" s="1" t="s">
        <v>2105</v>
      </c>
      <c r="AK762" s="1">
        <v>310157</v>
      </c>
      <c r="AL762" s="1" t="s">
        <v>930</v>
      </c>
      <c r="AN762" s="270">
        <v>856</v>
      </c>
      <c r="AQ762" s="1">
        <v>614</v>
      </c>
      <c r="AR762" s="1" t="s">
        <v>650</v>
      </c>
      <c r="AS762" s="1">
        <v>210509</v>
      </c>
      <c r="AT762" s="1" t="s">
        <v>116</v>
      </c>
      <c r="AV762" s="241">
        <v>108</v>
      </c>
      <c r="BM762" s="138">
        <f t="shared" si="97"/>
        <v>0</v>
      </c>
      <c r="BN762" s="42">
        <f t="shared" si="98"/>
        <v>0</v>
      </c>
      <c r="BS762" s="1">
        <v>10389</v>
      </c>
      <c r="BT762" s="1" t="s">
        <v>902</v>
      </c>
      <c r="BX762" s="36"/>
    </row>
    <row r="763" spans="2:76" ht="14.25">
      <c r="B763" s="36"/>
      <c r="C763" s="36"/>
      <c r="D763" s="36"/>
      <c r="E763" s="36"/>
      <c r="F763" s="36"/>
      <c r="G763" s="36"/>
      <c r="H763" s="36"/>
      <c r="J763" s="36"/>
      <c r="L763" s="1" t="str">
        <f t="shared" si="99"/>
        <v/>
      </c>
      <c r="M763" s="94">
        <v>758</v>
      </c>
      <c r="N763" s="36" t="s">
        <v>2414</v>
      </c>
      <c r="O763" s="95">
        <v>310465</v>
      </c>
      <c r="P763" s="36"/>
      <c r="AI763" s="122">
        <v>451</v>
      </c>
      <c r="AJ763" s="1" t="s">
        <v>2106</v>
      </c>
      <c r="AK763" s="1">
        <v>310158</v>
      </c>
      <c r="AL763" s="1" t="s">
        <v>115</v>
      </c>
      <c r="AN763" s="270">
        <v>857</v>
      </c>
      <c r="AQ763" s="1">
        <v>615</v>
      </c>
      <c r="AR763" s="1" t="s">
        <v>651</v>
      </c>
      <c r="AS763" s="1">
        <v>210510</v>
      </c>
      <c r="AT763" s="1" t="s">
        <v>115</v>
      </c>
      <c r="AV763" s="241">
        <v>109</v>
      </c>
      <c r="BM763" s="138">
        <f t="shared" si="97"/>
        <v>0</v>
      </c>
      <c r="BN763" s="42">
        <f t="shared" si="98"/>
        <v>0</v>
      </c>
      <c r="BS763" s="1">
        <v>10390</v>
      </c>
      <c r="BT763" s="1" t="s">
        <v>902</v>
      </c>
      <c r="BX763" s="36"/>
    </row>
    <row r="764" spans="2:76" ht="14.25">
      <c r="B764" s="36"/>
      <c r="C764" s="36"/>
      <c r="D764" s="36"/>
      <c r="E764" s="36"/>
      <c r="F764" s="36"/>
      <c r="G764" s="36"/>
      <c r="H764" s="36"/>
      <c r="J764" s="36"/>
      <c r="L764" s="1" t="str">
        <f t="shared" si="99"/>
        <v/>
      </c>
      <c r="M764" s="94">
        <v>759</v>
      </c>
      <c r="N764" s="36" t="s">
        <v>2415</v>
      </c>
      <c r="O764" s="95">
        <v>310466</v>
      </c>
      <c r="P764" s="36"/>
      <c r="AI764" s="122">
        <v>452</v>
      </c>
      <c r="AJ764" s="1" t="s">
        <v>2107</v>
      </c>
      <c r="AK764" s="1">
        <v>310159</v>
      </c>
      <c r="AL764" s="1" t="s">
        <v>930</v>
      </c>
      <c r="AN764" s="270">
        <v>858</v>
      </c>
      <c r="AQ764" s="1">
        <v>616</v>
      </c>
      <c r="AR764" s="1" t="s">
        <v>652</v>
      </c>
      <c r="AS764" s="1">
        <v>210511</v>
      </c>
      <c r="AT764" s="1" t="s">
        <v>116</v>
      </c>
      <c r="AV764" s="241">
        <v>110</v>
      </c>
      <c r="BM764" s="138">
        <f t="shared" si="97"/>
        <v>0</v>
      </c>
      <c r="BN764" s="42">
        <f t="shared" si="98"/>
        <v>0</v>
      </c>
      <c r="BS764" s="1">
        <v>10391</v>
      </c>
      <c r="BT764" s="1" t="s">
        <v>902</v>
      </c>
      <c r="BX764" s="36"/>
    </row>
    <row r="765" spans="2:76" ht="14.25">
      <c r="B765" s="36"/>
      <c r="C765" s="36"/>
      <c r="D765" s="36"/>
      <c r="E765" s="36"/>
      <c r="F765" s="36"/>
      <c r="G765" s="36"/>
      <c r="H765" s="36"/>
      <c r="J765" s="36"/>
      <c r="L765" s="1" t="str">
        <f t="shared" si="99"/>
        <v/>
      </c>
      <c r="M765" s="94">
        <v>760</v>
      </c>
      <c r="N765" s="36" t="s">
        <v>2416</v>
      </c>
      <c r="O765" s="95">
        <v>310467</v>
      </c>
      <c r="P765" s="36"/>
      <c r="AI765" s="122">
        <v>453</v>
      </c>
      <c r="AJ765" s="1" t="s">
        <v>2108</v>
      </c>
      <c r="AK765" s="1">
        <v>310160</v>
      </c>
      <c r="AL765" s="1" t="s">
        <v>115</v>
      </c>
      <c r="AN765" s="270">
        <v>859</v>
      </c>
      <c r="AQ765" s="1">
        <v>617</v>
      </c>
      <c r="AR765" s="1" t="s">
        <v>653</v>
      </c>
      <c r="AS765" s="1">
        <v>210512</v>
      </c>
      <c r="AT765" s="1" t="s">
        <v>115</v>
      </c>
      <c r="AV765" s="241">
        <v>111</v>
      </c>
      <c r="BM765" s="138">
        <f t="shared" si="97"/>
        <v>0</v>
      </c>
      <c r="BN765" s="42">
        <f t="shared" si="98"/>
        <v>0</v>
      </c>
      <c r="BS765" s="1">
        <v>10392</v>
      </c>
      <c r="BT765" s="1" t="s">
        <v>902</v>
      </c>
      <c r="BX765" s="36"/>
    </row>
    <row r="766" spans="2:76" ht="14.25">
      <c r="B766" s="36"/>
      <c r="C766" s="36"/>
      <c r="D766" s="36"/>
      <c r="E766" s="36"/>
      <c r="F766" s="36"/>
      <c r="G766" s="36"/>
      <c r="H766" s="36"/>
      <c r="J766" s="36"/>
      <c r="L766" s="1" t="str">
        <f t="shared" si="99"/>
        <v/>
      </c>
      <c r="M766" s="94">
        <v>761</v>
      </c>
      <c r="N766" s="36" t="s">
        <v>2417</v>
      </c>
      <c r="O766" s="95">
        <v>310468</v>
      </c>
      <c r="P766" s="36"/>
      <c r="AI766" s="122">
        <v>454</v>
      </c>
      <c r="AJ766" s="1" t="s">
        <v>2109</v>
      </c>
      <c r="AK766" s="1">
        <v>310161</v>
      </c>
      <c r="AL766" s="1" t="s">
        <v>930</v>
      </c>
      <c r="AN766" s="270">
        <v>860</v>
      </c>
      <c r="AQ766" s="1">
        <v>618</v>
      </c>
      <c r="AR766" s="1" t="s">
        <v>654</v>
      </c>
      <c r="AS766" s="1">
        <v>210513</v>
      </c>
      <c r="AT766" s="1" t="s">
        <v>115</v>
      </c>
      <c r="AV766" s="241">
        <v>112</v>
      </c>
      <c r="BM766" s="138">
        <f t="shared" si="97"/>
        <v>0</v>
      </c>
      <c r="BN766" s="42">
        <f t="shared" si="98"/>
        <v>0</v>
      </c>
      <c r="BS766" s="1">
        <v>10393</v>
      </c>
      <c r="BT766" s="1" t="s">
        <v>902</v>
      </c>
      <c r="BX766" s="36"/>
    </row>
    <row r="767" spans="2:76" ht="14.25">
      <c r="B767" s="36"/>
      <c r="C767" s="36"/>
      <c r="D767" s="36"/>
      <c r="E767" s="36"/>
      <c r="F767" s="36"/>
      <c r="G767" s="36"/>
      <c r="H767" s="36"/>
      <c r="J767" s="36"/>
      <c r="L767" s="1" t="str">
        <f t="shared" si="99"/>
        <v/>
      </c>
      <c r="M767" s="94">
        <v>762</v>
      </c>
      <c r="N767" s="36" t="s">
        <v>2418</v>
      </c>
      <c r="O767" s="95">
        <v>310469</v>
      </c>
      <c r="P767" s="36"/>
      <c r="AI767" s="122">
        <v>455</v>
      </c>
      <c r="AJ767" s="1" t="s">
        <v>2110</v>
      </c>
      <c r="AK767" s="1">
        <v>310162</v>
      </c>
      <c r="AL767" s="1" t="s">
        <v>115</v>
      </c>
      <c r="AN767" s="270">
        <v>861</v>
      </c>
      <c r="AQ767" s="1">
        <v>619</v>
      </c>
      <c r="AR767" s="1" t="s">
        <v>655</v>
      </c>
      <c r="AS767" s="1">
        <v>210504</v>
      </c>
      <c r="AT767" s="1" t="s">
        <v>116</v>
      </c>
      <c r="AV767" s="241">
        <v>113</v>
      </c>
      <c r="BM767" s="138">
        <f t="shared" si="97"/>
        <v>0</v>
      </c>
      <c r="BN767" s="42">
        <f t="shared" si="98"/>
        <v>0</v>
      </c>
      <c r="BS767" s="1">
        <v>10394</v>
      </c>
      <c r="BT767" s="1" t="s">
        <v>902</v>
      </c>
      <c r="BX767" s="36"/>
    </row>
    <row r="768" spans="2:76" ht="14.25">
      <c r="B768" s="36"/>
      <c r="C768" s="36"/>
      <c r="D768" s="36"/>
      <c r="E768" s="36"/>
      <c r="F768" s="36"/>
      <c r="G768" s="36"/>
      <c r="H768" s="36"/>
      <c r="J768" s="36"/>
      <c r="L768" s="1" t="str">
        <f t="shared" si="99"/>
        <v/>
      </c>
      <c r="M768" s="94">
        <v>763</v>
      </c>
      <c r="N768" s="36" t="s">
        <v>2419</v>
      </c>
      <c r="O768" s="95">
        <v>310470</v>
      </c>
      <c r="P768" s="36"/>
      <c r="AI768" s="122">
        <v>456</v>
      </c>
      <c r="AJ768" s="1" t="s">
        <v>2111</v>
      </c>
      <c r="AK768" s="1">
        <v>310163</v>
      </c>
      <c r="AL768" s="1" t="s">
        <v>930</v>
      </c>
      <c r="AN768" s="270">
        <v>862</v>
      </c>
      <c r="AQ768" s="1">
        <v>620</v>
      </c>
      <c r="AR768" s="1" t="s">
        <v>656</v>
      </c>
      <c r="AS768" s="1">
        <v>210505</v>
      </c>
      <c r="AT768" s="1" t="s">
        <v>115</v>
      </c>
      <c r="AV768" s="241">
        <v>114</v>
      </c>
      <c r="BM768" s="138">
        <f t="shared" si="97"/>
        <v>0</v>
      </c>
      <c r="BN768" s="42">
        <f t="shared" si="98"/>
        <v>0</v>
      </c>
      <c r="BS768" s="1">
        <v>10395</v>
      </c>
      <c r="BT768" s="1" t="s">
        <v>902</v>
      </c>
      <c r="BX768" s="36"/>
    </row>
    <row r="769" spans="2:76" ht="14.25">
      <c r="B769" s="36"/>
      <c r="C769" s="36"/>
      <c r="D769" s="36"/>
      <c r="E769" s="36"/>
      <c r="F769" s="36"/>
      <c r="G769" s="36"/>
      <c r="H769" s="36"/>
      <c r="J769" s="36"/>
      <c r="L769" s="1" t="str">
        <f t="shared" si="99"/>
        <v/>
      </c>
      <c r="M769" s="94">
        <v>764</v>
      </c>
      <c r="N769" s="36" t="s">
        <v>2420</v>
      </c>
      <c r="O769" s="95">
        <v>310471</v>
      </c>
      <c r="P769" s="36"/>
      <c r="AI769" s="122">
        <v>457</v>
      </c>
      <c r="AJ769" s="1" t="s">
        <v>2112</v>
      </c>
      <c r="AK769" s="1">
        <v>310164</v>
      </c>
      <c r="AL769" s="1" t="s">
        <v>930</v>
      </c>
      <c r="AN769" s="270">
        <v>863</v>
      </c>
      <c r="AQ769" s="1">
        <v>621</v>
      </c>
      <c r="AR769" s="1" t="s">
        <v>657</v>
      </c>
      <c r="AS769" s="1">
        <v>210514</v>
      </c>
      <c r="AT769" s="1" t="s">
        <v>116</v>
      </c>
      <c r="AV769" s="241">
        <v>115</v>
      </c>
      <c r="BM769" s="138">
        <f t="shared" si="97"/>
        <v>0</v>
      </c>
      <c r="BN769" s="42">
        <f t="shared" si="98"/>
        <v>0</v>
      </c>
      <c r="BS769" s="1">
        <v>10396</v>
      </c>
      <c r="BT769" s="1" t="s">
        <v>902</v>
      </c>
      <c r="BX769" s="36"/>
    </row>
    <row r="770" spans="2:76" ht="14.25">
      <c r="B770" s="36"/>
      <c r="C770" s="36"/>
      <c r="D770" s="36"/>
      <c r="E770" s="36"/>
      <c r="F770" s="36"/>
      <c r="G770" s="36"/>
      <c r="H770" s="36"/>
      <c r="J770" s="36"/>
      <c r="L770" s="1" t="str">
        <f t="shared" si="99"/>
        <v/>
      </c>
      <c r="M770" s="94">
        <v>765</v>
      </c>
      <c r="N770" s="36" t="s">
        <v>2421</v>
      </c>
      <c r="O770" s="95">
        <v>310472</v>
      </c>
      <c r="P770" s="36"/>
      <c r="AI770" s="122">
        <v>458</v>
      </c>
      <c r="AJ770" s="1" t="s">
        <v>2113</v>
      </c>
      <c r="AK770" s="1">
        <v>310165</v>
      </c>
      <c r="AL770" s="1" t="s">
        <v>115</v>
      </c>
      <c r="AN770" s="270">
        <v>864</v>
      </c>
      <c r="AQ770" s="1">
        <v>622</v>
      </c>
      <c r="AR770" s="1" t="s">
        <v>658</v>
      </c>
      <c r="AS770" s="1">
        <v>210515</v>
      </c>
      <c r="AT770" s="1" t="s">
        <v>115</v>
      </c>
      <c r="AV770" s="241">
        <v>116</v>
      </c>
      <c r="BM770" s="138">
        <f t="shared" ref="BM770:BM833" si="100">I770</f>
        <v>0</v>
      </c>
      <c r="BN770" s="42">
        <f t="shared" ref="BN770:BN833" si="101">A770</f>
        <v>0</v>
      </c>
      <c r="BS770" s="1">
        <v>10397</v>
      </c>
      <c r="BT770" s="1" t="s">
        <v>902</v>
      </c>
      <c r="BX770" s="36"/>
    </row>
    <row r="771" spans="2:76" ht="14.25">
      <c r="B771" s="36"/>
      <c r="C771" s="36"/>
      <c r="D771" s="36"/>
      <c r="E771" s="36"/>
      <c r="F771" s="36"/>
      <c r="G771" s="36"/>
      <c r="H771" s="36"/>
      <c r="J771" s="36"/>
      <c r="L771" s="1" t="str">
        <f t="shared" si="99"/>
        <v/>
      </c>
      <c r="M771" s="94">
        <v>766</v>
      </c>
      <c r="N771" s="36" t="s">
        <v>2422</v>
      </c>
      <c r="O771" s="95">
        <v>310473</v>
      </c>
      <c r="P771" s="36"/>
      <c r="AI771" s="122">
        <v>459</v>
      </c>
      <c r="AJ771" s="1" t="s">
        <v>2114</v>
      </c>
      <c r="AK771" s="1">
        <v>310166</v>
      </c>
      <c r="AL771" s="1" t="s">
        <v>930</v>
      </c>
      <c r="AN771" s="270">
        <v>865</v>
      </c>
      <c r="AQ771" s="1">
        <v>623</v>
      </c>
      <c r="AR771" s="1" t="s">
        <v>659</v>
      </c>
      <c r="AS771" s="1">
        <v>210516</v>
      </c>
      <c r="AT771" s="1" t="s">
        <v>116</v>
      </c>
      <c r="AV771" s="241">
        <v>117</v>
      </c>
      <c r="BM771" s="138">
        <f t="shared" si="100"/>
        <v>0</v>
      </c>
      <c r="BN771" s="42">
        <f t="shared" si="101"/>
        <v>0</v>
      </c>
      <c r="BS771" s="1">
        <v>10398</v>
      </c>
      <c r="BT771" s="1" t="s">
        <v>902</v>
      </c>
      <c r="BX771" s="36"/>
    </row>
    <row r="772" spans="2:76" ht="14.25">
      <c r="B772" s="36"/>
      <c r="C772" s="36"/>
      <c r="D772" s="36"/>
      <c r="E772" s="36"/>
      <c r="F772" s="36"/>
      <c r="G772" s="36"/>
      <c r="H772" s="36"/>
      <c r="J772" s="36"/>
      <c r="L772" s="1" t="str">
        <f t="shared" ref="L772:L835" si="102">IF(AND(MIN(I:I)&lt;20,MAX(I:I)&gt;980,I772&lt;20),I772,"")</f>
        <v/>
      </c>
      <c r="M772" s="94">
        <v>767</v>
      </c>
      <c r="N772" s="36" t="s">
        <v>2423</v>
      </c>
      <c r="O772" s="95">
        <v>310474</v>
      </c>
      <c r="P772" s="36"/>
      <c r="AI772" s="122">
        <v>460</v>
      </c>
      <c r="AJ772" s="1" t="s">
        <v>2115</v>
      </c>
      <c r="AK772" s="1">
        <v>310167</v>
      </c>
      <c r="AL772" s="1" t="s">
        <v>115</v>
      </c>
      <c r="AN772" s="270">
        <v>866</v>
      </c>
      <c r="AQ772" s="1">
        <v>624</v>
      </c>
      <c r="AR772" s="1" t="s">
        <v>660</v>
      </c>
      <c r="AS772" s="1">
        <v>210517</v>
      </c>
      <c r="AT772" s="1" t="s">
        <v>115</v>
      </c>
      <c r="AV772" s="241">
        <v>118</v>
      </c>
      <c r="BM772" s="138">
        <f t="shared" si="100"/>
        <v>0</v>
      </c>
      <c r="BN772" s="42">
        <f t="shared" si="101"/>
        <v>0</v>
      </c>
      <c r="BS772" s="1">
        <v>10399</v>
      </c>
      <c r="BT772" s="1" t="s">
        <v>902</v>
      </c>
      <c r="BX772" s="36"/>
    </row>
    <row r="773" spans="2:76" ht="14.25">
      <c r="B773" s="36"/>
      <c r="C773" s="36"/>
      <c r="D773" s="36"/>
      <c r="E773" s="36"/>
      <c r="F773" s="36"/>
      <c r="G773" s="36"/>
      <c r="H773" s="36"/>
      <c r="J773" s="36"/>
      <c r="L773" s="1" t="str">
        <f t="shared" si="102"/>
        <v/>
      </c>
      <c r="M773" s="94">
        <v>768</v>
      </c>
      <c r="N773" s="36" t="s">
        <v>2424</v>
      </c>
      <c r="O773" s="95">
        <v>310475</v>
      </c>
      <c r="P773" s="36"/>
      <c r="AI773" s="122">
        <v>461</v>
      </c>
      <c r="AJ773" s="1" t="s">
        <v>2116</v>
      </c>
      <c r="AK773" s="1">
        <v>310168</v>
      </c>
      <c r="AL773" s="1" t="s">
        <v>930</v>
      </c>
      <c r="AN773" s="270">
        <v>867</v>
      </c>
      <c r="AQ773" s="1">
        <v>625</v>
      </c>
      <c r="AR773" s="1" t="s">
        <v>661</v>
      </c>
      <c r="AS773" s="1">
        <v>210518</v>
      </c>
      <c r="AT773" s="1" t="s">
        <v>115</v>
      </c>
      <c r="AV773" s="241">
        <v>119</v>
      </c>
      <c r="BM773" s="138">
        <f t="shared" si="100"/>
        <v>0</v>
      </c>
      <c r="BN773" s="42">
        <f t="shared" si="101"/>
        <v>0</v>
      </c>
      <c r="BS773" s="1">
        <v>10400</v>
      </c>
      <c r="BT773" s="1" t="s">
        <v>902</v>
      </c>
      <c r="BX773" s="36"/>
    </row>
    <row r="774" spans="2:76" ht="14.25">
      <c r="B774" s="36"/>
      <c r="C774" s="36"/>
      <c r="D774" s="36"/>
      <c r="E774" s="36"/>
      <c r="F774" s="36"/>
      <c r="G774" s="36"/>
      <c r="H774" s="36"/>
      <c r="J774" s="36"/>
      <c r="L774" s="1" t="str">
        <f t="shared" si="102"/>
        <v/>
      </c>
      <c r="M774" s="94">
        <v>769</v>
      </c>
      <c r="N774" s="36" t="s">
        <v>2425</v>
      </c>
      <c r="O774" s="95">
        <v>310476</v>
      </c>
      <c r="P774" s="36"/>
      <c r="AI774" s="122">
        <v>462</v>
      </c>
      <c r="AJ774" s="1" t="s">
        <v>2117</v>
      </c>
      <c r="AK774" s="1">
        <v>310169</v>
      </c>
      <c r="AL774" s="1" t="s">
        <v>115</v>
      </c>
      <c r="AN774" s="270">
        <v>868</v>
      </c>
      <c r="AQ774" s="1">
        <v>626</v>
      </c>
      <c r="AR774" s="1" t="s">
        <v>662</v>
      </c>
      <c r="AS774" s="1">
        <v>210519</v>
      </c>
      <c r="AT774" s="1" t="s">
        <v>116</v>
      </c>
      <c r="AV774" s="241">
        <v>120</v>
      </c>
      <c r="BM774" s="138">
        <f t="shared" si="100"/>
        <v>0</v>
      </c>
      <c r="BN774" s="42">
        <f t="shared" si="101"/>
        <v>0</v>
      </c>
      <c r="BS774" s="1">
        <v>10401</v>
      </c>
      <c r="BT774" s="1" t="s">
        <v>902</v>
      </c>
      <c r="BX774" s="36"/>
    </row>
    <row r="775" spans="2:76" ht="14.25">
      <c r="B775" s="36"/>
      <c r="C775" s="36"/>
      <c r="D775" s="36"/>
      <c r="E775" s="36"/>
      <c r="F775" s="36"/>
      <c r="G775" s="36"/>
      <c r="H775" s="36"/>
      <c r="J775" s="36"/>
      <c r="L775" s="1" t="str">
        <f t="shared" si="102"/>
        <v/>
      </c>
      <c r="M775" s="94">
        <v>770</v>
      </c>
      <c r="N775" s="36" t="s">
        <v>2430</v>
      </c>
      <c r="O775" s="95">
        <v>310477</v>
      </c>
      <c r="P775" s="36"/>
      <c r="AI775" s="122">
        <v>463</v>
      </c>
      <c r="AJ775" s="1" t="s">
        <v>2118</v>
      </c>
      <c r="AK775" s="1">
        <v>310170</v>
      </c>
      <c r="AL775" s="1" t="s">
        <v>930</v>
      </c>
      <c r="AN775" s="270">
        <v>869</v>
      </c>
      <c r="AQ775" s="1">
        <v>627</v>
      </c>
      <c r="AR775" s="1" t="s">
        <v>663</v>
      </c>
      <c r="AS775" s="1">
        <v>210520</v>
      </c>
      <c r="AT775" s="1" t="s">
        <v>115</v>
      </c>
      <c r="AV775" s="241">
        <v>121</v>
      </c>
      <c r="BM775" s="138">
        <f t="shared" si="100"/>
        <v>0</v>
      </c>
      <c r="BN775" s="42">
        <f t="shared" si="101"/>
        <v>0</v>
      </c>
      <c r="BS775" s="1">
        <v>10402</v>
      </c>
      <c r="BT775" s="1" t="s">
        <v>902</v>
      </c>
      <c r="BX775" s="36"/>
    </row>
    <row r="776" spans="2:76" ht="14.25">
      <c r="B776" s="36"/>
      <c r="C776" s="36"/>
      <c r="D776" s="36"/>
      <c r="E776" s="36"/>
      <c r="F776" s="36"/>
      <c r="G776" s="36"/>
      <c r="H776" s="36"/>
      <c r="J776" s="36"/>
      <c r="L776" s="1" t="str">
        <f t="shared" si="102"/>
        <v/>
      </c>
      <c r="M776" s="94">
        <v>771</v>
      </c>
      <c r="N776" s="36" t="s">
        <v>2431</v>
      </c>
      <c r="O776" s="95">
        <v>310478</v>
      </c>
      <c r="P776" s="36"/>
      <c r="AI776" s="122">
        <v>464</v>
      </c>
      <c r="AJ776" s="1" t="s">
        <v>2119</v>
      </c>
      <c r="AK776" s="1">
        <v>310171</v>
      </c>
      <c r="AL776" s="1" t="s">
        <v>930</v>
      </c>
      <c r="AN776" s="270">
        <v>870</v>
      </c>
      <c r="AQ776" s="1">
        <v>628</v>
      </c>
      <c r="AR776" s="1" t="s">
        <v>664</v>
      </c>
      <c r="AS776" s="1">
        <v>210521</v>
      </c>
      <c r="AT776" s="1" t="s">
        <v>116</v>
      </c>
      <c r="AV776" s="241">
        <v>122</v>
      </c>
      <c r="BM776" s="138">
        <f t="shared" si="100"/>
        <v>0</v>
      </c>
      <c r="BN776" s="42">
        <f t="shared" si="101"/>
        <v>0</v>
      </c>
      <c r="BS776" s="1">
        <v>10403</v>
      </c>
      <c r="BT776" s="1" t="s">
        <v>902</v>
      </c>
      <c r="BX776" s="36"/>
    </row>
    <row r="777" spans="2:76" ht="14.25">
      <c r="B777" s="36"/>
      <c r="C777" s="36"/>
      <c r="D777" s="36"/>
      <c r="E777" s="36"/>
      <c r="F777" s="36"/>
      <c r="G777" s="36"/>
      <c r="H777" s="36"/>
      <c r="J777" s="36"/>
      <c r="L777" s="1" t="str">
        <f t="shared" si="102"/>
        <v/>
      </c>
      <c r="M777" s="94">
        <v>772</v>
      </c>
      <c r="N777" s="36" t="s">
        <v>2432</v>
      </c>
      <c r="O777" s="95">
        <v>310479</v>
      </c>
      <c r="P777" s="36"/>
      <c r="AI777" s="122">
        <v>465</v>
      </c>
      <c r="AJ777" s="1" t="s">
        <v>2120</v>
      </c>
      <c r="AK777" s="1">
        <v>310172</v>
      </c>
      <c r="AL777" s="1" t="s">
        <v>115</v>
      </c>
      <c r="AN777" s="270">
        <v>871</v>
      </c>
      <c r="AQ777" s="1">
        <v>629</v>
      </c>
      <c r="AR777" s="1" t="s">
        <v>665</v>
      </c>
      <c r="AS777" s="1">
        <v>210522</v>
      </c>
      <c r="AT777" s="1" t="s">
        <v>115</v>
      </c>
      <c r="AV777" s="241">
        <v>123</v>
      </c>
      <c r="BM777" s="138">
        <f t="shared" si="100"/>
        <v>0</v>
      </c>
      <c r="BN777" s="42">
        <f t="shared" si="101"/>
        <v>0</v>
      </c>
      <c r="BS777" s="1">
        <v>10404</v>
      </c>
      <c r="BT777" s="1" t="s">
        <v>902</v>
      </c>
      <c r="BX777" s="36"/>
    </row>
    <row r="778" spans="2:76" ht="14.25">
      <c r="B778" s="36"/>
      <c r="C778" s="36"/>
      <c r="D778" s="36"/>
      <c r="E778" s="36"/>
      <c r="F778" s="36"/>
      <c r="G778" s="36"/>
      <c r="H778" s="36"/>
      <c r="J778" s="36"/>
      <c r="L778" s="1" t="str">
        <f t="shared" si="102"/>
        <v/>
      </c>
      <c r="M778" s="94">
        <v>773</v>
      </c>
      <c r="N778" s="36" t="s">
        <v>2433</v>
      </c>
      <c r="O778" s="95">
        <v>310480</v>
      </c>
      <c r="P778" s="36"/>
      <c r="AI778" s="122">
        <v>466</v>
      </c>
      <c r="AJ778" s="1" t="s">
        <v>2121</v>
      </c>
      <c r="AK778" s="1">
        <v>310173</v>
      </c>
      <c r="AL778" s="1" t="s">
        <v>930</v>
      </c>
      <c r="AN778" s="270">
        <v>872</v>
      </c>
      <c r="AQ778" s="1">
        <v>630</v>
      </c>
      <c r="AR778" s="1" t="s">
        <v>666</v>
      </c>
      <c r="AS778" s="1">
        <v>210523</v>
      </c>
      <c r="AT778" s="1" t="s">
        <v>115</v>
      </c>
      <c r="AV778" s="241">
        <v>124</v>
      </c>
      <c r="BM778" s="138">
        <f t="shared" si="100"/>
        <v>0</v>
      </c>
      <c r="BN778" s="42">
        <f t="shared" si="101"/>
        <v>0</v>
      </c>
      <c r="BS778" s="1">
        <v>10405</v>
      </c>
      <c r="BT778" s="1" t="s">
        <v>902</v>
      </c>
      <c r="BX778" s="36"/>
    </row>
    <row r="779" spans="2:76" ht="14.25">
      <c r="B779" s="36"/>
      <c r="C779" s="36"/>
      <c r="D779" s="36"/>
      <c r="E779" s="36"/>
      <c r="F779" s="36"/>
      <c r="G779" s="36"/>
      <c r="H779" s="36"/>
      <c r="J779" s="36"/>
      <c r="L779" s="1" t="str">
        <f t="shared" si="102"/>
        <v/>
      </c>
      <c r="M779" s="94">
        <v>774</v>
      </c>
      <c r="N779" s="36" t="s">
        <v>2434</v>
      </c>
      <c r="O779" s="95">
        <v>310481</v>
      </c>
      <c r="P779" s="36"/>
      <c r="AI779" s="122">
        <v>467</v>
      </c>
      <c r="AJ779" s="1" t="s">
        <v>2122</v>
      </c>
      <c r="AK779" s="1">
        <v>310174</v>
      </c>
      <c r="AL779" s="1" t="s">
        <v>115</v>
      </c>
      <c r="AN779" s="270">
        <v>873</v>
      </c>
      <c r="AQ779" s="1">
        <v>631</v>
      </c>
      <c r="AR779" s="1" t="s">
        <v>667</v>
      </c>
      <c r="AS779" s="1">
        <v>210524</v>
      </c>
      <c r="AT779" s="1" t="s">
        <v>116</v>
      </c>
      <c r="AV779" s="241">
        <v>125</v>
      </c>
      <c r="BM779" s="138">
        <f t="shared" si="100"/>
        <v>0</v>
      </c>
      <c r="BN779" s="42">
        <f t="shared" si="101"/>
        <v>0</v>
      </c>
      <c r="BS779" s="1">
        <v>10406</v>
      </c>
      <c r="BT779" s="1" t="s">
        <v>902</v>
      </c>
      <c r="BX779" s="36"/>
    </row>
    <row r="780" spans="2:76" ht="14.25">
      <c r="B780" s="36"/>
      <c r="C780" s="36"/>
      <c r="D780" s="36"/>
      <c r="E780" s="36"/>
      <c r="F780" s="36"/>
      <c r="G780" s="36"/>
      <c r="H780" s="36"/>
      <c r="J780" s="36"/>
      <c r="L780" s="1" t="str">
        <f t="shared" si="102"/>
        <v/>
      </c>
      <c r="M780" s="94">
        <v>775</v>
      </c>
      <c r="N780" s="36" t="s">
        <v>2435</v>
      </c>
      <c r="O780" s="95">
        <v>310482</v>
      </c>
      <c r="P780" s="36"/>
      <c r="AI780" s="122">
        <v>468</v>
      </c>
      <c r="AJ780" s="1" t="s">
        <v>2123</v>
      </c>
      <c r="AK780" s="1">
        <v>310175</v>
      </c>
      <c r="AL780" s="1" t="s">
        <v>930</v>
      </c>
      <c r="AN780" s="270">
        <v>874</v>
      </c>
      <c r="AQ780" s="1">
        <v>632</v>
      </c>
      <c r="AR780" s="1" t="s">
        <v>668</v>
      </c>
      <c r="AS780" s="1">
        <v>210525</v>
      </c>
      <c r="AT780" s="1" t="s">
        <v>115</v>
      </c>
      <c r="AV780" s="241">
        <v>126</v>
      </c>
      <c r="BM780" s="138">
        <f t="shared" si="100"/>
        <v>0</v>
      </c>
      <c r="BN780" s="42">
        <f t="shared" si="101"/>
        <v>0</v>
      </c>
      <c r="BS780" s="1">
        <v>10407</v>
      </c>
      <c r="BT780" s="1" t="s">
        <v>902</v>
      </c>
      <c r="BX780" s="36"/>
    </row>
    <row r="781" spans="2:76" ht="14.25">
      <c r="B781" s="36"/>
      <c r="C781" s="36"/>
      <c r="D781" s="36"/>
      <c r="E781" s="36"/>
      <c r="F781" s="36"/>
      <c r="G781" s="36"/>
      <c r="H781" s="36"/>
      <c r="J781" s="36"/>
      <c r="L781" s="1" t="str">
        <f t="shared" si="102"/>
        <v/>
      </c>
      <c r="M781" s="94">
        <v>776</v>
      </c>
      <c r="N781" s="36" t="s">
        <v>2436</v>
      </c>
      <c r="O781" s="95">
        <v>310483</v>
      </c>
      <c r="P781" s="36"/>
      <c r="AI781" s="122">
        <v>469</v>
      </c>
      <c r="AJ781" s="1" t="s">
        <v>2124</v>
      </c>
      <c r="AK781" s="1">
        <v>310176</v>
      </c>
      <c r="AL781" s="1" t="s">
        <v>115</v>
      </c>
      <c r="AN781" s="270">
        <v>875</v>
      </c>
      <c r="AQ781" s="1">
        <v>633</v>
      </c>
      <c r="AR781" s="1" t="s">
        <v>669</v>
      </c>
      <c r="AS781" s="1">
        <v>210528</v>
      </c>
      <c r="AT781" s="1" t="s">
        <v>116</v>
      </c>
      <c r="AV781" s="241">
        <v>127</v>
      </c>
      <c r="BM781" s="138">
        <f t="shared" si="100"/>
        <v>0</v>
      </c>
      <c r="BN781" s="42">
        <f t="shared" si="101"/>
        <v>0</v>
      </c>
      <c r="BS781" s="1">
        <v>10408</v>
      </c>
      <c r="BT781" s="1" t="s">
        <v>902</v>
      </c>
      <c r="BX781" s="36"/>
    </row>
    <row r="782" spans="2:76" ht="14.25">
      <c r="B782" s="36"/>
      <c r="C782" s="36"/>
      <c r="D782" s="36"/>
      <c r="E782" s="36"/>
      <c r="F782" s="36"/>
      <c r="G782" s="36"/>
      <c r="H782" s="36"/>
      <c r="J782" s="36"/>
      <c r="L782" s="1" t="str">
        <f t="shared" si="102"/>
        <v/>
      </c>
      <c r="M782" s="94">
        <v>777</v>
      </c>
      <c r="N782" s="36" t="s">
        <v>2437</v>
      </c>
      <c r="O782" s="95">
        <v>310484</v>
      </c>
      <c r="P782" s="36"/>
      <c r="AI782" s="122">
        <v>470</v>
      </c>
      <c r="AJ782" s="1" t="s">
        <v>2125</v>
      </c>
      <c r="AK782" s="1">
        <v>310177</v>
      </c>
      <c r="AL782" s="1" t="s">
        <v>930</v>
      </c>
      <c r="AN782" s="270">
        <v>876</v>
      </c>
      <c r="AQ782" s="1">
        <v>634</v>
      </c>
      <c r="AR782" s="1" t="s">
        <v>670</v>
      </c>
      <c r="AS782" s="1">
        <v>210529</v>
      </c>
      <c r="AT782" s="1" t="s">
        <v>115</v>
      </c>
      <c r="AV782" s="241">
        <v>128</v>
      </c>
      <c r="BM782" s="138">
        <f t="shared" si="100"/>
        <v>0</v>
      </c>
      <c r="BN782" s="42">
        <f t="shared" si="101"/>
        <v>0</v>
      </c>
      <c r="BS782" s="1">
        <v>10409</v>
      </c>
      <c r="BT782" s="1" t="s">
        <v>902</v>
      </c>
      <c r="BX782" s="36"/>
    </row>
    <row r="783" spans="2:76" ht="14.25">
      <c r="B783" s="36"/>
      <c r="C783" s="36"/>
      <c r="D783" s="36"/>
      <c r="E783" s="36"/>
      <c r="F783" s="36"/>
      <c r="G783" s="36"/>
      <c r="H783" s="36"/>
      <c r="J783" s="36"/>
      <c r="L783" s="1" t="str">
        <f t="shared" si="102"/>
        <v/>
      </c>
      <c r="M783" s="94">
        <v>778</v>
      </c>
      <c r="N783" s="36" t="s">
        <v>2438</v>
      </c>
      <c r="O783" s="95">
        <v>310485</v>
      </c>
      <c r="P783" s="36"/>
      <c r="AI783" s="122">
        <v>471</v>
      </c>
      <c r="AJ783" s="1" t="s">
        <v>2126</v>
      </c>
      <c r="AK783" s="1">
        <v>310178</v>
      </c>
      <c r="AL783" s="1" t="s">
        <v>930</v>
      </c>
      <c r="AN783" s="270">
        <v>877</v>
      </c>
      <c r="AQ783" s="1">
        <v>635</v>
      </c>
      <c r="AR783" s="1" t="s">
        <v>671</v>
      </c>
      <c r="AS783" s="1">
        <v>210530</v>
      </c>
      <c r="AT783" s="1" t="s">
        <v>115</v>
      </c>
      <c r="AV783" s="241">
        <v>129</v>
      </c>
      <c r="BM783" s="138">
        <f t="shared" si="100"/>
        <v>0</v>
      </c>
      <c r="BN783" s="42">
        <f t="shared" si="101"/>
        <v>0</v>
      </c>
      <c r="BS783" s="1">
        <v>10410</v>
      </c>
      <c r="BT783" s="1" t="s">
        <v>902</v>
      </c>
      <c r="BX783" s="36"/>
    </row>
    <row r="784" spans="2:76" ht="14.25">
      <c r="B784" s="36"/>
      <c r="C784" s="36"/>
      <c r="D784" s="36"/>
      <c r="E784" s="36"/>
      <c r="F784" s="36"/>
      <c r="G784" s="36"/>
      <c r="H784" s="36"/>
      <c r="J784" s="36"/>
      <c r="L784" s="1" t="str">
        <f t="shared" si="102"/>
        <v/>
      </c>
      <c r="M784" s="94">
        <v>779</v>
      </c>
      <c r="N784" s="36" t="s">
        <v>2439</v>
      </c>
      <c r="O784" s="95">
        <v>310486</v>
      </c>
      <c r="P784" s="36"/>
      <c r="AI784" s="122">
        <v>472</v>
      </c>
      <c r="AJ784" s="1" t="s">
        <v>2127</v>
      </c>
      <c r="AK784" s="1">
        <v>310179</v>
      </c>
      <c r="AL784" s="1" t="s">
        <v>115</v>
      </c>
      <c r="AN784" s="270">
        <v>878</v>
      </c>
      <c r="AQ784" s="1">
        <v>636</v>
      </c>
      <c r="AR784" s="1" t="s">
        <v>672</v>
      </c>
      <c r="AS784" s="1">
        <v>210531</v>
      </c>
      <c r="AT784" s="1" t="s">
        <v>116</v>
      </c>
      <c r="AV784" s="241">
        <v>130</v>
      </c>
      <c r="BM784" s="138">
        <f t="shared" si="100"/>
        <v>0</v>
      </c>
      <c r="BN784" s="42">
        <f t="shared" si="101"/>
        <v>0</v>
      </c>
      <c r="BS784" s="1">
        <v>10411</v>
      </c>
      <c r="BT784" s="1" t="s">
        <v>902</v>
      </c>
      <c r="BX784" s="36"/>
    </row>
    <row r="785" spans="2:76" ht="14.25">
      <c r="B785" s="36"/>
      <c r="C785" s="36"/>
      <c r="D785" s="36"/>
      <c r="E785" s="36"/>
      <c r="F785" s="36"/>
      <c r="G785" s="36"/>
      <c r="H785" s="36"/>
      <c r="J785" s="36"/>
      <c r="L785" s="1" t="str">
        <f t="shared" si="102"/>
        <v/>
      </c>
      <c r="M785" s="94">
        <v>780</v>
      </c>
      <c r="N785" s="36" t="s">
        <v>2440</v>
      </c>
      <c r="O785" s="95">
        <v>310487</v>
      </c>
      <c r="P785" s="36"/>
      <c r="AI785" s="122">
        <v>473</v>
      </c>
      <c r="AJ785" s="1" t="s">
        <v>2135</v>
      </c>
      <c r="AK785" s="1">
        <v>310187</v>
      </c>
      <c r="AL785" s="1" t="s">
        <v>930</v>
      </c>
      <c r="AN785" s="270">
        <v>879</v>
      </c>
      <c r="AQ785" s="1">
        <v>637</v>
      </c>
      <c r="AR785" s="1" t="s">
        <v>673</v>
      </c>
      <c r="AS785" s="1">
        <v>210532</v>
      </c>
      <c r="AT785" s="1" t="s">
        <v>115</v>
      </c>
      <c r="AV785" s="241">
        <v>131</v>
      </c>
      <c r="BM785" s="138">
        <f t="shared" si="100"/>
        <v>0</v>
      </c>
      <c r="BN785" s="42">
        <f t="shared" si="101"/>
        <v>0</v>
      </c>
      <c r="BS785" s="1">
        <v>10412</v>
      </c>
      <c r="BT785" s="1" t="s">
        <v>902</v>
      </c>
      <c r="BX785" s="36"/>
    </row>
    <row r="786" spans="2:76" ht="14.25">
      <c r="B786" s="36"/>
      <c r="C786" s="36"/>
      <c r="D786" s="36"/>
      <c r="E786" s="36"/>
      <c r="F786" s="36"/>
      <c r="G786" s="36"/>
      <c r="H786" s="36"/>
      <c r="J786" s="36"/>
      <c r="L786" s="1" t="str">
        <f t="shared" si="102"/>
        <v/>
      </c>
      <c r="M786" s="94">
        <v>781</v>
      </c>
      <c r="N786" s="36" t="s">
        <v>2441</v>
      </c>
      <c r="O786" s="95">
        <v>310488</v>
      </c>
      <c r="P786" s="36"/>
      <c r="AI786" s="122">
        <v>474</v>
      </c>
      <c r="AJ786" s="1" t="s">
        <v>2129</v>
      </c>
      <c r="AK786" s="1">
        <v>310181</v>
      </c>
      <c r="AL786" s="1" t="s">
        <v>115</v>
      </c>
      <c r="AN786" s="270">
        <v>880</v>
      </c>
      <c r="AQ786" s="1">
        <v>638</v>
      </c>
      <c r="AR786" s="1" t="s">
        <v>674</v>
      </c>
      <c r="AS786" s="1">
        <v>210533</v>
      </c>
      <c r="AT786" s="1" t="s">
        <v>116</v>
      </c>
      <c r="AV786" s="241">
        <v>132</v>
      </c>
      <c r="BM786" s="138">
        <f t="shared" si="100"/>
        <v>0</v>
      </c>
      <c r="BN786" s="42">
        <f t="shared" si="101"/>
        <v>0</v>
      </c>
      <c r="BS786" s="1">
        <v>10413</v>
      </c>
      <c r="BT786" s="1" t="s">
        <v>902</v>
      </c>
      <c r="BX786" s="36"/>
    </row>
    <row r="787" spans="2:76" ht="14.25">
      <c r="B787" s="36"/>
      <c r="C787" s="36"/>
      <c r="D787" s="36"/>
      <c r="E787" s="36"/>
      <c r="F787" s="36"/>
      <c r="G787" s="36"/>
      <c r="H787" s="36"/>
      <c r="J787" s="36"/>
      <c r="L787" s="1" t="str">
        <f t="shared" si="102"/>
        <v/>
      </c>
      <c r="M787" s="94">
        <v>782</v>
      </c>
      <c r="N787" s="36" t="s">
        <v>2442</v>
      </c>
      <c r="O787" s="95">
        <v>310489</v>
      </c>
      <c r="P787" s="36"/>
      <c r="AI787" s="122">
        <v>475</v>
      </c>
      <c r="AJ787" s="1" t="s">
        <v>2130</v>
      </c>
      <c r="AK787" s="1">
        <v>310182</v>
      </c>
      <c r="AL787" s="1" t="s">
        <v>930</v>
      </c>
      <c r="AN787" s="270">
        <v>881</v>
      </c>
      <c r="AQ787" s="1">
        <v>639</v>
      </c>
      <c r="AR787" s="1" t="s">
        <v>675</v>
      </c>
      <c r="AS787" s="1">
        <v>210534</v>
      </c>
      <c r="AT787" s="1" t="s">
        <v>115</v>
      </c>
      <c r="AV787" s="241">
        <v>133</v>
      </c>
      <c r="BM787" s="138">
        <f t="shared" si="100"/>
        <v>0</v>
      </c>
      <c r="BN787" s="42">
        <f t="shared" si="101"/>
        <v>0</v>
      </c>
      <c r="BS787" s="1">
        <v>10414</v>
      </c>
      <c r="BT787" s="1" t="s">
        <v>902</v>
      </c>
      <c r="BX787" s="36"/>
    </row>
    <row r="788" spans="2:76" ht="14.25">
      <c r="B788" s="36"/>
      <c r="C788" s="36"/>
      <c r="D788" s="36"/>
      <c r="E788" s="36"/>
      <c r="F788" s="36"/>
      <c r="G788" s="36"/>
      <c r="H788" s="36"/>
      <c r="J788" s="36"/>
      <c r="L788" s="1" t="str">
        <f t="shared" si="102"/>
        <v/>
      </c>
      <c r="M788" s="94">
        <v>783</v>
      </c>
      <c r="N788" s="36" t="s">
        <v>2443</v>
      </c>
      <c r="O788" s="95">
        <v>310490</v>
      </c>
      <c r="P788" s="36"/>
      <c r="AI788" s="122">
        <v>476</v>
      </c>
      <c r="AJ788" s="1" t="s">
        <v>2131</v>
      </c>
      <c r="AK788" s="1">
        <v>310183</v>
      </c>
      <c r="AL788" s="1" t="s">
        <v>115</v>
      </c>
      <c r="AN788" s="270">
        <v>882</v>
      </c>
      <c r="AQ788" s="1">
        <v>640</v>
      </c>
      <c r="AR788" s="1" t="s">
        <v>676</v>
      </c>
      <c r="AS788" s="1">
        <v>210535</v>
      </c>
      <c r="AT788" s="1" t="s">
        <v>115</v>
      </c>
      <c r="AV788" s="241">
        <v>134</v>
      </c>
      <c r="BM788" s="138">
        <f t="shared" si="100"/>
        <v>0</v>
      </c>
      <c r="BN788" s="42">
        <f t="shared" si="101"/>
        <v>0</v>
      </c>
      <c r="BS788" s="1">
        <v>10415</v>
      </c>
      <c r="BT788" s="1" t="s">
        <v>902</v>
      </c>
      <c r="BX788" s="36"/>
    </row>
    <row r="789" spans="2:76" ht="14.25">
      <c r="B789" s="36"/>
      <c r="C789" s="36"/>
      <c r="D789" s="36"/>
      <c r="E789" s="36"/>
      <c r="F789" s="36"/>
      <c r="G789" s="36"/>
      <c r="H789" s="36"/>
      <c r="J789" s="36"/>
      <c r="L789" s="1" t="str">
        <f t="shared" si="102"/>
        <v/>
      </c>
      <c r="M789" s="94">
        <v>784</v>
      </c>
      <c r="N789" s="36" t="s">
        <v>2444</v>
      </c>
      <c r="O789" s="95">
        <v>310491</v>
      </c>
      <c r="P789" s="36"/>
      <c r="AI789" s="122">
        <v>477</v>
      </c>
      <c r="AJ789" s="1" t="s">
        <v>2132</v>
      </c>
      <c r="AK789" s="1">
        <v>310184</v>
      </c>
      <c r="AL789" s="1" t="s">
        <v>930</v>
      </c>
      <c r="AN789" s="270">
        <v>883</v>
      </c>
      <c r="AQ789" s="1">
        <v>641</v>
      </c>
      <c r="AR789" s="1" t="s">
        <v>677</v>
      </c>
      <c r="AS789" s="1">
        <v>210526</v>
      </c>
      <c r="AT789" s="1" t="s">
        <v>116</v>
      </c>
      <c r="AV789" s="241">
        <v>135</v>
      </c>
      <c r="BM789" s="138">
        <f t="shared" si="100"/>
        <v>0</v>
      </c>
      <c r="BN789" s="42">
        <f t="shared" si="101"/>
        <v>0</v>
      </c>
      <c r="BS789" s="1">
        <v>10416</v>
      </c>
      <c r="BT789" s="1" t="s">
        <v>902</v>
      </c>
      <c r="BX789" s="36"/>
    </row>
    <row r="790" spans="2:76" ht="14.25">
      <c r="B790" s="36"/>
      <c r="C790" s="36"/>
      <c r="D790" s="36"/>
      <c r="E790" s="36"/>
      <c r="F790" s="36"/>
      <c r="G790" s="36"/>
      <c r="H790" s="36"/>
      <c r="J790" s="36"/>
      <c r="L790" s="1" t="str">
        <f t="shared" si="102"/>
        <v/>
      </c>
      <c r="M790" s="94">
        <v>785</v>
      </c>
      <c r="N790" s="36" t="s">
        <v>2445</v>
      </c>
      <c r="O790" s="95">
        <v>310492</v>
      </c>
      <c r="P790" s="36"/>
      <c r="AI790" s="122">
        <v>478</v>
      </c>
      <c r="AJ790" s="1" t="s">
        <v>2133</v>
      </c>
      <c r="AK790" s="1">
        <v>310185</v>
      </c>
      <c r="AL790" s="1" t="s">
        <v>930</v>
      </c>
      <c r="AN790" s="270">
        <v>884</v>
      </c>
      <c r="AQ790" s="1">
        <v>642</v>
      </c>
      <c r="AR790" s="1" t="s">
        <v>678</v>
      </c>
      <c r="AS790" s="1">
        <v>210527</v>
      </c>
      <c r="AT790" s="1" t="s">
        <v>115</v>
      </c>
      <c r="AV790" s="241">
        <v>136</v>
      </c>
      <c r="BM790" s="138">
        <f t="shared" si="100"/>
        <v>0</v>
      </c>
      <c r="BN790" s="42">
        <f t="shared" si="101"/>
        <v>0</v>
      </c>
      <c r="BS790" s="1">
        <v>10417</v>
      </c>
      <c r="BT790" s="1" t="s">
        <v>902</v>
      </c>
      <c r="BX790" s="36"/>
    </row>
    <row r="791" spans="2:76" ht="14.25">
      <c r="B791" s="36"/>
      <c r="C791" s="36"/>
      <c r="D791" s="36"/>
      <c r="E791" s="36"/>
      <c r="F791" s="36"/>
      <c r="G791" s="36"/>
      <c r="H791" s="36"/>
      <c r="J791" s="36"/>
      <c r="L791" s="1" t="str">
        <f t="shared" si="102"/>
        <v/>
      </c>
      <c r="M791" s="94">
        <v>786</v>
      </c>
      <c r="N791" s="36" t="s">
        <v>2446</v>
      </c>
      <c r="O791" s="95">
        <v>310493</v>
      </c>
      <c r="P791" s="36"/>
      <c r="AI791" s="122">
        <v>479</v>
      </c>
      <c r="AJ791" s="1" t="s">
        <v>2134</v>
      </c>
      <c r="AK791" s="1">
        <v>310186</v>
      </c>
      <c r="AL791" s="1" t="s">
        <v>115</v>
      </c>
      <c r="AN791" s="270">
        <v>885</v>
      </c>
      <c r="AQ791" s="1">
        <v>643</v>
      </c>
      <c r="AR791" s="1" t="s">
        <v>679</v>
      </c>
      <c r="AS791" s="1">
        <v>210536</v>
      </c>
      <c r="AT791" s="1" t="s">
        <v>116</v>
      </c>
      <c r="AV791" s="241">
        <v>137</v>
      </c>
      <c r="BM791" s="138">
        <f t="shared" si="100"/>
        <v>0</v>
      </c>
      <c r="BN791" s="42">
        <f t="shared" si="101"/>
        <v>0</v>
      </c>
      <c r="BS791" s="1">
        <v>10418</v>
      </c>
      <c r="BT791" s="1" t="s">
        <v>902</v>
      </c>
      <c r="BX791" s="36"/>
    </row>
    <row r="792" spans="2:76" ht="14.25">
      <c r="B792" s="36"/>
      <c r="C792" s="36"/>
      <c r="D792" s="36"/>
      <c r="E792" s="36"/>
      <c r="F792" s="36"/>
      <c r="G792" s="36"/>
      <c r="H792" s="36"/>
      <c r="J792" s="36"/>
      <c r="L792" s="1" t="str">
        <f t="shared" si="102"/>
        <v/>
      </c>
      <c r="M792" s="94">
        <v>787</v>
      </c>
      <c r="N792" s="36" t="s">
        <v>2447</v>
      </c>
      <c r="O792" s="95">
        <v>310494</v>
      </c>
      <c r="P792" s="36"/>
      <c r="AI792" s="122">
        <v>480</v>
      </c>
      <c r="AJ792" s="1" t="s">
        <v>2128</v>
      </c>
      <c r="AK792" s="1">
        <v>310180</v>
      </c>
      <c r="AL792" s="1" t="s">
        <v>930</v>
      </c>
      <c r="AN792" s="270">
        <v>886</v>
      </c>
      <c r="AQ792" s="1">
        <v>644</v>
      </c>
      <c r="AR792" s="1" t="s">
        <v>680</v>
      </c>
      <c r="AS792" s="1">
        <v>210537</v>
      </c>
      <c r="AT792" s="1" t="s">
        <v>115</v>
      </c>
      <c r="AV792" s="241">
        <v>138</v>
      </c>
      <c r="BM792" s="138">
        <f t="shared" si="100"/>
        <v>0</v>
      </c>
      <c r="BN792" s="42">
        <f t="shared" si="101"/>
        <v>0</v>
      </c>
      <c r="BS792" s="1">
        <v>10419</v>
      </c>
      <c r="BT792" s="1" t="s">
        <v>902</v>
      </c>
      <c r="BX792" s="36"/>
    </row>
    <row r="793" spans="2:76" ht="14.25">
      <c r="B793" s="36"/>
      <c r="C793" s="36"/>
      <c r="D793" s="36"/>
      <c r="E793" s="36"/>
      <c r="F793" s="36"/>
      <c r="G793" s="36"/>
      <c r="H793" s="36"/>
      <c r="J793" s="36"/>
      <c r="L793" s="1" t="str">
        <f t="shared" si="102"/>
        <v/>
      </c>
      <c r="M793" s="94">
        <v>788</v>
      </c>
      <c r="N793" s="36" t="s">
        <v>2448</v>
      </c>
      <c r="O793" s="95">
        <v>310495</v>
      </c>
      <c r="P793" s="36"/>
      <c r="AI793" s="122">
        <v>481</v>
      </c>
      <c r="AJ793" s="1" t="s">
        <v>2136</v>
      </c>
      <c r="AK793" s="1">
        <v>310188</v>
      </c>
      <c r="AL793" s="1" t="s">
        <v>115</v>
      </c>
      <c r="AN793" s="270">
        <v>887</v>
      </c>
      <c r="AQ793" s="1">
        <v>645</v>
      </c>
      <c r="AR793" s="1" t="s">
        <v>681</v>
      </c>
      <c r="AS793" s="1">
        <v>210538</v>
      </c>
      <c r="AT793" s="1" t="s">
        <v>116</v>
      </c>
      <c r="AV793" s="241">
        <v>139</v>
      </c>
      <c r="BM793" s="138">
        <f t="shared" si="100"/>
        <v>0</v>
      </c>
      <c r="BN793" s="42">
        <f t="shared" si="101"/>
        <v>0</v>
      </c>
      <c r="BS793" s="1">
        <v>10420</v>
      </c>
      <c r="BT793" s="1" t="s">
        <v>902</v>
      </c>
      <c r="BX793" s="36"/>
    </row>
    <row r="794" spans="2:76" ht="14.25">
      <c r="B794" s="36"/>
      <c r="C794" s="36"/>
      <c r="D794" s="36"/>
      <c r="E794" s="36"/>
      <c r="F794" s="36"/>
      <c r="G794" s="36"/>
      <c r="H794" s="36"/>
      <c r="J794" s="36"/>
      <c r="L794" s="1" t="str">
        <f t="shared" si="102"/>
        <v/>
      </c>
      <c r="M794" s="94">
        <v>789</v>
      </c>
      <c r="N794" s="36" t="s">
        <v>2449</v>
      </c>
      <c r="O794" s="95">
        <v>310496</v>
      </c>
      <c r="P794" s="36"/>
      <c r="AI794" s="122">
        <v>482</v>
      </c>
      <c r="AJ794" s="1" t="s">
        <v>2137</v>
      </c>
      <c r="AK794" s="1">
        <v>310189</v>
      </c>
      <c r="AL794" s="1" t="s">
        <v>930</v>
      </c>
      <c r="AN794" s="270">
        <v>888</v>
      </c>
      <c r="AQ794" s="1">
        <v>646</v>
      </c>
      <c r="AR794" s="1" t="s">
        <v>682</v>
      </c>
      <c r="AS794" s="1">
        <v>210539</v>
      </c>
      <c r="AT794" s="1" t="s">
        <v>115</v>
      </c>
      <c r="AV794" s="241">
        <v>140</v>
      </c>
      <c r="BM794" s="138">
        <f t="shared" si="100"/>
        <v>0</v>
      </c>
      <c r="BN794" s="42">
        <f t="shared" si="101"/>
        <v>0</v>
      </c>
      <c r="BS794" s="1">
        <v>10421</v>
      </c>
      <c r="BT794" s="1" t="s">
        <v>902</v>
      </c>
      <c r="BX794" s="36"/>
    </row>
    <row r="795" spans="2:76" ht="14.25">
      <c r="B795" s="36"/>
      <c r="C795" s="36"/>
      <c r="D795" s="36"/>
      <c r="E795" s="36"/>
      <c r="F795" s="36"/>
      <c r="G795" s="36"/>
      <c r="H795" s="36"/>
      <c r="J795" s="36"/>
      <c r="L795" s="1" t="str">
        <f t="shared" si="102"/>
        <v/>
      </c>
      <c r="M795" s="94">
        <v>790</v>
      </c>
      <c r="N795" s="36" t="s">
        <v>2450</v>
      </c>
      <c r="O795" s="95">
        <v>310497</v>
      </c>
      <c r="P795" s="36"/>
      <c r="AI795" s="122">
        <v>483</v>
      </c>
      <c r="AJ795" s="1" t="s">
        <v>2138</v>
      </c>
      <c r="AK795" s="1">
        <v>310190</v>
      </c>
      <c r="AL795" s="1" t="s">
        <v>115</v>
      </c>
      <c r="AN795" s="270">
        <v>889</v>
      </c>
      <c r="AQ795" s="1">
        <v>647</v>
      </c>
      <c r="AR795" s="1" t="s">
        <v>683</v>
      </c>
      <c r="AS795" s="1">
        <v>210540</v>
      </c>
      <c r="AT795" s="1" t="s">
        <v>115</v>
      </c>
      <c r="AV795" s="241">
        <v>141</v>
      </c>
      <c r="BM795" s="138">
        <f t="shared" si="100"/>
        <v>0</v>
      </c>
      <c r="BN795" s="42">
        <f t="shared" si="101"/>
        <v>0</v>
      </c>
      <c r="BS795" s="1">
        <v>10422</v>
      </c>
      <c r="BT795" s="1" t="s">
        <v>902</v>
      </c>
      <c r="BX795" s="36"/>
    </row>
    <row r="796" spans="2:76" ht="14.25">
      <c r="B796" s="36"/>
      <c r="C796" s="36"/>
      <c r="D796" s="36"/>
      <c r="E796" s="36"/>
      <c r="F796" s="36"/>
      <c r="G796" s="36"/>
      <c r="H796" s="36"/>
      <c r="J796" s="36"/>
      <c r="L796" s="1" t="str">
        <f t="shared" si="102"/>
        <v/>
      </c>
      <c r="M796" s="94">
        <v>791</v>
      </c>
      <c r="N796" s="36" t="s">
        <v>2451</v>
      </c>
      <c r="O796" s="95">
        <v>310498</v>
      </c>
      <c r="P796" s="36"/>
      <c r="AI796" s="122">
        <v>484</v>
      </c>
      <c r="AJ796" s="1" t="s">
        <v>2139</v>
      </c>
      <c r="AK796" s="1">
        <v>310191</v>
      </c>
      <c r="AL796" s="1" t="s">
        <v>930</v>
      </c>
      <c r="AN796" s="270">
        <v>890</v>
      </c>
      <c r="AQ796" s="1">
        <v>648</v>
      </c>
      <c r="AR796" s="1" t="s">
        <v>684</v>
      </c>
      <c r="AS796" s="1">
        <v>210541</v>
      </c>
      <c r="AT796" s="1" t="s">
        <v>116</v>
      </c>
      <c r="AV796" s="241">
        <v>142</v>
      </c>
      <c r="BM796" s="138">
        <f t="shared" si="100"/>
        <v>0</v>
      </c>
      <c r="BN796" s="42">
        <f t="shared" si="101"/>
        <v>0</v>
      </c>
      <c r="BS796" s="1">
        <v>10423</v>
      </c>
      <c r="BT796" s="1" t="s">
        <v>902</v>
      </c>
      <c r="BX796" s="36"/>
    </row>
    <row r="797" spans="2:76" ht="14.25">
      <c r="B797" s="36"/>
      <c r="C797" s="36"/>
      <c r="D797" s="36"/>
      <c r="E797" s="36"/>
      <c r="F797" s="36"/>
      <c r="G797" s="36"/>
      <c r="H797" s="36"/>
      <c r="J797" s="36"/>
      <c r="L797" s="1" t="str">
        <f t="shared" si="102"/>
        <v/>
      </c>
      <c r="M797" s="94">
        <v>792</v>
      </c>
      <c r="N797" s="36" t="s">
        <v>2452</v>
      </c>
      <c r="O797" s="95">
        <v>310499</v>
      </c>
      <c r="P797" s="36"/>
      <c r="AI797" s="122">
        <v>485</v>
      </c>
      <c r="AJ797" s="1" t="s">
        <v>2140</v>
      </c>
      <c r="AK797" s="1">
        <v>310192</v>
      </c>
      <c r="AL797" s="1" t="s">
        <v>930</v>
      </c>
      <c r="AN797" s="270">
        <v>891</v>
      </c>
      <c r="AQ797" s="1">
        <v>649</v>
      </c>
      <c r="AR797" s="1" t="s">
        <v>685</v>
      </c>
      <c r="AS797" s="1">
        <v>210542</v>
      </c>
      <c r="AT797" s="1" t="s">
        <v>115</v>
      </c>
      <c r="AV797" s="241">
        <v>143</v>
      </c>
      <c r="BM797" s="138">
        <f t="shared" si="100"/>
        <v>0</v>
      </c>
      <c r="BN797" s="42">
        <f t="shared" si="101"/>
        <v>0</v>
      </c>
      <c r="BS797" s="1">
        <v>10424</v>
      </c>
      <c r="BT797" s="1" t="s">
        <v>902</v>
      </c>
      <c r="BX797" s="36"/>
    </row>
    <row r="798" spans="2:76" ht="14.25">
      <c r="B798" s="36"/>
      <c r="C798" s="36"/>
      <c r="D798" s="36"/>
      <c r="E798" s="36"/>
      <c r="F798" s="36"/>
      <c r="G798" s="36"/>
      <c r="H798" s="36"/>
      <c r="J798" s="36"/>
      <c r="L798" s="1" t="str">
        <f t="shared" si="102"/>
        <v/>
      </c>
      <c r="M798" s="94">
        <v>793</v>
      </c>
      <c r="N798" s="36" t="s">
        <v>2453</v>
      </c>
      <c r="O798" s="95">
        <v>310500</v>
      </c>
      <c r="P798" s="36"/>
      <c r="AI798" s="122">
        <v>486</v>
      </c>
      <c r="AJ798" s="1" t="s">
        <v>2141</v>
      </c>
      <c r="AK798" s="1">
        <v>310193</v>
      </c>
      <c r="AL798" s="1" t="s">
        <v>115</v>
      </c>
      <c r="AN798" s="270">
        <v>892</v>
      </c>
      <c r="AQ798" s="1">
        <v>650</v>
      </c>
      <c r="AR798" s="1" t="s">
        <v>686</v>
      </c>
      <c r="AS798" s="1">
        <v>210543</v>
      </c>
      <c r="AT798" s="1" t="s">
        <v>116</v>
      </c>
      <c r="AV798" s="241">
        <v>144</v>
      </c>
      <c r="BM798" s="138">
        <f t="shared" si="100"/>
        <v>0</v>
      </c>
      <c r="BN798" s="42">
        <f t="shared" si="101"/>
        <v>0</v>
      </c>
      <c r="BS798" s="1">
        <v>10425</v>
      </c>
      <c r="BT798" s="1" t="s">
        <v>902</v>
      </c>
      <c r="BX798" s="36"/>
    </row>
    <row r="799" spans="2:76" ht="14.25">
      <c r="B799" s="36"/>
      <c r="C799" s="36"/>
      <c r="D799" s="36"/>
      <c r="E799" s="36"/>
      <c r="F799" s="36"/>
      <c r="G799" s="36"/>
      <c r="H799" s="36"/>
      <c r="J799" s="36"/>
      <c r="L799" s="1" t="str">
        <f t="shared" si="102"/>
        <v/>
      </c>
      <c r="M799" s="94">
        <v>794</v>
      </c>
      <c r="N799" s="36" t="s">
        <v>2454</v>
      </c>
      <c r="O799" s="95">
        <v>310501</v>
      </c>
      <c r="P799" s="36"/>
      <c r="AI799" s="122">
        <v>487</v>
      </c>
      <c r="AJ799" s="1" t="s">
        <v>2142</v>
      </c>
      <c r="AK799" s="1">
        <v>310194</v>
      </c>
      <c r="AL799" s="1" t="s">
        <v>930</v>
      </c>
      <c r="AN799" s="270">
        <v>893</v>
      </c>
      <c r="AQ799" s="1">
        <v>651</v>
      </c>
      <c r="AR799" s="1" t="s">
        <v>687</v>
      </c>
      <c r="AS799" s="1">
        <v>210544</v>
      </c>
      <c r="AT799" s="1" t="s">
        <v>115</v>
      </c>
      <c r="AV799" s="241">
        <v>145</v>
      </c>
      <c r="BM799" s="138">
        <f t="shared" si="100"/>
        <v>0</v>
      </c>
      <c r="BN799" s="42">
        <f t="shared" si="101"/>
        <v>0</v>
      </c>
      <c r="BS799" s="1">
        <v>10426</v>
      </c>
      <c r="BT799" s="1" t="s">
        <v>902</v>
      </c>
      <c r="BX799" s="36"/>
    </row>
    <row r="800" spans="2:76" ht="14.25">
      <c r="B800" s="36"/>
      <c r="C800" s="36"/>
      <c r="D800" s="36"/>
      <c r="E800" s="36"/>
      <c r="F800" s="36"/>
      <c r="G800" s="36"/>
      <c r="H800" s="36"/>
      <c r="J800" s="36"/>
      <c r="L800" s="1" t="str">
        <f t="shared" si="102"/>
        <v/>
      </c>
      <c r="M800" s="94">
        <v>795</v>
      </c>
      <c r="N800" s="36" t="s">
        <v>2455</v>
      </c>
      <c r="O800" s="95">
        <v>310502</v>
      </c>
      <c r="P800" s="36"/>
      <c r="AI800" s="122">
        <v>488</v>
      </c>
      <c r="AJ800" s="1" t="s">
        <v>2143</v>
      </c>
      <c r="AK800" s="1">
        <v>310195</v>
      </c>
      <c r="AL800" s="1" t="s">
        <v>115</v>
      </c>
      <c r="AN800" s="270">
        <v>894</v>
      </c>
      <c r="AQ800" s="1">
        <v>652</v>
      </c>
      <c r="AR800" s="1" t="s">
        <v>688</v>
      </c>
      <c r="AS800" s="1">
        <v>210545</v>
      </c>
      <c r="AT800" s="1" t="s">
        <v>115</v>
      </c>
      <c r="AV800" s="241">
        <v>146</v>
      </c>
      <c r="BM800" s="138">
        <f t="shared" si="100"/>
        <v>0</v>
      </c>
      <c r="BN800" s="42">
        <f t="shared" si="101"/>
        <v>0</v>
      </c>
      <c r="BS800" s="1">
        <v>10427</v>
      </c>
      <c r="BT800" s="1" t="s">
        <v>902</v>
      </c>
      <c r="BX800" s="36"/>
    </row>
    <row r="801" spans="2:76" ht="14.25">
      <c r="B801" s="36"/>
      <c r="C801" s="36"/>
      <c r="D801" s="36"/>
      <c r="E801" s="36"/>
      <c r="F801" s="36"/>
      <c r="G801" s="36"/>
      <c r="H801" s="36"/>
      <c r="J801" s="36"/>
      <c r="L801" s="1" t="str">
        <f t="shared" si="102"/>
        <v/>
      </c>
      <c r="M801" s="94">
        <v>796</v>
      </c>
      <c r="N801" s="36" t="s">
        <v>2456</v>
      </c>
      <c r="O801" s="95">
        <v>310503</v>
      </c>
      <c r="P801" s="36"/>
      <c r="AI801" s="122">
        <v>489</v>
      </c>
      <c r="AJ801" s="1" t="s">
        <v>2144</v>
      </c>
      <c r="AK801" s="1">
        <v>310196</v>
      </c>
      <c r="AL801" s="1" t="s">
        <v>930</v>
      </c>
      <c r="AN801" s="270">
        <v>895</v>
      </c>
      <c r="AQ801" s="1">
        <v>653</v>
      </c>
      <c r="AR801" s="1" t="s">
        <v>689</v>
      </c>
      <c r="AS801" s="1">
        <v>210546</v>
      </c>
      <c r="AT801" s="1" t="s">
        <v>116</v>
      </c>
      <c r="AV801" s="241">
        <v>147</v>
      </c>
      <c r="BM801" s="138">
        <f t="shared" si="100"/>
        <v>0</v>
      </c>
      <c r="BN801" s="42">
        <f t="shared" si="101"/>
        <v>0</v>
      </c>
      <c r="BS801" s="1">
        <v>10428</v>
      </c>
      <c r="BT801" s="1" t="s">
        <v>902</v>
      </c>
      <c r="BX801" s="36"/>
    </row>
    <row r="802" spans="2:76" ht="14.25">
      <c r="B802" s="36"/>
      <c r="C802" s="36"/>
      <c r="D802" s="36"/>
      <c r="E802" s="36"/>
      <c r="F802" s="36"/>
      <c r="G802" s="36"/>
      <c r="H802" s="36"/>
      <c r="J802" s="36"/>
      <c r="L802" s="1" t="str">
        <f t="shared" si="102"/>
        <v/>
      </c>
      <c r="M802" s="94">
        <v>797</v>
      </c>
      <c r="N802" s="36" t="s">
        <v>2457</v>
      </c>
      <c r="O802" s="95">
        <v>310504</v>
      </c>
      <c r="P802" s="36"/>
      <c r="AI802" s="122">
        <v>490</v>
      </c>
      <c r="AJ802" s="1" t="s">
        <v>2145</v>
      </c>
      <c r="AK802" s="1">
        <v>310197</v>
      </c>
      <c r="AL802" s="1" t="s">
        <v>115</v>
      </c>
      <c r="AN802" s="270">
        <v>896</v>
      </c>
      <c r="AQ802" s="1">
        <v>654</v>
      </c>
      <c r="AR802" s="1" t="s">
        <v>690</v>
      </c>
      <c r="AS802" s="1">
        <v>210547</v>
      </c>
      <c r="AT802" s="1" t="s">
        <v>115</v>
      </c>
      <c r="AV802" s="241">
        <v>148</v>
      </c>
      <c r="BM802" s="138">
        <f t="shared" si="100"/>
        <v>0</v>
      </c>
      <c r="BN802" s="42">
        <f t="shared" si="101"/>
        <v>0</v>
      </c>
      <c r="BS802" s="1">
        <v>10429</v>
      </c>
      <c r="BT802" s="1" t="s">
        <v>902</v>
      </c>
      <c r="BX802" s="36"/>
    </row>
    <row r="803" spans="2:76" ht="14.25">
      <c r="B803" s="36"/>
      <c r="C803" s="36"/>
      <c r="D803" s="36"/>
      <c r="E803" s="36"/>
      <c r="F803" s="36"/>
      <c r="G803" s="36"/>
      <c r="H803" s="36"/>
      <c r="J803" s="36"/>
      <c r="L803" s="1" t="str">
        <f t="shared" si="102"/>
        <v/>
      </c>
      <c r="M803" s="94">
        <v>798</v>
      </c>
      <c r="N803" s="36" t="s">
        <v>2458</v>
      </c>
      <c r="O803" s="95">
        <v>310505</v>
      </c>
      <c r="P803" s="36"/>
      <c r="AI803" s="122">
        <v>491</v>
      </c>
      <c r="AJ803" s="1" t="s">
        <v>2146</v>
      </c>
      <c r="AK803" s="1">
        <v>310198</v>
      </c>
      <c r="AL803" s="1" t="s">
        <v>930</v>
      </c>
      <c r="AN803" s="270">
        <v>897</v>
      </c>
      <c r="AQ803" s="1">
        <v>655</v>
      </c>
      <c r="AR803" s="1" t="s">
        <v>691</v>
      </c>
      <c r="AS803" s="1">
        <v>210550</v>
      </c>
      <c r="AT803" s="1" t="s">
        <v>116</v>
      </c>
      <c r="AV803" s="241">
        <v>149</v>
      </c>
      <c r="BM803" s="138">
        <f t="shared" si="100"/>
        <v>0</v>
      </c>
      <c r="BN803" s="42">
        <f t="shared" si="101"/>
        <v>0</v>
      </c>
      <c r="BS803" s="1">
        <v>10430</v>
      </c>
      <c r="BT803" s="1" t="s">
        <v>902</v>
      </c>
      <c r="BX803" s="36"/>
    </row>
    <row r="804" spans="2:76" ht="14.25">
      <c r="B804" s="36"/>
      <c r="C804" s="36"/>
      <c r="D804" s="36"/>
      <c r="E804" s="36"/>
      <c r="F804" s="36"/>
      <c r="G804" s="36"/>
      <c r="H804" s="36"/>
      <c r="J804" s="36"/>
      <c r="L804" s="1" t="str">
        <f t="shared" si="102"/>
        <v/>
      </c>
      <c r="M804" s="94">
        <v>799</v>
      </c>
      <c r="N804" s="36" t="s">
        <v>2459</v>
      </c>
      <c r="O804" s="95">
        <v>310506</v>
      </c>
      <c r="P804" s="36"/>
      <c r="AI804" s="122">
        <v>492</v>
      </c>
      <c r="AJ804" s="1" t="s">
        <v>2148</v>
      </c>
      <c r="AK804" s="1">
        <v>310199</v>
      </c>
      <c r="AL804" s="1" t="s">
        <v>930</v>
      </c>
      <c r="AN804" s="270">
        <v>898</v>
      </c>
      <c r="AQ804" s="1">
        <v>656</v>
      </c>
      <c r="AR804" s="1" t="s">
        <v>692</v>
      </c>
      <c r="AS804" s="1">
        <v>210551</v>
      </c>
      <c r="AT804" s="1" t="s">
        <v>115</v>
      </c>
      <c r="AV804" s="241">
        <v>150</v>
      </c>
      <c r="BM804" s="138">
        <f t="shared" si="100"/>
        <v>0</v>
      </c>
      <c r="BN804" s="42">
        <f t="shared" si="101"/>
        <v>0</v>
      </c>
      <c r="BS804" s="1">
        <v>10431</v>
      </c>
      <c r="BT804" s="1" t="s">
        <v>902</v>
      </c>
      <c r="BX804" s="36"/>
    </row>
    <row r="805" spans="2:76" ht="14.25">
      <c r="B805" s="36"/>
      <c r="C805" s="36"/>
      <c r="D805" s="36"/>
      <c r="E805" s="36"/>
      <c r="F805" s="36"/>
      <c r="G805" s="36"/>
      <c r="H805" s="36"/>
      <c r="J805" s="36"/>
      <c r="L805" s="1" t="str">
        <f t="shared" si="102"/>
        <v/>
      </c>
      <c r="M805" s="94">
        <v>800</v>
      </c>
      <c r="N805" s="36" t="s">
        <v>2460</v>
      </c>
      <c r="O805" s="95">
        <v>310507</v>
      </c>
      <c r="P805" s="36"/>
      <c r="AI805" s="122">
        <v>493</v>
      </c>
      <c r="AJ805" s="1" t="s">
        <v>2149</v>
      </c>
      <c r="AK805" s="1">
        <v>310200</v>
      </c>
      <c r="AL805" s="1" t="s">
        <v>115</v>
      </c>
      <c r="AN805" s="270">
        <v>899</v>
      </c>
      <c r="AQ805" s="1">
        <v>657</v>
      </c>
      <c r="AR805" s="1" t="s">
        <v>693</v>
      </c>
      <c r="AS805" s="1">
        <v>210552</v>
      </c>
      <c r="AT805" s="1" t="s">
        <v>115</v>
      </c>
      <c r="AV805" s="241">
        <v>151</v>
      </c>
      <c r="BM805" s="138">
        <f t="shared" si="100"/>
        <v>0</v>
      </c>
      <c r="BN805" s="42">
        <f t="shared" si="101"/>
        <v>0</v>
      </c>
      <c r="BS805" s="1">
        <v>10432</v>
      </c>
      <c r="BT805" s="1" t="s">
        <v>902</v>
      </c>
      <c r="BX805" s="36"/>
    </row>
    <row r="806" spans="2:76" ht="14.25">
      <c r="B806" s="36"/>
      <c r="C806" s="36"/>
      <c r="D806" s="36"/>
      <c r="E806" s="36"/>
      <c r="F806" s="36"/>
      <c r="G806" s="36"/>
      <c r="H806" s="36"/>
      <c r="J806" s="36"/>
      <c r="L806" s="1" t="str">
        <f t="shared" si="102"/>
        <v/>
      </c>
      <c r="M806" s="94">
        <v>801</v>
      </c>
      <c r="N806" s="36" t="s">
        <v>2461</v>
      </c>
      <c r="O806" s="95">
        <v>310508</v>
      </c>
      <c r="P806" s="36"/>
      <c r="AI806" s="122">
        <v>494</v>
      </c>
      <c r="AJ806" s="1" t="s">
        <v>2150</v>
      </c>
      <c r="AK806" s="1">
        <v>310201</v>
      </c>
      <c r="AL806" s="1" t="s">
        <v>930</v>
      </c>
      <c r="AN806" s="270">
        <v>900</v>
      </c>
      <c r="AQ806" s="1">
        <v>658</v>
      </c>
      <c r="AR806" s="1" t="s">
        <v>694</v>
      </c>
      <c r="AS806" s="1">
        <v>210553</v>
      </c>
      <c r="AT806" s="1" t="s">
        <v>116</v>
      </c>
      <c r="AV806" s="241">
        <v>152</v>
      </c>
      <c r="BM806" s="138">
        <f t="shared" si="100"/>
        <v>0</v>
      </c>
      <c r="BN806" s="42">
        <f t="shared" si="101"/>
        <v>0</v>
      </c>
      <c r="BS806" s="1">
        <v>10433</v>
      </c>
      <c r="BT806" s="1" t="s">
        <v>902</v>
      </c>
      <c r="BX806" s="36"/>
    </row>
    <row r="807" spans="2:76" ht="14.25">
      <c r="B807" s="36"/>
      <c r="C807" s="36"/>
      <c r="D807" s="36"/>
      <c r="E807" s="36"/>
      <c r="F807" s="36"/>
      <c r="G807" s="36"/>
      <c r="H807" s="36"/>
      <c r="J807" s="36"/>
      <c r="L807" s="1" t="str">
        <f t="shared" si="102"/>
        <v/>
      </c>
      <c r="M807" s="94">
        <v>802</v>
      </c>
      <c r="N807" s="36" t="s">
        <v>2462</v>
      </c>
      <c r="O807" s="95">
        <v>310509</v>
      </c>
      <c r="P807" s="36"/>
      <c r="AI807" s="122">
        <v>495</v>
      </c>
      <c r="AJ807" s="1" t="s">
        <v>2151</v>
      </c>
      <c r="AK807" s="1">
        <v>310202</v>
      </c>
      <c r="AL807" s="1" t="s">
        <v>115</v>
      </c>
      <c r="AN807" s="270">
        <v>901</v>
      </c>
      <c r="AQ807" s="1">
        <v>659</v>
      </c>
      <c r="AR807" s="1" t="s">
        <v>695</v>
      </c>
      <c r="AS807" s="1">
        <v>210554</v>
      </c>
      <c r="AT807" s="1" t="s">
        <v>115</v>
      </c>
      <c r="AV807" s="241">
        <v>153</v>
      </c>
      <c r="BM807" s="138">
        <f t="shared" si="100"/>
        <v>0</v>
      </c>
      <c r="BN807" s="42">
        <f t="shared" si="101"/>
        <v>0</v>
      </c>
      <c r="BS807" s="1">
        <v>10434</v>
      </c>
      <c r="BT807" s="1" t="s">
        <v>902</v>
      </c>
      <c r="BX807" s="36"/>
    </row>
    <row r="808" spans="2:76" ht="14.25">
      <c r="B808" s="36"/>
      <c r="C808" s="36"/>
      <c r="D808" s="36"/>
      <c r="E808" s="36"/>
      <c r="F808" s="36"/>
      <c r="G808" s="36"/>
      <c r="H808" s="36"/>
      <c r="J808" s="36"/>
      <c r="L808" s="1" t="str">
        <f t="shared" si="102"/>
        <v/>
      </c>
      <c r="M808" s="94">
        <v>803</v>
      </c>
      <c r="N808" s="36" t="s">
        <v>2463</v>
      </c>
      <c r="O808" s="95">
        <v>310510</v>
      </c>
      <c r="P808" s="36"/>
      <c r="AI808" s="122">
        <v>496</v>
      </c>
      <c r="AJ808" s="1" t="s">
        <v>2152</v>
      </c>
      <c r="AK808" s="1">
        <v>310203</v>
      </c>
      <c r="AL808" s="1" t="s">
        <v>930</v>
      </c>
      <c r="AN808" s="270">
        <v>902</v>
      </c>
      <c r="AQ808" s="1">
        <v>660</v>
      </c>
      <c r="AR808" s="1" t="s">
        <v>696</v>
      </c>
      <c r="AS808" s="1">
        <v>210555</v>
      </c>
      <c r="AT808" s="1" t="s">
        <v>116</v>
      </c>
      <c r="AV808" s="241">
        <v>154</v>
      </c>
      <c r="BM808" s="138">
        <f t="shared" si="100"/>
        <v>0</v>
      </c>
      <c r="BN808" s="42">
        <f t="shared" si="101"/>
        <v>0</v>
      </c>
      <c r="BS808" s="1">
        <v>10435</v>
      </c>
      <c r="BT808" s="1" t="s">
        <v>2428</v>
      </c>
      <c r="BX808" s="36"/>
    </row>
    <row r="809" spans="2:76" ht="14.25">
      <c r="B809" s="36"/>
      <c r="C809" s="36"/>
      <c r="D809" s="36"/>
      <c r="E809" s="36"/>
      <c r="F809" s="36"/>
      <c r="G809" s="36"/>
      <c r="H809" s="36"/>
      <c r="J809" s="36"/>
      <c r="L809" s="1" t="str">
        <f t="shared" si="102"/>
        <v/>
      </c>
      <c r="M809" s="94">
        <v>804</v>
      </c>
      <c r="N809" s="36" t="s">
        <v>2464</v>
      </c>
      <c r="O809" s="95">
        <v>310511</v>
      </c>
      <c r="P809" s="36"/>
      <c r="AI809" s="122">
        <v>497</v>
      </c>
      <c r="AJ809" s="1" t="s">
        <v>2153</v>
      </c>
      <c r="AK809" s="1">
        <v>310204</v>
      </c>
      <c r="AL809" s="1" t="s">
        <v>115</v>
      </c>
      <c r="AN809" s="270">
        <v>903</v>
      </c>
      <c r="AQ809" s="1">
        <v>661</v>
      </c>
      <c r="AR809" s="1" t="s">
        <v>697</v>
      </c>
      <c r="AS809" s="1">
        <v>210556</v>
      </c>
      <c r="AT809" s="1" t="s">
        <v>115</v>
      </c>
      <c r="AV809" s="241">
        <v>155</v>
      </c>
      <c r="BM809" s="138">
        <f t="shared" si="100"/>
        <v>0</v>
      </c>
      <c r="BN809" s="42">
        <f t="shared" si="101"/>
        <v>0</v>
      </c>
      <c r="BS809" s="1">
        <v>10436</v>
      </c>
      <c r="BT809" s="1" t="s">
        <v>902</v>
      </c>
      <c r="BX809" s="36"/>
    </row>
    <row r="810" spans="2:76" ht="14.25">
      <c r="B810" s="36"/>
      <c r="C810" s="36"/>
      <c r="D810" s="36"/>
      <c r="E810" s="36"/>
      <c r="F810" s="36"/>
      <c r="G810" s="36"/>
      <c r="H810" s="36"/>
      <c r="J810" s="36"/>
      <c r="L810" s="1" t="str">
        <f t="shared" si="102"/>
        <v/>
      </c>
      <c r="M810" s="94">
        <v>805</v>
      </c>
      <c r="N810" s="36" t="s">
        <v>2465</v>
      </c>
      <c r="O810" s="95">
        <v>310512</v>
      </c>
      <c r="P810" s="36"/>
      <c r="AI810" s="122">
        <v>498</v>
      </c>
      <c r="AJ810" s="1" t="s">
        <v>2154</v>
      </c>
      <c r="AK810" s="1">
        <v>310205</v>
      </c>
      <c r="AL810" s="1" t="s">
        <v>930</v>
      </c>
      <c r="AN810" s="270">
        <v>904</v>
      </c>
      <c r="AQ810" s="1">
        <v>662</v>
      </c>
      <c r="AR810" s="1" t="s">
        <v>698</v>
      </c>
      <c r="AS810" s="1">
        <v>210557</v>
      </c>
      <c r="AT810" s="1" t="s">
        <v>115</v>
      </c>
      <c r="AV810" s="241">
        <v>156</v>
      </c>
      <c r="BM810" s="138">
        <f t="shared" si="100"/>
        <v>0</v>
      </c>
      <c r="BN810" s="42">
        <f t="shared" si="101"/>
        <v>0</v>
      </c>
      <c r="BS810" s="1">
        <v>10437</v>
      </c>
      <c r="BT810" s="1" t="s">
        <v>902</v>
      </c>
      <c r="BX810" s="36"/>
    </row>
    <row r="811" spans="2:76" ht="14.25">
      <c r="B811" s="36"/>
      <c r="C811" s="36"/>
      <c r="D811" s="36"/>
      <c r="E811" s="36"/>
      <c r="F811" s="36"/>
      <c r="G811" s="36"/>
      <c r="H811" s="36"/>
      <c r="J811" s="36"/>
      <c r="L811" s="1" t="str">
        <f t="shared" si="102"/>
        <v/>
      </c>
      <c r="M811" s="94">
        <v>806</v>
      </c>
      <c r="N811" s="36" t="s">
        <v>2466</v>
      </c>
      <c r="O811" s="95">
        <v>310513</v>
      </c>
      <c r="P811" s="36"/>
      <c r="AI811" s="122">
        <v>499</v>
      </c>
      <c r="AJ811" s="1" t="s">
        <v>2155</v>
      </c>
      <c r="AK811" s="1">
        <v>310206</v>
      </c>
      <c r="AL811" s="1" t="s">
        <v>930</v>
      </c>
      <c r="AN811" s="270">
        <v>905</v>
      </c>
      <c r="AQ811" s="1">
        <v>663</v>
      </c>
      <c r="AR811" s="1" t="s">
        <v>699</v>
      </c>
      <c r="AS811" s="1">
        <v>210558</v>
      </c>
      <c r="AT811" s="1" t="s">
        <v>116</v>
      </c>
      <c r="AV811" s="241">
        <v>157</v>
      </c>
      <c r="BM811" s="138">
        <f t="shared" si="100"/>
        <v>0</v>
      </c>
      <c r="BN811" s="42">
        <f t="shared" si="101"/>
        <v>0</v>
      </c>
      <c r="BS811" s="1">
        <v>10438</v>
      </c>
      <c r="BT811" s="1" t="s">
        <v>902</v>
      </c>
      <c r="BX811" s="36"/>
    </row>
    <row r="812" spans="2:76" ht="14.25">
      <c r="B812" s="36"/>
      <c r="C812" s="36"/>
      <c r="D812" s="36"/>
      <c r="E812" s="36"/>
      <c r="F812" s="36"/>
      <c r="G812" s="36"/>
      <c r="H812" s="36"/>
      <c r="J812" s="36"/>
      <c r="L812" s="1" t="str">
        <f t="shared" si="102"/>
        <v/>
      </c>
      <c r="M812" s="94">
        <v>807</v>
      </c>
      <c r="N812" s="36" t="s">
        <v>2467</v>
      </c>
      <c r="O812" s="95">
        <v>310514</v>
      </c>
      <c r="P812" s="36"/>
      <c r="AI812" s="122">
        <v>500</v>
      </c>
      <c r="AJ812" s="1" t="s">
        <v>2156</v>
      </c>
      <c r="AK812" s="1">
        <v>310207</v>
      </c>
      <c r="AL812" s="1" t="s">
        <v>115</v>
      </c>
      <c r="AN812" s="270">
        <v>906</v>
      </c>
      <c r="AQ812" s="1">
        <v>664</v>
      </c>
      <c r="AR812" s="1" t="s">
        <v>700</v>
      </c>
      <c r="AS812" s="1">
        <v>210559</v>
      </c>
      <c r="AT812" s="1" t="s">
        <v>115</v>
      </c>
      <c r="AV812" s="241">
        <v>158</v>
      </c>
      <c r="BM812" s="138">
        <f t="shared" si="100"/>
        <v>0</v>
      </c>
      <c r="BN812" s="42">
        <f t="shared" si="101"/>
        <v>0</v>
      </c>
      <c r="BS812" s="1">
        <v>10439</v>
      </c>
      <c r="BT812" s="1" t="s">
        <v>902</v>
      </c>
      <c r="BX812" s="36"/>
    </row>
    <row r="813" spans="2:76" ht="14.25">
      <c r="B813" s="36"/>
      <c r="C813" s="36"/>
      <c r="D813" s="36"/>
      <c r="E813" s="36"/>
      <c r="F813" s="36"/>
      <c r="G813" s="36"/>
      <c r="H813" s="36"/>
      <c r="J813" s="36"/>
      <c r="L813" s="1" t="str">
        <f t="shared" si="102"/>
        <v/>
      </c>
      <c r="M813" s="94">
        <v>808</v>
      </c>
      <c r="N813" s="36" t="s">
        <v>2468</v>
      </c>
      <c r="O813" s="95">
        <v>310515</v>
      </c>
      <c r="P813" s="36"/>
      <c r="AI813" s="122">
        <v>501</v>
      </c>
      <c r="AJ813" s="1" t="s">
        <v>2157</v>
      </c>
      <c r="AK813" s="1">
        <v>310208</v>
      </c>
      <c r="AL813" s="1" t="s">
        <v>930</v>
      </c>
      <c r="AN813" s="270">
        <v>907</v>
      </c>
      <c r="AQ813" s="1">
        <v>665</v>
      </c>
      <c r="AR813" s="1" t="s">
        <v>701</v>
      </c>
      <c r="AS813" s="1">
        <v>210548</v>
      </c>
      <c r="AT813" s="1" t="s">
        <v>116</v>
      </c>
      <c r="AV813" s="241">
        <v>159</v>
      </c>
      <c r="BM813" s="138">
        <f t="shared" si="100"/>
        <v>0</v>
      </c>
      <c r="BN813" s="42">
        <f t="shared" si="101"/>
        <v>0</v>
      </c>
      <c r="BS813" s="1">
        <v>10440</v>
      </c>
      <c r="BT813" s="1" t="s">
        <v>902</v>
      </c>
      <c r="BX813" s="36"/>
    </row>
    <row r="814" spans="2:76" ht="14.25">
      <c r="B814" s="36"/>
      <c r="C814" s="36"/>
      <c r="D814" s="36"/>
      <c r="E814" s="36"/>
      <c r="F814" s="36"/>
      <c r="G814" s="36"/>
      <c r="H814" s="36"/>
      <c r="J814" s="36"/>
      <c r="L814" s="1" t="str">
        <f t="shared" si="102"/>
        <v/>
      </c>
      <c r="M814" s="94">
        <v>809</v>
      </c>
      <c r="N814" s="36" t="s">
        <v>2469</v>
      </c>
      <c r="O814" s="95">
        <v>310516</v>
      </c>
      <c r="P814" s="36"/>
      <c r="AI814" s="122">
        <v>502</v>
      </c>
      <c r="AJ814" s="1" t="s">
        <v>2158</v>
      </c>
      <c r="AK814" s="1">
        <v>310209</v>
      </c>
      <c r="AL814" s="1" t="s">
        <v>115</v>
      </c>
      <c r="AN814" s="270">
        <v>908</v>
      </c>
      <c r="AQ814" s="1">
        <v>666</v>
      </c>
      <c r="AR814" s="1" t="s">
        <v>702</v>
      </c>
      <c r="AS814" s="1">
        <v>210549</v>
      </c>
      <c r="AT814" s="1" t="s">
        <v>115</v>
      </c>
      <c r="AV814" s="241">
        <v>160</v>
      </c>
      <c r="BM814" s="138">
        <f t="shared" si="100"/>
        <v>0</v>
      </c>
      <c r="BN814" s="42">
        <f t="shared" si="101"/>
        <v>0</v>
      </c>
      <c r="BS814" s="1">
        <v>10441</v>
      </c>
      <c r="BT814" s="1" t="s">
        <v>902</v>
      </c>
      <c r="BX814" s="36"/>
    </row>
    <row r="815" spans="2:76" ht="14.25">
      <c r="B815" s="36"/>
      <c r="C815" s="36"/>
      <c r="D815" s="36"/>
      <c r="E815" s="36"/>
      <c r="F815" s="36"/>
      <c r="G815" s="36"/>
      <c r="H815" s="36"/>
      <c r="J815" s="36"/>
      <c r="L815" s="1" t="str">
        <f t="shared" si="102"/>
        <v/>
      </c>
      <c r="M815" s="94">
        <v>810</v>
      </c>
      <c r="N815" s="36" t="s">
        <v>2470</v>
      </c>
      <c r="O815" s="95">
        <v>310517</v>
      </c>
      <c r="P815" s="36"/>
      <c r="AI815" s="122">
        <v>503</v>
      </c>
      <c r="AJ815" s="1" t="s">
        <v>2159</v>
      </c>
      <c r="AK815" s="1">
        <v>310210</v>
      </c>
      <c r="AL815" s="1" t="s">
        <v>930</v>
      </c>
      <c r="AN815" s="270">
        <v>909</v>
      </c>
      <c r="AQ815" s="1">
        <v>667</v>
      </c>
      <c r="AR815" s="1" t="s">
        <v>703</v>
      </c>
      <c r="AS815" s="1">
        <v>210560</v>
      </c>
      <c r="AT815" s="1" t="s">
        <v>116</v>
      </c>
      <c r="AV815" s="241">
        <v>161</v>
      </c>
      <c r="BM815" s="138">
        <f t="shared" si="100"/>
        <v>0</v>
      </c>
      <c r="BN815" s="42">
        <f t="shared" si="101"/>
        <v>0</v>
      </c>
      <c r="BS815" s="1">
        <v>10442</v>
      </c>
      <c r="BT815" s="1" t="s">
        <v>902</v>
      </c>
      <c r="BX815" s="36"/>
    </row>
    <row r="816" spans="2:76" ht="14.25">
      <c r="B816" s="36"/>
      <c r="C816" s="36"/>
      <c r="D816" s="36"/>
      <c r="E816" s="36"/>
      <c r="F816" s="36"/>
      <c r="G816" s="36"/>
      <c r="H816" s="36"/>
      <c r="J816" s="36"/>
      <c r="L816" s="1" t="str">
        <f t="shared" si="102"/>
        <v/>
      </c>
      <c r="M816" s="94">
        <v>811</v>
      </c>
      <c r="N816" s="36" t="s">
        <v>2471</v>
      </c>
      <c r="O816" s="95">
        <v>310518</v>
      </c>
      <c r="P816" s="36"/>
      <c r="AI816" s="122">
        <v>504</v>
      </c>
      <c r="AJ816" s="1" t="s">
        <v>2160</v>
      </c>
      <c r="AK816" s="1">
        <v>310211</v>
      </c>
      <c r="AL816" s="1" t="s">
        <v>115</v>
      </c>
      <c r="AN816" s="270">
        <v>910</v>
      </c>
      <c r="AQ816" s="1">
        <v>668</v>
      </c>
      <c r="AR816" s="1" t="s">
        <v>704</v>
      </c>
      <c r="AS816" s="1">
        <v>210561</v>
      </c>
      <c r="AT816" s="1" t="s">
        <v>115</v>
      </c>
      <c r="AV816" s="241">
        <v>162</v>
      </c>
      <c r="BM816" s="138">
        <f t="shared" si="100"/>
        <v>0</v>
      </c>
      <c r="BN816" s="42">
        <f t="shared" si="101"/>
        <v>0</v>
      </c>
      <c r="BS816" s="1">
        <v>10443</v>
      </c>
      <c r="BT816" s="1" t="s">
        <v>902</v>
      </c>
      <c r="BX816" s="36"/>
    </row>
    <row r="817" spans="2:76" ht="14.25">
      <c r="B817" s="36"/>
      <c r="C817" s="36"/>
      <c r="D817" s="36"/>
      <c r="E817" s="36"/>
      <c r="F817" s="36"/>
      <c r="G817" s="36"/>
      <c r="H817" s="36"/>
      <c r="J817" s="36"/>
      <c r="L817" s="1" t="str">
        <f t="shared" si="102"/>
        <v/>
      </c>
      <c r="M817" s="94">
        <v>812</v>
      </c>
      <c r="N817" s="36" t="s">
        <v>2472</v>
      </c>
      <c r="O817" s="95">
        <v>310519</v>
      </c>
      <c r="P817" s="36"/>
      <c r="AI817" s="122">
        <v>505</v>
      </c>
      <c r="AJ817" s="1" t="s">
        <v>2161</v>
      </c>
      <c r="AK817" s="1">
        <v>310212</v>
      </c>
      <c r="AL817" s="1" t="s">
        <v>930</v>
      </c>
      <c r="AN817" s="270">
        <v>911</v>
      </c>
      <c r="AQ817" s="1">
        <v>669</v>
      </c>
      <c r="AR817" s="1" t="s">
        <v>705</v>
      </c>
      <c r="AS817" s="1">
        <v>210562</v>
      </c>
      <c r="AT817" s="1" t="s">
        <v>115</v>
      </c>
      <c r="AV817" s="241">
        <v>163</v>
      </c>
      <c r="BM817" s="138">
        <f t="shared" si="100"/>
        <v>0</v>
      </c>
      <c r="BN817" s="42">
        <f t="shared" si="101"/>
        <v>0</v>
      </c>
      <c r="BS817" s="1">
        <v>10444</v>
      </c>
      <c r="BT817" s="1" t="s">
        <v>902</v>
      </c>
      <c r="BX817" s="36"/>
    </row>
    <row r="818" spans="2:76" ht="14.25">
      <c r="B818" s="36"/>
      <c r="C818" s="36"/>
      <c r="D818" s="36"/>
      <c r="E818" s="36"/>
      <c r="F818" s="36"/>
      <c r="G818" s="36"/>
      <c r="H818" s="36"/>
      <c r="J818" s="36"/>
      <c r="L818" s="1" t="str">
        <f t="shared" si="102"/>
        <v/>
      </c>
      <c r="M818" s="94">
        <v>813</v>
      </c>
      <c r="N818" s="36" t="s">
        <v>2473</v>
      </c>
      <c r="O818" s="95">
        <v>310520</v>
      </c>
      <c r="P818" s="36"/>
      <c r="AI818" s="122">
        <v>506</v>
      </c>
      <c r="AJ818" s="1" t="s">
        <v>2162</v>
      </c>
      <c r="AK818" s="1">
        <v>310213</v>
      </c>
      <c r="AL818" s="1" t="s">
        <v>930</v>
      </c>
      <c r="AN818" s="270">
        <v>912</v>
      </c>
      <c r="AQ818" s="1">
        <v>670</v>
      </c>
      <c r="AR818" s="1" t="s">
        <v>706</v>
      </c>
      <c r="AS818" s="1">
        <v>210563</v>
      </c>
      <c r="AT818" s="1" t="s">
        <v>116</v>
      </c>
      <c r="AV818" s="241">
        <v>164</v>
      </c>
      <c r="BM818" s="138">
        <f t="shared" si="100"/>
        <v>0</v>
      </c>
      <c r="BN818" s="42">
        <f t="shared" si="101"/>
        <v>0</v>
      </c>
      <c r="BS818" s="1">
        <v>10445</v>
      </c>
      <c r="BT818" s="1" t="s">
        <v>902</v>
      </c>
      <c r="BX818" s="36"/>
    </row>
    <row r="819" spans="2:76" ht="14.25">
      <c r="B819" s="36"/>
      <c r="C819" s="36"/>
      <c r="D819" s="36"/>
      <c r="E819" s="36"/>
      <c r="F819" s="36"/>
      <c r="G819" s="36"/>
      <c r="H819" s="36"/>
      <c r="J819" s="36"/>
      <c r="L819" s="1" t="str">
        <f t="shared" si="102"/>
        <v/>
      </c>
      <c r="M819" s="94">
        <v>814</v>
      </c>
      <c r="N819" s="36" t="s">
        <v>2474</v>
      </c>
      <c r="O819" s="95">
        <v>310521</v>
      </c>
      <c r="P819" s="36"/>
      <c r="AI819" s="122">
        <v>507</v>
      </c>
      <c r="AJ819" s="1" t="s">
        <v>2163</v>
      </c>
      <c r="AK819" s="1">
        <v>310214</v>
      </c>
      <c r="AL819" s="1" t="s">
        <v>115</v>
      </c>
      <c r="AN819" s="270">
        <v>913</v>
      </c>
      <c r="AQ819" s="1">
        <v>671</v>
      </c>
      <c r="AR819" s="1" t="s">
        <v>707</v>
      </c>
      <c r="AS819" s="1">
        <v>210564</v>
      </c>
      <c r="AT819" s="1" t="s">
        <v>115</v>
      </c>
      <c r="AV819" s="241">
        <v>165</v>
      </c>
      <c r="BM819" s="138">
        <f t="shared" si="100"/>
        <v>0</v>
      </c>
      <c r="BN819" s="42">
        <f t="shared" si="101"/>
        <v>0</v>
      </c>
      <c r="BS819" s="1">
        <v>10446</v>
      </c>
      <c r="BT819" s="1" t="s">
        <v>902</v>
      </c>
      <c r="BX819" s="36"/>
    </row>
    <row r="820" spans="2:76" ht="14.25">
      <c r="B820" s="36"/>
      <c r="C820" s="36"/>
      <c r="D820" s="36"/>
      <c r="E820" s="36"/>
      <c r="F820" s="36"/>
      <c r="G820" s="36"/>
      <c r="H820" s="36"/>
      <c r="J820" s="36"/>
      <c r="L820" s="1" t="str">
        <f t="shared" si="102"/>
        <v/>
      </c>
      <c r="M820" s="94">
        <v>815</v>
      </c>
      <c r="N820" s="36" t="s">
        <v>2475</v>
      </c>
      <c r="O820" s="95">
        <v>310522</v>
      </c>
      <c r="P820" s="36"/>
      <c r="AI820" s="122">
        <v>508</v>
      </c>
      <c r="AJ820" s="1" t="s">
        <v>2164</v>
      </c>
      <c r="AK820" s="1">
        <v>310215</v>
      </c>
      <c r="AL820" s="1" t="s">
        <v>930</v>
      </c>
      <c r="AN820" s="270">
        <v>914</v>
      </c>
      <c r="AQ820" s="1">
        <v>672</v>
      </c>
      <c r="AR820" s="1" t="s">
        <v>708</v>
      </c>
      <c r="AS820" s="1">
        <v>210565</v>
      </c>
      <c r="AT820" s="1" t="s">
        <v>116</v>
      </c>
      <c r="AV820" s="241">
        <v>166</v>
      </c>
      <c r="BM820" s="138">
        <f t="shared" si="100"/>
        <v>0</v>
      </c>
      <c r="BN820" s="42">
        <f t="shared" si="101"/>
        <v>0</v>
      </c>
      <c r="BS820" s="1">
        <v>10447</v>
      </c>
      <c r="BT820" s="1" t="s">
        <v>902</v>
      </c>
      <c r="BX820" s="36"/>
    </row>
    <row r="821" spans="2:76" ht="14.25">
      <c r="B821" s="36"/>
      <c r="C821" s="36"/>
      <c r="D821" s="36"/>
      <c r="E821" s="36"/>
      <c r="F821" s="36"/>
      <c r="G821" s="36"/>
      <c r="H821" s="36"/>
      <c r="J821" s="36"/>
      <c r="L821" s="1" t="str">
        <f t="shared" si="102"/>
        <v/>
      </c>
      <c r="M821" s="94">
        <v>816</v>
      </c>
      <c r="N821" s="36" t="s">
        <v>2476</v>
      </c>
      <c r="O821" s="95">
        <v>310523</v>
      </c>
      <c r="P821" s="36"/>
      <c r="AI821" s="122">
        <v>509</v>
      </c>
      <c r="AJ821" s="1" t="s">
        <v>2165</v>
      </c>
      <c r="AK821" s="1">
        <v>310216</v>
      </c>
      <c r="AL821" s="1" t="s">
        <v>115</v>
      </c>
      <c r="AN821" s="270">
        <v>915</v>
      </c>
      <c r="AQ821" s="1">
        <v>673</v>
      </c>
      <c r="AR821" s="1" t="s">
        <v>709</v>
      </c>
      <c r="AS821" s="1">
        <v>210566</v>
      </c>
      <c r="AT821" s="1" t="s">
        <v>115</v>
      </c>
      <c r="AV821" s="241">
        <v>167</v>
      </c>
      <c r="BM821" s="138">
        <f t="shared" si="100"/>
        <v>0</v>
      </c>
      <c r="BN821" s="42">
        <f t="shared" si="101"/>
        <v>0</v>
      </c>
      <c r="BS821" s="1">
        <v>10448</v>
      </c>
      <c r="BT821" s="1" t="s">
        <v>902</v>
      </c>
      <c r="BX821" s="36"/>
    </row>
    <row r="822" spans="2:76" ht="14.25">
      <c r="B822" s="36"/>
      <c r="C822" s="36"/>
      <c r="D822" s="36"/>
      <c r="E822" s="36"/>
      <c r="F822" s="36"/>
      <c r="G822" s="36"/>
      <c r="H822" s="36"/>
      <c r="J822" s="36"/>
      <c r="L822" s="1" t="str">
        <f t="shared" si="102"/>
        <v/>
      </c>
      <c r="M822" s="94">
        <v>817</v>
      </c>
      <c r="N822" s="36" t="s">
        <v>2477</v>
      </c>
      <c r="O822" s="95">
        <v>310524</v>
      </c>
      <c r="P822" s="36"/>
      <c r="AI822" s="122">
        <v>510</v>
      </c>
      <c r="AJ822" s="1" t="s">
        <v>2166</v>
      </c>
      <c r="AK822" s="1">
        <v>310217</v>
      </c>
      <c r="AL822" s="1" t="s">
        <v>930</v>
      </c>
      <c r="AN822" s="270">
        <v>916</v>
      </c>
      <c r="AQ822" s="1">
        <v>674</v>
      </c>
      <c r="AR822" s="1" t="s">
        <v>710</v>
      </c>
      <c r="AS822" s="1">
        <v>210567</v>
      </c>
      <c r="AT822" s="1" t="s">
        <v>115</v>
      </c>
      <c r="AV822" s="241">
        <v>168</v>
      </c>
      <c r="BM822" s="138">
        <f t="shared" si="100"/>
        <v>0</v>
      </c>
      <c r="BN822" s="42">
        <f t="shared" si="101"/>
        <v>0</v>
      </c>
      <c r="BS822" s="1">
        <v>10449</v>
      </c>
      <c r="BT822" s="1" t="s">
        <v>902</v>
      </c>
      <c r="BX822" s="36"/>
    </row>
    <row r="823" spans="2:76" ht="14.25">
      <c r="B823" s="36"/>
      <c r="C823" s="36"/>
      <c r="D823" s="36"/>
      <c r="E823" s="36"/>
      <c r="F823" s="36"/>
      <c r="G823" s="36"/>
      <c r="H823" s="36"/>
      <c r="J823" s="36"/>
      <c r="L823" s="1" t="str">
        <f t="shared" si="102"/>
        <v/>
      </c>
      <c r="M823" s="94">
        <v>818</v>
      </c>
      <c r="N823" s="36" t="s">
        <v>2478</v>
      </c>
      <c r="O823" s="95">
        <v>310525</v>
      </c>
      <c r="P823" s="36"/>
      <c r="AI823" s="122">
        <v>511</v>
      </c>
      <c r="AJ823" s="1" t="s">
        <v>2167</v>
      </c>
      <c r="AK823" s="1">
        <v>310218</v>
      </c>
      <c r="AL823" s="1" t="s">
        <v>115</v>
      </c>
      <c r="AN823" s="270">
        <v>917</v>
      </c>
      <c r="AQ823" s="1">
        <v>675</v>
      </c>
      <c r="AR823" s="1" t="s">
        <v>711</v>
      </c>
      <c r="AS823" s="1">
        <v>210570</v>
      </c>
      <c r="AT823" s="1" t="s">
        <v>116</v>
      </c>
      <c r="AV823" s="241">
        <v>169</v>
      </c>
      <c r="BM823" s="138">
        <f t="shared" si="100"/>
        <v>0</v>
      </c>
      <c r="BN823" s="42">
        <f t="shared" si="101"/>
        <v>0</v>
      </c>
      <c r="BS823" s="1">
        <v>10450</v>
      </c>
      <c r="BT823" s="1" t="s">
        <v>902</v>
      </c>
      <c r="BX823" s="36"/>
    </row>
    <row r="824" spans="2:76" ht="14.25">
      <c r="B824" s="36"/>
      <c r="C824" s="36"/>
      <c r="D824" s="36"/>
      <c r="E824" s="36"/>
      <c r="F824" s="36"/>
      <c r="G824" s="36"/>
      <c r="H824" s="36"/>
      <c r="J824" s="36"/>
      <c r="L824" s="1" t="str">
        <f t="shared" si="102"/>
        <v/>
      </c>
      <c r="M824" s="94">
        <v>819</v>
      </c>
      <c r="N824" s="36" t="s">
        <v>2479</v>
      </c>
      <c r="O824" s="95">
        <v>310526</v>
      </c>
      <c r="P824" s="36"/>
      <c r="AI824" s="122">
        <v>512</v>
      </c>
      <c r="AJ824" s="1" t="s">
        <v>2168</v>
      </c>
      <c r="AK824" s="1">
        <v>310219</v>
      </c>
      <c r="AL824" s="1" t="s">
        <v>930</v>
      </c>
      <c r="AN824" s="270">
        <v>918</v>
      </c>
      <c r="AQ824" s="1">
        <v>676</v>
      </c>
      <c r="AR824" s="1" t="s">
        <v>712</v>
      </c>
      <c r="AS824" s="1">
        <v>210571</v>
      </c>
      <c r="AT824" s="1" t="s">
        <v>115</v>
      </c>
      <c r="AV824" s="241">
        <v>170</v>
      </c>
      <c r="BM824" s="138">
        <f t="shared" si="100"/>
        <v>0</v>
      </c>
      <c r="BN824" s="42">
        <f t="shared" si="101"/>
        <v>0</v>
      </c>
      <c r="BS824" s="1">
        <v>10451</v>
      </c>
      <c r="BT824" s="1" t="s">
        <v>902</v>
      </c>
      <c r="BX824" s="36"/>
    </row>
    <row r="825" spans="2:76" ht="14.25">
      <c r="B825" s="36"/>
      <c r="C825" s="36"/>
      <c r="D825" s="36"/>
      <c r="E825" s="36"/>
      <c r="F825" s="36"/>
      <c r="G825" s="36"/>
      <c r="H825" s="36"/>
      <c r="J825" s="36"/>
      <c r="L825" s="1" t="str">
        <f t="shared" si="102"/>
        <v/>
      </c>
      <c r="M825" s="94">
        <v>820</v>
      </c>
      <c r="N825" s="36" t="s">
        <v>2480</v>
      </c>
      <c r="O825" s="95">
        <v>310527</v>
      </c>
      <c r="P825" s="36"/>
      <c r="AI825" s="122">
        <v>513</v>
      </c>
      <c r="AJ825" s="1" t="s">
        <v>2169</v>
      </c>
      <c r="AK825" s="1">
        <v>310220</v>
      </c>
      <c r="AL825" s="1" t="s">
        <v>930</v>
      </c>
      <c r="AN825" s="270">
        <v>919</v>
      </c>
      <c r="AQ825" s="1">
        <v>677</v>
      </c>
      <c r="AR825" s="1" t="s">
        <v>713</v>
      </c>
      <c r="AS825" s="1">
        <v>210572</v>
      </c>
      <c r="AT825" s="1" t="s">
        <v>116</v>
      </c>
      <c r="AV825" s="241">
        <v>171</v>
      </c>
      <c r="BM825" s="138">
        <f t="shared" si="100"/>
        <v>0</v>
      </c>
      <c r="BN825" s="42">
        <f t="shared" si="101"/>
        <v>0</v>
      </c>
      <c r="BS825" s="1">
        <v>10452</v>
      </c>
      <c r="BT825" s="1" t="s">
        <v>902</v>
      </c>
      <c r="BX825" s="36"/>
    </row>
    <row r="826" spans="2:76" ht="14.25">
      <c r="B826" s="36"/>
      <c r="C826" s="36"/>
      <c r="D826" s="36"/>
      <c r="E826" s="36"/>
      <c r="F826" s="36"/>
      <c r="G826" s="36"/>
      <c r="H826" s="36"/>
      <c r="J826" s="36"/>
      <c r="L826" s="1" t="str">
        <f t="shared" si="102"/>
        <v/>
      </c>
      <c r="M826" s="94">
        <v>821</v>
      </c>
      <c r="N826" s="36" t="s">
        <v>2481</v>
      </c>
      <c r="O826" s="95">
        <v>310528</v>
      </c>
      <c r="P826" s="36"/>
      <c r="AI826" s="122">
        <v>514</v>
      </c>
      <c r="AJ826" s="1" t="s">
        <v>2170</v>
      </c>
      <c r="AK826" s="1">
        <v>310221</v>
      </c>
      <c r="AL826" s="1" t="s">
        <v>115</v>
      </c>
      <c r="AN826" s="270">
        <v>920</v>
      </c>
      <c r="AQ826" s="1">
        <v>678</v>
      </c>
      <c r="AR826" s="1" t="s">
        <v>714</v>
      </c>
      <c r="AS826" s="1">
        <v>210573</v>
      </c>
      <c r="AT826" s="1" t="s">
        <v>115</v>
      </c>
      <c r="AV826" s="241">
        <v>172</v>
      </c>
      <c r="BM826" s="138">
        <f t="shared" si="100"/>
        <v>0</v>
      </c>
      <c r="BN826" s="42">
        <f t="shared" si="101"/>
        <v>0</v>
      </c>
      <c r="BS826" s="1">
        <v>10453</v>
      </c>
      <c r="BT826" s="1" t="s">
        <v>902</v>
      </c>
      <c r="BX826" s="36"/>
    </row>
    <row r="827" spans="2:76" ht="14.25">
      <c r="B827" s="36"/>
      <c r="C827" s="36"/>
      <c r="D827" s="36"/>
      <c r="E827" s="36"/>
      <c r="F827" s="36"/>
      <c r="G827" s="36"/>
      <c r="H827" s="36"/>
      <c r="J827" s="36"/>
      <c r="L827" s="1" t="str">
        <f t="shared" si="102"/>
        <v/>
      </c>
      <c r="M827" s="94">
        <v>822</v>
      </c>
      <c r="N827" s="36" t="s">
        <v>2482</v>
      </c>
      <c r="O827" s="95">
        <v>310529</v>
      </c>
      <c r="P827" s="36"/>
      <c r="AI827" s="122">
        <v>515</v>
      </c>
      <c r="AJ827" s="1" t="s">
        <v>2171</v>
      </c>
      <c r="AK827" s="1">
        <v>310222</v>
      </c>
      <c r="AL827" s="1" t="s">
        <v>930</v>
      </c>
      <c r="AN827" s="270">
        <v>921</v>
      </c>
      <c r="AQ827" s="1">
        <v>679</v>
      </c>
      <c r="AR827" s="1" t="s">
        <v>715</v>
      </c>
      <c r="AS827" s="1">
        <v>210574</v>
      </c>
      <c r="AT827" s="1" t="s">
        <v>115</v>
      </c>
      <c r="AV827" s="241">
        <v>173</v>
      </c>
      <c r="BM827" s="138">
        <f t="shared" si="100"/>
        <v>0</v>
      </c>
      <c r="BN827" s="42">
        <f t="shared" si="101"/>
        <v>0</v>
      </c>
      <c r="BS827" s="1">
        <v>10454</v>
      </c>
      <c r="BT827" s="1" t="s">
        <v>902</v>
      </c>
      <c r="BX827" s="36"/>
    </row>
    <row r="828" spans="2:76" ht="14.25">
      <c r="B828" s="36"/>
      <c r="C828" s="36"/>
      <c r="D828" s="36"/>
      <c r="E828" s="36"/>
      <c r="F828" s="36"/>
      <c r="G828" s="36"/>
      <c r="H828" s="36"/>
      <c r="J828" s="36"/>
      <c r="L828" s="1" t="str">
        <f t="shared" si="102"/>
        <v/>
      </c>
      <c r="M828" s="94">
        <v>823</v>
      </c>
      <c r="N828" s="36" t="s">
        <v>2483</v>
      </c>
      <c r="O828" s="95">
        <v>310530</v>
      </c>
      <c r="P828" s="36"/>
      <c r="AI828" s="122">
        <v>516</v>
      </c>
      <c r="AJ828" s="1" t="s">
        <v>2172</v>
      </c>
      <c r="AK828" s="1">
        <v>310223</v>
      </c>
      <c r="AL828" s="1" t="s">
        <v>115</v>
      </c>
      <c r="AN828" s="270">
        <v>922</v>
      </c>
      <c r="AQ828" s="1">
        <v>680</v>
      </c>
      <c r="AR828" s="1" t="s">
        <v>716</v>
      </c>
      <c r="AS828" s="1">
        <v>210575</v>
      </c>
      <c r="AT828" s="1" t="s">
        <v>116</v>
      </c>
      <c r="AV828" s="241">
        <v>174</v>
      </c>
      <c r="BM828" s="138">
        <f t="shared" si="100"/>
        <v>0</v>
      </c>
      <c r="BN828" s="42">
        <f t="shared" si="101"/>
        <v>0</v>
      </c>
      <c r="BS828" s="1">
        <v>10455</v>
      </c>
      <c r="BT828" s="1" t="s">
        <v>902</v>
      </c>
      <c r="BX828" s="36"/>
    </row>
    <row r="829" spans="2:76" ht="14.25">
      <c r="B829" s="36"/>
      <c r="C829" s="36"/>
      <c r="D829" s="36"/>
      <c r="E829" s="36"/>
      <c r="F829" s="36"/>
      <c r="G829" s="36"/>
      <c r="H829" s="36"/>
      <c r="J829" s="36"/>
      <c r="L829" s="1" t="str">
        <f t="shared" si="102"/>
        <v/>
      </c>
      <c r="M829" s="94">
        <v>824</v>
      </c>
      <c r="N829" s="36" t="s">
        <v>2484</v>
      </c>
      <c r="O829" s="95">
        <v>310531</v>
      </c>
      <c r="P829" s="36"/>
      <c r="AI829" s="122">
        <v>517</v>
      </c>
      <c r="AJ829" s="1" t="s">
        <v>2173</v>
      </c>
      <c r="AK829" s="1">
        <v>310224</v>
      </c>
      <c r="AL829" s="1" t="s">
        <v>930</v>
      </c>
      <c r="AN829" s="270">
        <v>923</v>
      </c>
      <c r="AQ829" s="1">
        <v>681</v>
      </c>
      <c r="AR829" s="1" t="s">
        <v>717</v>
      </c>
      <c r="AS829" s="1">
        <v>210576</v>
      </c>
      <c r="AT829" s="1" t="s">
        <v>115</v>
      </c>
      <c r="AV829" s="241">
        <v>175</v>
      </c>
      <c r="BM829" s="138">
        <f t="shared" si="100"/>
        <v>0</v>
      </c>
      <c r="BN829" s="42">
        <f t="shared" si="101"/>
        <v>0</v>
      </c>
      <c r="BS829" s="1">
        <v>10456</v>
      </c>
      <c r="BT829" s="1" t="s">
        <v>902</v>
      </c>
      <c r="BX829" s="36"/>
    </row>
    <row r="830" spans="2:76" ht="14.25">
      <c r="B830" s="36"/>
      <c r="C830" s="36"/>
      <c r="D830" s="36"/>
      <c r="E830" s="36"/>
      <c r="F830" s="36"/>
      <c r="G830" s="36"/>
      <c r="H830" s="36"/>
      <c r="J830" s="36"/>
      <c r="L830" s="1" t="str">
        <f t="shared" si="102"/>
        <v/>
      </c>
      <c r="M830" s="94">
        <v>825</v>
      </c>
      <c r="N830" s="36" t="s">
        <v>2485</v>
      </c>
      <c r="O830" s="95">
        <v>310532</v>
      </c>
      <c r="P830" s="36"/>
      <c r="AI830" s="122">
        <v>518</v>
      </c>
      <c r="AJ830" s="1" t="s">
        <v>2174</v>
      </c>
      <c r="AK830" s="1">
        <v>310225</v>
      </c>
      <c r="AL830" s="1" t="s">
        <v>115</v>
      </c>
      <c r="AN830" s="270">
        <v>924</v>
      </c>
      <c r="AQ830" s="1">
        <v>682</v>
      </c>
      <c r="AR830" s="1" t="s">
        <v>718</v>
      </c>
      <c r="AS830" s="1">
        <v>210577</v>
      </c>
      <c r="AT830" s="1" t="s">
        <v>116</v>
      </c>
      <c r="AV830" s="241">
        <v>176</v>
      </c>
      <c r="BM830" s="138">
        <f t="shared" si="100"/>
        <v>0</v>
      </c>
      <c r="BN830" s="42">
        <f t="shared" si="101"/>
        <v>0</v>
      </c>
      <c r="BS830" s="1">
        <v>10457</v>
      </c>
      <c r="BT830" s="1" t="s">
        <v>902</v>
      </c>
      <c r="BX830" s="36"/>
    </row>
    <row r="831" spans="2:76" ht="14.25">
      <c r="B831" s="36"/>
      <c r="C831" s="36"/>
      <c r="D831" s="36"/>
      <c r="E831" s="36"/>
      <c r="F831" s="36"/>
      <c r="G831" s="36"/>
      <c r="H831" s="36"/>
      <c r="J831" s="36"/>
      <c r="L831" s="1" t="str">
        <f t="shared" si="102"/>
        <v/>
      </c>
      <c r="M831" s="94">
        <v>826</v>
      </c>
      <c r="N831" s="36" t="s">
        <v>2486</v>
      </c>
      <c r="O831" s="95">
        <v>310533</v>
      </c>
      <c r="P831" s="36"/>
      <c r="AI831" s="122">
        <v>519</v>
      </c>
      <c r="AJ831" s="1" t="s">
        <v>2175</v>
      </c>
      <c r="AK831" s="1">
        <v>310226</v>
      </c>
      <c r="AL831" s="1" t="s">
        <v>930</v>
      </c>
      <c r="AN831" s="270">
        <v>925</v>
      </c>
      <c r="AQ831" s="1">
        <v>683</v>
      </c>
      <c r="AR831" s="1" t="s">
        <v>719</v>
      </c>
      <c r="AS831" s="1">
        <v>210578</v>
      </c>
      <c r="AT831" s="1" t="s">
        <v>115</v>
      </c>
      <c r="AV831" s="241">
        <v>177</v>
      </c>
      <c r="BM831" s="138">
        <f t="shared" si="100"/>
        <v>0</v>
      </c>
      <c r="BN831" s="42">
        <f t="shared" si="101"/>
        <v>0</v>
      </c>
      <c r="BS831" s="1">
        <v>10458</v>
      </c>
      <c r="BT831" s="1" t="s">
        <v>902</v>
      </c>
      <c r="BX831" s="36"/>
    </row>
    <row r="832" spans="2:76" ht="14.25">
      <c r="B832" s="36"/>
      <c r="C832" s="36"/>
      <c r="D832" s="36"/>
      <c r="E832" s="36"/>
      <c r="F832" s="36"/>
      <c r="G832" s="36"/>
      <c r="H832" s="36"/>
      <c r="J832" s="36"/>
      <c r="L832" s="1" t="str">
        <f t="shared" si="102"/>
        <v/>
      </c>
      <c r="M832" s="94">
        <v>827</v>
      </c>
      <c r="N832" s="36" t="s">
        <v>2487</v>
      </c>
      <c r="O832" s="95">
        <v>310534</v>
      </c>
      <c r="P832" s="36"/>
      <c r="AI832" s="122">
        <v>520</v>
      </c>
      <c r="AJ832" s="1" t="s">
        <v>2176</v>
      </c>
      <c r="AK832" s="1">
        <v>310227</v>
      </c>
      <c r="AL832" s="1" t="s">
        <v>115</v>
      </c>
      <c r="AN832" s="270">
        <v>926</v>
      </c>
      <c r="AQ832" s="1">
        <v>684</v>
      </c>
      <c r="AR832" s="1" t="s">
        <v>720</v>
      </c>
      <c r="AS832" s="1">
        <v>210579</v>
      </c>
      <c r="AT832" s="1" t="s">
        <v>115</v>
      </c>
      <c r="AV832" s="241">
        <v>178</v>
      </c>
      <c r="BM832" s="138">
        <f t="shared" si="100"/>
        <v>0</v>
      </c>
      <c r="BN832" s="42">
        <f t="shared" si="101"/>
        <v>0</v>
      </c>
      <c r="BS832" s="1">
        <v>10459</v>
      </c>
      <c r="BT832" s="1" t="s">
        <v>902</v>
      </c>
      <c r="BX832" s="36"/>
    </row>
    <row r="833" spans="2:76" ht="14.25">
      <c r="B833" s="36"/>
      <c r="C833" s="36"/>
      <c r="D833" s="36"/>
      <c r="E833" s="36"/>
      <c r="F833" s="36"/>
      <c r="G833" s="36"/>
      <c r="H833" s="36"/>
      <c r="J833" s="36"/>
      <c r="L833" s="1" t="str">
        <f t="shared" si="102"/>
        <v/>
      </c>
      <c r="M833" s="94">
        <v>828</v>
      </c>
      <c r="N833" s="36" t="s">
        <v>2488</v>
      </c>
      <c r="O833" s="95">
        <v>310535</v>
      </c>
      <c r="P833" s="36"/>
      <c r="AI833" s="122">
        <v>521</v>
      </c>
      <c r="AJ833" s="1" t="s">
        <v>2177</v>
      </c>
      <c r="AK833" s="1">
        <v>310228</v>
      </c>
      <c r="AL833" s="1" t="s">
        <v>930</v>
      </c>
      <c r="AN833" s="270">
        <v>927</v>
      </c>
      <c r="AQ833" s="1">
        <v>685</v>
      </c>
      <c r="AR833" s="1" t="s">
        <v>721</v>
      </c>
      <c r="AS833" s="1">
        <v>210568</v>
      </c>
      <c r="AT833" s="1" t="s">
        <v>116</v>
      </c>
      <c r="AV833" s="241">
        <v>179</v>
      </c>
      <c r="BM833" s="138">
        <f t="shared" si="100"/>
        <v>0</v>
      </c>
      <c r="BN833" s="42">
        <f t="shared" si="101"/>
        <v>0</v>
      </c>
      <c r="BS833" s="1">
        <v>10460</v>
      </c>
      <c r="BT833" s="1" t="s">
        <v>902</v>
      </c>
      <c r="BX833" s="36"/>
    </row>
    <row r="834" spans="2:76" ht="14.25">
      <c r="B834" s="36"/>
      <c r="C834" s="36"/>
      <c r="D834" s="36"/>
      <c r="E834" s="36"/>
      <c r="F834" s="36"/>
      <c r="G834" s="36"/>
      <c r="H834" s="36"/>
      <c r="J834" s="36"/>
      <c r="L834" s="1" t="str">
        <f t="shared" si="102"/>
        <v/>
      </c>
      <c r="M834" s="94">
        <v>829</v>
      </c>
      <c r="N834" s="36" t="s">
        <v>2489</v>
      </c>
      <c r="O834" s="95">
        <v>310536</v>
      </c>
      <c r="P834" s="36"/>
      <c r="AI834" s="122">
        <v>522</v>
      </c>
      <c r="AJ834" s="1" t="s">
        <v>2178</v>
      </c>
      <c r="AK834" s="1">
        <v>310229</v>
      </c>
      <c r="AL834" s="1" t="s">
        <v>930</v>
      </c>
      <c r="AN834" s="270">
        <v>928</v>
      </c>
      <c r="AQ834" s="1">
        <v>686</v>
      </c>
      <c r="AR834" s="1" t="s">
        <v>722</v>
      </c>
      <c r="AS834" s="1">
        <v>210569</v>
      </c>
      <c r="AT834" s="1" t="s">
        <v>115</v>
      </c>
      <c r="AV834" s="241">
        <v>180</v>
      </c>
      <c r="BM834" s="138">
        <f t="shared" ref="BM834:BM895" si="103">I834</f>
        <v>0</v>
      </c>
      <c r="BN834" s="42">
        <f t="shared" ref="BN834:BN895" si="104">A834</f>
        <v>0</v>
      </c>
      <c r="BS834" s="1">
        <v>10461</v>
      </c>
      <c r="BT834" s="1" t="s">
        <v>902</v>
      </c>
      <c r="BX834" s="36"/>
    </row>
    <row r="835" spans="2:76" ht="14.25">
      <c r="B835" s="36"/>
      <c r="C835" s="36"/>
      <c r="D835" s="36"/>
      <c r="E835" s="36"/>
      <c r="F835" s="36"/>
      <c r="G835" s="36"/>
      <c r="H835" s="36"/>
      <c r="J835" s="36"/>
      <c r="L835" s="1" t="str">
        <f t="shared" si="102"/>
        <v/>
      </c>
      <c r="M835" s="94">
        <v>830</v>
      </c>
      <c r="N835" s="36" t="s">
        <v>2490</v>
      </c>
      <c r="O835" s="95">
        <v>310537</v>
      </c>
      <c r="P835" s="36"/>
      <c r="AI835" s="122">
        <v>523</v>
      </c>
      <c r="AJ835" s="1" t="s">
        <v>2179</v>
      </c>
      <c r="AK835" s="1">
        <v>310230</v>
      </c>
      <c r="AL835" s="1" t="s">
        <v>115</v>
      </c>
      <c r="AN835" s="270">
        <v>929</v>
      </c>
      <c r="AQ835" s="1">
        <v>687</v>
      </c>
      <c r="AR835" s="1" t="s">
        <v>723</v>
      </c>
      <c r="AS835" s="1">
        <v>210580</v>
      </c>
      <c r="AT835" s="1" t="s">
        <v>116</v>
      </c>
      <c r="AV835" s="241">
        <v>181</v>
      </c>
      <c r="BM835" s="138">
        <f t="shared" si="103"/>
        <v>0</v>
      </c>
      <c r="BN835" s="42">
        <f t="shared" si="104"/>
        <v>0</v>
      </c>
      <c r="BS835" s="1">
        <v>10462</v>
      </c>
      <c r="BT835" s="1" t="s">
        <v>902</v>
      </c>
      <c r="BX835" s="36"/>
    </row>
    <row r="836" spans="2:76" ht="14.25">
      <c r="B836" s="36"/>
      <c r="C836" s="36"/>
      <c r="D836" s="36"/>
      <c r="E836" s="36"/>
      <c r="F836" s="36"/>
      <c r="G836" s="36"/>
      <c r="H836" s="36"/>
      <c r="J836" s="36"/>
      <c r="L836" s="1" t="str">
        <f t="shared" ref="L836:L899" si="105">IF(AND(MIN(I:I)&lt;20,MAX(I:I)&gt;980,I836&lt;20),I836,"")</f>
        <v/>
      </c>
      <c r="M836" s="94">
        <v>831</v>
      </c>
      <c r="N836" s="36" t="s">
        <v>2491</v>
      </c>
      <c r="O836" s="95">
        <v>310538</v>
      </c>
      <c r="P836" s="36"/>
      <c r="AI836" s="122">
        <v>524</v>
      </c>
      <c r="AJ836" s="1" t="s">
        <v>2180</v>
      </c>
      <c r="AK836" s="1">
        <v>310231</v>
      </c>
      <c r="AL836" s="1" t="s">
        <v>930</v>
      </c>
      <c r="AN836" s="270">
        <v>930</v>
      </c>
      <c r="AQ836" s="1">
        <v>688</v>
      </c>
      <c r="AR836" s="1" t="s">
        <v>724</v>
      </c>
      <c r="AS836" s="1">
        <v>210581</v>
      </c>
      <c r="AT836" s="1" t="s">
        <v>115</v>
      </c>
      <c r="AV836" s="241">
        <v>182</v>
      </c>
      <c r="BM836" s="138">
        <f t="shared" si="103"/>
        <v>0</v>
      </c>
      <c r="BN836" s="42">
        <f t="shared" si="104"/>
        <v>0</v>
      </c>
      <c r="BS836" s="1">
        <v>10463</v>
      </c>
      <c r="BT836" s="1" t="s">
        <v>902</v>
      </c>
      <c r="BX836" s="36"/>
    </row>
    <row r="837" spans="2:76" ht="14.25">
      <c r="B837" s="36"/>
      <c r="C837" s="36"/>
      <c r="D837" s="36"/>
      <c r="E837" s="36"/>
      <c r="F837" s="36"/>
      <c r="G837" s="36"/>
      <c r="H837" s="36"/>
      <c r="J837" s="36"/>
      <c r="L837" s="1" t="str">
        <f t="shared" si="105"/>
        <v/>
      </c>
      <c r="M837" s="94">
        <v>832</v>
      </c>
      <c r="N837" s="36" t="s">
        <v>2492</v>
      </c>
      <c r="O837" s="95">
        <v>310539</v>
      </c>
      <c r="P837" s="36"/>
      <c r="AI837" s="122">
        <v>525</v>
      </c>
      <c r="AJ837" s="1" t="s">
        <v>2181</v>
      </c>
      <c r="AK837" s="1">
        <v>310232</v>
      </c>
      <c r="AL837" s="1" t="s">
        <v>115</v>
      </c>
      <c r="AN837" s="270">
        <v>931</v>
      </c>
      <c r="AQ837" s="1">
        <v>689</v>
      </c>
      <c r="AR837" s="1" t="s">
        <v>725</v>
      </c>
      <c r="AS837" s="1">
        <v>210582</v>
      </c>
      <c r="AT837" s="1" t="s">
        <v>116</v>
      </c>
      <c r="AV837" s="241">
        <v>183</v>
      </c>
      <c r="BM837" s="138">
        <f t="shared" si="103"/>
        <v>0</v>
      </c>
      <c r="BN837" s="42">
        <f t="shared" si="104"/>
        <v>0</v>
      </c>
      <c r="BS837" s="1">
        <v>10464</v>
      </c>
      <c r="BT837" s="1" t="s">
        <v>902</v>
      </c>
      <c r="BX837" s="36"/>
    </row>
    <row r="838" spans="2:76" ht="14.25">
      <c r="B838" s="36"/>
      <c r="C838" s="36"/>
      <c r="D838" s="36"/>
      <c r="E838" s="36"/>
      <c r="F838" s="36"/>
      <c r="G838" s="36"/>
      <c r="H838" s="36"/>
      <c r="J838" s="36"/>
      <c r="L838" s="1" t="str">
        <f t="shared" si="105"/>
        <v/>
      </c>
      <c r="M838" s="94">
        <v>833</v>
      </c>
      <c r="N838" s="36" t="s">
        <v>2493</v>
      </c>
      <c r="O838" s="95">
        <v>310540</v>
      </c>
      <c r="P838" s="36"/>
      <c r="AI838" s="122">
        <v>526</v>
      </c>
      <c r="AJ838" s="1" t="s">
        <v>2182</v>
      </c>
      <c r="AK838" s="1">
        <v>310233</v>
      </c>
      <c r="AL838" s="1" t="s">
        <v>930</v>
      </c>
      <c r="AN838" s="270">
        <v>932</v>
      </c>
      <c r="AQ838" s="1">
        <v>690</v>
      </c>
      <c r="AR838" s="1" t="s">
        <v>726</v>
      </c>
      <c r="AS838" s="1">
        <v>210583</v>
      </c>
      <c r="AT838" s="1" t="s">
        <v>115</v>
      </c>
      <c r="AV838" s="241">
        <v>184</v>
      </c>
      <c r="BM838" s="138">
        <f t="shared" si="103"/>
        <v>0</v>
      </c>
      <c r="BN838" s="42">
        <f t="shared" si="104"/>
        <v>0</v>
      </c>
      <c r="BS838" s="1">
        <v>10465</v>
      </c>
      <c r="BT838" s="1" t="s">
        <v>902</v>
      </c>
      <c r="BX838" s="36"/>
    </row>
    <row r="839" spans="2:76" ht="14.25">
      <c r="B839" s="36"/>
      <c r="C839" s="36"/>
      <c r="D839" s="36"/>
      <c r="E839" s="36"/>
      <c r="F839" s="36"/>
      <c r="G839" s="36"/>
      <c r="H839" s="36"/>
      <c r="J839" s="36"/>
      <c r="L839" s="1" t="str">
        <f t="shared" si="105"/>
        <v/>
      </c>
      <c r="M839" s="94">
        <v>834</v>
      </c>
      <c r="N839" s="36" t="s">
        <v>2494</v>
      </c>
      <c r="O839" s="95">
        <v>310541</v>
      </c>
      <c r="P839" s="36"/>
      <c r="AI839" s="122">
        <v>527</v>
      </c>
      <c r="AJ839" s="1" t="s">
        <v>2183</v>
      </c>
      <c r="AK839" s="1">
        <v>310234</v>
      </c>
      <c r="AL839" s="1" t="s">
        <v>115</v>
      </c>
      <c r="AN839" s="270">
        <v>933</v>
      </c>
      <c r="AQ839" s="1">
        <v>691</v>
      </c>
      <c r="AR839" s="1" t="s">
        <v>727</v>
      </c>
      <c r="AS839" s="1">
        <v>210584</v>
      </c>
      <c r="AT839" s="1" t="s">
        <v>115</v>
      </c>
      <c r="AV839" s="241">
        <v>185</v>
      </c>
      <c r="BM839" s="138">
        <f t="shared" si="103"/>
        <v>0</v>
      </c>
      <c r="BN839" s="42">
        <f t="shared" si="104"/>
        <v>0</v>
      </c>
      <c r="BS839" s="1">
        <v>10466</v>
      </c>
      <c r="BT839" s="1" t="s">
        <v>902</v>
      </c>
      <c r="BX839" s="36"/>
    </row>
    <row r="840" spans="2:76" ht="14.25">
      <c r="B840" s="36"/>
      <c r="C840" s="36"/>
      <c r="D840" s="36"/>
      <c r="E840" s="36"/>
      <c r="F840" s="36"/>
      <c r="G840" s="36"/>
      <c r="H840" s="36"/>
      <c r="J840" s="36"/>
      <c r="L840" s="1" t="str">
        <f t="shared" si="105"/>
        <v/>
      </c>
      <c r="M840" s="94">
        <v>835</v>
      </c>
      <c r="N840" s="36" t="s">
        <v>2495</v>
      </c>
      <c r="O840" s="95">
        <v>310542</v>
      </c>
      <c r="P840" s="36"/>
      <c r="AI840" s="122">
        <v>528</v>
      </c>
      <c r="AJ840" s="1" t="s">
        <v>2184</v>
      </c>
      <c r="AK840" s="1">
        <v>310235</v>
      </c>
      <c r="AL840" s="1" t="s">
        <v>930</v>
      </c>
      <c r="AN840" s="270">
        <v>934</v>
      </c>
      <c r="AQ840" s="1">
        <v>692</v>
      </c>
      <c r="AR840" s="1" t="s">
        <v>728</v>
      </c>
      <c r="AS840" s="1">
        <v>210585</v>
      </c>
      <c r="AT840" s="1" t="s">
        <v>116</v>
      </c>
      <c r="AV840" s="241">
        <v>186</v>
      </c>
      <c r="BM840" s="138">
        <f t="shared" si="103"/>
        <v>0</v>
      </c>
      <c r="BN840" s="42">
        <f t="shared" si="104"/>
        <v>0</v>
      </c>
      <c r="BS840" s="1">
        <v>10467</v>
      </c>
      <c r="BT840" s="1" t="s">
        <v>902</v>
      </c>
      <c r="BX840" s="36"/>
    </row>
    <row r="841" spans="2:76" ht="14.25">
      <c r="B841" s="36"/>
      <c r="C841" s="36"/>
      <c r="D841" s="36"/>
      <c r="E841" s="36"/>
      <c r="F841" s="36"/>
      <c r="G841" s="36"/>
      <c r="H841" s="36"/>
      <c r="J841" s="36"/>
      <c r="L841" s="1" t="str">
        <f t="shared" si="105"/>
        <v/>
      </c>
      <c r="M841" s="94">
        <v>836</v>
      </c>
      <c r="N841" s="36" t="s">
        <v>2496</v>
      </c>
      <c r="O841" s="95">
        <v>310543</v>
      </c>
      <c r="P841" s="36"/>
      <c r="AI841" s="122">
        <v>529</v>
      </c>
      <c r="AJ841" s="1" t="s">
        <v>2185</v>
      </c>
      <c r="AK841" s="1">
        <v>310236</v>
      </c>
      <c r="AL841" s="1" t="s">
        <v>930</v>
      </c>
      <c r="AN841" s="270">
        <v>935</v>
      </c>
      <c r="AQ841" s="1">
        <v>693</v>
      </c>
      <c r="AR841" s="1" t="s">
        <v>729</v>
      </c>
      <c r="AS841" s="1">
        <v>210586</v>
      </c>
      <c r="AT841" s="1" t="s">
        <v>115</v>
      </c>
      <c r="AV841" s="241">
        <v>187</v>
      </c>
      <c r="BM841" s="138">
        <f t="shared" si="103"/>
        <v>0</v>
      </c>
      <c r="BN841" s="42">
        <f t="shared" si="104"/>
        <v>0</v>
      </c>
      <c r="BS841" s="1">
        <v>10468</v>
      </c>
      <c r="BT841" s="1" t="s">
        <v>902</v>
      </c>
      <c r="BX841" s="36"/>
    </row>
    <row r="842" spans="2:76" ht="14.25">
      <c r="B842" s="36"/>
      <c r="C842" s="36"/>
      <c r="D842" s="36"/>
      <c r="E842" s="36"/>
      <c r="F842" s="36"/>
      <c r="G842" s="36"/>
      <c r="H842" s="36"/>
      <c r="J842" s="36"/>
      <c r="L842" s="1" t="str">
        <f t="shared" si="105"/>
        <v/>
      </c>
      <c r="M842" s="94">
        <v>837</v>
      </c>
      <c r="N842" s="36" t="s">
        <v>2497</v>
      </c>
      <c r="O842" s="95">
        <v>310544</v>
      </c>
      <c r="P842" s="36"/>
      <c r="AI842" s="122">
        <v>530</v>
      </c>
      <c r="AJ842" s="1" t="s">
        <v>2186</v>
      </c>
      <c r="AK842" s="1">
        <v>310237</v>
      </c>
      <c r="AL842" s="1" t="s">
        <v>115</v>
      </c>
      <c r="AN842" s="270">
        <v>936</v>
      </c>
      <c r="AQ842" s="1">
        <v>694</v>
      </c>
      <c r="AR842" s="1" t="s">
        <v>730</v>
      </c>
      <c r="AS842" s="1">
        <v>210587</v>
      </c>
      <c r="AT842" s="1" t="s">
        <v>116</v>
      </c>
      <c r="AV842" s="241">
        <v>188</v>
      </c>
      <c r="BM842" s="138">
        <f t="shared" si="103"/>
        <v>0</v>
      </c>
      <c r="BN842" s="42">
        <f t="shared" si="104"/>
        <v>0</v>
      </c>
      <c r="BS842" s="1">
        <v>10469</v>
      </c>
      <c r="BT842" s="1" t="s">
        <v>902</v>
      </c>
      <c r="BX842" s="36"/>
    </row>
    <row r="843" spans="2:76" ht="14.25">
      <c r="B843" s="36"/>
      <c r="C843" s="36"/>
      <c r="D843" s="36"/>
      <c r="E843" s="36"/>
      <c r="F843" s="36"/>
      <c r="G843" s="36"/>
      <c r="H843" s="36"/>
      <c r="J843" s="36"/>
      <c r="L843" s="1" t="str">
        <f t="shared" si="105"/>
        <v/>
      </c>
      <c r="M843" s="94">
        <v>838</v>
      </c>
      <c r="N843" s="36" t="s">
        <v>2498</v>
      </c>
      <c r="O843" s="95">
        <v>310545</v>
      </c>
      <c r="P843" s="36"/>
      <c r="AI843" s="122">
        <v>531</v>
      </c>
      <c r="AJ843" s="1" t="s">
        <v>2187</v>
      </c>
      <c r="AK843" s="1">
        <v>310238</v>
      </c>
      <c r="AL843" s="1" t="s">
        <v>930</v>
      </c>
      <c r="AN843" s="270">
        <v>937</v>
      </c>
      <c r="AQ843" s="1">
        <v>695</v>
      </c>
      <c r="AR843" s="1" t="s">
        <v>731</v>
      </c>
      <c r="AS843" s="1">
        <v>210588</v>
      </c>
      <c r="AT843" s="1" t="s">
        <v>115</v>
      </c>
      <c r="AV843" s="241">
        <v>189</v>
      </c>
      <c r="BM843" s="138">
        <f t="shared" si="103"/>
        <v>0</v>
      </c>
      <c r="BN843" s="42">
        <f t="shared" si="104"/>
        <v>0</v>
      </c>
      <c r="BS843" s="1">
        <v>10470</v>
      </c>
      <c r="BT843" s="1" t="s">
        <v>902</v>
      </c>
      <c r="BX843" s="36"/>
    </row>
    <row r="844" spans="2:76" ht="14.25">
      <c r="B844" s="36"/>
      <c r="C844" s="36"/>
      <c r="D844" s="36"/>
      <c r="E844" s="36"/>
      <c r="F844" s="36"/>
      <c r="G844" s="36"/>
      <c r="H844" s="36"/>
      <c r="J844" s="36"/>
      <c r="L844" s="1" t="str">
        <f t="shared" si="105"/>
        <v/>
      </c>
      <c r="M844" s="94">
        <v>839</v>
      </c>
      <c r="N844" s="36" t="s">
        <v>2499</v>
      </c>
      <c r="O844" s="95">
        <v>310546</v>
      </c>
      <c r="P844" s="36"/>
      <c r="AI844" s="122">
        <v>532</v>
      </c>
      <c r="AJ844" s="1" t="s">
        <v>2188</v>
      </c>
      <c r="AK844" s="1">
        <v>310239</v>
      </c>
      <c r="AL844" s="1" t="s">
        <v>115</v>
      </c>
      <c r="AN844" s="270">
        <v>938</v>
      </c>
      <c r="AQ844" s="1">
        <v>696</v>
      </c>
      <c r="AR844" s="1" t="s">
        <v>732</v>
      </c>
      <c r="AS844" s="1">
        <v>210589</v>
      </c>
      <c r="AT844" s="1" t="s">
        <v>115</v>
      </c>
      <c r="AV844" s="241">
        <v>190</v>
      </c>
      <c r="BM844" s="138">
        <f t="shared" si="103"/>
        <v>0</v>
      </c>
      <c r="BN844" s="42">
        <f t="shared" si="104"/>
        <v>0</v>
      </c>
      <c r="BS844" s="1">
        <v>10471</v>
      </c>
      <c r="BT844" s="1" t="s">
        <v>902</v>
      </c>
      <c r="BX844" s="36"/>
    </row>
    <row r="845" spans="2:76" ht="14.25">
      <c r="B845" s="36"/>
      <c r="C845" s="36"/>
      <c r="D845" s="36"/>
      <c r="E845" s="36"/>
      <c r="F845" s="36"/>
      <c r="G845" s="36"/>
      <c r="H845" s="36"/>
      <c r="J845" s="36"/>
      <c r="L845" s="1" t="str">
        <f t="shared" si="105"/>
        <v/>
      </c>
      <c r="M845" s="94">
        <v>840</v>
      </c>
      <c r="N845" s="36" t="s">
        <v>2500</v>
      </c>
      <c r="O845" s="95">
        <v>310547</v>
      </c>
      <c r="P845" s="36"/>
      <c r="AI845" s="122">
        <v>533</v>
      </c>
      <c r="AJ845" s="1" t="s">
        <v>2189</v>
      </c>
      <c r="AK845" s="1">
        <v>310240</v>
      </c>
      <c r="AL845" s="1" t="s">
        <v>930</v>
      </c>
      <c r="AN845" s="270">
        <v>939</v>
      </c>
      <c r="AQ845" s="1">
        <v>697</v>
      </c>
      <c r="AR845" s="1" t="s">
        <v>733</v>
      </c>
      <c r="AS845" s="1">
        <v>210590</v>
      </c>
      <c r="AT845" s="1" t="s">
        <v>116</v>
      </c>
      <c r="AV845" s="241">
        <v>191</v>
      </c>
      <c r="BM845" s="138">
        <f t="shared" si="103"/>
        <v>0</v>
      </c>
      <c r="BN845" s="42">
        <f t="shared" si="104"/>
        <v>0</v>
      </c>
      <c r="BS845" s="1">
        <v>10472</v>
      </c>
      <c r="BT845" s="1" t="s">
        <v>902</v>
      </c>
      <c r="BX845" s="36"/>
    </row>
    <row r="846" spans="2:76" ht="14.25">
      <c r="B846" s="36"/>
      <c r="C846" s="36"/>
      <c r="D846" s="36"/>
      <c r="E846" s="36"/>
      <c r="F846" s="36"/>
      <c r="G846" s="36"/>
      <c r="H846" s="36"/>
      <c r="J846" s="36"/>
      <c r="L846" s="1" t="str">
        <f t="shared" si="105"/>
        <v/>
      </c>
      <c r="M846" s="94">
        <v>841</v>
      </c>
      <c r="N846" s="36" t="s">
        <v>2501</v>
      </c>
      <c r="O846" s="95">
        <v>310548</v>
      </c>
      <c r="P846" s="36"/>
      <c r="AI846" s="122">
        <v>534</v>
      </c>
      <c r="AJ846" s="1" t="s">
        <v>2190</v>
      </c>
      <c r="AK846" s="1">
        <v>310241</v>
      </c>
      <c r="AL846" s="1" t="s">
        <v>115</v>
      </c>
      <c r="AN846" s="270">
        <v>940</v>
      </c>
      <c r="AQ846" s="1">
        <v>698</v>
      </c>
      <c r="AR846" s="1" t="s">
        <v>734</v>
      </c>
      <c r="AS846" s="1">
        <v>210591</v>
      </c>
      <c r="AT846" s="1" t="s">
        <v>115</v>
      </c>
      <c r="AV846" s="241">
        <v>192</v>
      </c>
      <c r="BM846" s="138">
        <f t="shared" si="103"/>
        <v>0</v>
      </c>
      <c r="BN846" s="42">
        <f t="shared" si="104"/>
        <v>0</v>
      </c>
      <c r="BS846" s="1">
        <v>10473</v>
      </c>
      <c r="BT846" s="1" t="s">
        <v>902</v>
      </c>
      <c r="BX846" s="36"/>
    </row>
    <row r="847" spans="2:76" ht="14.25">
      <c r="B847" s="36"/>
      <c r="C847" s="36"/>
      <c r="D847" s="36"/>
      <c r="E847" s="36"/>
      <c r="F847" s="36"/>
      <c r="G847" s="36"/>
      <c r="H847" s="36"/>
      <c r="J847" s="36"/>
      <c r="L847" s="1" t="str">
        <f t="shared" si="105"/>
        <v/>
      </c>
      <c r="M847" s="94">
        <v>842</v>
      </c>
      <c r="N847" s="36" t="s">
        <v>2502</v>
      </c>
      <c r="O847" s="95">
        <v>310549</v>
      </c>
      <c r="P847" s="36"/>
      <c r="AI847" s="122">
        <v>535</v>
      </c>
      <c r="AJ847" s="1" t="s">
        <v>2191</v>
      </c>
      <c r="AK847" s="1">
        <v>310242</v>
      </c>
      <c r="AL847" s="1" t="s">
        <v>930</v>
      </c>
      <c r="AN847" s="270">
        <v>941</v>
      </c>
      <c r="AQ847" s="1">
        <v>699</v>
      </c>
      <c r="AR847" s="1" t="s">
        <v>735</v>
      </c>
      <c r="AS847" s="1">
        <v>210594</v>
      </c>
      <c r="AT847" s="1" t="s">
        <v>116</v>
      </c>
      <c r="AV847" s="241">
        <v>193</v>
      </c>
      <c r="BM847" s="138">
        <f t="shared" si="103"/>
        <v>0</v>
      </c>
      <c r="BN847" s="42">
        <f t="shared" si="104"/>
        <v>0</v>
      </c>
      <c r="BS847" s="1">
        <v>10474</v>
      </c>
      <c r="BT847" s="1" t="s">
        <v>902</v>
      </c>
      <c r="BX847" s="36"/>
    </row>
    <row r="848" spans="2:76" ht="14.25">
      <c r="B848" s="36"/>
      <c r="C848" s="36"/>
      <c r="D848" s="36"/>
      <c r="E848" s="36"/>
      <c r="F848" s="36"/>
      <c r="G848" s="36"/>
      <c r="H848" s="36"/>
      <c r="J848" s="36"/>
      <c r="L848" s="1" t="str">
        <f t="shared" si="105"/>
        <v/>
      </c>
      <c r="M848" s="94">
        <v>843</v>
      </c>
      <c r="N848" s="36" t="s">
        <v>2503</v>
      </c>
      <c r="O848" s="95">
        <v>310550</v>
      </c>
      <c r="P848" s="36"/>
      <c r="AI848" s="122">
        <v>536</v>
      </c>
      <c r="AJ848" s="1" t="s">
        <v>2192</v>
      </c>
      <c r="AK848" s="1">
        <v>310243</v>
      </c>
      <c r="AL848" s="1" t="s">
        <v>930</v>
      </c>
      <c r="AN848" s="270">
        <v>942</v>
      </c>
      <c r="AQ848" s="1">
        <v>700</v>
      </c>
      <c r="AR848" s="1" t="s">
        <v>736</v>
      </c>
      <c r="AS848" s="1">
        <v>210595</v>
      </c>
      <c r="AT848" s="1" t="s">
        <v>115</v>
      </c>
      <c r="AV848" s="241">
        <v>194</v>
      </c>
      <c r="BM848" s="138">
        <f t="shared" si="103"/>
        <v>0</v>
      </c>
      <c r="BN848" s="42">
        <f t="shared" si="104"/>
        <v>0</v>
      </c>
      <c r="BS848" s="1">
        <v>10475</v>
      </c>
      <c r="BT848" s="1" t="s">
        <v>902</v>
      </c>
      <c r="BX848" s="36"/>
    </row>
    <row r="849" spans="2:76" ht="14.25">
      <c r="B849" s="36"/>
      <c r="C849" s="36"/>
      <c r="D849" s="36"/>
      <c r="E849" s="36"/>
      <c r="F849" s="36"/>
      <c r="G849" s="36"/>
      <c r="H849" s="36"/>
      <c r="J849" s="36"/>
      <c r="L849" s="1" t="str">
        <f t="shared" si="105"/>
        <v/>
      </c>
      <c r="M849" s="94">
        <v>844</v>
      </c>
      <c r="N849" s="36" t="s">
        <v>2504</v>
      </c>
      <c r="O849" s="95">
        <v>310551</v>
      </c>
      <c r="P849" s="36"/>
      <c r="AI849" s="122">
        <v>537</v>
      </c>
      <c r="AJ849" s="1" t="s">
        <v>2193</v>
      </c>
      <c r="AK849" s="1">
        <v>310244</v>
      </c>
      <c r="AL849" s="1" t="s">
        <v>115</v>
      </c>
      <c r="AN849" s="270">
        <v>943</v>
      </c>
      <c r="AQ849" s="1">
        <v>701</v>
      </c>
      <c r="AR849" s="1" t="s">
        <v>737</v>
      </c>
      <c r="AS849" s="1">
        <v>210596</v>
      </c>
      <c r="AT849" s="1" t="s">
        <v>115</v>
      </c>
      <c r="AV849" s="241">
        <v>195</v>
      </c>
      <c r="BM849" s="138">
        <f t="shared" si="103"/>
        <v>0</v>
      </c>
      <c r="BN849" s="42">
        <f t="shared" si="104"/>
        <v>0</v>
      </c>
      <c r="BS849" s="1">
        <v>10476</v>
      </c>
      <c r="BT849" s="1" t="s">
        <v>902</v>
      </c>
      <c r="BX849" s="36"/>
    </row>
    <row r="850" spans="2:76" ht="14.25">
      <c r="B850" s="36"/>
      <c r="C850" s="36"/>
      <c r="D850" s="36"/>
      <c r="E850" s="36"/>
      <c r="F850" s="36"/>
      <c r="G850" s="36"/>
      <c r="H850" s="36"/>
      <c r="J850" s="36"/>
      <c r="L850" s="1" t="str">
        <f t="shared" si="105"/>
        <v/>
      </c>
      <c r="M850" s="94">
        <v>845</v>
      </c>
      <c r="N850" s="36" t="s">
        <v>2505</v>
      </c>
      <c r="O850" s="95">
        <v>310552</v>
      </c>
      <c r="P850" s="36"/>
      <c r="AI850" s="122">
        <v>538</v>
      </c>
      <c r="AJ850" s="1" t="s">
        <v>2194</v>
      </c>
      <c r="AK850" s="1">
        <v>310245</v>
      </c>
      <c r="AL850" s="1" t="s">
        <v>930</v>
      </c>
      <c r="AN850" s="270">
        <v>944</v>
      </c>
      <c r="AQ850" s="1">
        <v>702</v>
      </c>
      <c r="AR850" s="1" t="s">
        <v>738</v>
      </c>
      <c r="AS850" s="1">
        <v>210597</v>
      </c>
      <c r="AT850" s="1" t="s">
        <v>116</v>
      </c>
      <c r="AV850" s="241">
        <v>196</v>
      </c>
      <c r="BM850" s="138">
        <f t="shared" si="103"/>
        <v>0</v>
      </c>
      <c r="BN850" s="42">
        <f t="shared" si="104"/>
        <v>0</v>
      </c>
      <c r="BS850" s="1">
        <v>10477</v>
      </c>
      <c r="BT850" s="1" t="s">
        <v>902</v>
      </c>
      <c r="BX850" s="36"/>
    </row>
    <row r="851" spans="2:76" ht="14.25">
      <c r="B851" s="36"/>
      <c r="C851" s="36"/>
      <c r="D851" s="36"/>
      <c r="E851" s="36"/>
      <c r="F851" s="36"/>
      <c r="G851" s="36"/>
      <c r="H851" s="36"/>
      <c r="J851" s="36"/>
      <c r="L851" s="1" t="str">
        <f t="shared" si="105"/>
        <v/>
      </c>
      <c r="M851" s="94">
        <v>846</v>
      </c>
      <c r="N851" s="36" t="s">
        <v>2506</v>
      </c>
      <c r="O851" s="95">
        <v>310553</v>
      </c>
      <c r="P851" s="36"/>
      <c r="AI851" s="122">
        <v>539</v>
      </c>
      <c r="AJ851" s="1" t="s">
        <v>2195</v>
      </c>
      <c r="AK851" s="1">
        <v>310246</v>
      </c>
      <c r="AL851" s="1" t="s">
        <v>115</v>
      </c>
      <c r="AN851" s="270">
        <v>945</v>
      </c>
      <c r="AQ851" s="1">
        <v>703</v>
      </c>
      <c r="AR851" s="1" t="s">
        <v>739</v>
      </c>
      <c r="AS851" s="1">
        <v>210598</v>
      </c>
      <c r="AT851" s="1" t="s">
        <v>115</v>
      </c>
      <c r="AV851" s="241">
        <v>197</v>
      </c>
      <c r="BM851" s="138">
        <f t="shared" si="103"/>
        <v>0</v>
      </c>
      <c r="BN851" s="42">
        <f t="shared" si="104"/>
        <v>0</v>
      </c>
      <c r="BS851" s="1">
        <v>10478</v>
      </c>
      <c r="BT851" s="1" t="s">
        <v>902</v>
      </c>
      <c r="BX851" s="36"/>
    </row>
    <row r="852" spans="2:76" ht="14.25">
      <c r="B852" s="36"/>
      <c r="C852" s="36"/>
      <c r="D852" s="36"/>
      <c r="E852" s="36"/>
      <c r="F852" s="36"/>
      <c r="G852" s="36"/>
      <c r="H852" s="36"/>
      <c r="J852" s="36"/>
      <c r="L852" s="1" t="str">
        <f t="shared" si="105"/>
        <v/>
      </c>
      <c r="M852" s="94">
        <v>847</v>
      </c>
      <c r="N852" s="36" t="s">
        <v>2507</v>
      </c>
      <c r="O852" s="95">
        <v>310554</v>
      </c>
      <c r="P852" s="36"/>
      <c r="AI852" s="122">
        <v>540</v>
      </c>
      <c r="AJ852" s="1" t="s">
        <v>2196</v>
      </c>
      <c r="AK852" s="1">
        <v>310247</v>
      </c>
      <c r="AL852" s="1" t="s">
        <v>930</v>
      </c>
      <c r="AN852" s="270">
        <v>946</v>
      </c>
      <c r="AQ852" s="1">
        <v>704</v>
      </c>
      <c r="AR852" s="1" t="s">
        <v>740</v>
      </c>
      <c r="AS852" s="1">
        <v>210599</v>
      </c>
      <c r="AT852" s="1" t="s">
        <v>116</v>
      </c>
      <c r="AV852" s="241">
        <v>198</v>
      </c>
      <c r="BM852" s="138">
        <f t="shared" si="103"/>
        <v>0</v>
      </c>
      <c r="BN852" s="42">
        <f t="shared" si="104"/>
        <v>0</v>
      </c>
      <c r="BS852" s="1">
        <v>10479</v>
      </c>
      <c r="BT852" s="1" t="s">
        <v>902</v>
      </c>
      <c r="BX852" s="36"/>
    </row>
    <row r="853" spans="2:76" ht="14.25">
      <c r="B853" s="36"/>
      <c r="C853" s="36"/>
      <c r="D853" s="36"/>
      <c r="E853" s="36"/>
      <c r="F853" s="36"/>
      <c r="G853" s="36"/>
      <c r="H853" s="36"/>
      <c r="J853" s="36"/>
      <c r="L853" s="1" t="str">
        <f t="shared" si="105"/>
        <v/>
      </c>
      <c r="M853" s="94">
        <v>848</v>
      </c>
      <c r="N853" s="36" t="s">
        <v>2508</v>
      </c>
      <c r="O853" s="95">
        <v>310555</v>
      </c>
      <c r="P853" s="36"/>
      <c r="AI853" s="122">
        <v>541</v>
      </c>
      <c r="AJ853" s="1" t="s">
        <v>2197</v>
      </c>
      <c r="AK853" s="1">
        <v>310248</v>
      </c>
      <c r="AL853" s="1" t="s">
        <v>115</v>
      </c>
      <c r="AN853" s="270">
        <v>947</v>
      </c>
      <c r="AQ853" s="1">
        <v>705</v>
      </c>
      <c r="AR853" s="1" t="s">
        <v>741</v>
      </c>
      <c r="AS853" s="1">
        <v>210600</v>
      </c>
      <c r="AT853" s="1" t="s">
        <v>115</v>
      </c>
      <c r="AV853" s="241">
        <v>199</v>
      </c>
      <c r="BM853" s="138">
        <f t="shared" si="103"/>
        <v>0</v>
      </c>
      <c r="BN853" s="42">
        <f t="shared" si="104"/>
        <v>0</v>
      </c>
      <c r="BS853" s="1">
        <v>10480</v>
      </c>
      <c r="BT853" s="1" t="s">
        <v>902</v>
      </c>
      <c r="BX853" s="36"/>
    </row>
    <row r="854" spans="2:76" ht="14.25">
      <c r="B854" s="36"/>
      <c r="C854" s="36"/>
      <c r="D854" s="36"/>
      <c r="E854" s="36"/>
      <c r="F854" s="36"/>
      <c r="G854" s="36"/>
      <c r="H854" s="36"/>
      <c r="J854" s="36"/>
      <c r="L854" s="1" t="str">
        <f t="shared" si="105"/>
        <v/>
      </c>
      <c r="M854" s="94">
        <v>849</v>
      </c>
      <c r="N854" s="36" t="s">
        <v>2509</v>
      </c>
      <c r="O854" s="95">
        <v>310556</v>
      </c>
      <c r="P854" s="36"/>
      <c r="AI854" s="122">
        <v>542</v>
      </c>
      <c r="AJ854" s="1" t="s">
        <v>2198</v>
      </c>
      <c r="AK854" s="1">
        <v>310249</v>
      </c>
      <c r="AL854" s="1" t="s">
        <v>930</v>
      </c>
      <c r="AN854" s="270">
        <v>948</v>
      </c>
      <c r="AQ854" s="1">
        <v>706</v>
      </c>
      <c r="AR854" s="1" t="s">
        <v>742</v>
      </c>
      <c r="AS854" s="1">
        <v>210601</v>
      </c>
      <c r="AT854" s="1" t="s">
        <v>115</v>
      </c>
      <c r="AV854" s="241">
        <v>200</v>
      </c>
      <c r="BM854" s="138">
        <f t="shared" si="103"/>
        <v>0</v>
      </c>
      <c r="BN854" s="42">
        <f t="shared" si="104"/>
        <v>0</v>
      </c>
      <c r="BS854" s="1">
        <v>10481</v>
      </c>
      <c r="BT854" s="1" t="s">
        <v>902</v>
      </c>
      <c r="BX854" s="36"/>
    </row>
    <row r="855" spans="2:76" ht="14.25">
      <c r="B855" s="36"/>
      <c r="C855" s="36"/>
      <c r="D855" s="36"/>
      <c r="E855" s="36"/>
      <c r="F855" s="36"/>
      <c r="G855" s="36"/>
      <c r="H855" s="36"/>
      <c r="J855" s="36"/>
      <c r="L855" s="1" t="str">
        <f t="shared" si="105"/>
        <v/>
      </c>
      <c r="M855" s="94">
        <v>850</v>
      </c>
      <c r="N855" s="36" t="s">
        <v>2510</v>
      </c>
      <c r="O855" s="95">
        <v>310557</v>
      </c>
      <c r="P855" s="36"/>
      <c r="AI855" s="122">
        <v>543</v>
      </c>
      <c r="AJ855" s="1" t="s">
        <v>2199</v>
      </c>
      <c r="AK855" s="1">
        <v>310250</v>
      </c>
      <c r="AL855" s="1" t="s">
        <v>930</v>
      </c>
      <c r="AN855" s="270">
        <v>949</v>
      </c>
      <c r="AQ855" s="1">
        <v>707</v>
      </c>
      <c r="AR855" s="1" t="s">
        <v>743</v>
      </c>
      <c r="AS855" s="1">
        <v>210592</v>
      </c>
      <c r="AT855" s="1" t="s">
        <v>116</v>
      </c>
      <c r="AV855" s="241">
        <v>201</v>
      </c>
      <c r="BM855" s="138">
        <f t="shared" si="103"/>
        <v>0</v>
      </c>
      <c r="BN855" s="42">
        <f t="shared" si="104"/>
        <v>0</v>
      </c>
      <c r="BS855" s="1">
        <v>10482</v>
      </c>
      <c r="BT855" s="1" t="s">
        <v>902</v>
      </c>
      <c r="BX855" s="36"/>
    </row>
    <row r="856" spans="2:76" ht="14.25">
      <c r="B856" s="36"/>
      <c r="C856" s="36"/>
      <c r="D856" s="36"/>
      <c r="E856" s="36"/>
      <c r="F856" s="36"/>
      <c r="G856" s="36"/>
      <c r="H856" s="36"/>
      <c r="J856" s="36"/>
      <c r="L856" s="1" t="str">
        <f t="shared" si="105"/>
        <v/>
      </c>
      <c r="M856" s="94">
        <v>851</v>
      </c>
      <c r="N856" s="36" t="s">
        <v>2511</v>
      </c>
      <c r="O856" s="95">
        <v>310558</v>
      </c>
      <c r="P856" s="36"/>
      <c r="AI856" s="122">
        <v>544</v>
      </c>
      <c r="AJ856" s="1" t="s">
        <v>2200</v>
      </c>
      <c r="AK856" s="1">
        <v>310251</v>
      </c>
      <c r="AL856" s="1" t="s">
        <v>115</v>
      </c>
      <c r="AN856" s="270">
        <v>950</v>
      </c>
      <c r="AQ856" s="1">
        <v>708</v>
      </c>
      <c r="AR856" s="1" t="s">
        <v>744</v>
      </c>
      <c r="AS856" s="1">
        <v>210593</v>
      </c>
      <c r="AT856" s="1" t="s">
        <v>115</v>
      </c>
      <c r="AV856" s="241">
        <v>202</v>
      </c>
      <c r="BM856" s="138">
        <f t="shared" si="103"/>
        <v>0</v>
      </c>
      <c r="BN856" s="42">
        <f t="shared" si="104"/>
        <v>0</v>
      </c>
      <c r="BS856" s="1">
        <v>10483</v>
      </c>
      <c r="BT856" s="1" t="s">
        <v>902</v>
      </c>
      <c r="BX856" s="36"/>
    </row>
    <row r="857" spans="2:76" ht="14.25">
      <c r="B857" s="36"/>
      <c r="C857" s="36"/>
      <c r="D857" s="36"/>
      <c r="E857" s="36"/>
      <c r="F857" s="36"/>
      <c r="G857" s="36"/>
      <c r="H857" s="36"/>
      <c r="J857" s="36"/>
      <c r="L857" s="1" t="str">
        <f t="shared" si="105"/>
        <v/>
      </c>
      <c r="M857" s="94">
        <v>852</v>
      </c>
      <c r="N857" s="36" t="s">
        <v>2512</v>
      </c>
      <c r="O857" s="95">
        <v>310559</v>
      </c>
      <c r="P857" s="36"/>
      <c r="AI857" s="122">
        <v>545</v>
      </c>
      <c r="AJ857" s="1" t="s">
        <v>2201</v>
      </c>
      <c r="AK857" s="1">
        <v>310252</v>
      </c>
      <c r="AL857" s="1" t="s">
        <v>930</v>
      </c>
      <c r="AN857" s="270">
        <v>951</v>
      </c>
      <c r="AQ857" s="1">
        <v>709</v>
      </c>
      <c r="AR857" s="1" t="s">
        <v>745</v>
      </c>
      <c r="AS857" s="1">
        <v>210602</v>
      </c>
      <c r="AT857" s="1" t="s">
        <v>116</v>
      </c>
      <c r="AV857" s="241">
        <v>203</v>
      </c>
      <c r="BM857" s="138">
        <f t="shared" si="103"/>
        <v>0</v>
      </c>
      <c r="BN857" s="42">
        <f t="shared" si="104"/>
        <v>0</v>
      </c>
      <c r="BS857" s="1">
        <v>10484</v>
      </c>
      <c r="BT857" s="1" t="s">
        <v>902</v>
      </c>
      <c r="BX857" s="36"/>
    </row>
    <row r="858" spans="2:76" ht="14.25">
      <c r="B858" s="36"/>
      <c r="C858" s="36"/>
      <c r="D858" s="36"/>
      <c r="E858" s="36"/>
      <c r="F858" s="36"/>
      <c r="G858" s="36"/>
      <c r="H858" s="36"/>
      <c r="J858" s="36"/>
      <c r="L858" s="1" t="str">
        <f t="shared" si="105"/>
        <v/>
      </c>
      <c r="M858" s="94">
        <v>853</v>
      </c>
      <c r="N858" s="36" t="s">
        <v>2513</v>
      </c>
      <c r="O858" s="95">
        <v>310560</v>
      </c>
      <c r="P858" s="36"/>
      <c r="AI858" s="122">
        <v>546</v>
      </c>
      <c r="AJ858" s="1" t="s">
        <v>2202</v>
      </c>
      <c r="AK858" s="1">
        <v>310253</v>
      </c>
      <c r="AL858" s="1" t="s">
        <v>115</v>
      </c>
      <c r="AN858" s="270">
        <v>952</v>
      </c>
      <c r="AQ858" s="1">
        <v>710</v>
      </c>
      <c r="AR858" s="1" t="s">
        <v>746</v>
      </c>
      <c r="AS858" s="1">
        <v>210603</v>
      </c>
      <c r="AT858" s="1" t="s">
        <v>115</v>
      </c>
      <c r="AV858" s="241">
        <v>204</v>
      </c>
      <c r="BM858" s="138">
        <f t="shared" si="103"/>
        <v>0</v>
      </c>
      <c r="BN858" s="42">
        <f t="shared" si="104"/>
        <v>0</v>
      </c>
      <c r="BS858" s="1">
        <v>10485</v>
      </c>
      <c r="BT858" s="1" t="s">
        <v>902</v>
      </c>
      <c r="BX858" s="36"/>
    </row>
    <row r="859" spans="2:76" ht="14.25">
      <c r="B859" s="36"/>
      <c r="C859" s="36"/>
      <c r="D859" s="36"/>
      <c r="E859" s="36"/>
      <c r="F859" s="36"/>
      <c r="G859" s="36"/>
      <c r="H859" s="36"/>
      <c r="J859" s="36"/>
      <c r="L859" s="1" t="str">
        <f t="shared" si="105"/>
        <v/>
      </c>
      <c r="M859" s="94">
        <v>854</v>
      </c>
      <c r="N859" s="36" t="s">
        <v>2514</v>
      </c>
      <c r="O859" s="95">
        <v>310561</v>
      </c>
      <c r="P859" s="36"/>
      <c r="AI859" s="122">
        <v>547</v>
      </c>
      <c r="AJ859" s="1" t="s">
        <v>2203</v>
      </c>
      <c r="AK859" s="1">
        <v>310254</v>
      </c>
      <c r="AL859" s="1" t="s">
        <v>930</v>
      </c>
      <c r="AN859" s="270">
        <v>953</v>
      </c>
      <c r="AQ859" s="1">
        <v>711</v>
      </c>
      <c r="AR859" s="1" t="s">
        <v>747</v>
      </c>
      <c r="AS859" s="1">
        <v>210604</v>
      </c>
      <c r="AT859" s="1" t="s">
        <v>116</v>
      </c>
      <c r="AV859" s="241">
        <v>205</v>
      </c>
      <c r="BM859" s="138">
        <f t="shared" si="103"/>
        <v>0</v>
      </c>
      <c r="BN859" s="42">
        <f t="shared" si="104"/>
        <v>0</v>
      </c>
      <c r="BS859" s="1">
        <v>10486</v>
      </c>
      <c r="BT859" s="1" t="s">
        <v>902</v>
      </c>
      <c r="BX859" s="36"/>
    </row>
    <row r="860" spans="2:76" ht="14.25">
      <c r="B860" s="36"/>
      <c r="C860" s="36"/>
      <c r="D860" s="36"/>
      <c r="E860" s="36"/>
      <c r="F860" s="36"/>
      <c r="G860" s="36"/>
      <c r="H860" s="36"/>
      <c r="J860" s="36"/>
      <c r="L860" s="1" t="str">
        <f t="shared" si="105"/>
        <v/>
      </c>
      <c r="M860" s="94">
        <v>855</v>
      </c>
      <c r="N860" s="36" t="s">
        <v>2515</v>
      </c>
      <c r="O860" s="95">
        <v>310562</v>
      </c>
      <c r="P860" s="36"/>
      <c r="AI860" s="122">
        <v>548</v>
      </c>
      <c r="AJ860" s="1" t="s">
        <v>2204</v>
      </c>
      <c r="AK860" s="1">
        <v>310255</v>
      </c>
      <c r="AL860" s="1" t="s">
        <v>115</v>
      </c>
      <c r="AN860" s="270">
        <v>954</v>
      </c>
      <c r="AQ860" s="1">
        <v>712</v>
      </c>
      <c r="AR860" s="1" t="s">
        <v>748</v>
      </c>
      <c r="AS860" s="1">
        <v>210605</v>
      </c>
      <c r="AT860" s="1" t="s">
        <v>115</v>
      </c>
      <c r="AV860" s="241">
        <v>206</v>
      </c>
      <c r="BM860" s="138">
        <f t="shared" si="103"/>
        <v>0</v>
      </c>
      <c r="BN860" s="42">
        <f t="shared" si="104"/>
        <v>0</v>
      </c>
      <c r="BS860" s="1">
        <v>10487</v>
      </c>
      <c r="BT860" s="1" t="s">
        <v>902</v>
      </c>
      <c r="BX860" s="36"/>
    </row>
    <row r="861" spans="2:76" ht="14.25">
      <c r="B861" s="36"/>
      <c r="C861" s="36"/>
      <c r="D861" s="36"/>
      <c r="E861" s="36"/>
      <c r="F861" s="36"/>
      <c r="G861" s="36"/>
      <c r="H861" s="36"/>
      <c r="J861" s="36"/>
      <c r="L861" s="1" t="str">
        <f t="shared" si="105"/>
        <v/>
      </c>
      <c r="M861" s="94">
        <v>856</v>
      </c>
      <c r="N861" s="36" t="s">
        <v>2516</v>
      </c>
      <c r="O861" s="95">
        <v>310563</v>
      </c>
      <c r="P861" s="36"/>
      <c r="AI861" s="122">
        <v>549</v>
      </c>
      <c r="AJ861" s="1" t="s">
        <v>2205</v>
      </c>
      <c r="AK861" s="1">
        <v>310256</v>
      </c>
      <c r="AL861" s="1" t="s">
        <v>930</v>
      </c>
      <c r="AN861" s="270">
        <v>955</v>
      </c>
      <c r="AQ861" s="1">
        <v>713</v>
      </c>
      <c r="AR861" s="1" t="s">
        <v>749</v>
      </c>
      <c r="AS861" s="1">
        <v>210606</v>
      </c>
      <c r="AT861" s="1" t="s">
        <v>115</v>
      </c>
      <c r="AV861" s="241">
        <v>207</v>
      </c>
      <c r="BM861" s="138">
        <f t="shared" si="103"/>
        <v>0</v>
      </c>
      <c r="BN861" s="42">
        <f t="shared" si="104"/>
        <v>0</v>
      </c>
      <c r="BS861" s="1">
        <v>10488</v>
      </c>
      <c r="BT861" s="1" t="s">
        <v>902</v>
      </c>
      <c r="BX861" s="36"/>
    </row>
    <row r="862" spans="2:76" ht="14.25">
      <c r="B862" s="36"/>
      <c r="C862" s="36"/>
      <c r="D862" s="36"/>
      <c r="E862" s="36"/>
      <c r="F862" s="36"/>
      <c r="G862" s="36"/>
      <c r="H862" s="36"/>
      <c r="J862" s="36"/>
      <c r="L862" s="1" t="str">
        <f t="shared" si="105"/>
        <v/>
      </c>
      <c r="M862" s="94">
        <v>857</v>
      </c>
      <c r="N862" s="36" t="s">
        <v>2517</v>
      </c>
      <c r="O862" s="95">
        <v>310564</v>
      </c>
      <c r="P862" s="36"/>
      <c r="AI862" s="122">
        <v>550</v>
      </c>
      <c r="AJ862" s="1" t="s">
        <v>2206</v>
      </c>
      <c r="AK862" s="1">
        <v>310257</v>
      </c>
      <c r="AL862" s="1" t="s">
        <v>930</v>
      </c>
      <c r="AN862" s="270">
        <v>956</v>
      </c>
      <c r="AQ862" s="1">
        <v>714</v>
      </c>
      <c r="AR862" s="1" t="s">
        <v>750</v>
      </c>
      <c r="AS862" s="1">
        <v>210607</v>
      </c>
      <c r="AT862" s="1" t="s">
        <v>116</v>
      </c>
      <c r="AV862" s="241">
        <v>208</v>
      </c>
      <c r="BM862" s="138">
        <f t="shared" si="103"/>
        <v>0</v>
      </c>
      <c r="BN862" s="42">
        <f t="shared" si="104"/>
        <v>0</v>
      </c>
      <c r="BS862" s="1">
        <v>10489</v>
      </c>
      <c r="BT862" s="1" t="s">
        <v>902</v>
      </c>
      <c r="BX862" s="36"/>
    </row>
    <row r="863" spans="2:76" ht="14.25">
      <c r="B863" s="36"/>
      <c r="C863" s="36"/>
      <c r="D863" s="36"/>
      <c r="E863" s="36"/>
      <c r="F863" s="36"/>
      <c r="G863" s="36"/>
      <c r="H863" s="36"/>
      <c r="J863" s="36"/>
      <c r="L863" s="1" t="str">
        <f t="shared" si="105"/>
        <v/>
      </c>
      <c r="M863" s="94">
        <v>858</v>
      </c>
      <c r="N863" s="36" t="s">
        <v>2518</v>
      </c>
      <c r="O863" s="95">
        <v>310565</v>
      </c>
      <c r="P863" s="36"/>
      <c r="AI863" s="122">
        <v>551</v>
      </c>
      <c r="AJ863" s="1" t="s">
        <v>2207</v>
      </c>
      <c r="AK863" s="1">
        <v>310258</v>
      </c>
      <c r="AL863" s="1" t="s">
        <v>115</v>
      </c>
      <c r="AN863" s="270">
        <v>957</v>
      </c>
      <c r="AQ863" s="1">
        <v>715</v>
      </c>
      <c r="AR863" s="1" t="s">
        <v>751</v>
      </c>
      <c r="AS863" s="1">
        <v>210608</v>
      </c>
      <c r="AT863" s="1" t="s">
        <v>115</v>
      </c>
      <c r="AV863" s="241">
        <v>209</v>
      </c>
      <c r="BM863" s="138">
        <f t="shared" si="103"/>
        <v>0</v>
      </c>
      <c r="BN863" s="42">
        <f t="shared" si="104"/>
        <v>0</v>
      </c>
      <c r="BS863" s="1">
        <v>10490</v>
      </c>
      <c r="BT863" s="1" t="s">
        <v>902</v>
      </c>
      <c r="BX863" s="36"/>
    </row>
    <row r="864" spans="2:76" ht="14.25">
      <c r="B864" s="36"/>
      <c r="C864" s="36"/>
      <c r="D864" s="36"/>
      <c r="E864" s="36"/>
      <c r="F864" s="36"/>
      <c r="G864" s="36"/>
      <c r="H864" s="36"/>
      <c r="J864" s="36"/>
      <c r="L864" s="1" t="str">
        <f t="shared" si="105"/>
        <v/>
      </c>
      <c r="M864" s="94">
        <v>859</v>
      </c>
      <c r="N864" s="36" t="s">
        <v>2519</v>
      </c>
      <c r="O864" s="95">
        <v>310566</v>
      </c>
      <c r="P864" s="36"/>
      <c r="AI864" s="122">
        <v>552</v>
      </c>
      <c r="AJ864" s="1" t="s">
        <v>2208</v>
      </c>
      <c r="AK864" s="1">
        <v>310259</v>
      </c>
      <c r="AL864" s="1" t="s">
        <v>930</v>
      </c>
      <c r="AN864" s="270">
        <v>958</v>
      </c>
      <c r="AQ864" s="1">
        <v>716</v>
      </c>
      <c r="AR864" s="1" t="s">
        <v>752</v>
      </c>
      <c r="AS864" s="1">
        <v>210609</v>
      </c>
      <c r="AT864" s="1" t="s">
        <v>116</v>
      </c>
      <c r="AV864" s="241">
        <v>210</v>
      </c>
      <c r="BM864" s="138">
        <f t="shared" si="103"/>
        <v>0</v>
      </c>
      <c r="BN864" s="42">
        <f t="shared" si="104"/>
        <v>0</v>
      </c>
      <c r="BS864" s="1">
        <v>10491</v>
      </c>
      <c r="BT864" s="1" t="s">
        <v>902</v>
      </c>
      <c r="BX864" s="36"/>
    </row>
    <row r="865" spans="2:76" ht="14.25">
      <c r="B865" s="36"/>
      <c r="C865" s="36"/>
      <c r="D865" s="36"/>
      <c r="E865" s="36"/>
      <c r="F865" s="36"/>
      <c r="G865" s="36"/>
      <c r="H865" s="36"/>
      <c r="J865" s="36"/>
      <c r="L865" s="1" t="str">
        <f t="shared" si="105"/>
        <v/>
      </c>
      <c r="M865" s="94">
        <v>860</v>
      </c>
      <c r="N865" s="36" t="s">
        <v>2520</v>
      </c>
      <c r="O865" s="95">
        <v>310567</v>
      </c>
      <c r="P865" s="36"/>
      <c r="AI865" s="122">
        <v>553</v>
      </c>
      <c r="AJ865" s="1" t="s">
        <v>2209</v>
      </c>
      <c r="AK865" s="1">
        <v>310260</v>
      </c>
      <c r="AL865" s="1" t="s">
        <v>115</v>
      </c>
      <c r="AN865" s="270">
        <v>959</v>
      </c>
      <c r="AQ865" s="1">
        <v>717</v>
      </c>
      <c r="AR865" s="1" t="s">
        <v>753</v>
      </c>
      <c r="AS865" s="1">
        <v>210610</v>
      </c>
      <c r="AT865" s="1" t="s">
        <v>115</v>
      </c>
      <c r="AV865" s="241">
        <v>211</v>
      </c>
      <c r="BM865" s="138">
        <f t="shared" si="103"/>
        <v>0</v>
      </c>
      <c r="BN865" s="42">
        <f t="shared" si="104"/>
        <v>0</v>
      </c>
      <c r="BS865" s="1">
        <v>10492</v>
      </c>
      <c r="BT865" s="1" t="s">
        <v>902</v>
      </c>
      <c r="BX865" s="36"/>
    </row>
    <row r="866" spans="2:76" ht="14.25">
      <c r="B866" s="36"/>
      <c r="C866" s="36"/>
      <c r="D866" s="36"/>
      <c r="E866" s="36"/>
      <c r="F866" s="36"/>
      <c r="G866" s="36"/>
      <c r="H866" s="36"/>
      <c r="J866" s="36"/>
      <c r="L866" s="1" t="str">
        <f t="shared" si="105"/>
        <v/>
      </c>
      <c r="M866" s="94">
        <v>861</v>
      </c>
      <c r="N866" s="36" t="s">
        <v>2521</v>
      </c>
      <c r="O866" s="95">
        <v>310568</v>
      </c>
      <c r="P866" s="36"/>
      <c r="AI866" s="122">
        <v>554</v>
      </c>
      <c r="AJ866" s="1" t="s">
        <v>2210</v>
      </c>
      <c r="AK866" s="1">
        <v>310261</v>
      </c>
      <c r="AL866" s="1" t="s">
        <v>930</v>
      </c>
      <c r="AN866" s="270">
        <v>960</v>
      </c>
      <c r="AQ866" s="1">
        <v>718</v>
      </c>
      <c r="AR866" s="1" t="s">
        <v>754</v>
      </c>
      <c r="AS866" s="1">
        <v>210613</v>
      </c>
      <c r="AT866" s="1" t="s">
        <v>115</v>
      </c>
      <c r="AV866" s="241">
        <v>212</v>
      </c>
      <c r="BM866" s="138">
        <f t="shared" si="103"/>
        <v>0</v>
      </c>
      <c r="BN866" s="42">
        <f t="shared" si="104"/>
        <v>0</v>
      </c>
      <c r="BS866" s="1">
        <v>10493</v>
      </c>
      <c r="BT866" s="1" t="s">
        <v>902</v>
      </c>
      <c r="BX866" s="36"/>
    </row>
    <row r="867" spans="2:76" ht="14.25">
      <c r="B867" s="36"/>
      <c r="C867" s="36"/>
      <c r="D867" s="36"/>
      <c r="E867" s="36"/>
      <c r="F867" s="36"/>
      <c r="G867" s="36"/>
      <c r="H867" s="36"/>
      <c r="J867" s="36"/>
      <c r="L867" s="1" t="str">
        <f t="shared" si="105"/>
        <v/>
      </c>
      <c r="M867" s="94">
        <v>862</v>
      </c>
      <c r="N867" s="36" t="s">
        <v>2522</v>
      </c>
      <c r="O867" s="95">
        <v>310569</v>
      </c>
      <c r="P867" s="36"/>
      <c r="AI867" s="122">
        <v>555</v>
      </c>
      <c r="AJ867" s="1" t="s">
        <v>2211</v>
      </c>
      <c r="AK867" s="1">
        <v>310262</v>
      </c>
      <c r="AL867" s="1" t="s">
        <v>115</v>
      </c>
      <c r="AN867" s="270">
        <v>961</v>
      </c>
      <c r="AQ867" s="1">
        <v>719</v>
      </c>
      <c r="AR867" s="1" t="s">
        <v>755</v>
      </c>
      <c r="AS867" s="1">
        <v>210614</v>
      </c>
      <c r="AT867" s="1" t="s">
        <v>116</v>
      </c>
      <c r="AV867" s="241">
        <v>213</v>
      </c>
      <c r="BM867" s="138">
        <f t="shared" si="103"/>
        <v>0</v>
      </c>
      <c r="BN867" s="42">
        <f t="shared" si="104"/>
        <v>0</v>
      </c>
      <c r="BS867" s="1">
        <v>10494</v>
      </c>
      <c r="BT867" s="1" t="s">
        <v>902</v>
      </c>
      <c r="BX867" s="36"/>
    </row>
    <row r="868" spans="2:76" ht="14.25">
      <c r="B868" s="36"/>
      <c r="C868" s="36"/>
      <c r="D868" s="36"/>
      <c r="E868" s="36"/>
      <c r="F868" s="36"/>
      <c r="G868" s="36"/>
      <c r="H868" s="36"/>
      <c r="J868" s="36"/>
      <c r="L868" s="1" t="str">
        <f t="shared" si="105"/>
        <v/>
      </c>
      <c r="M868" s="94">
        <v>863</v>
      </c>
      <c r="N868" s="36" t="s">
        <v>2523</v>
      </c>
      <c r="O868" s="95">
        <v>310570</v>
      </c>
      <c r="P868" s="36"/>
      <c r="AI868" s="122">
        <v>556</v>
      </c>
      <c r="AJ868" s="1" t="s">
        <v>2212</v>
      </c>
      <c r="AK868" s="1">
        <v>310263</v>
      </c>
      <c r="AL868" s="1" t="s">
        <v>930</v>
      </c>
      <c r="AN868" s="270">
        <v>962</v>
      </c>
      <c r="AQ868" s="1">
        <v>720</v>
      </c>
      <c r="AR868" s="1" t="s">
        <v>756</v>
      </c>
      <c r="AS868" s="1">
        <v>210615</v>
      </c>
      <c r="AT868" s="1" t="s">
        <v>115</v>
      </c>
      <c r="AV868" s="241">
        <v>214</v>
      </c>
      <c r="BM868" s="138">
        <f t="shared" si="103"/>
        <v>0</v>
      </c>
      <c r="BN868" s="42">
        <f t="shared" si="104"/>
        <v>0</v>
      </c>
      <c r="BS868" s="1">
        <v>10495</v>
      </c>
      <c r="BT868" s="1" t="s">
        <v>902</v>
      </c>
      <c r="BX868" s="36"/>
    </row>
    <row r="869" spans="2:76" ht="14.25">
      <c r="B869" s="36"/>
      <c r="C869" s="36"/>
      <c r="D869" s="36"/>
      <c r="E869" s="36"/>
      <c r="F869" s="36"/>
      <c r="G869" s="36"/>
      <c r="H869" s="36"/>
      <c r="J869" s="36"/>
      <c r="L869" s="1" t="str">
        <f t="shared" si="105"/>
        <v/>
      </c>
      <c r="M869" s="94">
        <v>864</v>
      </c>
      <c r="N869" s="36" t="s">
        <v>2524</v>
      </c>
      <c r="O869" s="95">
        <v>310571</v>
      </c>
      <c r="P869" s="36"/>
      <c r="AI869" s="122">
        <v>557</v>
      </c>
      <c r="AJ869" s="1" t="s">
        <v>2213</v>
      </c>
      <c r="AK869" s="1">
        <v>310264</v>
      </c>
      <c r="AL869" s="1" t="s">
        <v>930</v>
      </c>
      <c r="AN869" s="270">
        <v>963</v>
      </c>
      <c r="AQ869" s="1">
        <v>721</v>
      </c>
      <c r="AR869" s="1" t="s">
        <v>757</v>
      </c>
      <c r="AS869" s="1">
        <v>210616</v>
      </c>
      <c r="AT869" s="1" t="s">
        <v>116</v>
      </c>
      <c r="AV869" s="241">
        <v>215</v>
      </c>
      <c r="BM869" s="138">
        <f t="shared" si="103"/>
        <v>0</v>
      </c>
      <c r="BN869" s="42">
        <f t="shared" si="104"/>
        <v>0</v>
      </c>
      <c r="BS869" s="1">
        <v>10496</v>
      </c>
      <c r="BT869" s="1" t="s">
        <v>902</v>
      </c>
      <c r="BX869" s="36"/>
    </row>
    <row r="870" spans="2:76" ht="14.25">
      <c r="B870" s="36"/>
      <c r="C870" s="36"/>
      <c r="D870" s="36"/>
      <c r="E870" s="36"/>
      <c r="F870" s="36"/>
      <c r="G870" s="36"/>
      <c r="H870" s="36"/>
      <c r="J870" s="36"/>
      <c r="L870" s="1" t="str">
        <f t="shared" si="105"/>
        <v/>
      </c>
      <c r="M870" s="94">
        <v>865</v>
      </c>
      <c r="N870" s="36" t="s">
        <v>2525</v>
      </c>
      <c r="O870" s="95">
        <v>310572</v>
      </c>
      <c r="P870" s="36"/>
      <c r="AI870" s="122">
        <v>558</v>
      </c>
      <c r="AJ870" s="1" t="s">
        <v>2214</v>
      </c>
      <c r="AK870" s="1">
        <v>310265</v>
      </c>
      <c r="AL870" s="1" t="s">
        <v>115</v>
      </c>
      <c r="AN870" s="270">
        <v>964</v>
      </c>
      <c r="AQ870" s="1">
        <v>722</v>
      </c>
      <c r="AR870" s="1" t="s">
        <v>758</v>
      </c>
      <c r="AS870" s="1">
        <v>210617</v>
      </c>
      <c r="AT870" s="1" t="s">
        <v>115</v>
      </c>
      <c r="AV870" s="241">
        <v>216</v>
      </c>
      <c r="BM870" s="138">
        <f t="shared" si="103"/>
        <v>0</v>
      </c>
      <c r="BN870" s="42">
        <f t="shared" si="104"/>
        <v>0</v>
      </c>
      <c r="BS870" s="1">
        <v>10497</v>
      </c>
      <c r="BT870" s="1" t="s">
        <v>902</v>
      </c>
      <c r="BX870" s="36"/>
    </row>
    <row r="871" spans="2:76" ht="14.25">
      <c r="B871" s="36"/>
      <c r="C871" s="36"/>
      <c r="D871" s="36"/>
      <c r="E871" s="36"/>
      <c r="F871" s="36"/>
      <c r="G871" s="36"/>
      <c r="H871" s="36"/>
      <c r="J871" s="36"/>
      <c r="L871" s="1" t="str">
        <f t="shared" si="105"/>
        <v/>
      </c>
      <c r="M871" s="94">
        <v>866</v>
      </c>
      <c r="N871" s="36" t="s">
        <v>2526</v>
      </c>
      <c r="O871" s="95">
        <v>310573</v>
      </c>
      <c r="P871" s="36"/>
      <c r="AI871" s="122">
        <v>559</v>
      </c>
      <c r="AJ871" s="1" t="s">
        <v>2215</v>
      </c>
      <c r="AK871" s="1">
        <v>310266</v>
      </c>
      <c r="AL871" s="1" t="s">
        <v>930</v>
      </c>
      <c r="AN871" s="270">
        <v>965</v>
      </c>
      <c r="AQ871" s="1">
        <v>723</v>
      </c>
      <c r="AR871" s="1" t="s">
        <v>759</v>
      </c>
      <c r="AS871" s="1">
        <v>210618</v>
      </c>
      <c r="AT871" s="1" t="s">
        <v>115</v>
      </c>
      <c r="AV871" s="241">
        <v>217</v>
      </c>
      <c r="BM871" s="138">
        <f t="shared" si="103"/>
        <v>0</v>
      </c>
      <c r="BN871" s="42">
        <f t="shared" si="104"/>
        <v>0</v>
      </c>
      <c r="BS871" s="1">
        <v>10498</v>
      </c>
      <c r="BT871" s="1" t="s">
        <v>902</v>
      </c>
      <c r="BX871" s="36"/>
    </row>
    <row r="872" spans="2:76" ht="14.25">
      <c r="B872" s="36"/>
      <c r="C872" s="36"/>
      <c r="D872" s="36"/>
      <c r="E872" s="36"/>
      <c r="F872" s="36"/>
      <c r="G872" s="36"/>
      <c r="H872" s="36"/>
      <c r="J872" s="36"/>
      <c r="L872" s="1" t="str">
        <f t="shared" si="105"/>
        <v/>
      </c>
      <c r="M872" s="94">
        <v>867</v>
      </c>
      <c r="N872" s="36" t="s">
        <v>2527</v>
      </c>
      <c r="O872" s="95">
        <v>310574</v>
      </c>
      <c r="P872" s="36"/>
      <c r="AI872" s="122">
        <v>560</v>
      </c>
      <c r="AJ872" s="1" t="s">
        <v>2216</v>
      </c>
      <c r="AK872" s="1">
        <v>310267</v>
      </c>
      <c r="AL872" s="1" t="s">
        <v>115</v>
      </c>
      <c r="AN872" s="270">
        <v>966</v>
      </c>
      <c r="AQ872" s="1">
        <v>724</v>
      </c>
      <c r="AR872" s="1" t="s">
        <v>760</v>
      </c>
      <c r="AS872" s="1">
        <v>210619</v>
      </c>
      <c r="AT872" s="1" t="s">
        <v>116</v>
      </c>
      <c r="AV872" s="241">
        <v>218</v>
      </c>
      <c r="BM872" s="138">
        <f t="shared" si="103"/>
        <v>0</v>
      </c>
      <c r="BN872" s="42">
        <f t="shared" si="104"/>
        <v>0</v>
      </c>
      <c r="BS872" s="1">
        <v>10499</v>
      </c>
      <c r="BT872" s="1" t="s">
        <v>902</v>
      </c>
      <c r="BX872" s="36"/>
    </row>
    <row r="873" spans="2:76" ht="14.25">
      <c r="B873" s="36"/>
      <c r="C873" s="36"/>
      <c r="D873" s="36"/>
      <c r="E873" s="36"/>
      <c r="F873" s="36"/>
      <c r="G873" s="36"/>
      <c r="H873" s="36"/>
      <c r="J873" s="36"/>
      <c r="L873" s="1" t="str">
        <f t="shared" si="105"/>
        <v/>
      </c>
      <c r="M873" s="94">
        <v>868</v>
      </c>
      <c r="N873" s="36" t="s">
        <v>2528</v>
      </c>
      <c r="O873" s="95">
        <v>310575</v>
      </c>
      <c r="P873" s="36"/>
      <c r="AI873" s="122">
        <v>561</v>
      </c>
      <c r="AJ873" s="1" t="s">
        <v>2217</v>
      </c>
      <c r="AK873" s="1">
        <v>310268</v>
      </c>
      <c r="AL873" s="1" t="s">
        <v>930</v>
      </c>
      <c r="AN873" s="270">
        <v>967</v>
      </c>
      <c r="AQ873" s="1">
        <v>725</v>
      </c>
      <c r="AR873" s="1" t="s">
        <v>761</v>
      </c>
      <c r="AS873" s="1">
        <v>210620</v>
      </c>
      <c r="AT873" s="1" t="s">
        <v>115</v>
      </c>
      <c r="AV873" s="241">
        <v>219</v>
      </c>
      <c r="BM873" s="138">
        <f t="shared" si="103"/>
        <v>0</v>
      </c>
      <c r="BN873" s="42">
        <f t="shared" si="104"/>
        <v>0</v>
      </c>
      <c r="BS873" s="1">
        <v>10500</v>
      </c>
      <c r="BT873" s="1" t="s">
        <v>902</v>
      </c>
      <c r="BX873" s="36"/>
    </row>
    <row r="874" spans="2:76" ht="14.25">
      <c r="B874" s="36"/>
      <c r="C874" s="36"/>
      <c r="D874" s="36"/>
      <c r="E874" s="36"/>
      <c r="F874" s="36"/>
      <c r="G874" s="36"/>
      <c r="H874" s="36"/>
      <c r="J874" s="36"/>
      <c r="L874" s="1" t="str">
        <f t="shared" si="105"/>
        <v/>
      </c>
      <c r="M874" s="94">
        <v>869</v>
      </c>
      <c r="N874" s="36" t="s">
        <v>2529</v>
      </c>
      <c r="O874" s="95">
        <v>310576</v>
      </c>
      <c r="P874" s="36"/>
      <c r="AI874" s="122">
        <v>562</v>
      </c>
      <c r="AJ874" s="1" t="s">
        <v>2218</v>
      </c>
      <c r="AK874" s="1">
        <v>310269</v>
      </c>
      <c r="AL874" s="1" t="s">
        <v>115</v>
      </c>
      <c r="AN874" s="270">
        <v>968</v>
      </c>
      <c r="AQ874" s="1">
        <v>726</v>
      </c>
      <c r="AR874" s="1" t="s">
        <v>762</v>
      </c>
      <c r="AS874" s="1">
        <v>210621</v>
      </c>
      <c r="AT874" s="1" t="s">
        <v>116</v>
      </c>
      <c r="AV874" s="241">
        <v>220</v>
      </c>
      <c r="BM874" s="138">
        <f t="shared" si="103"/>
        <v>0</v>
      </c>
      <c r="BN874" s="42">
        <f t="shared" si="104"/>
        <v>0</v>
      </c>
      <c r="BS874" s="1">
        <v>10501</v>
      </c>
      <c r="BT874" s="1" t="s">
        <v>902</v>
      </c>
      <c r="BX874" s="36"/>
    </row>
    <row r="875" spans="2:76" ht="14.25">
      <c r="B875" s="36"/>
      <c r="C875" s="36"/>
      <c r="D875" s="36"/>
      <c r="E875" s="36"/>
      <c r="F875" s="36"/>
      <c r="G875" s="36"/>
      <c r="H875" s="36"/>
      <c r="J875" s="36"/>
      <c r="L875" s="1" t="str">
        <f t="shared" si="105"/>
        <v/>
      </c>
      <c r="M875" s="94">
        <v>870</v>
      </c>
      <c r="N875" s="36" t="s">
        <v>2530</v>
      </c>
      <c r="O875" s="95">
        <v>310577</v>
      </c>
      <c r="P875" s="36"/>
      <c r="AI875" s="122">
        <v>563</v>
      </c>
      <c r="AJ875" s="1" t="s">
        <v>2219</v>
      </c>
      <c r="AK875" s="1">
        <v>310270</v>
      </c>
      <c r="AL875" s="1" t="s">
        <v>930</v>
      </c>
      <c r="AN875" s="270">
        <v>969</v>
      </c>
      <c r="AQ875" s="1">
        <v>727</v>
      </c>
      <c r="AR875" s="1" t="s">
        <v>763</v>
      </c>
      <c r="AS875" s="1">
        <v>210622</v>
      </c>
      <c r="AT875" s="1" t="s">
        <v>115</v>
      </c>
      <c r="AV875" s="241">
        <v>221</v>
      </c>
      <c r="BM875" s="138">
        <f t="shared" si="103"/>
        <v>0</v>
      </c>
      <c r="BN875" s="42">
        <f t="shared" si="104"/>
        <v>0</v>
      </c>
      <c r="BS875" s="1">
        <v>10502</v>
      </c>
      <c r="BT875" s="1" t="s">
        <v>902</v>
      </c>
      <c r="BX875" s="36"/>
    </row>
    <row r="876" spans="2:76" ht="14.25">
      <c r="B876" s="36"/>
      <c r="C876" s="36"/>
      <c r="D876" s="36"/>
      <c r="E876" s="36"/>
      <c r="F876" s="36"/>
      <c r="G876" s="36"/>
      <c r="H876" s="36"/>
      <c r="J876" s="36"/>
      <c r="L876" s="1" t="str">
        <f t="shared" si="105"/>
        <v/>
      </c>
      <c r="M876" s="94">
        <v>871</v>
      </c>
      <c r="N876" s="36" t="s">
        <v>2531</v>
      </c>
      <c r="O876" s="95">
        <v>310578</v>
      </c>
      <c r="P876" s="36"/>
      <c r="AI876" s="122">
        <v>564</v>
      </c>
      <c r="AJ876" s="1" t="s">
        <v>2220</v>
      </c>
      <c r="AK876" s="1">
        <v>310271</v>
      </c>
      <c r="AL876" s="1" t="s">
        <v>115</v>
      </c>
      <c r="AN876" s="270">
        <v>970</v>
      </c>
      <c r="AQ876" s="1">
        <v>728</v>
      </c>
      <c r="AR876" s="1" t="s">
        <v>764</v>
      </c>
      <c r="AS876" s="1">
        <v>210623</v>
      </c>
      <c r="AT876" s="1" t="s">
        <v>115</v>
      </c>
      <c r="AV876" s="241">
        <v>222</v>
      </c>
      <c r="BM876" s="138">
        <f t="shared" si="103"/>
        <v>0</v>
      </c>
      <c r="BN876" s="42">
        <f t="shared" si="104"/>
        <v>0</v>
      </c>
      <c r="BS876" s="1">
        <v>10503</v>
      </c>
      <c r="BT876" s="1" t="s">
        <v>902</v>
      </c>
      <c r="BX876" s="36"/>
    </row>
    <row r="877" spans="2:76" ht="14.25">
      <c r="B877" s="36"/>
      <c r="C877" s="36"/>
      <c r="D877" s="36"/>
      <c r="E877" s="36"/>
      <c r="F877" s="36"/>
      <c r="G877" s="36"/>
      <c r="H877" s="36"/>
      <c r="J877" s="36"/>
      <c r="L877" s="1" t="str">
        <f t="shared" si="105"/>
        <v/>
      </c>
      <c r="M877" s="94">
        <v>872</v>
      </c>
      <c r="N877" s="36" t="s">
        <v>2532</v>
      </c>
      <c r="O877" s="95">
        <v>310579</v>
      </c>
      <c r="P877" s="36"/>
      <c r="AI877" s="122">
        <v>565</v>
      </c>
      <c r="AJ877" s="1" t="s">
        <v>2221</v>
      </c>
      <c r="AK877" s="1">
        <v>310272</v>
      </c>
      <c r="AL877" s="1" t="s">
        <v>930</v>
      </c>
      <c r="AN877" s="270">
        <v>971</v>
      </c>
      <c r="AQ877" s="1">
        <v>729</v>
      </c>
      <c r="AR877" s="1" t="s">
        <v>765</v>
      </c>
      <c r="AS877" s="1">
        <v>210680</v>
      </c>
      <c r="AT877" s="1" t="s">
        <v>116</v>
      </c>
      <c r="AV877" s="241">
        <v>223</v>
      </c>
      <c r="BM877" s="138">
        <f t="shared" si="103"/>
        <v>0</v>
      </c>
      <c r="BN877" s="42">
        <f t="shared" si="104"/>
        <v>0</v>
      </c>
      <c r="BS877" s="1">
        <v>10504</v>
      </c>
      <c r="BT877" s="1" t="s">
        <v>902</v>
      </c>
      <c r="BX877" s="36"/>
    </row>
    <row r="878" spans="2:76" ht="14.25">
      <c r="B878" s="36"/>
      <c r="C878" s="36"/>
      <c r="D878" s="36"/>
      <c r="E878" s="36"/>
      <c r="F878" s="36"/>
      <c r="G878" s="36"/>
      <c r="H878" s="36"/>
      <c r="J878" s="36"/>
      <c r="L878" s="1" t="str">
        <f t="shared" si="105"/>
        <v/>
      </c>
      <c r="M878" s="94">
        <v>873</v>
      </c>
      <c r="N878" s="36" t="s">
        <v>2533</v>
      </c>
      <c r="O878" s="95">
        <v>310580</v>
      </c>
      <c r="P878" s="36"/>
      <c r="AI878" s="122">
        <v>566</v>
      </c>
      <c r="AJ878" s="1" t="s">
        <v>2222</v>
      </c>
      <c r="AK878" s="1">
        <v>310273</v>
      </c>
      <c r="AL878" s="1" t="s">
        <v>930</v>
      </c>
      <c r="AN878" s="270">
        <v>972</v>
      </c>
      <c r="AQ878" s="1">
        <v>730</v>
      </c>
      <c r="AR878" s="1" t="s">
        <v>766</v>
      </c>
      <c r="AS878" s="1">
        <v>210625</v>
      </c>
      <c r="AT878" s="1" t="s">
        <v>115</v>
      </c>
      <c r="AV878" s="241">
        <v>224</v>
      </c>
      <c r="BM878" s="138">
        <f t="shared" si="103"/>
        <v>0</v>
      </c>
      <c r="BN878" s="42">
        <f t="shared" si="104"/>
        <v>0</v>
      </c>
      <c r="BS878" s="1">
        <v>10505</v>
      </c>
      <c r="BT878" s="1" t="s">
        <v>902</v>
      </c>
      <c r="BX878" s="36"/>
    </row>
    <row r="879" spans="2:76" ht="14.25">
      <c r="B879" s="36"/>
      <c r="C879" s="36"/>
      <c r="D879" s="36"/>
      <c r="E879" s="36"/>
      <c r="F879" s="36"/>
      <c r="G879" s="36"/>
      <c r="H879" s="36"/>
      <c r="J879" s="36"/>
      <c r="L879" s="1" t="str">
        <f t="shared" si="105"/>
        <v/>
      </c>
      <c r="M879" s="94">
        <v>874</v>
      </c>
      <c r="N879" s="36" t="s">
        <v>2534</v>
      </c>
      <c r="O879" s="95">
        <v>310581</v>
      </c>
      <c r="P879" s="36"/>
      <c r="AI879" s="122">
        <v>567</v>
      </c>
      <c r="AJ879" s="1" t="s">
        <v>2223</v>
      </c>
      <c r="AK879" s="1">
        <v>310274</v>
      </c>
      <c r="AL879" s="1" t="s">
        <v>115</v>
      </c>
      <c r="AN879" s="270">
        <v>973</v>
      </c>
      <c r="AQ879" s="1">
        <v>731</v>
      </c>
      <c r="AR879" s="1" t="s">
        <v>767</v>
      </c>
      <c r="AS879" s="1">
        <v>210611</v>
      </c>
      <c r="AT879" s="1" t="s">
        <v>116</v>
      </c>
      <c r="AV879" s="241">
        <v>225</v>
      </c>
      <c r="BM879" s="138">
        <f t="shared" si="103"/>
        <v>0</v>
      </c>
      <c r="BN879" s="42">
        <f t="shared" si="104"/>
        <v>0</v>
      </c>
      <c r="BS879" s="1">
        <v>10506</v>
      </c>
      <c r="BT879" s="1" t="s">
        <v>902</v>
      </c>
      <c r="BX879" s="36"/>
    </row>
    <row r="880" spans="2:76" ht="14.25">
      <c r="B880" s="36"/>
      <c r="C880" s="36"/>
      <c r="D880" s="36"/>
      <c r="E880" s="36"/>
      <c r="F880" s="36"/>
      <c r="G880" s="36"/>
      <c r="H880" s="36"/>
      <c r="J880" s="36"/>
      <c r="L880" s="1" t="str">
        <f t="shared" si="105"/>
        <v/>
      </c>
      <c r="M880" s="94">
        <v>875</v>
      </c>
      <c r="N880" s="36" t="s">
        <v>2535</v>
      </c>
      <c r="O880" s="95">
        <v>310582</v>
      </c>
      <c r="P880" s="36"/>
      <c r="AI880" s="122">
        <v>568</v>
      </c>
      <c r="AJ880" s="1" t="s">
        <v>2224</v>
      </c>
      <c r="AK880" s="1">
        <v>310275</v>
      </c>
      <c r="AL880" s="1" t="s">
        <v>930</v>
      </c>
      <c r="AN880" s="270">
        <v>974</v>
      </c>
      <c r="AQ880" s="1">
        <v>732</v>
      </c>
      <c r="AR880" s="1" t="s">
        <v>768</v>
      </c>
      <c r="AS880" s="1">
        <v>210612</v>
      </c>
      <c r="AT880" s="1" t="s">
        <v>115</v>
      </c>
      <c r="AV880" s="241">
        <v>226</v>
      </c>
      <c r="BM880" s="138">
        <f t="shared" si="103"/>
        <v>0</v>
      </c>
      <c r="BN880" s="42">
        <f t="shared" si="104"/>
        <v>0</v>
      </c>
      <c r="BS880" s="1">
        <v>10507</v>
      </c>
      <c r="BT880" s="1" t="s">
        <v>902</v>
      </c>
      <c r="BX880" s="36"/>
    </row>
    <row r="881" spans="2:76" ht="14.25">
      <c r="B881" s="36"/>
      <c r="C881" s="36"/>
      <c r="D881" s="36"/>
      <c r="E881" s="36"/>
      <c r="F881" s="36"/>
      <c r="G881" s="36"/>
      <c r="H881" s="36"/>
      <c r="J881" s="36"/>
      <c r="L881" s="1" t="str">
        <f t="shared" si="105"/>
        <v/>
      </c>
      <c r="M881" s="94">
        <v>876</v>
      </c>
      <c r="N881" s="36" t="s">
        <v>2536</v>
      </c>
      <c r="O881" s="95">
        <v>310583</v>
      </c>
      <c r="P881" s="36"/>
      <c r="AI881" s="122">
        <v>569</v>
      </c>
      <c r="AJ881" s="1" t="s">
        <v>2225</v>
      </c>
      <c r="AK881" s="1">
        <v>310276</v>
      </c>
      <c r="AL881" s="1" t="s">
        <v>115</v>
      </c>
      <c r="AN881" s="270">
        <v>975</v>
      </c>
      <c r="AQ881" s="1">
        <v>733</v>
      </c>
      <c r="AR881" s="1" t="s">
        <v>769</v>
      </c>
      <c r="AS881" s="1">
        <v>210626</v>
      </c>
      <c r="AT881" s="1" t="s">
        <v>116</v>
      </c>
      <c r="AV881" s="241">
        <v>227</v>
      </c>
      <c r="BM881" s="138">
        <f t="shared" si="103"/>
        <v>0</v>
      </c>
      <c r="BN881" s="42">
        <f t="shared" si="104"/>
        <v>0</v>
      </c>
      <c r="BS881" s="1">
        <v>10508</v>
      </c>
      <c r="BT881" s="1" t="s">
        <v>902</v>
      </c>
      <c r="BX881" s="36"/>
    </row>
    <row r="882" spans="2:76" ht="14.25">
      <c r="B882" s="36"/>
      <c r="C882" s="36"/>
      <c r="D882" s="36"/>
      <c r="E882" s="36"/>
      <c r="F882" s="36"/>
      <c r="G882" s="36"/>
      <c r="H882" s="36"/>
      <c r="J882" s="36"/>
      <c r="L882" s="1" t="str">
        <f t="shared" si="105"/>
        <v/>
      </c>
      <c r="M882" s="94">
        <v>877</v>
      </c>
      <c r="N882" s="36" t="s">
        <v>2537</v>
      </c>
      <c r="O882" s="95">
        <v>310584</v>
      </c>
      <c r="P882" s="36"/>
      <c r="AI882" s="122">
        <v>570</v>
      </c>
      <c r="AJ882" s="1" t="s">
        <v>2226</v>
      </c>
      <c r="AK882" s="1">
        <v>310277</v>
      </c>
      <c r="AL882" s="1" t="s">
        <v>930</v>
      </c>
      <c r="AN882" s="270">
        <v>976</v>
      </c>
      <c r="AQ882" s="1">
        <v>734</v>
      </c>
      <c r="AR882" s="1" t="s">
        <v>770</v>
      </c>
      <c r="AS882" s="1">
        <v>210627</v>
      </c>
      <c r="AT882" s="1" t="s">
        <v>115</v>
      </c>
      <c r="AV882" s="241">
        <v>228</v>
      </c>
      <c r="BM882" s="138">
        <f t="shared" si="103"/>
        <v>0</v>
      </c>
      <c r="BN882" s="42">
        <f t="shared" si="104"/>
        <v>0</v>
      </c>
      <c r="BS882" s="1">
        <v>10509</v>
      </c>
      <c r="BT882" s="1" t="s">
        <v>902</v>
      </c>
      <c r="BX882" s="36"/>
    </row>
    <row r="883" spans="2:76" ht="14.25">
      <c r="B883" s="36"/>
      <c r="C883" s="36"/>
      <c r="D883" s="36"/>
      <c r="E883" s="36"/>
      <c r="F883" s="36"/>
      <c r="G883" s="36"/>
      <c r="H883" s="36"/>
      <c r="J883" s="36"/>
      <c r="L883" s="1" t="str">
        <f t="shared" si="105"/>
        <v/>
      </c>
      <c r="M883" s="94">
        <v>878</v>
      </c>
      <c r="N883" s="36" t="s">
        <v>2538</v>
      </c>
      <c r="O883" s="95">
        <v>310585</v>
      </c>
      <c r="P883" s="36"/>
      <c r="AI883" s="122">
        <v>571</v>
      </c>
      <c r="AJ883" s="1" t="s">
        <v>2227</v>
      </c>
      <c r="AK883" s="1">
        <v>310278</v>
      </c>
      <c r="AL883" s="1" t="s">
        <v>115</v>
      </c>
      <c r="AN883" s="270">
        <v>977</v>
      </c>
      <c r="AQ883" s="1">
        <v>735</v>
      </c>
      <c r="AR883" s="1" t="s">
        <v>771</v>
      </c>
      <c r="AS883" s="1">
        <v>210628</v>
      </c>
      <c r="AT883" s="1" t="s">
        <v>115</v>
      </c>
      <c r="AV883" s="241">
        <v>229</v>
      </c>
      <c r="BM883" s="138">
        <f t="shared" si="103"/>
        <v>0</v>
      </c>
      <c r="BN883" s="42">
        <f t="shared" si="104"/>
        <v>0</v>
      </c>
      <c r="BS883" s="1">
        <v>10510</v>
      </c>
      <c r="BT883" s="1" t="s">
        <v>902</v>
      </c>
      <c r="BX883" s="36"/>
    </row>
    <row r="884" spans="2:76" ht="14.25">
      <c r="B884" s="36"/>
      <c r="C884" s="36"/>
      <c r="D884" s="36"/>
      <c r="E884" s="36"/>
      <c r="F884" s="36"/>
      <c r="G884" s="36"/>
      <c r="H884" s="36"/>
      <c r="J884" s="36"/>
      <c r="L884" s="1" t="str">
        <f t="shared" si="105"/>
        <v/>
      </c>
      <c r="M884" s="94">
        <v>879</v>
      </c>
      <c r="N884" s="36" t="s">
        <v>2539</v>
      </c>
      <c r="O884" s="95">
        <v>310586</v>
      </c>
      <c r="P884" s="36"/>
      <c r="AI884" s="122">
        <v>572</v>
      </c>
      <c r="AJ884" s="1" t="s">
        <v>2228</v>
      </c>
      <c r="AK884" s="1">
        <v>310279</v>
      </c>
      <c r="AL884" s="1" t="s">
        <v>930</v>
      </c>
      <c r="AN884" s="270">
        <v>978</v>
      </c>
      <c r="AQ884" s="1">
        <v>736</v>
      </c>
      <c r="AR884" s="1" t="s">
        <v>772</v>
      </c>
      <c r="AS884" s="1">
        <v>210629</v>
      </c>
      <c r="AT884" s="1" t="s">
        <v>116</v>
      </c>
      <c r="AV884" s="241">
        <v>230</v>
      </c>
      <c r="BM884" s="138">
        <f t="shared" si="103"/>
        <v>0</v>
      </c>
      <c r="BN884" s="42">
        <f t="shared" si="104"/>
        <v>0</v>
      </c>
      <c r="BS884" s="1">
        <v>10511</v>
      </c>
      <c r="BT884" s="1" t="s">
        <v>902</v>
      </c>
      <c r="BX884" s="36"/>
    </row>
    <row r="885" spans="2:76" ht="14.25">
      <c r="B885" s="36"/>
      <c r="C885" s="36"/>
      <c r="D885" s="36"/>
      <c r="E885" s="36"/>
      <c r="F885" s="36"/>
      <c r="G885" s="36"/>
      <c r="H885" s="36"/>
      <c r="J885" s="36"/>
      <c r="L885" s="1" t="str">
        <f t="shared" si="105"/>
        <v/>
      </c>
      <c r="M885" s="94">
        <v>880</v>
      </c>
      <c r="N885" s="36" t="s">
        <v>2540</v>
      </c>
      <c r="O885" s="95">
        <v>310587</v>
      </c>
      <c r="P885" s="36"/>
      <c r="AI885" s="122">
        <v>573</v>
      </c>
      <c r="AJ885" s="1" t="s">
        <v>2229</v>
      </c>
      <c r="AK885" s="1">
        <v>310280</v>
      </c>
      <c r="AL885" s="1" t="s">
        <v>930</v>
      </c>
      <c r="AN885" s="270">
        <v>979</v>
      </c>
      <c r="AQ885" s="1">
        <v>737</v>
      </c>
      <c r="AR885" s="1" t="s">
        <v>773</v>
      </c>
      <c r="AS885" s="1">
        <v>210630</v>
      </c>
      <c r="AT885" s="1" t="s">
        <v>115</v>
      </c>
      <c r="AV885" s="241">
        <v>231</v>
      </c>
      <c r="BM885" s="138">
        <f t="shared" si="103"/>
        <v>0</v>
      </c>
      <c r="BN885" s="42">
        <f t="shared" si="104"/>
        <v>0</v>
      </c>
      <c r="BS885" s="1">
        <v>10512</v>
      </c>
      <c r="BT885" s="1" t="s">
        <v>902</v>
      </c>
      <c r="BX885" s="36"/>
    </row>
    <row r="886" spans="2:76" ht="14.25">
      <c r="B886" s="36"/>
      <c r="C886" s="36"/>
      <c r="D886" s="36"/>
      <c r="E886" s="36"/>
      <c r="F886" s="36"/>
      <c r="G886" s="36"/>
      <c r="H886" s="36"/>
      <c r="J886" s="36"/>
      <c r="L886" s="1" t="str">
        <f t="shared" si="105"/>
        <v/>
      </c>
      <c r="M886" s="94">
        <v>881</v>
      </c>
      <c r="N886" s="36" t="s">
        <v>2541</v>
      </c>
      <c r="O886" s="95">
        <v>310588</v>
      </c>
      <c r="P886" s="36"/>
      <c r="AI886" s="122">
        <v>574</v>
      </c>
      <c r="AJ886" s="1" t="s">
        <v>2230</v>
      </c>
      <c r="AK886" s="1">
        <v>310281</v>
      </c>
      <c r="AL886" s="1" t="s">
        <v>115</v>
      </c>
      <c r="AN886" s="270">
        <v>980</v>
      </c>
      <c r="AQ886" s="1">
        <v>738</v>
      </c>
      <c r="AR886" s="1" t="s">
        <v>774</v>
      </c>
      <c r="AS886" s="1">
        <v>210631</v>
      </c>
      <c r="AT886" s="1" t="s">
        <v>116</v>
      </c>
      <c r="AV886" s="241">
        <v>232</v>
      </c>
      <c r="BM886" s="138">
        <f t="shared" si="103"/>
        <v>0</v>
      </c>
      <c r="BN886" s="42">
        <f t="shared" si="104"/>
        <v>0</v>
      </c>
      <c r="BS886" s="1">
        <v>10513</v>
      </c>
      <c r="BT886" s="1" t="s">
        <v>902</v>
      </c>
      <c r="BX886" s="36"/>
    </row>
    <row r="887" spans="2:76" ht="14.25">
      <c r="B887" s="36"/>
      <c r="C887" s="36"/>
      <c r="D887" s="36"/>
      <c r="E887" s="36"/>
      <c r="F887" s="36"/>
      <c r="G887" s="36"/>
      <c r="H887" s="36"/>
      <c r="J887" s="36"/>
      <c r="L887" s="1" t="str">
        <f t="shared" si="105"/>
        <v/>
      </c>
      <c r="M887" s="94">
        <v>882</v>
      </c>
      <c r="N887" s="36" t="s">
        <v>2542</v>
      </c>
      <c r="O887" s="95">
        <v>310589</v>
      </c>
      <c r="P887" s="36"/>
      <c r="AI887" s="122">
        <v>575</v>
      </c>
      <c r="AJ887" s="1" t="s">
        <v>2231</v>
      </c>
      <c r="AK887" s="1">
        <v>310282</v>
      </c>
      <c r="AL887" s="1" t="s">
        <v>930</v>
      </c>
      <c r="AN887" s="270">
        <v>981</v>
      </c>
      <c r="AQ887" s="1">
        <v>739</v>
      </c>
      <c r="AR887" s="1" t="s">
        <v>775</v>
      </c>
      <c r="AS887" s="1">
        <v>210634</v>
      </c>
      <c r="AT887" s="1" t="s">
        <v>115</v>
      </c>
      <c r="AV887" s="241">
        <v>233</v>
      </c>
      <c r="BM887" s="138">
        <f t="shared" si="103"/>
        <v>0</v>
      </c>
      <c r="BN887" s="42">
        <f t="shared" si="104"/>
        <v>0</v>
      </c>
      <c r="BS887" s="1">
        <v>10514</v>
      </c>
      <c r="BT887" s="1" t="s">
        <v>902</v>
      </c>
      <c r="BX887" s="36"/>
    </row>
    <row r="888" spans="2:76" ht="14.25">
      <c r="B888" s="36"/>
      <c r="C888" s="36"/>
      <c r="D888" s="36"/>
      <c r="E888" s="36"/>
      <c r="F888" s="36"/>
      <c r="G888" s="36"/>
      <c r="H888" s="36"/>
      <c r="J888" s="36"/>
      <c r="L888" s="1" t="str">
        <f t="shared" si="105"/>
        <v/>
      </c>
      <c r="M888" s="94">
        <v>883</v>
      </c>
      <c r="N888" s="36" t="s">
        <v>2543</v>
      </c>
      <c r="O888" s="95">
        <v>310590</v>
      </c>
      <c r="P888" s="36"/>
      <c r="AI888" s="122">
        <v>576</v>
      </c>
      <c r="AJ888" s="1" t="s">
        <v>2232</v>
      </c>
      <c r="AK888" s="1">
        <v>310283</v>
      </c>
      <c r="AL888" s="1" t="s">
        <v>115</v>
      </c>
      <c r="AN888" s="270">
        <v>982</v>
      </c>
      <c r="AQ888" s="1">
        <v>740</v>
      </c>
      <c r="AR888" s="1" t="s">
        <v>776</v>
      </c>
      <c r="AS888" s="1">
        <v>210635</v>
      </c>
      <c r="AT888" s="1" t="s">
        <v>115</v>
      </c>
      <c r="AV888" s="241">
        <v>234</v>
      </c>
      <c r="BM888" s="138">
        <f t="shared" si="103"/>
        <v>0</v>
      </c>
      <c r="BN888" s="42">
        <f t="shared" si="104"/>
        <v>0</v>
      </c>
      <c r="BS888" s="1">
        <v>10515</v>
      </c>
      <c r="BT888" s="1" t="s">
        <v>902</v>
      </c>
      <c r="BX888" s="36"/>
    </row>
    <row r="889" spans="2:76" ht="14.25">
      <c r="B889" s="36"/>
      <c r="C889" s="36"/>
      <c r="D889" s="36"/>
      <c r="E889" s="36"/>
      <c r="F889" s="36"/>
      <c r="G889" s="36"/>
      <c r="H889" s="36"/>
      <c r="J889" s="36"/>
      <c r="L889" s="1" t="str">
        <f t="shared" si="105"/>
        <v/>
      </c>
      <c r="M889" s="94">
        <v>884</v>
      </c>
      <c r="N889" s="36" t="s">
        <v>2544</v>
      </c>
      <c r="O889" s="95">
        <v>310591</v>
      </c>
      <c r="P889" s="36"/>
      <c r="AI889" s="122">
        <v>577</v>
      </c>
      <c r="AJ889" s="1" t="s">
        <v>2233</v>
      </c>
      <c r="AK889" s="1">
        <v>310284</v>
      </c>
      <c r="AL889" s="1" t="s">
        <v>930</v>
      </c>
      <c r="AN889" s="270">
        <v>983</v>
      </c>
      <c r="AQ889" s="1">
        <v>741</v>
      </c>
      <c r="AR889" s="1" t="s">
        <v>777</v>
      </c>
      <c r="AS889" s="1">
        <v>210636</v>
      </c>
      <c r="AT889" s="1" t="s">
        <v>116</v>
      </c>
      <c r="AV889" s="241">
        <v>235</v>
      </c>
      <c r="BM889" s="138">
        <f t="shared" si="103"/>
        <v>0</v>
      </c>
      <c r="BN889" s="42">
        <f t="shared" si="104"/>
        <v>0</v>
      </c>
      <c r="BS889" s="1">
        <v>10516</v>
      </c>
      <c r="BT889" s="1" t="s">
        <v>902</v>
      </c>
      <c r="BX889" s="36"/>
    </row>
    <row r="890" spans="2:76" ht="14.25">
      <c r="B890" s="36"/>
      <c r="C890" s="36"/>
      <c r="D890" s="36"/>
      <c r="E890" s="36"/>
      <c r="F890" s="36"/>
      <c r="G890" s="36"/>
      <c r="H890" s="36"/>
      <c r="J890" s="36"/>
      <c r="L890" s="1" t="str">
        <f t="shared" si="105"/>
        <v/>
      </c>
      <c r="M890" s="94">
        <v>885</v>
      </c>
      <c r="N890" s="36" t="s">
        <v>2545</v>
      </c>
      <c r="O890" s="95">
        <v>310592</v>
      </c>
      <c r="P890" s="36"/>
      <c r="AI890" s="122">
        <v>578</v>
      </c>
      <c r="AJ890" s="1" t="s">
        <v>2234</v>
      </c>
      <c r="AK890" s="1">
        <v>310285</v>
      </c>
      <c r="AL890" s="1" t="s">
        <v>115</v>
      </c>
      <c r="AN890" s="270">
        <v>984</v>
      </c>
      <c r="AQ890" s="1">
        <v>742</v>
      </c>
      <c r="AR890" s="1" t="s">
        <v>778</v>
      </c>
      <c r="AS890" s="1">
        <v>210637</v>
      </c>
      <c r="AT890" s="1" t="s">
        <v>115</v>
      </c>
      <c r="AV890" s="241">
        <v>236</v>
      </c>
      <c r="BM890" s="138">
        <f t="shared" si="103"/>
        <v>0</v>
      </c>
      <c r="BN890" s="42">
        <f t="shared" si="104"/>
        <v>0</v>
      </c>
      <c r="BS890" s="1">
        <v>10517</v>
      </c>
      <c r="BT890" s="1" t="s">
        <v>902</v>
      </c>
      <c r="BX890" s="36"/>
    </row>
    <row r="891" spans="2:76" ht="14.25">
      <c r="B891" s="36"/>
      <c r="C891" s="36"/>
      <c r="D891" s="36"/>
      <c r="E891" s="36"/>
      <c r="F891" s="36"/>
      <c r="G891" s="36"/>
      <c r="H891" s="36"/>
      <c r="J891" s="36"/>
      <c r="L891" s="1" t="str">
        <f t="shared" si="105"/>
        <v/>
      </c>
      <c r="M891" s="94">
        <v>886</v>
      </c>
      <c r="N891" s="36" t="s">
        <v>2546</v>
      </c>
      <c r="O891" s="95">
        <v>310593</v>
      </c>
      <c r="P891" s="36"/>
      <c r="AI891" s="122">
        <v>579</v>
      </c>
      <c r="AJ891" s="1" t="s">
        <v>2235</v>
      </c>
      <c r="AK891" s="1">
        <v>310286</v>
      </c>
      <c r="AL891" s="1" t="s">
        <v>930</v>
      </c>
      <c r="AN891" s="270">
        <v>985</v>
      </c>
      <c r="AQ891" s="1">
        <v>743</v>
      </c>
      <c r="AR891" s="1" t="s">
        <v>779</v>
      </c>
      <c r="AS891" s="1">
        <v>210638</v>
      </c>
      <c r="AT891" s="1" t="s">
        <v>116</v>
      </c>
      <c r="AV891" s="241">
        <v>237</v>
      </c>
      <c r="BM891" s="138">
        <f t="shared" si="103"/>
        <v>0</v>
      </c>
      <c r="BN891" s="42">
        <f t="shared" si="104"/>
        <v>0</v>
      </c>
      <c r="BS891" s="1">
        <v>10518</v>
      </c>
      <c r="BT891" s="1" t="s">
        <v>902</v>
      </c>
      <c r="BX891" s="36"/>
    </row>
    <row r="892" spans="2:76" ht="14.25">
      <c r="B892" s="36"/>
      <c r="C892" s="36"/>
      <c r="D892" s="36"/>
      <c r="E892" s="36"/>
      <c r="F892" s="36"/>
      <c r="G892" s="36"/>
      <c r="H892" s="36"/>
      <c r="J892" s="36"/>
      <c r="L892" s="1" t="str">
        <f t="shared" si="105"/>
        <v/>
      </c>
      <c r="M892" s="94">
        <v>887</v>
      </c>
      <c r="N892" s="36" t="s">
        <v>2547</v>
      </c>
      <c r="O892" s="95">
        <v>310594</v>
      </c>
      <c r="P892" s="36"/>
      <c r="AI892" s="122">
        <v>580</v>
      </c>
      <c r="AJ892" s="1" t="s">
        <v>2236</v>
      </c>
      <c r="AK892" s="1">
        <v>310287</v>
      </c>
      <c r="AL892" s="1" t="s">
        <v>930</v>
      </c>
      <c r="AN892" s="270">
        <v>986</v>
      </c>
      <c r="AQ892" s="1">
        <v>744</v>
      </c>
      <c r="AR892" s="1" t="s">
        <v>780</v>
      </c>
      <c r="AS892" s="1">
        <v>210632</v>
      </c>
      <c r="AT892" s="1" t="s">
        <v>115</v>
      </c>
      <c r="AV892" s="241">
        <v>238</v>
      </c>
      <c r="BM892" s="138">
        <f t="shared" si="103"/>
        <v>0</v>
      </c>
      <c r="BN892" s="42">
        <f t="shared" si="104"/>
        <v>0</v>
      </c>
      <c r="BS892" s="1">
        <v>10519</v>
      </c>
      <c r="BT892" s="1" t="s">
        <v>902</v>
      </c>
      <c r="BX892" s="36"/>
    </row>
    <row r="893" spans="2:76" ht="14.25">
      <c r="B893" s="36"/>
      <c r="C893" s="36"/>
      <c r="D893" s="36"/>
      <c r="E893" s="36"/>
      <c r="F893" s="36"/>
      <c r="G893" s="36"/>
      <c r="H893" s="36"/>
      <c r="J893" s="36"/>
      <c r="L893" s="1" t="str">
        <f t="shared" si="105"/>
        <v/>
      </c>
      <c r="M893" s="94">
        <v>888</v>
      </c>
      <c r="N893" s="36" t="s">
        <v>2548</v>
      </c>
      <c r="O893" s="95">
        <v>310595</v>
      </c>
      <c r="P893" s="36"/>
      <c r="AI893" s="122">
        <v>581</v>
      </c>
      <c r="AJ893" s="1" t="s">
        <v>2237</v>
      </c>
      <c r="AK893" s="1">
        <v>310288</v>
      </c>
      <c r="AL893" s="1" t="s">
        <v>115</v>
      </c>
      <c r="AN893" s="270">
        <v>987</v>
      </c>
      <c r="AQ893" s="1">
        <v>745</v>
      </c>
      <c r="AR893" s="1" t="s">
        <v>781</v>
      </c>
      <c r="AS893" s="1">
        <v>210640</v>
      </c>
      <c r="AT893" s="1" t="s">
        <v>115</v>
      </c>
      <c r="AV893" s="241">
        <v>239</v>
      </c>
      <c r="BM893" s="138">
        <f t="shared" si="103"/>
        <v>0</v>
      </c>
      <c r="BN893" s="42">
        <f t="shared" si="104"/>
        <v>0</v>
      </c>
      <c r="BS893" s="1">
        <v>10520</v>
      </c>
      <c r="BT893" s="1" t="s">
        <v>902</v>
      </c>
      <c r="BX893" s="36"/>
    </row>
    <row r="894" spans="2:76" ht="14.25">
      <c r="B894" s="36"/>
      <c r="C894" s="36"/>
      <c r="D894" s="36"/>
      <c r="E894" s="36"/>
      <c r="F894" s="36"/>
      <c r="G894" s="36"/>
      <c r="H894" s="36"/>
      <c r="J894" s="36"/>
      <c r="L894" s="1" t="str">
        <f t="shared" si="105"/>
        <v/>
      </c>
      <c r="M894" s="94">
        <v>889</v>
      </c>
      <c r="N894" s="36" t="s">
        <v>2549</v>
      </c>
      <c r="O894" s="95">
        <v>310596</v>
      </c>
      <c r="P894" s="36"/>
      <c r="AI894" s="122">
        <v>582</v>
      </c>
      <c r="AJ894" s="1" t="s">
        <v>2238</v>
      </c>
      <c r="AK894" s="1">
        <v>310289</v>
      </c>
      <c r="AL894" s="1" t="s">
        <v>930</v>
      </c>
      <c r="AN894" s="270">
        <v>988</v>
      </c>
      <c r="AQ894" s="1">
        <v>746</v>
      </c>
      <c r="AR894" s="1" t="s">
        <v>782</v>
      </c>
      <c r="AS894" s="1">
        <v>210641</v>
      </c>
      <c r="AT894" s="1" t="s">
        <v>116</v>
      </c>
      <c r="AV894" s="241">
        <v>240</v>
      </c>
      <c r="BM894" s="138">
        <f t="shared" si="103"/>
        <v>0</v>
      </c>
      <c r="BN894" s="42">
        <f t="shared" si="104"/>
        <v>0</v>
      </c>
      <c r="BS894" s="1">
        <v>10521</v>
      </c>
      <c r="BT894" s="1" t="s">
        <v>902</v>
      </c>
      <c r="BX894" s="36"/>
    </row>
    <row r="895" spans="2:76" ht="14.25">
      <c r="B895" s="36"/>
      <c r="C895" s="36"/>
      <c r="D895" s="36"/>
      <c r="E895" s="36"/>
      <c r="F895" s="36"/>
      <c r="G895" s="36"/>
      <c r="H895" s="36"/>
      <c r="J895" s="36"/>
      <c r="L895" s="1" t="str">
        <f t="shared" si="105"/>
        <v/>
      </c>
      <c r="M895" s="94">
        <v>890</v>
      </c>
      <c r="N895" s="36" t="s">
        <v>2550</v>
      </c>
      <c r="O895" s="95">
        <v>310597</v>
      </c>
      <c r="P895" s="36"/>
      <c r="AI895" s="122">
        <v>583</v>
      </c>
      <c r="AJ895" s="1" t="s">
        <v>2239</v>
      </c>
      <c r="AK895" s="1">
        <v>310290</v>
      </c>
      <c r="AL895" s="1" t="s">
        <v>115</v>
      </c>
      <c r="AN895" s="270">
        <v>989</v>
      </c>
      <c r="AQ895" s="1">
        <v>747</v>
      </c>
      <c r="AR895" s="1" t="s">
        <v>783</v>
      </c>
      <c r="AS895" s="1">
        <v>210642</v>
      </c>
      <c r="AT895" s="1" t="s">
        <v>115</v>
      </c>
      <c r="AV895" s="241">
        <v>241</v>
      </c>
      <c r="BM895" s="138">
        <f t="shared" si="103"/>
        <v>0</v>
      </c>
      <c r="BN895" s="42">
        <f t="shared" si="104"/>
        <v>0</v>
      </c>
      <c r="BS895" s="1">
        <v>10522</v>
      </c>
      <c r="BT895" s="1" t="s">
        <v>902</v>
      </c>
      <c r="BX895" s="36"/>
    </row>
    <row r="896" spans="2:76" ht="14.25">
      <c r="B896" s="36"/>
      <c r="C896" s="36"/>
      <c r="D896" s="36"/>
      <c r="E896" s="36"/>
      <c r="F896" s="36"/>
      <c r="G896" s="36"/>
      <c r="H896" s="36"/>
      <c r="J896" s="36"/>
      <c r="L896" s="1" t="str">
        <f t="shared" si="105"/>
        <v/>
      </c>
      <c r="M896" s="94">
        <v>891</v>
      </c>
      <c r="N896" s="36" t="s">
        <v>2551</v>
      </c>
      <c r="O896" s="95">
        <v>310598</v>
      </c>
      <c r="P896" s="36"/>
      <c r="AI896" s="122">
        <v>584</v>
      </c>
      <c r="AJ896" s="1" t="s">
        <v>2240</v>
      </c>
      <c r="AK896" s="1">
        <v>310291</v>
      </c>
      <c r="AL896" s="1" t="s">
        <v>930</v>
      </c>
      <c r="AN896" s="270">
        <v>990</v>
      </c>
      <c r="AQ896" s="1">
        <v>748</v>
      </c>
      <c r="AR896" s="1" t="s">
        <v>784</v>
      </c>
      <c r="AS896" s="1">
        <v>210643</v>
      </c>
      <c r="AT896" s="1" t="s">
        <v>116</v>
      </c>
      <c r="AV896" s="241">
        <v>242</v>
      </c>
      <c r="BS896" s="1">
        <v>10523</v>
      </c>
      <c r="BT896" s="1" t="s">
        <v>902</v>
      </c>
      <c r="BX896" s="36"/>
    </row>
    <row r="897" spans="2:76" ht="14.25">
      <c r="B897" s="36"/>
      <c r="C897" s="36"/>
      <c r="D897" s="36"/>
      <c r="E897" s="36"/>
      <c r="F897" s="36"/>
      <c r="G897" s="36"/>
      <c r="H897" s="36"/>
      <c r="J897" s="36"/>
      <c r="L897" s="1" t="str">
        <f t="shared" si="105"/>
        <v/>
      </c>
      <c r="M897" s="94">
        <v>892</v>
      </c>
      <c r="N897" s="36" t="s">
        <v>2552</v>
      </c>
      <c r="O897" s="95">
        <v>310599</v>
      </c>
      <c r="P897" s="36"/>
      <c r="AI897" s="122">
        <v>585</v>
      </c>
      <c r="AJ897" s="1" t="s">
        <v>2241</v>
      </c>
      <c r="AK897" s="1">
        <v>310292</v>
      </c>
      <c r="AL897" s="1" t="s">
        <v>115</v>
      </c>
      <c r="AN897" s="270">
        <v>991</v>
      </c>
      <c r="AQ897" s="1">
        <v>749</v>
      </c>
      <c r="AR897" s="1" t="s">
        <v>785</v>
      </c>
      <c r="AS897" s="1">
        <v>210644</v>
      </c>
      <c r="AT897" s="1" t="s">
        <v>115</v>
      </c>
      <c r="AV897" s="241">
        <v>243</v>
      </c>
      <c r="BS897" s="1">
        <v>10524</v>
      </c>
      <c r="BT897" s="1" t="s">
        <v>902</v>
      </c>
      <c r="BX897" s="36"/>
    </row>
    <row r="898" spans="2:76" ht="14.25">
      <c r="B898" s="36"/>
      <c r="C898" s="36"/>
      <c r="D898" s="36"/>
      <c r="E898" s="36"/>
      <c r="F898" s="36"/>
      <c r="G898" s="36"/>
      <c r="H898" s="36"/>
      <c r="J898" s="36"/>
      <c r="L898" s="1" t="str">
        <f t="shared" si="105"/>
        <v/>
      </c>
      <c r="M898" s="94">
        <v>893</v>
      </c>
      <c r="N898" s="36" t="s">
        <v>2553</v>
      </c>
      <c r="O898" s="95">
        <v>310600</v>
      </c>
      <c r="P898" s="36"/>
      <c r="AI898" s="122">
        <v>586</v>
      </c>
      <c r="AJ898" s="1" t="s">
        <v>2242</v>
      </c>
      <c r="AK898" s="1">
        <v>310293</v>
      </c>
      <c r="AL898" s="1" t="s">
        <v>930</v>
      </c>
      <c r="AN898" s="270">
        <v>992</v>
      </c>
      <c r="AQ898" s="1">
        <v>750</v>
      </c>
      <c r="AR898" s="1" t="s">
        <v>786</v>
      </c>
      <c r="AS898" s="1">
        <v>210645</v>
      </c>
      <c r="AT898" s="1" t="s">
        <v>115</v>
      </c>
      <c r="AV898" s="241">
        <v>244</v>
      </c>
      <c r="BS898" s="1">
        <v>10525</v>
      </c>
      <c r="BT898" s="1" t="s">
        <v>902</v>
      </c>
      <c r="BX898" s="36"/>
    </row>
    <row r="899" spans="2:76" ht="14.25">
      <c r="B899" s="36"/>
      <c r="C899" s="36"/>
      <c r="D899" s="36"/>
      <c r="E899" s="36"/>
      <c r="F899" s="36"/>
      <c r="G899" s="36"/>
      <c r="H899" s="36"/>
      <c r="J899" s="36"/>
      <c r="L899" s="1" t="str">
        <f t="shared" si="105"/>
        <v/>
      </c>
      <c r="M899" s="94">
        <v>894</v>
      </c>
      <c r="N899" s="36" t="s">
        <v>2554</v>
      </c>
      <c r="O899" s="95">
        <v>310601</v>
      </c>
      <c r="P899" s="36"/>
      <c r="AI899" s="122">
        <v>587</v>
      </c>
      <c r="AJ899" s="1" t="s">
        <v>2243</v>
      </c>
      <c r="AK899" s="1">
        <v>310294</v>
      </c>
      <c r="AL899" s="1" t="s">
        <v>930</v>
      </c>
      <c r="AN899" s="270">
        <v>993</v>
      </c>
      <c r="AQ899" s="1">
        <v>751</v>
      </c>
      <c r="AR899" s="1" t="s">
        <v>787</v>
      </c>
      <c r="AS899" s="1">
        <v>210646</v>
      </c>
      <c r="AT899" s="1" t="s">
        <v>116</v>
      </c>
      <c r="AV899" s="241">
        <v>245</v>
      </c>
      <c r="BS899" s="1">
        <v>10526</v>
      </c>
      <c r="BT899" s="1" t="s">
        <v>902</v>
      </c>
      <c r="BX899" s="36"/>
    </row>
    <row r="900" spans="2:76" ht="14.25">
      <c r="B900" s="36"/>
      <c r="C900" s="36"/>
      <c r="D900" s="36"/>
      <c r="E900" s="36"/>
      <c r="F900" s="36"/>
      <c r="G900" s="36"/>
      <c r="H900" s="36"/>
      <c r="J900" s="36"/>
      <c r="L900" s="1" t="str">
        <f t="shared" ref="L900:L963" si="106">IF(AND(MIN(I:I)&lt;20,MAX(I:I)&gt;980,I900&lt;20),I900,"")</f>
        <v/>
      </c>
      <c r="M900" s="94">
        <v>895</v>
      </c>
      <c r="N900" s="36" t="s">
        <v>2555</v>
      </c>
      <c r="O900" s="95">
        <v>310602</v>
      </c>
      <c r="P900" s="36"/>
      <c r="AI900" s="122">
        <v>588</v>
      </c>
      <c r="AJ900" s="1" t="s">
        <v>2244</v>
      </c>
      <c r="AK900" s="1">
        <v>310295</v>
      </c>
      <c r="AL900" s="1" t="s">
        <v>115</v>
      </c>
      <c r="AN900" s="270">
        <v>994</v>
      </c>
      <c r="AQ900" s="1">
        <v>752</v>
      </c>
      <c r="AR900" s="1" t="s">
        <v>788</v>
      </c>
      <c r="AS900" s="1">
        <v>210639</v>
      </c>
      <c r="AT900" s="1" t="s">
        <v>115</v>
      </c>
      <c r="AV900" s="241">
        <v>246</v>
      </c>
      <c r="BS900" s="1">
        <v>10527</v>
      </c>
      <c r="BT900" s="1" t="s">
        <v>902</v>
      </c>
      <c r="BX900" s="36"/>
    </row>
    <row r="901" spans="2:76" ht="14.25">
      <c r="B901" s="36"/>
      <c r="C901" s="36"/>
      <c r="D901" s="36"/>
      <c r="E901" s="36"/>
      <c r="F901" s="36"/>
      <c r="G901" s="36"/>
      <c r="H901" s="36"/>
      <c r="J901" s="36"/>
      <c r="L901" s="1" t="str">
        <f t="shared" si="106"/>
        <v/>
      </c>
      <c r="M901" s="94">
        <v>896</v>
      </c>
      <c r="N901" s="36" t="s">
        <v>2556</v>
      </c>
      <c r="O901" s="95">
        <v>310603</v>
      </c>
      <c r="P901" s="36"/>
      <c r="AI901" s="122">
        <v>589</v>
      </c>
      <c r="AJ901" s="1" t="s">
        <v>2245</v>
      </c>
      <c r="AK901" s="1">
        <v>310296</v>
      </c>
      <c r="AL901" s="1" t="s">
        <v>930</v>
      </c>
      <c r="AN901" s="270">
        <v>995</v>
      </c>
      <c r="AQ901" s="1">
        <v>753</v>
      </c>
      <c r="AR901" s="1" t="s">
        <v>789</v>
      </c>
      <c r="AS901" s="1">
        <v>210633</v>
      </c>
      <c r="AT901" s="1" t="s">
        <v>116</v>
      </c>
      <c r="AV901" s="241">
        <v>247</v>
      </c>
      <c r="BS901" s="1">
        <v>10528</v>
      </c>
      <c r="BT901" s="1" t="s">
        <v>902</v>
      </c>
      <c r="BX901" s="36"/>
    </row>
    <row r="902" spans="2:76" ht="14.25">
      <c r="B902" s="36"/>
      <c r="C902" s="36"/>
      <c r="D902" s="36"/>
      <c r="E902" s="36"/>
      <c r="F902" s="36"/>
      <c r="G902" s="36"/>
      <c r="H902" s="36"/>
      <c r="J902" s="36"/>
      <c r="L902" s="1" t="str">
        <f t="shared" si="106"/>
        <v/>
      </c>
      <c r="M902" s="94">
        <v>897</v>
      </c>
      <c r="N902" s="36" t="s">
        <v>2557</v>
      </c>
      <c r="O902" s="95">
        <v>310604</v>
      </c>
      <c r="P902" s="36"/>
      <c r="AI902" s="122">
        <v>590</v>
      </c>
      <c r="AJ902" s="1" t="s">
        <v>2246</v>
      </c>
      <c r="AK902" s="1">
        <v>310297</v>
      </c>
      <c r="AL902" s="1" t="s">
        <v>115</v>
      </c>
      <c r="AN902" s="270">
        <v>996</v>
      </c>
      <c r="AQ902" s="1">
        <v>754</v>
      </c>
      <c r="AR902" s="1" t="s">
        <v>790</v>
      </c>
      <c r="AS902" s="1">
        <v>210647</v>
      </c>
      <c r="AT902" s="1" t="s">
        <v>115</v>
      </c>
      <c r="AV902" s="241">
        <v>248</v>
      </c>
      <c r="BS902" s="1">
        <v>10529</v>
      </c>
      <c r="BT902" s="1" t="s">
        <v>902</v>
      </c>
      <c r="BX902" s="36"/>
    </row>
    <row r="903" spans="2:76" ht="14.25">
      <c r="B903" s="36"/>
      <c r="C903" s="36"/>
      <c r="D903" s="36"/>
      <c r="E903" s="36"/>
      <c r="F903" s="36"/>
      <c r="G903" s="36"/>
      <c r="H903" s="36"/>
      <c r="J903" s="36"/>
      <c r="L903" s="1" t="str">
        <f t="shared" si="106"/>
        <v/>
      </c>
      <c r="M903" s="94">
        <v>898</v>
      </c>
      <c r="N903" s="36" t="s">
        <v>2558</v>
      </c>
      <c r="O903" s="95">
        <v>310605</v>
      </c>
      <c r="P903" s="36"/>
      <c r="AI903" s="122">
        <v>591</v>
      </c>
      <c r="AJ903" s="1" t="s">
        <v>2247</v>
      </c>
      <c r="AK903" s="1">
        <v>310298</v>
      </c>
      <c r="AL903" s="1" t="s">
        <v>930</v>
      </c>
      <c r="AN903" s="270">
        <v>997</v>
      </c>
      <c r="AQ903" s="1">
        <v>755</v>
      </c>
      <c r="AR903" s="1" t="s">
        <v>791</v>
      </c>
      <c r="AS903" s="1">
        <v>210648</v>
      </c>
      <c r="AT903" s="1" t="s">
        <v>116</v>
      </c>
      <c r="AV903" s="241">
        <v>249</v>
      </c>
      <c r="BS903" s="1">
        <v>10530</v>
      </c>
      <c r="BT903" s="1" t="s">
        <v>902</v>
      </c>
      <c r="BX903" s="36"/>
    </row>
    <row r="904" spans="2:76" ht="14.25">
      <c r="B904" s="36"/>
      <c r="C904" s="36"/>
      <c r="D904" s="36"/>
      <c r="E904" s="36"/>
      <c r="F904" s="36"/>
      <c r="G904" s="36"/>
      <c r="H904" s="36"/>
      <c r="J904" s="36"/>
      <c r="L904" s="1" t="str">
        <f t="shared" si="106"/>
        <v/>
      </c>
      <c r="M904" s="94">
        <v>899</v>
      </c>
      <c r="N904" s="36" t="s">
        <v>2559</v>
      </c>
      <c r="O904" s="95">
        <v>310606</v>
      </c>
      <c r="P904" s="36"/>
      <c r="AI904" s="122">
        <v>592</v>
      </c>
      <c r="AJ904" s="1" t="s">
        <v>2248</v>
      </c>
      <c r="AK904" s="1">
        <v>310299</v>
      </c>
      <c r="AL904" s="1" t="s">
        <v>115</v>
      </c>
      <c r="AN904" s="270">
        <v>998</v>
      </c>
      <c r="AQ904" s="1">
        <v>756</v>
      </c>
      <c r="AR904" s="1" t="s">
        <v>792</v>
      </c>
      <c r="AS904" s="1">
        <v>210649</v>
      </c>
      <c r="AT904" s="1" t="s">
        <v>115</v>
      </c>
      <c r="AV904" s="241">
        <v>250</v>
      </c>
      <c r="BS904" s="1">
        <v>10531</v>
      </c>
      <c r="BT904" s="1" t="s">
        <v>902</v>
      </c>
      <c r="BX904" s="36"/>
    </row>
    <row r="905" spans="2:76" ht="14.25">
      <c r="B905" s="36"/>
      <c r="C905" s="36"/>
      <c r="D905" s="36"/>
      <c r="E905" s="36"/>
      <c r="F905" s="36"/>
      <c r="G905" s="36"/>
      <c r="H905" s="36"/>
      <c r="J905" s="36"/>
      <c r="L905" s="1" t="str">
        <f t="shared" si="106"/>
        <v/>
      </c>
      <c r="M905" s="94">
        <v>900</v>
      </c>
      <c r="N905" s="36" t="s">
        <v>2560</v>
      </c>
      <c r="O905" s="95">
        <v>310607</v>
      </c>
      <c r="P905" s="36"/>
      <c r="AI905" s="122">
        <v>593</v>
      </c>
      <c r="AJ905" s="1" t="s">
        <v>2249</v>
      </c>
      <c r="AK905" s="1">
        <v>310300</v>
      </c>
      <c r="AL905" s="1" t="s">
        <v>930</v>
      </c>
      <c r="AN905" s="270">
        <v>999</v>
      </c>
      <c r="AQ905" s="1">
        <v>757</v>
      </c>
      <c r="AR905" s="1" t="s">
        <v>793</v>
      </c>
      <c r="AS905" s="1">
        <v>210650</v>
      </c>
      <c r="AT905" s="1" t="s">
        <v>115</v>
      </c>
      <c r="AV905" s="241">
        <v>251</v>
      </c>
      <c r="BS905" s="1">
        <v>10532</v>
      </c>
      <c r="BT905" s="1" t="s">
        <v>902</v>
      </c>
      <c r="BX905" s="36"/>
    </row>
    <row r="906" spans="2:76" ht="14.25">
      <c r="B906" s="36"/>
      <c r="C906" s="36"/>
      <c r="D906" s="36"/>
      <c r="E906" s="36"/>
      <c r="F906" s="36"/>
      <c r="G906" s="36"/>
      <c r="H906" s="36"/>
      <c r="J906" s="36"/>
      <c r="L906" s="1" t="str">
        <f t="shared" si="106"/>
        <v/>
      </c>
      <c r="M906" s="94">
        <v>901</v>
      </c>
      <c r="N906" s="36" t="s">
        <v>2561</v>
      </c>
      <c r="O906" s="95">
        <v>310608</v>
      </c>
      <c r="P906" s="36"/>
      <c r="AI906" s="122">
        <v>594</v>
      </c>
      <c r="AJ906" s="1" t="s">
        <v>2250</v>
      </c>
      <c r="AK906" s="1">
        <v>310301</v>
      </c>
      <c r="AL906" s="1" t="s">
        <v>930</v>
      </c>
      <c r="AN906" s="270">
        <v>0</v>
      </c>
      <c r="AQ906" s="1">
        <v>758</v>
      </c>
      <c r="AR906" s="1" t="s">
        <v>794</v>
      </c>
      <c r="AS906" s="1">
        <v>210651</v>
      </c>
      <c r="AT906" s="1" t="s">
        <v>116</v>
      </c>
      <c r="AV906" s="241">
        <v>252</v>
      </c>
      <c r="BS906" s="1">
        <v>10533</v>
      </c>
      <c r="BT906" s="1" t="s">
        <v>902</v>
      </c>
      <c r="BX906" s="36"/>
    </row>
    <row r="907" spans="2:76" ht="14.25">
      <c r="B907" s="36"/>
      <c r="C907" s="36"/>
      <c r="D907" s="36"/>
      <c r="E907" s="36"/>
      <c r="F907" s="36"/>
      <c r="G907" s="36"/>
      <c r="H907" s="36"/>
      <c r="J907" s="36"/>
      <c r="L907" s="1" t="str">
        <f t="shared" si="106"/>
        <v/>
      </c>
      <c r="M907" s="94">
        <v>902</v>
      </c>
      <c r="N907" s="36" t="s">
        <v>2562</v>
      </c>
      <c r="O907" s="95">
        <v>310609</v>
      </c>
      <c r="P907" s="36"/>
      <c r="AI907" s="122">
        <v>595</v>
      </c>
      <c r="AJ907" s="1" t="s">
        <v>2251</v>
      </c>
      <c r="AK907" s="1">
        <v>310302</v>
      </c>
      <c r="AL907" s="1" t="s">
        <v>115</v>
      </c>
      <c r="AN907" s="270">
        <v>1</v>
      </c>
      <c r="AQ907" s="1">
        <v>759</v>
      </c>
      <c r="AR907" s="1" t="s">
        <v>795</v>
      </c>
      <c r="AS907" s="1">
        <v>210652</v>
      </c>
      <c r="AT907" s="1" t="s">
        <v>115</v>
      </c>
      <c r="AV907" s="241">
        <v>253</v>
      </c>
      <c r="BS907" s="1">
        <v>10534</v>
      </c>
      <c r="BT907" s="1" t="s">
        <v>902</v>
      </c>
      <c r="BX907" s="36"/>
    </row>
    <row r="908" spans="2:76" ht="14.25">
      <c r="B908" s="36"/>
      <c r="C908" s="36"/>
      <c r="D908" s="36"/>
      <c r="E908" s="36"/>
      <c r="F908" s="36"/>
      <c r="G908" s="36"/>
      <c r="H908" s="36"/>
      <c r="J908" s="36"/>
      <c r="L908" s="1" t="str">
        <f t="shared" si="106"/>
        <v/>
      </c>
      <c r="M908" s="94">
        <v>903</v>
      </c>
      <c r="N908" s="36" t="s">
        <v>2563</v>
      </c>
      <c r="O908" s="95">
        <v>310610</v>
      </c>
      <c r="P908" s="36"/>
      <c r="AI908" s="122">
        <v>596</v>
      </c>
      <c r="AJ908" s="1" t="s">
        <v>2252</v>
      </c>
      <c r="AK908" s="1">
        <v>310303</v>
      </c>
      <c r="AL908" s="1" t="s">
        <v>930</v>
      </c>
      <c r="AN908" s="270">
        <v>2</v>
      </c>
      <c r="AQ908" s="1">
        <v>760</v>
      </c>
      <c r="AR908" s="1" t="s">
        <v>796</v>
      </c>
      <c r="AS908" s="1">
        <v>210653</v>
      </c>
      <c r="AT908" s="1" t="s">
        <v>116</v>
      </c>
      <c r="AV908" s="241">
        <v>254</v>
      </c>
      <c r="BS908" s="1">
        <v>10535</v>
      </c>
      <c r="BT908" s="1" t="s">
        <v>902</v>
      </c>
      <c r="BX908" s="36"/>
    </row>
    <row r="909" spans="2:76" ht="14.25">
      <c r="B909" s="36"/>
      <c r="C909" s="36"/>
      <c r="D909" s="36"/>
      <c r="E909" s="36"/>
      <c r="F909" s="36"/>
      <c r="G909" s="36"/>
      <c r="H909" s="36"/>
      <c r="J909" s="36"/>
      <c r="L909" s="1" t="str">
        <f t="shared" si="106"/>
        <v/>
      </c>
      <c r="M909" s="94">
        <v>904</v>
      </c>
      <c r="N909" s="36" t="s">
        <v>2564</v>
      </c>
      <c r="O909" s="95">
        <v>310611</v>
      </c>
      <c r="P909" s="36"/>
      <c r="AI909" s="122">
        <v>597</v>
      </c>
      <c r="AJ909" s="1" t="s">
        <v>2253</v>
      </c>
      <c r="AK909" s="1">
        <v>310304</v>
      </c>
      <c r="AL909" s="1" t="s">
        <v>115</v>
      </c>
      <c r="AN909" s="270">
        <v>3</v>
      </c>
      <c r="AQ909" s="1">
        <v>761</v>
      </c>
      <c r="AR909" s="1" t="s">
        <v>797</v>
      </c>
      <c r="AS909" s="1">
        <v>210654</v>
      </c>
      <c r="AT909" s="1" t="s">
        <v>115</v>
      </c>
      <c r="AV909" s="241">
        <v>255</v>
      </c>
      <c r="BS909" s="1">
        <v>10536</v>
      </c>
      <c r="BT909" s="1" t="s">
        <v>902</v>
      </c>
      <c r="BX909" s="36"/>
    </row>
    <row r="910" spans="2:76" ht="14.25">
      <c r="B910" s="36"/>
      <c r="C910" s="36"/>
      <c r="D910" s="36"/>
      <c r="E910" s="36"/>
      <c r="F910" s="36"/>
      <c r="G910" s="36"/>
      <c r="H910" s="36"/>
      <c r="J910" s="36"/>
      <c r="L910" s="1" t="str">
        <f t="shared" si="106"/>
        <v/>
      </c>
      <c r="M910" s="94">
        <v>905</v>
      </c>
      <c r="N910" s="36" t="s">
        <v>2565</v>
      </c>
      <c r="O910" s="95">
        <v>310612</v>
      </c>
      <c r="P910" s="36"/>
      <c r="AI910" s="122">
        <v>598</v>
      </c>
      <c r="AJ910" s="1" t="s">
        <v>2254</v>
      </c>
      <c r="AK910" s="1">
        <v>310305</v>
      </c>
      <c r="AL910" s="1" t="s">
        <v>930</v>
      </c>
      <c r="AN910" s="270">
        <v>4</v>
      </c>
      <c r="AQ910" s="1">
        <v>762</v>
      </c>
      <c r="AR910" s="1" t="s">
        <v>798</v>
      </c>
      <c r="AS910" s="1">
        <v>210657</v>
      </c>
      <c r="AT910" s="1" t="s">
        <v>115</v>
      </c>
      <c r="AV910" s="241">
        <v>256</v>
      </c>
      <c r="BS910" s="1">
        <v>10537</v>
      </c>
      <c r="BT910" s="1" t="s">
        <v>902</v>
      </c>
      <c r="BX910" s="36"/>
    </row>
    <row r="911" spans="2:76" ht="14.25">
      <c r="B911" s="36"/>
      <c r="C911" s="36"/>
      <c r="D911" s="36"/>
      <c r="E911" s="36"/>
      <c r="F911" s="36"/>
      <c r="G911" s="36"/>
      <c r="H911" s="36"/>
      <c r="J911" s="36"/>
      <c r="L911" s="1" t="str">
        <f t="shared" si="106"/>
        <v/>
      </c>
      <c r="M911" s="94">
        <v>906</v>
      </c>
      <c r="N911" s="36" t="s">
        <v>2566</v>
      </c>
      <c r="O911" s="95">
        <v>310613</v>
      </c>
      <c r="P911" s="36"/>
      <c r="AI911" s="122">
        <v>599</v>
      </c>
      <c r="AJ911" s="1" t="s">
        <v>2255</v>
      </c>
      <c r="AK911" s="1">
        <v>310306</v>
      </c>
      <c r="AL911" s="1" t="s">
        <v>115</v>
      </c>
      <c r="AN911" s="270">
        <v>5</v>
      </c>
      <c r="AQ911" s="1">
        <v>763</v>
      </c>
      <c r="AR911" s="1" t="s">
        <v>799</v>
      </c>
      <c r="AS911" s="1">
        <v>210658</v>
      </c>
      <c r="AT911" s="1" t="s">
        <v>116</v>
      </c>
      <c r="AV911" s="241">
        <v>257</v>
      </c>
      <c r="BS911" s="1">
        <v>10538</v>
      </c>
      <c r="BT911" s="1" t="s">
        <v>902</v>
      </c>
      <c r="BX911" s="36"/>
    </row>
    <row r="912" spans="2:76" ht="14.25">
      <c r="B912" s="36"/>
      <c r="C912" s="36"/>
      <c r="D912" s="36"/>
      <c r="E912" s="36"/>
      <c r="F912" s="36"/>
      <c r="G912" s="36"/>
      <c r="H912" s="36"/>
      <c r="J912" s="36"/>
      <c r="L912" s="1" t="str">
        <f t="shared" si="106"/>
        <v/>
      </c>
      <c r="M912" s="94">
        <v>907</v>
      </c>
      <c r="N912" s="36" t="s">
        <v>2567</v>
      </c>
      <c r="O912" s="95">
        <v>310614</v>
      </c>
      <c r="P912" s="36"/>
      <c r="AI912" s="122">
        <v>600</v>
      </c>
      <c r="AJ912" s="1" t="s">
        <v>2256</v>
      </c>
      <c r="AK912" s="1">
        <v>310307</v>
      </c>
      <c r="AL912" s="1" t="s">
        <v>930</v>
      </c>
      <c r="AN912" s="270">
        <v>6</v>
      </c>
      <c r="AQ912" s="1">
        <v>764</v>
      </c>
      <c r="AR912" s="1" t="s">
        <v>800</v>
      </c>
      <c r="AS912" s="1">
        <v>210659</v>
      </c>
      <c r="AT912" s="1" t="s">
        <v>115</v>
      </c>
      <c r="AV912" s="241">
        <v>258</v>
      </c>
      <c r="BS912" s="1">
        <v>10539</v>
      </c>
      <c r="BT912" s="1" t="s">
        <v>902</v>
      </c>
      <c r="BX912" s="36"/>
    </row>
    <row r="913" spans="2:76" ht="14.25">
      <c r="B913" s="36"/>
      <c r="C913" s="36"/>
      <c r="D913" s="36"/>
      <c r="E913" s="36"/>
      <c r="F913" s="36"/>
      <c r="G913" s="36"/>
      <c r="H913" s="36"/>
      <c r="J913" s="36"/>
      <c r="L913" s="1" t="str">
        <f t="shared" si="106"/>
        <v/>
      </c>
      <c r="M913" s="94">
        <v>908</v>
      </c>
      <c r="N913" s="36" t="s">
        <v>2568</v>
      </c>
      <c r="O913" s="95">
        <v>310615</v>
      </c>
      <c r="P913" s="36"/>
      <c r="AI913" s="122">
        <v>601</v>
      </c>
      <c r="AJ913" s="1" t="s">
        <v>2257</v>
      </c>
      <c r="AK913" s="1">
        <v>310308</v>
      </c>
      <c r="AL913" s="1" t="s">
        <v>930</v>
      </c>
      <c r="AN913" s="270">
        <v>7</v>
      </c>
      <c r="AQ913" s="1">
        <v>765</v>
      </c>
      <c r="AR913" s="1" t="s">
        <v>801</v>
      </c>
      <c r="AS913" s="1">
        <v>210660</v>
      </c>
      <c r="AT913" s="1" t="s">
        <v>116</v>
      </c>
      <c r="AV913" s="241">
        <v>259</v>
      </c>
      <c r="BS913" s="1">
        <v>10540</v>
      </c>
      <c r="BT913" s="1" t="s">
        <v>902</v>
      </c>
      <c r="BX913" s="36"/>
    </row>
    <row r="914" spans="2:76" ht="14.25">
      <c r="B914" s="36"/>
      <c r="C914" s="36"/>
      <c r="D914" s="36"/>
      <c r="E914" s="36"/>
      <c r="F914" s="36"/>
      <c r="G914" s="36"/>
      <c r="H914" s="36"/>
      <c r="J914" s="36"/>
      <c r="L914" s="1" t="str">
        <f t="shared" si="106"/>
        <v/>
      </c>
      <c r="M914" s="94">
        <v>909</v>
      </c>
      <c r="N914" s="36" t="s">
        <v>2569</v>
      </c>
      <c r="O914" s="95">
        <v>310616</v>
      </c>
      <c r="P914" s="36"/>
      <c r="AI914" s="122">
        <v>602</v>
      </c>
      <c r="AJ914" s="1" t="s">
        <v>2258</v>
      </c>
      <c r="AK914" s="1">
        <v>310309</v>
      </c>
      <c r="AL914" s="1" t="s">
        <v>115</v>
      </c>
      <c r="AN914" s="270">
        <v>8</v>
      </c>
      <c r="AQ914" s="1">
        <v>766</v>
      </c>
      <c r="AR914" s="1" t="s">
        <v>802</v>
      </c>
      <c r="AS914" s="1">
        <v>210661</v>
      </c>
      <c r="AT914" s="1" t="s">
        <v>115</v>
      </c>
      <c r="AV914" s="241">
        <v>260</v>
      </c>
      <c r="BS914" s="1">
        <v>10541</v>
      </c>
      <c r="BT914" s="1" t="s">
        <v>902</v>
      </c>
      <c r="BX914" s="36"/>
    </row>
    <row r="915" spans="2:76" ht="14.25">
      <c r="B915" s="36"/>
      <c r="C915" s="36"/>
      <c r="D915" s="36"/>
      <c r="E915" s="36"/>
      <c r="F915" s="36"/>
      <c r="G915" s="36"/>
      <c r="H915" s="36"/>
      <c r="J915" s="36"/>
      <c r="L915" s="1" t="str">
        <f t="shared" si="106"/>
        <v/>
      </c>
      <c r="M915" s="94">
        <v>910</v>
      </c>
      <c r="N915" s="36" t="s">
        <v>2570</v>
      </c>
      <c r="O915" s="95">
        <v>310617</v>
      </c>
      <c r="P915" s="36"/>
      <c r="AI915" s="122">
        <v>603</v>
      </c>
      <c r="AJ915" s="1" t="s">
        <v>2259</v>
      </c>
      <c r="AK915" s="1">
        <v>310310</v>
      </c>
      <c r="AL915" s="1" t="s">
        <v>930</v>
      </c>
      <c r="AN915" s="270">
        <v>9</v>
      </c>
      <c r="AQ915" s="1">
        <v>767</v>
      </c>
      <c r="AR915" s="1" t="s">
        <v>803</v>
      </c>
      <c r="AS915" s="1">
        <v>210662</v>
      </c>
      <c r="AT915" s="1" t="s">
        <v>115</v>
      </c>
      <c r="AV915" s="241">
        <v>261</v>
      </c>
      <c r="BS915" s="1">
        <v>10542</v>
      </c>
      <c r="BT915" s="1" t="s">
        <v>902</v>
      </c>
      <c r="BX915" s="36"/>
    </row>
    <row r="916" spans="2:76" ht="14.25">
      <c r="B916" s="36"/>
      <c r="C916" s="36"/>
      <c r="D916" s="36"/>
      <c r="E916" s="36"/>
      <c r="F916" s="36"/>
      <c r="G916" s="36"/>
      <c r="H916" s="36"/>
      <c r="J916" s="36"/>
      <c r="L916" s="1" t="str">
        <f t="shared" si="106"/>
        <v/>
      </c>
      <c r="M916" s="94">
        <v>911</v>
      </c>
      <c r="N916" s="36" t="s">
        <v>2571</v>
      </c>
      <c r="O916" s="95">
        <v>310618</v>
      </c>
      <c r="P916" s="36"/>
      <c r="AI916" s="122">
        <v>604</v>
      </c>
      <c r="AJ916" s="1" t="s">
        <v>2260</v>
      </c>
      <c r="AK916" s="1">
        <v>310311</v>
      </c>
      <c r="AL916" s="1" t="s">
        <v>115</v>
      </c>
      <c r="AN916" s="270">
        <v>10</v>
      </c>
      <c r="AQ916" s="1">
        <v>768</v>
      </c>
      <c r="AR916" s="1" t="s">
        <v>804</v>
      </c>
      <c r="AS916" s="1">
        <v>210663</v>
      </c>
      <c r="AT916" s="1" t="s">
        <v>116</v>
      </c>
      <c r="AV916" s="241">
        <v>262</v>
      </c>
      <c r="BS916" s="1">
        <v>10543</v>
      </c>
      <c r="BT916" s="1" t="s">
        <v>902</v>
      </c>
      <c r="BX916" s="36"/>
    </row>
    <row r="917" spans="2:76" ht="14.25">
      <c r="B917" s="36"/>
      <c r="C917" s="36"/>
      <c r="D917" s="36"/>
      <c r="E917" s="36"/>
      <c r="F917" s="36"/>
      <c r="G917" s="36"/>
      <c r="H917" s="36"/>
      <c r="J917" s="36"/>
      <c r="L917" s="1" t="str">
        <f t="shared" si="106"/>
        <v/>
      </c>
      <c r="M917" s="94">
        <v>912</v>
      </c>
      <c r="N917" s="36" t="s">
        <v>2572</v>
      </c>
      <c r="O917" s="95">
        <v>310619</v>
      </c>
      <c r="P917" s="36"/>
      <c r="AI917" s="122">
        <v>605</v>
      </c>
      <c r="AJ917" s="1" t="s">
        <v>2261</v>
      </c>
      <c r="AK917" s="1">
        <v>310312</v>
      </c>
      <c r="AL917" s="1" t="s">
        <v>930</v>
      </c>
      <c r="AN917" s="270">
        <v>11</v>
      </c>
      <c r="AQ917" s="1">
        <v>769</v>
      </c>
      <c r="AR917" s="1" t="s">
        <v>805</v>
      </c>
      <c r="AS917" s="1">
        <v>210664</v>
      </c>
      <c r="AT917" s="1" t="s">
        <v>115</v>
      </c>
      <c r="AV917" s="241">
        <v>263</v>
      </c>
      <c r="BS917" s="1">
        <v>10544</v>
      </c>
      <c r="BT917" s="1" t="s">
        <v>902</v>
      </c>
      <c r="BX917" s="36"/>
    </row>
    <row r="918" spans="2:76" ht="14.25">
      <c r="B918" s="36"/>
      <c r="C918" s="36"/>
      <c r="D918" s="36"/>
      <c r="E918" s="36"/>
      <c r="F918" s="36"/>
      <c r="G918" s="36"/>
      <c r="H918" s="36"/>
      <c r="J918" s="36"/>
      <c r="L918" s="1" t="str">
        <f t="shared" si="106"/>
        <v/>
      </c>
      <c r="M918" s="94">
        <v>913</v>
      </c>
      <c r="N918" s="36" t="s">
        <v>2573</v>
      </c>
      <c r="O918" s="95">
        <v>310620</v>
      </c>
      <c r="P918" s="36"/>
      <c r="AI918" s="122">
        <v>606</v>
      </c>
      <c r="AJ918" s="1" t="s">
        <v>2262</v>
      </c>
      <c r="AK918" s="1">
        <v>310313</v>
      </c>
      <c r="AL918" s="1" t="s">
        <v>115</v>
      </c>
      <c r="AN918" s="270">
        <v>12</v>
      </c>
      <c r="AQ918" s="1">
        <v>770</v>
      </c>
      <c r="AR918" s="1" t="s">
        <v>806</v>
      </c>
      <c r="AS918" s="1">
        <v>210665</v>
      </c>
      <c r="AT918" s="1" t="s">
        <v>116</v>
      </c>
      <c r="AV918" s="241">
        <v>264</v>
      </c>
      <c r="BS918" s="1">
        <v>10545</v>
      </c>
      <c r="BT918" s="1" t="s">
        <v>902</v>
      </c>
      <c r="BX918" s="36"/>
    </row>
    <row r="919" spans="2:76" ht="14.25">
      <c r="B919" s="36"/>
      <c r="C919" s="36"/>
      <c r="D919" s="36"/>
      <c r="E919" s="36"/>
      <c r="F919" s="36"/>
      <c r="G919" s="36"/>
      <c r="H919" s="36"/>
      <c r="J919" s="36"/>
      <c r="L919" s="1" t="str">
        <f t="shared" si="106"/>
        <v/>
      </c>
      <c r="M919" s="94">
        <v>914</v>
      </c>
      <c r="N919" s="36" t="s">
        <v>2574</v>
      </c>
      <c r="O919" s="95">
        <v>310621</v>
      </c>
      <c r="P919" s="36"/>
      <c r="AI919" s="122">
        <v>607</v>
      </c>
      <c r="AJ919" s="1" t="s">
        <v>2263</v>
      </c>
      <c r="AK919" s="1">
        <v>310314</v>
      </c>
      <c r="AL919" s="1" t="s">
        <v>930</v>
      </c>
      <c r="AN919" s="270">
        <v>13</v>
      </c>
      <c r="AQ919" s="1">
        <v>771</v>
      </c>
      <c r="AR919" s="1" t="s">
        <v>807</v>
      </c>
      <c r="AS919" s="1">
        <v>210666</v>
      </c>
      <c r="AT919" s="1" t="s">
        <v>115</v>
      </c>
      <c r="AV919" s="241">
        <v>265</v>
      </c>
      <c r="BS919" s="1">
        <v>10546</v>
      </c>
      <c r="BT919" s="1" t="s">
        <v>902</v>
      </c>
      <c r="BX919" s="36"/>
    </row>
    <row r="920" spans="2:76" ht="14.25">
      <c r="B920" s="36"/>
      <c r="C920" s="36"/>
      <c r="D920" s="36"/>
      <c r="E920" s="36"/>
      <c r="F920" s="36"/>
      <c r="G920" s="36"/>
      <c r="H920" s="36"/>
      <c r="J920" s="36"/>
      <c r="L920" s="1" t="str">
        <f t="shared" si="106"/>
        <v/>
      </c>
      <c r="M920" s="94">
        <v>915</v>
      </c>
      <c r="N920" s="36" t="s">
        <v>2575</v>
      </c>
      <c r="O920" s="95">
        <v>310622</v>
      </c>
      <c r="P920" s="36"/>
      <c r="AI920" s="122">
        <v>608</v>
      </c>
      <c r="AJ920" s="1" t="s">
        <v>2264</v>
      </c>
      <c r="AK920" s="1">
        <v>310315</v>
      </c>
      <c r="AL920" s="1" t="s">
        <v>115</v>
      </c>
      <c r="AN920" s="270">
        <v>14</v>
      </c>
      <c r="AQ920" s="1">
        <v>772</v>
      </c>
      <c r="AR920" s="1" t="s">
        <v>808</v>
      </c>
      <c r="AS920" s="1">
        <v>210667</v>
      </c>
      <c r="AT920" s="1" t="s">
        <v>115</v>
      </c>
      <c r="AV920" s="241">
        <v>266</v>
      </c>
      <c r="BS920" s="1">
        <v>10547</v>
      </c>
      <c r="BT920" s="1" t="s">
        <v>902</v>
      </c>
      <c r="BX920" s="36"/>
    </row>
    <row r="921" spans="2:76" ht="14.25">
      <c r="B921" s="36"/>
      <c r="C921" s="36"/>
      <c r="D921" s="36"/>
      <c r="E921" s="36"/>
      <c r="F921" s="36"/>
      <c r="G921" s="36"/>
      <c r="H921" s="36"/>
      <c r="J921" s="36"/>
      <c r="L921" s="1" t="str">
        <f t="shared" si="106"/>
        <v/>
      </c>
      <c r="M921" s="94">
        <v>916</v>
      </c>
      <c r="N921" s="36" t="s">
        <v>2576</v>
      </c>
      <c r="O921" s="95">
        <v>310623</v>
      </c>
      <c r="P921" s="36"/>
      <c r="AI921" s="122">
        <v>609</v>
      </c>
      <c r="AJ921" s="1" t="s">
        <v>2265</v>
      </c>
      <c r="AK921" s="1">
        <v>310316</v>
      </c>
      <c r="AL921" s="1" t="s">
        <v>930</v>
      </c>
      <c r="AN921" s="270">
        <v>15</v>
      </c>
      <c r="AQ921" s="1">
        <v>773</v>
      </c>
      <c r="AR921" s="1" t="s">
        <v>809</v>
      </c>
      <c r="AS921" s="1">
        <v>210655</v>
      </c>
      <c r="AT921" s="1" t="s">
        <v>116</v>
      </c>
      <c r="AV921" s="241">
        <v>267</v>
      </c>
      <c r="BS921" s="1">
        <v>10548</v>
      </c>
      <c r="BT921" s="1" t="s">
        <v>902</v>
      </c>
      <c r="BX921" s="36"/>
    </row>
    <row r="922" spans="2:76" ht="14.25">
      <c r="B922" s="36"/>
      <c r="C922" s="36"/>
      <c r="D922" s="36"/>
      <c r="E922" s="36"/>
      <c r="F922" s="36"/>
      <c r="G922" s="36"/>
      <c r="H922" s="36"/>
      <c r="J922" s="36"/>
      <c r="L922" s="1" t="str">
        <f t="shared" si="106"/>
        <v/>
      </c>
      <c r="M922" s="94">
        <v>917</v>
      </c>
      <c r="N922" s="36" t="s">
        <v>2577</v>
      </c>
      <c r="O922" s="95">
        <v>310624</v>
      </c>
      <c r="P922" s="36"/>
      <c r="AI922" s="122">
        <v>610</v>
      </c>
      <c r="AJ922" s="1" t="s">
        <v>2266</v>
      </c>
      <c r="AK922" s="1">
        <v>310317</v>
      </c>
      <c r="AL922" s="1" t="s">
        <v>930</v>
      </c>
      <c r="AN922" s="270">
        <v>16</v>
      </c>
      <c r="AQ922" s="1">
        <v>774</v>
      </c>
      <c r="AR922" s="1" t="s">
        <v>810</v>
      </c>
      <c r="AS922" s="1">
        <v>210656</v>
      </c>
      <c r="AT922" s="1" t="s">
        <v>115</v>
      </c>
      <c r="AV922" s="241">
        <v>268</v>
      </c>
      <c r="BS922" s="1">
        <v>10549</v>
      </c>
      <c r="BT922" s="1" t="s">
        <v>902</v>
      </c>
      <c r="BX922" s="36"/>
    </row>
    <row r="923" spans="2:76" ht="14.25">
      <c r="B923" s="36"/>
      <c r="C923" s="36"/>
      <c r="D923" s="36"/>
      <c r="E923" s="36"/>
      <c r="F923" s="36"/>
      <c r="G923" s="36"/>
      <c r="H923" s="36"/>
      <c r="J923" s="36"/>
      <c r="L923" s="1" t="str">
        <f t="shared" si="106"/>
        <v/>
      </c>
      <c r="M923" s="94">
        <v>918</v>
      </c>
      <c r="N923" s="36" t="s">
        <v>2578</v>
      </c>
      <c r="O923" s="95">
        <v>310625</v>
      </c>
      <c r="P923" s="36"/>
      <c r="AI923" s="122">
        <v>611</v>
      </c>
      <c r="AJ923" s="1" t="s">
        <v>2267</v>
      </c>
      <c r="AK923" s="1">
        <v>310318</v>
      </c>
      <c r="AL923" s="1" t="s">
        <v>115</v>
      </c>
      <c r="AN923" s="270">
        <v>17</v>
      </c>
      <c r="AQ923" s="1">
        <v>775</v>
      </c>
      <c r="AR923" s="1" t="s">
        <v>811</v>
      </c>
      <c r="AS923" s="1">
        <v>210668</v>
      </c>
      <c r="AT923" s="1" t="s">
        <v>116</v>
      </c>
      <c r="AV923" s="241">
        <v>269</v>
      </c>
      <c r="BS923" s="1">
        <v>10550</v>
      </c>
      <c r="BT923" s="1" t="s">
        <v>902</v>
      </c>
      <c r="BX923" s="36"/>
    </row>
    <row r="924" spans="2:76" ht="14.25">
      <c r="B924" s="36"/>
      <c r="C924" s="36"/>
      <c r="D924" s="36"/>
      <c r="E924" s="36"/>
      <c r="F924" s="36"/>
      <c r="G924" s="36"/>
      <c r="H924" s="36"/>
      <c r="J924" s="36"/>
      <c r="L924" s="1" t="str">
        <f t="shared" si="106"/>
        <v/>
      </c>
      <c r="M924" s="94">
        <v>919</v>
      </c>
      <c r="N924" s="36" t="s">
        <v>2579</v>
      </c>
      <c r="O924" s="95">
        <v>310626</v>
      </c>
      <c r="P924" s="36"/>
      <c r="AI924" s="122">
        <v>612</v>
      </c>
      <c r="AJ924" s="1" t="s">
        <v>2268</v>
      </c>
      <c r="AK924" s="1">
        <v>310319</v>
      </c>
      <c r="AL924" s="1" t="s">
        <v>930</v>
      </c>
      <c r="AN924" s="270">
        <v>18</v>
      </c>
      <c r="AQ924" s="1">
        <v>776</v>
      </c>
      <c r="AR924" s="1" t="s">
        <v>812</v>
      </c>
      <c r="AS924" s="1">
        <v>210669</v>
      </c>
      <c r="AT924" s="1" t="s">
        <v>115</v>
      </c>
      <c r="AV924" s="241">
        <v>270</v>
      </c>
      <c r="BS924" s="1">
        <v>10551</v>
      </c>
      <c r="BT924" s="1" t="s">
        <v>902</v>
      </c>
      <c r="BX924" s="36"/>
    </row>
    <row r="925" spans="2:76" ht="14.25">
      <c r="B925" s="36"/>
      <c r="C925" s="36"/>
      <c r="D925" s="36"/>
      <c r="E925" s="36"/>
      <c r="F925" s="36"/>
      <c r="G925" s="36"/>
      <c r="H925" s="36"/>
      <c r="J925" s="36"/>
      <c r="L925" s="1" t="str">
        <f t="shared" si="106"/>
        <v/>
      </c>
      <c r="M925" s="94">
        <v>920</v>
      </c>
      <c r="N925" s="36" t="s">
        <v>2580</v>
      </c>
      <c r="O925" s="95">
        <v>310627</v>
      </c>
      <c r="P925" s="36"/>
      <c r="AI925" s="122">
        <v>613</v>
      </c>
      <c r="AJ925" s="1" t="s">
        <v>2269</v>
      </c>
      <c r="AK925" s="1">
        <v>310320</v>
      </c>
      <c r="AL925" s="1" t="s">
        <v>115</v>
      </c>
      <c r="AN925" s="270">
        <v>19</v>
      </c>
      <c r="AQ925" s="1">
        <v>777</v>
      </c>
      <c r="AR925" s="1" t="s">
        <v>813</v>
      </c>
      <c r="AS925" s="1">
        <v>210670</v>
      </c>
      <c r="AT925" s="1" t="s">
        <v>116</v>
      </c>
      <c r="AV925" s="241">
        <v>271</v>
      </c>
      <c r="BS925" s="1">
        <v>10552</v>
      </c>
      <c r="BT925" s="1" t="s">
        <v>902</v>
      </c>
      <c r="BX925" s="36"/>
    </row>
    <row r="926" spans="2:76" ht="14.25">
      <c r="B926" s="36"/>
      <c r="C926" s="36"/>
      <c r="D926" s="36"/>
      <c r="E926" s="36"/>
      <c r="F926" s="36"/>
      <c r="G926" s="36"/>
      <c r="H926" s="36"/>
      <c r="J926" s="36"/>
      <c r="L926" s="1" t="str">
        <f t="shared" si="106"/>
        <v/>
      </c>
      <c r="M926" s="94">
        <v>921</v>
      </c>
      <c r="N926" s="36" t="s">
        <v>2581</v>
      </c>
      <c r="O926" s="95">
        <v>310628</v>
      </c>
      <c r="P926" s="36"/>
      <c r="AI926" s="122">
        <v>614</v>
      </c>
      <c r="AJ926" s="1" t="s">
        <v>2270</v>
      </c>
      <c r="AK926" s="1">
        <v>310321</v>
      </c>
      <c r="AL926" s="1" t="s">
        <v>930</v>
      </c>
      <c r="AN926" s="270">
        <v>20</v>
      </c>
      <c r="AQ926" s="1">
        <v>778</v>
      </c>
      <c r="AR926" s="1" t="s">
        <v>814</v>
      </c>
      <c r="AS926" s="1">
        <v>210671</v>
      </c>
      <c r="AT926" s="1" t="s">
        <v>115</v>
      </c>
      <c r="AV926" s="241">
        <v>272</v>
      </c>
      <c r="BS926" s="1">
        <v>10553</v>
      </c>
      <c r="BT926" s="1" t="s">
        <v>902</v>
      </c>
      <c r="BX926" s="36"/>
    </row>
    <row r="927" spans="2:76" ht="14.25">
      <c r="B927" s="36"/>
      <c r="C927" s="36"/>
      <c r="D927" s="36"/>
      <c r="E927" s="36"/>
      <c r="F927" s="36"/>
      <c r="G927" s="36"/>
      <c r="H927" s="36"/>
      <c r="J927" s="36"/>
      <c r="L927" s="1" t="str">
        <f t="shared" si="106"/>
        <v/>
      </c>
      <c r="M927" s="94">
        <v>922</v>
      </c>
      <c r="N927" s="36" t="s">
        <v>2582</v>
      </c>
      <c r="O927" s="95">
        <v>310629</v>
      </c>
      <c r="P927" s="36"/>
      <c r="AI927" s="122">
        <v>615</v>
      </c>
      <c r="AJ927" s="1" t="s">
        <v>2271</v>
      </c>
      <c r="AK927" s="1">
        <v>310322</v>
      </c>
      <c r="AL927" s="1" t="s">
        <v>115</v>
      </c>
      <c r="AN927" s="270">
        <v>21</v>
      </c>
      <c r="AQ927" s="1">
        <v>779</v>
      </c>
      <c r="AR927" s="1" t="s">
        <v>815</v>
      </c>
      <c r="AS927" s="1">
        <v>210672</v>
      </c>
      <c r="AT927" s="1" t="s">
        <v>115</v>
      </c>
      <c r="AV927" s="241">
        <v>273</v>
      </c>
      <c r="BS927" s="1">
        <v>10554</v>
      </c>
      <c r="BT927" s="1" t="s">
        <v>902</v>
      </c>
      <c r="BX927" s="36"/>
    </row>
    <row r="928" spans="2:76" ht="14.25">
      <c r="B928" s="36"/>
      <c r="C928" s="36"/>
      <c r="D928" s="36"/>
      <c r="E928" s="36"/>
      <c r="F928" s="36"/>
      <c r="G928" s="36"/>
      <c r="H928" s="36"/>
      <c r="J928" s="36"/>
      <c r="L928" s="1" t="str">
        <f t="shared" si="106"/>
        <v/>
      </c>
      <c r="M928" s="94">
        <v>923</v>
      </c>
      <c r="N928" s="36" t="s">
        <v>2583</v>
      </c>
      <c r="O928" s="95">
        <v>310630</v>
      </c>
      <c r="P928" s="36"/>
      <c r="AI928" s="122">
        <v>616</v>
      </c>
      <c r="AJ928" s="1" t="s">
        <v>2272</v>
      </c>
      <c r="AK928" s="1">
        <v>310323</v>
      </c>
      <c r="AL928" s="1" t="s">
        <v>930</v>
      </c>
      <c r="AN928" s="270">
        <v>22</v>
      </c>
      <c r="AQ928" s="1">
        <v>780</v>
      </c>
      <c r="AR928" s="1" t="s">
        <v>816</v>
      </c>
      <c r="AS928" s="1">
        <v>210673</v>
      </c>
      <c r="AT928" s="1" t="s">
        <v>116</v>
      </c>
      <c r="AV928" s="241">
        <v>274</v>
      </c>
      <c r="BS928" s="1">
        <v>10555</v>
      </c>
      <c r="BT928" s="1" t="s">
        <v>902</v>
      </c>
      <c r="BX928" s="36"/>
    </row>
    <row r="929" spans="2:76" ht="14.25">
      <c r="B929" s="36"/>
      <c r="C929" s="36"/>
      <c r="D929" s="36"/>
      <c r="E929" s="36"/>
      <c r="F929" s="36"/>
      <c r="G929" s="36"/>
      <c r="H929" s="36"/>
      <c r="J929" s="36"/>
      <c r="L929" s="1" t="str">
        <f t="shared" si="106"/>
        <v/>
      </c>
      <c r="M929" s="94">
        <v>924</v>
      </c>
      <c r="N929" s="36" t="s">
        <v>2584</v>
      </c>
      <c r="O929" s="95">
        <v>310631</v>
      </c>
      <c r="P929" s="36"/>
      <c r="AI929" s="122">
        <v>617</v>
      </c>
      <c r="AJ929" s="1" t="s">
        <v>2273</v>
      </c>
      <c r="AK929" s="1">
        <v>310324</v>
      </c>
      <c r="AL929" s="1" t="s">
        <v>930</v>
      </c>
      <c r="AN929" s="270">
        <v>23</v>
      </c>
      <c r="AQ929" s="1">
        <v>781</v>
      </c>
      <c r="AR929" s="1" t="s">
        <v>817</v>
      </c>
      <c r="AS929" s="1">
        <v>210674</v>
      </c>
      <c r="AT929" s="1" t="s">
        <v>115</v>
      </c>
      <c r="AV929" s="241">
        <v>275</v>
      </c>
      <c r="BS929" s="1">
        <v>10556</v>
      </c>
      <c r="BT929" s="1" t="s">
        <v>902</v>
      </c>
      <c r="BX929" s="36"/>
    </row>
    <row r="930" spans="2:76" ht="14.25">
      <c r="B930" s="36"/>
      <c r="C930" s="36"/>
      <c r="D930" s="36"/>
      <c r="E930" s="36"/>
      <c r="F930" s="36"/>
      <c r="G930" s="36"/>
      <c r="H930" s="36"/>
      <c r="J930" s="36"/>
      <c r="L930" s="1" t="str">
        <f t="shared" si="106"/>
        <v/>
      </c>
      <c r="M930" s="94">
        <v>925</v>
      </c>
      <c r="N930" s="36" t="s">
        <v>2585</v>
      </c>
      <c r="O930" s="95">
        <v>310632</v>
      </c>
      <c r="P930" s="36"/>
      <c r="AI930" s="122">
        <v>618</v>
      </c>
      <c r="AJ930" s="1" t="s">
        <v>2274</v>
      </c>
      <c r="AK930" s="1">
        <v>310325</v>
      </c>
      <c r="AL930" s="1" t="s">
        <v>115</v>
      </c>
      <c r="AN930" s="270">
        <v>24</v>
      </c>
      <c r="AQ930" s="1">
        <v>782</v>
      </c>
      <c r="AR930" s="1" t="s">
        <v>818</v>
      </c>
      <c r="AS930" s="1">
        <v>210675</v>
      </c>
      <c r="AT930" s="1" t="s">
        <v>116</v>
      </c>
      <c r="AV930" s="241">
        <v>276</v>
      </c>
      <c r="BS930" s="1">
        <v>10557</v>
      </c>
      <c r="BT930" s="1" t="s">
        <v>902</v>
      </c>
      <c r="BX930" s="36"/>
    </row>
    <row r="931" spans="2:76" ht="14.25">
      <c r="B931" s="36"/>
      <c r="C931" s="36"/>
      <c r="D931" s="36"/>
      <c r="E931" s="36"/>
      <c r="F931" s="36"/>
      <c r="G931" s="36"/>
      <c r="H931" s="36"/>
      <c r="J931" s="36"/>
      <c r="L931" s="1" t="str">
        <f t="shared" si="106"/>
        <v/>
      </c>
      <c r="M931" s="94">
        <v>926</v>
      </c>
      <c r="N931" s="36" t="s">
        <v>2586</v>
      </c>
      <c r="O931" s="95">
        <v>310633</v>
      </c>
      <c r="P931" s="36"/>
      <c r="AI931" s="122">
        <v>619</v>
      </c>
      <c r="AJ931" s="1" t="s">
        <v>2275</v>
      </c>
      <c r="AK931" s="1">
        <v>310326</v>
      </c>
      <c r="AL931" s="1" t="s">
        <v>930</v>
      </c>
      <c r="AN931" s="270">
        <v>25</v>
      </c>
      <c r="AQ931" s="1">
        <v>783</v>
      </c>
      <c r="AR931" s="1" t="s">
        <v>819</v>
      </c>
      <c r="AS931" s="1">
        <v>210676</v>
      </c>
      <c r="AT931" s="1" t="s">
        <v>115</v>
      </c>
      <c r="AV931" s="241">
        <v>277</v>
      </c>
      <c r="BS931" s="1">
        <v>10558</v>
      </c>
      <c r="BT931" s="1" t="s">
        <v>902</v>
      </c>
      <c r="BX931" s="36"/>
    </row>
    <row r="932" spans="2:76" ht="14.25">
      <c r="B932" s="36"/>
      <c r="C932" s="36"/>
      <c r="D932" s="36"/>
      <c r="E932" s="36"/>
      <c r="F932" s="36"/>
      <c r="G932" s="36"/>
      <c r="H932" s="36"/>
      <c r="J932" s="36"/>
      <c r="L932" s="1" t="str">
        <f t="shared" si="106"/>
        <v/>
      </c>
      <c r="M932" s="94">
        <v>927</v>
      </c>
      <c r="N932" s="36" t="s">
        <v>2587</v>
      </c>
      <c r="O932" s="95">
        <v>310634</v>
      </c>
      <c r="P932" s="36"/>
      <c r="AI932" s="122">
        <v>620</v>
      </c>
      <c r="AJ932" s="1" t="s">
        <v>2276</v>
      </c>
      <c r="AK932" s="1">
        <v>310327</v>
      </c>
      <c r="AL932" s="1" t="s">
        <v>115</v>
      </c>
      <c r="AN932" s="270">
        <v>26</v>
      </c>
      <c r="AQ932" s="1">
        <v>784</v>
      </c>
      <c r="AR932" s="1" t="s">
        <v>820</v>
      </c>
      <c r="AS932" s="1">
        <v>210683</v>
      </c>
      <c r="AT932" s="1" t="s">
        <v>115</v>
      </c>
      <c r="AV932" s="241">
        <v>278</v>
      </c>
      <c r="BS932" s="1">
        <v>10559</v>
      </c>
      <c r="BT932" s="1" t="s">
        <v>902</v>
      </c>
      <c r="BX932" s="36"/>
    </row>
    <row r="933" spans="2:76" ht="14.25">
      <c r="B933" s="36"/>
      <c r="C933" s="36"/>
      <c r="D933" s="36"/>
      <c r="E933" s="36"/>
      <c r="F933" s="36"/>
      <c r="G933" s="36"/>
      <c r="H933" s="36"/>
      <c r="J933" s="36"/>
      <c r="L933" s="1" t="str">
        <f t="shared" si="106"/>
        <v/>
      </c>
      <c r="M933" s="94">
        <v>928</v>
      </c>
      <c r="N933" s="36" t="s">
        <v>2588</v>
      </c>
      <c r="O933" s="95">
        <v>310635</v>
      </c>
      <c r="P933" s="36"/>
      <c r="AI933" s="122">
        <v>621</v>
      </c>
      <c r="AJ933" s="1" t="s">
        <v>2277</v>
      </c>
      <c r="AK933" s="1">
        <v>310328</v>
      </c>
      <c r="AL933" s="1" t="s">
        <v>930</v>
      </c>
      <c r="AN933" s="270">
        <v>27</v>
      </c>
      <c r="AQ933" s="1">
        <v>785</v>
      </c>
      <c r="AR933" s="1" t="s">
        <v>821</v>
      </c>
      <c r="AS933" s="1">
        <v>210677</v>
      </c>
      <c r="AT933" s="1" t="s">
        <v>116</v>
      </c>
      <c r="AV933" s="241">
        <v>279</v>
      </c>
      <c r="BS933" s="1">
        <v>10560</v>
      </c>
      <c r="BT933" s="1" t="s">
        <v>902</v>
      </c>
      <c r="BX933" s="36"/>
    </row>
    <row r="934" spans="2:76" ht="14.25">
      <c r="B934" s="36"/>
      <c r="C934" s="36"/>
      <c r="D934" s="36"/>
      <c r="E934" s="36"/>
      <c r="F934" s="36"/>
      <c r="G934" s="36"/>
      <c r="H934" s="36"/>
      <c r="J934" s="36"/>
      <c r="L934" s="1" t="str">
        <f t="shared" si="106"/>
        <v/>
      </c>
      <c r="M934" s="94">
        <v>929</v>
      </c>
      <c r="N934" s="36" t="s">
        <v>2589</v>
      </c>
      <c r="O934" s="95">
        <v>310636</v>
      </c>
      <c r="P934" s="36"/>
      <c r="AI934" s="122">
        <v>622</v>
      </c>
      <c r="AJ934" s="1" t="s">
        <v>2278</v>
      </c>
      <c r="AK934" s="1">
        <v>310329</v>
      </c>
      <c r="AL934" s="1" t="s">
        <v>115</v>
      </c>
      <c r="AN934" s="270">
        <v>28</v>
      </c>
      <c r="AQ934" s="1">
        <v>786</v>
      </c>
      <c r="AR934" s="1" t="s">
        <v>822</v>
      </c>
      <c r="AS934" s="1">
        <v>210678</v>
      </c>
      <c r="AT934" s="1" t="s">
        <v>115</v>
      </c>
      <c r="AV934" s="241">
        <v>280</v>
      </c>
      <c r="BS934" s="1">
        <v>10561</v>
      </c>
      <c r="BT934" s="1" t="s">
        <v>902</v>
      </c>
      <c r="BX934" s="36"/>
    </row>
    <row r="935" spans="2:76" ht="14.25">
      <c r="B935" s="36"/>
      <c r="C935" s="36"/>
      <c r="D935" s="36"/>
      <c r="E935" s="36"/>
      <c r="F935" s="36"/>
      <c r="G935" s="36"/>
      <c r="H935" s="36"/>
      <c r="J935" s="36"/>
      <c r="L935" s="1" t="str">
        <f t="shared" si="106"/>
        <v/>
      </c>
      <c r="M935" s="94">
        <v>930</v>
      </c>
      <c r="N935" s="36" t="s">
        <v>2590</v>
      </c>
      <c r="O935" s="95">
        <v>310637</v>
      </c>
      <c r="P935" s="36"/>
      <c r="AI935" s="122">
        <v>623</v>
      </c>
      <c r="AJ935" s="1" t="s">
        <v>2279</v>
      </c>
      <c r="AK935" s="1">
        <v>310330</v>
      </c>
      <c r="AL935" s="1" t="s">
        <v>930</v>
      </c>
      <c r="AN935" s="270">
        <v>29</v>
      </c>
      <c r="AQ935" s="1">
        <v>787</v>
      </c>
      <c r="AR935" s="1" t="s">
        <v>823</v>
      </c>
      <c r="AS935" s="1">
        <v>210624</v>
      </c>
      <c r="AT935" s="1" t="s">
        <v>116</v>
      </c>
      <c r="AV935" s="241">
        <v>281</v>
      </c>
      <c r="BS935" s="1">
        <v>10562</v>
      </c>
      <c r="BT935" s="1" t="s">
        <v>902</v>
      </c>
      <c r="BX935" s="36"/>
    </row>
    <row r="936" spans="2:76" ht="14.25">
      <c r="B936" s="36"/>
      <c r="C936" s="36"/>
      <c r="D936" s="36"/>
      <c r="E936" s="36"/>
      <c r="F936" s="36"/>
      <c r="G936" s="36"/>
      <c r="H936" s="36"/>
      <c r="J936" s="36"/>
      <c r="L936" s="1" t="str">
        <f t="shared" si="106"/>
        <v/>
      </c>
      <c r="M936" s="94">
        <v>931</v>
      </c>
      <c r="N936" s="36" t="s">
        <v>2591</v>
      </c>
      <c r="O936" s="95">
        <v>310638</v>
      </c>
      <c r="P936" s="36"/>
      <c r="AI936" s="122">
        <v>624</v>
      </c>
      <c r="AJ936" s="1" t="s">
        <v>2280</v>
      </c>
      <c r="AK936" s="1">
        <v>310331</v>
      </c>
      <c r="AL936" s="1" t="s">
        <v>930</v>
      </c>
      <c r="AN936" s="270">
        <v>30</v>
      </c>
      <c r="AQ936" s="1">
        <v>788</v>
      </c>
      <c r="AR936" s="1" t="s">
        <v>824</v>
      </c>
      <c r="AS936" s="1">
        <v>210679</v>
      </c>
      <c r="AT936" s="1" t="s">
        <v>115</v>
      </c>
      <c r="AV936" s="241">
        <v>282</v>
      </c>
      <c r="BS936" s="1">
        <v>10563</v>
      </c>
      <c r="BT936" s="1" t="s">
        <v>902</v>
      </c>
      <c r="BX936" s="36"/>
    </row>
    <row r="937" spans="2:76" ht="14.25">
      <c r="B937" s="36"/>
      <c r="C937" s="36"/>
      <c r="D937" s="36"/>
      <c r="E937" s="36"/>
      <c r="F937" s="36"/>
      <c r="G937" s="36"/>
      <c r="H937" s="36"/>
      <c r="J937" s="36"/>
      <c r="L937" s="1" t="str">
        <f t="shared" si="106"/>
        <v/>
      </c>
      <c r="M937" s="94">
        <v>932</v>
      </c>
      <c r="N937" s="36" t="s">
        <v>2592</v>
      </c>
      <c r="O937" s="95">
        <v>310639</v>
      </c>
      <c r="P937" s="36"/>
      <c r="AI937" s="122">
        <v>625</v>
      </c>
      <c r="AJ937" s="1" t="s">
        <v>2281</v>
      </c>
      <c r="AK937" s="1">
        <v>310332</v>
      </c>
      <c r="AL937" s="1" t="s">
        <v>115</v>
      </c>
      <c r="AN937" s="270">
        <v>31</v>
      </c>
      <c r="AQ937" s="1">
        <v>789</v>
      </c>
      <c r="AR937" s="1" t="s">
        <v>825</v>
      </c>
      <c r="AS937" s="1">
        <v>210681</v>
      </c>
      <c r="AT937" s="1" t="s">
        <v>115</v>
      </c>
      <c r="AV937" s="241">
        <v>283</v>
      </c>
      <c r="BS937" s="1">
        <v>10564</v>
      </c>
      <c r="BT937" s="1" t="s">
        <v>902</v>
      </c>
      <c r="BX937" s="36"/>
    </row>
    <row r="938" spans="2:76" ht="14.25">
      <c r="B938" s="36"/>
      <c r="C938" s="36"/>
      <c r="D938" s="36"/>
      <c r="E938" s="36"/>
      <c r="F938" s="36"/>
      <c r="G938" s="36"/>
      <c r="H938" s="36"/>
      <c r="J938" s="36"/>
      <c r="L938" s="1" t="str">
        <f t="shared" si="106"/>
        <v/>
      </c>
      <c r="M938" s="94">
        <v>933</v>
      </c>
      <c r="N938" s="36" t="s">
        <v>2593</v>
      </c>
      <c r="O938" s="95">
        <v>310640</v>
      </c>
      <c r="P938" s="36"/>
      <c r="AI938" s="122">
        <v>626</v>
      </c>
      <c r="AJ938" s="1" t="s">
        <v>2282</v>
      </c>
      <c r="AK938" s="1">
        <v>310333</v>
      </c>
      <c r="AL938" s="1" t="s">
        <v>930</v>
      </c>
      <c r="AN938" s="270">
        <v>32</v>
      </c>
      <c r="AQ938" s="1">
        <v>790</v>
      </c>
      <c r="AR938" s="1" t="s">
        <v>826</v>
      </c>
      <c r="AS938" s="1">
        <v>210682</v>
      </c>
      <c r="AT938" s="1" t="s">
        <v>116</v>
      </c>
      <c r="AV938" s="241">
        <v>284</v>
      </c>
      <c r="BS938" s="1">
        <v>10565</v>
      </c>
      <c r="BT938" s="1" t="s">
        <v>902</v>
      </c>
      <c r="BX938" s="36"/>
    </row>
    <row r="939" spans="2:76" ht="14.25">
      <c r="B939" s="36"/>
      <c r="C939" s="36"/>
      <c r="D939" s="36"/>
      <c r="E939" s="36"/>
      <c r="F939" s="36"/>
      <c r="G939" s="36"/>
      <c r="H939" s="36"/>
      <c r="J939" s="36"/>
      <c r="L939" s="1" t="str">
        <f t="shared" si="106"/>
        <v/>
      </c>
      <c r="M939" s="94">
        <v>934</v>
      </c>
      <c r="N939" s="36" t="s">
        <v>2594</v>
      </c>
      <c r="O939" s="95">
        <v>310641</v>
      </c>
      <c r="P939" s="36"/>
      <c r="AI939" s="122">
        <v>627</v>
      </c>
      <c r="AJ939" s="1" t="s">
        <v>2283</v>
      </c>
      <c r="AK939" s="1">
        <v>310334</v>
      </c>
      <c r="AL939" s="1" t="s">
        <v>115</v>
      </c>
      <c r="AN939" s="270">
        <v>33</v>
      </c>
      <c r="AQ939" s="1">
        <v>791</v>
      </c>
      <c r="AR939" s="1" t="s">
        <v>828</v>
      </c>
      <c r="AS939" s="1">
        <v>210684</v>
      </c>
      <c r="AT939" s="1" t="s">
        <v>115</v>
      </c>
      <c r="AV939" s="241">
        <v>285</v>
      </c>
      <c r="BS939" s="1">
        <v>10566</v>
      </c>
      <c r="BT939" s="1" t="s">
        <v>902</v>
      </c>
      <c r="BX939" s="36"/>
    </row>
    <row r="940" spans="2:76" ht="14.25">
      <c r="B940" s="36"/>
      <c r="C940" s="36"/>
      <c r="D940" s="36"/>
      <c r="E940" s="36"/>
      <c r="F940" s="36"/>
      <c r="G940" s="36"/>
      <c r="H940" s="36"/>
      <c r="J940" s="36"/>
      <c r="L940" s="1" t="str">
        <f t="shared" si="106"/>
        <v/>
      </c>
      <c r="M940" s="94">
        <v>935</v>
      </c>
      <c r="N940" s="36" t="s">
        <v>2595</v>
      </c>
      <c r="O940" s="95">
        <v>310642</v>
      </c>
      <c r="P940" s="36"/>
      <c r="AI940" s="122">
        <v>628</v>
      </c>
      <c r="AJ940" s="1" t="s">
        <v>2284</v>
      </c>
      <c r="AK940" s="1">
        <v>310335</v>
      </c>
      <c r="AL940" s="1" t="s">
        <v>930</v>
      </c>
      <c r="AN940" s="270">
        <v>34</v>
      </c>
      <c r="AQ940" s="1">
        <v>792</v>
      </c>
      <c r="AR940" s="1" t="s">
        <v>827</v>
      </c>
      <c r="AS940" s="1">
        <v>210331</v>
      </c>
      <c r="AT940" s="1" t="s">
        <v>116</v>
      </c>
      <c r="AV940" s="241">
        <v>286</v>
      </c>
      <c r="BS940" s="1">
        <v>10567</v>
      </c>
      <c r="BT940" s="1" t="s">
        <v>902</v>
      </c>
      <c r="BX940" s="36"/>
    </row>
    <row r="941" spans="2:76" ht="14.25">
      <c r="B941" s="36"/>
      <c r="C941" s="36"/>
      <c r="D941" s="36"/>
      <c r="E941" s="36"/>
      <c r="F941" s="36"/>
      <c r="G941" s="36"/>
      <c r="H941" s="36"/>
      <c r="J941" s="36"/>
      <c r="L941" s="1" t="str">
        <f t="shared" si="106"/>
        <v/>
      </c>
      <c r="M941" s="94">
        <v>936</v>
      </c>
      <c r="N941" s="36" t="s">
        <v>2596</v>
      </c>
      <c r="O941" s="95">
        <v>310643</v>
      </c>
      <c r="P941" s="36"/>
      <c r="AI941" s="122">
        <v>629</v>
      </c>
      <c r="AJ941" s="1" t="s">
        <v>2285</v>
      </c>
      <c r="AK941" s="1">
        <v>310336</v>
      </c>
      <c r="AL941" s="1" t="s">
        <v>115</v>
      </c>
      <c r="AN941" s="270">
        <v>35</v>
      </c>
      <c r="AQ941" s="1">
        <v>793</v>
      </c>
      <c r="AR941" s="1" t="s">
        <v>829</v>
      </c>
      <c r="AS941" s="1">
        <v>210688</v>
      </c>
      <c r="AT941" s="1" t="s">
        <v>115</v>
      </c>
      <c r="AV941" s="241">
        <v>287</v>
      </c>
      <c r="BS941" s="1">
        <v>10568</v>
      </c>
      <c r="BT941" s="1" t="s">
        <v>902</v>
      </c>
      <c r="BX941" s="36"/>
    </row>
    <row r="942" spans="2:76" ht="14.25">
      <c r="B942" s="36"/>
      <c r="C942" s="36"/>
      <c r="D942" s="36"/>
      <c r="E942" s="36"/>
      <c r="F942" s="36"/>
      <c r="G942" s="36"/>
      <c r="H942" s="36"/>
      <c r="J942" s="36"/>
      <c r="L942" s="1" t="str">
        <f t="shared" si="106"/>
        <v/>
      </c>
      <c r="M942" s="94">
        <v>937</v>
      </c>
      <c r="N942" s="36" t="s">
        <v>2597</v>
      </c>
      <c r="O942" s="95">
        <v>310644</v>
      </c>
      <c r="P942" s="36"/>
      <c r="AI942" s="122">
        <v>630</v>
      </c>
      <c r="AJ942" s="1" t="s">
        <v>2286</v>
      </c>
      <c r="AK942" s="1">
        <v>310337</v>
      </c>
      <c r="AL942" s="1" t="s">
        <v>930</v>
      </c>
      <c r="AN942" s="270">
        <v>36</v>
      </c>
      <c r="AQ942" s="1">
        <v>794</v>
      </c>
      <c r="AR942" s="1" t="s">
        <v>830</v>
      </c>
      <c r="AS942" s="1">
        <v>210689</v>
      </c>
      <c r="AT942" s="1" t="s">
        <v>115</v>
      </c>
      <c r="AV942" s="241">
        <v>288</v>
      </c>
      <c r="BS942" s="1">
        <v>10569</v>
      </c>
      <c r="BT942" s="1" t="s">
        <v>902</v>
      </c>
      <c r="BX942" s="36"/>
    </row>
    <row r="943" spans="2:76" ht="14.25">
      <c r="B943" s="36"/>
      <c r="C943" s="36"/>
      <c r="D943" s="36"/>
      <c r="E943" s="36"/>
      <c r="F943" s="36"/>
      <c r="G943" s="36"/>
      <c r="H943" s="36"/>
      <c r="J943" s="36"/>
      <c r="L943" s="1" t="str">
        <f t="shared" si="106"/>
        <v/>
      </c>
      <c r="M943" s="94">
        <v>938</v>
      </c>
      <c r="N943" s="36" t="s">
        <v>2598</v>
      </c>
      <c r="O943" s="95">
        <v>310645</v>
      </c>
      <c r="P943" s="36"/>
      <c r="AI943" s="122">
        <v>631</v>
      </c>
      <c r="AJ943" s="1" t="s">
        <v>2287</v>
      </c>
      <c r="AK943" s="1">
        <v>310338</v>
      </c>
      <c r="AL943" s="1" t="s">
        <v>930</v>
      </c>
      <c r="AN943" s="270">
        <v>37</v>
      </c>
      <c r="AQ943" s="1">
        <v>795</v>
      </c>
      <c r="AR943" s="1" t="s">
        <v>831</v>
      </c>
      <c r="AS943" s="1">
        <v>210690</v>
      </c>
      <c r="AT943" s="1" t="s">
        <v>116</v>
      </c>
      <c r="AV943" s="241">
        <v>289</v>
      </c>
      <c r="BS943" s="1">
        <v>10570</v>
      </c>
      <c r="BT943" s="1" t="s">
        <v>902</v>
      </c>
      <c r="BX943" s="36"/>
    </row>
    <row r="944" spans="2:76" ht="14.25">
      <c r="B944" s="36"/>
      <c r="C944" s="36"/>
      <c r="D944" s="36"/>
      <c r="E944" s="36"/>
      <c r="F944" s="36"/>
      <c r="G944" s="36"/>
      <c r="H944" s="36"/>
      <c r="J944" s="36"/>
      <c r="L944" s="1" t="str">
        <f t="shared" si="106"/>
        <v/>
      </c>
      <c r="M944" s="94">
        <v>939</v>
      </c>
      <c r="N944" s="36" t="s">
        <v>2599</v>
      </c>
      <c r="O944" s="95">
        <v>310646</v>
      </c>
      <c r="P944" s="36"/>
      <c r="AI944" s="122">
        <v>632</v>
      </c>
      <c r="AJ944" s="1" t="s">
        <v>2288</v>
      </c>
      <c r="AK944" s="1">
        <v>310339</v>
      </c>
      <c r="AL944" s="1" t="s">
        <v>115</v>
      </c>
      <c r="AN944" s="270">
        <v>38</v>
      </c>
      <c r="AQ944" s="1">
        <v>796</v>
      </c>
      <c r="AR944" s="1" t="s">
        <v>832</v>
      </c>
      <c r="AS944" s="1">
        <v>210691</v>
      </c>
      <c r="AT944" s="1" t="s">
        <v>115</v>
      </c>
      <c r="AV944" s="241">
        <v>290</v>
      </c>
      <c r="BS944" s="1">
        <v>10571</v>
      </c>
      <c r="BT944" s="1" t="s">
        <v>902</v>
      </c>
      <c r="BX944" s="36"/>
    </row>
    <row r="945" spans="2:76" ht="14.25">
      <c r="B945" s="36"/>
      <c r="C945" s="36"/>
      <c r="D945" s="36"/>
      <c r="E945" s="36"/>
      <c r="F945" s="36"/>
      <c r="G945" s="36"/>
      <c r="H945" s="36"/>
      <c r="J945" s="36"/>
      <c r="L945" s="1" t="str">
        <f t="shared" si="106"/>
        <v/>
      </c>
      <c r="M945" s="94">
        <v>940</v>
      </c>
      <c r="N945" s="36" t="s">
        <v>2600</v>
      </c>
      <c r="O945" s="95">
        <v>310647</v>
      </c>
      <c r="P945" s="36"/>
      <c r="AI945" s="122">
        <v>633</v>
      </c>
      <c r="AJ945" s="1" t="s">
        <v>2289</v>
      </c>
      <c r="AK945" s="1">
        <v>310340</v>
      </c>
      <c r="AL945" s="1" t="s">
        <v>930</v>
      </c>
      <c r="AN945" s="270">
        <v>39</v>
      </c>
      <c r="AQ945" s="1">
        <v>797</v>
      </c>
      <c r="AR945" s="1" t="s">
        <v>833</v>
      </c>
      <c r="AS945" s="1">
        <v>210692</v>
      </c>
      <c r="AT945" s="1" t="s">
        <v>116</v>
      </c>
      <c r="AV945" s="241">
        <v>291</v>
      </c>
      <c r="BS945" s="1">
        <v>10572</v>
      </c>
      <c r="BT945" s="1" t="s">
        <v>902</v>
      </c>
      <c r="BX945" s="36"/>
    </row>
    <row r="946" spans="2:76" ht="14.25">
      <c r="B946" s="36"/>
      <c r="C946" s="36"/>
      <c r="D946" s="36"/>
      <c r="E946" s="36"/>
      <c r="F946" s="36"/>
      <c r="G946" s="36"/>
      <c r="H946" s="36"/>
      <c r="J946" s="36"/>
      <c r="L946" s="1" t="str">
        <f t="shared" si="106"/>
        <v/>
      </c>
      <c r="M946" s="94">
        <v>941</v>
      </c>
      <c r="N946" s="36" t="s">
        <v>2601</v>
      </c>
      <c r="O946" s="95">
        <v>310648</v>
      </c>
      <c r="P946" s="36"/>
      <c r="AI946" s="122">
        <v>634</v>
      </c>
      <c r="AJ946" s="1" t="s">
        <v>2290</v>
      </c>
      <c r="AK946" s="1">
        <v>310341</v>
      </c>
      <c r="AL946" s="1" t="s">
        <v>115</v>
      </c>
      <c r="AN946" s="270">
        <v>40</v>
      </c>
      <c r="AQ946" s="1">
        <v>798</v>
      </c>
      <c r="AR946" s="1" t="s">
        <v>834</v>
      </c>
      <c r="AS946" s="1">
        <v>210693</v>
      </c>
      <c r="AT946" s="1" t="s">
        <v>115</v>
      </c>
      <c r="AV946" s="241">
        <v>292</v>
      </c>
      <c r="BS946" s="1">
        <v>10573</v>
      </c>
      <c r="BT946" s="1" t="s">
        <v>902</v>
      </c>
      <c r="BX946" s="36"/>
    </row>
    <row r="947" spans="2:76" ht="14.25">
      <c r="B947" s="36"/>
      <c r="C947" s="36"/>
      <c r="D947" s="36"/>
      <c r="E947" s="36"/>
      <c r="F947" s="36"/>
      <c r="G947" s="36"/>
      <c r="H947" s="36"/>
      <c r="J947" s="36"/>
      <c r="L947" s="1" t="str">
        <f t="shared" si="106"/>
        <v/>
      </c>
      <c r="M947" s="94">
        <v>942</v>
      </c>
      <c r="N947" s="36" t="s">
        <v>2602</v>
      </c>
      <c r="O947" s="95">
        <v>310649</v>
      </c>
      <c r="P947" s="36"/>
      <c r="AI947" s="122">
        <v>635</v>
      </c>
      <c r="AJ947" s="1" t="s">
        <v>2291</v>
      </c>
      <c r="AK947" s="1">
        <v>310342</v>
      </c>
      <c r="AL947" s="1" t="s">
        <v>930</v>
      </c>
      <c r="AN947" s="270">
        <v>41</v>
      </c>
      <c r="AQ947" s="1">
        <v>799</v>
      </c>
      <c r="AR947" s="1" t="s">
        <v>835</v>
      </c>
      <c r="AS947" s="1">
        <v>210694</v>
      </c>
      <c r="AT947" s="1" t="s">
        <v>116</v>
      </c>
      <c r="AV947" s="241">
        <v>293</v>
      </c>
      <c r="BS947" s="1">
        <v>10574</v>
      </c>
      <c r="BT947" s="1" t="s">
        <v>902</v>
      </c>
      <c r="BX947" s="36"/>
    </row>
    <row r="948" spans="2:76" ht="14.25">
      <c r="B948" s="36"/>
      <c r="C948" s="36"/>
      <c r="D948" s="36"/>
      <c r="E948" s="36"/>
      <c r="F948" s="36"/>
      <c r="G948" s="36"/>
      <c r="H948" s="36"/>
      <c r="J948" s="36"/>
      <c r="L948" s="1" t="str">
        <f t="shared" si="106"/>
        <v/>
      </c>
      <c r="M948" s="94">
        <v>943</v>
      </c>
      <c r="N948" s="36" t="s">
        <v>2603</v>
      </c>
      <c r="O948" s="95">
        <v>310650</v>
      </c>
      <c r="P948" s="36"/>
      <c r="AI948" s="122">
        <v>636</v>
      </c>
      <c r="AJ948" s="1" t="s">
        <v>2292</v>
      </c>
      <c r="AK948" s="1">
        <v>310343</v>
      </c>
      <c r="AL948" s="1" t="s">
        <v>115</v>
      </c>
      <c r="AN948" s="270">
        <v>42</v>
      </c>
      <c r="AQ948" s="1">
        <v>800</v>
      </c>
      <c r="AR948" s="1" t="s">
        <v>836</v>
      </c>
      <c r="AS948" s="1">
        <v>210695</v>
      </c>
      <c r="AT948" s="1" t="s">
        <v>115</v>
      </c>
      <c r="AV948" s="241">
        <v>294</v>
      </c>
      <c r="BS948" s="1">
        <v>10575</v>
      </c>
      <c r="BT948" s="1" t="s">
        <v>902</v>
      </c>
      <c r="BX948" s="36"/>
    </row>
    <row r="949" spans="2:76" ht="14.25">
      <c r="B949" s="36"/>
      <c r="C949" s="36"/>
      <c r="D949" s="36"/>
      <c r="E949" s="36"/>
      <c r="F949" s="36"/>
      <c r="G949" s="36"/>
      <c r="H949" s="36"/>
      <c r="J949" s="36"/>
      <c r="L949" s="1" t="str">
        <f t="shared" si="106"/>
        <v/>
      </c>
      <c r="M949" s="94">
        <v>944</v>
      </c>
      <c r="N949" s="36" t="s">
        <v>2604</v>
      </c>
      <c r="O949" s="95">
        <v>310651</v>
      </c>
      <c r="P949" s="36"/>
      <c r="AI949" s="122">
        <v>637</v>
      </c>
      <c r="AJ949" s="1" t="s">
        <v>2293</v>
      </c>
      <c r="AK949" s="1">
        <v>310344</v>
      </c>
      <c r="AL949" s="1" t="s">
        <v>930</v>
      </c>
      <c r="AN949" s="270">
        <v>43</v>
      </c>
      <c r="AQ949" s="1">
        <v>801</v>
      </c>
      <c r="AR949" s="1" t="s">
        <v>837</v>
      </c>
      <c r="AS949" s="1">
        <v>210696</v>
      </c>
      <c r="AT949" s="1" t="s">
        <v>115</v>
      </c>
      <c r="AV949" s="241">
        <v>295</v>
      </c>
      <c r="BS949" s="1">
        <v>10576</v>
      </c>
      <c r="BT949" s="1" t="s">
        <v>902</v>
      </c>
      <c r="BX949" s="36"/>
    </row>
    <row r="950" spans="2:76" ht="14.25">
      <c r="B950" s="36"/>
      <c r="C950" s="36"/>
      <c r="D950" s="36"/>
      <c r="E950" s="36"/>
      <c r="F950" s="36"/>
      <c r="G950" s="36"/>
      <c r="H950" s="36"/>
      <c r="J950" s="36"/>
      <c r="L950" s="1" t="str">
        <f t="shared" si="106"/>
        <v/>
      </c>
      <c r="M950" s="94">
        <v>945</v>
      </c>
      <c r="N950" s="36" t="s">
        <v>2605</v>
      </c>
      <c r="O950" s="95">
        <v>310652</v>
      </c>
      <c r="P950" s="36"/>
      <c r="AI950" s="122">
        <v>638</v>
      </c>
      <c r="AJ950" s="1" t="s">
        <v>2294</v>
      </c>
      <c r="AK950" s="1">
        <v>310345</v>
      </c>
      <c r="AL950" s="1" t="s">
        <v>930</v>
      </c>
      <c r="AN950" s="270">
        <v>44</v>
      </c>
      <c r="AQ950" s="1">
        <v>802</v>
      </c>
      <c r="AR950" s="1" t="s">
        <v>838</v>
      </c>
      <c r="AS950" s="1">
        <v>210697</v>
      </c>
      <c r="AT950" s="1" t="s">
        <v>116</v>
      </c>
      <c r="AV950" s="241">
        <v>296</v>
      </c>
      <c r="BS950" s="1">
        <v>10577</v>
      </c>
      <c r="BT950" s="1" t="s">
        <v>902</v>
      </c>
      <c r="BX950" s="36"/>
    </row>
    <row r="951" spans="2:76" ht="14.25">
      <c r="B951" s="36"/>
      <c r="C951" s="36"/>
      <c r="D951" s="36"/>
      <c r="E951" s="36"/>
      <c r="F951" s="36"/>
      <c r="G951" s="36"/>
      <c r="H951" s="36"/>
      <c r="J951" s="36"/>
      <c r="L951" s="1" t="str">
        <f t="shared" si="106"/>
        <v/>
      </c>
      <c r="M951" s="94">
        <v>946</v>
      </c>
      <c r="N951" s="36" t="s">
        <v>2606</v>
      </c>
      <c r="O951" s="95">
        <v>310653</v>
      </c>
      <c r="P951" s="36"/>
      <c r="AI951" s="122">
        <v>639</v>
      </c>
      <c r="AJ951" s="1" t="s">
        <v>2295</v>
      </c>
      <c r="AK951" s="1">
        <v>310346</v>
      </c>
      <c r="AL951" s="1" t="s">
        <v>115</v>
      </c>
      <c r="AN951" s="270">
        <v>45</v>
      </c>
      <c r="AQ951" s="1">
        <v>803</v>
      </c>
      <c r="AR951" s="1" t="s">
        <v>839</v>
      </c>
      <c r="AS951" s="1">
        <v>210698</v>
      </c>
      <c r="AT951" s="1" t="s">
        <v>115</v>
      </c>
      <c r="AV951" s="241">
        <v>297</v>
      </c>
      <c r="BS951" s="1">
        <v>10578</v>
      </c>
      <c r="BT951" s="1" t="s">
        <v>902</v>
      </c>
      <c r="BX951" s="36"/>
    </row>
    <row r="952" spans="2:76" ht="14.25">
      <c r="B952" s="36"/>
      <c r="C952" s="36"/>
      <c r="D952" s="36"/>
      <c r="E952" s="36"/>
      <c r="F952" s="36"/>
      <c r="G952" s="36"/>
      <c r="H952" s="36"/>
      <c r="J952" s="36"/>
      <c r="L952" s="1" t="str">
        <f t="shared" si="106"/>
        <v/>
      </c>
      <c r="M952" s="94">
        <v>947</v>
      </c>
      <c r="N952" s="36" t="s">
        <v>2607</v>
      </c>
      <c r="O952" s="95">
        <v>310654</v>
      </c>
      <c r="P952" s="36"/>
      <c r="AI952" s="122">
        <v>640</v>
      </c>
      <c r="AJ952" s="1" t="s">
        <v>2296</v>
      </c>
      <c r="AK952" s="1">
        <v>310347</v>
      </c>
      <c r="AL952" s="1" t="s">
        <v>930</v>
      </c>
      <c r="AN952" s="270">
        <v>46</v>
      </c>
      <c r="AQ952" s="1">
        <v>804</v>
      </c>
      <c r="AR952" s="1" t="s">
        <v>840</v>
      </c>
      <c r="AS952" s="1">
        <v>210699</v>
      </c>
      <c r="AT952" s="1" t="s">
        <v>116</v>
      </c>
      <c r="AV952" s="241">
        <v>298</v>
      </c>
      <c r="BS952" s="1">
        <v>10579</v>
      </c>
      <c r="BT952" s="1" t="s">
        <v>902</v>
      </c>
      <c r="BX952" s="36"/>
    </row>
    <row r="953" spans="2:76" ht="14.25">
      <c r="B953" s="36"/>
      <c r="C953" s="36"/>
      <c r="D953" s="36"/>
      <c r="E953" s="36"/>
      <c r="F953" s="36"/>
      <c r="G953" s="36"/>
      <c r="H953" s="36"/>
      <c r="J953" s="36"/>
      <c r="L953" s="1" t="str">
        <f t="shared" si="106"/>
        <v/>
      </c>
      <c r="M953" s="94">
        <v>948</v>
      </c>
      <c r="N953" s="36" t="s">
        <v>2608</v>
      </c>
      <c r="O953" s="95">
        <v>310655</v>
      </c>
      <c r="P953" s="36"/>
      <c r="AI953" s="122">
        <v>641</v>
      </c>
      <c r="AJ953" s="1" t="s">
        <v>2297</v>
      </c>
      <c r="AK953" s="1">
        <v>310348</v>
      </c>
      <c r="AL953" s="1" t="s">
        <v>115</v>
      </c>
      <c r="AN953" s="270">
        <v>47</v>
      </c>
      <c r="AQ953" s="1">
        <v>805</v>
      </c>
      <c r="AR953" s="1" t="s">
        <v>841</v>
      </c>
      <c r="AS953" s="1">
        <v>210700</v>
      </c>
      <c r="AT953" s="1" t="s">
        <v>115</v>
      </c>
      <c r="AV953" s="241">
        <v>299</v>
      </c>
      <c r="BS953" s="1">
        <v>10580</v>
      </c>
      <c r="BT953" s="1" t="s">
        <v>902</v>
      </c>
      <c r="BX953" s="36"/>
    </row>
    <row r="954" spans="2:76" ht="14.25">
      <c r="B954" s="36"/>
      <c r="C954" s="36"/>
      <c r="D954" s="36"/>
      <c r="E954" s="36"/>
      <c r="F954" s="36"/>
      <c r="G954" s="36"/>
      <c r="H954" s="36"/>
      <c r="J954" s="36"/>
      <c r="L954" s="1" t="str">
        <f t="shared" si="106"/>
        <v/>
      </c>
      <c r="M954" s="94">
        <v>949</v>
      </c>
      <c r="N954" s="36" t="s">
        <v>2609</v>
      </c>
      <c r="O954" s="95">
        <v>310656</v>
      </c>
      <c r="P954" s="36"/>
      <c r="AI954" s="122">
        <v>642</v>
      </c>
      <c r="AJ954" s="1" t="s">
        <v>2298</v>
      </c>
      <c r="AK954" s="1">
        <v>310349</v>
      </c>
      <c r="AL954" s="1" t="s">
        <v>930</v>
      </c>
      <c r="AN954" s="270">
        <v>48</v>
      </c>
      <c r="AQ954" s="1">
        <v>806</v>
      </c>
      <c r="AR954" s="1" t="s">
        <v>842</v>
      </c>
      <c r="AS954" s="1">
        <v>210701</v>
      </c>
      <c r="AT954" s="1" t="s">
        <v>115</v>
      </c>
      <c r="AV954" s="241">
        <v>300</v>
      </c>
      <c r="BS954" s="1">
        <v>10581</v>
      </c>
      <c r="BT954" s="1" t="s">
        <v>902</v>
      </c>
      <c r="BX954" s="36"/>
    </row>
    <row r="955" spans="2:76" ht="14.25">
      <c r="B955" s="36"/>
      <c r="C955" s="36"/>
      <c r="D955" s="36"/>
      <c r="E955" s="36"/>
      <c r="F955" s="36"/>
      <c r="G955" s="36"/>
      <c r="H955" s="36"/>
      <c r="J955" s="36"/>
      <c r="L955" s="1" t="str">
        <f t="shared" si="106"/>
        <v/>
      </c>
      <c r="M955" s="94">
        <v>950</v>
      </c>
      <c r="N955" s="36" t="s">
        <v>2610</v>
      </c>
      <c r="O955" s="95">
        <v>310657</v>
      </c>
      <c r="P955" s="36"/>
      <c r="AI955" s="122">
        <v>643</v>
      </c>
      <c r="AJ955" s="1" t="s">
        <v>2299</v>
      </c>
      <c r="AK955" s="1">
        <v>310350</v>
      </c>
      <c r="AL955" s="1" t="s">
        <v>115</v>
      </c>
      <c r="AN955" s="270">
        <v>49</v>
      </c>
      <c r="AQ955" s="1">
        <v>807</v>
      </c>
      <c r="AR955" s="1" t="s">
        <v>843</v>
      </c>
      <c r="AS955" s="1">
        <v>210702</v>
      </c>
      <c r="AT955" s="1" t="s">
        <v>116</v>
      </c>
      <c r="AV955" s="241">
        <v>301</v>
      </c>
      <c r="BS955" s="1">
        <v>10582</v>
      </c>
      <c r="BT955" s="1" t="s">
        <v>902</v>
      </c>
      <c r="BX955" s="36"/>
    </row>
    <row r="956" spans="2:76" ht="14.25">
      <c r="B956" s="36"/>
      <c r="C956" s="36"/>
      <c r="D956" s="36"/>
      <c r="E956" s="36"/>
      <c r="F956" s="36"/>
      <c r="G956" s="36"/>
      <c r="H956" s="36"/>
      <c r="J956" s="36"/>
      <c r="L956" s="1" t="str">
        <f t="shared" si="106"/>
        <v/>
      </c>
      <c r="M956" s="94">
        <v>951</v>
      </c>
      <c r="N956" s="36" t="s">
        <v>2611</v>
      </c>
      <c r="O956" s="95">
        <v>310658</v>
      </c>
      <c r="P956" s="36"/>
      <c r="AI956" s="122">
        <v>644</v>
      </c>
      <c r="AJ956" s="1" t="s">
        <v>2300</v>
      </c>
      <c r="AK956" s="1">
        <v>310351</v>
      </c>
      <c r="AL956" s="1" t="s">
        <v>930</v>
      </c>
      <c r="AN956" s="270">
        <v>50</v>
      </c>
      <c r="AQ956" s="1">
        <v>808</v>
      </c>
      <c r="AR956" s="1" t="s">
        <v>844</v>
      </c>
      <c r="AS956" s="1">
        <v>210703</v>
      </c>
      <c r="AT956" s="1" t="s">
        <v>115</v>
      </c>
      <c r="AV956" s="241">
        <v>302</v>
      </c>
      <c r="BS956" s="1">
        <v>10583</v>
      </c>
      <c r="BT956" s="1" t="s">
        <v>902</v>
      </c>
      <c r="BX956" s="36"/>
    </row>
    <row r="957" spans="2:76" ht="14.25">
      <c r="B957" s="36"/>
      <c r="C957" s="36"/>
      <c r="D957" s="36"/>
      <c r="E957" s="36"/>
      <c r="F957" s="36"/>
      <c r="G957" s="36"/>
      <c r="H957" s="36"/>
      <c r="J957" s="36"/>
      <c r="L957" s="1" t="str">
        <f t="shared" si="106"/>
        <v/>
      </c>
      <c r="M957" s="94">
        <v>952</v>
      </c>
      <c r="N957" s="36" t="s">
        <v>2612</v>
      </c>
      <c r="O957" s="95">
        <v>310659</v>
      </c>
      <c r="P957" s="36"/>
      <c r="AI957" s="122">
        <v>645</v>
      </c>
      <c r="AJ957" s="1" t="s">
        <v>2301</v>
      </c>
      <c r="AK957" s="1">
        <v>310352</v>
      </c>
      <c r="AL957" s="1" t="s">
        <v>930</v>
      </c>
      <c r="AN957" s="270">
        <v>51</v>
      </c>
      <c r="AQ957" s="1">
        <v>809</v>
      </c>
      <c r="AR957" s="1" t="s">
        <v>845</v>
      </c>
      <c r="AS957" s="1">
        <v>210704</v>
      </c>
      <c r="AT957" s="1" t="s">
        <v>116</v>
      </c>
      <c r="AV957" s="241">
        <v>303</v>
      </c>
      <c r="BS957" s="1">
        <v>10584</v>
      </c>
      <c r="BT957" s="1" t="s">
        <v>902</v>
      </c>
      <c r="BX957" s="36"/>
    </row>
    <row r="958" spans="2:76" ht="14.25">
      <c r="B958" s="36"/>
      <c r="C958" s="36"/>
      <c r="D958" s="36"/>
      <c r="E958" s="36"/>
      <c r="F958" s="36"/>
      <c r="G958" s="36"/>
      <c r="H958" s="36"/>
      <c r="J958" s="36"/>
      <c r="L958" s="1" t="str">
        <f t="shared" si="106"/>
        <v/>
      </c>
      <c r="M958" s="94">
        <v>953</v>
      </c>
      <c r="N958" s="36" t="s">
        <v>2613</v>
      </c>
      <c r="O958" s="95">
        <v>310660</v>
      </c>
      <c r="P958" s="36"/>
      <c r="AI958" s="122">
        <v>646</v>
      </c>
      <c r="AJ958" s="1" t="s">
        <v>2302</v>
      </c>
      <c r="AK958" s="1">
        <v>310353</v>
      </c>
      <c r="AL958" s="1" t="s">
        <v>115</v>
      </c>
      <c r="AN958" s="270">
        <v>52</v>
      </c>
      <c r="AQ958" s="1">
        <v>810</v>
      </c>
      <c r="AR958" s="1" t="s">
        <v>846</v>
      </c>
      <c r="AS958" s="1">
        <v>210705</v>
      </c>
      <c r="AT958" s="1" t="s">
        <v>115</v>
      </c>
      <c r="AV958" s="241">
        <v>304</v>
      </c>
      <c r="BS958" s="1">
        <v>10585</v>
      </c>
      <c r="BT958" s="1" t="s">
        <v>902</v>
      </c>
      <c r="BX958" s="36"/>
    </row>
    <row r="959" spans="2:76" ht="14.25">
      <c r="B959" s="36"/>
      <c r="C959" s="36"/>
      <c r="D959" s="36"/>
      <c r="E959" s="36"/>
      <c r="F959" s="36"/>
      <c r="G959" s="36"/>
      <c r="H959" s="36"/>
      <c r="J959" s="36"/>
      <c r="L959" s="1" t="str">
        <f t="shared" si="106"/>
        <v/>
      </c>
      <c r="M959" s="94">
        <v>954</v>
      </c>
      <c r="N959" s="36" t="s">
        <v>2614</v>
      </c>
      <c r="O959" s="95">
        <v>310661</v>
      </c>
      <c r="P959" s="36"/>
      <c r="AI959" s="122">
        <v>647</v>
      </c>
      <c r="AJ959" s="1" t="s">
        <v>2303</v>
      </c>
      <c r="AK959" s="1">
        <v>310354</v>
      </c>
      <c r="AL959" s="1" t="s">
        <v>930</v>
      </c>
      <c r="AN959" s="270">
        <v>53</v>
      </c>
      <c r="AQ959" s="1">
        <v>811</v>
      </c>
      <c r="AR959" s="1" t="s">
        <v>847</v>
      </c>
      <c r="AS959" s="1">
        <v>210706</v>
      </c>
      <c r="AT959" s="1" t="s">
        <v>115</v>
      </c>
      <c r="AV959" s="241">
        <v>305</v>
      </c>
      <c r="BS959" s="1">
        <v>10586</v>
      </c>
      <c r="BT959" s="1" t="s">
        <v>902</v>
      </c>
      <c r="BX959" s="36"/>
    </row>
    <row r="960" spans="2:76" ht="14.25">
      <c r="B960" s="36"/>
      <c r="C960" s="36"/>
      <c r="D960" s="36"/>
      <c r="E960" s="36"/>
      <c r="F960" s="36"/>
      <c r="G960" s="36"/>
      <c r="H960" s="36"/>
      <c r="J960" s="36"/>
      <c r="L960" s="1" t="str">
        <f t="shared" si="106"/>
        <v/>
      </c>
      <c r="M960" s="94">
        <v>955</v>
      </c>
      <c r="N960" s="36" t="s">
        <v>2615</v>
      </c>
      <c r="O960" s="95">
        <v>310662</v>
      </c>
      <c r="P960" s="36"/>
      <c r="AI960" s="122">
        <v>648</v>
      </c>
      <c r="AJ960" s="1" t="s">
        <v>2304</v>
      </c>
      <c r="AK960" s="1">
        <v>310355</v>
      </c>
      <c r="AL960" s="1" t="s">
        <v>115</v>
      </c>
      <c r="AN960" s="270">
        <v>54</v>
      </c>
      <c r="AQ960" s="1">
        <v>812</v>
      </c>
      <c r="AR960" s="1" t="s">
        <v>848</v>
      </c>
      <c r="AS960" s="1">
        <v>210707</v>
      </c>
      <c r="AT960" s="1" t="s">
        <v>116</v>
      </c>
      <c r="AV960" s="241">
        <v>306</v>
      </c>
      <c r="BS960" s="1">
        <v>10587</v>
      </c>
      <c r="BT960" s="1" t="s">
        <v>902</v>
      </c>
      <c r="BX960" s="36"/>
    </row>
    <row r="961" spans="2:76" ht="14.25">
      <c r="B961" s="36"/>
      <c r="C961" s="36"/>
      <c r="D961" s="36"/>
      <c r="E961" s="36"/>
      <c r="F961" s="36"/>
      <c r="G961" s="36"/>
      <c r="H961" s="36"/>
      <c r="J961" s="36"/>
      <c r="L961" s="1" t="str">
        <f t="shared" si="106"/>
        <v/>
      </c>
      <c r="M961" s="94">
        <v>956</v>
      </c>
      <c r="N961" s="36" t="s">
        <v>2616</v>
      </c>
      <c r="O961" s="95">
        <v>310663</v>
      </c>
      <c r="P961" s="36"/>
      <c r="AI961" s="122">
        <v>649</v>
      </c>
      <c r="AJ961" s="1" t="s">
        <v>2305</v>
      </c>
      <c r="AK961" s="1">
        <v>310356</v>
      </c>
      <c r="AL961" s="1" t="s">
        <v>930</v>
      </c>
      <c r="AN961" s="270">
        <v>55</v>
      </c>
      <c r="AQ961" s="1">
        <v>813</v>
      </c>
      <c r="AR961" s="1" t="s">
        <v>849</v>
      </c>
      <c r="AS961" s="1">
        <v>210708</v>
      </c>
      <c r="AT961" s="1" t="s">
        <v>115</v>
      </c>
      <c r="AV961" s="241">
        <v>307</v>
      </c>
      <c r="BS961" s="1">
        <v>10588</v>
      </c>
      <c r="BT961" s="1" t="s">
        <v>902</v>
      </c>
      <c r="BX961" s="36"/>
    </row>
    <row r="962" spans="2:76" ht="14.25">
      <c r="B962" s="36"/>
      <c r="C962" s="36"/>
      <c r="D962" s="36"/>
      <c r="E962" s="36"/>
      <c r="F962" s="36"/>
      <c r="G962" s="36"/>
      <c r="H962" s="36"/>
      <c r="J962" s="36"/>
      <c r="L962" s="1" t="str">
        <f t="shared" si="106"/>
        <v/>
      </c>
      <c r="M962" s="94">
        <v>957</v>
      </c>
      <c r="N962" s="36" t="s">
        <v>2617</v>
      </c>
      <c r="O962" s="95">
        <v>310664</v>
      </c>
      <c r="P962" s="36"/>
      <c r="AI962" s="122">
        <v>650</v>
      </c>
      <c r="AJ962" s="1" t="s">
        <v>2306</v>
      </c>
      <c r="AK962" s="1">
        <v>310357</v>
      </c>
      <c r="AL962" s="1" t="s">
        <v>115</v>
      </c>
      <c r="AN962" s="270">
        <v>56</v>
      </c>
      <c r="AQ962" s="1">
        <v>814</v>
      </c>
      <c r="AR962" s="1" t="s">
        <v>850</v>
      </c>
      <c r="AS962" s="1">
        <v>210709</v>
      </c>
      <c r="AT962" s="1" t="s">
        <v>116</v>
      </c>
      <c r="AV962" s="241">
        <v>308</v>
      </c>
      <c r="BS962" s="1">
        <v>10589</v>
      </c>
      <c r="BT962" s="1" t="s">
        <v>902</v>
      </c>
      <c r="BX962" s="36"/>
    </row>
    <row r="963" spans="2:76" ht="14.25">
      <c r="B963" s="36"/>
      <c r="C963" s="36"/>
      <c r="D963" s="36"/>
      <c r="E963" s="36"/>
      <c r="F963" s="36"/>
      <c r="G963" s="36"/>
      <c r="H963" s="36"/>
      <c r="J963" s="36"/>
      <c r="L963" s="1" t="str">
        <f t="shared" si="106"/>
        <v/>
      </c>
      <c r="M963" s="94">
        <v>958</v>
      </c>
      <c r="N963" s="36" t="s">
        <v>2618</v>
      </c>
      <c r="O963" s="95">
        <v>310665</v>
      </c>
      <c r="P963" s="36"/>
      <c r="AI963" s="122">
        <v>651</v>
      </c>
      <c r="AJ963" s="1" t="s">
        <v>2307</v>
      </c>
      <c r="AK963" s="1">
        <v>310358</v>
      </c>
      <c r="AL963" s="1" t="s">
        <v>930</v>
      </c>
      <c r="AN963" s="270">
        <v>57</v>
      </c>
      <c r="AQ963" s="1">
        <v>815</v>
      </c>
      <c r="AR963" s="1" t="s">
        <v>851</v>
      </c>
      <c r="AS963" s="1">
        <v>210710</v>
      </c>
      <c r="AT963" s="1" t="s">
        <v>115</v>
      </c>
      <c r="AV963" s="241">
        <v>309</v>
      </c>
      <c r="BS963" s="1">
        <v>10590</v>
      </c>
      <c r="BT963" s="1" t="s">
        <v>902</v>
      </c>
      <c r="BX963" s="36"/>
    </row>
    <row r="964" spans="2:76" ht="14.25">
      <c r="B964" s="36"/>
      <c r="C964" s="36"/>
      <c r="D964" s="36"/>
      <c r="E964" s="36"/>
      <c r="F964" s="36"/>
      <c r="G964" s="36"/>
      <c r="H964" s="36"/>
      <c r="J964" s="36"/>
      <c r="L964" s="1" t="str">
        <f t="shared" ref="L964:L1027" si="107">IF(AND(MIN(I:I)&lt;20,MAX(I:I)&gt;980,I964&lt;20),I964,"")</f>
        <v/>
      </c>
      <c r="M964" s="94">
        <v>959</v>
      </c>
      <c r="N964" s="36" t="s">
        <v>2619</v>
      </c>
      <c r="O964" s="95">
        <v>310666</v>
      </c>
      <c r="P964" s="36"/>
      <c r="AI964" s="122">
        <v>652</v>
      </c>
      <c r="AJ964" s="1" t="s">
        <v>2308</v>
      </c>
      <c r="AK964" s="1">
        <v>310359</v>
      </c>
      <c r="AL964" s="1" t="s">
        <v>930</v>
      </c>
      <c r="AN964" s="270">
        <v>58</v>
      </c>
      <c r="AQ964" s="1">
        <v>816</v>
      </c>
      <c r="AR964" s="1" t="s">
        <v>852</v>
      </c>
      <c r="AS964" s="1">
        <v>210711</v>
      </c>
      <c r="AT964" s="1" t="s">
        <v>115</v>
      </c>
      <c r="AV964" s="241">
        <v>310</v>
      </c>
      <c r="BS964" s="1">
        <v>10591</v>
      </c>
      <c r="BT964" s="1" t="s">
        <v>902</v>
      </c>
      <c r="BX964" s="36"/>
    </row>
    <row r="965" spans="2:76" ht="14.25">
      <c r="B965" s="36"/>
      <c r="C965" s="36"/>
      <c r="D965" s="36"/>
      <c r="E965" s="36"/>
      <c r="F965" s="36"/>
      <c r="G965" s="36"/>
      <c r="H965" s="36"/>
      <c r="J965" s="36"/>
      <c r="L965" s="1" t="str">
        <f t="shared" si="107"/>
        <v/>
      </c>
      <c r="M965" s="94">
        <v>960</v>
      </c>
      <c r="N965" s="36" t="s">
        <v>2620</v>
      </c>
      <c r="O965" s="95">
        <v>310667</v>
      </c>
      <c r="P965" s="36"/>
      <c r="AI965" s="122">
        <v>653</v>
      </c>
      <c r="AJ965" s="1" t="s">
        <v>2309</v>
      </c>
      <c r="AK965" s="1">
        <v>310360</v>
      </c>
      <c r="AL965" s="1" t="s">
        <v>115</v>
      </c>
      <c r="AN965" s="270">
        <v>59</v>
      </c>
      <c r="AQ965" s="1">
        <v>817</v>
      </c>
      <c r="AR965" s="1" t="s">
        <v>853</v>
      </c>
      <c r="AS965" s="1">
        <v>210712</v>
      </c>
      <c r="AT965" s="1" t="s">
        <v>116</v>
      </c>
      <c r="AV965" s="241">
        <v>311</v>
      </c>
      <c r="BS965" s="1">
        <v>10592</v>
      </c>
      <c r="BT965" s="1" t="s">
        <v>902</v>
      </c>
      <c r="BX965" s="36"/>
    </row>
    <row r="966" spans="2:76" ht="14.25">
      <c r="B966" s="36"/>
      <c r="C966" s="36"/>
      <c r="D966" s="36"/>
      <c r="E966" s="36"/>
      <c r="F966" s="36"/>
      <c r="G966" s="36"/>
      <c r="H966" s="36"/>
      <c r="J966" s="36"/>
      <c r="L966" s="1" t="str">
        <f t="shared" si="107"/>
        <v/>
      </c>
      <c r="M966" s="94">
        <v>961</v>
      </c>
      <c r="N966" s="36" t="s">
        <v>2621</v>
      </c>
      <c r="O966" s="95">
        <v>310668</v>
      </c>
      <c r="P966" s="36"/>
      <c r="AI966" s="122">
        <v>654</v>
      </c>
      <c r="AJ966" s="1" t="s">
        <v>2310</v>
      </c>
      <c r="AK966" s="1">
        <v>310361</v>
      </c>
      <c r="AL966" s="1" t="s">
        <v>930</v>
      </c>
      <c r="AN966" s="270">
        <v>60</v>
      </c>
      <c r="AQ966" s="1">
        <v>818</v>
      </c>
      <c r="AR966" s="1" t="s">
        <v>854</v>
      </c>
      <c r="AS966" s="1">
        <v>210713</v>
      </c>
      <c r="AT966" s="1" t="s">
        <v>115</v>
      </c>
      <c r="AV966" s="241">
        <v>312</v>
      </c>
      <c r="BS966" s="1">
        <v>10593</v>
      </c>
      <c r="BT966" s="1" t="s">
        <v>902</v>
      </c>
      <c r="BX966" s="36"/>
    </row>
    <row r="967" spans="2:76" ht="14.25">
      <c r="B967" s="36"/>
      <c r="C967" s="36"/>
      <c r="D967" s="36"/>
      <c r="E967" s="36"/>
      <c r="F967" s="36"/>
      <c r="G967" s="36"/>
      <c r="H967" s="36"/>
      <c r="J967" s="36"/>
      <c r="L967" s="1" t="str">
        <f t="shared" si="107"/>
        <v/>
      </c>
      <c r="M967" s="94">
        <v>962</v>
      </c>
      <c r="N967" s="36" t="s">
        <v>2622</v>
      </c>
      <c r="O967" s="95">
        <v>310669</v>
      </c>
      <c r="P967" s="36"/>
      <c r="AI967" s="122">
        <v>655</v>
      </c>
      <c r="AJ967" s="1" t="s">
        <v>2311</v>
      </c>
      <c r="AK967" s="1">
        <v>310362</v>
      </c>
      <c r="AL967" s="1" t="s">
        <v>115</v>
      </c>
      <c r="AN967" s="270">
        <v>61</v>
      </c>
      <c r="AQ967" s="1">
        <v>819</v>
      </c>
      <c r="AR967" s="1" t="s">
        <v>855</v>
      </c>
      <c r="AS967" s="1">
        <v>210714</v>
      </c>
      <c r="AT967" s="1" t="s">
        <v>116</v>
      </c>
      <c r="AV967" s="241">
        <v>313</v>
      </c>
      <c r="BS967" s="1">
        <v>10594</v>
      </c>
      <c r="BT967" s="1" t="s">
        <v>902</v>
      </c>
      <c r="BX967" s="36"/>
    </row>
    <row r="968" spans="2:76" ht="14.25">
      <c r="B968" s="36"/>
      <c r="C968" s="36"/>
      <c r="D968" s="36"/>
      <c r="E968" s="36"/>
      <c r="F968" s="36"/>
      <c r="G968" s="36"/>
      <c r="H968" s="36"/>
      <c r="J968" s="36"/>
      <c r="L968" s="1" t="str">
        <f t="shared" si="107"/>
        <v/>
      </c>
      <c r="M968" s="94">
        <v>963</v>
      </c>
      <c r="N968" s="36" t="s">
        <v>2623</v>
      </c>
      <c r="O968" s="95">
        <v>310670</v>
      </c>
      <c r="P968" s="36"/>
      <c r="AI968" s="122">
        <v>656</v>
      </c>
      <c r="AJ968" s="1" t="s">
        <v>2312</v>
      </c>
      <c r="AK968" s="1">
        <v>310363</v>
      </c>
      <c r="AL968" s="1" t="s">
        <v>930</v>
      </c>
      <c r="AN968" s="270">
        <v>62</v>
      </c>
      <c r="AQ968" s="1">
        <v>820</v>
      </c>
      <c r="AR968" s="1" t="s">
        <v>856</v>
      </c>
      <c r="AS968" s="1">
        <v>210715</v>
      </c>
      <c r="AT968" s="1" t="s">
        <v>115</v>
      </c>
      <c r="AV968" s="241">
        <v>314</v>
      </c>
      <c r="BS968" s="1">
        <v>10595</v>
      </c>
      <c r="BT968" s="1" t="s">
        <v>902</v>
      </c>
      <c r="BX968" s="36"/>
    </row>
    <row r="969" spans="2:76" ht="14.25">
      <c r="B969" s="36"/>
      <c r="C969" s="36"/>
      <c r="D969" s="36"/>
      <c r="E969" s="36"/>
      <c r="F969" s="36"/>
      <c r="G969" s="36"/>
      <c r="H969" s="36"/>
      <c r="J969" s="36"/>
      <c r="L969" s="1" t="str">
        <f t="shared" si="107"/>
        <v/>
      </c>
      <c r="M969" s="94">
        <v>964</v>
      </c>
      <c r="N969" s="36" t="s">
        <v>2624</v>
      </c>
      <c r="O969" s="95">
        <v>310671</v>
      </c>
      <c r="P969" s="36"/>
      <c r="AI969" s="122">
        <v>657</v>
      </c>
      <c r="AJ969" s="1" t="s">
        <v>2313</v>
      </c>
      <c r="AK969" s="1">
        <v>310364</v>
      </c>
      <c r="AL969" s="1" t="s">
        <v>115</v>
      </c>
      <c r="AN969" s="270">
        <v>63</v>
      </c>
      <c r="AQ969" s="1">
        <v>821</v>
      </c>
      <c r="AR969" s="1" t="s">
        <v>857</v>
      </c>
      <c r="AS969" s="1">
        <v>210716</v>
      </c>
      <c r="AT969" s="1" t="s">
        <v>116</v>
      </c>
      <c r="AV969" s="241">
        <v>315</v>
      </c>
      <c r="BS969" s="1">
        <v>10596</v>
      </c>
      <c r="BT969" s="1" t="s">
        <v>902</v>
      </c>
      <c r="BX969" s="36"/>
    </row>
    <row r="970" spans="2:76" ht="14.25">
      <c r="B970" s="36"/>
      <c r="C970" s="36"/>
      <c r="D970" s="36"/>
      <c r="E970" s="36"/>
      <c r="F970" s="36"/>
      <c r="G970" s="36"/>
      <c r="H970" s="36"/>
      <c r="J970" s="36"/>
      <c r="L970" s="1" t="str">
        <f t="shared" si="107"/>
        <v/>
      </c>
      <c r="M970" s="94">
        <v>965</v>
      </c>
      <c r="N970" s="36" t="s">
        <v>2625</v>
      </c>
      <c r="O970" s="95">
        <v>310672</v>
      </c>
      <c r="P970" s="36"/>
      <c r="AI970" s="122">
        <v>658</v>
      </c>
      <c r="AJ970" s="1" t="s">
        <v>2314</v>
      </c>
      <c r="AK970" s="1">
        <v>310365</v>
      </c>
      <c r="AL970" s="1" t="s">
        <v>930</v>
      </c>
      <c r="AN970" s="270">
        <v>64</v>
      </c>
      <c r="AQ970" s="1">
        <v>822</v>
      </c>
      <c r="AR970" s="1" t="s">
        <v>858</v>
      </c>
      <c r="AS970" s="1">
        <v>210717</v>
      </c>
      <c r="AT970" s="1" t="s">
        <v>115</v>
      </c>
      <c r="AV970" s="241">
        <v>316</v>
      </c>
      <c r="BS970" s="1">
        <v>10597</v>
      </c>
      <c r="BT970" s="1" t="s">
        <v>902</v>
      </c>
      <c r="BX970" s="36"/>
    </row>
    <row r="971" spans="2:76" ht="14.25">
      <c r="B971" s="36"/>
      <c r="C971" s="36"/>
      <c r="D971" s="36"/>
      <c r="E971" s="36"/>
      <c r="F971" s="36"/>
      <c r="G971" s="36"/>
      <c r="H971" s="36"/>
      <c r="J971" s="36"/>
      <c r="L971" s="1" t="str">
        <f t="shared" si="107"/>
        <v/>
      </c>
      <c r="M971" s="94">
        <v>966</v>
      </c>
      <c r="N971" s="36" t="s">
        <v>2626</v>
      </c>
      <c r="O971" s="95">
        <v>310673</v>
      </c>
      <c r="P971" s="36"/>
      <c r="AI971" s="122">
        <v>659</v>
      </c>
      <c r="AJ971" s="1" t="s">
        <v>2315</v>
      </c>
      <c r="AK971" s="1">
        <v>310366</v>
      </c>
      <c r="AL971" s="1" t="s">
        <v>115</v>
      </c>
      <c r="AN971" s="270">
        <v>65</v>
      </c>
      <c r="AQ971" s="1">
        <v>823</v>
      </c>
      <c r="AR971" s="1" t="s">
        <v>859</v>
      </c>
      <c r="AS971" s="1">
        <v>210718</v>
      </c>
      <c r="AT971" s="1" t="s">
        <v>115</v>
      </c>
      <c r="AV971" s="241">
        <v>317</v>
      </c>
      <c r="BS971" s="1">
        <v>10598</v>
      </c>
      <c r="BT971" s="1" t="s">
        <v>902</v>
      </c>
      <c r="BX971" s="36"/>
    </row>
    <row r="972" spans="2:76" ht="14.25">
      <c r="B972" s="36"/>
      <c r="C972" s="36"/>
      <c r="D972" s="36"/>
      <c r="E972" s="36"/>
      <c r="F972" s="36"/>
      <c r="G972" s="36"/>
      <c r="H972" s="36"/>
      <c r="J972" s="36"/>
      <c r="L972" s="1" t="str">
        <f t="shared" si="107"/>
        <v/>
      </c>
      <c r="M972" s="94">
        <v>967</v>
      </c>
      <c r="N972" s="36" t="s">
        <v>2627</v>
      </c>
      <c r="O972" s="95">
        <v>310674</v>
      </c>
      <c r="P972" s="36"/>
      <c r="AI972" s="122">
        <v>660</v>
      </c>
      <c r="AJ972" s="1" t="s">
        <v>2316</v>
      </c>
      <c r="AK972" s="1">
        <v>310367</v>
      </c>
      <c r="AL972" s="1" t="s">
        <v>930</v>
      </c>
      <c r="AN972" s="270">
        <v>66</v>
      </c>
      <c r="AQ972" s="1">
        <v>824</v>
      </c>
      <c r="AR972" s="1" t="s">
        <v>860</v>
      </c>
      <c r="AS972" s="1">
        <v>210719</v>
      </c>
      <c r="AT972" s="1" t="s">
        <v>116</v>
      </c>
      <c r="AV972" s="241">
        <v>318</v>
      </c>
      <c r="BS972" s="1">
        <v>10599</v>
      </c>
      <c r="BT972" s="1" t="s">
        <v>902</v>
      </c>
      <c r="BX972" s="36"/>
    </row>
    <row r="973" spans="2:76" ht="14.25">
      <c r="B973" s="36"/>
      <c r="C973" s="36"/>
      <c r="D973" s="36"/>
      <c r="E973" s="36"/>
      <c r="F973" s="36"/>
      <c r="G973" s="36"/>
      <c r="H973" s="36"/>
      <c r="J973" s="36"/>
      <c r="L973" s="1" t="str">
        <f t="shared" si="107"/>
        <v/>
      </c>
      <c r="M973" s="94">
        <v>968</v>
      </c>
      <c r="N973" s="36" t="s">
        <v>2628</v>
      </c>
      <c r="O973" s="95">
        <v>310675</v>
      </c>
      <c r="P973" s="36"/>
      <c r="AI973" s="122">
        <v>661</v>
      </c>
      <c r="AJ973" s="1" t="s">
        <v>2317</v>
      </c>
      <c r="AK973" s="1">
        <v>310368</v>
      </c>
      <c r="AL973" s="1" t="s">
        <v>930</v>
      </c>
      <c r="AN973" s="270">
        <v>67</v>
      </c>
      <c r="AQ973" s="1">
        <v>825</v>
      </c>
      <c r="AR973" s="1" t="s">
        <v>861</v>
      </c>
      <c r="AS973" s="1">
        <v>210720</v>
      </c>
      <c r="AT973" s="1" t="s">
        <v>115</v>
      </c>
      <c r="AV973" s="241">
        <v>319</v>
      </c>
      <c r="BS973" s="1">
        <v>10600</v>
      </c>
      <c r="BT973" s="1" t="s">
        <v>902</v>
      </c>
      <c r="BX973" s="36"/>
    </row>
    <row r="974" spans="2:76" ht="14.25">
      <c r="B974" s="36"/>
      <c r="C974" s="36"/>
      <c r="D974" s="36"/>
      <c r="E974" s="36"/>
      <c r="F974" s="36"/>
      <c r="G974" s="36"/>
      <c r="H974" s="36"/>
      <c r="J974" s="36"/>
      <c r="L974" s="1" t="str">
        <f t="shared" si="107"/>
        <v/>
      </c>
      <c r="M974" s="94">
        <v>969</v>
      </c>
      <c r="N974" s="36" t="s">
        <v>2629</v>
      </c>
      <c r="O974" s="95">
        <v>310676</v>
      </c>
      <c r="P974" s="36"/>
      <c r="AI974" s="122">
        <v>662</v>
      </c>
      <c r="AJ974" s="1" t="s">
        <v>2318</v>
      </c>
      <c r="AK974" s="1">
        <v>310369</v>
      </c>
      <c r="AL974" s="1" t="s">
        <v>115</v>
      </c>
      <c r="AN974" s="270">
        <v>68</v>
      </c>
      <c r="AQ974" s="1">
        <v>826</v>
      </c>
      <c r="AR974" s="1" t="s">
        <v>862</v>
      </c>
      <c r="AS974" s="1">
        <v>210721</v>
      </c>
      <c r="AT974" s="1" t="s">
        <v>116</v>
      </c>
      <c r="AV974" s="241">
        <v>320</v>
      </c>
      <c r="BS974" s="1">
        <v>10601</v>
      </c>
      <c r="BT974" s="1" t="s">
        <v>902</v>
      </c>
      <c r="BX974" s="36"/>
    </row>
    <row r="975" spans="2:76" ht="14.25">
      <c r="B975" s="36"/>
      <c r="C975" s="36"/>
      <c r="D975" s="36"/>
      <c r="E975" s="36"/>
      <c r="F975" s="36"/>
      <c r="G975" s="36"/>
      <c r="H975" s="36"/>
      <c r="J975" s="36"/>
      <c r="L975" s="1" t="str">
        <f t="shared" si="107"/>
        <v/>
      </c>
      <c r="M975" s="94">
        <v>970</v>
      </c>
      <c r="N975" s="36" t="s">
        <v>2630</v>
      </c>
      <c r="O975" s="95">
        <v>310677</v>
      </c>
      <c r="P975" s="36"/>
      <c r="AI975" s="122">
        <v>663</v>
      </c>
      <c r="AJ975" s="1" t="s">
        <v>2319</v>
      </c>
      <c r="AK975" s="1">
        <v>310370</v>
      </c>
      <c r="AL975" s="1" t="s">
        <v>930</v>
      </c>
      <c r="AN975" s="270">
        <v>69</v>
      </c>
      <c r="AQ975" s="1">
        <v>827</v>
      </c>
      <c r="AR975" s="1" t="s">
        <v>863</v>
      </c>
      <c r="AS975" s="1">
        <v>210722</v>
      </c>
      <c r="AT975" s="1" t="s">
        <v>115</v>
      </c>
      <c r="AV975" s="241">
        <v>321</v>
      </c>
      <c r="BS975" s="1">
        <v>10602</v>
      </c>
      <c r="BT975" s="1" t="s">
        <v>902</v>
      </c>
      <c r="BX975" s="36"/>
    </row>
    <row r="976" spans="2:76" ht="14.25">
      <c r="B976" s="36"/>
      <c r="C976" s="36"/>
      <c r="D976" s="36"/>
      <c r="E976" s="36"/>
      <c r="F976" s="36"/>
      <c r="G976" s="36"/>
      <c r="H976" s="36"/>
      <c r="J976" s="36"/>
      <c r="L976" s="1" t="str">
        <f t="shared" si="107"/>
        <v/>
      </c>
      <c r="M976" s="94">
        <v>971</v>
      </c>
      <c r="N976" s="36" t="s">
        <v>2631</v>
      </c>
      <c r="O976" s="95">
        <v>310678</v>
      </c>
      <c r="P976" s="36"/>
      <c r="AI976" s="122">
        <v>664</v>
      </c>
      <c r="AJ976" s="1" t="s">
        <v>2320</v>
      </c>
      <c r="AK976" s="1">
        <v>310371</v>
      </c>
      <c r="AL976" s="1" t="s">
        <v>115</v>
      </c>
      <c r="AN976" s="270">
        <v>70</v>
      </c>
      <c r="AQ976" s="1">
        <v>828</v>
      </c>
      <c r="AR976" s="1" t="s">
        <v>864</v>
      </c>
      <c r="AS976" s="1">
        <v>210723</v>
      </c>
      <c r="AT976" s="1" t="s">
        <v>115</v>
      </c>
      <c r="AV976" s="241">
        <v>322</v>
      </c>
      <c r="BS976" s="1">
        <v>10603</v>
      </c>
      <c r="BT976" s="1" t="s">
        <v>902</v>
      </c>
      <c r="BX976" s="36"/>
    </row>
    <row r="977" spans="2:76" ht="14.25">
      <c r="B977" s="36"/>
      <c r="C977" s="36"/>
      <c r="D977" s="36"/>
      <c r="E977" s="36"/>
      <c r="F977" s="36"/>
      <c r="G977" s="36"/>
      <c r="H977" s="36"/>
      <c r="J977" s="36"/>
      <c r="L977" s="1" t="str">
        <f t="shared" si="107"/>
        <v/>
      </c>
      <c r="M977" s="94">
        <v>972</v>
      </c>
      <c r="N977" s="36" t="s">
        <v>2632</v>
      </c>
      <c r="O977" s="95">
        <v>310679</v>
      </c>
      <c r="P977" s="36"/>
      <c r="AI977" s="122">
        <v>665</v>
      </c>
      <c r="AJ977" s="1" t="s">
        <v>2321</v>
      </c>
      <c r="AK977" s="1">
        <v>310372</v>
      </c>
      <c r="AL977" s="1" t="s">
        <v>930</v>
      </c>
      <c r="AN977" s="270">
        <v>71</v>
      </c>
      <c r="AQ977" s="1">
        <v>829</v>
      </c>
      <c r="AR977" s="1" t="s">
        <v>865</v>
      </c>
      <c r="AS977" s="1">
        <v>210724</v>
      </c>
      <c r="AT977" s="1" t="s">
        <v>116</v>
      </c>
      <c r="AV977" s="241">
        <v>323</v>
      </c>
      <c r="BS977" s="1">
        <v>10604</v>
      </c>
      <c r="BT977" s="1" t="s">
        <v>902</v>
      </c>
      <c r="BX977" s="36"/>
    </row>
    <row r="978" spans="2:76" ht="14.25">
      <c r="B978" s="36"/>
      <c r="C978" s="36"/>
      <c r="D978" s="36"/>
      <c r="E978" s="36"/>
      <c r="F978" s="36"/>
      <c r="G978" s="36"/>
      <c r="H978" s="36"/>
      <c r="J978" s="36"/>
      <c r="L978" s="1" t="str">
        <f t="shared" si="107"/>
        <v/>
      </c>
      <c r="M978" s="94">
        <v>973</v>
      </c>
      <c r="N978" s="36" t="s">
        <v>2633</v>
      </c>
      <c r="O978" s="95">
        <v>310680</v>
      </c>
      <c r="P978" s="36"/>
      <c r="AI978" s="122">
        <v>666</v>
      </c>
      <c r="AJ978" s="1" t="s">
        <v>2322</v>
      </c>
      <c r="AK978" s="1">
        <v>310373</v>
      </c>
      <c r="AL978" s="1" t="s">
        <v>115</v>
      </c>
      <c r="AN978" s="270">
        <v>72</v>
      </c>
      <c r="AQ978" s="1">
        <v>830</v>
      </c>
      <c r="AR978" s="1" t="s">
        <v>866</v>
      </c>
      <c r="AS978" s="1">
        <v>210725</v>
      </c>
      <c r="AT978" s="1" t="s">
        <v>115</v>
      </c>
      <c r="AV978" s="241">
        <v>324</v>
      </c>
      <c r="BS978" s="1">
        <v>10605</v>
      </c>
      <c r="BT978" s="1" t="s">
        <v>902</v>
      </c>
      <c r="BX978" s="36"/>
    </row>
    <row r="979" spans="2:76" ht="14.25">
      <c r="B979" s="36"/>
      <c r="C979" s="36"/>
      <c r="D979" s="36"/>
      <c r="E979" s="36"/>
      <c r="F979" s="36"/>
      <c r="G979" s="36"/>
      <c r="H979" s="36"/>
      <c r="J979" s="36"/>
      <c r="L979" s="1" t="str">
        <f t="shared" si="107"/>
        <v/>
      </c>
      <c r="M979" s="94">
        <v>974</v>
      </c>
      <c r="N979" s="36" t="s">
        <v>2634</v>
      </c>
      <c r="O979" s="95">
        <v>310681</v>
      </c>
      <c r="P979" s="36"/>
      <c r="AI979" s="122">
        <v>667</v>
      </c>
      <c r="AJ979" s="1" t="s">
        <v>2323</v>
      </c>
      <c r="AK979" s="1">
        <v>310374</v>
      </c>
      <c r="AL979" s="1" t="s">
        <v>930</v>
      </c>
      <c r="AN979" s="270">
        <v>73</v>
      </c>
      <c r="AQ979" s="1">
        <v>831</v>
      </c>
      <c r="AR979" s="1" t="s">
        <v>867</v>
      </c>
      <c r="AS979" s="1">
        <v>210726</v>
      </c>
      <c r="AT979" s="1" t="s">
        <v>116</v>
      </c>
      <c r="AV979" s="241">
        <v>325</v>
      </c>
      <c r="BS979" s="1">
        <v>10606</v>
      </c>
      <c r="BT979" s="1" t="s">
        <v>902</v>
      </c>
      <c r="BX979" s="36"/>
    </row>
    <row r="980" spans="2:76" ht="14.25">
      <c r="B980" s="36"/>
      <c r="C980" s="36"/>
      <c r="D980" s="36"/>
      <c r="E980" s="36"/>
      <c r="F980" s="36"/>
      <c r="G980" s="36"/>
      <c r="H980" s="36"/>
      <c r="J980" s="36"/>
      <c r="L980" s="1" t="str">
        <f t="shared" si="107"/>
        <v/>
      </c>
      <c r="M980" s="94">
        <v>975</v>
      </c>
      <c r="N980" s="36" t="s">
        <v>2635</v>
      </c>
      <c r="O980" s="95">
        <v>310682</v>
      </c>
      <c r="P980" s="36"/>
      <c r="AI980" s="122">
        <v>668</v>
      </c>
      <c r="AJ980" s="1" t="s">
        <v>2324</v>
      </c>
      <c r="AK980" s="1">
        <v>310375</v>
      </c>
      <c r="AL980" s="1" t="s">
        <v>930</v>
      </c>
      <c r="AN980" s="270">
        <v>74</v>
      </c>
      <c r="AQ980" s="1">
        <v>832</v>
      </c>
      <c r="AR980" s="1" t="s">
        <v>868</v>
      </c>
      <c r="AS980" s="1">
        <v>210727</v>
      </c>
      <c r="AT980" s="1" t="s">
        <v>115</v>
      </c>
      <c r="AV980" s="241">
        <v>326</v>
      </c>
      <c r="BS980" s="1">
        <v>10607</v>
      </c>
      <c r="BT980" s="1" t="s">
        <v>902</v>
      </c>
      <c r="BX980" s="36"/>
    </row>
    <row r="981" spans="2:76" ht="14.25">
      <c r="B981" s="36"/>
      <c r="C981" s="36"/>
      <c r="D981" s="36"/>
      <c r="E981" s="36"/>
      <c r="F981" s="36"/>
      <c r="G981" s="36"/>
      <c r="H981" s="36"/>
      <c r="J981" s="36"/>
      <c r="L981" s="1" t="str">
        <f t="shared" si="107"/>
        <v/>
      </c>
      <c r="M981" s="94">
        <v>976</v>
      </c>
      <c r="N981" s="36" t="s">
        <v>2636</v>
      </c>
      <c r="O981" s="95">
        <v>310683</v>
      </c>
      <c r="P981" s="36"/>
      <c r="AI981" s="122">
        <v>669</v>
      </c>
      <c r="AJ981" s="1" t="s">
        <v>2325</v>
      </c>
      <c r="AK981" s="1">
        <v>310376</v>
      </c>
      <c r="AL981" s="1" t="s">
        <v>115</v>
      </c>
      <c r="AN981" s="270">
        <v>75</v>
      </c>
      <c r="AQ981" s="1">
        <v>833</v>
      </c>
      <c r="AR981" s="1" t="s">
        <v>869</v>
      </c>
      <c r="AS981" s="1">
        <v>210728</v>
      </c>
      <c r="AT981" s="1" t="s">
        <v>115</v>
      </c>
      <c r="AV981" s="241">
        <v>327</v>
      </c>
      <c r="BS981" s="1">
        <v>10608</v>
      </c>
      <c r="BT981" s="1" t="s">
        <v>902</v>
      </c>
      <c r="BX981" s="36"/>
    </row>
    <row r="982" spans="2:76" ht="14.25">
      <c r="B982" s="36"/>
      <c r="C982" s="36"/>
      <c r="D982" s="36"/>
      <c r="E982" s="36"/>
      <c r="F982" s="36"/>
      <c r="G982" s="36"/>
      <c r="H982" s="36"/>
      <c r="J982" s="36"/>
      <c r="L982" s="1" t="str">
        <f t="shared" si="107"/>
        <v/>
      </c>
      <c r="M982" s="94">
        <v>977</v>
      </c>
      <c r="N982" s="36" t="s">
        <v>2637</v>
      </c>
      <c r="O982" s="95">
        <v>310684</v>
      </c>
      <c r="P982" s="36"/>
      <c r="AI982" s="122">
        <v>670</v>
      </c>
      <c r="AJ982" s="1" t="s">
        <v>2326</v>
      </c>
      <c r="AK982" s="1">
        <v>310377</v>
      </c>
      <c r="AL982" s="1" t="s">
        <v>930</v>
      </c>
      <c r="AN982" s="270">
        <v>76</v>
      </c>
      <c r="AQ982" s="1">
        <v>834</v>
      </c>
      <c r="AR982" s="1" t="s">
        <v>870</v>
      </c>
      <c r="AS982" s="1">
        <v>210729</v>
      </c>
      <c r="AT982" s="1" t="s">
        <v>116</v>
      </c>
      <c r="AV982" s="241">
        <v>328</v>
      </c>
      <c r="BS982" s="1">
        <v>10609</v>
      </c>
      <c r="BT982" s="1" t="s">
        <v>902</v>
      </c>
      <c r="BX982" s="36"/>
    </row>
    <row r="983" spans="2:76" ht="14.25">
      <c r="B983" s="36"/>
      <c r="C983" s="36"/>
      <c r="D983" s="36"/>
      <c r="E983" s="36"/>
      <c r="F983" s="36"/>
      <c r="G983" s="36"/>
      <c r="H983" s="36"/>
      <c r="J983" s="36"/>
      <c r="L983" s="1" t="str">
        <f t="shared" si="107"/>
        <v/>
      </c>
      <c r="M983" s="94">
        <v>978</v>
      </c>
      <c r="N983" s="36" t="s">
        <v>2638</v>
      </c>
      <c r="O983" s="95">
        <v>310685</v>
      </c>
      <c r="P983" s="36"/>
      <c r="AI983" s="122">
        <v>671</v>
      </c>
      <c r="AJ983" s="1" t="s">
        <v>2327</v>
      </c>
      <c r="AK983" s="1">
        <v>310378</v>
      </c>
      <c r="AL983" s="1" t="s">
        <v>115</v>
      </c>
      <c r="AN983" s="270">
        <v>77</v>
      </c>
      <c r="AQ983" s="1">
        <v>835</v>
      </c>
      <c r="AR983" s="1" t="s">
        <v>871</v>
      </c>
      <c r="AS983" s="1">
        <v>210730</v>
      </c>
      <c r="AT983" s="1" t="s">
        <v>115</v>
      </c>
      <c r="AV983" s="241">
        <v>329</v>
      </c>
      <c r="BS983" s="1">
        <v>10610</v>
      </c>
      <c r="BT983" s="1" t="s">
        <v>902</v>
      </c>
      <c r="BX983" s="36"/>
    </row>
    <row r="984" spans="2:76" ht="14.25">
      <c r="B984" s="36"/>
      <c r="C984" s="36"/>
      <c r="D984" s="36"/>
      <c r="E984" s="36"/>
      <c r="F984" s="36"/>
      <c r="G984" s="36"/>
      <c r="H984" s="36"/>
      <c r="J984" s="36"/>
      <c r="L984" s="1" t="str">
        <f t="shared" si="107"/>
        <v/>
      </c>
      <c r="M984" s="94">
        <v>979</v>
      </c>
      <c r="N984" s="36" t="s">
        <v>2639</v>
      </c>
      <c r="O984" s="95">
        <v>310686</v>
      </c>
      <c r="P984" s="36"/>
      <c r="AI984" s="122">
        <v>672</v>
      </c>
      <c r="AJ984" s="1" t="s">
        <v>2328</v>
      </c>
      <c r="AK984" s="1">
        <v>310379</v>
      </c>
      <c r="AL984" s="1" t="s">
        <v>930</v>
      </c>
      <c r="AN984" s="270">
        <v>78</v>
      </c>
      <c r="AQ984" s="1">
        <v>836</v>
      </c>
      <c r="AR984" s="1" t="s">
        <v>872</v>
      </c>
      <c r="AS984" s="1">
        <v>210731</v>
      </c>
      <c r="AT984" s="1" t="s">
        <v>116</v>
      </c>
      <c r="AV984" s="241">
        <v>330</v>
      </c>
      <c r="BS984" s="1">
        <v>10611</v>
      </c>
      <c r="BT984" s="1" t="s">
        <v>902</v>
      </c>
      <c r="BX984" s="36"/>
    </row>
    <row r="985" spans="2:76" ht="14.25">
      <c r="B985" s="36"/>
      <c r="C985" s="36"/>
      <c r="D985" s="36"/>
      <c r="E985" s="36"/>
      <c r="F985" s="36"/>
      <c r="G985" s="36"/>
      <c r="H985" s="36"/>
      <c r="J985" s="36"/>
      <c r="L985" s="1" t="str">
        <f t="shared" si="107"/>
        <v/>
      </c>
      <c r="M985" s="94">
        <v>980</v>
      </c>
      <c r="N985" s="36" t="s">
        <v>2640</v>
      </c>
      <c r="O985" s="95">
        <v>310687</v>
      </c>
      <c r="P985" s="36"/>
      <c r="AI985" s="122">
        <v>673</v>
      </c>
      <c r="AJ985" s="1" t="s">
        <v>2329</v>
      </c>
      <c r="AK985" s="1">
        <v>310380</v>
      </c>
      <c r="AL985" s="1" t="s">
        <v>115</v>
      </c>
      <c r="AN985" s="270">
        <v>79</v>
      </c>
      <c r="AQ985" s="1">
        <v>837</v>
      </c>
      <c r="AR985" s="1" t="s">
        <v>873</v>
      </c>
      <c r="AS985" s="1">
        <v>210732</v>
      </c>
      <c r="AT985" s="1" t="s">
        <v>115</v>
      </c>
      <c r="AV985" s="241">
        <v>331</v>
      </c>
      <c r="BS985" s="1">
        <v>10612</v>
      </c>
      <c r="BT985" s="1" t="s">
        <v>902</v>
      </c>
      <c r="BX985" s="36"/>
    </row>
    <row r="986" spans="2:76" ht="14.25">
      <c r="B986" s="36"/>
      <c r="C986" s="36"/>
      <c r="D986" s="36"/>
      <c r="E986" s="36"/>
      <c r="F986" s="36"/>
      <c r="G986" s="36"/>
      <c r="H986" s="36"/>
      <c r="J986" s="36"/>
      <c r="L986" s="1" t="str">
        <f t="shared" si="107"/>
        <v/>
      </c>
      <c r="M986" s="94">
        <v>981</v>
      </c>
      <c r="N986" s="36" t="s">
        <v>2641</v>
      </c>
      <c r="O986" s="95">
        <v>310688</v>
      </c>
      <c r="P986" s="36"/>
      <c r="AI986" s="122">
        <v>674</v>
      </c>
      <c r="AJ986" s="1" t="s">
        <v>2330</v>
      </c>
      <c r="AK986" s="1">
        <v>310381</v>
      </c>
      <c r="AL986" s="1" t="s">
        <v>930</v>
      </c>
      <c r="AN986" s="270">
        <v>80</v>
      </c>
      <c r="AQ986" s="1">
        <v>838</v>
      </c>
      <c r="AR986" s="1" t="s">
        <v>874</v>
      </c>
      <c r="AS986" s="1">
        <v>210733</v>
      </c>
      <c r="AT986" s="1" t="s">
        <v>115</v>
      </c>
      <c r="AV986" s="241">
        <v>332</v>
      </c>
      <c r="BS986" s="1">
        <v>10613</v>
      </c>
      <c r="BT986" s="1" t="s">
        <v>902</v>
      </c>
      <c r="BX986" s="36"/>
    </row>
    <row r="987" spans="2:76" ht="14.25">
      <c r="B987" s="36"/>
      <c r="C987" s="36"/>
      <c r="D987" s="36"/>
      <c r="E987" s="36"/>
      <c r="F987" s="36"/>
      <c r="G987" s="36"/>
      <c r="H987" s="36"/>
      <c r="J987" s="36"/>
      <c r="L987" s="1" t="str">
        <f t="shared" si="107"/>
        <v/>
      </c>
      <c r="M987" s="94">
        <v>982</v>
      </c>
      <c r="N987" s="36" t="s">
        <v>2642</v>
      </c>
      <c r="O987" s="95">
        <v>310689</v>
      </c>
      <c r="P987" s="36"/>
      <c r="AI987" s="122">
        <v>675</v>
      </c>
      <c r="AJ987" s="1" t="s">
        <v>2331</v>
      </c>
      <c r="AK987" s="1">
        <v>310382</v>
      </c>
      <c r="AL987" s="1" t="s">
        <v>930</v>
      </c>
      <c r="AN987" s="270">
        <v>81</v>
      </c>
      <c r="AQ987" s="1">
        <v>839</v>
      </c>
      <c r="AR987" s="1" t="s">
        <v>875</v>
      </c>
      <c r="AS987" s="1">
        <v>210734</v>
      </c>
      <c r="AT987" s="1" t="s">
        <v>116</v>
      </c>
      <c r="AV987" s="241">
        <v>333</v>
      </c>
      <c r="BS987" s="1">
        <v>10614</v>
      </c>
      <c r="BT987" s="1" t="s">
        <v>902</v>
      </c>
      <c r="BX987" s="36"/>
    </row>
    <row r="988" spans="2:76" ht="14.25">
      <c r="B988" s="36"/>
      <c r="C988" s="36"/>
      <c r="D988" s="36"/>
      <c r="E988" s="36"/>
      <c r="F988" s="36"/>
      <c r="G988" s="36"/>
      <c r="H988" s="36"/>
      <c r="J988" s="36"/>
      <c r="L988" s="1" t="str">
        <f t="shared" si="107"/>
        <v/>
      </c>
      <c r="M988" s="94">
        <v>983</v>
      </c>
      <c r="N988" s="36" t="s">
        <v>2643</v>
      </c>
      <c r="O988" s="95">
        <v>310690</v>
      </c>
      <c r="P988" s="36"/>
      <c r="AI988" s="122">
        <v>676</v>
      </c>
      <c r="AJ988" s="1" t="s">
        <v>2332</v>
      </c>
      <c r="AK988" s="1">
        <v>310383</v>
      </c>
      <c r="AL988" s="1" t="s">
        <v>115</v>
      </c>
      <c r="AN988" s="270">
        <v>82</v>
      </c>
      <c r="AQ988" s="1">
        <v>840</v>
      </c>
      <c r="AR988" s="1" t="s">
        <v>876</v>
      </c>
      <c r="AS988" s="1">
        <v>210735</v>
      </c>
      <c r="AT988" s="1" t="s">
        <v>115</v>
      </c>
      <c r="AV988" s="241">
        <v>334</v>
      </c>
      <c r="BS988" s="1">
        <v>10615</v>
      </c>
      <c r="BT988" s="1" t="s">
        <v>902</v>
      </c>
      <c r="BX988" s="36"/>
    </row>
    <row r="989" spans="2:76" ht="14.25">
      <c r="B989" s="36"/>
      <c r="C989" s="36"/>
      <c r="D989" s="36"/>
      <c r="E989" s="36"/>
      <c r="F989" s="36"/>
      <c r="G989" s="36"/>
      <c r="H989" s="36"/>
      <c r="J989" s="36"/>
      <c r="L989" s="1" t="str">
        <f t="shared" si="107"/>
        <v/>
      </c>
      <c r="M989" s="94">
        <v>984</v>
      </c>
      <c r="N989" s="36" t="s">
        <v>2644</v>
      </c>
      <c r="O989" s="95">
        <v>310691</v>
      </c>
      <c r="P989" s="36"/>
      <c r="AI989" s="122">
        <v>677</v>
      </c>
      <c r="AJ989" s="1" t="s">
        <v>2333</v>
      </c>
      <c r="AK989" s="1">
        <v>310384</v>
      </c>
      <c r="AL989" s="1" t="s">
        <v>930</v>
      </c>
      <c r="AN989" s="270">
        <v>83</v>
      </c>
      <c r="AQ989" s="1">
        <v>841</v>
      </c>
      <c r="AR989" s="1" t="s">
        <v>877</v>
      </c>
      <c r="AS989" s="1">
        <v>210736</v>
      </c>
      <c r="AT989" s="1" t="s">
        <v>116</v>
      </c>
      <c r="AV989" s="241">
        <v>335</v>
      </c>
      <c r="BS989" s="1">
        <v>10616</v>
      </c>
      <c r="BT989" s="1" t="s">
        <v>902</v>
      </c>
      <c r="BX989" s="36"/>
    </row>
    <row r="990" spans="2:76" ht="14.25">
      <c r="B990" s="36"/>
      <c r="C990" s="36"/>
      <c r="D990" s="36"/>
      <c r="E990" s="36"/>
      <c r="F990" s="36"/>
      <c r="G990" s="36"/>
      <c r="H990" s="36"/>
      <c r="J990" s="36"/>
      <c r="L990" s="1" t="str">
        <f t="shared" si="107"/>
        <v/>
      </c>
      <c r="M990" s="94">
        <v>985</v>
      </c>
      <c r="N990" s="36" t="s">
        <v>2645</v>
      </c>
      <c r="O990" s="95">
        <v>310692</v>
      </c>
      <c r="P990" s="36"/>
      <c r="AI990" s="122">
        <v>678</v>
      </c>
      <c r="AJ990" s="1" t="s">
        <v>2334</v>
      </c>
      <c r="AK990" s="1">
        <v>310385</v>
      </c>
      <c r="AL990" s="1" t="s">
        <v>115</v>
      </c>
      <c r="AN990" s="270">
        <v>84</v>
      </c>
      <c r="AQ990" s="1">
        <v>842</v>
      </c>
      <c r="AR990" s="1" t="s">
        <v>878</v>
      </c>
      <c r="AS990" s="1">
        <v>210737</v>
      </c>
      <c r="AT990" s="1" t="s">
        <v>115</v>
      </c>
      <c r="AV990" s="241">
        <v>336</v>
      </c>
      <c r="BS990" s="1">
        <v>10617</v>
      </c>
      <c r="BT990" s="1" t="s">
        <v>902</v>
      </c>
      <c r="BX990" s="36"/>
    </row>
    <row r="991" spans="2:76" ht="14.25">
      <c r="B991" s="36"/>
      <c r="C991" s="36"/>
      <c r="D991" s="36"/>
      <c r="E991" s="36"/>
      <c r="F991" s="36"/>
      <c r="G991" s="36"/>
      <c r="H991" s="36"/>
      <c r="J991" s="36"/>
      <c r="L991" s="1" t="str">
        <f t="shared" si="107"/>
        <v/>
      </c>
      <c r="M991" s="94">
        <v>986</v>
      </c>
      <c r="N991" s="36" t="s">
        <v>2646</v>
      </c>
      <c r="O991" s="95">
        <v>310693</v>
      </c>
      <c r="P991" s="36"/>
      <c r="AI991" s="122">
        <v>679</v>
      </c>
      <c r="AJ991" s="1" t="s">
        <v>2335</v>
      </c>
      <c r="AK991" s="1">
        <v>310386</v>
      </c>
      <c r="AL991" s="1" t="s">
        <v>930</v>
      </c>
      <c r="AN991" s="270">
        <v>85</v>
      </c>
      <c r="AQ991" s="1">
        <v>843</v>
      </c>
      <c r="AR991" s="1" t="s">
        <v>879</v>
      </c>
      <c r="AS991" s="1">
        <v>210738</v>
      </c>
      <c r="AT991" s="1" t="s">
        <v>116</v>
      </c>
      <c r="AV991" s="241">
        <v>337</v>
      </c>
      <c r="BS991" s="1">
        <v>10618</v>
      </c>
      <c r="BT991" s="1" t="s">
        <v>902</v>
      </c>
      <c r="BX991" s="36"/>
    </row>
    <row r="992" spans="2:76" ht="14.25">
      <c r="B992" s="36"/>
      <c r="C992" s="36"/>
      <c r="D992" s="36"/>
      <c r="E992" s="36"/>
      <c r="F992" s="36"/>
      <c r="G992" s="36"/>
      <c r="H992" s="36"/>
      <c r="J992" s="36"/>
      <c r="L992" s="1" t="str">
        <f t="shared" si="107"/>
        <v/>
      </c>
      <c r="M992" s="94">
        <v>987</v>
      </c>
      <c r="N992" s="36" t="s">
        <v>2647</v>
      </c>
      <c r="O992" s="95">
        <v>310694</v>
      </c>
      <c r="P992" s="36"/>
      <c r="AI992" s="122">
        <v>680</v>
      </c>
      <c r="AJ992" s="1" t="s">
        <v>2336</v>
      </c>
      <c r="AK992" s="1">
        <v>310387</v>
      </c>
      <c r="AL992" s="1" t="s">
        <v>115</v>
      </c>
      <c r="AN992" s="270">
        <v>86</v>
      </c>
      <c r="AQ992" s="1">
        <v>844</v>
      </c>
      <c r="AR992" s="1" t="s">
        <v>880</v>
      </c>
      <c r="AS992" s="1">
        <v>210739</v>
      </c>
      <c r="AT992" s="1" t="s">
        <v>115</v>
      </c>
      <c r="AV992" s="241">
        <v>338</v>
      </c>
      <c r="BS992" s="1">
        <v>10619</v>
      </c>
      <c r="BT992" s="1" t="s">
        <v>902</v>
      </c>
      <c r="BX992" s="36"/>
    </row>
    <row r="993" spans="2:76" ht="14.25">
      <c r="B993" s="36"/>
      <c r="C993" s="36"/>
      <c r="D993" s="36"/>
      <c r="E993" s="36"/>
      <c r="F993" s="36"/>
      <c r="G993" s="36"/>
      <c r="H993" s="36"/>
      <c r="J993" s="36"/>
      <c r="L993" s="1" t="str">
        <f t="shared" si="107"/>
        <v/>
      </c>
      <c r="M993" s="94">
        <v>988</v>
      </c>
      <c r="N993" s="36" t="s">
        <v>2648</v>
      </c>
      <c r="O993" s="95">
        <v>310695</v>
      </c>
      <c r="P993" s="36"/>
      <c r="AI993" s="122">
        <v>681</v>
      </c>
      <c r="AJ993" s="1" t="s">
        <v>2337</v>
      </c>
      <c r="AK993" s="1">
        <v>310388</v>
      </c>
      <c r="AL993" s="1" t="s">
        <v>930</v>
      </c>
      <c r="AN993" s="270">
        <v>87</v>
      </c>
      <c r="AQ993" s="1">
        <v>845</v>
      </c>
      <c r="AR993" s="1" t="s">
        <v>881</v>
      </c>
      <c r="AS993" s="1">
        <v>210740</v>
      </c>
      <c r="AT993" s="1" t="s">
        <v>115</v>
      </c>
      <c r="AV993" s="241">
        <v>339</v>
      </c>
      <c r="BS993" s="1">
        <v>10620</v>
      </c>
      <c r="BT993" s="1" t="s">
        <v>902</v>
      </c>
      <c r="BX993" s="36"/>
    </row>
    <row r="994" spans="2:76" ht="14.25">
      <c r="B994" s="36"/>
      <c r="C994" s="36"/>
      <c r="D994" s="36"/>
      <c r="E994" s="36"/>
      <c r="F994" s="36"/>
      <c r="G994" s="36"/>
      <c r="H994" s="36"/>
      <c r="J994" s="36"/>
      <c r="L994" s="1" t="str">
        <f t="shared" si="107"/>
        <v/>
      </c>
      <c r="M994" s="94">
        <v>989</v>
      </c>
      <c r="N994" s="36" t="s">
        <v>2649</v>
      </c>
      <c r="O994" s="95">
        <v>310696</v>
      </c>
      <c r="P994" s="36"/>
      <c r="AI994" s="122">
        <v>682</v>
      </c>
      <c r="AJ994" s="1" t="s">
        <v>2338</v>
      </c>
      <c r="AK994" s="1">
        <v>310389</v>
      </c>
      <c r="AL994" s="1" t="s">
        <v>930</v>
      </c>
      <c r="AN994" s="270">
        <v>88</v>
      </c>
      <c r="AQ994" s="1">
        <v>846</v>
      </c>
      <c r="AR994" s="1" t="s">
        <v>882</v>
      </c>
      <c r="AS994" s="1">
        <v>210741</v>
      </c>
      <c r="AT994" s="1" t="s">
        <v>116</v>
      </c>
      <c r="AV994" s="241">
        <v>340</v>
      </c>
      <c r="BS994" s="1">
        <v>10621</v>
      </c>
      <c r="BT994" s="1" t="s">
        <v>902</v>
      </c>
      <c r="BX994" s="36"/>
    </row>
    <row r="995" spans="2:76" ht="14.25">
      <c r="B995" s="36"/>
      <c r="C995" s="36"/>
      <c r="D995" s="36"/>
      <c r="E995" s="36"/>
      <c r="F995" s="36"/>
      <c r="G995" s="36"/>
      <c r="H995" s="36"/>
      <c r="J995" s="36"/>
      <c r="L995" s="1" t="str">
        <f t="shared" si="107"/>
        <v/>
      </c>
      <c r="M995" s="94">
        <v>990</v>
      </c>
      <c r="N995" s="36" t="s">
        <v>2650</v>
      </c>
      <c r="O995" s="95">
        <v>310697</v>
      </c>
      <c r="P995" s="36"/>
      <c r="AI995" s="122">
        <v>683</v>
      </c>
      <c r="AJ995" s="1" t="s">
        <v>2339</v>
      </c>
      <c r="AK995" s="1">
        <v>310390</v>
      </c>
      <c r="AL995" s="1" t="s">
        <v>115</v>
      </c>
      <c r="AN995" s="270">
        <v>89</v>
      </c>
      <c r="AQ995" s="1">
        <v>847</v>
      </c>
      <c r="AR995" s="1" t="s">
        <v>883</v>
      </c>
      <c r="AS995" s="1">
        <v>210742</v>
      </c>
      <c r="AT995" s="1" t="s">
        <v>115</v>
      </c>
      <c r="AV995" s="241">
        <v>341</v>
      </c>
      <c r="BS995" s="1">
        <v>10622</v>
      </c>
      <c r="BT995" s="1" t="s">
        <v>902</v>
      </c>
      <c r="BX995" s="36"/>
    </row>
    <row r="996" spans="2:76" ht="14.25">
      <c r="B996" s="36"/>
      <c r="C996" s="36"/>
      <c r="D996" s="36"/>
      <c r="E996" s="36"/>
      <c r="F996" s="36"/>
      <c r="G996" s="36"/>
      <c r="H996" s="36"/>
      <c r="J996" s="36"/>
      <c r="L996" s="1" t="str">
        <f t="shared" si="107"/>
        <v/>
      </c>
      <c r="M996" s="94">
        <v>991</v>
      </c>
      <c r="N996" s="36" t="s">
        <v>2651</v>
      </c>
      <c r="O996" s="95">
        <v>310698</v>
      </c>
      <c r="P996" s="36"/>
      <c r="AI996" s="122">
        <v>684</v>
      </c>
      <c r="AJ996" s="1" t="s">
        <v>2340</v>
      </c>
      <c r="AK996" s="1">
        <v>310391</v>
      </c>
      <c r="AL996" s="1" t="s">
        <v>930</v>
      </c>
      <c r="AN996" s="270">
        <v>90</v>
      </c>
      <c r="AQ996" s="1">
        <v>848</v>
      </c>
      <c r="AR996" s="1" t="s">
        <v>884</v>
      </c>
      <c r="AS996" s="1">
        <v>210743</v>
      </c>
      <c r="AT996" s="1" t="s">
        <v>116</v>
      </c>
      <c r="AV996" s="241">
        <v>342</v>
      </c>
      <c r="BS996" s="1">
        <v>10623</v>
      </c>
      <c r="BT996" s="1" t="s">
        <v>902</v>
      </c>
      <c r="BX996" s="36"/>
    </row>
    <row r="997" spans="2:76" ht="14.25">
      <c r="B997" s="36"/>
      <c r="C997" s="36"/>
      <c r="D997" s="36"/>
      <c r="E997" s="36"/>
      <c r="F997" s="36"/>
      <c r="G997" s="36"/>
      <c r="H997" s="36"/>
      <c r="J997" s="36"/>
      <c r="L997" s="1" t="str">
        <f t="shared" si="107"/>
        <v/>
      </c>
      <c r="M997" s="94">
        <v>992</v>
      </c>
      <c r="N997" s="36" t="s">
        <v>2652</v>
      </c>
      <c r="O997" s="95">
        <v>310699</v>
      </c>
      <c r="P997" s="36"/>
      <c r="AI997" s="122">
        <v>685</v>
      </c>
      <c r="AJ997" s="1" t="s">
        <v>2341</v>
      </c>
      <c r="AK997" s="1">
        <v>310392</v>
      </c>
      <c r="AL997" s="1" t="s">
        <v>115</v>
      </c>
      <c r="AN997" s="270">
        <v>91</v>
      </c>
      <c r="AQ997" s="1">
        <v>849</v>
      </c>
      <c r="AR997" s="1" t="s">
        <v>885</v>
      </c>
      <c r="AS997" s="1">
        <v>210744</v>
      </c>
      <c r="AT997" s="1" t="s">
        <v>115</v>
      </c>
      <c r="AV997" s="241">
        <v>343</v>
      </c>
      <c r="BS997" s="1">
        <v>10624</v>
      </c>
      <c r="BT997" s="1" t="s">
        <v>902</v>
      </c>
      <c r="BX997" s="36"/>
    </row>
    <row r="998" spans="2:76" ht="14.25">
      <c r="B998" s="36"/>
      <c r="C998" s="36"/>
      <c r="D998" s="36"/>
      <c r="E998" s="36"/>
      <c r="F998" s="36"/>
      <c r="G998" s="36"/>
      <c r="H998" s="36"/>
      <c r="J998" s="36"/>
      <c r="L998" s="1" t="str">
        <f t="shared" si="107"/>
        <v/>
      </c>
      <c r="M998" s="94">
        <v>993</v>
      </c>
      <c r="N998" s="36" t="s">
        <v>2653</v>
      </c>
      <c r="O998" s="95">
        <v>310700</v>
      </c>
      <c r="P998" s="36"/>
      <c r="AI998" s="122">
        <v>686</v>
      </c>
      <c r="AJ998" s="1" t="s">
        <v>2342</v>
      </c>
      <c r="AK998" s="1">
        <v>310393</v>
      </c>
      <c r="AL998" s="1" t="s">
        <v>930</v>
      </c>
      <c r="AN998" s="270">
        <v>92</v>
      </c>
      <c r="AQ998" s="1">
        <v>850</v>
      </c>
      <c r="AR998" s="1" t="s">
        <v>886</v>
      </c>
      <c r="AS998" s="1">
        <v>210745</v>
      </c>
      <c r="AT998" s="1" t="s">
        <v>115</v>
      </c>
      <c r="AV998" s="241">
        <v>344</v>
      </c>
      <c r="BS998" s="1">
        <v>10625</v>
      </c>
      <c r="BT998" s="1" t="s">
        <v>902</v>
      </c>
      <c r="BX998" s="36"/>
    </row>
    <row r="999" spans="2:76" ht="14.25">
      <c r="B999" s="36"/>
      <c r="C999" s="36"/>
      <c r="D999" s="36"/>
      <c r="E999" s="36"/>
      <c r="F999" s="36"/>
      <c r="G999" s="36"/>
      <c r="H999" s="36"/>
      <c r="J999" s="36"/>
      <c r="L999" s="1" t="str">
        <f t="shared" si="107"/>
        <v/>
      </c>
      <c r="M999" s="94">
        <v>994</v>
      </c>
      <c r="N999" s="36" t="s">
        <v>2654</v>
      </c>
      <c r="O999" s="95">
        <v>310701</v>
      </c>
      <c r="P999" s="36"/>
      <c r="AI999" s="122">
        <v>687</v>
      </c>
      <c r="AJ999" s="1" t="s">
        <v>2343</v>
      </c>
      <c r="AK999" s="1">
        <v>310394</v>
      </c>
      <c r="AL999" s="1" t="s">
        <v>115</v>
      </c>
      <c r="AN999" s="270">
        <v>93</v>
      </c>
      <c r="AQ999" s="1">
        <v>851</v>
      </c>
      <c r="AR999" s="1" t="s">
        <v>887</v>
      </c>
      <c r="AS999" s="1">
        <v>210746</v>
      </c>
      <c r="AT999" s="1" t="s">
        <v>116</v>
      </c>
      <c r="AV999" s="241">
        <v>345</v>
      </c>
      <c r="BS999" s="1">
        <v>10626</v>
      </c>
      <c r="BT999" s="1" t="s">
        <v>902</v>
      </c>
      <c r="BX999" s="36"/>
    </row>
    <row r="1000" spans="2:76" ht="14.25">
      <c r="B1000" s="36"/>
      <c r="C1000" s="36"/>
      <c r="D1000" s="36"/>
      <c r="E1000" s="36"/>
      <c r="F1000" s="36"/>
      <c r="G1000" s="36"/>
      <c r="H1000" s="36"/>
      <c r="J1000" s="36"/>
      <c r="L1000" s="1" t="str">
        <f t="shared" si="107"/>
        <v/>
      </c>
      <c r="M1000" s="94">
        <v>995</v>
      </c>
      <c r="N1000" s="36" t="s">
        <v>2655</v>
      </c>
      <c r="O1000" s="95">
        <v>310702</v>
      </c>
      <c r="P1000" s="36"/>
      <c r="AI1000" s="122">
        <v>688</v>
      </c>
      <c r="AJ1000" s="1" t="s">
        <v>2344</v>
      </c>
      <c r="AK1000" s="1">
        <v>310395</v>
      </c>
      <c r="AL1000" s="1" t="s">
        <v>930</v>
      </c>
      <c r="AN1000" s="270">
        <v>94</v>
      </c>
      <c r="AQ1000" s="1">
        <v>852</v>
      </c>
      <c r="AR1000" s="1" t="s">
        <v>888</v>
      </c>
      <c r="AS1000" s="1">
        <v>210747</v>
      </c>
      <c r="AT1000" s="1" t="s">
        <v>115</v>
      </c>
      <c r="AV1000" s="241">
        <v>346</v>
      </c>
      <c r="BS1000" s="1">
        <v>10627</v>
      </c>
      <c r="BT1000" s="1" t="s">
        <v>902</v>
      </c>
      <c r="BX1000" s="36"/>
    </row>
    <row r="1001" spans="2:76" ht="14.25">
      <c r="B1001" s="36"/>
      <c r="C1001" s="36"/>
      <c r="D1001" s="36"/>
      <c r="E1001" s="36"/>
      <c r="F1001" s="36"/>
      <c r="G1001" s="36"/>
      <c r="H1001" s="36"/>
      <c r="J1001" s="36"/>
      <c r="L1001" s="1" t="str">
        <f t="shared" si="107"/>
        <v/>
      </c>
      <c r="M1001" s="94">
        <v>996</v>
      </c>
      <c r="N1001" s="36" t="s">
        <v>2656</v>
      </c>
      <c r="O1001" s="95">
        <v>310703</v>
      </c>
      <c r="P1001" s="36"/>
      <c r="AI1001" s="122">
        <v>689</v>
      </c>
      <c r="AJ1001" s="1" t="s">
        <v>2345</v>
      </c>
      <c r="AK1001" s="1">
        <v>310396</v>
      </c>
      <c r="AL1001" s="1" t="s">
        <v>930</v>
      </c>
      <c r="AN1001" s="270">
        <v>95</v>
      </c>
      <c r="AQ1001" s="1">
        <v>853</v>
      </c>
      <c r="AR1001" s="1" t="s">
        <v>889</v>
      </c>
      <c r="AS1001" s="1">
        <v>210748</v>
      </c>
      <c r="AT1001" s="1" t="s">
        <v>116</v>
      </c>
      <c r="AV1001" s="241">
        <v>347</v>
      </c>
      <c r="BS1001" s="1">
        <v>10628</v>
      </c>
      <c r="BT1001" s="1" t="s">
        <v>902</v>
      </c>
      <c r="BX1001" s="36"/>
    </row>
    <row r="1002" spans="2:76" ht="14.25">
      <c r="B1002" s="36"/>
      <c r="C1002" s="36"/>
      <c r="D1002" s="36"/>
      <c r="E1002" s="36"/>
      <c r="F1002" s="36"/>
      <c r="G1002" s="36"/>
      <c r="H1002" s="36"/>
      <c r="J1002" s="36"/>
      <c r="L1002" s="1" t="str">
        <f t="shared" si="107"/>
        <v/>
      </c>
      <c r="M1002" s="94">
        <v>997</v>
      </c>
      <c r="N1002" s="36" t="s">
        <v>2657</v>
      </c>
      <c r="O1002" s="95">
        <v>310704</v>
      </c>
      <c r="P1002" s="36"/>
      <c r="AI1002" s="122">
        <v>690</v>
      </c>
      <c r="AJ1002" s="1" t="s">
        <v>2346</v>
      </c>
      <c r="AK1002" s="1">
        <v>310397</v>
      </c>
      <c r="AL1002" s="1" t="s">
        <v>115</v>
      </c>
      <c r="AN1002" s="270">
        <v>96</v>
      </c>
      <c r="BS1002" s="1">
        <v>10629</v>
      </c>
      <c r="BT1002" s="1" t="s">
        <v>902</v>
      </c>
      <c r="BX1002" s="36"/>
    </row>
    <row r="1003" spans="2:76" ht="14.25">
      <c r="B1003" s="36"/>
      <c r="C1003" s="36"/>
      <c r="D1003" s="36"/>
      <c r="E1003" s="36"/>
      <c r="F1003" s="36"/>
      <c r="G1003" s="36"/>
      <c r="H1003" s="36"/>
      <c r="J1003" s="36"/>
      <c r="L1003" s="1" t="str">
        <f t="shared" si="107"/>
        <v/>
      </c>
      <c r="M1003" s="94">
        <v>998</v>
      </c>
      <c r="N1003" s="36" t="s">
        <v>2658</v>
      </c>
      <c r="O1003" s="95">
        <v>310705</v>
      </c>
      <c r="P1003" s="36"/>
      <c r="AI1003" s="122">
        <v>691</v>
      </c>
      <c r="AJ1003" s="1" t="s">
        <v>2347</v>
      </c>
      <c r="AK1003" s="1">
        <v>310398</v>
      </c>
      <c r="AL1003" s="1" t="s">
        <v>930</v>
      </c>
      <c r="AN1003" s="270">
        <v>97</v>
      </c>
      <c r="BS1003" s="1">
        <v>10630</v>
      </c>
      <c r="BT1003" s="1" t="s">
        <v>902</v>
      </c>
      <c r="BX1003" s="36"/>
    </row>
    <row r="1004" spans="2:76" ht="14.25">
      <c r="B1004" s="36"/>
      <c r="C1004" s="36"/>
      <c r="D1004" s="36"/>
      <c r="E1004" s="36"/>
      <c r="F1004" s="36"/>
      <c r="G1004" s="36"/>
      <c r="H1004" s="36"/>
      <c r="J1004" s="36"/>
      <c r="L1004" s="1" t="str">
        <f t="shared" si="107"/>
        <v/>
      </c>
      <c r="M1004" s="94">
        <v>999</v>
      </c>
      <c r="N1004" s="36" t="s">
        <v>2659</v>
      </c>
      <c r="O1004" s="95">
        <v>310706</v>
      </c>
      <c r="P1004" s="36"/>
      <c r="AI1004" s="122">
        <v>692</v>
      </c>
      <c r="AJ1004" s="1" t="s">
        <v>2348</v>
      </c>
      <c r="AK1004" s="1">
        <v>310399</v>
      </c>
      <c r="AL1004" s="1" t="s">
        <v>115</v>
      </c>
      <c r="AN1004" s="270">
        <v>98</v>
      </c>
      <c r="BS1004" s="1">
        <v>10631</v>
      </c>
      <c r="BT1004" s="1" t="s">
        <v>902</v>
      </c>
      <c r="BX1004" s="36"/>
    </row>
    <row r="1005" spans="2:76" ht="14.25">
      <c r="B1005" s="36"/>
      <c r="C1005" s="36"/>
      <c r="D1005" s="36"/>
      <c r="E1005" s="36"/>
      <c r="F1005" s="36"/>
      <c r="G1005" s="36"/>
      <c r="H1005" s="36"/>
      <c r="J1005" s="36"/>
      <c r="L1005" s="1" t="str">
        <f t="shared" si="107"/>
        <v/>
      </c>
      <c r="M1005" s="94">
        <v>1000</v>
      </c>
      <c r="N1005" s="36" t="s">
        <v>2660</v>
      </c>
      <c r="O1005" s="95">
        <v>310707</v>
      </c>
      <c r="P1005" s="36"/>
      <c r="AI1005" s="122">
        <v>693</v>
      </c>
      <c r="AJ1005" s="1" t="s">
        <v>2349</v>
      </c>
      <c r="AK1005" s="1">
        <v>310400</v>
      </c>
      <c r="AL1005" s="1" t="s">
        <v>930</v>
      </c>
      <c r="AN1005" s="270">
        <v>99</v>
      </c>
      <c r="BS1005" s="1">
        <v>10632</v>
      </c>
      <c r="BT1005" s="1" t="s">
        <v>902</v>
      </c>
      <c r="BX1005" s="36"/>
    </row>
    <row r="1006" spans="2:76" ht="14.25">
      <c r="B1006" s="36"/>
      <c r="C1006" s="36"/>
      <c r="D1006" s="36"/>
      <c r="E1006" s="36"/>
      <c r="F1006" s="36"/>
      <c r="G1006" s="36"/>
      <c r="H1006" s="36"/>
      <c r="J1006" s="36"/>
      <c r="L1006" s="1" t="str">
        <f t="shared" si="107"/>
        <v/>
      </c>
      <c r="M1006" s="94">
        <v>1001</v>
      </c>
      <c r="N1006" s="36" t="s">
        <v>2661</v>
      </c>
      <c r="O1006" s="95">
        <v>310708</v>
      </c>
      <c r="P1006" s="36"/>
      <c r="AI1006" s="122">
        <v>694</v>
      </c>
      <c r="AJ1006" s="1" t="s">
        <v>2350</v>
      </c>
      <c r="AK1006" s="1">
        <v>310401</v>
      </c>
      <c r="AL1006" s="1" t="s">
        <v>115</v>
      </c>
      <c r="AN1006" s="270">
        <v>100</v>
      </c>
      <c r="BS1006" s="1">
        <v>10633</v>
      </c>
      <c r="BT1006" s="1" t="s">
        <v>902</v>
      </c>
      <c r="BX1006" s="36"/>
    </row>
    <row r="1007" spans="2:76" ht="14.25">
      <c r="B1007" s="36"/>
      <c r="C1007" s="36"/>
      <c r="D1007" s="36"/>
      <c r="E1007" s="36"/>
      <c r="F1007" s="36"/>
      <c r="G1007" s="36"/>
      <c r="H1007" s="36"/>
      <c r="J1007" s="36"/>
      <c r="L1007" s="1" t="str">
        <f t="shared" si="107"/>
        <v/>
      </c>
      <c r="M1007" s="94">
        <v>1002</v>
      </c>
      <c r="N1007" s="36" t="s">
        <v>2662</v>
      </c>
      <c r="O1007" s="95">
        <v>310709</v>
      </c>
      <c r="P1007" s="36"/>
      <c r="AI1007" s="122">
        <v>695</v>
      </c>
      <c r="AJ1007" s="1" t="s">
        <v>2351</v>
      </c>
      <c r="AK1007" s="1">
        <v>310402</v>
      </c>
      <c r="AL1007" s="1" t="s">
        <v>930</v>
      </c>
      <c r="AN1007" s="270">
        <v>101</v>
      </c>
      <c r="BS1007" s="1">
        <v>10634</v>
      </c>
      <c r="BT1007" s="1" t="s">
        <v>902</v>
      </c>
      <c r="BX1007" s="36"/>
    </row>
    <row r="1008" spans="2:76" ht="14.25">
      <c r="B1008" s="36"/>
      <c r="C1008" s="36"/>
      <c r="D1008" s="36"/>
      <c r="E1008" s="36"/>
      <c r="F1008" s="36"/>
      <c r="G1008" s="36"/>
      <c r="H1008" s="36"/>
      <c r="J1008" s="36"/>
      <c r="L1008" s="1" t="str">
        <f t="shared" si="107"/>
        <v/>
      </c>
      <c r="M1008" s="94">
        <v>1003</v>
      </c>
      <c r="N1008" s="36" t="s">
        <v>2663</v>
      </c>
      <c r="O1008" s="95">
        <v>310710</v>
      </c>
      <c r="P1008" s="36"/>
      <c r="AI1008" s="122">
        <v>696</v>
      </c>
      <c r="AJ1008" s="1" t="s">
        <v>2352</v>
      </c>
      <c r="AK1008" s="1">
        <v>310403</v>
      </c>
      <c r="AL1008" s="1" t="s">
        <v>930</v>
      </c>
      <c r="AN1008" s="270">
        <v>102</v>
      </c>
      <c r="BS1008" s="1">
        <v>10635</v>
      </c>
      <c r="BT1008" s="1" t="s">
        <v>902</v>
      </c>
      <c r="BX1008" s="36"/>
    </row>
    <row r="1009" spans="2:76" ht="14.25">
      <c r="B1009" s="36"/>
      <c r="C1009" s="36"/>
      <c r="D1009" s="36"/>
      <c r="E1009" s="36"/>
      <c r="F1009" s="36"/>
      <c r="G1009" s="36"/>
      <c r="H1009" s="36"/>
      <c r="J1009" s="36"/>
      <c r="L1009" s="1" t="str">
        <f t="shared" si="107"/>
        <v/>
      </c>
      <c r="M1009" s="94">
        <v>1004</v>
      </c>
      <c r="N1009" s="36" t="s">
        <v>2664</v>
      </c>
      <c r="O1009" s="95">
        <v>310711</v>
      </c>
      <c r="P1009" s="36"/>
      <c r="AI1009" s="122">
        <v>697</v>
      </c>
      <c r="AJ1009" s="1" t="s">
        <v>2353</v>
      </c>
      <c r="AK1009" s="1">
        <v>310404</v>
      </c>
      <c r="AL1009" s="1" t="s">
        <v>115</v>
      </c>
      <c r="AN1009" s="270">
        <v>103</v>
      </c>
      <c r="BS1009" s="1">
        <v>10636</v>
      </c>
      <c r="BT1009" s="1" t="s">
        <v>902</v>
      </c>
      <c r="BX1009" s="36"/>
    </row>
    <row r="1010" spans="2:76" ht="14.25">
      <c r="B1010" s="36"/>
      <c r="C1010" s="36"/>
      <c r="D1010" s="36"/>
      <c r="E1010" s="36"/>
      <c r="F1010" s="36"/>
      <c r="G1010" s="36"/>
      <c r="H1010" s="36"/>
      <c r="J1010" s="36"/>
      <c r="L1010" s="1" t="str">
        <f t="shared" si="107"/>
        <v/>
      </c>
      <c r="M1010" s="94">
        <v>1005</v>
      </c>
      <c r="N1010" s="36" t="s">
        <v>2665</v>
      </c>
      <c r="O1010" s="95">
        <v>310712</v>
      </c>
      <c r="P1010" s="36"/>
      <c r="AI1010" s="122">
        <v>698</v>
      </c>
      <c r="AJ1010" s="1" t="s">
        <v>2354</v>
      </c>
      <c r="AK1010" s="1">
        <v>310405</v>
      </c>
      <c r="AL1010" s="1" t="s">
        <v>930</v>
      </c>
      <c r="AN1010" s="270">
        <v>104</v>
      </c>
      <c r="BS1010" s="1">
        <v>10637</v>
      </c>
      <c r="BT1010" s="1" t="s">
        <v>902</v>
      </c>
      <c r="BX1010" s="36"/>
    </row>
    <row r="1011" spans="2:76" ht="14.25">
      <c r="B1011" s="36"/>
      <c r="C1011" s="36"/>
      <c r="D1011" s="36"/>
      <c r="E1011" s="36"/>
      <c r="F1011" s="36"/>
      <c r="G1011" s="36"/>
      <c r="H1011" s="36"/>
      <c r="J1011" s="36"/>
      <c r="L1011" s="1" t="str">
        <f t="shared" si="107"/>
        <v/>
      </c>
      <c r="M1011" s="94">
        <v>1006</v>
      </c>
      <c r="N1011" s="36" t="s">
        <v>2666</v>
      </c>
      <c r="O1011" s="95">
        <v>310713</v>
      </c>
      <c r="P1011" s="36"/>
      <c r="AI1011" s="122">
        <v>699</v>
      </c>
      <c r="AJ1011" s="1" t="s">
        <v>2355</v>
      </c>
      <c r="AK1011" s="1">
        <v>310406</v>
      </c>
      <c r="AL1011" s="1" t="s">
        <v>115</v>
      </c>
      <c r="AN1011" s="270">
        <v>105</v>
      </c>
      <c r="BS1011" s="1">
        <v>10638</v>
      </c>
      <c r="BT1011" s="1" t="s">
        <v>902</v>
      </c>
      <c r="BX1011" s="36"/>
    </row>
    <row r="1012" spans="2:76" ht="14.25">
      <c r="B1012" s="36"/>
      <c r="C1012" s="36"/>
      <c r="D1012" s="36"/>
      <c r="E1012" s="36"/>
      <c r="F1012" s="36"/>
      <c r="G1012" s="36"/>
      <c r="H1012" s="36"/>
      <c r="J1012" s="36"/>
      <c r="L1012" s="1" t="str">
        <f t="shared" si="107"/>
        <v/>
      </c>
      <c r="M1012" s="94">
        <v>1007</v>
      </c>
      <c r="N1012" s="36" t="s">
        <v>2667</v>
      </c>
      <c r="O1012" s="95">
        <v>310714</v>
      </c>
      <c r="P1012" s="36"/>
      <c r="AI1012" s="122">
        <v>700</v>
      </c>
      <c r="AJ1012" s="1" t="s">
        <v>2356</v>
      </c>
      <c r="AK1012" s="1">
        <v>310407</v>
      </c>
      <c r="AL1012" s="1" t="s">
        <v>930</v>
      </c>
      <c r="AN1012" s="270">
        <v>106</v>
      </c>
      <c r="BS1012" s="1">
        <v>10639</v>
      </c>
      <c r="BT1012" s="1" t="s">
        <v>902</v>
      </c>
      <c r="BX1012" s="36"/>
    </row>
    <row r="1013" spans="2:76" ht="14.25">
      <c r="B1013" s="36"/>
      <c r="C1013" s="36"/>
      <c r="D1013" s="36"/>
      <c r="E1013" s="36"/>
      <c r="F1013" s="36"/>
      <c r="G1013" s="36"/>
      <c r="H1013" s="36"/>
      <c r="J1013" s="36"/>
      <c r="L1013" s="1" t="str">
        <f t="shared" si="107"/>
        <v/>
      </c>
      <c r="M1013" s="94">
        <v>1008</v>
      </c>
      <c r="N1013" s="36" t="s">
        <v>2668</v>
      </c>
      <c r="O1013" s="95">
        <v>310715</v>
      </c>
      <c r="P1013" s="36"/>
      <c r="AI1013" s="122">
        <v>701</v>
      </c>
      <c r="AJ1013" s="1" t="s">
        <v>2357</v>
      </c>
      <c r="AK1013" s="1">
        <v>310408</v>
      </c>
      <c r="AL1013" s="1" t="s">
        <v>115</v>
      </c>
      <c r="AN1013" s="270">
        <v>107</v>
      </c>
      <c r="BS1013" s="1">
        <v>10640</v>
      </c>
      <c r="BT1013" s="1" t="s">
        <v>902</v>
      </c>
      <c r="BX1013" s="36"/>
    </row>
    <row r="1014" spans="2:76" ht="14.25">
      <c r="B1014" s="36"/>
      <c r="C1014" s="36"/>
      <c r="D1014" s="36"/>
      <c r="E1014" s="36"/>
      <c r="F1014" s="36"/>
      <c r="G1014" s="36"/>
      <c r="H1014" s="36"/>
      <c r="J1014" s="36"/>
      <c r="L1014" s="1" t="str">
        <f t="shared" si="107"/>
        <v/>
      </c>
      <c r="M1014" s="94">
        <v>1009</v>
      </c>
      <c r="N1014" s="36" t="s">
        <v>2669</v>
      </c>
      <c r="O1014" s="95">
        <v>310716</v>
      </c>
      <c r="P1014" s="36"/>
      <c r="AI1014" s="122">
        <v>702</v>
      </c>
      <c r="AJ1014" s="1" t="s">
        <v>2358</v>
      </c>
      <c r="AK1014" s="1">
        <v>310409</v>
      </c>
      <c r="AL1014" s="1" t="s">
        <v>930</v>
      </c>
      <c r="AN1014" s="270">
        <v>108</v>
      </c>
      <c r="BS1014" s="1">
        <v>10641</v>
      </c>
      <c r="BT1014" s="1" t="s">
        <v>902</v>
      </c>
      <c r="BX1014" s="36"/>
    </row>
    <row r="1015" spans="2:76" ht="14.25">
      <c r="B1015" s="36"/>
      <c r="C1015" s="36"/>
      <c r="D1015" s="36"/>
      <c r="E1015" s="36"/>
      <c r="F1015" s="36"/>
      <c r="G1015" s="36"/>
      <c r="H1015" s="36"/>
      <c r="J1015" s="36"/>
      <c r="L1015" s="1" t="str">
        <f t="shared" si="107"/>
        <v/>
      </c>
      <c r="M1015" s="94">
        <v>1010</v>
      </c>
      <c r="N1015" s="36" t="s">
        <v>2670</v>
      </c>
      <c r="O1015" s="95">
        <v>310717</v>
      </c>
      <c r="P1015" s="36"/>
      <c r="AI1015" s="122">
        <v>703</v>
      </c>
      <c r="AJ1015" s="1" t="s">
        <v>2359</v>
      </c>
      <c r="AK1015" s="1">
        <v>310410</v>
      </c>
      <c r="AL1015" s="1" t="s">
        <v>115</v>
      </c>
      <c r="AN1015" s="270">
        <v>109</v>
      </c>
      <c r="BS1015" s="1">
        <v>10642</v>
      </c>
      <c r="BT1015" s="1" t="s">
        <v>902</v>
      </c>
      <c r="BX1015" s="36"/>
    </row>
    <row r="1016" spans="2:76" ht="14.25">
      <c r="B1016" s="36"/>
      <c r="C1016" s="36"/>
      <c r="D1016" s="36"/>
      <c r="E1016" s="36"/>
      <c r="F1016" s="36"/>
      <c r="G1016" s="36"/>
      <c r="H1016" s="36"/>
      <c r="J1016" s="36"/>
      <c r="L1016" s="1" t="str">
        <f t="shared" si="107"/>
        <v/>
      </c>
      <c r="M1016" s="94">
        <v>1011</v>
      </c>
      <c r="N1016" s="36" t="s">
        <v>2671</v>
      </c>
      <c r="O1016" s="95">
        <v>310718</v>
      </c>
      <c r="P1016" s="36"/>
      <c r="AI1016" s="122">
        <v>704</v>
      </c>
      <c r="AJ1016" s="1" t="s">
        <v>2360</v>
      </c>
      <c r="AK1016" s="1">
        <v>310411</v>
      </c>
      <c r="AL1016" s="1" t="s">
        <v>930</v>
      </c>
      <c r="AN1016" s="270">
        <v>110</v>
      </c>
      <c r="BS1016" s="1">
        <v>10643</v>
      </c>
      <c r="BT1016" s="1" t="s">
        <v>902</v>
      </c>
      <c r="BX1016" s="36"/>
    </row>
    <row r="1017" spans="2:76" ht="14.25">
      <c r="B1017" s="36"/>
      <c r="C1017" s="36"/>
      <c r="D1017" s="36"/>
      <c r="E1017" s="36"/>
      <c r="F1017" s="36"/>
      <c r="G1017" s="36"/>
      <c r="H1017" s="36"/>
      <c r="J1017" s="36"/>
      <c r="L1017" s="1" t="str">
        <f t="shared" si="107"/>
        <v/>
      </c>
      <c r="M1017" s="94">
        <v>1012</v>
      </c>
      <c r="N1017" s="36" t="s">
        <v>2672</v>
      </c>
      <c r="O1017" s="95">
        <v>310719</v>
      </c>
      <c r="P1017" s="36"/>
      <c r="AI1017" s="122">
        <v>705</v>
      </c>
      <c r="AJ1017" s="1" t="s">
        <v>2361</v>
      </c>
      <c r="AK1017" s="1">
        <v>310412</v>
      </c>
      <c r="AL1017" s="1" t="s">
        <v>930</v>
      </c>
      <c r="AN1017" s="270">
        <v>111</v>
      </c>
      <c r="BS1017" s="1">
        <v>10644</v>
      </c>
      <c r="BT1017" s="1" t="s">
        <v>902</v>
      </c>
      <c r="BX1017" s="36"/>
    </row>
    <row r="1018" spans="2:76" ht="14.25">
      <c r="B1018" s="36"/>
      <c r="C1018" s="36"/>
      <c r="D1018" s="36"/>
      <c r="E1018" s="36"/>
      <c r="F1018" s="36"/>
      <c r="G1018" s="36"/>
      <c r="H1018" s="36"/>
      <c r="J1018" s="36"/>
      <c r="L1018" s="1" t="str">
        <f t="shared" si="107"/>
        <v/>
      </c>
      <c r="M1018" s="94">
        <v>1013</v>
      </c>
      <c r="N1018" s="36" t="s">
        <v>2673</v>
      </c>
      <c r="O1018" s="95">
        <v>310720</v>
      </c>
      <c r="P1018" s="36"/>
      <c r="AI1018" s="122">
        <v>706</v>
      </c>
      <c r="AJ1018" s="1" t="s">
        <v>2362</v>
      </c>
      <c r="AK1018" s="1">
        <v>310413</v>
      </c>
      <c r="AL1018" s="1" t="s">
        <v>115</v>
      </c>
      <c r="AN1018" s="270">
        <v>112</v>
      </c>
      <c r="BS1018" s="1">
        <v>10645</v>
      </c>
      <c r="BT1018" s="1" t="s">
        <v>902</v>
      </c>
      <c r="BX1018" s="36"/>
    </row>
    <row r="1019" spans="2:76" ht="14.25">
      <c r="B1019" s="36"/>
      <c r="C1019" s="36"/>
      <c r="D1019" s="36"/>
      <c r="E1019" s="36"/>
      <c r="F1019" s="36"/>
      <c r="G1019" s="36"/>
      <c r="H1019" s="36"/>
      <c r="J1019" s="36"/>
      <c r="L1019" s="1" t="str">
        <f t="shared" si="107"/>
        <v/>
      </c>
      <c r="M1019" s="94">
        <v>1014</v>
      </c>
      <c r="N1019" s="36" t="s">
        <v>2674</v>
      </c>
      <c r="O1019" s="95">
        <v>310721</v>
      </c>
      <c r="P1019" s="36"/>
      <c r="AI1019" s="122">
        <v>707</v>
      </c>
      <c r="AJ1019" s="1" t="s">
        <v>2363</v>
      </c>
      <c r="AK1019" s="1">
        <v>310414</v>
      </c>
      <c r="AL1019" s="1" t="s">
        <v>930</v>
      </c>
      <c r="AN1019" s="270">
        <v>113</v>
      </c>
      <c r="BS1019" s="1">
        <v>10646</v>
      </c>
      <c r="BT1019" s="1" t="s">
        <v>902</v>
      </c>
      <c r="BX1019" s="36"/>
    </row>
    <row r="1020" spans="2:76" ht="14.25">
      <c r="B1020" s="36"/>
      <c r="C1020" s="36"/>
      <c r="D1020" s="36"/>
      <c r="E1020" s="36"/>
      <c r="F1020" s="36"/>
      <c r="G1020" s="36"/>
      <c r="H1020" s="36"/>
      <c r="J1020" s="36"/>
      <c r="L1020" s="1" t="str">
        <f t="shared" si="107"/>
        <v/>
      </c>
      <c r="M1020" s="94">
        <v>1015</v>
      </c>
      <c r="N1020" s="36" t="s">
        <v>2675</v>
      </c>
      <c r="O1020" s="95">
        <v>310722</v>
      </c>
      <c r="P1020" s="36"/>
      <c r="AI1020" s="122">
        <v>708</v>
      </c>
      <c r="AJ1020" s="1" t="s">
        <v>2364</v>
      </c>
      <c r="AK1020" s="1">
        <v>310415</v>
      </c>
      <c r="AL1020" s="1" t="s">
        <v>115</v>
      </c>
      <c r="AN1020" s="270">
        <v>114</v>
      </c>
      <c r="BS1020" s="1">
        <v>10647</v>
      </c>
      <c r="BT1020" s="1" t="s">
        <v>902</v>
      </c>
      <c r="BX1020" s="36"/>
    </row>
    <row r="1021" spans="2:76" ht="14.25">
      <c r="B1021" s="36"/>
      <c r="C1021" s="36"/>
      <c r="D1021" s="36"/>
      <c r="E1021" s="36"/>
      <c r="F1021" s="36"/>
      <c r="G1021" s="36"/>
      <c r="H1021" s="36"/>
      <c r="J1021" s="36"/>
      <c r="L1021" s="1" t="str">
        <f t="shared" si="107"/>
        <v/>
      </c>
      <c r="M1021" s="94">
        <v>1016</v>
      </c>
      <c r="N1021" s="36" t="s">
        <v>2676</v>
      </c>
      <c r="O1021" s="95">
        <v>310723</v>
      </c>
      <c r="P1021" s="36"/>
      <c r="AI1021" s="122">
        <v>709</v>
      </c>
      <c r="AJ1021" s="1" t="s">
        <v>2365</v>
      </c>
      <c r="AK1021" s="1">
        <v>310416</v>
      </c>
      <c r="AL1021" s="1" t="s">
        <v>930</v>
      </c>
      <c r="AN1021" s="270">
        <v>115</v>
      </c>
      <c r="BS1021" s="1">
        <v>10648</v>
      </c>
      <c r="BT1021" s="1" t="s">
        <v>902</v>
      </c>
      <c r="BX1021" s="36"/>
    </row>
    <row r="1022" spans="2:76" ht="14.25">
      <c r="B1022" s="36"/>
      <c r="C1022" s="36"/>
      <c r="D1022" s="36"/>
      <c r="E1022" s="36"/>
      <c r="F1022" s="36"/>
      <c r="G1022" s="36"/>
      <c r="H1022" s="36"/>
      <c r="J1022" s="36"/>
      <c r="L1022" s="1" t="str">
        <f t="shared" si="107"/>
        <v/>
      </c>
      <c r="M1022" s="94">
        <v>1017</v>
      </c>
      <c r="N1022" s="36" t="s">
        <v>2677</v>
      </c>
      <c r="O1022" s="95">
        <v>310724</v>
      </c>
      <c r="P1022" s="36"/>
      <c r="AI1022" s="122">
        <v>710</v>
      </c>
      <c r="AJ1022" s="1" t="s">
        <v>2366</v>
      </c>
      <c r="AK1022" s="1">
        <v>310417</v>
      </c>
      <c r="AL1022" s="1" t="s">
        <v>115</v>
      </c>
      <c r="AN1022" s="270">
        <v>116</v>
      </c>
      <c r="BS1022" s="1">
        <v>10649</v>
      </c>
      <c r="BT1022" s="1" t="s">
        <v>902</v>
      </c>
      <c r="BX1022" s="36"/>
    </row>
    <row r="1023" spans="2:76" ht="14.25">
      <c r="B1023" s="36"/>
      <c r="C1023" s="36"/>
      <c r="D1023" s="36"/>
      <c r="E1023" s="36"/>
      <c r="F1023" s="36"/>
      <c r="G1023" s="36"/>
      <c r="H1023" s="36"/>
      <c r="J1023" s="36"/>
      <c r="L1023" s="1" t="str">
        <f t="shared" si="107"/>
        <v/>
      </c>
      <c r="M1023" s="94">
        <v>1018</v>
      </c>
      <c r="N1023" s="36" t="s">
        <v>2678</v>
      </c>
      <c r="O1023" s="95">
        <v>310725</v>
      </c>
      <c r="P1023" s="36"/>
      <c r="AI1023" s="122">
        <v>711</v>
      </c>
      <c r="AJ1023" s="1" t="s">
        <v>2367</v>
      </c>
      <c r="AK1023" s="1">
        <v>310418</v>
      </c>
      <c r="AL1023" s="1" t="s">
        <v>930</v>
      </c>
      <c r="AN1023" s="270">
        <v>117</v>
      </c>
      <c r="BS1023" s="1">
        <v>10650</v>
      </c>
      <c r="BT1023" s="1" t="s">
        <v>902</v>
      </c>
      <c r="BX1023" s="36"/>
    </row>
    <row r="1024" spans="2:76" ht="14.25">
      <c r="B1024" s="36"/>
      <c r="C1024" s="36"/>
      <c r="D1024" s="36"/>
      <c r="E1024" s="36"/>
      <c r="F1024" s="36"/>
      <c r="G1024" s="36"/>
      <c r="H1024" s="36"/>
      <c r="J1024" s="36"/>
      <c r="L1024" s="1" t="str">
        <f t="shared" si="107"/>
        <v/>
      </c>
      <c r="M1024" s="94">
        <v>1019</v>
      </c>
      <c r="N1024" s="36" t="s">
        <v>2679</v>
      </c>
      <c r="O1024" s="95">
        <v>310726</v>
      </c>
      <c r="P1024" s="36"/>
      <c r="AI1024" s="122">
        <v>712</v>
      </c>
      <c r="AJ1024" s="1" t="s">
        <v>2368</v>
      </c>
      <c r="AK1024" s="1">
        <v>310419</v>
      </c>
      <c r="AL1024" s="1" t="s">
        <v>930</v>
      </c>
      <c r="AN1024" s="270">
        <v>118</v>
      </c>
      <c r="BS1024" s="1">
        <v>10651</v>
      </c>
      <c r="BT1024" s="1" t="s">
        <v>902</v>
      </c>
      <c r="BX1024" s="36"/>
    </row>
    <row r="1025" spans="2:76" ht="14.25">
      <c r="B1025" s="36"/>
      <c r="C1025" s="36"/>
      <c r="D1025" s="36"/>
      <c r="E1025" s="36"/>
      <c r="F1025" s="36"/>
      <c r="G1025" s="36"/>
      <c r="H1025" s="36"/>
      <c r="J1025" s="36"/>
      <c r="L1025" s="1" t="str">
        <f t="shared" si="107"/>
        <v/>
      </c>
      <c r="M1025" s="94">
        <v>1020</v>
      </c>
      <c r="N1025" s="36" t="s">
        <v>2680</v>
      </c>
      <c r="O1025" s="95">
        <v>310727</v>
      </c>
      <c r="P1025" s="36"/>
      <c r="AI1025" s="122">
        <v>713</v>
      </c>
      <c r="AJ1025" s="1" t="s">
        <v>2369</v>
      </c>
      <c r="AK1025" s="1">
        <v>310420</v>
      </c>
      <c r="AL1025" s="1" t="s">
        <v>115</v>
      </c>
      <c r="AN1025" s="270">
        <v>119</v>
      </c>
      <c r="BS1025" s="1">
        <v>10652</v>
      </c>
      <c r="BT1025" s="1" t="s">
        <v>902</v>
      </c>
      <c r="BX1025" s="36"/>
    </row>
    <row r="1026" spans="2:76" ht="14.25">
      <c r="B1026" s="36"/>
      <c r="C1026" s="36"/>
      <c r="D1026" s="36"/>
      <c r="E1026" s="36"/>
      <c r="F1026" s="36"/>
      <c r="G1026" s="36"/>
      <c r="H1026" s="36"/>
      <c r="J1026" s="36"/>
      <c r="L1026" s="1" t="str">
        <f t="shared" si="107"/>
        <v/>
      </c>
      <c r="M1026" s="94">
        <v>1021</v>
      </c>
      <c r="N1026" s="36" t="s">
        <v>2681</v>
      </c>
      <c r="O1026" s="95">
        <v>310728</v>
      </c>
      <c r="P1026" s="36"/>
      <c r="AI1026" s="122">
        <v>714</v>
      </c>
      <c r="AJ1026" s="1" t="s">
        <v>2370</v>
      </c>
      <c r="AK1026" s="1">
        <v>310421</v>
      </c>
      <c r="AL1026" s="1" t="s">
        <v>930</v>
      </c>
      <c r="AN1026" s="270">
        <v>120</v>
      </c>
      <c r="BS1026" s="1">
        <v>10653</v>
      </c>
      <c r="BT1026" s="1" t="s">
        <v>902</v>
      </c>
      <c r="BX1026" s="36"/>
    </row>
    <row r="1027" spans="2:76" ht="14.25">
      <c r="B1027" s="36"/>
      <c r="C1027" s="36"/>
      <c r="D1027" s="36"/>
      <c r="E1027" s="36"/>
      <c r="F1027" s="36"/>
      <c r="G1027" s="36"/>
      <c r="H1027" s="36"/>
      <c r="J1027" s="36"/>
      <c r="L1027" s="1" t="str">
        <f t="shared" si="107"/>
        <v/>
      </c>
      <c r="M1027" s="94">
        <v>1022</v>
      </c>
      <c r="N1027" s="36" t="s">
        <v>2682</v>
      </c>
      <c r="O1027" s="95">
        <v>310729</v>
      </c>
      <c r="P1027" s="36"/>
      <c r="AI1027" s="122">
        <v>715</v>
      </c>
      <c r="AJ1027" s="1" t="s">
        <v>2371</v>
      </c>
      <c r="AK1027" s="1">
        <v>310422</v>
      </c>
      <c r="AL1027" s="1" t="s">
        <v>115</v>
      </c>
      <c r="AN1027" s="270">
        <v>121</v>
      </c>
      <c r="BS1027" s="1">
        <v>10654</v>
      </c>
      <c r="BT1027" s="1" t="s">
        <v>902</v>
      </c>
      <c r="BX1027" s="36"/>
    </row>
    <row r="1028" spans="2:76" ht="14.25">
      <c r="B1028" s="36"/>
      <c r="C1028" s="36"/>
      <c r="D1028" s="36"/>
      <c r="E1028" s="36"/>
      <c r="F1028" s="36"/>
      <c r="G1028" s="36"/>
      <c r="H1028" s="36"/>
      <c r="J1028" s="36"/>
      <c r="L1028" s="1" t="str">
        <f t="shared" ref="L1028:L1091" si="108">IF(AND(MIN(I:I)&lt;20,MAX(I:I)&gt;980,I1028&lt;20),I1028,"")</f>
        <v/>
      </c>
      <c r="M1028" s="94">
        <v>1023</v>
      </c>
      <c r="N1028" s="36" t="s">
        <v>2683</v>
      </c>
      <c r="O1028" s="95">
        <v>310730</v>
      </c>
      <c r="P1028" s="36"/>
      <c r="AI1028" s="122">
        <v>716</v>
      </c>
      <c r="AJ1028" s="1" t="s">
        <v>2372</v>
      </c>
      <c r="AK1028" s="1">
        <v>310423</v>
      </c>
      <c r="AL1028" s="1" t="s">
        <v>930</v>
      </c>
      <c r="AN1028" s="270">
        <v>122</v>
      </c>
      <c r="BS1028" s="1">
        <v>10655</v>
      </c>
      <c r="BT1028" s="1" t="s">
        <v>902</v>
      </c>
      <c r="BX1028" s="36"/>
    </row>
    <row r="1029" spans="2:76" ht="14.25">
      <c r="B1029" s="36"/>
      <c r="C1029" s="36"/>
      <c r="D1029" s="36"/>
      <c r="E1029" s="36"/>
      <c r="F1029" s="36"/>
      <c r="G1029" s="36"/>
      <c r="H1029" s="36"/>
      <c r="J1029" s="36"/>
      <c r="L1029" s="1" t="str">
        <f t="shared" si="108"/>
        <v/>
      </c>
      <c r="M1029" s="94">
        <v>1024</v>
      </c>
      <c r="N1029" s="36" t="s">
        <v>2684</v>
      </c>
      <c r="O1029" s="95">
        <v>310731</v>
      </c>
      <c r="P1029" s="36"/>
      <c r="AI1029" s="122">
        <v>717</v>
      </c>
      <c r="AJ1029" s="1" t="s">
        <v>2373</v>
      </c>
      <c r="AK1029" s="1">
        <v>310424</v>
      </c>
      <c r="AL1029" s="1" t="s">
        <v>115</v>
      </c>
      <c r="AN1029" s="270">
        <v>123</v>
      </c>
      <c r="BS1029" s="1">
        <v>10656</v>
      </c>
      <c r="BT1029" s="1" t="s">
        <v>902</v>
      </c>
      <c r="BX1029" s="36"/>
    </row>
    <row r="1030" spans="2:76" ht="14.25">
      <c r="B1030" s="36"/>
      <c r="C1030" s="36"/>
      <c r="D1030" s="36"/>
      <c r="E1030" s="36"/>
      <c r="F1030" s="36"/>
      <c r="G1030" s="36"/>
      <c r="H1030" s="36"/>
      <c r="J1030" s="36"/>
      <c r="L1030" s="1" t="str">
        <f t="shared" si="108"/>
        <v/>
      </c>
      <c r="M1030" s="94">
        <v>1025</v>
      </c>
      <c r="N1030" s="36" t="s">
        <v>2685</v>
      </c>
      <c r="O1030" s="95">
        <v>310732</v>
      </c>
      <c r="P1030" s="36"/>
      <c r="AI1030" s="122">
        <v>718</v>
      </c>
      <c r="AJ1030" s="1" t="s">
        <v>2374</v>
      </c>
      <c r="AK1030" s="1">
        <v>310425</v>
      </c>
      <c r="AL1030" s="1" t="s">
        <v>930</v>
      </c>
      <c r="AN1030" s="270">
        <v>124</v>
      </c>
      <c r="BS1030" s="1">
        <v>10657</v>
      </c>
      <c r="BT1030" s="1" t="s">
        <v>902</v>
      </c>
      <c r="BX1030" s="36"/>
    </row>
    <row r="1031" spans="2:76" ht="14.25">
      <c r="B1031" s="36"/>
      <c r="C1031" s="36"/>
      <c r="D1031" s="36"/>
      <c r="E1031" s="36"/>
      <c r="F1031" s="36"/>
      <c r="G1031" s="36"/>
      <c r="H1031" s="36"/>
      <c r="J1031" s="36"/>
      <c r="L1031" s="1" t="str">
        <f t="shared" si="108"/>
        <v/>
      </c>
      <c r="M1031" s="94">
        <v>1026</v>
      </c>
      <c r="N1031" s="36" t="s">
        <v>2686</v>
      </c>
      <c r="O1031" s="95">
        <v>310733</v>
      </c>
      <c r="P1031" s="36"/>
      <c r="AI1031" s="122">
        <v>719</v>
      </c>
      <c r="AJ1031" s="1" t="s">
        <v>2375</v>
      </c>
      <c r="AK1031" s="1">
        <v>310426</v>
      </c>
      <c r="AL1031" s="1" t="s">
        <v>930</v>
      </c>
      <c r="AN1031" s="270">
        <v>125</v>
      </c>
      <c r="BS1031" s="1">
        <v>10658</v>
      </c>
      <c r="BT1031" s="1" t="s">
        <v>902</v>
      </c>
      <c r="BX1031" s="36"/>
    </row>
    <row r="1032" spans="2:76" ht="14.25">
      <c r="B1032" s="36"/>
      <c r="C1032" s="36"/>
      <c r="D1032" s="36"/>
      <c r="E1032" s="36"/>
      <c r="F1032" s="36"/>
      <c r="G1032" s="36"/>
      <c r="H1032" s="36"/>
      <c r="J1032" s="36"/>
      <c r="L1032" s="1" t="str">
        <f t="shared" si="108"/>
        <v/>
      </c>
      <c r="M1032" s="94">
        <v>1027</v>
      </c>
      <c r="N1032" s="36" t="s">
        <v>2687</v>
      </c>
      <c r="O1032" s="95">
        <v>310734</v>
      </c>
      <c r="P1032" s="36"/>
      <c r="AI1032" s="122">
        <v>720</v>
      </c>
      <c r="AJ1032" s="1" t="s">
        <v>2376</v>
      </c>
      <c r="AK1032" s="1">
        <v>310427</v>
      </c>
      <c r="AL1032" s="1" t="s">
        <v>115</v>
      </c>
      <c r="AN1032" s="270">
        <v>126</v>
      </c>
      <c r="BS1032" s="1">
        <v>10659</v>
      </c>
      <c r="BT1032" s="1" t="s">
        <v>902</v>
      </c>
      <c r="BX1032" s="36"/>
    </row>
    <row r="1033" spans="2:76" ht="14.25">
      <c r="B1033" s="36"/>
      <c r="C1033" s="36"/>
      <c r="D1033" s="36"/>
      <c r="E1033" s="36"/>
      <c r="F1033" s="36"/>
      <c r="G1033" s="36"/>
      <c r="H1033" s="36"/>
      <c r="J1033" s="36"/>
      <c r="L1033" s="1" t="str">
        <f t="shared" si="108"/>
        <v/>
      </c>
      <c r="M1033" s="94">
        <v>1028</v>
      </c>
      <c r="N1033" s="36" t="s">
        <v>2688</v>
      </c>
      <c r="O1033" s="95">
        <v>310735</v>
      </c>
      <c r="P1033" s="36"/>
      <c r="AI1033" s="122">
        <v>721</v>
      </c>
      <c r="AJ1033" s="1" t="s">
        <v>2377</v>
      </c>
      <c r="AK1033" s="1">
        <v>310428</v>
      </c>
      <c r="AL1033" s="1" t="s">
        <v>930</v>
      </c>
      <c r="AN1033" s="270">
        <v>127</v>
      </c>
      <c r="BS1033" s="1">
        <v>10660</v>
      </c>
      <c r="BT1033" s="1" t="s">
        <v>902</v>
      </c>
      <c r="BX1033" s="36"/>
    </row>
    <row r="1034" spans="2:76" ht="14.25">
      <c r="B1034" s="36"/>
      <c r="C1034" s="36"/>
      <c r="D1034" s="36"/>
      <c r="E1034" s="36"/>
      <c r="F1034" s="36"/>
      <c r="G1034" s="36"/>
      <c r="H1034" s="36"/>
      <c r="J1034" s="36"/>
      <c r="L1034" s="1" t="str">
        <f t="shared" si="108"/>
        <v/>
      </c>
      <c r="M1034" s="94">
        <v>1029</v>
      </c>
      <c r="N1034" s="36" t="s">
        <v>2689</v>
      </c>
      <c r="O1034" s="95">
        <v>310736</v>
      </c>
      <c r="P1034" s="36"/>
      <c r="AI1034" s="122">
        <v>722</v>
      </c>
      <c r="AJ1034" s="1" t="s">
        <v>2378</v>
      </c>
      <c r="AK1034" s="1">
        <v>310429</v>
      </c>
      <c r="AL1034" s="1" t="s">
        <v>115</v>
      </c>
      <c r="AN1034" s="270">
        <v>128</v>
      </c>
      <c r="BS1034" s="1">
        <v>10661</v>
      </c>
      <c r="BT1034" s="1" t="s">
        <v>902</v>
      </c>
      <c r="BX1034" s="36"/>
    </row>
    <row r="1035" spans="2:76" ht="14.25">
      <c r="B1035" s="36"/>
      <c r="C1035" s="36"/>
      <c r="D1035" s="36"/>
      <c r="E1035" s="36"/>
      <c r="F1035" s="36"/>
      <c r="G1035" s="36"/>
      <c r="H1035" s="36"/>
      <c r="J1035" s="36"/>
      <c r="L1035" s="1" t="str">
        <f t="shared" si="108"/>
        <v/>
      </c>
      <c r="M1035" s="94">
        <v>1030</v>
      </c>
      <c r="N1035" s="36" t="s">
        <v>2690</v>
      </c>
      <c r="O1035" s="95">
        <v>310737</v>
      </c>
      <c r="P1035" s="36"/>
      <c r="AI1035" s="122">
        <v>723</v>
      </c>
      <c r="AJ1035" s="1" t="s">
        <v>2379</v>
      </c>
      <c r="AK1035" s="1">
        <v>310430</v>
      </c>
      <c r="AL1035" s="1" t="s">
        <v>930</v>
      </c>
      <c r="AN1035" s="270">
        <v>129</v>
      </c>
      <c r="BS1035" s="1">
        <v>10662</v>
      </c>
      <c r="BT1035" s="1" t="s">
        <v>902</v>
      </c>
      <c r="BX1035" s="36"/>
    </row>
    <row r="1036" spans="2:76" ht="14.25">
      <c r="B1036" s="36"/>
      <c r="C1036" s="36"/>
      <c r="D1036" s="36"/>
      <c r="E1036" s="36"/>
      <c r="F1036" s="36"/>
      <c r="G1036" s="36"/>
      <c r="H1036" s="36"/>
      <c r="J1036" s="36"/>
      <c r="L1036" s="1" t="str">
        <f t="shared" si="108"/>
        <v/>
      </c>
      <c r="M1036" s="94">
        <v>1031</v>
      </c>
      <c r="N1036" s="36" t="s">
        <v>2691</v>
      </c>
      <c r="O1036" s="95">
        <v>310738</v>
      </c>
      <c r="P1036" s="36"/>
      <c r="AI1036" s="122">
        <v>724</v>
      </c>
      <c r="AJ1036" s="1" t="s">
        <v>2380</v>
      </c>
      <c r="AK1036" s="1">
        <v>310431</v>
      </c>
      <c r="AL1036" s="1" t="s">
        <v>115</v>
      </c>
      <c r="AN1036" s="270">
        <v>130</v>
      </c>
      <c r="BS1036" s="1">
        <v>10663</v>
      </c>
      <c r="BT1036" s="1" t="s">
        <v>902</v>
      </c>
      <c r="BX1036" s="36"/>
    </row>
    <row r="1037" spans="2:76" ht="14.25">
      <c r="B1037" s="36"/>
      <c r="C1037" s="36"/>
      <c r="D1037" s="36"/>
      <c r="E1037" s="36"/>
      <c r="F1037" s="36"/>
      <c r="G1037" s="36"/>
      <c r="H1037" s="36"/>
      <c r="J1037" s="36"/>
      <c r="L1037" s="1" t="str">
        <f t="shared" si="108"/>
        <v/>
      </c>
      <c r="M1037" s="94">
        <v>1032</v>
      </c>
      <c r="N1037" s="36" t="s">
        <v>2692</v>
      </c>
      <c r="O1037" s="95">
        <v>310739</v>
      </c>
      <c r="P1037" s="36"/>
      <c r="AI1037" s="122">
        <v>725</v>
      </c>
      <c r="AJ1037" s="1" t="s">
        <v>2381</v>
      </c>
      <c r="AK1037" s="1">
        <v>310432</v>
      </c>
      <c r="AL1037" s="1" t="s">
        <v>930</v>
      </c>
      <c r="AN1037" s="270">
        <v>131</v>
      </c>
      <c r="BS1037" s="1">
        <v>10664</v>
      </c>
      <c r="BT1037" s="1" t="s">
        <v>902</v>
      </c>
      <c r="BX1037" s="36"/>
    </row>
    <row r="1038" spans="2:76" ht="14.25">
      <c r="B1038" s="36"/>
      <c r="C1038" s="36"/>
      <c r="D1038" s="36"/>
      <c r="E1038" s="36"/>
      <c r="F1038" s="36"/>
      <c r="G1038" s="36"/>
      <c r="H1038" s="36"/>
      <c r="J1038" s="36"/>
      <c r="L1038" s="1" t="str">
        <f t="shared" si="108"/>
        <v/>
      </c>
      <c r="M1038" s="94">
        <v>1033</v>
      </c>
      <c r="N1038" s="36" t="s">
        <v>2693</v>
      </c>
      <c r="O1038" s="95">
        <v>310740</v>
      </c>
      <c r="P1038" s="36"/>
      <c r="AI1038" s="122">
        <v>726</v>
      </c>
      <c r="AJ1038" s="1" t="s">
        <v>2382</v>
      </c>
      <c r="AK1038" s="1">
        <v>310433</v>
      </c>
      <c r="AL1038" s="1" t="s">
        <v>930</v>
      </c>
      <c r="AN1038" s="270">
        <v>132</v>
      </c>
      <c r="BS1038" s="1">
        <v>10665</v>
      </c>
      <c r="BT1038" s="1" t="s">
        <v>902</v>
      </c>
      <c r="BX1038" s="36"/>
    </row>
    <row r="1039" spans="2:76" ht="14.25">
      <c r="B1039" s="36"/>
      <c r="C1039" s="36"/>
      <c r="D1039" s="36"/>
      <c r="E1039" s="36"/>
      <c r="F1039" s="36"/>
      <c r="G1039" s="36"/>
      <c r="H1039" s="36"/>
      <c r="J1039" s="36"/>
      <c r="L1039" s="1" t="str">
        <f t="shared" si="108"/>
        <v/>
      </c>
      <c r="M1039" s="94">
        <v>1034</v>
      </c>
      <c r="N1039" s="36" t="s">
        <v>2694</v>
      </c>
      <c r="O1039" s="95">
        <v>310741</v>
      </c>
      <c r="P1039" s="36"/>
      <c r="AI1039" s="122">
        <v>727</v>
      </c>
      <c r="AJ1039" s="1" t="s">
        <v>2383</v>
      </c>
      <c r="AK1039" s="1">
        <v>310434</v>
      </c>
      <c r="AL1039" s="1" t="s">
        <v>115</v>
      </c>
      <c r="AN1039" s="270">
        <v>133</v>
      </c>
      <c r="BS1039" s="1">
        <v>10666</v>
      </c>
      <c r="BT1039" s="1" t="s">
        <v>902</v>
      </c>
      <c r="BX1039" s="36"/>
    </row>
    <row r="1040" spans="2:76" ht="14.25">
      <c r="B1040" s="36"/>
      <c r="C1040" s="36"/>
      <c r="D1040" s="36"/>
      <c r="E1040" s="36"/>
      <c r="F1040" s="36"/>
      <c r="G1040" s="36"/>
      <c r="H1040" s="36"/>
      <c r="J1040" s="36"/>
      <c r="L1040" s="1" t="str">
        <f t="shared" si="108"/>
        <v/>
      </c>
      <c r="M1040" s="94">
        <v>1035</v>
      </c>
      <c r="N1040" s="36" t="s">
        <v>2695</v>
      </c>
      <c r="O1040" s="95">
        <v>310742</v>
      </c>
      <c r="P1040" s="36"/>
      <c r="AI1040" s="122">
        <v>728</v>
      </c>
      <c r="AJ1040" s="1" t="s">
        <v>2384</v>
      </c>
      <c r="AK1040" s="1">
        <v>310435</v>
      </c>
      <c r="AL1040" s="1" t="s">
        <v>930</v>
      </c>
      <c r="AN1040" s="270">
        <v>134</v>
      </c>
      <c r="BS1040" s="1">
        <v>10667</v>
      </c>
      <c r="BT1040" s="1" t="s">
        <v>902</v>
      </c>
      <c r="BX1040" s="36"/>
    </row>
    <row r="1041" spans="2:76" ht="14.25">
      <c r="B1041" s="36"/>
      <c r="C1041" s="36"/>
      <c r="D1041" s="36"/>
      <c r="E1041" s="36"/>
      <c r="F1041" s="36"/>
      <c r="G1041" s="36"/>
      <c r="H1041" s="36"/>
      <c r="J1041" s="36"/>
      <c r="L1041" s="1" t="str">
        <f t="shared" si="108"/>
        <v/>
      </c>
      <c r="M1041" s="94">
        <v>1036</v>
      </c>
      <c r="N1041" s="36" t="s">
        <v>2696</v>
      </c>
      <c r="O1041" s="95">
        <v>310743</v>
      </c>
      <c r="P1041" s="36"/>
      <c r="AI1041" s="122">
        <v>729</v>
      </c>
      <c r="AJ1041" s="1" t="s">
        <v>2385</v>
      </c>
      <c r="AK1041" s="1">
        <v>310436</v>
      </c>
      <c r="AL1041" s="1" t="s">
        <v>115</v>
      </c>
      <c r="AN1041" s="270">
        <v>135</v>
      </c>
      <c r="BS1041" s="1">
        <v>10668</v>
      </c>
      <c r="BT1041" s="1" t="s">
        <v>902</v>
      </c>
      <c r="BX1041" s="36"/>
    </row>
    <row r="1042" spans="2:76" ht="14.25">
      <c r="B1042" s="36"/>
      <c r="C1042" s="36"/>
      <c r="D1042" s="36"/>
      <c r="E1042" s="36"/>
      <c r="F1042" s="36"/>
      <c r="G1042" s="36"/>
      <c r="H1042" s="36"/>
      <c r="J1042" s="36"/>
      <c r="L1042" s="1" t="str">
        <f t="shared" si="108"/>
        <v/>
      </c>
      <c r="M1042" s="94">
        <v>1037</v>
      </c>
      <c r="N1042" s="36" t="s">
        <v>2697</v>
      </c>
      <c r="O1042" s="95">
        <v>310744</v>
      </c>
      <c r="P1042" s="36"/>
      <c r="AI1042" s="122">
        <v>730</v>
      </c>
      <c r="AJ1042" s="1" t="s">
        <v>2386</v>
      </c>
      <c r="AK1042" s="1">
        <v>310437</v>
      </c>
      <c r="AL1042" s="1" t="s">
        <v>930</v>
      </c>
      <c r="AN1042" s="270">
        <v>136</v>
      </c>
      <c r="BS1042" s="1">
        <v>10669</v>
      </c>
      <c r="BT1042" s="1" t="s">
        <v>902</v>
      </c>
      <c r="BX1042" s="36"/>
    </row>
    <row r="1043" spans="2:76" ht="14.25">
      <c r="B1043" s="36"/>
      <c r="C1043" s="36"/>
      <c r="D1043" s="36"/>
      <c r="E1043" s="36"/>
      <c r="F1043" s="36"/>
      <c r="G1043" s="36"/>
      <c r="H1043" s="36"/>
      <c r="J1043" s="36"/>
      <c r="L1043" s="1" t="str">
        <f t="shared" si="108"/>
        <v/>
      </c>
      <c r="M1043" s="94">
        <v>1038</v>
      </c>
      <c r="N1043" s="36" t="s">
        <v>2698</v>
      </c>
      <c r="O1043" s="95">
        <v>310745</v>
      </c>
      <c r="P1043" s="36"/>
      <c r="AI1043" s="122">
        <v>731</v>
      </c>
      <c r="AJ1043" s="1" t="s">
        <v>2387</v>
      </c>
      <c r="AK1043" s="1">
        <v>310438</v>
      </c>
      <c r="AL1043" s="1" t="s">
        <v>115</v>
      </c>
      <c r="AN1043" s="270">
        <v>137</v>
      </c>
      <c r="BS1043" s="1">
        <v>10670</v>
      </c>
      <c r="BT1043" s="1" t="s">
        <v>902</v>
      </c>
      <c r="BX1043" s="36"/>
    </row>
    <row r="1044" spans="2:76" ht="14.25">
      <c r="B1044" s="36"/>
      <c r="C1044" s="36"/>
      <c r="D1044" s="36"/>
      <c r="E1044" s="36"/>
      <c r="F1044" s="36"/>
      <c r="G1044" s="36"/>
      <c r="H1044" s="36"/>
      <c r="J1044" s="36"/>
      <c r="L1044" s="1" t="str">
        <f t="shared" si="108"/>
        <v/>
      </c>
      <c r="M1044" s="94">
        <v>1039</v>
      </c>
      <c r="N1044" s="36" t="s">
        <v>2699</v>
      </c>
      <c r="O1044" s="95">
        <v>310746</v>
      </c>
      <c r="P1044" s="36"/>
      <c r="AI1044" s="122">
        <v>732</v>
      </c>
      <c r="AJ1044" s="1" t="s">
        <v>2388</v>
      </c>
      <c r="AK1044" s="1">
        <v>310439</v>
      </c>
      <c r="AL1044" s="1" t="s">
        <v>930</v>
      </c>
      <c r="AN1044" s="270">
        <v>138</v>
      </c>
      <c r="BS1044" s="1">
        <v>10671</v>
      </c>
      <c r="BT1044" s="1" t="s">
        <v>902</v>
      </c>
      <c r="BX1044" s="36"/>
    </row>
    <row r="1045" spans="2:76" ht="14.25">
      <c r="B1045" s="36"/>
      <c r="C1045" s="36"/>
      <c r="D1045" s="36"/>
      <c r="E1045" s="36"/>
      <c r="F1045" s="36"/>
      <c r="G1045" s="36"/>
      <c r="H1045" s="36"/>
      <c r="J1045" s="36"/>
      <c r="L1045" s="1" t="str">
        <f t="shared" si="108"/>
        <v/>
      </c>
      <c r="M1045" s="94">
        <v>1040</v>
      </c>
      <c r="N1045" s="36" t="s">
        <v>2700</v>
      </c>
      <c r="O1045" s="95">
        <v>310747</v>
      </c>
      <c r="P1045" s="36"/>
      <c r="AI1045" s="122">
        <v>733</v>
      </c>
      <c r="AJ1045" s="1" t="s">
        <v>2389</v>
      </c>
      <c r="AK1045" s="1">
        <v>310440</v>
      </c>
      <c r="AL1045" s="1" t="s">
        <v>930</v>
      </c>
      <c r="AN1045" s="270">
        <v>139</v>
      </c>
      <c r="BS1045" s="1">
        <v>10672</v>
      </c>
      <c r="BT1045" s="1" t="s">
        <v>902</v>
      </c>
      <c r="BX1045" s="36"/>
    </row>
    <row r="1046" spans="2:76" ht="14.25">
      <c r="B1046" s="36"/>
      <c r="C1046" s="36"/>
      <c r="D1046" s="36"/>
      <c r="E1046" s="36"/>
      <c r="F1046" s="36"/>
      <c r="G1046" s="36"/>
      <c r="H1046" s="36"/>
      <c r="J1046" s="36"/>
      <c r="L1046" s="1" t="str">
        <f t="shared" si="108"/>
        <v/>
      </c>
      <c r="M1046" s="94">
        <v>1041</v>
      </c>
      <c r="N1046" s="36" t="s">
        <v>2701</v>
      </c>
      <c r="O1046" s="95">
        <v>310748</v>
      </c>
      <c r="P1046" s="36"/>
      <c r="AI1046" s="122">
        <v>734</v>
      </c>
      <c r="AJ1046" s="1" t="s">
        <v>2390</v>
      </c>
      <c r="AK1046" s="1">
        <v>310441</v>
      </c>
      <c r="AL1046" s="1" t="s">
        <v>115</v>
      </c>
      <c r="AN1046" s="270">
        <v>140</v>
      </c>
      <c r="BS1046" s="1">
        <v>10673</v>
      </c>
      <c r="BT1046" s="1" t="s">
        <v>902</v>
      </c>
      <c r="BX1046" s="36"/>
    </row>
    <row r="1047" spans="2:76" ht="14.25">
      <c r="B1047" s="36"/>
      <c r="C1047" s="36"/>
      <c r="D1047" s="36"/>
      <c r="E1047" s="36"/>
      <c r="F1047" s="36"/>
      <c r="G1047" s="36"/>
      <c r="H1047" s="36"/>
      <c r="J1047" s="36"/>
      <c r="L1047" s="1" t="str">
        <f t="shared" si="108"/>
        <v/>
      </c>
      <c r="M1047" s="94">
        <v>1042</v>
      </c>
      <c r="N1047" s="36" t="s">
        <v>2702</v>
      </c>
      <c r="O1047" s="95">
        <v>310749</v>
      </c>
      <c r="P1047" s="36"/>
      <c r="AI1047" s="122">
        <v>735</v>
      </c>
      <c r="AJ1047" s="1" t="s">
        <v>2391</v>
      </c>
      <c r="AK1047" s="1">
        <v>310442</v>
      </c>
      <c r="AL1047" s="1" t="s">
        <v>930</v>
      </c>
      <c r="AN1047" s="270">
        <v>141</v>
      </c>
      <c r="BS1047" s="1">
        <v>10674</v>
      </c>
      <c r="BT1047" s="1" t="s">
        <v>902</v>
      </c>
      <c r="BX1047" s="36"/>
    </row>
    <row r="1048" spans="2:76" ht="14.25">
      <c r="B1048" s="36"/>
      <c r="C1048" s="36"/>
      <c r="D1048" s="36"/>
      <c r="E1048" s="36"/>
      <c r="F1048" s="36"/>
      <c r="G1048" s="36"/>
      <c r="H1048" s="36"/>
      <c r="J1048" s="36"/>
      <c r="L1048" s="1" t="str">
        <f t="shared" si="108"/>
        <v/>
      </c>
      <c r="M1048" s="94">
        <v>1043</v>
      </c>
      <c r="N1048" s="36" t="s">
        <v>2703</v>
      </c>
      <c r="O1048" s="95">
        <v>310750</v>
      </c>
      <c r="P1048" s="36"/>
      <c r="AI1048" s="122">
        <v>736</v>
      </c>
      <c r="AJ1048" s="1" t="s">
        <v>2392</v>
      </c>
      <c r="AK1048" s="1">
        <v>310443</v>
      </c>
      <c r="AL1048" s="1" t="s">
        <v>115</v>
      </c>
      <c r="AN1048" s="270">
        <v>142</v>
      </c>
      <c r="BS1048" s="1">
        <v>10675</v>
      </c>
      <c r="BT1048" s="1" t="s">
        <v>902</v>
      </c>
      <c r="BX1048" s="36"/>
    </row>
    <row r="1049" spans="2:76" ht="14.25">
      <c r="B1049" s="36"/>
      <c r="C1049" s="36"/>
      <c r="D1049" s="36"/>
      <c r="E1049" s="36"/>
      <c r="F1049" s="36"/>
      <c r="G1049" s="36"/>
      <c r="H1049" s="36"/>
      <c r="J1049" s="36"/>
      <c r="L1049" s="1" t="str">
        <f t="shared" si="108"/>
        <v/>
      </c>
      <c r="M1049" s="94">
        <v>1044</v>
      </c>
      <c r="N1049" s="36" t="s">
        <v>2704</v>
      </c>
      <c r="O1049" s="95">
        <v>310751</v>
      </c>
      <c r="P1049" s="36"/>
      <c r="AI1049" s="122">
        <v>737</v>
      </c>
      <c r="AJ1049" s="1" t="s">
        <v>2393</v>
      </c>
      <c r="AK1049" s="1">
        <v>310444</v>
      </c>
      <c r="AL1049" s="1" t="s">
        <v>930</v>
      </c>
      <c r="AN1049" s="270">
        <v>143</v>
      </c>
      <c r="BS1049" s="1">
        <v>10676</v>
      </c>
      <c r="BT1049" s="1" t="s">
        <v>902</v>
      </c>
      <c r="BX1049" s="36"/>
    </row>
    <row r="1050" spans="2:76" ht="14.25">
      <c r="B1050" s="36"/>
      <c r="C1050" s="36"/>
      <c r="D1050" s="36"/>
      <c r="E1050" s="36"/>
      <c r="F1050" s="36"/>
      <c r="G1050" s="36"/>
      <c r="H1050" s="36"/>
      <c r="J1050" s="36"/>
      <c r="L1050" s="1" t="str">
        <f t="shared" si="108"/>
        <v/>
      </c>
      <c r="M1050" s="94">
        <v>1045</v>
      </c>
      <c r="N1050" s="36" t="s">
        <v>2705</v>
      </c>
      <c r="O1050" s="95">
        <v>310752</v>
      </c>
      <c r="P1050" s="36"/>
      <c r="AI1050" s="122">
        <v>738</v>
      </c>
      <c r="AJ1050" s="1" t="s">
        <v>2394</v>
      </c>
      <c r="AK1050" s="1">
        <v>310445</v>
      </c>
      <c r="AL1050" s="1" t="s">
        <v>115</v>
      </c>
      <c r="AN1050" s="270">
        <v>144</v>
      </c>
      <c r="BS1050" s="1">
        <v>10677</v>
      </c>
      <c r="BT1050" s="1" t="s">
        <v>902</v>
      </c>
      <c r="BX1050" s="36"/>
    </row>
    <row r="1051" spans="2:76" ht="14.25">
      <c r="B1051" s="36"/>
      <c r="C1051" s="36"/>
      <c r="D1051" s="36"/>
      <c r="E1051" s="36"/>
      <c r="F1051" s="36"/>
      <c r="G1051" s="36"/>
      <c r="H1051" s="36"/>
      <c r="J1051" s="36"/>
      <c r="L1051" s="1" t="str">
        <f t="shared" si="108"/>
        <v/>
      </c>
      <c r="M1051" s="94">
        <v>1046</v>
      </c>
      <c r="N1051" s="36" t="s">
        <v>2706</v>
      </c>
      <c r="O1051" s="95">
        <v>310753</v>
      </c>
      <c r="P1051" s="36"/>
      <c r="AI1051" s="122">
        <v>739</v>
      </c>
      <c r="AJ1051" s="1" t="s">
        <v>2395</v>
      </c>
      <c r="AK1051" s="1">
        <v>310446</v>
      </c>
      <c r="AL1051" s="1" t="s">
        <v>930</v>
      </c>
      <c r="AN1051" s="270">
        <v>145</v>
      </c>
      <c r="BS1051" s="1">
        <v>10678</v>
      </c>
      <c r="BT1051" s="1" t="s">
        <v>902</v>
      </c>
      <c r="BX1051" s="36"/>
    </row>
    <row r="1052" spans="2:76" ht="14.25">
      <c r="B1052" s="36"/>
      <c r="C1052" s="36"/>
      <c r="D1052" s="36"/>
      <c r="E1052" s="36"/>
      <c r="F1052" s="36"/>
      <c r="G1052" s="36"/>
      <c r="H1052" s="36"/>
      <c r="J1052" s="36"/>
      <c r="L1052" s="1" t="str">
        <f t="shared" si="108"/>
        <v/>
      </c>
      <c r="M1052" s="94">
        <v>1047</v>
      </c>
      <c r="N1052" s="36" t="s">
        <v>2707</v>
      </c>
      <c r="O1052" s="95">
        <v>310754</v>
      </c>
      <c r="P1052" s="36"/>
      <c r="AI1052" s="122">
        <v>740</v>
      </c>
      <c r="AJ1052" s="1" t="s">
        <v>2396</v>
      </c>
      <c r="AK1052" s="1">
        <v>310447</v>
      </c>
      <c r="AL1052" s="1" t="s">
        <v>930</v>
      </c>
      <c r="AN1052" s="270">
        <v>146</v>
      </c>
      <c r="BS1052" s="1">
        <v>10679</v>
      </c>
      <c r="BT1052" s="1" t="s">
        <v>902</v>
      </c>
      <c r="BX1052" s="36"/>
    </row>
    <row r="1053" spans="2:76" ht="14.25">
      <c r="B1053" s="36"/>
      <c r="C1053" s="36"/>
      <c r="D1053" s="36"/>
      <c r="E1053" s="36"/>
      <c r="F1053" s="36"/>
      <c r="G1053" s="36"/>
      <c r="H1053" s="36"/>
      <c r="J1053" s="36"/>
      <c r="L1053" s="1" t="str">
        <f t="shared" si="108"/>
        <v/>
      </c>
      <c r="M1053" s="94">
        <v>1048</v>
      </c>
      <c r="N1053" s="36" t="s">
        <v>2709</v>
      </c>
      <c r="O1053" s="95">
        <v>310755</v>
      </c>
      <c r="P1053" s="36"/>
      <c r="AI1053" s="122">
        <v>741</v>
      </c>
      <c r="AJ1053" s="1" t="s">
        <v>2397</v>
      </c>
      <c r="AK1053" s="1">
        <v>310448</v>
      </c>
      <c r="AL1053" s="1" t="s">
        <v>115</v>
      </c>
      <c r="AN1053" s="270">
        <v>147</v>
      </c>
      <c r="BS1053" s="1">
        <v>10680</v>
      </c>
      <c r="BT1053" s="1" t="s">
        <v>902</v>
      </c>
      <c r="BX1053" s="36"/>
    </row>
    <row r="1054" spans="2:76" ht="14.25">
      <c r="B1054" s="36"/>
      <c r="C1054" s="36"/>
      <c r="D1054" s="36"/>
      <c r="E1054" s="36"/>
      <c r="F1054" s="36"/>
      <c r="G1054" s="36"/>
      <c r="H1054" s="36"/>
      <c r="J1054" s="36"/>
      <c r="L1054" s="1" t="str">
        <f t="shared" si="108"/>
        <v/>
      </c>
      <c r="M1054" s="94">
        <v>1049</v>
      </c>
      <c r="N1054" s="36" t="s">
        <v>2710</v>
      </c>
      <c r="O1054" s="95">
        <v>310756</v>
      </c>
      <c r="P1054" s="36"/>
      <c r="AI1054" s="122">
        <v>742</v>
      </c>
      <c r="AJ1054" s="1" t="s">
        <v>2398</v>
      </c>
      <c r="AK1054" s="1">
        <v>310449</v>
      </c>
      <c r="AL1054" s="1" t="s">
        <v>930</v>
      </c>
      <c r="AN1054" s="270">
        <v>148</v>
      </c>
      <c r="BS1054" s="1">
        <v>10681</v>
      </c>
      <c r="BT1054" s="1" t="s">
        <v>902</v>
      </c>
      <c r="BX1054" s="36"/>
    </row>
    <row r="1055" spans="2:76" ht="14.25">
      <c r="B1055" s="36"/>
      <c r="C1055" s="36"/>
      <c r="D1055" s="36"/>
      <c r="E1055" s="36"/>
      <c r="F1055" s="36"/>
      <c r="G1055" s="36"/>
      <c r="H1055" s="36"/>
      <c r="J1055" s="36"/>
      <c r="L1055" s="1" t="str">
        <f t="shared" si="108"/>
        <v/>
      </c>
      <c r="M1055" s="94">
        <v>1050</v>
      </c>
      <c r="N1055" s="36" t="s">
        <v>2711</v>
      </c>
      <c r="O1055" s="95">
        <v>310757</v>
      </c>
      <c r="P1055" s="36"/>
      <c r="AI1055" s="122">
        <v>743</v>
      </c>
      <c r="AJ1055" s="1" t="s">
        <v>2399</v>
      </c>
      <c r="AK1055" s="1">
        <v>310450</v>
      </c>
      <c r="AL1055" s="1" t="s">
        <v>115</v>
      </c>
      <c r="AN1055" s="270">
        <v>149</v>
      </c>
      <c r="BS1055" s="1">
        <v>10682</v>
      </c>
      <c r="BT1055" s="1" t="s">
        <v>902</v>
      </c>
      <c r="BX1055" s="36"/>
    </row>
    <row r="1056" spans="2:76" ht="14.25">
      <c r="B1056" s="36"/>
      <c r="C1056" s="36"/>
      <c r="D1056" s="36"/>
      <c r="E1056" s="36"/>
      <c r="F1056" s="36"/>
      <c r="G1056" s="36"/>
      <c r="H1056" s="36"/>
      <c r="J1056" s="36"/>
      <c r="L1056" s="1" t="str">
        <f t="shared" si="108"/>
        <v/>
      </c>
      <c r="M1056" s="94">
        <v>1051</v>
      </c>
      <c r="N1056" s="36" t="s">
        <v>2712</v>
      </c>
      <c r="O1056" s="95">
        <v>310758</v>
      </c>
      <c r="P1056" s="36"/>
      <c r="AI1056" s="122">
        <v>744</v>
      </c>
      <c r="AJ1056" s="1" t="s">
        <v>2400</v>
      </c>
      <c r="AK1056" s="1">
        <v>310451</v>
      </c>
      <c r="AL1056" s="1" t="s">
        <v>930</v>
      </c>
      <c r="AN1056" s="270">
        <v>150</v>
      </c>
      <c r="BS1056" s="1">
        <v>10683</v>
      </c>
      <c r="BT1056" s="1" t="s">
        <v>902</v>
      </c>
      <c r="BX1056" s="36"/>
    </row>
    <row r="1057" spans="2:76" ht="14.25">
      <c r="B1057" s="36"/>
      <c r="C1057" s="36"/>
      <c r="D1057" s="36"/>
      <c r="E1057" s="36"/>
      <c r="F1057" s="36"/>
      <c r="G1057" s="36"/>
      <c r="H1057" s="36"/>
      <c r="J1057" s="36"/>
      <c r="L1057" s="1" t="str">
        <f t="shared" si="108"/>
        <v/>
      </c>
      <c r="M1057" s="94">
        <v>1052</v>
      </c>
      <c r="N1057" s="36" t="s">
        <v>2713</v>
      </c>
      <c r="O1057" s="95">
        <v>310759</v>
      </c>
      <c r="P1057" s="36"/>
      <c r="AI1057" s="122">
        <v>745</v>
      </c>
      <c r="AJ1057" s="1" t="s">
        <v>2401</v>
      </c>
      <c r="AK1057" s="1">
        <v>310452</v>
      </c>
      <c r="AL1057" s="1" t="s">
        <v>115</v>
      </c>
      <c r="AN1057" s="270">
        <v>151</v>
      </c>
      <c r="BS1057" s="1">
        <v>10684</v>
      </c>
      <c r="BT1057" s="1" t="s">
        <v>902</v>
      </c>
      <c r="BX1057" s="36"/>
    </row>
    <row r="1058" spans="2:76" ht="14.25">
      <c r="B1058" s="36"/>
      <c r="C1058" s="36"/>
      <c r="D1058" s="36"/>
      <c r="E1058" s="36"/>
      <c r="F1058" s="36"/>
      <c r="G1058" s="36"/>
      <c r="H1058" s="36"/>
      <c r="J1058" s="36"/>
      <c r="L1058" s="1" t="str">
        <f t="shared" si="108"/>
        <v/>
      </c>
      <c r="M1058" s="94">
        <v>1053</v>
      </c>
      <c r="N1058" s="36" t="s">
        <v>2714</v>
      </c>
      <c r="O1058" s="95">
        <v>310760</v>
      </c>
      <c r="P1058" s="36"/>
      <c r="AI1058" s="122">
        <v>746</v>
      </c>
      <c r="AJ1058" s="1" t="s">
        <v>2402</v>
      </c>
      <c r="AK1058" s="1">
        <v>310453</v>
      </c>
      <c r="AL1058" s="1" t="s">
        <v>930</v>
      </c>
      <c r="AN1058" s="270">
        <v>152</v>
      </c>
      <c r="BS1058" s="1">
        <v>10685</v>
      </c>
      <c r="BT1058" s="1" t="s">
        <v>902</v>
      </c>
      <c r="BX1058" s="36"/>
    </row>
    <row r="1059" spans="2:76" ht="14.25">
      <c r="B1059" s="36"/>
      <c r="C1059" s="36"/>
      <c r="D1059" s="36"/>
      <c r="E1059" s="36"/>
      <c r="F1059" s="36"/>
      <c r="G1059" s="36"/>
      <c r="H1059" s="36"/>
      <c r="J1059" s="36"/>
      <c r="L1059" s="1" t="str">
        <f t="shared" si="108"/>
        <v/>
      </c>
      <c r="M1059" s="94">
        <v>1054</v>
      </c>
      <c r="N1059" s="36" t="s">
        <v>2715</v>
      </c>
      <c r="O1059" s="95">
        <v>310761</v>
      </c>
      <c r="P1059" s="36"/>
      <c r="AI1059" s="122">
        <v>747</v>
      </c>
      <c r="AJ1059" s="1" t="s">
        <v>2403</v>
      </c>
      <c r="AK1059" s="1">
        <v>310454</v>
      </c>
      <c r="AL1059" s="1" t="s">
        <v>115</v>
      </c>
      <c r="AN1059" s="270">
        <v>153</v>
      </c>
      <c r="BS1059" s="1">
        <v>10686</v>
      </c>
      <c r="BT1059" s="1" t="s">
        <v>902</v>
      </c>
      <c r="BX1059" s="36"/>
    </row>
    <row r="1060" spans="2:76" ht="14.25">
      <c r="B1060" s="36"/>
      <c r="C1060" s="36"/>
      <c r="D1060" s="36"/>
      <c r="E1060" s="36"/>
      <c r="F1060" s="36"/>
      <c r="G1060" s="36"/>
      <c r="H1060" s="36"/>
      <c r="J1060" s="36"/>
      <c r="L1060" s="1" t="str">
        <f t="shared" si="108"/>
        <v/>
      </c>
      <c r="M1060" s="94">
        <v>1055</v>
      </c>
      <c r="N1060" s="36" t="s">
        <v>2716</v>
      </c>
      <c r="O1060" s="95">
        <v>310762</v>
      </c>
      <c r="P1060" s="36"/>
      <c r="AI1060" s="122">
        <v>748</v>
      </c>
      <c r="AJ1060" s="1" t="s">
        <v>2404</v>
      </c>
      <c r="AK1060" s="1">
        <v>310455</v>
      </c>
      <c r="AL1060" s="1" t="s">
        <v>930</v>
      </c>
      <c r="AN1060" s="270">
        <v>154</v>
      </c>
      <c r="BS1060" s="1">
        <v>10687</v>
      </c>
      <c r="BT1060" s="1" t="s">
        <v>902</v>
      </c>
      <c r="BX1060" s="36"/>
    </row>
    <row r="1061" spans="2:76" ht="14.25">
      <c r="B1061" s="36"/>
      <c r="C1061" s="36"/>
      <c r="D1061" s="36"/>
      <c r="E1061" s="36"/>
      <c r="F1061" s="36"/>
      <c r="G1061" s="36"/>
      <c r="H1061" s="36"/>
      <c r="J1061" s="36"/>
      <c r="L1061" s="1" t="str">
        <f t="shared" si="108"/>
        <v/>
      </c>
      <c r="M1061" s="94">
        <v>1056</v>
      </c>
      <c r="N1061" s="36" t="s">
        <v>2717</v>
      </c>
      <c r="O1061" s="95">
        <v>310763</v>
      </c>
      <c r="P1061" s="36"/>
      <c r="AI1061" s="122">
        <v>749</v>
      </c>
      <c r="AJ1061" s="1" t="s">
        <v>2405</v>
      </c>
      <c r="AK1061" s="1">
        <v>310456</v>
      </c>
      <c r="AL1061" s="1" t="s">
        <v>930</v>
      </c>
      <c r="AN1061" s="270">
        <v>155</v>
      </c>
      <c r="BS1061" s="1">
        <v>10688</v>
      </c>
      <c r="BT1061" s="1" t="s">
        <v>902</v>
      </c>
      <c r="BX1061" s="36"/>
    </row>
    <row r="1062" spans="2:76" ht="14.25">
      <c r="B1062" s="36"/>
      <c r="C1062" s="36"/>
      <c r="D1062" s="36"/>
      <c r="E1062" s="36"/>
      <c r="F1062" s="36"/>
      <c r="G1062" s="36"/>
      <c r="H1062" s="36"/>
      <c r="J1062" s="36"/>
      <c r="L1062" s="1" t="str">
        <f t="shared" si="108"/>
        <v/>
      </c>
      <c r="M1062" s="94">
        <v>1057</v>
      </c>
      <c r="N1062" s="36" t="s">
        <v>2718</v>
      </c>
      <c r="O1062" s="95">
        <v>310764</v>
      </c>
      <c r="P1062" s="36"/>
      <c r="AI1062" s="122">
        <v>750</v>
      </c>
      <c r="AJ1062" s="1" t="s">
        <v>2406</v>
      </c>
      <c r="AK1062" s="1">
        <v>310457</v>
      </c>
      <c r="AL1062" s="1" t="s">
        <v>115</v>
      </c>
      <c r="AN1062" s="270">
        <v>156</v>
      </c>
      <c r="BS1062" s="1">
        <v>10689</v>
      </c>
      <c r="BT1062" s="1" t="s">
        <v>902</v>
      </c>
      <c r="BX1062" s="36"/>
    </row>
    <row r="1063" spans="2:76" ht="14.25">
      <c r="B1063" s="36"/>
      <c r="C1063" s="36"/>
      <c r="D1063" s="36"/>
      <c r="E1063" s="36"/>
      <c r="F1063" s="36"/>
      <c r="G1063" s="36"/>
      <c r="H1063" s="36"/>
      <c r="J1063" s="36"/>
      <c r="L1063" s="1" t="str">
        <f t="shared" si="108"/>
        <v/>
      </c>
      <c r="M1063" s="94">
        <v>1058</v>
      </c>
      <c r="N1063" s="36" t="s">
        <v>2719</v>
      </c>
      <c r="O1063" s="95">
        <v>310765</v>
      </c>
      <c r="P1063" s="36"/>
      <c r="AI1063" s="122">
        <v>751</v>
      </c>
      <c r="AJ1063" s="1" t="s">
        <v>2407</v>
      </c>
      <c r="AK1063" s="1">
        <v>310458</v>
      </c>
      <c r="AL1063" s="1" t="s">
        <v>930</v>
      </c>
      <c r="AN1063" s="270">
        <v>157</v>
      </c>
      <c r="BS1063" s="1">
        <v>10690</v>
      </c>
      <c r="BT1063" s="1" t="s">
        <v>902</v>
      </c>
      <c r="BX1063" s="36"/>
    </row>
    <row r="1064" spans="2:76" ht="14.25">
      <c r="B1064" s="36"/>
      <c r="C1064" s="36"/>
      <c r="D1064" s="36"/>
      <c r="E1064" s="36"/>
      <c r="F1064" s="36"/>
      <c r="G1064" s="36"/>
      <c r="H1064" s="36"/>
      <c r="J1064" s="36"/>
      <c r="L1064" s="1" t="str">
        <f t="shared" si="108"/>
        <v/>
      </c>
      <c r="M1064" s="94">
        <v>1059</v>
      </c>
      <c r="N1064" s="36" t="s">
        <v>2720</v>
      </c>
      <c r="O1064" s="95">
        <v>310766</v>
      </c>
      <c r="P1064" s="36"/>
      <c r="AI1064" s="122">
        <v>752</v>
      </c>
      <c r="AJ1064" s="1" t="s">
        <v>2408</v>
      </c>
      <c r="AK1064" s="1">
        <v>310459</v>
      </c>
      <c r="AL1064" s="1" t="s">
        <v>115</v>
      </c>
      <c r="AN1064" s="270">
        <v>158</v>
      </c>
      <c r="BS1064" s="1">
        <v>10691</v>
      </c>
      <c r="BT1064" s="1" t="s">
        <v>902</v>
      </c>
      <c r="BX1064" s="36"/>
    </row>
    <row r="1065" spans="2:76" ht="14.25">
      <c r="B1065" s="36"/>
      <c r="C1065" s="36"/>
      <c r="D1065" s="36"/>
      <c r="E1065" s="36"/>
      <c r="F1065" s="36"/>
      <c r="G1065" s="36"/>
      <c r="H1065" s="36"/>
      <c r="J1065" s="36"/>
      <c r="L1065" s="1" t="str">
        <f t="shared" si="108"/>
        <v/>
      </c>
      <c r="M1065" s="94">
        <v>1060</v>
      </c>
      <c r="N1065" s="36" t="s">
        <v>2721</v>
      </c>
      <c r="O1065" s="95">
        <v>310767</v>
      </c>
      <c r="P1065" s="36"/>
      <c r="AI1065" s="122">
        <v>753</v>
      </c>
      <c r="AJ1065" s="1" t="s">
        <v>2409</v>
      </c>
      <c r="AK1065" s="1">
        <v>310460</v>
      </c>
      <c r="AL1065" s="1" t="s">
        <v>930</v>
      </c>
      <c r="AN1065" s="270">
        <v>159</v>
      </c>
      <c r="BS1065" s="1">
        <v>10692</v>
      </c>
      <c r="BT1065" s="1" t="s">
        <v>902</v>
      </c>
      <c r="BX1065" s="36"/>
    </row>
    <row r="1066" spans="2:76" ht="14.25">
      <c r="B1066" s="36"/>
      <c r="C1066" s="36"/>
      <c r="D1066" s="36"/>
      <c r="E1066" s="36"/>
      <c r="F1066" s="36"/>
      <c r="G1066" s="36"/>
      <c r="H1066" s="36"/>
      <c r="J1066" s="36"/>
      <c r="L1066" s="1" t="str">
        <f t="shared" si="108"/>
        <v/>
      </c>
      <c r="M1066" s="94">
        <v>1061</v>
      </c>
      <c r="N1066" s="36" t="s">
        <v>2722</v>
      </c>
      <c r="O1066" s="95">
        <v>310768</v>
      </c>
      <c r="P1066" s="36"/>
      <c r="AI1066" s="122">
        <v>754</v>
      </c>
      <c r="AJ1066" s="1" t="s">
        <v>2410</v>
      </c>
      <c r="AK1066" s="1">
        <v>310461</v>
      </c>
      <c r="AL1066" s="1" t="s">
        <v>115</v>
      </c>
      <c r="AN1066" s="270">
        <v>160</v>
      </c>
      <c r="BS1066" s="1">
        <v>10693</v>
      </c>
      <c r="BT1066" s="1" t="s">
        <v>902</v>
      </c>
      <c r="BX1066" s="36"/>
    </row>
    <row r="1067" spans="2:76" ht="14.25">
      <c r="B1067" s="36"/>
      <c r="C1067" s="36"/>
      <c r="D1067" s="36"/>
      <c r="E1067" s="36"/>
      <c r="F1067" s="36"/>
      <c r="G1067" s="36"/>
      <c r="H1067" s="36"/>
      <c r="J1067" s="36"/>
      <c r="L1067" s="1" t="str">
        <f t="shared" si="108"/>
        <v/>
      </c>
      <c r="M1067" s="94">
        <v>1062</v>
      </c>
      <c r="N1067" s="36" t="s">
        <v>2723</v>
      </c>
      <c r="O1067" s="95">
        <v>310769</v>
      </c>
      <c r="P1067" s="36"/>
      <c r="AI1067" s="122">
        <v>755</v>
      </c>
      <c r="AJ1067" s="1" t="s">
        <v>2411</v>
      </c>
      <c r="AK1067" s="1">
        <v>310462</v>
      </c>
      <c r="AL1067" s="1" t="s">
        <v>930</v>
      </c>
      <c r="AN1067" s="270">
        <v>161</v>
      </c>
      <c r="BS1067" s="1">
        <v>10694</v>
      </c>
      <c r="BT1067" s="1" t="s">
        <v>902</v>
      </c>
      <c r="BX1067" s="36"/>
    </row>
    <row r="1068" spans="2:76" ht="14.25">
      <c r="B1068" s="36"/>
      <c r="C1068" s="36"/>
      <c r="D1068" s="36"/>
      <c r="E1068" s="36"/>
      <c r="F1068" s="36"/>
      <c r="G1068" s="36"/>
      <c r="H1068" s="36"/>
      <c r="J1068" s="36"/>
      <c r="L1068" s="1" t="str">
        <f t="shared" si="108"/>
        <v/>
      </c>
      <c r="M1068" s="94">
        <v>1063</v>
      </c>
      <c r="N1068" s="36" t="s">
        <v>2724</v>
      </c>
      <c r="O1068" s="95">
        <v>310770</v>
      </c>
      <c r="P1068" s="36"/>
      <c r="AI1068" s="122">
        <v>756</v>
      </c>
      <c r="AJ1068" s="1" t="s">
        <v>2412</v>
      </c>
      <c r="AK1068" s="1">
        <v>310463</v>
      </c>
      <c r="AL1068" s="1" t="s">
        <v>930</v>
      </c>
      <c r="AN1068" s="270">
        <v>162</v>
      </c>
      <c r="BS1068" s="1">
        <v>10695</v>
      </c>
      <c r="BT1068" s="1" t="s">
        <v>902</v>
      </c>
      <c r="BX1068" s="36"/>
    </row>
    <row r="1069" spans="2:76" ht="14.25">
      <c r="B1069" s="36"/>
      <c r="C1069" s="36"/>
      <c r="D1069" s="36"/>
      <c r="E1069" s="36"/>
      <c r="F1069" s="36"/>
      <c r="G1069" s="36"/>
      <c r="H1069" s="36"/>
      <c r="J1069" s="36"/>
      <c r="L1069" s="1" t="str">
        <f t="shared" si="108"/>
        <v/>
      </c>
      <c r="M1069" s="94">
        <v>1064</v>
      </c>
      <c r="N1069" s="36" t="s">
        <v>2725</v>
      </c>
      <c r="O1069" s="95">
        <v>310771</v>
      </c>
      <c r="P1069" s="36"/>
      <c r="AI1069" s="122">
        <v>757</v>
      </c>
      <c r="AJ1069" s="1" t="s">
        <v>2413</v>
      </c>
      <c r="AK1069" s="1">
        <v>310464</v>
      </c>
      <c r="AL1069" s="1" t="s">
        <v>115</v>
      </c>
      <c r="AN1069" s="270">
        <v>163</v>
      </c>
      <c r="BS1069" s="1">
        <v>10696</v>
      </c>
      <c r="BT1069" s="1" t="s">
        <v>902</v>
      </c>
      <c r="BX1069" s="36"/>
    </row>
    <row r="1070" spans="2:76" ht="14.25">
      <c r="B1070" s="36"/>
      <c r="C1070" s="36"/>
      <c r="D1070" s="36"/>
      <c r="E1070" s="36"/>
      <c r="F1070" s="36"/>
      <c r="G1070" s="36"/>
      <c r="H1070" s="36"/>
      <c r="J1070" s="36"/>
      <c r="L1070" s="1" t="str">
        <f t="shared" si="108"/>
        <v/>
      </c>
      <c r="M1070" s="94">
        <v>1065</v>
      </c>
      <c r="N1070" s="36" t="s">
        <v>2726</v>
      </c>
      <c r="O1070" s="95">
        <v>310772</v>
      </c>
      <c r="P1070" s="36"/>
      <c r="AI1070" s="122">
        <v>758</v>
      </c>
      <c r="AJ1070" s="1" t="s">
        <v>2414</v>
      </c>
      <c r="AK1070" s="1">
        <v>310465</v>
      </c>
      <c r="AL1070" s="1" t="s">
        <v>930</v>
      </c>
      <c r="AN1070" s="270">
        <v>164</v>
      </c>
      <c r="BS1070" s="1">
        <v>10697</v>
      </c>
      <c r="BT1070" s="1" t="s">
        <v>902</v>
      </c>
      <c r="BX1070" s="36"/>
    </row>
    <row r="1071" spans="2:76" ht="14.25">
      <c r="B1071" s="36"/>
      <c r="C1071" s="36"/>
      <c r="D1071" s="36"/>
      <c r="E1071" s="36"/>
      <c r="F1071" s="36"/>
      <c r="G1071" s="36"/>
      <c r="H1071" s="36"/>
      <c r="J1071" s="36"/>
      <c r="L1071" s="1" t="str">
        <f t="shared" si="108"/>
        <v/>
      </c>
      <c r="M1071" s="94">
        <v>1066</v>
      </c>
      <c r="N1071" s="36" t="s">
        <v>2727</v>
      </c>
      <c r="O1071" s="95">
        <v>310773</v>
      </c>
      <c r="P1071" s="36"/>
      <c r="AI1071" s="122">
        <v>759</v>
      </c>
      <c r="AJ1071" s="1" t="s">
        <v>2415</v>
      </c>
      <c r="AK1071" s="1">
        <v>310466</v>
      </c>
      <c r="AL1071" s="1" t="s">
        <v>115</v>
      </c>
      <c r="AN1071" s="270">
        <v>165</v>
      </c>
      <c r="BS1071" s="1">
        <v>10698</v>
      </c>
      <c r="BT1071" s="1" t="s">
        <v>902</v>
      </c>
      <c r="BX1071" s="36"/>
    </row>
    <row r="1072" spans="2:76" ht="14.25">
      <c r="B1072" s="36"/>
      <c r="C1072" s="36"/>
      <c r="D1072" s="36"/>
      <c r="E1072" s="36"/>
      <c r="F1072" s="36"/>
      <c r="G1072" s="36"/>
      <c r="H1072" s="36"/>
      <c r="J1072" s="36"/>
      <c r="L1072" s="1" t="str">
        <f t="shared" si="108"/>
        <v/>
      </c>
      <c r="M1072" s="94">
        <v>1067</v>
      </c>
      <c r="N1072" s="36" t="s">
        <v>2728</v>
      </c>
      <c r="O1072" s="95">
        <v>310774</v>
      </c>
      <c r="P1072" s="36"/>
      <c r="AI1072" s="122">
        <v>760</v>
      </c>
      <c r="AJ1072" s="1" t="s">
        <v>2416</v>
      </c>
      <c r="AK1072" s="1">
        <v>310467</v>
      </c>
      <c r="AL1072" s="1" t="s">
        <v>930</v>
      </c>
      <c r="AN1072" s="270">
        <v>166</v>
      </c>
      <c r="BS1072" s="1">
        <v>10699</v>
      </c>
      <c r="BT1072" s="1" t="s">
        <v>902</v>
      </c>
      <c r="BX1072" s="36"/>
    </row>
    <row r="1073" spans="2:76" ht="14.25">
      <c r="B1073" s="36"/>
      <c r="C1073" s="36"/>
      <c r="D1073" s="36"/>
      <c r="E1073" s="36"/>
      <c r="F1073" s="36"/>
      <c r="G1073" s="36"/>
      <c r="H1073" s="36"/>
      <c r="J1073" s="36"/>
      <c r="L1073" s="1" t="str">
        <f t="shared" si="108"/>
        <v/>
      </c>
      <c r="M1073" s="94">
        <v>1068</v>
      </c>
      <c r="N1073" s="36" t="s">
        <v>2729</v>
      </c>
      <c r="O1073" s="95">
        <v>310775</v>
      </c>
      <c r="P1073" s="36"/>
      <c r="AI1073" s="122">
        <v>761</v>
      </c>
      <c r="AJ1073" s="1" t="s">
        <v>2417</v>
      </c>
      <c r="AK1073" s="1">
        <v>310468</v>
      </c>
      <c r="AL1073" s="1" t="s">
        <v>115</v>
      </c>
      <c r="AN1073" s="270">
        <v>167</v>
      </c>
      <c r="BS1073" s="1">
        <v>10700</v>
      </c>
      <c r="BT1073" s="1" t="s">
        <v>902</v>
      </c>
      <c r="BX1073" s="36"/>
    </row>
    <row r="1074" spans="2:76" ht="14.25">
      <c r="B1074" s="36"/>
      <c r="C1074" s="36"/>
      <c r="D1074" s="36"/>
      <c r="E1074" s="36"/>
      <c r="F1074" s="36"/>
      <c r="G1074" s="36"/>
      <c r="H1074" s="36"/>
      <c r="J1074" s="36"/>
      <c r="L1074" s="1" t="str">
        <f t="shared" si="108"/>
        <v/>
      </c>
      <c r="M1074" s="94">
        <v>1069</v>
      </c>
      <c r="N1074" s="36" t="s">
        <v>2730</v>
      </c>
      <c r="O1074" s="95">
        <v>310776</v>
      </c>
      <c r="P1074" s="36"/>
      <c r="AI1074" s="122">
        <v>762</v>
      </c>
      <c r="AJ1074" s="1" t="s">
        <v>2418</v>
      </c>
      <c r="AK1074" s="1">
        <v>310469</v>
      </c>
      <c r="AL1074" s="1" t="s">
        <v>930</v>
      </c>
      <c r="AN1074" s="270">
        <v>168</v>
      </c>
      <c r="BS1074" s="1">
        <v>10701</v>
      </c>
      <c r="BT1074" s="1" t="s">
        <v>902</v>
      </c>
      <c r="BX1074" s="36"/>
    </row>
    <row r="1075" spans="2:76" ht="14.25">
      <c r="B1075" s="36"/>
      <c r="C1075" s="36"/>
      <c r="D1075" s="36"/>
      <c r="E1075" s="36"/>
      <c r="F1075" s="36"/>
      <c r="G1075" s="36"/>
      <c r="H1075" s="36"/>
      <c r="J1075" s="36"/>
      <c r="L1075" s="1" t="str">
        <f t="shared" si="108"/>
        <v/>
      </c>
      <c r="M1075" s="94">
        <v>1070</v>
      </c>
      <c r="N1075" s="36" t="s">
        <v>2731</v>
      </c>
      <c r="O1075" s="95">
        <v>310777</v>
      </c>
      <c r="P1075" s="36"/>
      <c r="AI1075" s="122">
        <v>763</v>
      </c>
      <c r="AJ1075" s="1" t="s">
        <v>2419</v>
      </c>
      <c r="AK1075" s="1">
        <v>310470</v>
      </c>
      <c r="AL1075" s="1" t="s">
        <v>930</v>
      </c>
      <c r="AN1075" s="270">
        <v>169</v>
      </c>
      <c r="BS1075" s="1">
        <v>10702</v>
      </c>
      <c r="BT1075" s="1" t="s">
        <v>902</v>
      </c>
      <c r="BX1075" s="36"/>
    </row>
    <row r="1076" spans="2:76" ht="14.25">
      <c r="B1076" s="36"/>
      <c r="C1076" s="36"/>
      <c r="D1076" s="36"/>
      <c r="E1076" s="36"/>
      <c r="F1076" s="36"/>
      <c r="G1076" s="36"/>
      <c r="H1076" s="36"/>
      <c r="J1076" s="36"/>
      <c r="L1076" s="1" t="str">
        <f t="shared" si="108"/>
        <v/>
      </c>
      <c r="M1076" s="94">
        <v>1071</v>
      </c>
      <c r="N1076" s="36" t="s">
        <v>2732</v>
      </c>
      <c r="O1076" s="95">
        <v>310778</v>
      </c>
      <c r="P1076" s="36"/>
      <c r="AI1076" s="122">
        <v>764</v>
      </c>
      <c r="AJ1076" s="1" t="s">
        <v>2420</v>
      </c>
      <c r="AK1076" s="1">
        <v>310471</v>
      </c>
      <c r="AL1076" s="1" t="s">
        <v>115</v>
      </c>
      <c r="AN1076" s="270">
        <v>170</v>
      </c>
      <c r="BS1076" s="1">
        <v>10703</v>
      </c>
      <c r="BT1076" s="1" t="s">
        <v>902</v>
      </c>
      <c r="BX1076" s="36"/>
    </row>
    <row r="1077" spans="2:76" ht="14.25">
      <c r="B1077" s="36"/>
      <c r="C1077" s="36"/>
      <c r="D1077" s="36"/>
      <c r="E1077" s="36"/>
      <c r="F1077" s="36"/>
      <c r="G1077" s="36"/>
      <c r="H1077" s="36"/>
      <c r="J1077" s="36"/>
      <c r="L1077" s="1" t="str">
        <f t="shared" si="108"/>
        <v/>
      </c>
      <c r="M1077" s="94">
        <v>1072</v>
      </c>
      <c r="N1077" s="36" t="s">
        <v>2733</v>
      </c>
      <c r="O1077" s="95">
        <v>310779</v>
      </c>
      <c r="P1077" s="36"/>
      <c r="AI1077" s="122">
        <v>765</v>
      </c>
      <c r="AJ1077" s="1" t="s">
        <v>2421</v>
      </c>
      <c r="AK1077" s="1">
        <v>310472</v>
      </c>
      <c r="AL1077" s="1" t="s">
        <v>930</v>
      </c>
      <c r="AN1077" s="270">
        <v>171</v>
      </c>
      <c r="BS1077" s="1">
        <v>10704</v>
      </c>
      <c r="BT1077" s="1" t="s">
        <v>902</v>
      </c>
      <c r="BX1077" s="36"/>
    </row>
    <row r="1078" spans="2:76" ht="14.25">
      <c r="B1078" s="36"/>
      <c r="C1078" s="36"/>
      <c r="D1078" s="36"/>
      <c r="E1078" s="36"/>
      <c r="F1078" s="36"/>
      <c r="G1078" s="36"/>
      <c r="H1078" s="36"/>
      <c r="J1078" s="36"/>
      <c r="L1078" s="1" t="str">
        <f t="shared" si="108"/>
        <v/>
      </c>
      <c r="M1078" s="94">
        <v>1073</v>
      </c>
      <c r="N1078" s="36" t="s">
        <v>2734</v>
      </c>
      <c r="O1078" s="95">
        <v>310780</v>
      </c>
      <c r="P1078" s="36"/>
      <c r="AI1078" s="122">
        <v>766</v>
      </c>
      <c r="AJ1078" s="1" t="s">
        <v>2422</v>
      </c>
      <c r="AK1078" s="1">
        <v>310473</v>
      </c>
      <c r="AL1078" s="1" t="s">
        <v>115</v>
      </c>
      <c r="AN1078" s="270">
        <v>172</v>
      </c>
      <c r="BS1078" s="1">
        <v>10705</v>
      </c>
      <c r="BT1078" s="1" t="s">
        <v>902</v>
      </c>
      <c r="BX1078" s="36"/>
    </row>
    <row r="1079" spans="2:76" ht="14.25">
      <c r="B1079" s="36"/>
      <c r="C1079" s="36"/>
      <c r="D1079" s="36"/>
      <c r="E1079" s="36"/>
      <c r="F1079" s="36"/>
      <c r="G1079" s="36"/>
      <c r="H1079" s="36"/>
      <c r="J1079" s="36"/>
      <c r="L1079" s="1" t="str">
        <f t="shared" si="108"/>
        <v/>
      </c>
      <c r="M1079" s="94">
        <v>1074</v>
      </c>
      <c r="N1079" s="36" t="s">
        <v>2735</v>
      </c>
      <c r="O1079" s="95">
        <v>310781</v>
      </c>
      <c r="P1079" s="36"/>
      <c r="AI1079" s="122">
        <v>767</v>
      </c>
      <c r="AJ1079" s="1" t="s">
        <v>2423</v>
      </c>
      <c r="AK1079" s="1">
        <v>310474</v>
      </c>
      <c r="AL1079" s="1" t="s">
        <v>930</v>
      </c>
      <c r="AN1079" s="270">
        <v>173</v>
      </c>
      <c r="BS1079" s="1">
        <v>10706</v>
      </c>
      <c r="BT1079" s="1" t="s">
        <v>902</v>
      </c>
      <c r="BX1079" s="36"/>
    </row>
    <row r="1080" spans="2:76" ht="14.25">
      <c r="B1080" s="36"/>
      <c r="C1080" s="36"/>
      <c r="D1080" s="36"/>
      <c r="E1080" s="36"/>
      <c r="F1080" s="36"/>
      <c r="G1080" s="36"/>
      <c r="H1080" s="36"/>
      <c r="J1080" s="36"/>
      <c r="L1080" s="1" t="str">
        <f t="shared" si="108"/>
        <v/>
      </c>
      <c r="M1080" s="94">
        <v>1075</v>
      </c>
      <c r="N1080" s="36" t="s">
        <v>2736</v>
      </c>
      <c r="O1080" s="95">
        <v>310782</v>
      </c>
      <c r="P1080" s="36"/>
      <c r="AI1080" s="122">
        <v>768</v>
      </c>
      <c r="AJ1080" s="1" t="s">
        <v>2424</v>
      </c>
      <c r="AK1080" s="1">
        <v>310475</v>
      </c>
      <c r="AL1080" s="1" t="s">
        <v>115</v>
      </c>
      <c r="AN1080" s="270">
        <v>174</v>
      </c>
      <c r="BS1080" s="1">
        <v>10707</v>
      </c>
      <c r="BT1080" s="1" t="s">
        <v>902</v>
      </c>
      <c r="BX1080" s="36"/>
    </row>
    <row r="1081" spans="2:76" ht="14.25">
      <c r="B1081" s="36"/>
      <c r="C1081" s="36"/>
      <c r="D1081" s="36"/>
      <c r="E1081" s="36"/>
      <c r="F1081" s="36"/>
      <c r="G1081" s="36"/>
      <c r="H1081" s="36"/>
      <c r="J1081" s="36"/>
      <c r="L1081" s="1" t="str">
        <f t="shared" si="108"/>
        <v/>
      </c>
      <c r="M1081" s="94">
        <v>1076</v>
      </c>
      <c r="N1081" s="36" t="s">
        <v>2737</v>
      </c>
      <c r="O1081" s="95">
        <v>310783</v>
      </c>
      <c r="P1081" s="36"/>
      <c r="AI1081" s="122">
        <v>769</v>
      </c>
      <c r="AJ1081" s="1" t="s">
        <v>2425</v>
      </c>
      <c r="AK1081" s="1">
        <v>310476</v>
      </c>
      <c r="AL1081" s="1" t="s">
        <v>930</v>
      </c>
      <c r="AN1081" s="270">
        <v>175</v>
      </c>
      <c r="BS1081" s="1">
        <v>10708</v>
      </c>
      <c r="BT1081" s="1" t="s">
        <v>902</v>
      </c>
      <c r="BX1081" s="36"/>
    </row>
    <row r="1082" spans="2:76" ht="14.25">
      <c r="B1082" s="36"/>
      <c r="C1082" s="36"/>
      <c r="D1082" s="36"/>
      <c r="E1082" s="36"/>
      <c r="F1082" s="36"/>
      <c r="G1082" s="36"/>
      <c r="H1082" s="36"/>
      <c r="J1082" s="36"/>
      <c r="L1082" s="1" t="str">
        <f t="shared" si="108"/>
        <v/>
      </c>
      <c r="M1082" s="94">
        <v>1077</v>
      </c>
      <c r="N1082" s="36" t="s">
        <v>2738</v>
      </c>
      <c r="O1082" s="95">
        <v>310784</v>
      </c>
      <c r="P1082" s="36"/>
      <c r="AI1082" s="122">
        <v>770</v>
      </c>
      <c r="AJ1082" s="1" t="s">
        <v>2430</v>
      </c>
      <c r="AK1082" s="1">
        <v>310477</v>
      </c>
      <c r="AL1082" s="1" t="s">
        <v>930</v>
      </c>
      <c r="AN1082" s="270">
        <v>176</v>
      </c>
      <c r="BS1082" s="1">
        <v>10709</v>
      </c>
      <c r="BT1082" s="1" t="s">
        <v>902</v>
      </c>
      <c r="BX1082" s="36"/>
    </row>
    <row r="1083" spans="2:76" ht="14.25">
      <c r="B1083" s="36"/>
      <c r="C1083" s="36"/>
      <c r="D1083" s="36"/>
      <c r="E1083" s="36"/>
      <c r="F1083" s="36"/>
      <c r="G1083" s="36"/>
      <c r="H1083" s="36"/>
      <c r="J1083" s="36"/>
      <c r="L1083" s="1" t="str">
        <f t="shared" si="108"/>
        <v/>
      </c>
      <c r="M1083" s="94">
        <v>1078</v>
      </c>
      <c r="N1083" s="36" t="s">
        <v>2739</v>
      </c>
      <c r="O1083" s="95">
        <v>310785</v>
      </c>
      <c r="P1083" s="36"/>
      <c r="AI1083" s="122">
        <v>771</v>
      </c>
      <c r="AJ1083" s="1" t="s">
        <v>2431</v>
      </c>
      <c r="AK1083" s="1">
        <v>310478</v>
      </c>
      <c r="AL1083" s="1" t="s">
        <v>115</v>
      </c>
      <c r="AN1083" s="270">
        <v>177</v>
      </c>
      <c r="BS1083" s="1">
        <v>10710</v>
      </c>
      <c r="BT1083" s="1" t="s">
        <v>902</v>
      </c>
      <c r="BX1083" s="36"/>
    </row>
    <row r="1084" spans="2:76" ht="14.25">
      <c r="B1084" s="36"/>
      <c r="C1084" s="36"/>
      <c r="D1084" s="36"/>
      <c r="E1084" s="36"/>
      <c r="F1084" s="36"/>
      <c r="G1084" s="36"/>
      <c r="H1084" s="36"/>
      <c r="J1084" s="36"/>
      <c r="L1084" s="1" t="str">
        <f t="shared" si="108"/>
        <v/>
      </c>
      <c r="M1084" s="94">
        <v>1079</v>
      </c>
      <c r="N1084" s="36" t="s">
        <v>2740</v>
      </c>
      <c r="O1084" s="95">
        <v>310786</v>
      </c>
      <c r="P1084" s="36"/>
      <c r="AI1084" s="122">
        <v>772</v>
      </c>
      <c r="AJ1084" s="1" t="s">
        <v>2432</v>
      </c>
      <c r="AK1084" s="1">
        <v>310479</v>
      </c>
      <c r="AL1084" s="1" t="s">
        <v>930</v>
      </c>
      <c r="AN1084" s="270">
        <v>178</v>
      </c>
      <c r="BS1084" s="1">
        <v>10711</v>
      </c>
      <c r="BT1084" s="1" t="s">
        <v>902</v>
      </c>
      <c r="BX1084" s="36"/>
    </row>
    <row r="1085" spans="2:76" ht="14.25">
      <c r="B1085" s="36"/>
      <c r="C1085" s="36"/>
      <c r="D1085" s="36"/>
      <c r="E1085" s="36"/>
      <c r="F1085" s="36"/>
      <c r="G1085" s="36"/>
      <c r="H1085" s="36"/>
      <c r="J1085" s="36"/>
      <c r="L1085" s="1" t="str">
        <f t="shared" si="108"/>
        <v/>
      </c>
      <c r="M1085" s="94">
        <v>1080</v>
      </c>
      <c r="N1085" s="36" t="s">
        <v>2741</v>
      </c>
      <c r="O1085" s="95">
        <v>310787</v>
      </c>
      <c r="P1085" s="36"/>
      <c r="AI1085" s="122">
        <v>773</v>
      </c>
      <c r="AJ1085" s="1" t="s">
        <v>2433</v>
      </c>
      <c r="AK1085" s="1">
        <v>310480</v>
      </c>
      <c r="AL1085" s="1" t="s">
        <v>115</v>
      </c>
      <c r="AN1085" s="270">
        <v>179</v>
      </c>
      <c r="BS1085" s="1">
        <v>10712</v>
      </c>
      <c r="BT1085" s="1" t="s">
        <v>902</v>
      </c>
      <c r="BX1085" s="36"/>
    </row>
    <row r="1086" spans="2:76" ht="14.25">
      <c r="B1086" s="36"/>
      <c r="C1086" s="36"/>
      <c r="D1086" s="36"/>
      <c r="E1086" s="36"/>
      <c r="F1086" s="36"/>
      <c r="G1086" s="36"/>
      <c r="H1086" s="36"/>
      <c r="J1086" s="36"/>
      <c r="L1086" s="1" t="str">
        <f t="shared" si="108"/>
        <v/>
      </c>
      <c r="M1086" s="94">
        <v>1081</v>
      </c>
      <c r="N1086" s="36" t="s">
        <v>2742</v>
      </c>
      <c r="O1086" s="95">
        <v>310788</v>
      </c>
      <c r="P1086" s="36"/>
      <c r="AI1086" s="122">
        <v>774</v>
      </c>
      <c r="AJ1086" s="1" t="s">
        <v>2434</v>
      </c>
      <c r="AK1086" s="1">
        <v>310481</v>
      </c>
      <c r="AL1086" s="1" t="s">
        <v>930</v>
      </c>
      <c r="AN1086" s="270">
        <v>180</v>
      </c>
      <c r="BS1086" s="1">
        <v>10713</v>
      </c>
      <c r="BT1086" s="1" t="s">
        <v>902</v>
      </c>
      <c r="BX1086" s="36"/>
    </row>
    <row r="1087" spans="2:76" ht="14.25">
      <c r="B1087" s="36"/>
      <c r="C1087" s="36"/>
      <c r="D1087" s="36"/>
      <c r="E1087" s="36"/>
      <c r="F1087" s="36"/>
      <c r="G1087" s="36"/>
      <c r="H1087" s="36"/>
      <c r="J1087" s="36"/>
      <c r="L1087" s="1" t="str">
        <f t="shared" si="108"/>
        <v/>
      </c>
      <c r="M1087" s="94">
        <v>1082</v>
      </c>
      <c r="N1087" s="36" t="s">
        <v>2743</v>
      </c>
      <c r="O1087" s="95">
        <v>310789</v>
      </c>
      <c r="P1087" s="36"/>
      <c r="AI1087" s="122">
        <v>775</v>
      </c>
      <c r="AJ1087" s="1" t="s">
        <v>2435</v>
      </c>
      <c r="AK1087" s="1">
        <v>310482</v>
      </c>
      <c r="AL1087" s="1" t="s">
        <v>115</v>
      </c>
      <c r="AN1087" s="270">
        <v>181</v>
      </c>
      <c r="BS1087" s="1">
        <v>10714</v>
      </c>
      <c r="BT1087" s="1" t="s">
        <v>902</v>
      </c>
      <c r="BX1087" s="36"/>
    </row>
    <row r="1088" spans="2:76" ht="14.25">
      <c r="B1088" s="36"/>
      <c r="C1088" s="36"/>
      <c r="D1088" s="36"/>
      <c r="E1088" s="36"/>
      <c r="F1088" s="36"/>
      <c r="G1088" s="36"/>
      <c r="H1088" s="36"/>
      <c r="J1088" s="36"/>
      <c r="L1088" s="1" t="str">
        <f t="shared" si="108"/>
        <v/>
      </c>
      <c r="M1088" s="94">
        <v>1083</v>
      </c>
      <c r="N1088" s="36" t="s">
        <v>2744</v>
      </c>
      <c r="O1088" s="95">
        <v>310790</v>
      </c>
      <c r="P1088" s="36"/>
      <c r="AI1088" s="122">
        <v>776</v>
      </c>
      <c r="AJ1088" s="1" t="s">
        <v>2436</v>
      </c>
      <c r="AK1088" s="1">
        <v>310483</v>
      </c>
      <c r="AL1088" s="1" t="s">
        <v>930</v>
      </c>
      <c r="AN1088" s="270">
        <v>182</v>
      </c>
      <c r="BS1088" s="1">
        <v>10715</v>
      </c>
      <c r="BT1088" s="1" t="s">
        <v>902</v>
      </c>
      <c r="BX1088" s="36"/>
    </row>
    <row r="1089" spans="2:76" ht="14.25">
      <c r="B1089" s="36"/>
      <c r="C1089" s="36"/>
      <c r="D1089" s="36"/>
      <c r="E1089" s="36"/>
      <c r="F1089" s="36"/>
      <c r="G1089" s="36"/>
      <c r="H1089" s="36"/>
      <c r="J1089" s="36"/>
      <c r="L1089" s="1" t="str">
        <f t="shared" si="108"/>
        <v/>
      </c>
      <c r="M1089" s="94">
        <v>1084</v>
      </c>
      <c r="N1089" s="36" t="s">
        <v>2745</v>
      </c>
      <c r="O1089" s="95">
        <v>310791</v>
      </c>
      <c r="P1089" s="36"/>
      <c r="AI1089" s="122">
        <v>777</v>
      </c>
      <c r="AJ1089" s="1" t="s">
        <v>2437</v>
      </c>
      <c r="AK1089" s="1">
        <v>310484</v>
      </c>
      <c r="AL1089" s="1" t="s">
        <v>930</v>
      </c>
      <c r="AN1089" s="270">
        <v>183</v>
      </c>
      <c r="BS1089" s="1">
        <v>10716</v>
      </c>
      <c r="BT1089" s="1" t="s">
        <v>902</v>
      </c>
      <c r="BX1089" s="36"/>
    </row>
    <row r="1090" spans="2:76" ht="14.25">
      <c r="B1090" s="36"/>
      <c r="C1090" s="36"/>
      <c r="D1090" s="36"/>
      <c r="E1090" s="36"/>
      <c r="F1090" s="36"/>
      <c r="G1090" s="36"/>
      <c r="H1090" s="36"/>
      <c r="J1090" s="36"/>
      <c r="L1090" s="1" t="str">
        <f t="shared" si="108"/>
        <v/>
      </c>
      <c r="M1090" s="94">
        <v>1085</v>
      </c>
      <c r="N1090" s="36" t="s">
        <v>2746</v>
      </c>
      <c r="O1090" s="95">
        <v>310792</v>
      </c>
      <c r="P1090" s="36"/>
      <c r="AI1090" s="122">
        <v>778</v>
      </c>
      <c r="AJ1090" s="1" t="s">
        <v>2438</v>
      </c>
      <c r="AK1090" s="1">
        <v>310485</v>
      </c>
      <c r="AL1090" s="1" t="s">
        <v>115</v>
      </c>
      <c r="AN1090" s="270">
        <v>184</v>
      </c>
      <c r="BS1090" s="1">
        <v>10717</v>
      </c>
      <c r="BT1090" s="1" t="s">
        <v>902</v>
      </c>
      <c r="BX1090" s="36"/>
    </row>
    <row r="1091" spans="2:76" ht="14.25">
      <c r="B1091" s="36"/>
      <c r="C1091" s="36"/>
      <c r="D1091" s="36"/>
      <c r="E1091" s="36"/>
      <c r="F1091" s="36"/>
      <c r="G1091" s="36"/>
      <c r="H1091" s="36"/>
      <c r="J1091" s="36"/>
      <c r="L1091" s="1" t="str">
        <f t="shared" si="108"/>
        <v/>
      </c>
      <c r="M1091" s="94">
        <v>1086</v>
      </c>
      <c r="N1091" s="36" t="s">
        <v>2747</v>
      </c>
      <c r="O1091" s="95">
        <v>310793</v>
      </c>
      <c r="P1091" s="36"/>
      <c r="AI1091" s="122">
        <v>779</v>
      </c>
      <c r="AJ1091" s="1" t="s">
        <v>2439</v>
      </c>
      <c r="AK1091" s="1">
        <v>310486</v>
      </c>
      <c r="AL1091" s="1" t="s">
        <v>930</v>
      </c>
      <c r="AN1091" s="270">
        <v>185</v>
      </c>
      <c r="BS1091" s="1">
        <v>10718</v>
      </c>
      <c r="BT1091" s="1" t="s">
        <v>902</v>
      </c>
      <c r="BX1091" s="36"/>
    </row>
    <row r="1092" spans="2:76" ht="14.25">
      <c r="B1092" s="36"/>
      <c r="C1092" s="36"/>
      <c r="D1092" s="36"/>
      <c r="E1092" s="36"/>
      <c r="F1092" s="36"/>
      <c r="G1092" s="36"/>
      <c r="H1092" s="36"/>
      <c r="J1092" s="36"/>
      <c r="L1092" s="1" t="str">
        <f t="shared" ref="L1092:L1155" si="109">IF(AND(MIN(I:I)&lt;20,MAX(I:I)&gt;980,I1092&lt;20),I1092,"")</f>
        <v/>
      </c>
      <c r="M1092" s="94">
        <v>1087</v>
      </c>
      <c r="N1092" s="36" t="s">
        <v>2748</v>
      </c>
      <c r="O1092" s="95">
        <v>310794</v>
      </c>
      <c r="P1092" s="36"/>
      <c r="AI1092" s="122">
        <v>780</v>
      </c>
      <c r="AJ1092" s="1" t="s">
        <v>2440</v>
      </c>
      <c r="AK1092" s="1">
        <v>310487</v>
      </c>
      <c r="AL1092" s="1" t="s">
        <v>115</v>
      </c>
      <c r="AN1092" s="270">
        <v>186</v>
      </c>
      <c r="BS1092" s="1">
        <v>10719</v>
      </c>
      <c r="BT1092" s="1" t="s">
        <v>902</v>
      </c>
      <c r="BX1092" s="36"/>
    </row>
    <row r="1093" spans="2:76" ht="14.25">
      <c r="B1093" s="36"/>
      <c r="C1093" s="36"/>
      <c r="D1093" s="36"/>
      <c r="E1093" s="36"/>
      <c r="F1093" s="36"/>
      <c r="G1093" s="36"/>
      <c r="H1093" s="36"/>
      <c r="J1093" s="36"/>
      <c r="L1093" s="1" t="str">
        <f t="shared" si="109"/>
        <v/>
      </c>
      <c r="M1093" s="94">
        <v>1088</v>
      </c>
      <c r="N1093" s="36" t="s">
        <v>2749</v>
      </c>
      <c r="O1093" s="95">
        <v>310795</v>
      </c>
      <c r="P1093" s="36"/>
      <c r="AI1093" s="122">
        <v>781</v>
      </c>
      <c r="AJ1093" s="1" t="s">
        <v>2441</v>
      </c>
      <c r="AK1093" s="1">
        <v>310488</v>
      </c>
      <c r="AL1093" s="1" t="s">
        <v>930</v>
      </c>
      <c r="AN1093" s="270">
        <v>187</v>
      </c>
      <c r="BS1093" s="1">
        <v>10720</v>
      </c>
      <c r="BT1093" s="1" t="s">
        <v>902</v>
      </c>
      <c r="BX1093" s="36"/>
    </row>
    <row r="1094" spans="2:76" ht="14.25">
      <c r="B1094" s="36"/>
      <c r="C1094" s="36"/>
      <c r="D1094" s="36"/>
      <c r="E1094" s="36"/>
      <c r="F1094" s="36"/>
      <c r="G1094" s="36"/>
      <c r="H1094" s="36"/>
      <c r="J1094" s="36"/>
      <c r="L1094" s="1" t="str">
        <f t="shared" si="109"/>
        <v/>
      </c>
      <c r="M1094" s="94">
        <v>1089</v>
      </c>
      <c r="N1094" s="36" t="s">
        <v>2750</v>
      </c>
      <c r="O1094" s="95">
        <v>310796</v>
      </c>
      <c r="P1094" s="36"/>
      <c r="AI1094" s="122">
        <v>782</v>
      </c>
      <c r="AJ1094" s="1" t="s">
        <v>2442</v>
      </c>
      <c r="AK1094" s="1">
        <v>310489</v>
      </c>
      <c r="AL1094" s="1" t="s">
        <v>115</v>
      </c>
      <c r="AN1094" s="270">
        <v>188</v>
      </c>
      <c r="BS1094" s="1">
        <v>10721</v>
      </c>
      <c r="BT1094" s="1" t="s">
        <v>902</v>
      </c>
      <c r="BX1094" s="36"/>
    </row>
    <row r="1095" spans="2:76" ht="14.25">
      <c r="B1095" s="36"/>
      <c r="C1095" s="36"/>
      <c r="D1095" s="36"/>
      <c r="E1095" s="36"/>
      <c r="F1095" s="36"/>
      <c r="G1095" s="36"/>
      <c r="H1095" s="36"/>
      <c r="J1095" s="36"/>
      <c r="L1095" s="1" t="str">
        <f t="shared" si="109"/>
        <v/>
      </c>
      <c r="M1095" s="94">
        <v>1090</v>
      </c>
      <c r="N1095" s="36" t="s">
        <v>2751</v>
      </c>
      <c r="O1095" s="95">
        <v>310797</v>
      </c>
      <c r="P1095" s="36"/>
      <c r="AI1095" s="122">
        <v>783</v>
      </c>
      <c r="AJ1095" s="1" t="s">
        <v>2443</v>
      </c>
      <c r="AK1095" s="1">
        <v>310490</v>
      </c>
      <c r="AL1095" s="1" t="s">
        <v>930</v>
      </c>
      <c r="AN1095" s="270">
        <v>189</v>
      </c>
      <c r="BS1095" s="1">
        <v>10722</v>
      </c>
      <c r="BT1095" s="1" t="s">
        <v>902</v>
      </c>
      <c r="BX1095" s="36"/>
    </row>
    <row r="1096" spans="2:76" ht="14.25">
      <c r="B1096" s="36"/>
      <c r="C1096" s="36"/>
      <c r="D1096" s="36"/>
      <c r="E1096" s="36"/>
      <c r="F1096" s="36"/>
      <c r="G1096" s="36"/>
      <c r="H1096" s="36"/>
      <c r="J1096" s="36"/>
      <c r="L1096" s="1" t="str">
        <f t="shared" si="109"/>
        <v/>
      </c>
      <c r="M1096" s="94">
        <v>1091</v>
      </c>
      <c r="N1096" s="36" t="s">
        <v>2752</v>
      </c>
      <c r="O1096" s="95">
        <v>310798</v>
      </c>
      <c r="P1096" s="36"/>
      <c r="AI1096" s="122">
        <v>784</v>
      </c>
      <c r="AJ1096" s="1" t="s">
        <v>2444</v>
      </c>
      <c r="AK1096" s="1">
        <v>310491</v>
      </c>
      <c r="AL1096" s="1" t="s">
        <v>115</v>
      </c>
      <c r="AN1096" s="270">
        <v>190</v>
      </c>
      <c r="BS1096" s="1">
        <v>10723</v>
      </c>
      <c r="BT1096" s="1" t="s">
        <v>902</v>
      </c>
      <c r="BX1096" s="36"/>
    </row>
    <row r="1097" spans="2:76" ht="14.25">
      <c r="B1097" s="36"/>
      <c r="C1097" s="36"/>
      <c r="D1097" s="36"/>
      <c r="E1097" s="36"/>
      <c r="F1097" s="36"/>
      <c r="G1097" s="36"/>
      <c r="H1097" s="36"/>
      <c r="J1097" s="36"/>
      <c r="L1097" s="1" t="str">
        <f t="shared" si="109"/>
        <v/>
      </c>
      <c r="M1097" s="94">
        <v>1092</v>
      </c>
      <c r="N1097" s="36" t="s">
        <v>2753</v>
      </c>
      <c r="O1097" s="95">
        <v>310799</v>
      </c>
      <c r="P1097" s="36"/>
      <c r="AI1097" s="122">
        <v>785</v>
      </c>
      <c r="AJ1097" s="1" t="s">
        <v>2445</v>
      </c>
      <c r="AK1097" s="1">
        <v>310492</v>
      </c>
      <c r="AL1097" s="1" t="s">
        <v>930</v>
      </c>
      <c r="AN1097" s="270">
        <v>191</v>
      </c>
      <c r="BS1097" s="1">
        <v>10724</v>
      </c>
      <c r="BT1097" s="1" t="s">
        <v>902</v>
      </c>
      <c r="BX1097" s="36"/>
    </row>
    <row r="1098" spans="2:76" ht="14.25">
      <c r="B1098" s="36"/>
      <c r="C1098" s="36"/>
      <c r="D1098" s="36"/>
      <c r="E1098" s="36"/>
      <c r="F1098" s="36"/>
      <c r="G1098" s="36"/>
      <c r="H1098" s="36"/>
      <c r="J1098" s="36"/>
      <c r="L1098" s="1" t="str">
        <f t="shared" si="109"/>
        <v/>
      </c>
      <c r="M1098" s="94">
        <v>1093</v>
      </c>
      <c r="N1098" s="36" t="s">
        <v>2754</v>
      </c>
      <c r="O1098" s="95">
        <v>310800</v>
      </c>
      <c r="P1098" s="36"/>
      <c r="AI1098" s="122">
        <v>786</v>
      </c>
      <c r="AJ1098" s="1" t="s">
        <v>2446</v>
      </c>
      <c r="AK1098" s="1">
        <v>310493</v>
      </c>
      <c r="AL1098" s="1" t="s">
        <v>930</v>
      </c>
      <c r="AN1098" s="270">
        <v>192</v>
      </c>
      <c r="BS1098" s="1">
        <v>10725</v>
      </c>
      <c r="BT1098" s="1" t="s">
        <v>902</v>
      </c>
      <c r="BX1098" s="36"/>
    </row>
    <row r="1099" spans="2:76" ht="14.25">
      <c r="B1099" s="36"/>
      <c r="C1099" s="36"/>
      <c r="D1099" s="36"/>
      <c r="E1099" s="36"/>
      <c r="F1099" s="36"/>
      <c r="G1099" s="36"/>
      <c r="H1099" s="36"/>
      <c r="J1099" s="36"/>
      <c r="L1099" s="1" t="str">
        <f t="shared" si="109"/>
        <v/>
      </c>
      <c r="M1099" s="94">
        <v>1094</v>
      </c>
      <c r="N1099" s="36" t="s">
        <v>2755</v>
      </c>
      <c r="O1099" s="95">
        <v>310801</v>
      </c>
      <c r="P1099" s="36"/>
      <c r="AI1099" s="122">
        <v>787</v>
      </c>
      <c r="AJ1099" s="1" t="s">
        <v>2447</v>
      </c>
      <c r="AK1099" s="1">
        <v>310494</v>
      </c>
      <c r="AL1099" s="1" t="s">
        <v>115</v>
      </c>
      <c r="AN1099" s="270">
        <v>193</v>
      </c>
      <c r="BS1099" s="1">
        <v>10726</v>
      </c>
      <c r="BT1099" s="1" t="s">
        <v>902</v>
      </c>
      <c r="BX1099" s="36"/>
    </row>
    <row r="1100" spans="2:76" ht="14.25">
      <c r="B1100" s="36"/>
      <c r="C1100" s="36"/>
      <c r="D1100" s="36"/>
      <c r="E1100" s="36"/>
      <c r="F1100" s="36"/>
      <c r="G1100" s="36"/>
      <c r="H1100" s="36"/>
      <c r="J1100" s="36"/>
      <c r="L1100" s="1" t="str">
        <f t="shared" si="109"/>
        <v/>
      </c>
      <c r="M1100" s="94">
        <v>1095</v>
      </c>
      <c r="N1100" s="36" t="s">
        <v>2756</v>
      </c>
      <c r="O1100" s="95">
        <v>310802</v>
      </c>
      <c r="P1100" s="36"/>
      <c r="AI1100" s="122">
        <v>788</v>
      </c>
      <c r="AJ1100" s="1" t="s">
        <v>2448</v>
      </c>
      <c r="AK1100" s="1">
        <v>310495</v>
      </c>
      <c r="AL1100" s="1" t="s">
        <v>930</v>
      </c>
      <c r="AN1100" s="270">
        <v>194</v>
      </c>
      <c r="BS1100" s="1">
        <v>10727</v>
      </c>
      <c r="BT1100" s="1" t="s">
        <v>902</v>
      </c>
      <c r="BX1100" s="36"/>
    </row>
    <row r="1101" spans="2:76" ht="14.25">
      <c r="B1101" s="36"/>
      <c r="C1101" s="36"/>
      <c r="D1101" s="36"/>
      <c r="E1101" s="36"/>
      <c r="F1101" s="36"/>
      <c r="G1101" s="36"/>
      <c r="H1101" s="36"/>
      <c r="J1101" s="36"/>
      <c r="L1101" s="1" t="str">
        <f t="shared" si="109"/>
        <v/>
      </c>
      <c r="M1101" s="94">
        <v>1096</v>
      </c>
      <c r="N1101" s="36" t="s">
        <v>2757</v>
      </c>
      <c r="O1101" s="95">
        <v>310803</v>
      </c>
      <c r="P1101" s="36"/>
      <c r="AI1101" s="122">
        <v>789</v>
      </c>
      <c r="AJ1101" s="1" t="s">
        <v>2449</v>
      </c>
      <c r="AK1101" s="1">
        <v>310496</v>
      </c>
      <c r="AL1101" s="1" t="s">
        <v>115</v>
      </c>
      <c r="AN1101" s="270">
        <v>195</v>
      </c>
      <c r="BS1101" s="1">
        <v>10728</v>
      </c>
      <c r="BT1101" s="1" t="s">
        <v>902</v>
      </c>
      <c r="BX1101" s="36"/>
    </row>
    <row r="1102" spans="2:76" ht="14.25">
      <c r="B1102" s="36"/>
      <c r="C1102" s="36"/>
      <c r="D1102" s="36"/>
      <c r="E1102" s="36"/>
      <c r="F1102" s="36"/>
      <c r="G1102" s="36"/>
      <c r="H1102" s="36"/>
      <c r="J1102" s="36"/>
      <c r="L1102" s="1" t="str">
        <f t="shared" si="109"/>
        <v/>
      </c>
      <c r="M1102" s="94">
        <v>1097</v>
      </c>
      <c r="N1102" s="36" t="s">
        <v>2758</v>
      </c>
      <c r="O1102" s="95">
        <v>310804</v>
      </c>
      <c r="P1102" s="36"/>
      <c r="AI1102" s="122">
        <v>790</v>
      </c>
      <c r="AJ1102" s="1" t="s">
        <v>2450</v>
      </c>
      <c r="AK1102" s="1">
        <v>310497</v>
      </c>
      <c r="AL1102" s="1" t="s">
        <v>930</v>
      </c>
      <c r="AN1102" s="270">
        <v>196</v>
      </c>
      <c r="BS1102" s="1">
        <v>10729</v>
      </c>
      <c r="BT1102" s="1" t="s">
        <v>902</v>
      </c>
      <c r="BX1102" s="36"/>
    </row>
    <row r="1103" spans="2:76" ht="14.25">
      <c r="B1103" s="36"/>
      <c r="C1103" s="36"/>
      <c r="D1103" s="36"/>
      <c r="E1103" s="36"/>
      <c r="F1103" s="36"/>
      <c r="G1103" s="36"/>
      <c r="H1103" s="36"/>
      <c r="J1103" s="36"/>
      <c r="L1103" s="1" t="str">
        <f t="shared" si="109"/>
        <v/>
      </c>
      <c r="M1103" s="94">
        <v>1098</v>
      </c>
      <c r="N1103" s="36" t="s">
        <v>2759</v>
      </c>
      <c r="O1103" s="95">
        <v>310805</v>
      </c>
      <c r="P1103" s="36"/>
      <c r="AI1103" s="122">
        <v>791</v>
      </c>
      <c r="AJ1103" s="1" t="s">
        <v>2451</v>
      </c>
      <c r="AK1103" s="1">
        <v>310498</v>
      </c>
      <c r="AL1103" s="1" t="s">
        <v>115</v>
      </c>
      <c r="AN1103" s="270">
        <v>197</v>
      </c>
      <c r="BS1103" s="1">
        <v>10730</v>
      </c>
      <c r="BT1103" s="1" t="s">
        <v>902</v>
      </c>
      <c r="BX1103" s="36"/>
    </row>
    <row r="1104" spans="2:76" ht="14.25">
      <c r="B1104" s="36"/>
      <c r="C1104" s="36"/>
      <c r="D1104" s="36"/>
      <c r="E1104" s="36"/>
      <c r="F1104" s="36"/>
      <c r="G1104" s="36"/>
      <c r="H1104" s="36"/>
      <c r="J1104" s="36"/>
      <c r="L1104" s="1" t="str">
        <f t="shared" si="109"/>
        <v/>
      </c>
      <c r="M1104" s="94">
        <v>1099</v>
      </c>
      <c r="N1104" s="36" t="s">
        <v>2760</v>
      </c>
      <c r="O1104" s="95">
        <v>310806</v>
      </c>
      <c r="P1104" s="36"/>
      <c r="AI1104" s="122">
        <v>792</v>
      </c>
      <c r="AJ1104" s="1" t="s">
        <v>2452</v>
      </c>
      <c r="AK1104" s="1">
        <v>310499</v>
      </c>
      <c r="AL1104" s="1" t="s">
        <v>930</v>
      </c>
      <c r="AN1104" s="270">
        <v>198</v>
      </c>
      <c r="BS1104" s="1">
        <v>10731</v>
      </c>
      <c r="BT1104" s="1" t="s">
        <v>902</v>
      </c>
      <c r="BX1104" s="36"/>
    </row>
    <row r="1105" spans="2:76" ht="14.25">
      <c r="B1105" s="36"/>
      <c r="C1105" s="36"/>
      <c r="D1105" s="36"/>
      <c r="E1105" s="36"/>
      <c r="F1105" s="36"/>
      <c r="G1105" s="36"/>
      <c r="H1105" s="36"/>
      <c r="J1105" s="36"/>
      <c r="L1105" s="1" t="str">
        <f t="shared" si="109"/>
        <v/>
      </c>
      <c r="M1105" s="94">
        <v>1100</v>
      </c>
      <c r="N1105" s="36" t="s">
        <v>2761</v>
      </c>
      <c r="O1105" s="95">
        <v>310807</v>
      </c>
      <c r="P1105" s="36"/>
      <c r="AI1105" s="122">
        <v>793</v>
      </c>
      <c r="AJ1105" s="1" t="s">
        <v>2453</v>
      </c>
      <c r="AK1105" s="1">
        <v>310500</v>
      </c>
      <c r="AL1105" s="1" t="s">
        <v>930</v>
      </c>
      <c r="AN1105" s="270">
        <v>199</v>
      </c>
      <c r="BS1105" s="1">
        <v>10732</v>
      </c>
      <c r="BT1105" s="1" t="s">
        <v>902</v>
      </c>
      <c r="BX1105" s="36"/>
    </row>
    <row r="1106" spans="2:76" ht="14.25">
      <c r="B1106" s="36"/>
      <c r="C1106" s="36"/>
      <c r="D1106" s="36"/>
      <c r="E1106" s="36"/>
      <c r="F1106" s="36"/>
      <c r="G1106" s="36"/>
      <c r="H1106" s="36"/>
      <c r="J1106" s="36"/>
      <c r="L1106" s="1" t="str">
        <f t="shared" si="109"/>
        <v/>
      </c>
      <c r="M1106" s="94">
        <v>1101</v>
      </c>
      <c r="N1106" s="36" t="s">
        <v>2762</v>
      </c>
      <c r="O1106" s="95">
        <v>310808</v>
      </c>
      <c r="P1106" s="36"/>
      <c r="AI1106" s="122">
        <v>794</v>
      </c>
      <c r="AJ1106" s="1" t="s">
        <v>2454</v>
      </c>
      <c r="AK1106" s="1">
        <v>310501</v>
      </c>
      <c r="AL1106" s="1" t="s">
        <v>115</v>
      </c>
      <c r="AN1106" s="270">
        <v>200</v>
      </c>
      <c r="BS1106" s="1">
        <v>10733</v>
      </c>
      <c r="BT1106" s="1" t="s">
        <v>902</v>
      </c>
      <c r="BX1106" s="36"/>
    </row>
    <row r="1107" spans="2:76" ht="14.25">
      <c r="B1107" s="36"/>
      <c r="C1107" s="36"/>
      <c r="D1107" s="36"/>
      <c r="E1107" s="36"/>
      <c r="F1107" s="36"/>
      <c r="G1107" s="36"/>
      <c r="H1107" s="36"/>
      <c r="J1107" s="36"/>
      <c r="L1107" s="1" t="str">
        <f t="shared" si="109"/>
        <v/>
      </c>
      <c r="M1107" s="94">
        <v>1102</v>
      </c>
      <c r="N1107" s="36" t="s">
        <v>2763</v>
      </c>
      <c r="O1107" s="95">
        <v>310809</v>
      </c>
      <c r="P1107" s="36"/>
      <c r="AI1107" s="122">
        <v>795</v>
      </c>
      <c r="AJ1107" s="1" t="s">
        <v>2455</v>
      </c>
      <c r="AK1107" s="1">
        <v>310502</v>
      </c>
      <c r="AL1107" s="1" t="s">
        <v>930</v>
      </c>
      <c r="AN1107" s="270">
        <v>201</v>
      </c>
      <c r="BS1107" s="1">
        <v>10734</v>
      </c>
      <c r="BT1107" s="1" t="s">
        <v>902</v>
      </c>
      <c r="BX1107" s="36"/>
    </row>
    <row r="1108" spans="2:76" ht="14.25">
      <c r="B1108" s="36"/>
      <c r="C1108" s="36"/>
      <c r="D1108" s="36"/>
      <c r="E1108" s="36"/>
      <c r="F1108" s="36"/>
      <c r="G1108" s="36"/>
      <c r="H1108" s="36"/>
      <c r="J1108" s="36"/>
      <c r="L1108" s="1" t="str">
        <f t="shared" si="109"/>
        <v/>
      </c>
      <c r="M1108" s="94">
        <v>1103</v>
      </c>
      <c r="N1108" s="36" t="s">
        <v>2764</v>
      </c>
      <c r="O1108" s="95">
        <v>310810</v>
      </c>
      <c r="P1108" s="36"/>
      <c r="AI1108" s="122">
        <v>796</v>
      </c>
      <c r="AJ1108" s="1" t="s">
        <v>2456</v>
      </c>
      <c r="AK1108" s="1">
        <v>310503</v>
      </c>
      <c r="AL1108" s="1" t="s">
        <v>115</v>
      </c>
      <c r="AN1108" s="270">
        <v>202</v>
      </c>
      <c r="BS1108" s="1">
        <v>10735</v>
      </c>
      <c r="BT1108" s="1" t="s">
        <v>902</v>
      </c>
      <c r="BX1108" s="36"/>
    </row>
    <row r="1109" spans="2:76" ht="14.25">
      <c r="B1109" s="36"/>
      <c r="C1109" s="36"/>
      <c r="D1109" s="36"/>
      <c r="E1109" s="36"/>
      <c r="F1109" s="36"/>
      <c r="G1109" s="36"/>
      <c r="H1109" s="36"/>
      <c r="J1109" s="36"/>
      <c r="L1109" s="1" t="str">
        <f t="shared" si="109"/>
        <v/>
      </c>
      <c r="M1109" s="94">
        <v>1104</v>
      </c>
      <c r="N1109" s="36" t="s">
        <v>2765</v>
      </c>
      <c r="O1109" s="95">
        <v>310811</v>
      </c>
      <c r="P1109" s="36"/>
      <c r="AI1109" s="122">
        <v>797</v>
      </c>
      <c r="AJ1109" s="1" t="s">
        <v>2457</v>
      </c>
      <c r="AK1109" s="1">
        <v>310504</v>
      </c>
      <c r="AL1109" s="1" t="s">
        <v>930</v>
      </c>
      <c r="AN1109" s="270">
        <v>203</v>
      </c>
      <c r="BS1109" s="1">
        <v>10736</v>
      </c>
      <c r="BT1109" s="1" t="s">
        <v>902</v>
      </c>
      <c r="BX1109" s="36"/>
    </row>
    <row r="1110" spans="2:76" ht="14.25">
      <c r="B1110" s="36"/>
      <c r="C1110" s="36"/>
      <c r="D1110" s="36"/>
      <c r="E1110" s="36"/>
      <c r="F1110" s="36"/>
      <c r="G1110" s="36"/>
      <c r="H1110" s="36"/>
      <c r="J1110" s="36"/>
      <c r="L1110" s="1" t="str">
        <f t="shared" si="109"/>
        <v/>
      </c>
      <c r="M1110" s="94">
        <v>1105</v>
      </c>
      <c r="N1110" s="36" t="s">
        <v>2766</v>
      </c>
      <c r="O1110" s="95">
        <v>310812</v>
      </c>
      <c r="P1110" s="36"/>
      <c r="AI1110" s="122">
        <v>798</v>
      </c>
      <c r="AJ1110" s="1" t="s">
        <v>2458</v>
      </c>
      <c r="AK1110" s="1">
        <v>310505</v>
      </c>
      <c r="AL1110" s="1" t="s">
        <v>115</v>
      </c>
      <c r="AN1110" s="270">
        <v>204</v>
      </c>
      <c r="BS1110" s="1">
        <v>10737</v>
      </c>
      <c r="BT1110" s="1" t="s">
        <v>902</v>
      </c>
      <c r="BX1110" s="36"/>
    </row>
    <row r="1111" spans="2:76" ht="14.25">
      <c r="B1111" s="36"/>
      <c r="C1111" s="36"/>
      <c r="D1111" s="36"/>
      <c r="E1111" s="36"/>
      <c r="F1111" s="36"/>
      <c r="G1111" s="36"/>
      <c r="H1111" s="36"/>
      <c r="J1111" s="36"/>
      <c r="L1111" s="1" t="str">
        <f t="shared" si="109"/>
        <v/>
      </c>
      <c r="M1111" s="94">
        <v>1106</v>
      </c>
      <c r="N1111" s="36" t="s">
        <v>2767</v>
      </c>
      <c r="O1111" s="95">
        <v>310813</v>
      </c>
      <c r="P1111" s="36"/>
      <c r="AI1111" s="122">
        <v>799</v>
      </c>
      <c r="AJ1111" s="1" t="s">
        <v>2459</v>
      </c>
      <c r="AK1111" s="1">
        <v>310506</v>
      </c>
      <c r="AL1111" s="1" t="s">
        <v>930</v>
      </c>
      <c r="AN1111" s="270">
        <v>205</v>
      </c>
      <c r="BS1111" s="1">
        <v>10738</v>
      </c>
      <c r="BT1111" s="1" t="s">
        <v>902</v>
      </c>
      <c r="BX1111" s="36"/>
    </row>
    <row r="1112" spans="2:76" ht="14.25">
      <c r="B1112" s="36"/>
      <c r="C1112" s="36"/>
      <c r="D1112" s="36"/>
      <c r="E1112" s="36"/>
      <c r="F1112" s="36"/>
      <c r="G1112" s="36"/>
      <c r="H1112" s="36"/>
      <c r="J1112" s="36"/>
      <c r="L1112" s="1" t="str">
        <f t="shared" si="109"/>
        <v/>
      </c>
      <c r="M1112" s="94">
        <v>1107</v>
      </c>
      <c r="N1112" s="36" t="s">
        <v>2768</v>
      </c>
      <c r="O1112" s="95">
        <v>310814</v>
      </c>
      <c r="P1112" s="36"/>
      <c r="AI1112" s="122">
        <v>800</v>
      </c>
      <c r="AJ1112" s="1" t="s">
        <v>2460</v>
      </c>
      <c r="AK1112" s="1">
        <v>310507</v>
      </c>
      <c r="AL1112" s="1" t="s">
        <v>930</v>
      </c>
      <c r="AN1112" s="270">
        <v>206</v>
      </c>
      <c r="BS1112" s="1">
        <v>10739</v>
      </c>
      <c r="BT1112" s="1" t="s">
        <v>902</v>
      </c>
      <c r="BX1112" s="36"/>
    </row>
    <row r="1113" spans="2:76" ht="14.25">
      <c r="B1113" s="36"/>
      <c r="C1113" s="36"/>
      <c r="D1113" s="36"/>
      <c r="E1113" s="36"/>
      <c r="F1113" s="36"/>
      <c r="G1113" s="36"/>
      <c r="H1113" s="36"/>
      <c r="J1113" s="36"/>
      <c r="L1113" s="1" t="str">
        <f t="shared" si="109"/>
        <v/>
      </c>
      <c r="M1113" s="94">
        <v>1108</v>
      </c>
      <c r="N1113" s="36" t="s">
        <v>2769</v>
      </c>
      <c r="O1113" s="95">
        <v>310815</v>
      </c>
      <c r="P1113" s="36"/>
      <c r="AI1113" s="122">
        <v>801</v>
      </c>
      <c r="AJ1113" s="1" t="s">
        <v>2461</v>
      </c>
      <c r="AK1113" s="1">
        <v>310508</v>
      </c>
      <c r="AL1113" s="1" t="s">
        <v>115</v>
      </c>
      <c r="AN1113" s="270">
        <v>207</v>
      </c>
      <c r="BS1113" s="1">
        <v>10740</v>
      </c>
      <c r="BT1113" s="1" t="s">
        <v>902</v>
      </c>
      <c r="BX1113" s="36"/>
    </row>
    <row r="1114" spans="2:76" ht="14.25">
      <c r="B1114" s="36"/>
      <c r="C1114" s="36"/>
      <c r="D1114" s="36"/>
      <c r="E1114" s="36"/>
      <c r="F1114" s="36"/>
      <c r="G1114" s="36"/>
      <c r="H1114" s="36"/>
      <c r="J1114" s="36"/>
      <c r="L1114" s="1" t="str">
        <f t="shared" si="109"/>
        <v/>
      </c>
      <c r="M1114" s="94">
        <v>1109</v>
      </c>
      <c r="N1114" s="36" t="s">
        <v>2770</v>
      </c>
      <c r="O1114" s="95">
        <v>310816</v>
      </c>
      <c r="P1114" s="36"/>
      <c r="AI1114" s="122">
        <v>802</v>
      </c>
      <c r="AJ1114" s="1" t="s">
        <v>2462</v>
      </c>
      <c r="AK1114" s="1">
        <v>310509</v>
      </c>
      <c r="AL1114" s="1" t="s">
        <v>930</v>
      </c>
      <c r="AN1114" s="270">
        <v>208</v>
      </c>
      <c r="BS1114" s="1">
        <v>10741</v>
      </c>
      <c r="BT1114" s="1" t="s">
        <v>902</v>
      </c>
      <c r="BX1114" s="36"/>
    </row>
    <row r="1115" spans="2:76" ht="14.25">
      <c r="B1115" s="36"/>
      <c r="C1115" s="36"/>
      <c r="D1115" s="36"/>
      <c r="E1115" s="36"/>
      <c r="F1115" s="36"/>
      <c r="G1115" s="36"/>
      <c r="H1115" s="36"/>
      <c r="J1115" s="36"/>
      <c r="L1115" s="1" t="str">
        <f t="shared" si="109"/>
        <v/>
      </c>
      <c r="M1115" s="94">
        <v>1110</v>
      </c>
      <c r="N1115" s="36" t="s">
        <v>2771</v>
      </c>
      <c r="O1115" s="95">
        <v>310817</v>
      </c>
      <c r="P1115" s="36"/>
      <c r="AI1115" s="122">
        <v>803</v>
      </c>
      <c r="AJ1115" s="1" t="s">
        <v>2463</v>
      </c>
      <c r="AK1115" s="1">
        <v>310510</v>
      </c>
      <c r="AL1115" s="1" t="s">
        <v>115</v>
      </c>
      <c r="AN1115" s="270">
        <v>209</v>
      </c>
      <c r="BS1115" s="1">
        <v>10742</v>
      </c>
      <c r="BT1115" s="1" t="s">
        <v>902</v>
      </c>
      <c r="BX1115" s="36"/>
    </row>
    <row r="1116" spans="2:76" ht="14.25">
      <c r="B1116" s="36"/>
      <c r="C1116" s="36"/>
      <c r="D1116" s="36"/>
      <c r="E1116" s="36"/>
      <c r="F1116" s="36"/>
      <c r="G1116" s="36"/>
      <c r="H1116" s="36"/>
      <c r="J1116" s="36"/>
      <c r="L1116" s="1" t="str">
        <f t="shared" si="109"/>
        <v/>
      </c>
      <c r="M1116" s="94">
        <v>1111</v>
      </c>
      <c r="N1116" s="36" t="s">
        <v>2772</v>
      </c>
      <c r="O1116" s="95">
        <v>310818</v>
      </c>
      <c r="P1116" s="36"/>
      <c r="AI1116" s="122">
        <v>804</v>
      </c>
      <c r="AJ1116" s="1" t="s">
        <v>2464</v>
      </c>
      <c r="AK1116" s="1">
        <v>310511</v>
      </c>
      <c r="AL1116" s="1" t="s">
        <v>930</v>
      </c>
      <c r="AN1116" s="270">
        <v>210</v>
      </c>
      <c r="BS1116" s="1">
        <v>10743</v>
      </c>
      <c r="BT1116" s="1" t="s">
        <v>902</v>
      </c>
      <c r="BX1116" s="36"/>
    </row>
    <row r="1117" spans="2:76" ht="14.25">
      <c r="B1117" s="36"/>
      <c r="C1117" s="36"/>
      <c r="D1117" s="36"/>
      <c r="E1117" s="36"/>
      <c r="F1117" s="36"/>
      <c r="G1117" s="36"/>
      <c r="H1117" s="36"/>
      <c r="J1117" s="36"/>
      <c r="L1117" s="1" t="str">
        <f t="shared" si="109"/>
        <v/>
      </c>
      <c r="M1117" s="94">
        <v>1112</v>
      </c>
      <c r="N1117" s="36" t="s">
        <v>2773</v>
      </c>
      <c r="O1117" s="95">
        <v>310819</v>
      </c>
      <c r="P1117" s="36"/>
      <c r="AI1117" s="122">
        <v>805</v>
      </c>
      <c r="AJ1117" s="1" t="s">
        <v>2465</v>
      </c>
      <c r="AK1117" s="1">
        <v>310512</v>
      </c>
      <c r="AL1117" s="1" t="s">
        <v>115</v>
      </c>
      <c r="AN1117" s="270">
        <v>211</v>
      </c>
      <c r="BS1117" s="1">
        <v>10744</v>
      </c>
      <c r="BT1117" s="1" t="s">
        <v>902</v>
      </c>
      <c r="BX1117" s="36"/>
    </row>
    <row r="1118" spans="2:76" ht="14.25">
      <c r="B1118" s="36"/>
      <c r="C1118" s="36"/>
      <c r="D1118" s="36"/>
      <c r="E1118" s="36"/>
      <c r="F1118" s="36"/>
      <c r="G1118" s="36"/>
      <c r="H1118" s="36"/>
      <c r="J1118" s="36"/>
      <c r="L1118" s="1" t="str">
        <f t="shared" si="109"/>
        <v/>
      </c>
      <c r="M1118" s="94">
        <v>1113</v>
      </c>
      <c r="N1118" s="36" t="s">
        <v>2774</v>
      </c>
      <c r="O1118" s="95">
        <v>310820</v>
      </c>
      <c r="P1118" s="36"/>
      <c r="AI1118" s="122">
        <v>806</v>
      </c>
      <c r="AJ1118" s="1" t="s">
        <v>2466</v>
      </c>
      <c r="AK1118" s="1">
        <v>310513</v>
      </c>
      <c r="AL1118" s="1" t="s">
        <v>930</v>
      </c>
      <c r="AN1118" s="270">
        <v>212</v>
      </c>
      <c r="BS1118" s="1">
        <v>10745</v>
      </c>
      <c r="BT1118" s="1" t="s">
        <v>902</v>
      </c>
      <c r="BX1118" s="36"/>
    </row>
    <row r="1119" spans="2:76" ht="14.25">
      <c r="B1119" s="36"/>
      <c r="C1119" s="36"/>
      <c r="D1119" s="36"/>
      <c r="E1119" s="36"/>
      <c r="F1119" s="36"/>
      <c r="G1119" s="36"/>
      <c r="H1119" s="36"/>
      <c r="J1119" s="36"/>
      <c r="L1119" s="1" t="str">
        <f t="shared" si="109"/>
        <v/>
      </c>
      <c r="M1119" s="94">
        <v>1114</v>
      </c>
      <c r="N1119" s="36" t="s">
        <v>2775</v>
      </c>
      <c r="O1119" s="95">
        <v>310821</v>
      </c>
      <c r="P1119" s="36"/>
      <c r="AI1119" s="122">
        <v>807</v>
      </c>
      <c r="AJ1119" s="1" t="s">
        <v>2467</v>
      </c>
      <c r="AK1119" s="1">
        <v>310514</v>
      </c>
      <c r="AL1119" s="1" t="s">
        <v>115</v>
      </c>
      <c r="AN1119" s="270">
        <v>213</v>
      </c>
      <c r="BS1119" s="1">
        <v>10746</v>
      </c>
      <c r="BT1119" s="1" t="s">
        <v>902</v>
      </c>
      <c r="BX1119" s="36"/>
    </row>
    <row r="1120" spans="2:76" ht="14.25">
      <c r="B1120" s="36"/>
      <c r="C1120" s="36"/>
      <c r="D1120" s="36"/>
      <c r="E1120" s="36"/>
      <c r="F1120" s="36"/>
      <c r="G1120" s="36"/>
      <c r="H1120" s="36"/>
      <c r="J1120" s="36"/>
      <c r="L1120" s="1" t="str">
        <f t="shared" si="109"/>
        <v/>
      </c>
      <c r="M1120" s="94">
        <v>1115</v>
      </c>
      <c r="N1120" s="36" t="s">
        <v>2776</v>
      </c>
      <c r="O1120" s="95">
        <v>310822</v>
      </c>
      <c r="P1120" s="36"/>
      <c r="AI1120" s="122">
        <v>808</v>
      </c>
      <c r="AJ1120" s="1" t="s">
        <v>2468</v>
      </c>
      <c r="AK1120" s="1">
        <v>310515</v>
      </c>
      <c r="AL1120" s="1" t="s">
        <v>930</v>
      </c>
      <c r="AN1120" s="270">
        <v>214</v>
      </c>
      <c r="BS1120" s="1">
        <v>10747</v>
      </c>
      <c r="BT1120" s="1" t="s">
        <v>902</v>
      </c>
      <c r="BX1120" s="36"/>
    </row>
    <row r="1121" spans="2:76" ht="14.25">
      <c r="B1121" s="36"/>
      <c r="C1121" s="36"/>
      <c r="D1121" s="36"/>
      <c r="E1121" s="36"/>
      <c r="F1121" s="36"/>
      <c r="G1121" s="36"/>
      <c r="H1121" s="36"/>
      <c r="J1121" s="36"/>
      <c r="L1121" s="1" t="str">
        <f t="shared" si="109"/>
        <v/>
      </c>
      <c r="M1121" s="94">
        <v>1116</v>
      </c>
      <c r="N1121" s="36" t="s">
        <v>2777</v>
      </c>
      <c r="O1121" s="95">
        <v>310823</v>
      </c>
      <c r="P1121" s="36"/>
      <c r="AI1121" s="122">
        <v>809</v>
      </c>
      <c r="AJ1121" s="1" t="s">
        <v>2469</v>
      </c>
      <c r="AK1121" s="1">
        <v>310516</v>
      </c>
      <c r="AL1121" s="1" t="s">
        <v>930</v>
      </c>
      <c r="AN1121" s="270">
        <v>215</v>
      </c>
      <c r="BS1121" s="1">
        <v>10748</v>
      </c>
      <c r="BT1121" s="1" t="s">
        <v>902</v>
      </c>
      <c r="BX1121" s="36"/>
    </row>
    <row r="1122" spans="2:76" ht="14.25">
      <c r="B1122" s="36"/>
      <c r="C1122" s="36"/>
      <c r="D1122" s="36"/>
      <c r="E1122" s="36"/>
      <c r="F1122" s="36"/>
      <c r="G1122" s="36"/>
      <c r="H1122" s="36"/>
      <c r="J1122" s="36"/>
      <c r="L1122" s="1" t="str">
        <f t="shared" si="109"/>
        <v/>
      </c>
      <c r="M1122" s="94">
        <v>1117</v>
      </c>
      <c r="N1122" s="36" t="s">
        <v>2778</v>
      </c>
      <c r="O1122" s="95">
        <v>310824</v>
      </c>
      <c r="P1122" s="36"/>
      <c r="AI1122" s="122">
        <v>810</v>
      </c>
      <c r="AJ1122" s="1" t="s">
        <v>2470</v>
      </c>
      <c r="AK1122" s="1">
        <v>310517</v>
      </c>
      <c r="AL1122" s="1" t="s">
        <v>115</v>
      </c>
      <c r="AN1122" s="270">
        <v>216</v>
      </c>
      <c r="BS1122" s="1">
        <v>10749</v>
      </c>
      <c r="BT1122" s="1" t="s">
        <v>902</v>
      </c>
      <c r="BX1122" s="36"/>
    </row>
    <row r="1123" spans="2:76" ht="14.25">
      <c r="B1123" s="36"/>
      <c r="C1123" s="36"/>
      <c r="D1123" s="36"/>
      <c r="E1123" s="36"/>
      <c r="F1123" s="36"/>
      <c r="G1123" s="36"/>
      <c r="H1123" s="36"/>
      <c r="J1123" s="36"/>
      <c r="L1123" s="1" t="str">
        <f t="shared" si="109"/>
        <v/>
      </c>
      <c r="M1123" s="94">
        <v>1118</v>
      </c>
      <c r="N1123" s="36" t="s">
        <v>2779</v>
      </c>
      <c r="O1123" s="95">
        <v>310825</v>
      </c>
      <c r="P1123" s="36"/>
      <c r="AI1123" s="122">
        <v>811</v>
      </c>
      <c r="AJ1123" s="1" t="s">
        <v>2471</v>
      </c>
      <c r="AK1123" s="1">
        <v>310518</v>
      </c>
      <c r="AL1123" s="1" t="s">
        <v>930</v>
      </c>
      <c r="AN1123" s="270">
        <v>217</v>
      </c>
      <c r="BS1123" s="1">
        <v>10750</v>
      </c>
      <c r="BT1123" s="1" t="s">
        <v>902</v>
      </c>
      <c r="BX1123" s="36"/>
    </row>
    <row r="1124" spans="2:76" ht="14.25">
      <c r="B1124" s="36"/>
      <c r="C1124" s="36"/>
      <c r="D1124" s="36"/>
      <c r="E1124" s="36"/>
      <c r="F1124" s="36"/>
      <c r="G1124" s="36"/>
      <c r="H1124" s="36"/>
      <c r="J1124" s="36"/>
      <c r="L1124" s="1" t="str">
        <f t="shared" si="109"/>
        <v/>
      </c>
      <c r="M1124" s="94">
        <v>1119</v>
      </c>
      <c r="N1124" s="36" t="s">
        <v>2780</v>
      </c>
      <c r="O1124" s="95">
        <v>310826</v>
      </c>
      <c r="P1124" s="36"/>
      <c r="AI1124" s="122">
        <v>812</v>
      </c>
      <c r="AJ1124" s="1" t="s">
        <v>2472</v>
      </c>
      <c r="AK1124" s="1">
        <v>310519</v>
      </c>
      <c r="AL1124" s="1" t="s">
        <v>115</v>
      </c>
      <c r="AN1124" s="270">
        <v>218</v>
      </c>
      <c r="BS1124" s="1">
        <v>10751</v>
      </c>
      <c r="BT1124" s="1" t="s">
        <v>902</v>
      </c>
      <c r="BX1124" s="36"/>
    </row>
    <row r="1125" spans="2:76" ht="14.25">
      <c r="B1125" s="36"/>
      <c r="C1125" s="36"/>
      <c r="D1125" s="36"/>
      <c r="E1125" s="36"/>
      <c r="F1125" s="36"/>
      <c r="G1125" s="36"/>
      <c r="H1125" s="36"/>
      <c r="J1125" s="36"/>
      <c r="L1125" s="1" t="str">
        <f t="shared" si="109"/>
        <v/>
      </c>
      <c r="M1125" s="94">
        <v>1120</v>
      </c>
      <c r="N1125" s="36" t="s">
        <v>2781</v>
      </c>
      <c r="O1125" s="95">
        <v>310827</v>
      </c>
      <c r="P1125" s="36"/>
      <c r="AI1125" s="122">
        <v>813</v>
      </c>
      <c r="AJ1125" s="1" t="s">
        <v>2473</v>
      </c>
      <c r="AK1125" s="1">
        <v>310520</v>
      </c>
      <c r="AL1125" s="1" t="s">
        <v>930</v>
      </c>
      <c r="AN1125" s="270">
        <v>219</v>
      </c>
      <c r="BS1125" s="1">
        <v>10752</v>
      </c>
      <c r="BT1125" s="1" t="s">
        <v>902</v>
      </c>
      <c r="BX1125" s="36"/>
    </row>
    <row r="1126" spans="2:76" ht="14.25">
      <c r="B1126" s="36"/>
      <c r="C1126" s="36"/>
      <c r="D1126" s="36"/>
      <c r="E1126" s="36"/>
      <c r="F1126" s="36"/>
      <c r="G1126" s="36"/>
      <c r="H1126" s="36"/>
      <c r="J1126" s="36"/>
      <c r="L1126" s="1" t="str">
        <f t="shared" si="109"/>
        <v/>
      </c>
      <c r="M1126" s="94">
        <v>1121</v>
      </c>
      <c r="N1126" s="36" t="s">
        <v>2782</v>
      </c>
      <c r="O1126" s="95">
        <v>310828</v>
      </c>
      <c r="P1126" s="36"/>
      <c r="AI1126" s="122">
        <v>814</v>
      </c>
      <c r="AJ1126" s="1" t="s">
        <v>2474</v>
      </c>
      <c r="AK1126" s="1">
        <v>310521</v>
      </c>
      <c r="AL1126" s="1" t="s">
        <v>115</v>
      </c>
      <c r="AN1126" s="270">
        <v>220</v>
      </c>
      <c r="BS1126" s="1">
        <v>10753</v>
      </c>
      <c r="BT1126" s="1" t="s">
        <v>902</v>
      </c>
      <c r="BX1126" s="36"/>
    </row>
    <row r="1127" spans="2:76" ht="14.25">
      <c r="B1127" s="36"/>
      <c r="C1127" s="36"/>
      <c r="D1127" s="36"/>
      <c r="E1127" s="36"/>
      <c r="F1127" s="36"/>
      <c r="G1127" s="36"/>
      <c r="H1127" s="36"/>
      <c r="J1127" s="36"/>
      <c r="L1127" s="1" t="str">
        <f t="shared" si="109"/>
        <v/>
      </c>
      <c r="M1127" s="94">
        <v>1122</v>
      </c>
      <c r="N1127" s="36" t="s">
        <v>2783</v>
      </c>
      <c r="O1127" s="95">
        <v>310829</v>
      </c>
      <c r="P1127" s="36"/>
      <c r="AI1127" s="122">
        <v>815</v>
      </c>
      <c r="AJ1127" s="1" t="s">
        <v>2475</v>
      </c>
      <c r="AK1127" s="1">
        <v>310522</v>
      </c>
      <c r="AL1127" s="1" t="s">
        <v>930</v>
      </c>
      <c r="AN1127" s="270">
        <v>221</v>
      </c>
      <c r="BS1127" s="1">
        <v>10754</v>
      </c>
      <c r="BT1127" s="1" t="s">
        <v>902</v>
      </c>
      <c r="BX1127" s="36"/>
    </row>
    <row r="1128" spans="2:76" ht="14.25">
      <c r="B1128" s="36"/>
      <c r="C1128" s="36"/>
      <c r="D1128" s="36"/>
      <c r="E1128" s="36"/>
      <c r="F1128" s="36"/>
      <c r="G1128" s="36"/>
      <c r="H1128" s="36"/>
      <c r="J1128" s="36"/>
      <c r="L1128" s="1" t="str">
        <f t="shared" si="109"/>
        <v/>
      </c>
      <c r="M1128" s="94">
        <v>1123</v>
      </c>
      <c r="N1128" s="36" t="s">
        <v>2784</v>
      </c>
      <c r="O1128" s="95">
        <v>310830</v>
      </c>
      <c r="P1128" s="36"/>
      <c r="AI1128" s="122">
        <v>816</v>
      </c>
      <c r="AJ1128" s="1" t="s">
        <v>2476</v>
      </c>
      <c r="AK1128" s="1">
        <v>310523</v>
      </c>
      <c r="AL1128" s="1" t="s">
        <v>930</v>
      </c>
      <c r="AN1128" s="270">
        <v>222</v>
      </c>
      <c r="BS1128" s="1">
        <v>10755</v>
      </c>
      <c r="BT1128" s="1" t="s">
        <v>902</v>
      </c>
      <c r="BX1128" s="36"/>
    </row>
    <row r="1129" spans="2:76" ht="14.25">
      <c r="B1129" s="36"/>
      <c r="C1129" s="36"/>
      <c r="D1129" s="36"/>
      <c r="E1129" s="36"/>
      <c r="F1129" s="36"/>
      <c r="G1129" s="36"/>
      <c r="H1129" s="36"/>
      <c r="J1129" s="36"/>
      <c r="L1129" s="1" t="str">
        <f t="shared" si="109"/>
        <v/>
      </c>
      <c r="M1129" s="94">
        <v>1124</v>
      </c>
      <c r="N1129" s="36" t="s">
        <v>2785</v>
      </c>
      <c r="O1129" s="95">
        <v>310831</v>
      </c>
      <c r="P1129" s="36"/>
      <c r="AI1129" s="122">
        <v>817</v>
      </c>
      <c r="AJ1129" s="1" t="s">
        <v>2477</v>
      </c>
      <c r="AK1129" s="1">
        <v>310524</v>
      </c>
      <c r="AL1129" s="1" t="s">
        <v>115</v>
      </c>
      <c r="AN1129" s="270">
        <v>223</v>
      </c>
      <c r="BS1129" s="1">
        <v>10756</v>
      </c>
      <c r="BT1129" s="1" t="s">
        <v>902</v>
      </c>
      <c r="BX1129" s="36"/>
    </row>
    <row r="1130" spans="2:76" ht="14.25">
      <c r="B1130" s="36"/>
      <c r="C1130" s="36"/>
      <c r="D1130" s="36"/>
      <c r="E1130" s="36"/>
      <c r="F1130" s="36"/>
      <c r="G1130" s="36"/>
      <c r="H1130" s="36"/>
      <c r="J1130" s="36"/>
      <c r="L1130" s="1" t="str">
        <f t="shared" si="109"/>
        <v/>
      </c>
      <c r="M1130" s="94">
        <v>1125</v>
      </c>
      <c r="N1130" s="36" t="s">
        <v>2786</v>
      </c>
      <c r="O1130" s="95">
        <v>310832</v>
      </c>
      <c r="P1130" s="36"/>
      <c r="AI1130" s="122">
        <v>818</v>
      </c>
      <c r="AJ1130" s="1" t="s">
        <v>2478</v>
      </c>
      <c r="AK1130" s="1">
        <v>310525</v>
      </c>
      <c r="AL1130" s="1" t="s">
        <v>930</v>
      </c>
      <c r="AN1130" s="270">
        <v>224</v>
      </c>
      <c r="BS1130" s="1">
        <v>10757</v>
      </c>
      <c r="BT1130" s="1" t="s">
        <v>902</v>
      </c>
      <c r="BX1130" s="36"/>
    </row>
    <row r="1131" spans="2:76" ht="14.25">
      <c r="B1131" s="36"/>
      <c r="C1131" s="36"/>
      <c r="D1131" s="36"/>
      <c r="E1131" s="36"/>
      <c r="F1131" s="36"/>
      <c r="G1131" s="36"/>
      <c r="H1131" s="36"/>
      <c r="J1131" s="36"/>
      <c r="L1131" s="1" t="str">
        <f t="shared" si="109"/>
        <v/>
      </c>
      <c r="M1131" s="94">
        <v>1126</v>
      </c>
      <c r="N1131" s="36" t="s">
        <v>2787</v>
      </c>
      <c r="O1131" s="95">
        <v>310833</v>
      </c>
      <c r="P1131" s="36"/>
      <c r="AI1131" s="122">
        <v>819</v>
      </c>
      <c r="AJ1131" s="1" t="s">
        <v>2479</v>
      </c>
      <c r="AK1131" s="1">
        <v>310526</v>
      </c>
      <c r="AL1131" s="1" t="s">
        <v>115</v>
      </c>
      <c r="AN1131" s="270">
        <v>225</v>
      </c>
      <c r="BS1131" s="1">
        <v>10758</v>
      </c>
      <c r="BT1131" s="1" t="s">
        <v>902</v>
      </c>
      <c r="BX1131" s="36"/>
    </row>
    <row r="1132" spans="2:76" ht="14.25">
      <c r="B1132" s="36"/>
      <c r="C1132" s="36"/>
      <c r="D1132" s="36"/>
      <c r="E1132" s="36"/>
      <c r="F1132" s="36"/>
      <c r="G1132" s="36"/>
      <c r="H1132" s="36"/>
      <c r="J1132" s="36"/>
      <c r="L1132" s="1" t="str">
        <f t="shared" si="109"/>
        <v/>
      </c>
      <c r="M1132" s="94">
        <v>1127</v>
      </c>
      <c r="N1132" s="36" t="s">
        <v>2788</v>
      </c>
      <c r="O1132" s="95">
        <v>310834</v>
      </c>
      <c r="P1132" s="36"/>
      <c r="AI1132" s="122">
        <v>820</v>
      </c>
      <c r="AJ1132" s="1" t="s">
        <v>2480</v>
      </c>
      <c r="AK1132" s="1">
        <v>310527</v>
      </c>
      <c r="AL1132" s="1" t="s">
        <v>930</v>
      </c>
      <c r="AN1132" s="270">
        <v>226</v>
      </c>
      <c r="BS1132" s="1">
        <v>10759</v>
      </c>
      <c r="BT1132" s="1" t="s">
        <v>902</v>
      </c>
      <c r="BX1132" s="36"/>
    </row>
    <row r="1133" spans="2:76" ht="14.25">
      <c r="B1133" s="36"/>
      <c r="C1133" s="36"/>
      <c r="D1133" s="36"/>
      <c r="E1133" s="36"/>
      <c r="F1133" s="36"/>
      <c r="G1133" s="36"/>
      <c r="H1133" s="36"/>
      <c r="J1133" s="36"/>
      <c r="L1133" s="1" t="str">
        <f t="shared" si="109"/>
        <v/>
      </c>
      <c r="M1133" s="94">
        <v>1128</v>
      </c>
      <c r="N1133" s="36" t="s">
        <v>2789</v>
      </c>
      <c r="O1133" s="95">
        <v>310835</v>
      </c>
      <c r="P1133" s="36"/>
      <c r="AI1133" s="122">
        <v>821</v>
      </c>
      <c r="AJ1133" s="1" t="s">
        <v>2481</v>
      </c>
      <c r="AK1133" s="1">
        <v>310528</v>
      </c>
      <c r="AL1133" s="1" t="s">
        <v>115</v>
      </c>
      <c r="AN1133" s="270">
        <v>227</v>
      </c>
      <c r="BS1133" s="1">
        <v>10760</v>
      </c>
      <c r="BT1133" s="1" t="s">
        <v>902</v>
      </c>
      <c r="BX1133" s="36"/>
    </row>
    <row r="1134" spans="2:76" ht="14.25">
      <c r="B1134" s="36"/>
      <c r="C1134" s="36"/>
      <c r="D1134" s="36"/>
      <c r="E1134" s="36"/>
      <c r="F1134" s="36"/>
      <c r="G1134" s="36"/>
      <c r="H1134" s="36"/>
      <c r="J1134" s="36"/>
      <c r="L1134" s="1" t="str">
        <f t="shared" si="109"/>
        <v/>
      </c>
      <c r="M1134" s="94">
        <v>1129</v>
      </c>
      <c r="N1134" s="36" t="s">
        <v>2790</v>
      </c>
      <c r="O1134" s="95">
        <v>310836</v>
      </c>
      <c r="P1134" s="36"/>
      <c r="AI1134" s="122">
        <v>822</v>
      </c>
      <c r="AJ1134" s="1" t="s">
        <v>2482</v>
      </c>
      <c r="AK1134" s="1">
        <v>310529</v>
      </c>
      <c r="AL1134" s="1" t="s">
        <v>930</v>
      </c>
      <c r="AN1134" s="270">
        <v>228</v>
      </c>
      <c r="BS1134" s="1">
        <v>10761</v>
      </c>
      <c r="BT1134" s="1" t="s">
        <v>902</v>
      </c>
      <c r="BX1134" s="36"/>
    </row>
    <row r="1135" spans="2:76" ht="14.25">
      <c r="B1135" s="36"/>
      <c r="C1135" s="36"/>
      <c r="D1135" s="36"/>
      <c r="E1135" s="36"/>
      <c r="F1135" s="36"/>
      <c r="G1135" s="36"/>
      <c r="H1135" s="36"/>
      <c r="J1135" s="36"/>
      <c r="L1135" s="1" t="str">
        <f t="shared" si="109"/>
        <v/>
      </c>
      <c r="M1135" s="94">
        <v>1130</v>
      </c>
      <c r="N1135" s="36" t="s">
        <v>2791</v>
      </c>
      <c r="O1135" s="95">
        <v>310837</v>
      </c>
      <c r="P1135" s="36"/>
      <c r="AI1135" s="122">
        <v>823</v>
      </c>
      <c r="AJ1135" s="1" t="s">
        <v>2483</v>
      </c>
      <c r="AK1135" s="1">
        <v>310530</v>
      </c>
      <c r="AL1135" s="1" t="s">
        <v>115</v>
      </c>
      <c r="AN1135" s="270">
        <v>229</v>
      </c>
      <c r="BS1135" s="1">
        <v>10762</v>
      </c>
      <c r="BT1135" s="1" t="s">
        <v>902</v>
      </c>
      <c r="BX1135" s="36"/>
    </row>
    <row r="1136" spans="2:76" ht="14.25">
      <c r="B1136" s="36"/>
      <c r="C1136" s="36"/>
      <c r="D1136" s="36"/>
      <c r="E1136" s="36"/>
      <c r="F1136" s="36"/>
      <c r="G1136" s="36"/>
      <c r="H1136" s="36"/>
      <c r="J1136" s="36"/>
      <c r="L1136" s="1" t="str">
        <f t="shared" si="109"/>
        <v/>
      </c>
      <c r="M1136" s="94">
        <v>1131</v>
      </c>
      <c r="N1136" s="36" t="s">
        <v>2792</v>
      </c>
      <c r="O1136" s="95">
        <v>310838</v>
      </c>
      <c r="P1136" s="36"/>
      <c r="AI1136" s="122">
        <v>824</v>
      </c>
      <c r="AJ1136" s="1" t="s">
        <v>2484</v>
      </c>
      <c r="AK1136" s="1">
        <v>310531</v>
      </c>
      <c r="AL1136" s="1" t="s">
        <v>930</v>
      </c>
      <c r="AN1136" s="270">
        <v>230</v>
      </c>
      <c r="BS1136" s="1">
        <v>10763</v>
      </c>
      <c r="BT1136" s="1" t="s">
        <v>902</v>
      </c>
      <c r="BX1136" s="36"/>
    </row>
    <row r="1137" spans="2:76" ht="14.25">
      <c r="B1137" s="36"/>
      <c r="C1137" s="36"/>
      <c r="D1137" s="36"/>
      <c r="E1137" s="36"/>
      <c r="F1137" s="36"/>
      <c r="G1137" s="36"/>
      <c r="H1137" s="36"/>
      <c r="J1137" s="36"/>
      <c r="L1137" s="1" t="str">
        <f t="shared" si="109"/>
        <v/>
      </c>
      <c r="M1137" s="94">
        <v>1132</v>
      </c>
      <c r="N1137" s="36" t="s">
        <v>2793</v>
      </c>
      <c r="O1137" s="95">
        <v>310839</v>
      </c>
      <c r="P1137" s="36"/>
      <c r="AI1137" s="122">
        <v>825</v>
      </c>
      <c r="AJ1137" s="1" t="s">
        <v>2485</v>
      </c>
      <c r="AK1137" s="1">
        <v>310532</v>
      </c>
      <c r="AL1137" s="1" t="s">
        <v>930</v>
      </c>
      <c r="AN1137" s="270">
        <v>231</v>
      </c>
      <c r="BS1137" s="1">
        <v>10764</v>
      </c>
      <c r="BT1137" s="1" t="s">
        <v>902</v>
      </c>
      <c r="BX1137" s="36"/>
    </row>
    <row r="1138" spans="2:76" ht="14.25">
      <c r="B1138" s="36"/>
      <c r="C1138" s="36"/>
      <c r="D1138" s="36"/>
      <c r="E1138" s="36"/>
      <c r="F1138" s="36"/>
      <c r="G1138" s="36"/>
      <c r="H1138" s="36"/>
      <c r="J1138" s="36"/>
      <c r="L1138" s="1" t="str">
        <f t="shared" si="109"/>
        <v/>
      </c>
      <c r="M1138" s="94">
        <v>1133</v>
      </c>
      <c r="N1138" s="36" t="s">
        <v>2794</v>
      </c>
      <c r="O1138" s="95">
        <v>310840</v>
      </c>
      <c r="P1138" s="36"/>
      <c r="AI1138" s="122">
        <v>826</v>
      </c>
      <c r="AJ1138" s="1" t="s">
        <v>2486</v>
      </c>
      <c r="AK1138" s="1">
        <v>310533</v>
      </c>
      <c r="AL1138" s="1" t="s">
        <v>115</v>
      </c>
      <c r="AN1138" s="270">
        <v>232</v>
      </c>
      <c r="BS1138" s="1">
        <v>10765</v>
      </c>
      <c r="BT1138" s="1" t="s">
        <v>902</v>
      </c>
      <c r="BX1138" s="36"/>
    </row>
    <row r="1139" spans="2:76" ht="14.25">
      <c r="B1139" s="36"/>
      <c r="C1139" s="36"/>
      <c r="D1139" s="36"/>
      <c r="E1139" s="36"/>
      <c r="F1139" s="36"/>
      <c r="G1139" s="36"/>
      <c r="H1139" s="36"/>
      <c r="J1139" s="36"/>
      <c r="L1139" s="1" t="str">
        <f t="shared" si="109"/>
        <v/>
      </c>
      <c r="M1139" s="94">
        <v>1134</v>
      </c>
      <c r="N1139" s="36" t="s">
        <v>2795</v>
      </c>
      <c r="O1139" s="95">
        <v>310841</v>
      </c>
      <c r="P1139" s="36"/>
      <c r="AI1139" s="122">
        <v>827</v>
      </c>
      <c r="AJ1139" s="1" t="s">
        <v>2487</v>
      </c>
      <c r="AK1139" s="1">
        <v>310534</v>
      </c>
      <c r="AL1139" s="1" t="s">
        <v>930</v>
      </c>
      <c r="AN1139" s="270">
        <v>233</v>
      </c>
      <c r="BS1139" s="1">
        <v>10766</v>
      </c>
      <c r="BT1139" s="1" t="s">
        <v>902</v>
      </c>
      <c r="BX1139" s="36"/>
    </row>
    <row r="1140" spans="2:76" ht="14.25">
      <c r="B1140" s="36"/>
      <c r="C1140" s="36"/>
      <c r="D1140" s="36"/>
      <c r="E1140" s="36"/>
      <c r="F1140" s="36"/>
      <c r="G1140" s="36"/>
      <c r="H1140" s="36"/>
      <c r="J1140" s="36"/>
      <c r="L1140" s="1" t="str">
        <f t="shared" si="109"/>
        <v/>
      </c>
      <c r="M1140" s="94">
        <v>1135</v>
      </c>
      <c r="N1140" s="36" t="s">
        <v>2796</v>
      </c>
      <c r="O1140" s="95">
        <v>310842</v>
      </c>
      <c r="P1140" s="36"/>
      <c r="AI1140" s="122">
        <v>828</v>
      </c>
      <c r="AJ1140" s="1" t="s">
        <v>2488</v>
      </c>
      <c r="AK1140" s="1">
        <v>310535</v>
      </c>
      <c r="AL1140" s="1" t="s">
        <v>115</v>
      </c>
      <c r="AN1140" s="270">
        <v>234</v>
      </c>
      <c r="BS1140" s="1">
        <v>10767</v>
      </c>
      <c r="BT1140" s="1" t="s">
        <v>902</v>
      </c>
      <c r="BX1140" s="36"/>
    </row>
    <row r="1141" spans="2:76" ht="14.25">
      <c r="B1141" s="36"/>
      <c r="C1141" s="36"/>
      <c r="D1141" s="36"/>
      <c r="E1141" s="36"/>
      <c r="F1141" s="36"/>
      <c r="G1141" s="36"/>
      <c r="H1141" s="36"/>
      <c r="J1141" s="36"/>
      <c r="L1141" s="1" t="str">
        <f t="shared" si="109"/>
        <v/>
      </c>
      <c r="M1141" s="94">
        <v>1136</v>
      </c>
      <c r="N1141" s="36" t="s">
        <v>2797</v>
      </c>
      <c r="O1141" s="95">
        <v>310843</v>
      </c>
      <c r="P1141" s="36"/>
      <c r="AI1141" s="122">
        <v>829</v>
      </c>
      <c r="AJ1141" s="1" t="s">
        <v>2489</v>
      </c>
      <c r="AK1141" s="1">
        <v>310536</v>
      </c>
      <c r="AL1141" s="1" t="s">
        <v>930</v>
      </c>
      <c r="AN1141" s="270">
        <v>235</v>
      </c>
      <c r="BS1141" s="1">
        <v>10768</v>
      </c>
      <c r="BT1141" s="1" t="s">
        <v>902</v>
      </c>
      <c r="BX1141" s="36"/>
    </row>
    <row r="1142" spans="2:76" ht="14.25">
      <c r="B1142" s="36"/>
      <c r="C1142" s="36"/>
      <c r="D1142" s="36"/>
      <c r="E1142" s="36"/>
      <c r="F1142" s="36"/>
      <c r="G1142" s="36"/>
      <c r="H1142" s="36"/>
      <c r="J1142" s="36"/>
      <c r="L1142" s="1" t="str">
        <f t="shared" si="109"/>
        <v/>
      </c>
      <c r="M1142" s="94">
        <v>1137</v>
      </c>
      <c r="N1142" s="36" t="s">
        <v>2798</v>
      </c>
      <c r="O1142" s="95">
        <v>310844</v>
      </c>
      <c r="P1142" s="36"/>
      <c r="AI1142" s="122">
        <v>830</v>
      </c>
      <c r="AJ1142" s="1" t="s">
        <v>2490</v>
      </c>
      <c r="AK1142" s="1">
        <v>310537</v>
      </c>
      <c r="AL1142" s="1" t="s">
        <v>115</v>
      </c>
      <c r="AN1142" s="270">
        <v>236</v>
      </c>
      <c r="BS1142" s="1">
        <v>10769</v>
      </c>
      <c r="BT1142" s="1" t="s">
        <v>902</v>
      </c>
      <c r="BX1142" s="36"/>
    </row>
    <row r="1143" spans="2:76" ht="14.25">
      <c r="B1143" s="36"/>
      <c r="C1143" s="36"/>
      <c r="D1143" s="36"/>
      <c r="E1143" s="36"/>
      <c r="F1143" s="36"/>
      <c r="G1143" s="36"/>
      <c r="H1143" s="36"/>
      <c r="J1143" s="36"/>
      <c r="L1143" s="1" t="str">
        <f t="shared" si="109"/>
        <v/>
      </c>
      <c r="M1143" s="94">
        <v>1138</v>
      </c>
      <c r="N1143" s="36" t="s">
        <v>2799</v>
      </c>
      <c r="O1143" s="95">
        <v>310845</v>
      </c>
      <c r="P1143" s="36"/>
      <c r="AI1143" s="122">
        <v>831</v>
      </c>
      <c r="AJ1143" s="1" t="s">
        <v>2491</v>
      </c>
      <c r="AK1143" s="1">
        <v>310538</v>
      </c>
      <c r="AL1143" s="1" t="s">
        <v>930</v>
      </c>
      <c r="AN1143" s="270">
        <v>237</v>
      </c>
      <c r="BS1143" s="1">
        <v>10770</v>
      </c>
      <c r="BT1143" s="1" t="s">
        <v>902</v>
      </c>
      <c r="BX1143" s="36"/>
    </row>
    <row r="1144" spans="2:76" ht="14.25">
      <c r="B1144" s="36"/>
      <c r="C1144" s="36"/>
      <c r="D1144" s="36"/>
      <c r="E1144" s="36"/>
      <c r="F1144" s="36"/>
      <c r="G1144" s="36"/>
      <c r="H1144" s="36"/>
      <c r="J1144" s="36"/>
      <c r="L1144" s="1" t="str">
        <f t="shared" si="109"/>
        <v/>
      </c>
      <c r="M1144" s="94">
        <v>1139</v>
      </c>
      <c r="N1144" s="36" t="s">
        <v>2800</v>
      </c>
      <c r="O1144" s="95">
        <v>310846</v>
      </c>
      <c r="P1144" s="36"/>
      <c r="AI1144" s="122">
        <v>832</v>
      </c>
      <c r="AJ1144" s="1" t="s">
        <v>2492</v>
      </c>
      <c r="AK1144" s="1">
        <v>310539</v>
      </c>
      <c r="AL1144" s="1" t="s">
        <v>930</v>
      </c>
      <c r="AN1144" s="270">
        <v>238</v>
      </c>
      <c r="BS1144" s="1">
        <v>10771</v>
      </c>
      <c r="BT1144" s="1" t="s">
        <v>902</v>
      </c>
      <c r="BX1144" s="36"/>
    </row>
    <row r="1145" spans="2:76" ht="14.25">
      <c r="B1145" s="36"/>
      <c r="C1145" s="36"/>
      <c r="D1145" s="36"/>
      <c r="E1145" s="36"/>
      <c r="F1145" s="36"/>
      <c r="G1145" s="36"/>
      <c r="H1145" s="36"/>
      <c r="J1145" s="36"/>
      <c r="L1145" s="1" t="str">
        <f t="shared" si="109"/>
        <v/>
      </c>
      <c r="M1145" s="94">
        <v>1140</v>
      </c>
      <c r="N1145" s="36" t="s">
        <v>2801</v>
      </c>
      <c r="O1145" s="95">
        <v>310847</v>
      </c>
      <c r="P1145" s="36"/>
      <c r="AI1145" s="122">
        <v>833</v>
      </c>
      <c r="AJ1145" s="1" t="s">
        <v>2493</v>
      </c>
      <c r="AK1145" s="1">
        <v>310540</v>
      </c>
      <c r="AL1145" s="1" t="s">
        <v>115</v>
      </c>
      <c r="AN1145" s="270">
        <v>239</v>
      </c>
      <c r="BS1145" s="1">
        <v>10772</v>
      </c>
      <c r="BT1145" s="1" t="s">
        <v>902</v>
      </c>
      <c r="BX1145" s="36"/>
    </row>
    <row r="1146" spans="2:76" ht="14.25">
      <c r="B1146" s="36"/>
      <c r="C1146" s="36"/>
      <c r="D1146" s="36"/>
      <c r="E1146" s="36"/>
      <c r="F1146" s="36"/>
      <c r="G1146" s="36"/>
      <c r="H1146" s="36"/>
      <c r="J1146" s="36"/>
      <c r="L1146" s="1" t="str">
        <f t="shared" si="109"/>
        <v/>
      </c>
      <c r="M1146" s="94">
        <v>1141</v>
      </c>
      <c r="N1146" s="36" t="s">
        <v>2802</v>
      </c>
      <c r="O1146" s="95">
        <v>310848</v>
      </c>
      <c r="P1146" s="36"/>
      <c r="AI1146" s="122">
        <v>834</v>
      </c>
      <c r="AJ1146" s="1" t="s">
        <v>2494</v>
      </c>
      <c r="AK1146" s="1">
        <v>310541</v>
      </c>
      <c r="AL1146" s="1" t="s">
        <v>930</v>
      </c>
      <c r="AN1146" s="270">
        <v>240</v>
      </c>
      <c r="BS1146" s="1">
        <v>10773</v>
      </c>
      <c r="BT1146" s="1" t="s">
        <v>902</v>
      </c>
      <c r="BX1146" s="36"/>
    </row>
    <row r="1147" spans="2:76" ht="14.25">
      <c r="B1147" s="36"/>
      <c r="C1147" s="36"/>
      <c r="D1147" s="36"/>
      <c r="E1147" s="36"/>
      <c r="F1147" s="36"/>
      <c r="G1147" s="36"/>
      <c r="H1147" s="36"/>
      <c r="J1147" s="36"/>
      <c r="L1147" s="1" t="str">
        <f t="shared" si="109"/>
        <v/>
      </c>
      <c r="M1147" s="94">
        <v>1142</v>
      </c>
      <c r="N1147" s="36" t="s">
        <v>2803</v>
      </c>
      <c r="O1147" s="95">
        <v>310849</v>
      </c>
      <c r="P1147" s="36"/>
      <c r="AI1147" s="122">
        <v>835</v>
      </c>
      <c r="AJ1147" s="1" t="s">
        <v>2495</v>
      </c>
      <c r="AK1147" s="1">
        <v>310542</v>
      </c>
      <c r="AL1147" s="1" t="s">
        <v>115</v>
      </c>
      <c r="AN1147" s="270">
        <v>241</v>
      </c>
      <c r="BS1147" s="1">
        <v>10774</v>
      </c>
      <c r="BT1147" s="1" t="s">
        <v>902</v>
      </c>
      <c r="BX1147" s="36"/>
    </row>
    <row r="1148" spans="2:76" ht="14.25">
      <c r="B1148" s="36"/>
      <c r="C1148" s="36"/>
      <c r="D1148" s="36"/>
      <c r="E1148" s="36"/>
      <c r="F1148" s="36"/>
      <c r="G1148" s="36"/>
      <c r="H1148" s="36"/>
      <c r="J1148" s="36"/>
      <c r="L1148" s="1" t="str">
        <f t="shared" si="109"/>
        <v/>
      </c>
      <c r="M1148" s="94">
        <v>1143</v>
      </c>
      <c r="N1148" s="36" t="s">
        <v>2804</v>
      </c>
      <c r="O1148" s="95">
        <v>310850</v>
      </c>
      <c r="P1148" s="36"/>
      <c r="AI1148" s="122">
        <v>836</v>
      </c>
      <c r="AJ1148" s="1" t="s">
        <v>2496</v>
      </c>
      <c r="AK1148" s="1">
        <v>310543</v>
      </c>
      <c r="AL1148" s="1" t="s">
        <v>930</v>
      </c>
      <c r="AN1148" s="270">
        <v>242</v>
      </c>
      <c r="BS1148" s="1">
        <v>10775</v>
      </c>
      <c r="BT1148" s="1" t="s">
        <v>902</v>
      </c>
      <c r="BX1148" s="36"/>
    </row>
    <row r="1149" spans="2:76" ht="14.25">
      <c r="B1149" s="36"/>
      <c r="C1149" s="36"/>
      <c r="D1149" s="36"/>
      <c r="E1149" s="36"/>
      <c r="F1149" s="36"/>
      <c r="G1149" s="36"/>
      <c r="H1149" s="36"/>
      <c r="J1149" s="36"/>
      <c r="L1149" s="1" t="str">
        <f t="shared" si="109"/>
        <v/>
      </c>
      <c r="M1149" s="94">
        <v>1144</v>
      </c>
      <c r="N1149" s="36" t="s">
        <v>2805</v>
      </c>
      <c r="O1149" s="95">
        <v>310851</v>
      </c>
      <c r="P1149" s="36"/>
      <c r="AI1149" s="122">
        <v>837</v>
      </c>
      <c r="AJ1149" s="1" t="s">
        <v>2497</v>
      </c>
      <c r="AK1149" s="1">
        <v>310544</v>
      </c>
      <c r="AL1149" s="1" t="s">
        <v>115</v>
      </c>
      <c r="AN1149" s="270">
        <v>243</v>
      </c>
      <c r="BS1149" s="1">
        <v>10776</v>
      </c>
      <c r="BT1149" s="1" t="s">
        <v>902</v>
      </c>
      <c r="BX1149" s="36"/>
    </row>
    <row r="1150" spans="2:76" ht="14.25">
      <c r="B1150" s="36"/>
      <c r="C1150" s="36"/>
      <c r="D1150" s="36"/>
      <c r="E1150" s="36"/>
      <c r="F1150" s="36"/>
      <c r="G1150" s="36"/>
      <c r="H1150" s="36"/>
      <c r="J1150" s="36"/>
      <c r="L1150" s="1" t="str">
        <f t="shared" si="109"/>
        <v/>
      </c>
      <c r="M1150" s="94">
        <v>1145</v>
      </c>
      <c r="N1150" s="36" t="s">
        <v>2806</v>
      </c>
      <c r="O1150" s="95">
        <v>310852</v>
      </c>
      <c r="P1150" s="36"/>
      <c r="AI1150" s="122">
        <v>838</v>
      </c>
      <c r="AJ1150" s="1" t="s">
        <v>2498</v>
      </c>
      <c r="AK1150" s="1">
        <v>310545</v>
      </c>
      <c r="AL1150" s="1" t="s">
        <v>930</v>
      </c>
      <c r="AN1150" s="270">
        <v>244</v>
      </c>
      <c r="BS1150" s="1">
        <v>10777</v>
      </c>
      <c r="BT1150" s="1" t="s">
        <v>902</v>
      </c>
      <c r="BX1150" s="36"/>
    </row>
    <row r="1151" spans="2:76" ht="14.25">
      <c r="B1151" s="36"/>
      <c r="C1151" s="36"/>
      <c r="D1151" s="36"/>
      <c r="E1151" s="36"/>
      <c r="F1151" s="36"/>
      <c r="G1151" s="36"/>
      <c r="H1151" s="36"/>
      <c r="J1151" s="36"/>
      <c r="L1151" s="1" t="str">
        <f t="shared" si="109"/>
        <v/>
      </c>
      <c r="M1151" s="94">
        <v>1146</v>
      </c>
      <c r="N1151" s="36" t="s">
        <v>2807</v>
      </c>
      <c r="O1151" s="95">
        <v>310853</v>
      </c>
      <c r="P1151" s="36"/>
      <c r="AI1151" s="122">
        <v>839</v>
      </c>
      <c r="AJ1151" s="1" t="s">
        <v>2499</v>
      </c>
      <c r="AK1151" s="1">
        <v>310546</v>
      </c>
      <c r="AL1151" s="1" t="s">
        <v>930</v>
      </c>
      <c r="AN1151" s="270">
        <v>245</v>
      </c>
      <c r="BS1151" s="1">
        <v>10778</v>
      </c>
      <c r="BT1151" s="1" t="s">
        <v>902</v>
      </c>
      <c r="BX1151" s="36"/>
    </row>
    <row r="1152" spans="2:76" ht="14.25">
      <c r="B1152" s="36"/>
      <c r="C1152" s="36"/>
      <c r="D1152" s="36"/>
      <c r="E1152" s="36"/>
      <c r="F1152" s="36"/>
      <c r="G1152" s="36"/>
      <c r="H1152" s="36"/>
      <c r="J1152" s="36"/>
      <c r="L1152" s="1" t="str">
        <f t="shared" si="109"/>
        <v/>
      </c>
      <c r="M1152" s="94">
        <v>1147</v>
      </c>
      <c r="N1152" s="36" t="s">
        <v>2808</v>
      </c>
      <c r="O1152" s="95">
        <v>310854</v>
      </c>
      <c r="P1152" s="36"/>
      <c r="AI1152" s="122">
        <v>840</v>
      </c>
      <c r="AJ1152" s="1" t="s">
        <v>2500</v>
      </c>
      <c r="AK1152" s="1">
        <v>310547</v>
      </c>
      <c r="AL1152" s="1" t="s">
        <v>115</v>
      </c>
      <c r="AN1152" s="270">
        <v>246</v>
      </c>
      <c r="BS1152" s="1">
        <v>10779</v>
      </c>
      <c r="BT1152" s="1" t="s">
        <v>902</v>
      </c>
      <c r="BX1152" s="36"/>
    </row>
    <row r="1153" spans="2:76" ht="14.25">
      <c r="B1153" s="36"/>
      <c r="C1153" s="36"/>
      <c r="D1153" s="36"/>
      <c r="E1153" s="36"/>
      <c r="F1153" s="36"/>
      <c r="G1153" s="36"/>
      <c r="H1153" s="36"/>
      <c r="J1153" s="36"/>
      <c r="L1153" s="1" t="str">
        <f t="shared" si="109"/>
        <v/>
      </c>
      <c r="M1153" s="94">
        <v>1148</v>
      </c>
      <c r="N1153" s="36" t="s">
        <v>2809</v>
      </c>
      <c r="O1153" s="95">
        <v>310855</v>
      </c>
      <c r="P1153" s="36"/>
      <c r="AI1153" s="122">
        <v>841</v>
      </c>
      <c r="AJ1153" s="1" t="s">
        <v>2501</v>
      </c>
      <c r="AK1153" s="1">
        <v>310548</v>
      </c>
      <c r="AL1153" s="1" t="s">
        <v>930</v>
      </c>
      <c r="AN1153" s="270">
        <v>247</v>
      </c>
      <c r="BS1153" s="1">
        <v>10780</v>
      </c>
      <c r="BT1153" s="1" t="s">
        <v>902</v>
      </c>
      <c r="BX1153" s="36"/>
    </row>
    <row r="1154" spans="2:76" ht="14.25">
      <c r="B1154" s="36"/>
      <c r="C1154" s="36"/>
      <c r="D1154" s="36"/>
      <c r="E1154" s="36"/>
      <c r="F1154" s="36"/>
      <c r="G1154" s="36"/>
      <c r="H1154" s="36"/>
      <c r="J1154" s="36"/>
      <c r="L1154" s="1" t="str">
        <f t="shared" si="109"/>
        <v/>
      </c>
      <c r="M1154" s="94">
        <v>1149</v>
      </c>
      <c r="N1154" s="36" t="s">
        <v>2810</v>
      </c>
      <c r="O1154" s="95">
        <v>310856</v>
      </c>
      <c r="P1154" s="36"/>
      <c r="AI1154" s="122">
        <v>842</v>
      </c>
      <c r="AJ1154" s="1" t="s">
        <v>2502</v>
      </c>
      <c r="AK1154" s="1">
        <v>310549</v>
      </c>
      <c r="AL1154" s="1" t="s">
        <v>115</v>
      </c>
      <c r="AN1154" s="270">
        <v>248</v>
      </c>
      <c r="BS1154" s="1">
        <v>10781</v>
      </c>
      <c r="BT1154" s="1" t="s">
        <v>902</v>
      </c>
      <c r="BX1154" s="36"/>
    </row>
    <row r="1155" spans="2:76" ht="14.25">
      <c r="B1155" s="36"/>
      <c r="C1155" s="36"/>
      <c r="D1155" s="36"/>
      <c r="E1155" s="36"/>
      <c r="F1155" s="36"/>
      <c r="G1155" s="36"/>
      <c r="H1155" s="36"/>
      <c r="J1155" s="36"/>
      <c r="L1155" s="1" t="str">
        <f t="shared" si="109"/>
        <v/>
      </c>
      <c r="M1155" s="94">
        <v>1150</v>
      </c>
      <c r="N1155" s="36" t="s">
        <v>2811</v>
      </c>
      <c r="O1155" s="95">
        <v>310857</v>
      </c>
      <c r="P1155" s="36"/>
      <c r="AI1155" s="122">
        <v>843</v>
      </c>
      <c r="AJ1155" s="1" t="s">
        <v>2503</v>
      </c>
      <c r="AK1155" s="1">
        <v>310550</v>
      </c>
      <c r="AL1155" s="1" t="s">
        <v>930</v>
      </c>
      <c r="AN1155" s="270">
        <v>249</v>
      </c>
      <c r="BS1155" s="1">
        <v>10782</v>
      </c>
      <c r="BT1155" s="1" t="s">
        <v>902</v>
      </c>
      <c r="BX1155" s="36"/>
    </row>
    <row r="1156" spans="2:76" ht="14.25">
      <c r="B1156" s="36"/>
      <c r="C1156" s="36"/>
      <c r="D1156" s="36"/>
      <c r="E1156" s="36"/>
      <c r="F1156" s="36"/>
      <c r="G1156" s="36"/>
      <c r="H1156" s="36"/>
      <c r="J1156" s="36"/>
      <c r="L1156" s="1" t="str">
        <f t="shared" ref="L1156:L1219" si="110">IF(AND(MIN(I:I)&lt;20,MAX(I:I)&gt;980,I1156&lt;20),I1156,"")</f>
        <v/>
      </c>
      <c r="M1156" s="94">
        <v>1151</v>
      </c>
      <c r="N1156" s="36" t="s">
        <v>2812</v>
      </c>
      <c r="O1156" s="95">
        <v>310858</v>
      </c>
      <c r="P1156" s="36"/>
      <c r="AI1156" s="122">
        <v>844</v>
      </c>
      <c r="AJ1156" s="1" t="s">
        <v>2504</v>
      </c>
      <c r="AK1156" s="1">
        <v>310551</v>
      </c>
      <c r="AL1156" s="1" t="s">
        <v>115</v>
      </c>
      <c r="AN1156" s="270">
        <v>250</v>
      </c>
      <c r="BS1156" s="1">
        <v>10783</v>
      </c>
      <c r="BT1156" s="1" t="s">
        <v>902</v>
      </c>
      <c r="BX1156" s="36"/>
    </row>
    <row r="1157" spans="2:76" ht="14.25">
      <c r="B1157" s="36"/>
      <c r="C1157" s="36"/>
      <c r="D1157" s="36"/>
      <c r="E1157" s="36"/>
      <c r="F1157" s="36"/>
      <c r="G1157" s="36"/>
      <c r="H1157" s="36"/>
      <c r="J1157" s="36"/>
      <c r="L1157" s="1" t="str">
        <f t="shared" si="110"/>
        <v/>
      </c>
      <c r="M1157" s="94">
        <v>1152</v>
      </c>
      <c r="N1157" s="36" t="s">
        <v>2813</v>
      </c>
      <c r="O1157" s="95">
        <v>310859</v>
      </c>
      <c r="P1157" s="36"/>
      <c r="AI1157" s="122">
        <v>845</v>
      </c>
      <c r="AJ1157" s="1" t="s">
        <v>2505</v>
      </c>
      <c r="AK1157" s="1">
        <v>310552</v>
      </c>
      <c r="AL1157" s="1" t="s">
        <v>930</v>
      </c>
      <c r="AN1157" s="270">
        <v>251</v>
      </c>
      <c r="BS1157" s="1">
        <v>10784</v>
      </c>
      <c r="BT1157" s="1" t="s">
        <v>902</v>
      </c>
      <c r="BX1157" s="36"/>
    </row>
    <row r="1158" spans="2:76" ht="14.25">
      <c r="B1158" s="36"/>
      <c r="C1158" s="36"/>
      <c r="D1158" s="36"/>
      <c r="E1158" s="36"/>
      <c r="F1158" s="36"/>
      <c r="G1158" s="36"/>
      <c r="H1158" s="36"/>
      <c r="J1158" s="36"/>
      <c r="L1158" s="1" t="str">
        <f t="shared" si="110"/>
        <v/>
      </c>
      <c r="M1158" s="94">
        <v>1153</v>
      </c>
      <c r="N1158" s="36" t="s">
        <v>2814</v>
      </c>
      <c r="O1158" s="95">
        <v>310860</v>
      </c>
      <c r="P1158" s="36"/>
      <c r="AI1158" s="122">
        <v>846</v>
      </c>
      <c r="AJ1158" s="1" t="s">
        <v>2506</v>
      </c>
      <c r="AK1158" s="1">
        <v>310553</v>
      </c>
      <c r="AL1158" s="1" t="s">
        <v>115</v>
      </c>
      <c r="AN1158" s="270">
        <v>252</v>
      </c>
      <c r="BS1158" s="1">
        <v>10785</v>
      </c>
      <c r="BT1158" s="1" t="s">
        <v>902</v>
      </c>
      <c r="BX1158" s="36"/>
    </row>
    <row r="1159" spans="2:76" ht="14.25">
      <c r="B1159" s="36"/>
      <c r="C1159" s="36"/>
      <c r="D1159" s="36"/>
      <c r="E1159" s="36"/>
      <c r="F1159" s="36"/>
      <c r="G1159" s="36"/>
      <c r="H1159" s="36"/>
      <c r="J1159" s="36"/>
      <c r="L1159" s="1" t="str">
        <f t="shared" si="110"/>
        <v/>
      </c>
      <c r="M1159" s="94">
        <v>1154</v>
      </c>
      <c r="N1159" s="36" t="s">
        <v>2815</v>
      </c>
      <c r="O1159" s="95">
        <v>310861</v>
      </c>
      <c r="P1159" s="36"/>
      <c r="AI1159" s="122">
        <v>847</v>
      </c>
      <c r="AJ1159" s="1" t="s">
        <v>2507</v>
      </c>
      <c r="AK1159" s="1">
        <v>310554</v>
      </c>
      <c r="AL1159" s="1" t="s">
        <v>930</v>
      </c>
      <c r="AN1159" s="270">
        <v>253</v>
      </c>
      <c r="BS1159" s="1">
        <v>10786</v>
      </c>
      <c r="BT1159" s="1" t="s">
        <v>902</v>
      </c>
      <c r="BX1159" s="36"/>
    </row>
    <row r="1160" spans="2:76" ht="14.25">
      <c r="B1160" s="36"/>
      <c r="C1160" s="36"/>
      <c r="D1160" s="36"/>
      <c r="E1160" s="36"/>
      <c r="F1160" s="36"/>
      <c r="G1160" s="36"/>
      <c r="H1160" s="36"/>
      <c r="J1160" s="36"/>
      <c r="L1160" s="1" t="str">
        <f t="shared" si="110"/>
        <v/>
      </c>
      <c r="M1160" s="94">
        <v>1155</v>
      </c>
      <c r="N1160" s="36" t="s">
        <v>2816</v>
      </c>
      <c r="O1160" s="95">
        <v>310862</v>
      </c>
      <c r="P1160" s="36"/>
      <c r="AI1160" s="122">
        <v>848</v>
      </c>
      <c r="AJ1160" s="1" t="s">
        <v>2508</v>
      </c>
      <c r="AK1160" s="1">
        <v>310555</v>
      </c>
      <c r="AL1160" s="1" t="s">
        <v>930</v>
      </c>
      <c r="AN1160" s="270">
        <v>254</v>
      </c>
      <c r="BS1160" s="1">
        <v>10787</v>
      </c>
      <c r="BT1160" s="1" t="s">
        <v>902</v>
      </c>
      <c r="BX1160" s="36"/>
    </row>
    <row r="1161" spans="2:76" ht="14.25">
      <c r="B1161" s="36"/>
      <c r="C1161" s="36"/>
      <c r="D1161" s="36"/>
      <c r="E1161" s="36"/>
      <c r="F1161" s="36"/>
      <c r="G1161" s="36"/>
      <c r="H1161" s="36"/>
      <c r="J1161" s="36"/>
      <c r="L1161" s="1" t="str">
        <f t="shared" si="110"/>
        <v/>
      </c>
      <c r="M1161" s="94">
        <v>1156</v>
      </c>
      <c r="N1161" s="36" t="s">
        <v>2817</v>
      </c>
      <c r="O1161" s="95">
        <v>310863</v>
      </c>
      <c r="P1161" s="36"/>
      <c r="AI1161" s="122">
        <v>849</v>
      </c>
      <c r="AJ1161" s="1" t="s">
        <v>2509</v>
      </c>
      <c r="AK1161" s="1">
        <v>310556</v>
      </c>
      <c r="AL1161" s="1" t="s">
        <v>115</v>
      </c>
      <c r="AN1161" s="270">
        <v>255</v>
      </c>
      <c r="BS1161" s="1">
        <v>10788</v>
      </c>
      <c r="BT1161" s="1" t="s">
        <v>902</v>
      </c>
      <c r="BX1161" s="36"/>
    </row>
    <row r="1162" spans="2:76" ht="14.25">
      <c r="B1162" s="36"/>
      <c r="C1162" s="36"/>
      <c r="D1162" s="36"/>
      <c r="E1162" s="36"/>
      <c r="F1162" s="36"/>
      <c r="G1162" s="36"/>
      <c r="H1162" s="36"/>
      <c r="J1162" s="36"/>
      <c r="L1162" s="1" t="str">
        <f t="shared" si="110"/>
        <v/>
      </c>
      <c r="M1162" s="94">
        <v>1157</v>
      </c>
      <c r="N1162" s="36" t="s">
        <v>2818</v>
      </c>
      <c r="O1162" s="95">
        <v>310864</v>
      </c>
      <c r="P1162" s="36"/>
      <c r="AI1162" s="122">
        <v>850</v>
      </c>
      <c r="AJ1162" s="1" t="s">
        <v>2510</v>
      </c>
      <c r="AK1162" s="1">
        <v>310557</v>
      </c>
      <c r="AL1162" s="1" t="s">
        <v>930</v>
      </c>
      <c r="AN1162" s="270">
        <v>256</v>
      </c>
      <c r="BS1162" s="1">
        <v>10789</v>
      </c>
      <c r="BT1162" s="1" t="s">
        <v>902</v>
      </c>
      <c r="BX1162" s="36"/>
    </row>
    <row r="1163" spans="2:76" ht="14.25">
      <c r="B1163" s="36"/>
      <c r="C1163" s="36"/>
      <c r="D1163" s="36"/>
      <c r="E1163" s="36"/>
      <c r="F1163" s="36"/>
      <c r="G1163" s="36"/>
      <c r="H1163" s="36"/>
      <c r="J1163" s="36"/>
      <c r="L1163" s="1" t="str">
        <f t="shared" si="110"/>
        <v/>
      </c>
      <c r="M1163" s="94">
        <v>1158</v>
      </c>
      <c r="N1163" s="36" t="s">
        <v>2819</v>
      </c>
      <c r="O1163" s="95">
        <v>310865</v>
      </c>
      <c r="P1163" s="36"/>
      <c r="AI1163" s="122">
        <v>851</v>
      </c>
      <c r="AJ1163" s="1" t="s">
        <v>2511</v>
      </c>
      <c r="AK1163" s="1">
        <v>310558</v>
      </c>
      <c r="AL1163" s="1" t="s">
        <v>115</v>
      </c>
      <c r="AN1163" s="270">
        <v>257</v>
      </c>
      <c r="BS1163" s="1">
        <v>10790</v>
      </c>
      <c r="BT1163" s="1" t="s">
        <v>902</v>
      </c>
      <c r="BX1163" s="36"/>
    </row>
    <row r="1164" spans="2:76" ht="14.25">
      <c r="B1164" s="36"/>
      <c r="C1164" s="36"/>
      <c r="D1164" s="36"/>
      <c r="E1164" s="36"/>
      <c r="F1164" s="36"/>
      <c r="G1164" s="36"/>
      <c r="H1164" s="36"/>
      <c r="J1164" s="36"/>
      <c r="L1164" s="1" t="str">
        <f t="shared" si="110"/>
        <v/>
      </c>
      <c r="M1164" s="94">
        <v>1159</v>
      </c>
      <c r="N1164" s="36" t="s">
        <v>2820</v>
      </c>
      <c r="O1164" s="95">
        <v>310866</v>
      </c>
      <c r="P1164" s="36"/>
      <c r="AI1164" s="122">
        <v>852</v>
      </c>
      <c r="AJ1164" s="1" t="s">
        <v>2512</v>
      </c>
      <c r="AK1164" s="1">
        <v>310559</v>
      </c>
      <c r="AL1164" s="1" t="s">
        <v>930</v>
      </c>
      <c r="AN1164" s="270">
        <v>258</v>
      </c>
      <c r="BS1164" s="1">
        <v>10791</v>
      </c>
      <c r="BT1164" s="1" t="s">
        <v>902</v>
      </c>
      <c r="BX1164" s="36"/>
    </row>
    <row r="1165" spans="2:76" ht="14.25">
      <c r="B1165" s="36"/>
      <c r="C1165" s="36"/>
      <c r="D1165" s="36"/>
      <c r="E1165" s="36"/>
      <c r="F1165" s="36"/>
      <c r="G1165" s="36"/>
      <c r="H1165" s="36"/>
      <c r="J1165" s="36"/>
      <c r="L1165" s="1" t="str">
        <f t="shared" si="110"/>
        <v/>
      </c>
      <c r="M1165" s="94">
        <v>1160</v>
      </c>
      <c r="N1165" s="36" t="s">
        <v>2821</v>
      </c>
      <c r="O1165" s="95">
        <v>310867</v>
      </c>
      <c r="P1165" s="36"/>
      <c r="AI1165" s="122">
        <v>853</v>
      </c>
      <c r="AJ1165" s="1" t="s">
        <v>2513</v>
      </c>
      <c r="AK1165" s="1">
        <v>310560</v>
      </c>
      <c r="AL1165" s="1" t="s">
        <v>115</v>
      </c>
      <c r="AN1165" s="270">
        <v>259</v>
      </c>
      <c r="BS1165" s="1">
        <v>10792</v>
      </c>
      <c r="BT1165" s="1" t="s">
        <v>902</v>
      </c>
      <c r="BX1165" s="36"/>
    </row>
    <row r="1166" spans="2:76" ht="14.25">
      <c r="B1166" s="36"/>
      <c r="C1166" s="36"/>
      <c r="D1166" s="36"/>
      <c r="E1166" s="36"/>
      <c r="F1166" s="36"/>
      <c r="G1166" s="36"/>
      <c r="H1166" s="36"/>
      <c r="J1166" s="36"/>
      <c r="L1166" s="1" t="str">
        <f t="shared" si="110"/>
        <v/>
      </c>
      <c r="M1166" s="94">
        <v>1161</v>
      </c>
      <c r="N1166" s="36" t="s">
        <v>2822</v>
      </c>
      <c r="O1166" s="95">
        <v>310868</v>
      </c>
      <c r="P1166" s="36"/>
      <c r="AI1166" s="122">
        <v>854</v>
      </c>
      <c r="AJ1166" s="1" t="s">
        <v>2514</v>
      </c>
      <c r="AK1166" s="1">
        <v>310561</v>
      </c>
      <c r="AL1166" s="1" t="s">
        <v>930</v>
      </c>
      <c r="AN1166" s="270">
        <v>260</v>
      </c>
      <c r="BS1166" s="1">
        <v>10793</v>
      </c>
      <c r="BT1166" s="1" t="s">
        <v>902</v>
      </c>
      <c r="BX1166" s="36"/>
    </row>
    <row r="1167" spans="2:76" ht="14.25">
      <c r="B1167" s="36"/>
      <c r="C1167" s="36"/>
      <c r="D1167" s="36"/>
      <c r="E1167" s="36"/>
      <c r="F1167" s="36"/>
      <c r="G1167" s="36"/>
      <c r="H1167" s="36"/>
      <c r="J1167" s="36"/>
      <c r="L1167" s="1" t="str">
        <f t="shared" si="110"/>
        <v/>
      </c>
      <c r="M1167" s="94">
        <v>1162</v>
      </c>
      <c r="N1167" s="36" t="s">
        <v>2823</v>
      </c>
      <c r="O1167" s="95">
        <v>310869</v>
      </c>
      <c r="P1167" s="36"/>
      <c r="AI1167" s="122">
        <v>855</v>
      </c>
      <c r="AJ1167" s="1" t="s">
        <v>2515</v>
      </c>
      <c r="AK1167" s="1">
        <v>310562</v>
      </c>
      <c r="AL1167" s="1" t="s">
        <v>930</v>
      </c>
      <c r="AN1167" s="270">
        <v>261</v>
      </c>
      <c r="BS1167" s="1">
        <v>10794</v>
      </c>
      <c r="BT1167" s="1" t="s">
        <v>902</v>
      </c>
      <c r="BX1167" s="36"/>
    </row>
    <row r="1168" spans="2:76" ht="14.25">
      <c r="B1168" s="36"/>
      <c r="C1168" s="36"/>
      <c r="D1168" s="36"/>
      <c r="E1168" s="36"/>
      <c r="F1168" s="36"/>
      <c r="G1168" s="36"/>
      <c r="H1168" s="36"/>
      <c r="J1168" s="36"/>
      <c r="L1168" s="1" t="str">
        <f t="shared" si="110"/>
        <v/>
      </c>
      <c r="M1168" s="94">
        <v>1163</v>
      </c>
      <c r="N1168" s="36" t="s">
        <v>2824</v>
      </c>
      <c r="O1168" s="95">
        <v>310870</v>
      </c>
      <c r="P1168" s="36"/>
      <c r="AI1168" s="122">
        <v>856</v>
      </c>
      <c r="AJ1168" s="1" t="s">
        <v>2516</v>
      </c>
      <c r="AK1168" s="1">
        <v>310563</v>
      </c>
      <c r="AL1168" s="1" t="s">
        <v>115</v>
      </c>
      <c r="AN1168" s="270">
        <v>262</v>
      </c>
      <c r="BS1168" s="1">
        <v>10795</v>
      </c>
      <c r="BT1168" s="1" t="s">
        <v>902</v>
      </c>
      <c r="BX1168" s="36"/>
    </row>
    <row r="1169" spans="2:76" ht="14.25">
      <c r="B1169" s="36"/>
      <c r="C1169" s="36"/>
      <c r="D1169" s="36"/>
      <c r="E1169" s="36"/>
      <c r="F1169" s="36"/>
      <c r="G1169" s="36"/>
      <c r="H1169" s="36"/>
      <c r="J1169" s="36"/>
      <c r="L1169" s="1" t="str">
        <f t="shared" si="110"/>
        <v/>
      </c>
      <c r="M1169" s="94">
        <v>1164</v>
      </c>
      <c r="N1169" s="36" t="s">
        <v>2825</v>
      </c>
      <c r="O1169" s="95">
        <v>310871</v>
      </c>
      <c r="P1169" s="36"/>
      <c r="AI1169" s="122">
        <v>857</v>
      </c>
      <c r="AJ1169" s="1" t="s">
        <v>2517</v>
      </c>
      <c r="AK1169" s="1">
        <v>310564</v>
      </c>
      <c r="AL1169" s="1" t="s">
        <v>930</v>
      </c>
      <c r="AN1169" s="270">
        <v>263</v>
      </c>
      <c r="BS1169" s="1">
        <v>10796</v>
      </c>
      <c r="BT1169" s="1" t="s">
        <v>902</v>
      </c>
      <c r="BX1169" s="36"/>
    </row>
    <row r="1170" spans="2:76" ht="14.25">
      <c r="B1170" s="36"/>
      <c r="C1170" s="36"/>
      <c r="D1170" s="36"/>
      <c r="E1170" s="36"/>
      <c r="F1170" s="36"/>
      <c r="G1170" s="36"/>
      <c r="H1170" s="36"/>
      <c r="J1170" s="36"/>
      <c r="L1170" s="1" t="str">
        <f t="shared" si="110"/>
        <v/>
      </c>
      <c r="M1170" s="94">
        <v>1165</v>
      </c>
      <c r="N1170" s="36" t="s">
        <v>2826</v>
      </c>
      <c r="O1170" s="95">
        <v>310872</v>
      </c>
      <c r="P1170" s="36"/>
      <c r="AI1170" s="122">
        <v>858</v>
      </c>
      <c r="AJ1170" s="1" t="s">
        <v>2518</v>
      </c>
      <c r="AK1170" s="1">
        <v>310565</v>
      </c>
      <c r="AL1170" s="1" t="s">
        <v>115</v>
      </c>
      <c r="AN1170" s="270">
        <v>264</v>
      </c>
      <c r="BS1170" s="1">
        <v>10797</v>
      </c>
      <c r="BT1170" s="1" t="s">
        <v>902</v>
      </c>
      <c r="BX1170" s="36"/>
    </row>
    <row r="1171" spans="2:76" ht="14.25">
      <c r="B1171" s="36"/>
      <c r="C1171" s="36"/>
      <c r="D1171" s="36"/>
      <c r="E1171" s="36"/>
      <c r="F1171" s="36"/>
      <c r="G1171" s="36"/>
      <c r="H1171" s="36"/>
      <c r="J1171" s="36"/>
      <c r="L1171" s="1" t="str">
        <f t="shared" si="110"/>
        <v/>
      </c>
      <c r="M1171" s="94">
        <v>1166</v>
      </c>
      <c r="N1171" s="36" t="s">
        <v>2827</v>
      </c>
      <c r="O1171" s="95">
        <v>310873</v>
      </c>
      <c r="P1171" s="36"/>
      <c r="AI1171" s="122">
        <v>859</v>
      </c>
      <c r="AJ1171" s="1" t="s">
        <v>2519</v>
      </c>
      <c r="AK1171" s="1">
        <v>310566</v>
      </c>
      <c r="AL1171" s="1" t="s">
        <v>930</v>
      </c>
      <c r="AN1171" s="270">
        <v>265</v>
      </c>
      <c r="BS1171" s="1">
        <v>10798</v>
      </c>
      <c r="BT1171" s="1" t="s">
        <v>902</v>
      </c>
      <c r="BX1171" s="36"/>
    </row>
    <row r="1172" spans="2:76" ht="14.25">
      <c r="B1172" s="36"/>
      <c r="C1172" s="36"/>
      <c r="D1172" s="36"/>
      <c r="E1172" s="36"/>
      <c r="F1172" s="36"/>
      <c r="G1172" s="36"/>
      <c r="H1172" s="36"/>
      <c r="J1172" s="36"/>
      <c r="L1172" s="1" t="str">
        <f t="shared" si="110"/>
        <v/>
      </c>
      <c r="M1172" s="94">
        <v>1167</v>
      </c>
      <c r="N1172" s="36" t="s">
        <v>2828</v>
      </c>
      <c r="O1172" s="95">
        <v>310874</v>
      </c>
      <c r="P1172" s="36"/>
      <c r="AI1172" s="122">
        <v>860</v>
      </c>
      <c r="AJ1172" s="1" t="s">
        <v>2520</v>
      </c>
      <c r="AK1172" s="1">
        <v>310567</v>
      </c>
      <c r="AL1172" s="1" t="s">
        <v>115</v>
      </c>
      <c r="AN1172" s="270">
        <v>266</v>
      </c>
      <c r="BS1172" s="1">
        <v>10799</v>
      </c>
      <c r="BT1172" s="1" t="s">
        <v>902</v>
      </c>
      <c r="BX1172" s="36"/>
    </row>
    <row r="1173" spans="2:76" ht="14.25">
      <c r="B1173" s="36"/>
      <c r="C1173" s="36"/>
      <c r="D1173" s="36"/>
      <c r="E1173" s="36"/>
      <c r="F1173" s="36"/>
      <c r="G1173" s="36"/>
      <c r="H1173" s="36"/>
      <c r="J1173" s="36"/>
      <c r="L1173" s="1" t="str">
        <f t="shared" si="110"/>
        <v/>
      </c>
      <c r="M1173" s="94">
        <v>1168</v>
      </c>
      <c r="N1173" s="36" t="s">
        <v>2829</v>
      </c>
      <c r="O1173" s="95">
        <v>310875</v>
      </c>
      <c r="P1173" s="36"/>
      <c r="AI1173" s="122">
        <v>861</v>
      </c>
      <c r="AJ1173" s="1" t="s">
        <v>2521</v>
      </c>
      <c r="AK1173" s="1">
        <v>310568</v>
      </c>
      <c r="AL1173" s="1" t="s">
        <v>930</v>
      </c>
      <c r="AN1173" s="270">
        <v>267</v>
      </c>
      <c r="BS1173" s="1">
        <v>10800</v>
      </c>
      <c r="BT1173" s="1" t="s">
        <v>902</v>
      </c>
      <c r="BX1173" s="36"/>
    </row>
    <row r="1174" spans="2:76" ht="14.25">
      <c r="B1174" s="36"/>
      <c r="C1174" s="36"/>
      <c r="D1174" s="36"/>
      <c r="E1174" s="36"/>
      <c r="F1174" s="36"/>
      <c r="G1174" s="36"/>
      <c r="H1174" s="36"/>
      <c r="J1174" s="36"/>
      <c r="L1174" s="1" t="str">
        <f t="shared" si="110"/>
        <v/>
      </c>
      <c r="M1174" s="94">
        <v>1169</v>
      </c>
      <c r="N1174" s="36" t="s">
        <v>2830</v>
      </c>
      <c r="O1174" s="95">
        <v>310876</v>
      </c>
      <c r="P1174" s="36"/>
      <c r="AI1174" s="122">
        <v>862</v>
      </c>
      <c r="AJ1174" s="1" t="s">
        <v>2522</v>
      </c>
      <c r="AK1174" s="1">
        <v>310569</v>
      </c>
      <c r="AL1174" s="1" t="s">
        <v>930</v>
      </c>
      <c r="AN1174" s="270">
        <v>268</v>
      </c>
      <c r="BS1174" s="1">
        <v>10801</v>
      </c>
      <c r="BT1174" s="1" t="s">
        <v>902</v>
      </c>
      <c r="BX1174" s="36"/>
    </row>
    <row r="1175" spans="2:76" ht="14.25">
      <c r="B1175" s="36"/>
      <c r="C1175" s="36"/>
      <c r="D1175" s="36"/>
      <c r="E1175" s="36"/>
      <c r="F1175" s="36"/>
      <c r="G1175" s="36"/>
      <c r="H1175" s="36"/>
      <c r="J1175" s="36"/>
      <c r="L1175" s="1" t="str">
        <f t="shared" si="110"/>
        <v/>
      </c>
      <c r="M1175" s="94">
        <v>1170</v>
      </c>
      <c r="N1175" s="36" t="s">
        <v>2831</v>
      </c>
      <c r="O1175" s="95">
        <v>310877</v>
      </c>
      <c r="P1175" s="36"/>
      <c r="AI1175" s="122">
        <v>863</v>
      </c>
      <c r="AJ1175" s="1" t="s">
        <v>2523</v>
      </c>
      <c r="AK1175" s="1">
        <v>310570</v>
      </c>
      <c r="AL1175" s="1" t="s">
        <v>115</v>
      </c>
      <c r="AN1175" s="270">
        <v>269</v>
      </c>
      <c r="BS1175" s="1">
        <v>10802</v>
      </c>
      <c r="BT1175" s="1" t="s">
        <v>902</v>
      </c>
      <c r="BX1175" s="36"/>
    </row>
    <row r="1176" spans="2:76" ht="14.25">
      <c r="B1176" s="36"/>
      <c r="C1176" s="36"/>
      <c r="D1176" s="36"/>
      <c r="E1176" s="36"/>
      <c r="F1176" s="36"/>
      <c r="G1176" s="36"/>
      <c r="H1176" s="36"/>
      <c r="J1176" s="36"/>
      <c r="L1176" s="1" t="str">
        <f t="shared" si="110"/>
        <v/>
      </c>
      <c r="M1176" s="94">
        <v>1171</v>
      </c>
      <c r="N1176" s="36" t="s">
        <v>2832</v>
      </c>
      <c r="O1176" s="95">
        <v>310878</v>
      </c>
      <c r="P1176" s="36"/>
      <c r="AI1176" s="122">
        <v>864</v>
      </c>
      <c r="AJ1176" s="1" t="s">
        <v>2524</v>
      </c>
      <c r="AK1176" s="1">
        <v>310571</v>
      </c>
      <c r="AL1176" s="1" t="s">
        <v>930</v>
      </c>
      <c r="AN1176" s="270">
        <v>270</v>
      </c>
      <c r="BS1176" s="1">
        <v>10803</v>
      </c>
      <c r="BT1176" s="1" t="s">
        <v>902</v>
      </c>
      <c r="BX1176" s="36"/>
    </row>
    <row r="1177" spans="2:76" ht="14.25">
      <c r="B1177" s="36"/>
      <c r="C1177" s="36"/>
      <c r="D1177" s="36"/>
      <c r="E1177" s="36"/>
      <c r="F1177" s="36"/>
      <c r="G1177" s="36"/>
      <c r="H1177" s="36"/>
      <c r="J1177" s="36"/>
      <c r="L1177" s="1" t="str">
        <f t="shared" si="110"/>
        <v/>
      </c>
      <c r="M1177" s="94">
        <v>1172</v>
      </c>
      <c r="N1177" s="36" t="s">
        <v>2833</v>
      </c>
      <c r="O1177" s="95">
        <v>310879</v>
      </c>
      <c r="P1177" s="36"/>
      <c r="AI1177" s="122">
        <v>865</v>
      </c>
      <c r="AJ1177" s="1" t="s">
        <v>2525</v>
      </c>
      <c r="AK1177" s="1">
        <v>310572</v>
      </c>
      <c r="AL1177" s="1" t="s">
        <v>115</v>
      </c>
      <c r="AN1177" s="270">
        <v>271</v>
      </c>
      <c r="BS1177" s="1">
        <v>10804</v>
      </c>
      <c r="BT1177" s="1" t="s">
        <v>902</v>
      </c>
      <c r="BX1177" s="36"/>
    </row>
    <row r="1178" spans="2:76" ht="14.25">
      <c r="B1178" s="36"/>
      <c r="C1178" s="36"/>
      <c r="D1178" s="36"/>
      <c r="E1178" s="36"/>
      <c r="F1178" s="36"/>
      <c r="G1178" s="36"/>
      <c r="H1178" s="36"/>
      <c r="J1178" s="36"/>
      <c r="L1178" s="1" t="str">
        <f t="shared" si="110"/>
        <v/>
      </c>
      <c r="M1178" s="94">
        <v>1173</v>
      </c>
      <c r="N1178" s="36" t="s">
        <v>2834</v>
      </c>
      <c r="O1178" s="95">
        <v>310880</v>
      </c>
      <c r="P1178" s="36"/>
      <c r="AI1178" s="122">
        <v>866</v>
      </c>
      <c r="AJ1178" s="1" t="s">
        <v>2526</v>
      </c>
      <c r="AK1178" s="1">
        <v>310573</v>
      </c>
      <c r="AL1178" s="1" t="s">
        <v>930</v>
      </c>
      <c r="AN1178" s="270">
        <v>272</v>
      </c>
      <c r="BS1178" s="1">
        <v>10805</v>
      </c>
      <c r="BT1178" s="1" t="s">
        <v>902</v>
      </c>
      <c r="BX1178" s="36"/>
    </row>
    <row r="1179" spans="2:76" ht="14.25">
      <c r="B1179" s="36"/>
      <c r="C1179" s="36"/>
      <c r="D1179" s="36"/>
      <c r="E1179" s="36"/>
      <c r="F1179" s="36"/>
      <c r="G1179" s="36"/>
      <c r="H1179" s="36"/>
      <c r="J1179" s="36"/>
      <c r="L1179" s="1" t="str">
        <f t="shared" si="110"/>
        <v/>
      </c>
      <c r="M1179" s="94">
        <v>1174</v>
      </c>
      <c r="N1179" s="36" t="s">
        <v>2835</v>
      </c>
      <c r="O1179" s="95">
        <v>310881</v>
      </c>
      <c r="P1179" s="36"/>
      <c r="AI1179" s="122">
        <v>867</v>
      </c>
      <c r="AJ1179" s="1" t="s">
        <v>2527</v>
      </c>
      <c r="AK1179" s="1">
        <v>310574</v>
      </c>
      <c r="AL1179" s="1" t="s">
        <v>115</v>
      </c>
      <c r="AN1179" s="270">
        <v>273</v>
      </c>
      <c r="BS1179" s="1">
        <v>10806</v>
      </c>
      <c r="BT1179" s="1" t="s">
        <v>902</v>
      </c>
      <c r="BX1179" s="36"/>
    </row>
    <row r="1180" spans="2:76" ht="14.25">
      <c r="B1180" s="36"/>
      <c r="C1180" s="36"/>
      <c r="D1180" s="36"/>
      <c r="E1180" s="36"/>
      <c r="F1180" s="36"/>
      <c r="G1180" s="36"/>
      <c r="H1180" s="36"/>
      <c r="J1180" s="36"/>
      <c r="L1180" s="1" t="str">
        <f t="shared" si="110"/>
        <v/>
      </c>
      <c r="M1180" s="94">
        <v>1175</v>
      </c>
      <c r="N1180" s="36" t="s">
        <v>2836</v>
      </c>
      <c r="O1180" s="95">
        <v>310882</v>
      </c>
      <c r="P1180" s="36"/>
      <c r="AI1180" s="122">
        <v>868</v>
      </c>
      <c r="AJ1180" s="1" t="s">
        <v>2528</v>
      </c>
      <c r="AK1180" s="1">
        <v>310575</v>
      </c>
      <c r="AL1180" s="1" t="s">
        <v>930</v>
      </c>
      <c r="AN1180" s="270">
        <v>274</v>
      </c>
      <c r="BS1180" s="1">
        <v>10807</v>
      </c>
      <c r="BT1180" s="1" t="s">
        <v>902</v>
      </c>
      <c r="BX1180" s="36"/>
    </row>
    <row r="1181" spans="2:76" ht="14.25">
      <c r="B1181" s="36"/>
      <c r="C1181" s="36"/>
      <c r="D1181" s="36"/>
      <c r="E1181" s="36"/>
      <c r="F1181" s="36"/>
      <c r="G1181" s="36"/>
      <c r="H1181" s="36"/>
      <c r="J1181" s="36"/>
      <c r="L1181" s="1" t="str">
        <f t="shared" si="110"/>
        <v/>
      </c>
      <c r="M1181" s="94">
        <v>1176</v>
      </c>
      <c r="N1181" s="36" t="s">
        <v>2837</v>
      </c>
      <c r="O1181" s="95">
        <v>310883</v>
      </c>
      <c r="P1181" s="36"/>
      <c r="AI1181" s="122">
        <v>869</v>
      </c>
      <c r="AJ1181" s="1" t="s">
        <v>2529</v>
      </c>
      <c r="AK1181" s="1">
        <v>310576</v>
      </c>
      <c r="AL1181" s="1" t="s">
        <v>115</v>
      </c>
      <c r="AN1181" s="270">
        <v>275</v>
      </c>
      <c r="BS1181" s="1">
        <v>10808</v>
      </c>
      <c r="BT1181" s="1" t="s">
        <v>902</v>
      </c>
      <c r="BX1181" s="36"/>
    </row>
    <row r="1182" spans="2:76" ht="14.25">
      <c r="B1182" s="36"/>
      <c r="C1182" s="36"/>
      <c r="D1182" s="36"/>
      <c r="E1182" s="36"/>
      <c r="F1182" s="36"/>
      <c r="G1182" s="36"/>
      <c r="H1182" s="36"/>
      <c r="J1182" s="36"/>
      <c r="L1182" s="1" t="str">
        <f t="shared" si="110"/>
        <v/>
      </c>
      <c r="M1182" s="94">
        <v>1177</v>
      </c>
      <c r="N1182" s="36" t="s">
        <v>2838</v>
      </c>
      <c r="O1182" s="95">
        <v>310884</v>
      </c>
      <c r="P1182" s="36"/>
      <c r="AI1182" s="122">
        <v>870</v>
      </c>
      <c r="AJ1182" s="1" t="s">
        <v>2530</v>
      </c>
      <c r="AK1182" s="1">
        <v>310577</v>
      </c>
      <c r="AL1182" s="1" t="s">
        <v>930</v>
      </c>
      <c r="AN1182" s="270">
        <v>276</v>
      </c>
      <c r="BS1182" s="1">
        <v>10809</v>
      </c>
      <c r="BT1182" s="1" t="s">
        <v>902</v>
      </c>
      <c r="BX1182" s="36"/>
    </row>
    <row r="1183" spans="2:76" ht="14.25">
      <c r="B1183" s="36"/>
      <c r="C1183" s="36"/>
      <c r="D1183" s="36"/>
      <c r="E1183" s="36"/>
      <c r="F1183" s="36"/>
      <c r="G1183" s="36"/>
      <c r="H1183" s="36"/>
      <c r="J1183" s="36"/>
      <c r="L1183" s="1" t="str">
        <f t="shared" si="110"/>
        <v/>
      </c>
      <c r="M1183" s="94">
        <v>1178</v>
      </c>
      <c r="N1183" s="36" t="s">
        <v>2839</v>
      </c>
      <c r="O1183" s="95">
        <v>310885</v>
      </c>
      <c r="P1183" s="36"/>
      <c r="AI1183" s="122">
        <v>871</v>
      </c>
      <c r="AJ1183" s="1" t="s">
        <v>2531</v>
      </c>
      <c r="AK1183" s="1">
        <v>310578</v>
      </c>
      <c r="AL1183" s="1" t="s">
        <v>930</v>
      </c>
      <c r="AN1183" s="270">
        <v>277</v>
      </c>
      <c r="BS1183" s="1">
        <v>10810</v>
      </c>
      <c r="BT1183" s="1" t="s">
        <v>902</v>
      </c>
      <c r="BX1183" s="36"/>
    </row>
    <row r="1184" spans="2:76" ht="14.25">
      <c r="B1184" s="36"/>
      <c r="C1184" s="36"/>
      <c r="D1184" s="36"/>
      <c r="E1184" s="36"/>
      <c r="F1184" s="36"/>
      <c r="G1184" s="36"/>
      <c r="H1184" s="36"/>
      <c r="J1184" s="36"/>
      <c r="L1184" s="1" t="str">
        <f t="shared" si="110"/>
        <v/>
      </c>
      <c r="M1184" s="94">
        <v>1179</v>
      </c>
      <c r="N1184" s="36" t="s">
        <v>2840</v>
      </c>
      <c r="O1184" s="95">
        <v>310886</v>
      </c>
      <c r="P1184" s="36"/>
      <c r="AI1184" s="122">
        <v>872</v>
      </c>
      <c r="AJ1184" s="1" t="s">
        <v>2532</v>
      </c>
      <c r="AK1184" s="1">
        <v>310579</v>
      </c>
      <c r="AL1184" s="1" t="s">
        <v>115</v>
      </c>
      <c r="AN1184" s="270">
        <v>278</v>
      </c>
      <c r="BS1184" s="1">
        <v>10811</v>
      </c>
      <c r="BT1184" s="1" t="s">
        <v>902</v>
      </c>
      <c r="BX1184" s="36"/>
    </row>
    <row r="1185" spans="2:76" ht="14.25">
      <c r="B1185" s="36"/>
      <c r="C1185" s="36"/>
      <c r="D1185" s="36"/>
      <c r="E1185" s="36"/>
      <c r="F1185" s="36"/>
      <c r="G1185" s="36"/>
      <c r="H1185" s="36"/>
      <c r="J1185" s="36"/>
      <c r="L1185" s="1" t="str">
        <f t="shared" si="110"/>
        <v/>
      </c>
      <c r="M1185" s="94">
        <v>1180</v>
      </c>
      <c r="N1185" s="36" t="s">
        <v>2841</v>
      </c>
      <c r="O1185" s="95">
        <v>310887</v>
      </c>
      <c r="P1185" s="36"/>
      <c r="AI1185" s="122">
        <v>873</v>
      </c>
      <c r="AJ1185" s="1" t="s">
        <v>2533</v>
      </c>
      <c r="AK1185" s="1">
        <v>310580</v>
      </c>
      <c r="AL1185" s="1" t="s">
        <v>930</v>
      </c>
      <c r="AN1185" s="270">
        <v>279</v>
      </c>
      <c r="BS1185" s="1">
        <v>10812</v>
      </c>
      <c r="BT1185" s="1" t="s">
        <v>902</v>
      </c>
      <c r="BX1185" s="36"/>
    </row>
    <row r="1186" spans="2:76" ht="14.25">
      <c r="B1186" s="36"/>
      <c r="C1186" s="36"/>
      <c r="D1186" s="36"/>
      <c r="E1186" s="36"/>
      <c r="F1186" s="36"/>
      <c r="G1186" s="36"/>
      <c r="H1186" s="36"/>
      <c r="J1186" s="36"/>
      <c r="L1186" s="1" t="str">
        <f t="shared" si="110"/>
        <v/>
      </c>
      <c r="M1186" s="94">
        <v>1181</v>
      </c>
      <c r="N1186" s="36" t="s">
        <v>2842</v>
      </c>
      <c r="O1186" s="95">
        <v>310888</v>
      </c>
      <c r="P1186" s="36"/>
      <c r="AI1186" s="122">
        <v>874</v>
      </c>
      <c r="AJ1186" s="1" t="s">
        <v>2534</v>
      </c>
      <c r="AK1186" s="1">
        <v>310581</v>
      </c>
      <c r="AL1186" s="1" t="s">
        <v>115</v>
      </c>
      <c r="AN1186" s="270">
        <v>280</v>
      </c>
      <c r="BS1186" s="1">
        <v>10813</v>
      </c>
      <c r="BT1186" s="1" t="s">
        <v>902</v>
      </c>
      <c r="BX1186" s="36"/>
    </row>
    <row r="1187" spans="2:76" ht="14.25">
      <c r="B1187" s="36"/>
      <c r="C1187" s="36"/>
      <c r="D1187" s="36"/>
      <c r="E1187" s="36"/>
      <c r="F1187" s="36"/>
      <c r="G1187" s="36"/>
      <c r="H1187" s="36"/>
      <c r="J1187" s="36"/>
      <c r="L1187" s="1" t="str">
        <f t="shared" si="110"/>
        <v/>
      </c>
      <c r="M1187" s="94">
        <v>1182</v>
      </c>
      <c r="N1187" s="36" t="s">
        <v>2843</v>
      </c>
      <c r="O1187" s="95">
        <v>310889</v>
      </c>
      <c r="P1187" s="36"/>
      <c r="AI1187" s="122">
        <v>875</v>
      </c>
      <c r="AJ1187" s="1" t="s">
        <v>2535</v>
      </c>
      <c r="AK1187" s="1">
        <v>310582</v>
      </c>
      <c r="AL1187" s="1" t="s">
        <v>930</v>
      </c>
      <c r="AN1187" s="270">
        <v>281</v>
      </c>
      <c r="BS1187" s="1">
        <v>10814</v>
      </c>
      <c r="BT1187" s="1" t="s">
        <v>902</v>
      </c>
      <c r="BX1187" s="36"/>
    </row>
    <row r="1188" spans="2:76" ht="14.25">
      <c r="B1188" s="36"/>
      <c r="C1188" s="36"/>
      <c r="D1188" s="36"/>
      <c r="E1188" s="36"/>
      <c r="F1188" s="36"/>
      <c r="G1188" s="36"/>
      <c r="H1188" s="36"/>
      <c r="J1188" s="36"/>
      <c r="L1188" s="1" t="str">
        <f t="shared" si="110"/>
        <v/>
      </c>
      <c r="M1188" s="94">
        <v>1183</v>
      </c>
      <c r="N1188" s="36" t="s">
        <v>2844</v>
      </c>
      <c r="O1188" s="95">
        <v>310890</v>
      </c>
      <c r="P1188" s="36"/>
      <c r="AI1188" s="122">
        <v>876</v>
      </c>
      <c r="AJ1188" s="1" t="s">
        <v>2536</v>
      </c>
      <c r="AK1188" s="1">
        <v>310583</v>
      </c>
      <c r="AL1188" s="1" t="s">
        <v>115</v>
      </c>
      <c r="AN1188" s="270">
        <v>282</v>
      </c>
      <c r="BS1188" s="1">
        <v>10815</v>
      </c>
      <c r="BT1188" s="1" t="s">
        <v>902</v>
      </c>
      <c r="BX1188" s="36"/>
    </row>
    <row r="1189" spans="2:76" ht="14.25">
      <c r="B1189" s="36"/>
      <c r="C1189" s="36"/>
      <c r="D1189" s="36"/>
      <c r="E1189" s="36"/>
      <c r="F1189" s="36"/>
      <c r="G1189" s="36"/>
      <c r="H1189" s="36"/>
      <c r="J1189" s="36"/>
      <c r="L1189" s="1" t="str">
        <f t="shared" si="110"/>
        <v/>
      </c>
      <c r="M1189" s="94">
        <v>1184</v>
      </c>
      <c r="N1189" s="36" t="s">
        <v>2845</v>
      </c>
      <c r="O1189" s="95">
        <v>310891</v>
      </c>
      <c r="P1189" s="36"/>
      <c r="AI1189" s="122">
        <v>877</v>
      </c>
      <c r="AJ1189" s="1" t="s">
        <v>2537</v>
      </c>
      <c r="AK1189" s="1">
        <v>310584</v>
      </c>
      <c r="AL1189" s="1" t="s">
        <v>930</v>
      </c>
      <c r="AN1189" s="270">
        <v>283</v>
      </c>
      <c r="BS1189" s="1">
        <v>10816</v>
      </c>
      <c r="BT1189" s="1" t="s">
        <v>902</v>
      </c>
      <c r="BX1189" s="36"/>
    </row>
    <row r="1190" spans="2:76" ht="14.25">
      <c r="B1190" s="36"/>
      <c r="C1190" s="36"/>
      <c r="D1190" s="36"/>
      <c r="E1190" s="36"/>
      <c r="F1190" s="36"/>
      <c r="G1190" s="36"/>
      <c r="H1190" s="36"/>
      <c r="J1190" s="36"/>
      <c r="L1190" s="1" t="str">
        <f t="shared" si="110"/>
        <v/>
      </c>
      <c r="M1190" s="94">
        <v>1185</v>
      </c>
      <c r="N1190" s="36" t="s">
        <v>2846</v>
      </c>
      <c r="O1190" s="95">
        <v>310892</v>
      </c>
      <c r="P1190" s="36"/>
      <c r="AI1190" s="122">
        <v>878</v>
      </c>
      <c r="AJ1190" s="1" t="s">
        <v>2538</v>
      </c>
      <c r="AK1190" s="1">
        <v>310585</v>
      </c>
      <c r="AL1190" s="1" t="s">
        <v>930</v>
      </c>
      <c r="AN1190" s="270">
        <v>284</v>
      </c>
      <c r="BS1190" s="1">
        <v>10817</v>
      </c>
      <c r="BT1190" s="1" t="s">
        <v>902</v>
      </c>
      <c r="BX1190" s="36"/>
    </row>
    <row r="1191" spans="2:76" ht="14.25">
      <c r="B1191" s="36"/>
      <c r="C1191" s="36"/>
      <c r="D1191" s="36"/>
      <c r="E1191" s="36"/>
      <c r="F1191" s="36"/>
      <c r="G1191" s="36"/>
      <c r="H1191" s="36"/>
      <c r="J1191" s="36"/>
      <c r="L1191" s="1" t="str">
        <f t="shared" si="110"/>
        <v/>
      </c>
      <c r="M1191" s="94">
        <v>1186</v>
      </c>
      <c r="N1191" s="36" t="s">
        <v>2847</v>
      </c>
      <c r="O1191" s="95">
        <v>310893</v>
      </c>
      <c r="P1191" s="36"/>
      <c r="AI1191" s="122">
        <v>879</v>
      </c>
      <c r="AJ1191" s="1" t="s">
        <v>2539</v>
      </c>
      <c r="AK1191" s="1">
        <v>310586</v>
      </c>
      <c r="AL1191" s="1" t="s">
        <v>115</v>
      </c>
      <c r="AN1191" s="270">
        <v>285</v>
      </c>
      <c r="BS1191" s="1">
        <v>10818</v>
      </c>
      <c r="BT1191" s="1" t="s">
        <v>902</v>
      </c>
      <c r="BX1191" s="36"/>
    </row>
    <row r="1192" spans="2:76" ht="14.25">
      <c r="B1192" s="36"/>
      <c r="C1192" s="36"/>
      <c r="D1192" s="36"/>
      <c r="E1192" s="36"/>
      <c r="F1192" s="36"/>
      <c r="G1192" s="36"/>
      <c r="H1192" s="36"/>
      <c r="J1192" s="36"/>
      <c r="L1192" s="1" t="str">
        <f t="shared" si="110"/>
        <v/>
      </c>
      <c r="M1192" s="94">
        <v>1187</v>
      </c>
      <c r="N1192" s="36" t="s">
        <v>2848</v>
      </c>
      <c r="O1192" s="95">
        <v>310894</v>
      </c>
      <c r="P1192" s="36"/>
      <c r="AI1192" s="122">
        <v>880</v>
      </c>
      <c r="AJ1192" s="1" t="s">
        <v>2540</v>
      </c>
      <c r="AK1192" s="1">
        <v>310587</v>
      </c>
      <c r="AL1192" s="1" t="s">
        <v>930</v>
      </c>
      <c r="AN1192" s="270">
        <v>286</v>
      </c>
      <c r="BS1192" s="1">
        <v>10819</v>
      </c>
      <c r="BT1192" s="1" t="s">
        <v>902</v>
      </c>
      <c r="BX1192" s="36"/>
    </row>
    <row r="1193" spans="2:76" ht="14.25">
      <c r="B1193" s="36"/>
      <c r="C1193" s="36"/>
      <c r="D1193" s="36"/>
      <c r="E1193" s="36"/>
      <c r="F1193" s="36"/>
      <c r="G1193" s="36"/>
      <c r="H1193" s="36"/>
      <c r="J1193" s="36"/>
      <c r="L1193" s="1" t="str">
        <f t="shared" si="110"/>
        <v/>
      </c>
      <c r="M1193" s="94">
        <v>1188</v>
      </c>
      <c r="N1193" s="36" t="s">
        <v>2849</v>
      </c>
      <c r="O1193" s="95">
        <v>310895</v>
      </c>
      <c r="P1193" s="36"/>
      <c r="AI1193" s="122">
        <v>881</v>
      </c>
      <c r="AJ1193" s="1" t="s">
        <v>2541</v>
      </c>
      <c r="AK1193" s="1">
        <v>310588</v>
      </c>
      <c r="AL1193" s="1" t="s">
        <v>115</v>
      </c>
      <c r="AN1193" s="270">
        <v>287</v>
      </c>
      <c r="BS1193" s="1">
        <v>10820</v>
      </c>
      <c r="BT1193" s="1" t="s">
        <v>902</v>
      </c>
      <c r="BX1193" s="36"/>
    </row>
    <row r="1194" spans="2:76" ht="14.25">
      <c r="B1194" s="36"/>
      <c r="C1194" s="36"/>
      <c r="D1194" s="36"/>
      <c r="E1194" s="36"/>
      <c r="F1194" s="36"/>
      <c r="G1194" s="36"/>
      <c r="H1194" s="36"/>
      <c r="J1194" s="36"/>
      <c r="L1194" s="1" t="str">
        <f t="shared" si="110"/>
        <v/>
      </c>
      <c r="M1194" s="94">
        <v>1189</v>
      </c>
      <c r="N1194" s="36" t="s">
        <v>2850</v>
      </c>
      <c r="O1194" s="95">
        <v>310896</v>
      </c>
      <c r="P1194" s="36"/>
      <c r="AI1194" s="122">
        <v>882</v>
      </c>
      <c r="AJ1194" s="1" t="s">
        <v>2542</v>
      </c>
      <c r="AK1194" s="1">
        <v>310589</v>
      </c>
      <c r="AL1194" s="1" t="s">
        <v>930</v>
      </c>
      <c r="AN1194" s="270">
        <v>288</v>
      </c>
      <c r="BS1194" s="1">
        <v>10821</v>
      </c>
      <c r="BT1194" s="1" t="s">
        <v>902</v>
      </c>
      <c r="BX1194" s="36"/>
    </row>
    <row r="1195" spans="2:76" ht="14.25">
      <c r="B1195" s="36"/>
      <c r="C1195" s="36"/>
      <c r="D1195" s="36"/>
      <c r="E1195" s="36"/>
      <c r="F1195" s="36"/>
      <c r="G1195" s="36"/>
      <c r="H1195" s="36"/>
      <c r="J1195" s="36"/>
      <c r="L1195" s="1" t="str">
        <f t="shared" si="110"/>
        <v/>
      </c>
      <c r="M1195" s="94">
        <v>1190</v>
      </c>
      <c r="N1195" s="36" t="s">
        <v>2851</v>
      </c>
      <c r="O1195" s="95">
        <v>310897</v>
      </c>
      <c r="P1195" s="36"/>
      <c r="AI1195" s="122">
        <v>883</v>
      </c>
      <c r="AJ1195" s="1" t="s">
        <v>2543</v>
      </c>
      <c r="AK1195" s="1">
        <v>310590</v>
      </c>
      <c r="AL1195" s="1" t="s">
        <v>115</v>
      </c>
      <c r="AN1195" s="270">
        <v>289</v>
      </c>
      <c r="BS1195" s="1">
        <v>10822</v>
      </c>
      <c r="BT1195" s="1" t="s">
        <v>902</v>
      </c>
      <c r="BX1195" s="36"/>
    </row>
    <row r="1196" spans="2:76" ht="14.25">
      <c r="B1196" s="36"/>
      <c r="C1196" s="36"/>
      <c r="D1196" s="36"/>
      <c r="E1196" s="36"/>
      <c r="F1196" s="36"/>
      <c r="G1196" s="36"/>
      <c r="H1196" s="36"/>
      <c r="J1196" s="36"/>
      <c r="L1196" s="1" t="str">
        <f t="shared" si="110"/>
        <v/>
      </c>
      <c r="M1196" s="94">
        <v>1191</v>
      </c>
      <c r="N1196" s="36" t="s">
        <v>2852</v>
      </c>
      <c r="O1196" s="95">
        <v>310898</v>
      </c>
      <c r="P1196" s="36"/>
      <c r="AI1196" s="122">
        <v>884</v>
      </c>
      <c r="AJ1196" s="1" t="s">
        <v>2544</v>
      </c>
      <c r="AK1196" s="1">
        <v>310591</v>
      </c>
      <c r="AL1196" s="1" t="s">
        <v>930</v>
      </c>
      <c r="AN1196" s="270">
        <v>290</v>
      </c>
      <c r="BS1196" s="1">
        <v>10823</v>
      </c>
      <c r="BT1196" s="1" t="s">
        <v>902</v>
      </c>
      <c r="BX1196" s="36"/>
    </row>
    <row r="1197" spans="2:76" ht="14.25">
      <c r="B1197" s="36"/>
      <c r="C1197" s="36"/>
      <c r="D1197" s="36"/>
      <c r="E1197" s="36"/>
      <c r="F1197" s="36"/>
      <c r="G1197" s="36"/>
      <c r="H1197" s="36"/>
      <c r="J1197" s="36"/>
      <c r="L1197" s="1" t="str">
        <f t="shared" si="110"/>
        <v/>
      </c>
      <c r="M1197" s="94">
        <v>1192</v>
      </c>
      <c r="N1197" s="36" t="s">
        <v>2853</v>
      </c>
      <c r="O1197" s="95">
        <v>310899</v>
      </c>
      <c r="P1197" s="36"/>
      <c r="AI1197" s="122">
        <v>885</v>
      </c>
      <c r="AJ1197" s="1" t="s">
        <v>2545</v>
      </c>
      <c r="AK1197" s="1">
        <v>310592</v>
      </c>
      <c r="AL1197" s="1" t="s">
        <v>930</v>
      </c>
      <c r="AN1197" s="270">
        <v>291</v>
      </c>
      <c r="BS1197" s="1">
        <v>10824</v>
      </c>
      <c r="BT1197" s="1" t="s">
        <v>902</v>
      </c>
      <c r="BX1197" s="36"/>
    </row>
    <row r="1198" spans="2:76" ht="14.25">
      <c r="B1198" s="36"/>
      <c r="C1198" s="36"/>
      <c r="D1198" s="36"/>
      <c r="E1198" s="36"/>
      <c r="F1198" s="36"/>
      <c r="G1198" s="36"/>
      <c r="H1198" s="36"/>
      <c r="J1198" s="36"/>
      <c r="L1198" s="1" t="str">
        <f t="shared" si="110"/>
        <v/>
      </c>
      <c r="M1198" s="94">
        <v>1193</v>
      </c>
      <c r="N1198" s="36" t="s">
        <v>2854</v>
      </c>
      <c r="O1198" s="95">
        <v>310900</v>
      </c>
      <c r="P1198" s="36"/>
      <c r="AI1198" s="122">
        <v>886</v>
      </c>
      <c r="AJ1198" s="1" t="s">
        <v>2546</v>
      </c>
      <c r="AK1198" s="1">
        <v>310593</v>
      </c>
      <c r="AL1198" s="1" t="s">
        <v>115</v>
      </c>
      <c r="AN1198" s="270">
        <v>292</v>
      </c>
      <c r="BS1198" s="1">
        <v>10825</v>
      </c>
      <c r="BT1198" s="1" t="s">
        <v>902</v>
      </c>
      <c r="BX1198" s="36"/>
    </row>
    <row r="1199" spans="2:76" ht="14.25">
      <c r="B1199" s="36"/>
      <c r="C1199" s="36"/>
      <c r="D1199" s="36"/>
      <c r="E1199" s="36"/>
      <c r="F1199" s="36"/>
      <c r="G1199" s="36"/>
      <c r="H1199" s="36"/>
      <c r="J1199" s="36"/>
      <c r="L1199" s="1" t="str">
        <f t="shared" si="110"/>
        <v/>
      </c>
      <c r="M1199" s="94">
        <v>1194</v>
      </c>
      <c r="N1199" s="36" t="s">
        <v>2855</v>
      </c>
      <c r="O1199" s="95">
        <v>310901</v>
      </c>
      <c r="P1199" s="36"/>
      <c r="AI1199" s="122">
        <v>887</v>
      </c>
      <c r="AJ1199" s="1" t="s">
        <v>2547</v>
      </c>
      <c r="AK1199" s="1">
        <v>310594</v>
      </c>
      <c r="AL1199" s="1" t="s">
        <v>930</v>
      </c>
      <c r="AN1199" s="270">
        <v>293</v>
      </c>
      <c r="BS1199" s="1">
        <v>10826</v>
      </c>
      <c r="BT1199" s="1" t="s">
        <v>902</v>
      </c>
      <c r="BX1199" s="36"/>
    </row>
    <row r="1200" spans="2:76" ht="14.25">
      <c r="B1200" s="36"/>
      <c r="C1200" s="36"/>
      <c r="D1200" s="36"/>
      <c r="E1200" s="36"/>
      <c r="F1200" s="36"/>
      <c r="G1200" s="36"/>
      <c r="H1200" s="36"/>
      <c r="J1200" s="36"/>
      <c r="L1200" s="1" t="str">
        <f t="shared" si="110"/>
        <v/>
      </c>
      <c r="M1200" s="94">
        <v>1195</v>
      </c>
      <c r="N1200" s="36" t="s">
        <v>2856</v>
      </c>
      <c r="O1200" s="95">
        <v>310902</v>
      </c>
      <c r="P1200" s="36"/>
      <c r="AI1200" s="122">
        <v>888</v>
      </c>
      <c r="AJ1200" s="1" t="s">
        <v>2548</v>
      </c>
      <c r="AK1200" s="1">
        <v>310595</v>
      </c>
      <c r="AL1200" s="1" t="s">
        <v>115</v>
      </c>
      <c r="AN1200" s="270">
        <v>294</v>
      </c>
      <c r="BS1200" s="1">
        <v>10827</v>
      </c>
      <c r="BT1200" s="1" t="s">
        <v>902</v>
      </c>
      <c r="BX1200" s="36"/>
    </row>
    <row r="1201" spans="2:76" ht="14.25">
      <c r="B1201" s="36"/>
      <c r="C1201" s="36"/>
      <c r="D1201" s="36"/>
      <c r="E1201" s="36"/>
      <c r="F1201" s="36"/>
      <c r="G1201" s="36"/>
      <c r="H1201" s="36"/>
      <c r="J1201" s="36"/>
      <c r="L1201" s="1" t="str">
        <f t="shared" si="110"/>
        <v/>
      </c>
      <c r="M1201" s="94">
        <v>1196</v>
      </c>
      <c r="N1201" s="36" t="s">
        <v>2857</v>
      </c>
      <c r="O1201" s="95">
        <v>310903</v>
      </c>
      <c r="P1201" s="36"/>
      <c r="AI1201" s="122">
        <v>889</v>
      </c>
      <c r="AJ1201" s="1" t="s">
        <v>2549</v>
      </c>
      <c r="AK1201" s="1">
        <v>310596</v>
      </c>
      <c r="AL1201" s="1" t="s">
        <v>930</v>
      </c>
      <c r="AN1201" s="270">
        <v>295</v>
      </c>
      <c r="BS1201" s="1">
        <v>10828</v>
      </c>
      <c r="BT1201" s="1" t="s">
        <v>902</v>
      </c>
      <c r="BX1201" s="36"/>
    </row>
    <row r="1202" spans="2:76" ht="14.25">
      <c r="B1202" s="36"/>
      <c r="C1202" s="36"/>
      <c r="D1202" s="36"/>
      <c r="E1202" s="36"/>
      <c r="F1202" s="36"/>
      <c r="G1202" s="36"/>
      <c r="H1202" s="36"/>
      <c r="J1202" s="36"/>
      <c r="L1202" s="1" t="str">
        <f t="shared" si="110"/>
        <v/>
      </c>
      <c r="M1202" s="94">
        <v>1197</v>
      </c>
      <c r="N1202" s="36" t="s">
        <v>2858</v>
      </c>
      <c r="O1202" s="95">
        <v>310904</v>
      </c>
      <c r="P1202" s="36"/>
      <c r="AI1202" s="122">
        <v>890</v>
      </c>
      <c r="AJ1202" s="1" t="s">
        <v>2550</v>
      </c>
      <c r="AK1202" s="1">
        <v>310597</v>
      </c>
      <c r="AL1202" s="1" t="s">
        <v>115</v>
      </c>
      <c r="AN1202" s="270">
        <v>296</v>
      </c>
      <c r="BS1202" s="1">
        <v>10829</v>
      </c>
      <c r="BT1202" s="1" t="s">
        <v>902</v>
      </c>
      <c r="BX1202" s="36"/>
    </row>
    <row r="1203" spans="2:76" ht="14.25">
      <c r="B1203" s="36"/>
      <c r="C1203" s="36"/>
      <c r="D1203" s="36"/>
      <c r="E1203" s="36"/>
      <c r="F1203" s="36"/>
      <c r="G1203" s="36"/>
      <c r="H1203" s="36"/>
      <c r="J1203" s="36"/>
      <c r="L1203" s="1" t="str">
        <f t="shared" si="110"/>
        <v/>
      </c>
      <c r="M1203" s="94">
        <v>1198</v>
      </c>
      <c r="N1203" s="36" t="s">
        <v>2859</v>
      </c>
      <c r="O1203" s="95">
        <v>310905</v>
      </c>
      <c r="P1203" s="36"/>
      <c r="AI1203" s="122">
        <v>891</v>
      </c>
      <c r="AJ1203" s="1" t="s">
        <v>2551</v>
      </c>
      <c r="AK1203" s="1">
        <v>310598</v>
      </c>
      <c r="AL1203" s="1" t="s">
        <v>930</v>
      </c>
      <c r="AN1203" s="270">
        <v>297</v>
      </c>
      <c r="BS1203" s="1">
        <v>10830</v>
      </c>
      <c r="BT1203" s="1" t="s">
        <v>902</v>
      </c>
      <c r="BX1203" s="36"/>
    </row>
    <row r="1204" spans="2:76" ht="14.25">
      <c r="B1204" s="36"/>
      <c r="C1204" s="36"/>
      <c r="D1204" s="36"/>
      <c r="E1204" s="36"/>
      <c r="F1204" s="36"/>
      <c r="G1204" s="36"/>
      <c r="H1204" s="36"/>
      <c r="J1204" s="36"/>
      <c r="L1204" s="1" t="str">
        <f t="shared" si="110"/>
        <v/>
      </c>
      <c r="M1204" s="94">
        <v>1199</v>
      </c>
      <c r="N1204" s="36" t="s">
        <v>2860</v>
      </c>
      <c r="O1204" s="95">
        <v>310906</v>
      </c>
      <c r="P1204" s="36"/>
      <c r="AI1204" s="122">
        <v>892</v>
      </c>
      <c r="AJ1204" s="1" t="s">
        <v>2552</v>
      </c>
      <c r="AK1204" s="1">
        <v>310599</v>
      </c>
      <c r="AL1204" s="1" t="s">
        <v>115</v>
      </c>
      <c r="AN1204" s="270">
        <v>298</v>
      </c>
      <c r="BS1204" s="1">
        <v>10831</v>
      </c>
      <c r="BT1204" s="1" t="s">
        <v>902</v>
      </c>
      <c r="BX1204" s="36"/>
    </row>
    <row r="1205" spans="2:76" ht="14.25">
      <c r="B1205" s="36"/>
      <c r="C1205" s="36"/>
      <c r="D1205" s="36"/>
      <c r="E1205" s="36"/>
      <c r="F1205" s="36"/>
      <c r="G1205" s="36"/>
      <c r="H1205" s="36"/>
      <c r="J1205" s="36"/>
      <c r="L1205" s="1" t="str">
        <f t="shared" si="110"/>
        <v/>
      </c>
      <c r="M1205" s="94">
        <v>1200</v>
      </c>
      <c r="N1205" s="36" t="s">
        <v>2861</v>
      </c>
      <c r="O1205" s="95">
        <v>310907</v>
      </c>
      <c r="P1205" s="36"/>
      <c r="AI1205" s="122">
        <v>893</v>
      </c>
      <c r="AJ1205" s="1" t="s">
        <v>2553</v>
      </c>
      <c r="AK1205" s="1">
        <v>310600</v>
      </c>
      <c r="AL1205" s="1" t="s">
        <v>930</v>
      </c>
      <c r="AN1205" s="270">
        <v>299</v>
      </c>
      <c r="BS1205" s="1">
        <v>10832</v>
      </c>
      <c r="BT1205" s="1" t="s">
        <v>902</v>
      </c>
      <c r="BX1205" s="36"/>
    </row>
    <row r="1206" spans="2:76" ht="14.25">
      <c r="B1206" s="36"/>
      <c r="C1206" s="36"/>
      <c r="D1206" s="36"/>
      <c r="E1206" s="36"/>
      <c r="F1206" s="36"/>
      <c r="G1206" s="36"/>
      <c r="H1206" s="36"/>
      <c r="J1206" s="36"/>
      <c r="L1206" s="1" t="str">
        <f t="shared" si="110"/>
        <v/>
      </c>
      <c r="M1206" s="94">
        <v>1201</v>
      </c>
      <c r="N1206" s="36" t="s">
        <v>2862</v>
      </c>
      <c r="O1206" s="95">
        <v>310908</v>
      </c>
      <c r="P1206" s="36"/>
      <c r="AI1206" s="122">
        <v>894</v>
      </c>
      <c r="AJ1206" s="1" t="s">
        <v>2554</v>
      </c>
      <c r="AK1206" s="1">
        <v>310601</v>
      </c>
      <c r="AL1206" s="1" t="s">
        <v>930</v>
      </c>
      <c r="AN1206" s="270">
        <v>300</v>
      </c>
      <c r="BS1206" s="1">
        <v>10833</v>
      </c>
      <c r="BT1206" s="1" t="s">
        <v>902</v>
      </c>
      <c r="BX1206" s="36"/>
    </row>
    <row r="1207" spans="2:76" ht="14.25">
      <c r="B1207" s="36"/>
      <c r="C1207" s="36"/>
      <c r="D1207" s="36"/>
      <c r="E1207" s="36"/>
      <c r="F1207" s="36"/>
      <c r="G1207" s="36"/>
      <c r="H1207" s="36"/>
      <c r="J1207" s="36"/>
      <c r="L1207" s="1" t="str">
        <f t="shared" si="110"/>
        <v/>
      </c>
      <c r="M1207" s="94">
        <v>1202</v>
      </c>
      <c r="N1207" s="36" t="s">
        <v>2863</v>
      </c>
      <c r="O1207" s="95">
        <v>310909</v>
      </c>
      <c r="P1207" s="36"/>
      <c r="AI1207" s="122">
        <v>895</v>
      </c>
      <c r="AJ1207" s="1" t="s">
        <v>2555</v>
      </c>
      <c r="AK1207" s="1">
        <v>310602</v>
      </c>
      <c r="AL1207" s="1" t="s">
        <v>115</v>
      </c>
      <c r="AN1207" s="270">
        <v>301</v>
      </c>
      <c r="BS1207" s="1">
        <v>10834</v>
      </c>
      <c r="BT1207" s="1" t="s">
        <v>902</v>
      </c>
      <c r="BX1207" s="36"/>
    </row>
    <row r="1208" spans="2:76" ht="14.25">
      <c r="B1208" s="36"/>
      <c r="C1208" s="36"/>
      <c r="D1208" s="36"/>
      <c r="E1208" s="36"/>
      <c r="F1208" s="36"/>
      <c r="G1208" s="36"/>
      <c r="H1208" s="36"/>
      <c r="J1208" s="36"/>
      <c r="L1208" s="1" t="str">
        <f t="shared" si="110"/>
        <v/>
      </c>
      <c r="M1208" s="94">
        <v>1203</v>
      </c>
      <c r="N1208" s="36" t="s">
        <v>2864</v>
      </c>
      <c r="O1208" s="95">
        <v>310910</v>
      </c>
      <c r="P1208" s="36"/>
      <c r="AI1208" s="122">
        <v>896</v>
      </c>
      <c r="AJ1208" s="1" t="s">
        <v>2556</v>
      </c>
      <c r="AK1208" s="1">
        <v>310603</v>
      </c>
      <c r="AL1208" s="1" t="s">
        <v>930</v>
      </c>
      <c r="AN1208" s="270">
        <v>302</v>
      </c>
      <c r="BS1208" s="1">
        <v>10835</v>
      </c>
      <c r="BT1208" s="1" t="s">
        <v>902</v>
      </c>
      <c r="BX1208" s="36"/>
    </row>
    <row r="1209" spans="2:76" ht="14.25">
      <c r="B1209" s="36"/>
      <c r="C1209" s="36"/>
      <c r="D1209" s="36"/>
      <c r="E1209" s="36"/>
      <c r="F1209" s="36"/>
      <c r="G1209" s="36"/>
      <c r="H1209" s="36"/>
      <c r="J1209" s="36"/>
      <c r="L1209" s="1" t="str">
        <f t="shared" si="110"/>
        <v/>
      </c>
      <c r="M1209" s="94">
        <v>1204</v>
      </c>
      <c r="N1209" s="36" t="s">
        <v>2865</v>
      </c>
      <c r="O1209" s="95">
        <v>310911</v>
      </c>
      <c r="P1209" s="36"/>
      <c r="AI1209" s="122">
        <v>897</v>
      </c>
      <c r="AJ1209" s="1" t="s">
        <v>2557</v>
      </c>
      <c r="AK1209" s="1">
        <v>310604</v>
      </c>
      <c r="AL1209" s="1" t="s">
        <v>115</v>
      </c>
      <c r="AN1209" s="270">
        <v>303</v>
      </c>
      <c r="BS1209" s="1">
        <v>10836</v>
      </c>
      <c r="BT1209" s="1" t="s">
        <v>902</v>
      </c>
      <c r="BX1209" s="36"/>
    </row>
    <row r="1210" spans="2:76" ht="14.25">
      <c r="B1210" s="36"/>
      <c r="C1210" s="36"/>
      <c r="D1210" s="36"/>
      <c r="E1210" s="36"/>
      <c r="F1210" s="36"/>
      <c r="G1210" s="36"/>
      <c r="H1210" s="36"/>
      <c r="J1210" s="36"/>
      <c r="L1210" s="1" t="str">
        <f t="shared" si="110"/>
        <v/>
      </c>
      <c r="M1210" s="94">
        <v>1205</v>
      </c>
      <c r="N1210" s="36" t="s">
        <v>2866</v>
      </c>
      <c r="O1210" s="95">
        <v>310912</v>
      </c>
      <c r="P1210" s="36"/>
      <c r="AI1210" s="122">
        <v>898</v>
      </c>
      <c r="AJ1210" s="1" t="s">
        <v>2558</v>
      </c>
      <c r="AK1210" s="1">
        <v>310605</v>
      </c>
      <c r="AL1210" s="1" t="s">
        <v>930</v>
      </c>
      <c r="AN1210" s="270">
        <v>304</v>
      </c>
      <c r="BS1210" s="1">
        <v>10837</v>
      </c>
      <c r="BT1210" s="1" t="s">
        <v>902</v>
      </c>
      <c r="BX1210" s="36"/>
    </row>
    <row r="1211" spans="2:76" ht="14.25">
      <c r="B1211" s="36"/>
      <c r="C1211" s="36"/>
      <c r="D1211" s="36"/>
      <c r="E1211" s="36"/>
      <c r="F1211" s="36"/>
      <c r="G1211" s="36"/>
      <c r="H1211" s="36"/>
      <c r="J1211" s="36"/>
      <c r="L1211" s="1" t="str">
        <f t="shared" si="110"/>
        <v/>
      </c>
      <c r="M1211" s="94">
        <v>1206</v>
      </c>
      <c r="N1211" s="36" t="s">
        <v>2867</v>
      </c>
      <c r="O1211" s="95">
        <v>310913</v>
      </c>
      <c r="P1211" s="36"/>
      <c r="AI1211" s="122">
        <v>899</v>
      </c>
      <c r="AJ1211" s="1" t="s">
        <v>2559</v>
      </c>
      <c r="AK1211" s="1">
        <v>310606</v>
      </c>
      <c r="AL1211" s="1" t="s">
        <v>115</v>
      </c>
      <c r="AN1211" s="270">
        <v>305</v>
      </c>
      <c r="BS1211" s="1">
        <v>10838</v>
      </c>
      <c r="BT1211" s="1" t="s">
        <v>902</v>
      </c>
      <c r="BX1211" s="36"/>
    </row>
    <row r="1212" spans="2:76" ht="14.25">
      <c r="B1212" s="36"/>
      <c r="C1212" s="36"/>
      <c r="D1212" s="36"/>
      <c r="E1212" s="36"/>
      <c r="F1212" s="36"/>
      <c r="G1212" s="36"/>
      <c r="H1212" s="36"/>
      <c r="J1212" s="36"/>
      <c r="L1212" s="1" t="str">
        <f t="shared" si="110"/>
        <v/>
      </c>
      <c r="M1212" s="94">
        <v>1207</v>
      </c>
      <c r="N1212" s="36" t="s">
        <v>2868</v>
      </c>
      <c r="O1212" s="95">
        <v>310914</v>
      </c>
      <c r="P1212" s="36"/>
      <c r="AI1212" s="122">
        <v>900</v>
      </c>
      <c r="AJ1212" s="1" t="s">
        <v>2560</v>
      </c>
      <c r="AK1212" s="1">
        <v>310607</v>
      </c>
      <c r="AL1212" s="1" t="s">
        <v>930</v>
      </c>
      <c r="AN1212" s="270">
        <v>306</v>
      </c>
      <c r="BS1212" s="1">
        <v>10839</v>
      </c>
      <c r="BT1212" s="1" t="s">
        <v>902</v>
      </c>
      <c r="BX1212" s="36"/>
    </row>
    <row r="1213" spans="2:76" ht="14.25">
      <c r="B1213" s="36"/>
      <c r="C1213" s="36"/>
      <c r="D1213" s="36"/>
      <c r="E1213" s="36"/>
      <c r="F1213" s="36"/>
      <c r="G1213" s="36"/>
      <c r="H1213" s="36"/>
      <c r="J1213" s="36"/>
      <c r="L1213" s="1" t="str">
        <f t="shared" si="110"/>
        <v/>
      </c>
      <c r="M1213" s="94">
        <v>1208</v>
      </c>
      <c r="N1213" s="36" t="s">
        <v>2869</v>
      </c>
      <c r="O1213" s="95">
        <v>310915</v>
      </c>
      <c r="P1213" s="36"/>
      <c r="AI1213" s="122">
        <v>901</v>
      </c>
      <c r="AJ1213" s="1" t="s">
        <v>2561</v>
      </c>
      <c r="AK1213" s="1">
        <v>310608</v>
      </c>
      <c r="AL1213" s="1" t="s">
        <v>930</v>
      </c>
      <c r="AN1213" s="270">
        <v>307</v>
      </c>
      <c r="BS1213" s="1">
        <v>10840</v>
      </c>
      <c r="BT1213" s="1" t="s">
        <v>902</v>
      </c>
      <c r="BX1213" s="36"/>
    </row>
    <row r="1214" spans="2:76" ht="14.25">
      <c r="B1214" s="36"/>
      <c r="C1214" s="36"/>
      <c r="D1214" s="36"/>
      <c r="E1214" s="36"/>
      <c r="F1214" s="36"/>
      <c r="G1214" s="36"/>
      <c r="H1214" s="36"/>
      <c r="J1214" s="36"/>
      <c r="L1214" s="1" t="str">
        <f t="shared" si="110"/>
        <v/>
      </c>
      <c r="M1214" s="94">
        <v>1209</v>
      </c>
      <c r="N1214" s="36" t="s">
        <v>2870</v>
      </c>
      <c r="O1214" s="95">
        <v>310916</v>
      </c>
      <c r="P1214" s="36"/>
      <c r="AI1214" s="122">
        <v>902</v>
      </c>
      <c r="AJ1214" s="1" t="s">
        <v>2562</v>
      </c>
      <c r="AK1214" s="1">
        <v>310609</v>
      </c>
      <c r="AL1214" s="1" t="s">
        <v>115</v>
      </c>
      <c r="AN1214" s="270">
        <v>308</v>
      </c>
      <c r="BS1214" s="1">
        <v>10841</v>
      </c>
      <c r="BT1214" s="1" t="s">
        <v>902</v>
      </c>
      <c r="BX1214" s="36"/>
    </row>
    <row r="1215" spans="2:76" ht="14.25">
      <c r="B1215" s="36"/>
      <c r="C1215" s="36"/>
      <c r="D1215" s="36"/>
      <c r="E1215" s="36"/>
      <c r="F1215" s="36"/>
      <c r="G1215" s="36"/>
      <c r="H1215" s="36"/>
      <c r="J1215" s="36"/>
      <c r="L1215" s="1" t="str">
        <f t="shared" si="110"/>
        <v/>
      </c>
      <c r="M1215" s="94">
        <v>1210</v>
      </c>
      <c r="N1215" s="36" t="s">
        <v>2871</v>
      </c>
      <c r="O1215" s="95">
        <v>310917</v>
      </c>
      <c r="P1215" s="36"/>
      <c r="AI1215" s="122">
        <v>903</v>
      </c>
      <c r="AJ1215" s="1" t="s">
        <v>2563</v>
      </c>
      <c r="AK1215" s="1">
        <v>310610</v>
      </c>
      <c r="AL1215" s="1" t="s">
        <v>930</v>
      </c>
      <c r="AN1215" s="270">
        <v>309</v>
      </c>
      <c r="BS1215" s="1">
        <v>10842</v>
      </c>
      <c r="BT1215" s="1" t="s">
        <v>902</v>
      </c>
      <c r="BX1215" s="36"/>
    </row>
    <row r="1216" spans="2:76" ht="14.25">
      <c r="B1216" s="36"/>
      <c r="C1216" s="36"/>
      <c r="D1216" s="36"/>
      <c r="E1216" s="36"/>
      <c r="F1216" s="36"/>
      <c r="G1216" s="36"/>
      <c r="H1216" s="36"/>
      <c r="J1216" s="36"/>
      <c r="L1216" s="1" t="str">
        <f t="shared" si="110"/>
        <v/>
      </c>
      <c r="M1216" s="94">
        <v>1211</v>
      </c>
      <c r="N1216" s="36" t="s">
        <v>2872</v>
      </c>
      <c r="O1216" s="95">
        <v>310918</v>
      </c>
      <c r="P1216" s="36"/>
      <c r="AI1216" s="122">
        <v>904</v>
      </c>
      <c r="AJ1216" s="1" t="s">
        <v>2564</v>
      </c>
      <c r="AK1216" s="1">
        <v>310611</v>
      </c>
      <c r="AL1216" s="1" t="s">
        <v>115</v>
      </c>
      <c r="AN1216" s="270">
        <v>310</v>
      </c>
      <c r="BS1216" s="1">
        <v>10843</v>
      </c>
      <c r="BT1216" s="1" t="s">
        <v>902</v>
      </c>
      <c r="BX1216" s="36"/>
    </row>
    <row r="1217" spans="2:76" ht="14.25">
      <c r="B1217" s="36"/>
      <c r="C1217" s="36"/>
      <c r="D1217" s="36"/>
      <c r="E1217" s="36"/>
      <c r="F1217" s="36"/>
      <c r="G1217" s="36"/>
      <c r="H1217" s="36"/>
      <c r="J1217" s="36"/>
      <c r="L1217" s="1" t="str">
        <f t="shared" si="110"/>
        <v/>
      </c>
      <c r="M1217" s="94">
        <v>1212</v>
      </c>
      <c r="N1217" s="36" t="s">
        <v>2873</v>
      </c>
      <c r="O1217" s="95">
        <v>310919</v>
      </c>
      <c r="P1217" s="36"/>
      <c r="AI1217" s="122">
        <v>905</v>
      </c>
      <c r="AJ1217" s="1" t="s">
        <v>2565</v>
      </c>
      <c r="AK1217" s="1">
        <v>310612</v>
      </c>
      <c r="AL1217" s="1" t="s">
        <v>930</v>
      </c>
      <c r="AN1217" s="270">
        <v>311</v>
      </c>
      <c r="BS1217" s="1">
        <v>10844</v>
      </c>
      <c r="BT1217" s="1" t="s">
        <v>902</v>
      </c>
      <c r="BX1217" s="36"/>
    </row>
    <row r="1218" spans="2:76" ht="14.25">
      <c r="B1218" s="36"/>
      <c r="C1218" s="36"/>
      <c r="D1218" s="36"/>
      <c r="E1218" s="36"/>
      <c r="F1218" s="36"/>
      <c r="G1218" s="36"/>
      <c r="H1218" s="36"/>
      <c r="J1218" s="36"/>
      <c r="L1218" s="1" t="str">
        <f t="shared" si="110"/>
        <v/>
      </c>
      <c r="M1218" s="94">
        <v>1213</v>
      </c>
      <c r="N1218" s="36" t="s">
        <v>2874</v>
      </c>
      <c r="O1218" s="95">
        <v>310920</v>
      </c>
      <c r="P1218" s="36"/>
      <c r="AI1218" s="122">
        <v>906</v>
      </c>
      <c r="AJ1218" s="1" t="s">
        <v>2566</v>
      </c>
      <c r="AK1218" s="1">
        <v>310613</v>
      </c>
      <c r="AL1218" s="1" t="s">
        <v>115</v>
      </c>
      <c r="AN1218" s="270">
        <v>312</v>
      </c>
      <c r="BS1218" s="1">
        <v>10845</v>
      </c>
      <c r="BT1218" s="1" t="s">
        <v>902</v>
      </c>
      <c r="BX1218" s="36"/>
    </row>
    <row r="1219" spans="2:76" ht="14.25">
      <c r="B1219" s="36"/>
      <c r="C1219" s="36"/>
      <c r="D1219" s="36"/>
      <c r="E1219" s="36"/>
      <c r="F1219" s="36"/>
      <c r="G1219" s="36"/>
      <c r="H1219" s="36"/>
      <c r="J1219" s="36"/>
      <c r="L1219" s="1" t="str">
        <f t="shared" si="110"/>
        <v/>
      </c>
      <c r="M1219" s="94">
        <v>1214</v>
      </c>
      <c r="N1219" s="36" t="s">
        <v>2875</v>
      </c>
      <c r="O1219" s="95">
        <v>310921</v>
      </c>
      <c r="P1219" s="36"/>
      <c r="AI1219" s="122">
        <v>907</v>
      </c>
      <c r="AJ1219" s="1" t="s">
        <v>2567</v>
      </c>
      <c r="AK1219" s="1">
        <v>310614</v>
      </c>
      <c r="AL1219" s="1" t="s">
        <v>930</v>
      </c>
      <c r="AN1219" s="270">
        <v>313</v>
      </c>
      <c r="BS1219" s="1">
        <v>10846</v>
      </c>
      <c r="BT1219" s="1" t="s">
        <v>902</v>
      </c>
      <c r="BX1219" s="36"/>
    </row>
    <row r="1220" spans="2:76" ht="14.25">
      <c r="B1220" s="36"/>
      <c r="C1220" s="36"/>
      <c r="D1220" s="36"/>
      <c r="E1220" s="36"/>
      <c r="F1220" s="36"/>
      <c r="G1220" s="36"/>
      <c r="H1220" s="36"/>
      <c r="J1220" s="36"/>
      <c r="L1220" s="1" t="str">
        <f t="shared" ref="L1220:L1283" si="111">IF(AND(MIN(I:I)&lt;20,MAX(I:I)&gt;980,I1220&lt;20),I1220,"")</f>
        <v/>
      </c>
      <c r="M1220" s="94">
        <v>1215</v>
      </c>
      <c r="N1220" s="36" t="s">
        <v>2876</v>
      </c>
      <c r="O1220" s="95">
        <v>310922</v>
      </c>
      <c r="P1220" s="36"/>
      <c r="AI1220" s="122">
        <v>908</v>
      </c>
      <c r="AJ1220" s="1" t="s">
        <v>2568</v>
      </c>
      <c r="AK1220" s="1">
        <v>310615</v>
      </c>
      <c r="AL1220" s="1" t="s">
        <v>115</v>
      </c>
      <c r="AN1220" s="270">
        <v>314</v>
      </c>
      <c r="BS1220" s="1">
        <v>10847</v>
      </c>
      <c r="BT1220" s="1" t="s">
        <v>902</v>
      </c>
      <c r="BX1220" s="36"/>
    </row>
    <row r="1221" spans="2:76" ht="14.25">
      <c r="B1221" s="36"/>
      <c r="C1221" s="36"/>
      <c r="D1221" s="36"/>
      <c r="E1221" s="36"/>
      <c r="F1221" s="36"/>
      <c r="G1221" s="36"/>
      <c r="H1221" s="36"/>
      <c r="J1221" s="36"/>
      <c r="L1221" s="1" t="str">
        <f t="shared" si="111"/>
        <v/>
      </c>
      <c r="M1221" s="94">
        <v>1216</v>
      </c>
      <c r="N1221" s="36" t="s">
        <v>2877</v>
      </c>
      <c r="O1221" s="95">
        <v>310923</v>
      </c>
      <c r="P1221" s="36"/>
      <c r="AI1221" s="122">
        <v>909</v>
      </c>
      <c r="AJ1221" s="1" t="s">
        <v>2569</v>
      </c>
      <c r="AK1221" s="1">
        <v>310616</v>
      </c>
      <c r="AL1221" s="1" t="s">
        <v>930</v>
      </c>
      <c r="AN1221" s="270">
        <v>315</v>
      </c>
      <c r="BS1221" s="1">
        <v>10848</v>
      </c>
      <c r="BT1221" s="1" t="s">
        <v>902</v>
      </c>
      <c r="BX1221" s="36"/>
    </row>
    <row r="1222" spans="2:76" ht="14.25">
      <c r="B1222" s="36"/>
      <c r="C1222" s="36"/>
      <c r="D1222" s="36"/>
      <c r="E1222" s="36"/>
      <c r="F1222" s="36"/>
      <c r="G1222" s="36"/>
      <c r="H1222" s="36"/>
      <c r="J1222" s="36"/>
      <c r="L1222" s="1" t="str">
        <f t="shared" si="111"/>
        <v/>
      </c>
      <c r="M1222" s="94">
        <v>1217</v>
      </c>
      <c r="N1222" s="36" t="s">
        <v>2878</v>
      </c>
      <c r="O1222" s="95">
        <v>310924</v>
      </c>
      <c r="P1222" s="36"/>
      <c r="AI1222" s="122">
        <v>910</v>
      </c>
      <c r="AJ1222" s="1" t="s">
        <v>2570</v>
      </c>
      <c r="AK1222" s="1">
        <v>310617</v>
      </c>
      <c r="AL1222" s="1" t="s">
        <v>930</v>
      </c>
      <c r="AN1222" s="270">
        <v>316</v>
      </c>
      <c r="BS1222" s="1">
        <v>10849</v>
      </c>
      <c r="BT1222" s="1" t="s">
        <v>902</v>
      </c>
      <c r="BX1222" s="36"/>
    </row>
    <row r="1223" spans="2:76" ht="14.25">
      <c r="B1223" s="36"/>
      <c r="C1223" s="36"/>
      <c r="D1223" s="36"/>
      <c r="E1223" s="36"/>
      <c r="F1223" s="36"/>
      <c r="G1223" s="36"/>
      <c r="H1223" s="36"/>
      <c r="J1223" s="36"/>
      <c r="L1223" s="1" t="str">
        <f t="shared" si="111"/>
        <v/>
      </c>
      <c r="M1223" s="94">
        <v>1218</v>
      </c>
      <c r="N1223" s="36" t="s">
        <v>2879</v>
      </c>
      <c r="O1223" s="95">
        <v>310925</v>
      </c>
      <c r="P1223" s="36"/>
      <c r="AI1223" s="122">
        <v>911</v>
      </c>
      <c r="AJ1223" s="1" t="s">
        <v>2571</v>
      </c>
      <c r="AK1223" s="1">
        <v>310618</v>
      </c>
      <c r="AL1223" s="1" t="s">
        <v>115</v>
      </c>
      <c r="AN1223" s="270">
        <v>317</v>
      </c>
      <c r="BS1223" s="1">
        <v>10850</v>
      </c>
      <c r="BT1223" s="1" t="s">
        <v>902</v>
      </c>
      <c r="BX1223" s="36"/>
    </row>
    <row r="1224" spans="2:76" ht="14.25">
      <c r="B1224" s="36"/>
      <c r="C1224" s="36"/>
      <c r="D1224" s="36"/>
      <c r="E1224" s="36"/>
      <c r="F1224" s="36"/>
      <c r="G1224" s="36"/>
      <c r="H1224" s="36"/>
      <c r="J1224" s="36"/>
      <c r="L1224" s="1" t="str">
        <f t="shared" si="111"/>
        <v/>
      </c>
      <c r="M1224" s="94">
        <v>1219</v>
      </c>
      <c r="N1224" s="36" t="s">
        <v>2880</v>
      </c>
      <c r="O1224" s="95">
        <v>310926</v>
      </c>
      <c r="P1224" s="36"/>
      <c r="AI1224" s="122">
        <v>912</v>
      </c>
      <c r="AJ1224" s="1" t="s">
        <v>2572</v>
      </c>
      <c r="AK1224" s="1">
        <v>310619</v>
      </c>
      <c r="AL1224" s="1" t="s">
        <v>930</v>
      </c>
      <c r="AN1224" s="270">
        <v>318</v>
      </c>
      <c r="BS1224" s="1">
        <v>10851</v>
      </c>
      <c r="BT1224" s="1" t="s">
        <v>902</v>
      </c>
      <c r="BX1224" s="36"/>
    </row>
    <row r="1225" spans="2:76" ht="14.25">
      <c r="B1225" s="36"/>
      <c r="C1225" s="36"/>
      <c r="D1225" s="36"/>
      <c r="E1225" s="36"/>
      <c r="F1225" s="36"/>
      <c r="G1225" s="36"/>
      <c r="H1225" s="36"/>
      <c r="J1225" s="36"/>
      <c r="L1225" s="1" t="str">
        <f t="shared" si="111"/>
        <v/>
      </c>
      <c r="M1225" s="94">
        <v>1220</v>
      </c>
      <c r="N1225" s="36" t="s">
        <v>2881</v>
      </c>
      <c r="O1225" s="95">
        <v>310927</v>
      </c>
      <c r="P1225" s="36"/>
      <c r="AI1225" s="122">
        <v>913</v>
      </c>
      <c r="AJ1225" s="1" t="s">
        <v>2573</v>
      </c>
      <c r="AK1225" s="1">
        <v>310620</v>
      </c>
      <c r="AL1225" s="1" t="s">
        <v>115</v>
      </c>
      <c r="AN1225" s="270">
        <v>319</v>
      </c>
      <c r="BS1225" s="1">
        <v>10852</v>
      </c>
      <c r="BT1225" s="1" t="s">
        <v>902</v>
      </c>
      <c r="BX1225" s="36"/>
    </row>
    <row r="1226" spans="2:76" ht="14.25">
      <c r="B1226" s="36"/>
      <c r="C1226" s="36"/>
      <c r="D1226" s="36"/>
      <c r="E1226" s="36"/>
      <c r="F1226" s="36"/>
      <c r="G1226" s="36"/>
      <c r="H1226" s="36"/>
      <c r="J1226" s="36"/>
      <c r="L1226" s="1" t="str">
        <f t="shared" si="111"/>
        <v/>
      </c>
      <c r="M1226" s="94">
        <v>1221</v>
      </c>
      <c r="N1226" s="36" t="s">
        <v>2882</v>
      </c>
      <c r="O1226" s="95">
        <v>310928</v>
      </c>
      <c r="P1226" s="36"/>
      <c r="AI1226" s="122">
        <v>914</v>
      </c>
      <c r="AJ1226" s="1" t="s">
        <v>2574</v>
      </c>
      <c r="AK1226" s="1">
        <v>310621</v>
      </c>
      <c r="AL1226" s="1" t="s">
        <v>930</v>
      </c>
      <c r="AN1226" s="270">
        <v>320</v>
      </c>
      <c r="BS1226" s="1">
        <v>10853</v>
      </c>
      <c r="BT1226" s="1" t="s">
        <v>902</v>
      </c>
      <c r="BX1226" s="36"/>
    </row>
    <row r="1227" spans="2:76" ht="14.25">
      <c r="B1227" s="36"/>
      <c r="C1227" s="36"/>
      <c r="D1227" s="36"/>
      <c r="E1227" s="36"/>
      <c r="F1227" s="36"/>
      <c r="G1227" s="36"/>
      <c r="H1227" s="36"/>
      <c r="J1227" s="36"/>
      <c r="L1227" s="1" t="str">
        <f t="shared" si="111"/>
        <v/>
      </c>
      <c r="M1227" s="94">
        <v>1222</v>
      </c>
      <c r="N1227" s="36" t="s">
        <v>2883</v>
      </c>
      <c r="O1227" s="95">
        <v>310929</v>
      </c>
      <c r="P1227" s="36"/>
      <c r="AI1227" s="122">
        <v>915</v>
      </c>
      <c r="AJ1227" s="1" t="s">
        <v>2575</v>
      </c>
      <c r="AK1227" s="1">
        <v>310622</v>
      </c>
      <c r="AL1227" s="1" t="s">
        <v>115</v>
      </c>
      <c r="AN1227" s="270">
        <v>321</v>
      </c>
      <c r="BS1227" s="1">
        <v>10854</v>
      </c>
      <c r="BT1227" s="1" t="s">
        <v>902</v>
      </c>
      <c r="BX1227" s="36"/>
    </row>
    <row r="1228" spans="2:76" ht="14.25">
      <c r="B1228" s="36"/>
      <c r="C1228" s="36"/>
      <c r="D1228" s="36"/>
      <c r="E1228" s="36"/>
      <c r="F1228" s="36"/>
      <c r="G1228" s="36"/>
      <c r="H1228" s="36"/>
      <c r="J1228" s="36"/>
      <c r="L1228" s="1" t="str">
        <f t="shared" si="111"/>
        <v/>
      </c>
      <c r="M1228" s="94">
        <v>1223</v>
      </c>
      <c r="N1228" s="36" t="s">
        <v>2884</v>
      </c>
      <c r="O1228" s="95">
        <v>310930</v>
      </c>
      <c r="P1228" s="36"/>
      <c r="AI1228" s="122">
        <v>916</v>
      </c>
      <c r="AJ1228" s="1" t="s">
        <v>2576</v>
      </c>
      <c r="AK1228" s="1">
        <v>310623</v>
      </c>
      <c r="AL1228" s="1" t="s">
        <v>930</v>
      </c>
      <c r="AN1228" s="270">
        <v>322</v>
      </c>
      <c r="BS1228" s="1">
        <v>10855</v>
      </c>
      <c r="BT1228" s="1" t="s">
        <v>902</v>
      </c>
      <c r="BX1228" s="36"/>
    </row>
    <row r="1229" spans="2:76" ht="14.25">
      <c r="B1229" s="36"/>
      <c r="C1229" s="36"/>
      <c r="D1229" s="36"/>
      <c r="E1229" s="36"/>
      <c r="F1229" s="36"/>
      <c r="G1229" s="36"/>
      <c r="H1229" s="36"/>
      <c r="J1229" s="36"/>
      <c r="L1229" s="1" t="str">
        <f t="shared" si="111"/>
        <v/>
      </c>
      <c r="M1229" s="94">
        <v>1224</v>
      </c>
      <c r="N1229" s="36" t="s">
        <v>2885</v>
      </c>
      <c r="O1229" s="95">
        <v>310931</v>
      </c>
      <c r="P1229" s="36"/>
      <c r="AI1229" s="122">
        <v>917</v>
      </c>
      <c r="AJ1229" s="1" t="s">
        <v>2577</v>
      </c>
      <c r="AK1229" s="1">
        <v>310624</v>
      </c>
      <c r="AL1229" s="1" t="s">
        <v>930</v>
      </c>
      <c r="AN1229" s="270">
        <v>323</v>
      </c>
      <c r="BS1229" s="1">
        <v>10856</v>
      </c>
      <c r="BT1229" s="1" t="s">
        <v>902</v>
      </c>
      <c r="BX1229" s="36"/>
    </row>
    <row r="1230" spans="2:76" ht="14.25">
      <c r="B1230" s="36"/>
      <c r="C1230" s="36"/>
      <c r="D1230" s="36"/>
      <c r="E1230" s="36"/>
      <c r="F1230" s="36"/>
      <c r="G1230" s="36"/>
      <c r="H1230" s="36"/>
      <c r="J1230" s="36"/>
      <c r="L1230" s="1" t="str">
        <f t="shared" si="111"/>
        <v/>
      </c>
      <c r="M1230" s="94">
        <v>1225</v>
      </c>
      <c r="N1230" s="36" t="s">
        <v>2886</v>
      </c>
      <c r="O1230" s="95">
        <v>310932</v>
      </c>
      <c r="P1230" s="36"/>
      <c r="AI1230" s="122">
        <v>918</v>
      </c>
      <c r="AJ1230" s="1" t="s">
        <v>2578</v>
      </c>
      <c r="AK1230" s="1">
        <v>310625</v>
      </c>
      <c r="AL1230" s="1" t="s">
        <v>115</v>
      </c>
      <c r="AN1230" s="270">
        <v>324</v>
      </c>
      <c r="BS1230" s="1">
        <v>10857</v>
      </c>
      <c r="BT1230" s="1" t="s">
        <v>902</v>
      </c>
      <c r="BX1230" s="36"/>
    </row>
    <row r="1231" spans="2:76" ht="14.25">
      <c r="B1231" s="36"/>
      <c r="C1231" s="36"/>
      <c r="D1231" s="36"/>
      <c r="E1231" s="36"/>
      <c r="F1231" s="36"/>
      <c r="G1231" s="36"/>
      <c r="H1231" s="36"/>
      <c r="J1231" s="36"/>
      <c r="L1231" s="1" t="str">
        <f t="shared" si="111"/>
        <v/>
      </c>
      <c r="M1231" s="94">
        <v>1226</v>
      </c>
      <c r="N1231" s="36" t="s">
        <v>2887</v>
      </c>
      <c r="O1231" s="95">
        <v>310933</v>
      </c>
      <c r="P1231" s="36"/>
      <c r="AI1231" s="122">
        <v>919</v>
      </c>
      <c r="AJ1231" s="1" t="s">
        <v>2579</v>
      </c>
      <c r="AK1231" s="1">
        <v>310626</v>
      </c>
      <c r="AL1231" s="1" t="s">
        <v>930</v>
      </c>
      <c r="AN1231" s="270">
        <v>325</v>
      </c>
      <c r="BS1231" s="1">
        <v>10858</v>
      </c>
      <c r="BT1231" s="1" t="s">
        <v>902</v>
      </c>
      <c r="BX1231" s="36"/>
    </row>
    <row r="1232" spans="2:76" ht="14.25">
      <c r="B1232" s="36"/>
      <c r="C1232" s="36"/>
      <c r="D1232" s="36"/>
      <c r="E1232" s="36"/>
      <c r="F1232" s="36"/>
      <c r="G1232" s="36"/>
      <c r="H1232" s="36"/>
      <c r="J1232" s="36"/>
      <c r="L1232" s="1" t="str">
        <f t="shared" si="111"/>
        <v/>
      </c>
      <c r="M1232" s="94">
        <v>1227</v>
      </c>
      <c r="N1232" s="36" t="s">
        <v>2888</v>
      </c>
      <c r="O1232" s="95">
        <v>310934</v>
      </c>
      <c r="P1232" s="36"/>
      <c r="AI1232" s="122">
        <v>920</v>
      </c>
      <c r="AJ1232" s="1" t="s">
        <v>2580</v>
      </c>
      <c r="AK1232" s="1">
        <v>310627</v>
      </c>
      <c r="AL1232" s="1" t="s">
        <v>115</v>
      </c>
      <c r="AN1232" s="270">
        <v>326</v>
      </c>
      <c r="BS1232" s="1">
        <v>10859</v>
      </c>
      <c r="BT1232" s="1" t="s">
        <v>902</v>
      </c>
      <c r="BX1232" s="36"/>
    </row>
    <row r="1233" spans="2:76" ht="14.25">
      <c r="B1233" s="36"/>
      <c r="C1233" s="36"/>
      <c r="D1233" s="36"/>
      <c r="E1233" s="36"/>
      <c r="F1233" s="36"/>
      <c r="G1233" s="36"/>
      <c r="H1233" s="36"/>
      <c r="J1233" s="36"/>
      <c r="L1233" s="1" t="str">
        <f t="shared" si="111"/>
        <v/>
      </c>
      <c r="M1233" s="94">
        <v>1228</v>
      </c>
      <c r="N1233" s="36" t="s">
        <v>2889</v>
      </c>
      <c r="O1233" s="95">
        <v>310935</v>
      </c>
      <c r="P1233" s="36"/>
      <c r="AI1233" s="122">
        <v>921</v>
      </c>
      <c r="AJ1233" s="1" t="s">
        <v>2581</v>
      </c>
      <c r="AK1233" s="1">
        <v>310628</v>
      </c>
      <c r="AL1233" s="1" t="s">
        <v>930</v>
      </c>
      <c r="AN1233" s="270">
        <v>327</v>
      </c>
      <c r="BS1233" s="1">
        <v>10860</v>
      </c>
      <c r="BT1233" s="1" t="s">
        <v>902</v>
      </c>
      <c r="BX1233" s="36"/>
    </row>
    <row r="1234" spans="2:76" ht="14.25">
      <c r="B1234" s="36"/>
      <c r="C1234" s="36"/>
      <c r="D1234" s="36"/>
      <c r="E1234" s="36"/>
      <c r="F1234" s="36"/>
      <c r="G1234" s="36"/>
      <c r="H1234" s="36"/>
      <c r="J1234" s="36"/>
      <c r="L1234" s="1" t="str">
        <f t="shared" si="111"/>
        <v/>
      </c>
      <c r="M1234" s="94">
        <v>1229</v>
      </c>
      <c r="N1234" s="36" t="s">
        <v>2890</v>
      </c>
      <c r="O1234" s="95">
        <v>310936</v>
      </c>
      <c r="P1234" s="36"/>
      <c r="AI1234" s="122">
        <v>922</v>
      </c>
      <c r="AJ1234" s="1" t="s">
        <v>2582</v>
      </c>
      <c r="AK1234" s="1">
        <v>310629</v>
      </c>
      <c r="AL1234" s="1" t="s">
        <v>115</v>
      </c>
      <c r="AN1234" s="270">
        <v>328</v>
      </c>
      <c r="BS1234" s="1">
        <v>10861</v>
      </c>
      <c r="BT1234" s="1" t="s">
        <v>902</v>
      </c>
      <c r="BX1234" s="36"/>
    </row>
    <row r="1235" spans="2:76" ht="14.25">
      <c r="B1235" s="36"/>
      <c r="C1235" s="36"/>
      <c r="D1235" s="36"/>
      <c r="E1235" s="36"/>
      <c r="F1235" s="36"/>
      <c r="G1235" s="36"/>
      <c r="H1235" s="36"/>
      <c r="J1235" s="36"/>
      <c r="L1235" s="1" t="str">
        <f t="shared" si="111"/>
        <v/>
      </c>
      <c r="M1235" s="94">
        <v>1230</v>
      </c>
      <c r="N1235" s="36" t="s">
        <v>2891</v>
      </c>
      <c r="O1235" s="95">
        <v>310937</v>
      </c>
      <c r="P1235" s="36"/>
      <c r="AI1235" s="122">
        <v>923</v>
      </c>
      <c r="AJ1235" s="1" t="s">
        <v>2583</v>
      </c>
      <c r="AK1235" s="1">
        <v>310630</v>
      </c>
      <c r="AL1235" s="1" t="s">
        <v>930</v>
      </c>
      <c r="AN1235" s="270">
        <v>329</v>
      </c>
      <c r="BS1235" s="1">
        <v>10862</v>
      </c>
      <c r="BT1235" s="1" t="s">
        <v>902</v>
      </c>
      <c r="BX1235" s="36"/>
    </row>
    <row r="1236" spans="2:76" ht="14.25">
      <c r="B1236" s="36"/>
      <c r="C1236" s="36"/>
      <c r="D1236" s="36"/>
      <c r="E1236" s="36"/>
      <c r="F1236" s="36"/>
      <c r="G1236" s="36"/>
      <c r="H1236" s="36"/>
      <c r="J1236" s="36"/>
      <c r="L1236" s="1" t="str">
        <f t="shared" si="111"/>
        <v/>
      </c>
      <c r="M1236" s="94">
        <v>1231</v>
      </c>
      <c r="N1236" s="36" t="s">
        <v>2892</v>
      </c>
      <c r="O1236" s="95">
        <v>310938</v>
      </c>
      <c r="P1236" s="36"/>
      <c r="AI1236" s="122">
        <v>924</v>
      </c>
      <c r="AJ1236" s="1" t="s">
        <v>2584</v>
      </c>
      <c r="AK1236" s="1">
        <v>310631</v>
      </c>
      <c r="AL1236" s="1" t="s">
        <v>930</v>
      </c>
      <c r="AN1236" s="270">
        <v>330</v>
      </c>
      <c r="BS1236" s="1">
        <v>10863</v>
      </c>
      <c r="BT1236" s="1" t="s">
        <v>902</v>
      </c>
      <c r="BX1236" s="36"/>
    </row>
    <row r="1237" spans="2:76" ht="14.25">
      <c r="B1237" s="36"/>
      <c r="C1237" s="36"/>
      <c r="D1237" s="36"/>
      <c r="E1237" s="36"/>
      <c r="F1237" s="36"/>
      <c r="G1237" s="36"/>
      <c r="H1237" s="36"/>
      <c r="J1237" s="36"/>
      <c r="L1237" s="1" t="str">
        <f t="shared" si="111"/>
        <v/>
      </c>
      <c r="M1237" s="94">
        <v>1232</v>
      </c>
      <c r="N1237" s="36" t="s">
        <v>2893</v>
      </c>
      <c r="O1237" s="95">
        <v>310939</v>
      </c>
      <c r="P1237" s="36"/>
      <c r="AI1237" s="122">
        <v>925</v>
      </c>
      <c r="AJ1237" s="1" t="s">
        <v>2585</v>
      </c>
      <c r="AK1237" s="1">
        <v>310632</v>
      </c>
      <c r="AL1237" s="1" t="s">
        <v>115</v>
      </c>
      <c r="AN1237" s="270">
        <v>331</v>
      </c>
      <c r="BS1237" s="1">
        <v>10864</v>
      </c>
      <c r="BT1237" s="1" t="s">
        <v>902</v>
      </c>
      <c r="BX1237" s="36"/>
    </row>
    <row r="1238" spans="2:76" ht="14.25">
      <c r="B1238" s="36"/>
      <c r="C1238" s="36"/>
      <c r="D1238" s="36"/>
      <c r="E1238" s="36"/>
      <c r="F1238" s="36"/>
      <c r="G1238" s="36"/>
      <c r="H1238" s="36"/>
      <c r="J1238" s="36"/>
      <c r="L1238" s="1" t="str">
        <f t="shared" si="111"/>
        <v/>
      </c>
      <c r="M1238" s="94">
        <v>1233</v>
      </c>
      <c r="N1238" s="36" t="s">
        <v>2894</v>
      </c>
      <c r="O1238" s="95">
        <v>310940</v>
      </c>
      <c r="P1238" s="36"/>
      <c r="AI1238" s="122">
        <v>926</v>
      </c>
      <c r="AJ1238" s="1" t="s">
        <v>2586</v>
      </c>
      <c r="AK1238" s="1">
        <v>310633</v>
      </c>
      <c r="AL1238" s="1" t="s">
        <v>930</v>
      </c>
      <c r="AN1238" s="270">
        <v>332</v>
      </c>
      <c r="BS1238" s="1">
        <v>10865</v>
      </c>
      <c r="BT1238" s="1" t="s">
        <v>902</v>
      </c>
      <c r="BX1238" s="36"/>
    </row>
    <row r="1239" spans="2:76" ht="14.25">
      <c r="B1239" s="36"/>
      <c r="C1239" s="36"/>
      <c r="D1239" s="36"/>
      <c r="E1239" s="36"/>
      <c r="F1239" s="36"/>
      <c r="G1239" s="36"/>
      <c r="H1239" s="36"/>
      <c r="J1239" s="36"/>
      <c r="L1239" s="1" t="str">
        <f t="shared" si="111"/>
        <v/>
      </c>
      <c r="M1239" s="94">
        <v>1234</v>
      </c>
      <c r="N1239" s="36" t="s">
        <v>2895</v>
      </c>
      <c r="O1239" s="95">
        <v>310941</v>
      </c>
      <c r="P1239" s="36"/>
      <c r="AI1239" s="122">
        <v>927</v>
      </c>
      <c r="AJ1239" s="1" t="s">
        <v>2587</v>
      </c>
      <c r="AK1239" s="1">
        <v>310634</v>
      </c>
      <c r="AL1239" s="1" t="s">
        <v>115</v>
      </c>
      <c r="AN1239" s="270">
        <v>333</v>
      </c>
      <c r="BS1239" s="1">
        <v>10866</v>
      </c>
      <c r="BT1239" s="1" t="s">
        <v>902</v>
      </c>
      <c r="BX1239" s="36"/>
    </row>
    <row r="1240" spans="2:76" ht="14.25">
      <c r="B1240" s="36"/>
      <c r="C1240" s="36"/>
      <c r="D1240" s="36"/>
      <c r="E1240" s="36"/>
      <c r="F1240" s="36"/>
      <c r="G1240" s="36"/>
      <c r="H1240" s="36"/>
      <c r="J1240" s="36"/>
      <c r="L1240" s="1" t="str">
        <f t="shared" si="111"/>
        <v/>
      </c>
      <c r="M1240" s="94">
        <v>1235</v>
      </c>
      <c r="N1240" s="36" t="s">
        <v>2896</v>
      </c>
      <c r="O1240" s="95">
        <v>310942</v>
      </c>
      <c r="P1240" s="36"/>
      <c r="AI1240" s="122">
        <v>928</v>
      </c>
      <c r="AJ1240" s="1" t="s">
        <v>2588</v>
      </c>
      <c r="AK1240" s="1">
        <v>310635</v>
      </c>
      <c r="AL1240" s="1" t="s">
        <v>930</v>
      </c>
      <c r="AN1240" s="270">
        <v>334</v>
      </c>
      <c r="BS1240" s="1">
        <v>10867</v>
      </c>
      <c r="BT1240" s="1" t="s">
        <v>902</v>
      </c>
      <c r="BX1240" s="36"/>
    </row>
    <row r="1241" spans="2:76" ht="14.25">
      <c r="B1241" s="36"/>
      <c r="C1241" s="36"/>
      <c r="D1241" s="36"/>
      <c r="E1241" s="36"/>
      <c r="F1241" s="36"/>
      <c r="G1241" s="36"/>
      <c r="H1241" s="36"/>
      <c r="J1241" s="36"/>
      <c r="L1241" s="1" t="str">
        <f t="shared" si="111"/>
        <v/>
      </c>
      <c r="M1241" s="94">
        <v>1236</v>
      </c>
      <c r="N1241" s="36" t="s">
        <v>2897</v>
      </c>
      <c r="O1241" s="95">
        <v>310943</v>
      </c>
      <c r="P1241" s="36"/>
      <c r="AI1241" s="122">
        <v>929</v>
      </c>
      <c r="AJ1241" s="1" t="s">
        <v>2589</v>
      </c>
      <c r="AK1241" s="1">
        <v>310636</v>
      </c>
      <c r="AL1241" s="1" t="s">
        <v>115</v>
      </c>
      <c r="AN1241" s="270">
        <v>335</v>
      </c>
      <c r="BS1241" s="1">
        <v>10868</v>
      </c>
      <c r="BT1241" s="1" t="s">
        <v>902</v>
      </c>
      <c r="BX1241" s="36"/>
    </row>
    <row r="1242" spans="2:76" ht="14.25">
      <c r="B1242" s="36"/>
      <c r="C1242" s="36"/>
      <c r="D1242" s="36"/>
      <c r="E1242" s="36"/>
      <c r="F1242" s="36"/>
      <c r="G1242" s="36"/>
      <c r="H1242" s="36"/>
      <c r="J1242" s="36"/>
      <c r="L1242" s="1" t="str">
        <f t="shared" si="111"/>
        <v/>
      </c>
      <c r="M1242" s="94">
        <v>1237</v>
      </c>
      <c r="N1242" s="36" t="s">
        <v>2898</v>
      </c>
      <c r="O1242" s="95">
        <v>310944</v>
      </c>
      <c r="P1242" s="36"/>
      <c r="AI1242" s="122">
        <v>930</v>
      </c>
      <c r="AJ1242" s="1" t="s">
        <v>2590</v>
      </c>
      <c r="AK1242" s="1">
        <v>310637</v>
      </c>
      <c r="AL1242" s="1" t="s">
        <v>930</v>
      </c>
      <c r="AN1242" s="270">
        <v>336</v>
      </c>
      <c r="BS1242" s="1">
        <v>10869</v>
      </c>
      <c r="BT1242" s="1" t="s">
        <v>902</v>
      </c>
      <c r="BX1242" s="36"/>
    </row>
    <row r="1243" spans="2:76" ht="14.25">
      <c r="B1243" s="36"/>
      <c r="C1243" s="36"/>
      <c r="D1243" s="36"/>
      <c r="E1243" s="36"/>
      <c r="F1243" s="36"/>
      <c r="G1243" s="36"/>
      <c r="H1243" s="36"/>
      <c r="J1243" s="36"/>
      <c r="L1243" s="1" t="str">
        <f t="shared" si="111"/>
        <v/>
      </c>
      <c r="M1243" s="94">
        <v>1238</v>
      </c>
      <c r="N1243" s="36" t="s">
        <v>2899</v>
      </c>
      <c r="O1243" s="95">
        <v>310945</v>
      </c>
      <c r="P1243" s="36"/>
      <c r="AI1243" s="122">
        <v>931</v>
      </c>
      <c r="AJ1243" s="1" t="s">
        <v>2591</v>
      </c>
      <c r="AK1243" s="1">
        <v>310638</v>
      </c>
      <c r="AL1243" s="1" t="s">
        <v>115</v>
      </c>
      <c r="AN1243" s="270">
        <v>337</v>
      </c>
      <c r="BS1243" s="1">
        <v>10870</v>
      </c>
      <c r="BT1243" s="1" t="s">
        <v>902</v>
      </c>
      <c r="BX1243" s="36"/>
    </row>
    <row r="1244" spans="2:76" ht="14.25">
      <c r="B1244" s="36"/>
      <c r="C1244" s="36"/>
      <c r="D1244" s="36"/>
      <c r="E1244" s="36"/>
      <c r="F1244" s="36"/>
      <c r="G1244" s="36"/>
      <c r="H1244" s="36"/>
      <c r="J1244" s="36"/>
      <c r="L1244" s="1" t="str">
        <f t="shared" si="111"/>
        <v/>
      </c>
      <c r="M1244" s="94">
        <v>1239</v>
      </c>
      <c r="N1244" s="36" t="s">
        <v>2900</v>
      </c>
      <c r="O1244" s="95">
        <v>310946</v>
      </c>
      <c r="P1244" s="36"/>
      <c r="AI1244" s="122">
        <v>932</v>
      </c>
      <c r="AJ1244" s="1" t="s">
        <v>2592</v>
      </c>
      <c r="AK1244" s="1">
        <v>310639</v>
      </c>
      <c r="AL1244" s="1" t="s">
        <v>930</v>
      </c>
      <c r="AN1244" s="270">
        <v>338</v>
      </c>
      <c r="BS1244" s="1">
        <v>10871</v>
      </c>
      <c r="BT1244" s="1" t="s">
        <v>2428</v>
      </c>
      <c r="BX1244" s="36"/>
    </row>
    <row r="1245" spans="2:76" ht="14.25">
      <c r="B1245" s="36"/>
      <c r="C1245" s="36"/>
      <c r="D1245" s="36"/>
      <c r="E1245" s="36"/>
      <c r="F1245" s="36"/>
      <c r="G1245" s="36"/>
      <c r="H1245" s="36"/>
      <c r="J1245" s="36"/>
      <c r="L1245" s="1" t="str">
        <f t="shared" si="111"/>
        <v/>
      </c>
      <c r="M1245" s="94">
        <v>1240</v>
      </c>
      <c r="N1245" s="36" t="s">
        <v>2901</v>
      </c>
      <c r="O1245" s="95">
        <v>310947</v>
      </c>
      <c r="P1245" s="36"/>
      <c r="AI1245" s="122">
        <v>933</v>
      </c>
      <c r="AJ1245" s="1" t="s">
        <v>2593</v>
      </c>
      <c r="AK1245" s="1">
        <v>310640</v>
      </c>
      <c r="AL1245" s="1" t="s">
        <v>930</v>
      </c>
      <c r="AN1245" s="270">
        <v>339</v>
      </c>
      <c r="BS1245" s="1">
        <v>10872</v>
      </c>
      <c r="BT1245" s="1" t="s">
        <v>902</v>
      </c>
      <c r="BX1245" s="36"/>
    </row>
    <row r="1246" spans="2:76" ht="14.25">
      <c r="B1246" s="36"/>
      <c r="C1246" s="36"/>
      <c r="D1246" s="36"/>
      <c r="E1246" s="36"/>
      <c r="F1246" s="36"/>
      <c r="G1246" s="36"/>
      <c r="H1246" s="36"/>
      <c r="J1246" s="36"/>
      <c r="L1246" s="1" t="str">
        <f t="shared" si="111"/>
        <v/>
      </c>
      <c r="M1246" s="94">
        <v>1241</v>
      </c>
      <c r="N1246" s="36" t="s">
        <v>2902</v>
      </c>
      <c r="O1246" s="95">
        <v>310948</v>
      </c>
      <c r="P1246" s="36"/>
      <c r="AI1246" s="122">
        <v>934</v>
      </c>
      <c r="AJ1246" s="1" t="s">
        <v>2594</v>
      </c>
      <c r="AK1246" s="1">
        <v>310641</v>
      </c>
      <c r="AL1246" s="1" t="s">
        <v>115</v>
      </c>
      <c r="AN1246" s="270">
        <v>340</v>
      </c>
      <c r="BS1246" s="1">
        <v>10873</v>
      </c>
      <c r="BT1246" s="1" t="s">
        <v>902</v>
      </c>
      <c r="BX1246" s="36"/>
    </row>
    <row r="1247" spans="2:76" ht="14.25">
      <c r="B1247" s="36"/>
      <c r="C1247" s="36"/>
      <c r="D1247" s="36"/>
      <c r="E1247" s="36"/>
      <c r="F1247" s="36"/>
      <c r="G1247" s="36"/>
      <c r="H1247" s="36"/>
      <c r="J1247" s="36"/>
      <c r="L1247" s="1" t="str">
        <f t="shared" si="111"/>
        <v/>
      </c>
      <c r="M1247" s="94">
        <v>1242</v>
      </c>
      <c r="N1247" s="36" t="s">
        <v>2903</v>
      </c>
      <c r="O1247" s="95">
        <v>310949</v>
      </c>
      <c r="P1247" s="36"/>
      <c r="AI1247" s="122">
        <v>935</v>
      </c>
      <c r="AJ1247" s="1" t="s">
        <v>2595</v>
      </c>
      <c r="AK1247" s="1">
        <v>310642</v>
      </c>
      <c r="AL1247" s="1" t="s">
        <v>930</v>
      </c>
      <c r="AN1247" s="270">
        <v>341</v>
      </c>
      <c r="BS1247" s="1">
        <v>10874</v>
      </c>
      <c r="BT1247" s="1" t="s">
        <v>902</v>
      </c>
      <c r="BX1247" s="36"/>
    </row>
    <row r="1248" spans="2:76" ht="14.25">
      <c r="B1248" s="36"/>
      <c r="C1248" s="36"/>
      <c r="D1248" s="36"/>
      <c r="E1248" s="36"/>
      <c r="F1248" s="36"/>
      <c r="G1248" s="36"/>
      <c r="H1248" s="36"/>
      <c r="J1248" s="36"/>
      <c r="L1248" s="1" t="str">
        <f t="shared" si="111"/>
        <v/>
      </c>
      <c r="M1248" s="94">
        <v>1243</v>
      </c>
      <c r="N1248" s="36" t="s">
        <v>2904</v>
      </c>
      <c r="O1248" s="95">
        <v>310950</v>
      </c>
      <c r="P1248" s="36"/>
      <c r="AI1248" s="122">
        <v>936</v>
      </c>
      <c r="AJ1248" s="1" t="s">
        <v>2596</v>
      </c>
      <c r="AK1248" s="1">
        <v>310643</v>
      </c>
      <c r="AL1248" s="1" t="s">
        <v>115</v>
      </c>
      <c r="AN1248" s="270">
        <v>342</v>
      </c>
      <c r="BS1248" s="1">
        <v>10875</v>
      </c>
      <c r="BT1248" s="1" t="s">
        <v>902</v>
      </c>
      <c r="BX1248" s="36"/>
    </row>
    <row r="1249" spans="2:76" ht="14.25">
      <c r="B1249" s="36"/>
      <c r="C1249" s="36"/>
      <c r="D1249" s="36"/>
      <c r="E1249" s="36"/>
      <c r="F1249" s="36"/>
      <c r="G1249" s="36"/>
      <c r="H1249" s="36"/>
      <c r="J1249" s="36"/>
      <c r="L1249" s="1" t="str">
        <f t="shared" si="111"/>
        <v/>
      </c>
      <c r="M1249" s="94">
        <v>1244</v>
      </c>
      <c r="N1249" s="36" t="s">
        <v>2905</v>
      </c>
      <c r="O1249" s="95">
        <v>310951</v>
      </c>
      <c r="P1249" s="36"/>
      <c r="AI1249" s="122">
        <v>937</v>
      </c>
      <c r="AJ1249" s="1" t="s">
        <v>2597</v>
      </c>
      <c r="AK1249" s="1">
        <v>310644</v>
      </c>
      <c r="AL1249" s="1" t="s">
        <v>930</v>
      </c>
      <c r="AN1249" s="270">
        <v>343</v>
      </c>
      <c r="BS1249" s="1">
        <v>10876</v>
      </c>
      <c r="BT1249" s="1" t="s">
        <v>902</v>
      </c>
      <c r="BX1249" s="36"/>
    </row>
    <row r="1250" spans="2:76" ht="14.25">
      <c r="B1250" s="36"/>
      <c r="C1250" s="36"/>
      <c r="D1250" s="36"/>
      <c r="E1250" s="36"/>
      <c r="F1250" s="36"/>
      <c r="G1250" s="36"/>
      <c r="H1250" s="36"/>
      <c r="J1250" s="36"/>
      <c r="L1250" s="1" t="str">
        <f t="shared" si="111"/>
        <v/>
      </c>
      <c r="M1250" s="94">
        <v>1245</v>
      </c>
      <c r="N1250" s="36" t="s">
        <v>2906</v>
      </c>
      <c r="O1250" s="95">
        <v>310952</v>
      </c>
      <c r="P1250" s="36"/>
      <c r="AI1250" s="122">
        <v>938</v>
      </c>
      <c r="AJ1250" s="1" t="s">
        <v>2598</v>
      </c>
      <c r="AK1250" s="1">
        <v>310645</v>
      </c>
      <c r="AL1250" s="1" t="s">
        <v>115</v>
      </c>
      <c r="AN1250" s="270">
        <v>344</v>
      </c>
      <c r="BS1250" s="1">
        <v>10877</v>
      </c>
      <c r="BT1250" s="1" t="s">
        <v>902</v>
      </c>
      <c r="BX1250" s="36"/>
    </row>
    <row r="1251" spans="2:76" ht="14.25">
      <c r="B1251" s="36"/>
      <c r="C1251" s="36"/>
      <c r="D1251" s="36"/>
      <c r="E1251" s="36"/>
      <c r="F1251" s="36"/>
      <c r="G1251" s="36"/>
      <c r="H1251" s="36"/>
      <c r="J1251" s="36"/>
      <c r="L1251" s="1" t="str">
        <f t="shared" si="111"/>
        <v/>
      </c>
      <c r="M1251" s="94">
        <v>1246</v>
      </c>
      <c r="N1251" s="36" t="s">
        <v>2907</v>
      </c>
      <c r="O1251" s="95">
        <v>310953</v>
      </c>
      <c r="P1251" s="36"/>
      <c r="AI1251" s="122">
        <v>939</v>
      </c>
      <c r="AJ1251" s="1" t="s">
        <v>2599</v>
      </c>
      <c r="AK1251" s="1">
        <v>310646</v>
      </c>
      <c r="AL1251" s="1" t="s">
        <v>930</v>
      </c>
      <c r="AN1251" s="270">
        <v>345</v>
      </c>
      <c r="BS1251" s="1">
        <v>10878</v>
      </c>
      <c r="BT1251" s="1" t="s">
        <v>902</v>
      </c>
      <c r="BX1251" s="36"/>
    </row>
    <row r="1252" spans="2:76" ht="14.25">
      <c r="B1252" s="36"/>
      <c r="C1252" s="36"/>
      <c r="D1252" s="36"/>
      <c r="E1252" s="36"/>
      <c r="F1252" s="36"/>
      <c r="G1252" s="36"/>
      <c r="H1252" s="36"/>
      <c r="J1252" s="36"/>
      <c r="L1252" s="1" t="str">
        <f t="shared" si="111"/>
        <v/>
      </c>
      <c r="M1252" s="94">
        <v>1247</v>
      </c>
      <c r="N1252" s="36" t="s">
        <v>2908</v>
      </c>
      <c r="O1252" s="95">
        <v>310954</v>
      </c>
      <c r="P1252" s="36"/>
      <c r="AI1252" s="122">
        <v>940</v>
      </c>
      <c r="AJ1252" s="1" t="s">
        <v>2600</v>
      </c>
      <c r="AK1252" s="1">
        <v>310647</v>
      </c>
      <c r="AL1252" s="1" t="s">
        <v>930</v>
      </c>
      <c r="AN1252" s="270">
        <v>346</v>
      </c>
      <c r="BS1252" s="1">
        <v>10879</v>
      </c>
      <c r="BT1252" s="1" t="s">
        <v>902</v>
      </c>
      <c r="BX1252" s="36"/>
    </row>
    <row r="1253" spans="2:76" ht="14.25">
      <c r="B1253" s="36"/>
      <c r="C1253" s="36"/>
      <c r="D1253" s="36"/>
      <c r="E1253" s="36"/>
      <c r="F1253" s="36"/>
      <c r="G1253" s="36"/>
      <c r="H1253" s="36"/>
      <c r="J1253" s="36"/>
      <c r="L1253" s="1" t="str">
        <f t="shared" si="111"/>
        <v/>
      </c>
      <c r="M1253" s="94">
        <v>1248</v>
      </c>
      <c r="N1253" s="36" t="s">
        <v>2909</v>
      </c>
      <c r="O1253" s="95">
        <v>310955</v>
      </c>
      <c r="P1253" s="36"/>
      <c r="AI1253" s="122">
        <v>941</v>
      </c>
      <c r="AJ1253" s="1" t="s">
        <v>2601</v>
      </c>
      <c r="AK1253" s="1">
        <v>310648</v>
      </c>
      <c r="AL1253" s="1" t="s">
        <v>115</v>
      </c>
      <c r="AN1253" s="270">
        <v>347</v>
      </c>
      <c r="BS1253" s="1">
        <v>10880</v>
      </c>
      <c r="BT1253" s="1" t="s">
        <v>902</v>
      </c>
      <c r="BX1253" s="36"/>
    </row>
    <row r="1254" spans="2:76" ht="14.25">
      <c r="B1254" s="36"/>
      <c r="C1254" s="36"/>
      <c r="D1254" s="36"/>
      <c r="E1254" s="36"/>
      <c r="F1254" s="36"/>
      <c r="G1254" s="36"/>
      <c r="H1254" s="36"/>
      <c r="J1254" s="36"/>
      <c r="L1254" s="1" t="str">
        <f t="shared" si="111"/>
        <v/>
      </c>
      <c r="M1254" s="94">
        <v>1249</v>
      </c>
      <c r="N1254" s="36" t="s">
        <v>2910</v>
      </c>
      <c r="O1254" s="95">
        <v>310956</v>
      </c>
      <c r="P1254" s="36"/>
      <c r="AI1254" s="122">
        <v>942</v>
      </c>
      <c r="AJ1254" s="1" t="s">
        <v>2602</v>
      </c>
      <c r="AK1254" s="1">
        <v>310649</v>
      </c>
      <c r="AL1254" s="1" t="s">
        <v>930</v>
      </c>
      <c r="AN1254" s="270">
        <v>348</v>
      </c>
      <c r="BS1254" s="1">
        <v>10881</v>
      </c>
      <c r="BT1254" s="1" t="s">
        <v>902</v>
      </c>
      <c r="BX1254" s="36"/>
    </row>
    <row r="1255" spans="2:76" ht="14.25">
      <c r="B1255" s="36"/>
      <c r="C1255" s="36"/>
      <c r="D1255" s="36"/>
      <c r="E1255" s="36"/>
      <c r="F1255" s="36"/>
      <c r="G1255" s="36"/>
      <c r="H1255" s="36"/>
      <c r="J1255" s="36"/>
      <c r="L1255" s="1" t="str">
        <f t="shared" si="111"/>
        <v/>
      </c>
      <c r="M1255" s="94">
        <v>1250</v>
      </c>
      <c r="N1255" s="36" t="s">
        <v>2911</v>
      </c>
      <c r="O1255" s="95">
        <v>310957</v>
      </c>
      <c r="P1255" s="36"/>
      <c r="AI1255" s="122">
        <v>943</v>
      </c>
      <c r="AJ1255" s="1" t="s">
        <v>2603</v>
      </c>
      <c r="AK1255" s="1">
        <v>310650</v>
      </c>
      <c r="AL1255" s="1" t="s">
        <v>115</v>
      </c>
      <c r="AN1255" s="270">
        <v>349</v>
      </c>
      <c r="BS1255" s="1">
        <v>10882</v>
      </c>
      <c r="BT1255" s="1" t="s">
        <v>902</v>
      </c>
      <c r="BX1255" s="36"/>
    </row>
    <row r="1256" spans="2:76" ht="14.25">
      <c r="B1256" s="36"/>
      <c r="C1256" s="36"/>
      <c r="D1256" s="36"/>
      <c r="E1256" s="36"/>
      <c r="F1256" s="36"/>
      <c r="G1256" s="36"/>
      <c r="H1256" s="36"/>
      <c r="J1256" s="36"/>
      <c r="L1256" s="1" t="str">
        <f t="shared" si="111"/>
        <v/>
      </c>
      <c r="M1256" s="94">
        <v>1251</v>
      </c>
      <c r="N1256" s="36" t="s">
        <v>2912</v>
      </c>
      <c r="O1256" s="95">
        <v>310958</v>
      </c>
      <c r="P1256" s="36"/>
      <c r="AI1256" s="122">
        <v>944</v>
      </c>
      <c r="AJ1256" s="1" t="s">
        <v>2604</v>
      </c>
      <c r="AK1256" s="1">
        <v>310651</v>
      </c>
      <c r="AL1256" s="1" t="s">
        <v>930</v>
      </c>
      <c r="AN1256" s="270">
        <v>350</v>
      </c>
      <c r="BS1256" s="1">
        <v>10883</v>
      </c>
      <c r="BT1256" s="1" t="s">
        <v>902</v>
      </c>
      <c r="BX1256" s="36"/>
    </row>
    <row r="1257" spans="2:76" ht="14.25">
      <c r="B1257" s="36"/>
      <c r="C1257" s="36"/>
      <c r="D1257" s="36"/>
      <c r="E1257" s="36"/>
      <c r="F1257" s="36"/>
      <c r="G1257" s="36"/>
      <c r="H1257" s="36"/>
      <c r="J1257" s="36"/>
      <c r="L1257" s="1" t="str">
        <f t="shared" si="111"/>
        <v/>
      </c>
      <c r="M1257" s="94">
        <v>1252</v>
      </c>
      <c r="N1257" s="36" t="s">
        <v>2913</v>
      </c>
      <c r="O1257" s="95">
        <v>310959</v>
      </c>
      <c r="P1257" s="36"/>
      <c r="AI1257" s="122">
        <v>945</v>
      </c>
      <c r="AJ1257" s="1" t="s">
        <v>2605</v>
      </c>
      <c r="AK1257" s="1">
        <v>310652</v>
      </c>
      <c r="AL1257" s="1" t="s">
        <v>115</v>
      </c>
      <c r="AN1257" s="270">
        <v>351</v>
      </c>
      <c r="BS1257" s="1">
        <v>10884</v>
      </c>
      <c r="BT1257" s="1" t="s">
        <v>902</v>
      </c>
      <c r="BX1257" s="36"/>
    </row>
    <row r="1258" spans="2:76" ht="14.25">
      <c r="B1258" s="36"/>
      <c r="C1258" s="36"/>
      <c r="D1258" s="36"/>
      <c r="E1258" s="36"/>
      <c r="F1258" s="36"/>
      <c r="G1258" s="36"/>
      <c r="H1258" s="36"/>
      <c r="J1258" s="36"/>
      <c r="L1258" s="1" t="str">
        <f t="shared" si="111"/>
        <v/>
      </c>
      <c r="M1258" s="94">
        <v>1253</v>
      </c>
      <c r="N1258" s="36" t="s">
        <v>2914</v>
      </c>
      <c r="O1258" s="95">
        <v>310960</v>
      </c>
      <c r="P1258" s="36"/>
      <c r="AI1258" s="122">
        <v>946</v>
      </c>
      <c r="AJ1258" s="1" t="s">
        <v>2606</v>
      </c>
      <c r="AK1258" s="1">
        <v>310653</v>
      </c>
      <c r="AL1258" s="1" t="s">
        <v>930</v>
      </c>
      <c r="AN1258" s="270">
        <v>352</v>
      </c>
      <c r="BS1258" s="1">
        <v>10885</v>
      </c>
      <c r="BT1258" s="1" t="s">
        <v>902</v>
      </c>
      <c r="BX1258" s="36"/>
    </row>
    <row r="1259" spans="2:76" ht="14.25">
      <c r="B1259" s="36"/>
      <c r="C1259" s="36"/>
      <c r="D1259" s="36"/>
      <c r="E1259" s="36"/>
      <c r="F1259" s="36"/>
      <c r="G1259" s="36"/>
      <c r="H1259" s="36"/>
      <c r="J1259" s="36"/>
      <c r="L1259" s="1" t="str">
        <f t="shared" si="111"/>
        <v/>
      </c>
      <c r="M1259" s="94">
        <v>1254</v>
      </c>
      <c r="N1259" s="36" t="s">
        <v>2915</v>
      </c>
      <c r="O1259" s="95">
        <v>310961</v>
      </c>
      <c r="P1259" s="36"/>
      <c r="AI1259" s="122">
        <v>947</v>
      </c>
      <c r="AJ1259" s="1" t="s">
        <v>2607</v>
      </c>
      <c r="AK1259" s="1">
        <v>310654</v>
      </c>
      <c r="AL1259" s="1" t="s">
        <v>930</v>
      </c>
      <c r="AN1259" s="270">
        <v>353</v>
      </c>
      <c r="BS1259" s="1">
        <v>10886</v>
      </c>
      <c r="BT1259" s="1" t="s">
        <v>902</v>
      </c>
      <c r="BX1259" s="36"/>
    </row>
    <row r="1260" spans="2:76" ht="14.25">
      <c r="B1260" s="36"/>
      <c r="C1260" s="36"/>
      <c r="D1260" s="36"/>
      <c r="E1260" s="36"/>
      <c r="F1260" s="36"/>
      <c r="G1260" s="36"/>
      <c r="H1260" s="36"/>
      <c r="J1260" s="36"/>
      <c r="L1260" s="1" t="str">
        <f t="shared" si="111"/>
        <v/>
      </c>
      <c r="M1260" s="94">
        <v>1255</v>
      </c>
      <c r="N1260" s="36" t="s">
        <v>2916</v>
      </c>
      <c r="O1260" s="95">
        <v>310962</v>
      </c>
      <c r="P1260" s="36"/>
      <c r="AI1260" s="122">
        <v>948</v>
      </c>
      <c r="AJ1260" s="1" t="s">
        <v>2608</v>
      </c>
      <c r="AK1260" s="1">
        <v>310655</v>
      </c>
      <c r="AL1260" s="1" t="s">
        <v>115</v>
      </c>
      <c r="AN1260" s="270">
        <v>354</v>
      </c>
      <c r="BS1260" s="1">
        <v>10887</v>
      </c>
      <c r="BT1260" s="1" t="s">
        <v>902</v>
      </c>
      <c r="BX1260" s="36"/>
    </row>
    <row r="1261" spans="2:76" ht="14.25">
      <c r="B1261" s="36"/>
      <c r="C1261" s="36"/>
      <c r="D1261" s="36"/>
      <c r="E1261" s="36"/>
      <c r="F1261" s="36"/>
      <c r="G1261" s="36"/>
      <c r="H1261" s="36"/>
      <c r="J1261" s="36"/>
      <c r="L1261" s="1" t="str">
        <f t="shared" si="111"/>
        <v/>
      </c>
      <c r="M1261" s="94">
        <v>1256</v>
      </c>
      <c r="N1261" s="36" t="s">
        <v>2917</v>
      </c>
      <c r="O1261" s="95">
        <v>310963</v>
      </c>
      <c r="P1261" s="36"/>
      <c r="AI1261" s="122">
        <v>949</v>
      </c>
      <c r="AJ1261" s="1" t="s">
        <v>2609</v>
      </c>
      <c r="AK1261" s="1">
        <v>310656</v>
      </c>
      <c r="AL1261" s="1" t="s">
        <v>930</v>
      </c>
      <c r="AN1261" s="270">
        <v>355</v>
      </c>
      <c r="BS1261" s="1">
        <v>10888</v>
      </c>
      <c r="BT1261" s="1" t="s">
        <v>902</v>
      </c>
      <c r="BX1261" s="36"/>
    </row>
    <row r="1262" spans="2:76" ht="14.25">
      <c r="B1262" s="36"/>
      <c r="C1262" s="36"/>
      <c r="D1262" s="36"/>
      <c r="E1262" s="36"/>
      <c r="F1262" s="36"/>
      <c r="G1262" s="36"/>
      <c r="H1262" s="36"/>
      <c r="J1262" s="36"/>
      <c r="L1262" s="1" t="str">
        <f t="shared" si="111"/>
        <v/>
      </c>
      <c r="M1262" s="94">
        <v>1257</v>
      </c>
      <c r="N1262" s="36" t="s">
        <v>2918</v>
      </c>
      <c r="O1262" s="95">
        <v>310964</v>
      </c>
      <c r="P1262" s="36"/>
      <c r="AI1262" s="122">
        <v>950</v>
      </c>
      <c r="AJ1262" s="1" t="s">
        <v>2610</v>
      </c>
      <c r="AK1262" s="1">
        <v>310657</v>
      </c>
      <c r="AL1262" s="1" t="s">
        <v>115</v>
      </c>
      <c r="AN1262" s="270">
        <v>356</v>
      </c>
      <c r="BS1262" s="1">
        <v>10889</v>
      </c>
      <c r="BT1262" s="1" t="s">
        <v>902</v>
      </c>
      <c r="BX1262" s="36"/>
    </row>
    <row r="1263" spans="2:76" ht="14.25">
      <c r="B1263" s="36"/>
      <c r="C1263" s="36"/>
      <c r="D1263" s="36"/>
      <c r="E1263" s="36"/>
      <c r="F1263" s="36"/>
      <c r="G1263" s="36"/>
      <c r="H1263" s="36"/>
      <c r="J1263" s="36"/>
      <c r="L1263" s="1" t="str">
        <f t="shared" si="111"/>
        <v/>
      </c>
      <c r="M1263" s="94">
        <v>1258</v>
      </c>
      <c r="N1263" s="36" t="s">
        <v>2919</v>
      </c>
      <c r="O1263" s="95">
        <v>310965</v>
      </c>
      <c r="P1263" s="36"/>
      <c r="AI1263" s="122">
        <v>951</v>
      </c>
      <c r="AJ1263" s="1" t="s">
        <v>2611</v>
      </c>
      <c r="AK1263" s="1">
        <v>310658</v>
      </c>
      <c r="AL1263" s="1" t="s">
        <v>930</v>
      </c>
      <c r="AN1263" s="270">
        <v>357</v>
      </c>
      <c r="BS1263" s="1">
        <v>10890</v>
      </c>
      <c r="BT1263" s="1" t="s">
        <v>902</v>
      </c>
      <c r="BX1263" s="36"/>
    </row>
    <row r="1264" spans="2:76" ht="14.25">
      <c r="B1264" s="36"/>
      <c r="C1264" s="36"/>
      <c r="D1264" s="36"/>
      <c r="E1264" s="36"/>
      <c r="F1264" s="36"/>
      <c r="G1264" s="36"/>
      <c r="H1264" s="36"/>
      <c r="J1264" s="36"/>
      <c r="L1264" s="1" t="str">
        <f t="shared" si="111"/>
        <v/>
      </c>
      <c r="M1264" s="94">
        <v>1259</v>
      </c>
      <c r="N1264" s="36" t="s">
        <v>2920</v>
      </c>
      <c r="O1264" s="95">
        <v>310966</v>
      </c>
      <c r="P1264" s="36"/>
      <c r="AI1264" s="122">
        <v>952</v>
      </c>
      <c r="AJ1264" s="1" t="s">
        <v>2612</v>
      </c>
      <c r="AK1264" s="1">
        <v>310659</v>
      </c>
      <c r="AL1264" s="1" t="s">
        <v>115</v>
      </c>
      <c r="AN1264" s="270">
        <v>358</v>
      </c>
      <c r="BS1264" s="1">
        <v>10891</v>
      </c>
      <c r="BT1264" s="1" t="s">
        <v>902</v>
      </c>
      <c r="BX1264" s="36"/>
    </row>
    <row r="1265" spans="2:76" ht="14.25">
      <c r="B1265" s="36"/>
      <c r="C1265" s="36"/>
      <c r="D1265" s="36"/>
      <c r="E1265" s="36"/>
      <c r="F1265" s="36"/>
      <c r="G1265" s="36"/>
      <c r="H1265" s="36"/>
      <c r="J1265" s="36"/>
      <c r="L1265" s="1" t="str">
        <f t="shared" si="111"/>
        <v/>
      </c>
      <c r="M1265" s="94">
        <v>1260</v>
      </c>
      <c r="N1265" s="36" t="s">
        <v>2921</v>
      </c>
      <c r="O1265" s="95">
        <v>310967</v>
      </c>
      <c r="P1265" s="36"/>
      <c r="AI1265" s="122">
        <v>953</v>
      </c>
      <c r="AJ1265" s="1" t="s">
        <v>2613</v>
      </c>
      <c r="AK1265" s="1">
        <v>310660</v>
      </c>
      <c r="AL1265" s="1" t="s">
        <v>930</v>
      </c>
      <c r="AN1265" s="270">
        <v>359</v>
      </c>
      <c r="BS1265" s="1">
        <v>10892</v>
      </c>
      <c r="BT1265" s="1" t="s">
        <v>902</v>
      </c>
      <c r="BX1265" s="36"/>
    </row>
    <row r="1266" spans="2:76" ht="14.25">
      <c r="B1266" s="36"/>
      <c r="C1266" s="36"/>
      <c r="D1266" s="36"/>
      <c r="E1266" s="36"/>
      <c r="F1266" s="36"/>
      <c r="G1266" s="36"/>
      <c r="H1266" s="36"/>
      <c r="J1266" s="36"/>
      <c r="L1266" s="1" t="str">
        <f t="shared" si="111"/>
        <v/>
      </c>
      <c r="M1266" s="94">
        <v>1261</v>
      </c>
      <c r="N1266" s="36" t="s">
        <v>2922</v>
      </c>
      <c r="O1266" s="95">
        <v>310968</v>
      </c>
      <c r="P1266" s="36"/>
      <c r="AI1266" s="122">
        <v>954</v>
      </c>
      <c r="AJ1266" s="1" t="s">
        <v>2614</v>
      </c>
      <c r="AK1266" s="1">
        <v>310661</v>
      </c>
      <c r="AL1266" s="1" t="s">
        <v>115</v>
      </c>
      <c r="AN1266" s="270">
        <v>360</v>
      </c>
      <c r="BS1266" s="1">
        <v>10893</v>
      </c>
      <c r="BT1266" s="1" t="s">
        <v>902</v>
      </c>
      <c r="BX1266" s="36"/>
    </row>
    <row r="1267" spans="2:76" ht="14.25">
      <c r="B1267" s="36"/>
      <c r="C1267" s="36"/>
      <c r="D1267" s="36"/>
      <c r="E1267" s="36"/>
      <c r="F1267" s="36"/>
      <c r="G1267" s="36"/>
      <c r="H1267" s="36"/>
      <c r="J1267" s="36"/>
      <c r="L1267" s="1" t="str">
        <f t="shared" si="111"/>
        <v/>
      </c>
      <c r="M1267" s="94">
        <v>1262</v>
      </c>
      <c r="N1267" s="36" t="s">
        <v>2923</v>
      </c>
      <c r="O1267" s="95">
        <v>310969</v>
      </c>
      <c r="P1267" s="36"/>
      <c r="AI1267" s="122">
        <v>955</v>
      </c>
      <c r="AJ1267" s="1" t="s">
        <v>2615</v>
      </c>
      <c r="AK1267" s="1">
        <v>310662</v>
      </c>
      <c r="AL1267" s="1" t="s">
        <v>930</v>
      </c>
      <c r="AN1267" s="270">
        <v>361</v>
      </c>
      <c r="BS1267" s="1">
        <v>10894</v>
      </c>
      <c r="BT1267" s="1" t="s">
        <v>902</v>
      </c>
      <c r="BX1267" s="36"/>
    </row>
    <row r="1268" spans="2:76" ht="14.25">
      <c r="B1268" s="36"/>
      <c r="C1268" s="36"/>
      <c r="D1268" s="36"/>
      <c r="E1268" s="36"/>
      <c r="F1268" s="36"/>
      <c r="G1268" s="36"/>
      <c r="H1268" s="36"/>
      <c r="J1268" s="36"/>
      <c r="L1268" s="1" t="str">
        <f t="shared" si="111"/>
        <v/>
      </c>
      <c r="M1268" s="94">
        <v>1263</v>
      </c>
      <c r="N1268" s="36" t="s">
        <v>2924</v>
      </c>
      <c r="O1268" s="95">
        <v>310970</v>
      </c>
      <c r="P1268" s="36"/>
      <c r="AI1268" s="122">
        <v>956</v>
      </c>
      <c r="AJ1268" s="1" t="s">
        <v>2616</v>
      </c>
      <c r="AK1268" s="1">
        <v>310663</v>
      </c>
      <c r="AL1268" s="1" t="s">
        <v>930</v>
      </c>
      <c r="AN1268" s="270">
        <v>362</v>
      </c>
      <c r="BS1268" s="1">
        <v>10895</v>
      </c>
      <c r="BT1268" s="1" t="s">
        <v>902</v>
      </c>
      <c r="BX1268" s="36"/>
    </row>
    <row r="1269" spans="2:76" ht="14.25">
      <c r="B1269" s="36"/>
      <c r="C1269" s="36"/>
      <c r="D1269" s="36"/>
      <c r="E1269" s="36"/>
      <c r="F1269" s="36"/>
      <c r="G1269" s="36"/>
      <c r="H1269" s="36"/>
      <c r="J1269" s="36"/>
      <c r="L1269" s="1" t="str">
        <f t="shared" si="111"/>
        <v/>
      </c>
      <c r="M1269" s="94">
        <v>1264</v>
      </c>
      <c r="N1269" s="36" t="s">
        <v>2925</v>
      </c>
      <c r="O1269" s="95">
        <v>310971</v>
      </c>
      <c r="P1269" s="36"/>
      <c r="AI1269" s="122">
        <v>957</v>
      </c>
      <c r="AJ1269" s="1" t="s">
        <v>2617</v>
      </c>
      <c r="AK1269" s="1">
        <v>310664</v>
      </c>
      <c r="AL1269" s="1" t="s">
        <v>115</v>
      </c>
      <c r="AN1269" s="270">
        <v>363</v>
      </c>
      <c r="BS1269" s="1">
        <v>10896</v>
      </c>
      <c r="BT1269" s="1" t="s">
        <v>902</v>
      </c>
      <c r="BX1269" s="36"/>
    </row>
    <row r="1270" spans="2:76" ht="14.25">
      <c r="B1270" s="36"/>
      <c r="C1270" s="36"/>
      <c r="D1270" s="36"/>
      <c r="E1270" s="36"/>
      <c r="F1270" s="36"/>
      <c r="G1270" s="36"/>
      <c r="H1270" s="36"/>
      <c r="J1270" s="36"/>
      <c r="L1270" s="1" t="str">
        <f t="shared" si="111"/>
        <v/>
      </c>
      <c r="M1270" s="94">
        <v>1265</v>
      </c>
      <c r="N1270" s="36" t="s">
        <v>2926</v>
      </c>
      <c r="O1270" s="95">
        <v>310972</v>
      </c>
      <c r="P1270" s="36"/>
      <c r="AI1270" s="122">
        <v>958</v>
      </c>
      <c r="AJ1270" s="1" t="s">
        <v>2618</v>
      </c>
      <c r="AK1270" s="1">
        <v>310665</v>
      </c>
      <c r="AL1270" s="1" t="s">
        <v>930</v>
      </c>
      <c r="AN1270" s="270">
        <v>364</v>
      </c>
      <c r="BS1270" s="1">
        <v>10897</v>
      </c>
      <c r="BT1270" s="1" t="s">
        <v>902</v>
      </c>
      <c r="BX1270" s="36"/>
    </row>
    <row r="1271" spans="2:76" ht="14.25">
      <c r="B1271" s="36"/>
      <c r="C1271" s="36"/>
      <c r="D1271" s="36"/>
      <c r="E1271" s="36"/>
      <c r="F1271" s="36"/>
      <c r="G1271" s="36"/>
      <c r="H1271" s="36"/>
      <c r="J1271" s="36"/>
      <c r="L1271" s="1" t="str">
        <f t="shared" si="111"/>
        <v/>
      </c>
      <c r="M1271" s="94">
        <v>1266</v>
      </c>
      <c r="N1271" s="36" t="s">
        <v>2927</v>
      </c>
      <c r="O1271" s="95">
        <v>310973</v>
      </c>
      <c r="P1271" s="36"/>
      <c r="AI1271" s="122">
        <v>959</v>
      </c>
      <c r="AJ1271" s="1" t="s">
        <v>2619</v>
      </c>
      <c r="AK1271" s="1">
        <v>310666</v>
      </c>
      <c r="AL1271" s="1" t="s">
        <v>115</v>
      </c>
      <c r="AN1271" s="270">
        <v>365</v>
      </c>
      <c r="BS1271" s="1">
        <v>10898</v>
      </c>
      <c r="BT1271" s="1" t="s">
        <v>902</v>
      </c>
      <c r="BX1271" s="36"/>
    </row>
    <row r="1272" spans="2:76" ht="14.25">
      <c r="B1272" s="36"/>
      <c r="C1272" s="36"/>
      <c r="D1272" s="36"/>
      <c r="E1272" s="36"/>
      <c r="F1272" s="36"/>
      <c r="G1272" s="36"/>
      <c r="H1272" s="36"/>
      <c r="J1272" s="36"/>
      <c r="L1272" s="1" t="str">
        <f t="shared" si="111"/>
        <v/>
      </c>
      <c r="M1272" s="94">
        <v>1267</v>
      </c>
      <c r="N1272" s="36" t="s">
        <v>2928</v>
      </c>
      <c r="O1272" s="95">
        <v>310974</v>
      </c>
      <c r="P1272" s="36"/>
      <c r="AI1272" s="122">
        <v>960</v>
      </c>
      <c r="AJ1272" s="1" t="s">
        <v>2620</v>
      </c>
      <c r="AK1272" s="1">
        <v>310667</v>
      </c>
      <c r="AL1272" s="1" t="s">
        <v>930</v>
      </c>
      <c r="AN1272" s="270">
        <v>366</v>
      </c>
      <c r="BS1272" s="1">
        <v>10899</v>
      </c>
      <c r="BT1272" s="1" t="s">
        <v>902</v>
      </c>
      <c r="BX1272" s="36"/>
    </row>
    <row r="1273" spans="2:76" ht="14.25">
      <c r="B1273" s="36"/>
      <c r="C1273" s="36"/>
      <c r="D1273" s="36"/>
      <c r="E1273" s="36"/>
      <c r="F1273" s="36"/>
      <c r="G1273" s="36"/>
      <c r="H1273" s="36"/>
      <c r="J1273" s="36"/>
      <c r="L1273" s="1" t="str">
        <f t="shared" si="111"/>
        <v/>
      </c>
      <c r="M1273" s="94">
        <v>1268</v>
      </c>
      <c r="N1273" s="36" t="s">
        <v>2929</v>
      </c>
      <c r="O1273" s="95">
        <v>310975</v>
      </c>
      <c r="P1273" s="36"/>
      <c r="AI1273" s="122">
        <v>961</v>
      </c>
      <c r="AJ1273" s="1" t="s">
        <v>2621</v>
      </c>
      <c r="AK1273" s="1">
        <v>310668</v>
      </c>
      <c r="AL1273" s="1" t="s">
        <v>115</v>
      </c>
      <c r="AN1273" s="270">
        <v>367</v>
      </c>
      <c r="BS1273" s="1">
        <v>10900</v>
      </c>
      <c r="BT1273" s="1" t="s">
        <v>902</v>
      </c>
      <c r="BX1273" s="36"/>
    </row>
    <row r="1274" spans="2:76" ht="14.25">
      <c r="B1274" s="36"/>
      <c r="C1274" s="36"/>
      <c r="D1274" s="36"/>
      <c r="E1274" s="36"/>
      <c r="F1274" s="36"/>
      <c r="G1274" s="36"/>
      <c r="H1274" s="36"/>
      <c r="J1274" s="36"/>
      <c r="L1274" s="1" t="str">
        <f t="shared" si="111"/>
        <v/>
      </c>
      <c r="M1274" s="94">
        <v>1269</v>
      </c>
      <c r="N1274" s="36" t="s">
        <v>2930</v>
      </c>
      <c r="O1274" s="95">
        <v>310976</v>
      </c>
      <c r="P1274" s="36"/>
      <c r="AI1274" s="122">
        <v>962</v>
      </c>
      <c r="AJ1274" s="1" t="s">
        <v>2622</v>
      </c>
      <c r="AK1274" s="1">
        <v>310669</v>
      </c>
      <c r="AL1274" s="1" t="s">
        <v>930</v>
      </c>
      <c r="AN1274" s="270">
        <v>368</v>
      </c>
      <c r="BS1274" s="1">
        <v>10901</v>
      </c>
      <c r="BT1274" s="1" t="s">
        <v>902</v>
      </c>
      <c r="BX1274" s="36"/>
    </row>
    <row r="1275" spans="2:76" ht="14.25">
      <c r="B1275" s="36"/>
      <c r="C1275" s="36"/>
      <c r="D1275" s="36"/>
      <c r="E1275" s="36"/>
      <c r="F1275" s="36"/>
      <c r="G1275" s="36"/>
      <c r="H1275" s="36"/>
      <c r="J1275" s="36"/>
      <c r="L1275" s="1" t="str">
        <f t="shared" si="111"/>
        <v/>
      </c>
      <c r="M1275" s="94">
        <v>1270</v>
      </c>
      <c r="N1275" s="36" t="s">
        <v>2931</v>
      </c>
      <c r="O1275" s="95">
        <v>310977</v>
      </c>
      <c r="P1275" s="36"/>
      <c r="AI1275" s="122">
        <v>963</v>
      </c>
      <c r="AJ1275" s="1" t="s">
        <v>2623</v>
      </c>
      <c r="AK1275" s="1">
        <v>310670</v>
      </c>
      <c r="AL1275" s="1" t="s">
        <v>930</v>
      </c>
      <c r="AN1275" s="270">
        <v>369</v>
      </c>
      <c r="BS1275" s="1">
        <v>10902</v>
      </c>
      <c r="BT1275" s="1" t="s">
        <v>902</v>
      </c>
      <c r="BX1275" s="36"/>
    </row>
    <row r="1276" spans="2:76" ht="14.25">
      <c r="B1276" s="36"/>
      <c r="C1276" s="36"/>
      <c r="D1276" s="36"/>
      <c r="E1276" s="36"/>
      <c r="F1276" s="36"/>
      <c r="G1276" s="36"/>
      <c r="H1276" s="36"/>
      <c r="J1276" s="36"/>
      <c r="L1276" s="1" t="str">
        <f t="shared" si="111"/>
        <v/>
      </c>
      <c r="M1276" s="94">
        <v>1271</v>
      </c>
      <c r="N1276" s="36" t="s">
        <v>2932</v>
      </c>
      <c r="O1276" s="95">
        <v>310978</v>
      </c>
      <c r="P1276" s="36"/>
      <c r="AI1276" s="122">
        <v>964</v>
      </c>
      <c r="AJ1276" s="1" t="s">
        <v>2624</v>
      </c>
      <c r="AK1276" s="1">
        <v>310671</v>
      </c>
      <c r="AL1276" s="1" t="s">
        <v>115</v>
      </c>
      <c r="AN1276" s="270">
        <v>370</v>
      </c>
      <c r="BS1276" s="1">
        <v>10903</v>
      </c>
      <c r="BT1276" s="1" t="s">
        <v>902</v>
      </c>
      <c r="BX1276" s="36"/>
    </row>
    <row r="1277" spans="2:76" ht="14.25">
      <c r="B1277" s="36"/>
      <c r="C1277" s="36"/>
      <c r="D1277" s="36"/>
      <c r="E1277" s="36"/>
      <c r="F1277" s="36"/>
      <c r="G1277" s="36"/>
      <c r="H1277" s="36"/>
      <c r="J1277" s="36"/>
      <c r="L1277" s="1" t="str">
        <f t="shared" si="111"/>
        <v/>
      </c>
      <c r="M1277" s="94">
        <v>1272</v>
      </c>
      <c r="N1277" s="36" t="s">
        <v>2933</v>
      </c>
      <c r="O1277" s="95">
        <v>310979</v>
      </c>
      <c r="P1277" s="36"/>
      <c r="AI1277" s="122">
        <v>965</v>
      </c>
      <c r="AJ1277" s="1" t="s">
        <v>2625</v>
      </c>
      <c r="AK1277" s="1">
        <v>310672</v>
      </c>
      <c r="AL1277" s="1" t="s">
        <v>930</v>
      </c>
      <c r="AN1277" s="270">
        <v>371</v>
      </c>
      <c r="BS1277" s="1">
        <v>10904</v>
      </c>
      <c r="BT1277" s="1" t="s">
        <v>902</v>
      </c>
      <c r="BX1277" s="36"/>
    </row>
    <row r="1278" spans="2:76" ht="14.25">
      <c r="B1278" s="36"/>
      <c r="C1278" s="36"/>
      <c r="D1278" s="36"/>
      <c r="E1278" s="36"/>
      <c r="F1278" s="36"/>
      <c r="G1278" s="36"/>
      <c r="H1278" s="36"/>
      <c r="J1278" s="36"/>
      <c r="L1278" s="1" t="str">
        <f t="shared" si="111"/>
        <v/>
      </c>
      <c r="M1278" s="94">
        <v>1273</v>
      </c>
      <c r="N1278" s="36" t="s">
        <v>2934</v>
      </c>
      <c r="O1278" s="95">
        <v>310980</v>
      </c>
      <c r="P1278" s="36"/>
      <c r="AI1278" s="122">
        <v>966</v>
      </c>
      <c r="AJ1278" s="1" t="s">
        <v>2626</v>
      </c>
      <c r="AK1278" s="1">
        <v>310673</v>
      </c>
      <c r="AL1278" s="1" t="s">
        <v>115</v>
      </c>
      <c r="AN1278" s="270">
        <v>372</v>
      </c>
      <c r="BS1278" s="1">
        <v>10905</v>
      </c>
      <c r="BT1278" s="1" t="s">
        <v>902</v>
      </c>
      <c r="BX1278" s="36"/>
    </row>
    <row r="1279" spans="2:76" ht="14.25">
      <c r="B1279" s="36"/>
      <c r="C1279" s="36"/>
      <c r="D1279" s="36"/>
      <c r="E1279" s="36"/>
      <c r="F1279" s="36"/>
      <c r="G1279" s="36"/>
      <c r="H1279" s="36"/>
      <c r="J1279" s="36"/>
      <c r="L1279" s="1" t="str">
        <f t="shared" si="111"/>
        <v/>
      </c>
      <c r="M1279" s="94">
        <v>1274</v>
      </c>
      <c r="N1279" s="36" t="s">
        <v>2935</v>
      </c>
      <c r="O1279" s="95">
        <v>310981</v>
      </c>
      <c r="P1279" s="36"/>
      <c r="AI1279" s="122">
        <v>967</v>
      </c>
      <c r="AJ1279" s="1" t="s">
        <v>2627</v>
      </c>
      <c r="AK1279" s="1">
        <v>310674</v>
      </c>
      <c r="AL1279" s="1" t="s">
        <v>930</v>
      </c>
      <c r="AN1279" s="270">
        <v>373</v>
      </c>
      <c r="BS1279" s="1">
        <v>10906</v>
      </c>
      <c r="BT1279" s="1" t="s">
        <v>902</v>
      </c>
      <c r="BX1279" s="36"/>
    </row>
    <row r="1280" spans="2:76" ht="14.25">
      <c r="B1280" s="36"/>
      <c r="C1280" s="36"/>
      <c r="D1280" s="36"/>
      <c r="E1280" s="36"/>
      <c r="F1280" s="36"/>
      <c r="G1280" s="36"/>
      <c r="H1280" s="36"/>
      <c r="J1280" s="36"/>
      <c r="L1280" s="1" t="str">
        <f t="shared" si="111"/>
        <v/>
      </c>
      <c r="M1280" s="94">
        <v>1275</v>
      </c>
      <c r="N1280" s="36" t="s">
        <v>2936</v>
      </c>
      <c r="O1280" s="95">
        <v>310982</v>
      </c>
      <c r="P1280" s="36"/>
      <c r="AI1280" s="122">
        <v>968</v>
      </c>
      <c r="AJ1280" s="1" t="s">
        <v>2628</v>
      </c>
      <c r="AK1280" s="1">
        <v>310675</v>
      </c>
      <c r="AL1280" s="1" t="s">
        <v>115</v>
      </c>
      <c r="AN1280" s="270">
        <v>374</v>
      </c>
      <c r="BS1280" s="1">
        <v>10907</v>
      </c>
      <c r="BT1280" s="1" t="s">
        <v>902</v>
      </c>
      <c r="BX1280" s="36"/>
    </row>
    <row r="1281" spans="2:76" ht="14.25">
      <c r="B1281" s="36"/>
      <c r="C1281" s="36"/>
      <c r="D1281" s="36"/>
      <c r="E1281" s="36"/>
      <c r="F1281" s="36"/>
      <c r="G1281" s="36"/>
      <c r="H1281" s="36"/>
      <c r="J1281" s="36"/>
      <c r="L1281" s="1" t="str">
        <f t="shared" si="111"/>
        <v/>
      </c>
      <c r="M1281" s="94">
        <v>1276</v>
      </c>
      <c r="N1281" s="36" t="s">
        <v>2937</v>
      </c>
      <c r="O1281" s="95">
        <v>310983</v>
      </c>
      <c r="P1281" s="36"/>
      <c r="AI1281" s="122">
        <v>969</v>
      </c>
      <c r="AJ1281" s="1" t="s">
        <v>2629</v>
      </c>
      <c r="AK1281" s="1">
        <v>310676</v>
      </c>
      <c r="AL1281" s="1" t="s">
        <v>930</v>
      </c>
      <c r="AN1281" s="270">
        <v>375</v>
      </c>
      <c r="BS1281" s="1">
        <v>10908</v>
      </c>
      <c r="BT1281" s="1" t="s">
        <v>902</v>
      </c>
      <c r="BX1281" s="36"/>
    </row>
    <row r="1282" spans="2:76" ht="14.25">
      <c r="B1282" s="36"/>
      <c r="C1282" s="36"/>
      <c r="D1282" s="36"/>
      <c r="E1282" s="36"/>
      <c r="F1282" s="36"/>
      <c r="G1282" s="36"/>
      <c r="H1282" s="36"/>
      <c r="J1282" s="36"/>
      <c r="L1282" s="1" t="str">
        <f t="shared" si="111"/>
        <v/>
      </c>
      <c r="M1282" s="94">
        <v>1277</v>
      </c>
      <c r="N1282" s="36" t="s">
        <v>2938</v>
      </c>
      <c r="O1282" s="95">
        <v>310984</v>
      </c>
      <c r="P1282" s="36"/>
      <c r="AI1282" s="122">
        <v>970</v>
      </c>
      <c r="AJ1282" s="1" t="s">
        <v>2630</v>
      </c>
      <c r="AK1282" s="1">
        <v>310677</v>
      </c>
      <c r="AL1282" s="1" t="s">
        <v>930</v>
      </c>
      <c r="AN1282" s="270">
        <v>376</v>
      </c>
      <c r="BS1282" s="1">
        <v>10909</v>
      </c>
      <c r="BT1282" s="1" t="s">
        <v>902</v>
      </c>
      <c r="BX1282" s="36"/>
    </row>
    <row r="1283" spans="2:76" ht="14.25">
      <c r="B1283" s="36"/>
      <c r="C1283" s="36"/>
      <c r="D1283" s="36"/>
      <c r="E1283" s="36"/>
      <c r="F1283" s="36"/>
      <c r="G1283" s="36"/>
      <c r="H1283" s="36"/>
      <c r="J1283" s="36"/>
      <c r="L1283" s="1" t="str">
        <f t="shared" si="111"/>
        <v/>
      </c>
      <c r="M1283" s="94">
        <v>1278</v>
      </c>
      <c r="N1283" s="36" t="s">
        <v>2939</v>
      </c>
      <c r="O1283" s="95">
        <v>310985</v>
      </c>
      <c r="P1283" s="36"/>
      <c r="AI1283" s="122">
        <v>971</v>
      </c>
      <c r="AJ1283" s="1" t="s">
        <v>2631</v>
      </c>
      <c r="AK1283" s="1">
        <v>310678</v>
      </c>
      <c r="AL1283" s="1" t="s">
        <v>115</v>
      </c>
      <c r="AN1283" s="270">
        <v>377</v>
      </c>
      <c r="BS1283" s="1">
        <v>10910</v>
      </c>
      <c r="BT1283" s="1" t="s">
        <v>902</v>
      </c>
      <c r="BX1283" s="36"/>
    </row>
    <row r="1284" spans="2:76" ht="14.25">
      <c r="B1284" s="36"/>
      <c r="C1284" s="36"/>
      <c r="D1284" s="36"/>
      <c r="E1284" s="36"/>
      <c r="F1284" s="36"/>
      <c r="G1284" s="36"/>
      <c r="H1284" s="36"/>
      <c r="J1284" s="36"/>
      <c r="L1284" s="1" t="str">
        <f t="shared" ref="L1284:L1347" si="112">IF(AND(MIN(I:I)&lt;20,MAX(I:I)&gt;980,I1284&lt;20),I1284,"")</f>
        <v/>
      </c>
      <c r="M1284" s="94">
        <v>1279</v>
      </c>
      <c r="N1284" s="36" t="s">
        <v>2940</v>
      </c>
      <c r="O1284" s="95">
        <v>310986</v>
      </c>
      <c r="P1284" s="36"/>
      <c r="AI1284" s="122">
        <v>972</v>
      </c>
      <c r="AJ1284" s="1" t="s">
        <v>2632</v>
      </c>
      <c r="AK1284" s="1">
        <v>310679</v>
      </c>
      <c r="AL1284" s="1" t="s">
        <v>930</v>
      </c>
      <c r="AN1284" s="270">
        <v>378</v>
      </c>
      <c r="BS1284" s="1">
        <v>10911</v>
      </c>
      <c r="BT1284" s="1" t="s">
        <v>902</v>
      </c>
      <c r="BX1284" s="36"/>
    </row>
    <row r="1285" spans="2:76" ht="14.25">
      <c r="B1285" s="36"/>
      <c r="C1285" s="36"/>
      <c r="D1285" s="36"/>
      <c r="E1285" s="36"/>
      <c r="F1285" s="36"/>
      <c r="G1285" s="36"/>
      <c r="H1285" s="36"/>
      <c r="J1285" s="36"/>
      <c r="L1285" s="1" t="str">
        <f t="shared" si="112"/>
        <v/>
      </c>
      <c r="M1285" s="94">
        <v>1280</v>
      </c>
      <c r="N1285" s="36" t="s">
        <v>2941</v>
      </c>
      <c r="O1285" s="95">
        <v>310987</v>
      </c>
      <c r="P1285" s="36"/>
      <c r="AI1285" s="122">
        <v>973</v>
      </c>
      <c r="AJ1285" s="1" t="s">
        <v>2633</v>
      </c>
      <c r="AK1285" s="1">
        <v>310680</v>
      </c>
      <c r="AL1285" s="1" t="s">
        <v>115</v>
      </c>
      <c r="AN1285" s="270">
        <v>379</v>
      </c>
      <c r="BS1285" s="1">
        <v>10912</v>
      </c>
      <c r="BT1285" s="1" t="s">
        <v>902</v>
      </c>
      <c r="BX1285" s="36"/>
    </row>
    <row r="1286" spans="2:76" ht="14.25">
      <c r="B1286" s="36"/>
      <c r="C1286" s="36"/>
      <c r="D1286" s="36"/>
      <c r="E1286" s="36"/>
      <c r="F1286" s="36"/>
      <c r="G1286" s="36"/>
      <c r="H1286" s="36"/>
      <c r="J1286" s="36"/>
      <c r="L1286" s="1" t="str">
        <f t="shared" si="112"/>
        <v/>
      </c>
      <c r="M1286" s="94">
        <v>1281</v>
      </c>
      <c r="N1286" s="36" t="s">
        <v>2942</v>
      </c>
      <c r="O1286" s="95">
        <v>310988</v>
      </c>
      <c r="P1286" s="36"/>
      <c r="AI1286" s="122">
        <v>974</v>
      </c>
      <c r="AJ1286" s="1" t="s">
        <v>2634</v>
      </c>
      <c r="AK1286" s="1">
        <v>310681</v>
      </c>
      <c r="AL1286" s="1" t="s">
        <v>930</v>
      </c>
      <c r="AN1286" s="270">
        <v>380</v>
      </c>
      <c r="BS1286" s="1">
        <v>10913</v>
      </c>
      <c r="BT1286" s="1" t="s">
        <v>902</v>
      </c>
      <c r="BX1286" s="36"/>
    </row>
    <row r="1287" spans="2:76" ht="14.25">
      <c r="B1287" s="36"/>
      <c r="C1287" s="36"/>
      <c r="D1287" s="36"/>
      <c r="E1287" s="36"/>
      <c r="F1287" s="36"/>
      <c r="G1287" s="36"/>
      <c r="H1287" s="36"/>
      <c r="J1287" s="36"/>
      <c r="L1287" s="1" t="str">
        <f t="shared" si="112"/>
        <v/>
      </c>
      <c r="M1287" s="94">
        <v>1282</v>
      </c>
      <c r="N1287" s="36" t="s">
        <v>2943</v>
      </c>
      <c r="O1287" s="95">
        <v>310989</v>
      </c>
      <c r="P1287" s="36"/>
      <c r="AI1287" s="122">
        <v>975</v>
      </c>
      <c r="AJ1287" s="1" t="s">
        <v>2635</v>
      </c>
      <c r="AK1287" s="1">
        <v>310682</v>
      </c>
      <c r="AL1287" s="1" t="s">
        <v>115</v>
      </c>
      <c r="AN1287" s="270">
        <v>381</v>
      </c>
      <c r="BS1287" s="1">
        <v>10914</v>
      </c>
      <c r="BT1287" s="1" t="s">
        <v>902</v>
      </c>
      <c r="BX1287" s="36"/>
    </row>
    <row r="1288" spans="2:76" ht="14.25">
      <c r="B1288" s="36"/>
      <c r="C1288" s="36"/>
      <c r="D1288" s="36"/>
      <c r="E1288" s="36"/>
      <c r="F1288" s="36"/>
      <c r="G1288" s="36"/>
      <c r="H1288" s="36"/>
      <c r="J1288" s="36"/>
      <c r="L1288" s="1" t="str">
        <f t="shared" si="112"/>
        <v/>
      </c>
      <c r="M1288" s="94">
        <v>1283</v>
      </c>
      <c r="N1288" s="36" t="s">
        <v>2944</v>
      </c>
      <c r="O1288" s="95">
        <v>310990</v>
      </c>
      <c r="P1288" s="36"/>
      <c r="AI1288" s="122">
        <v>976</v>
      </c>
      <c r="AJ1288" s="1" t="s">
        <v>2636</v>
      </c>
      <c r="AK1288" s="1">
        <v>310683</v>
      </c>
      <c r="AL1288" s="1" t="s">
        <v>930</v>
      </c>
      <c r="AN1288" s="270">
        <v>382</v>
      </c>
      <c r="BS1288" s="1">
        <v>10915</v>
      </c>
      <c r="BT1288" s="1" t="s">
        <v>902</v>
      </c>
      <c r="BX1288" s="36"/>
    </row>
    <row r="1289" spans="2:76" ht="14.25">
      <c r="B1289" s="36"/>
      <c r="C1289" s="36"/>
      <c r="D1289" s="36"/>
      <c r="E1289" s="36"/>
      <c r="F1289" s="36"/>
      <c r="G1289" s="36"/>
      <c r="H1289" s="36"/>
      <c r="J1289" s="36"/>
      <c r="L1289" s="1" t="str">
        <f t="shared" si="112"/>
        <v/>
      </c>
      <c r="M1289" s="94">
        <v>1284</v>
      </c>
      <c r="N1289" s="36" t="s">
        <v>2945</v>
      </c>
      <c r="O1289" s="95">
        <v>310991</v>
      </c>
      <c r="P1289" s="36"/>
      <c r="AI1289" s="122">
        <v>977</v>
      </c>
      <c r="AJ1289" s="1" t="s">
        <v>2637</v>
      </c>
      <c r="AK1289" s="1">
        <v>310684</v>
      </c>
      <c r="AL1289" s="1" t="s">
        <v>115</v>
      </c>
      <c r="AN1289" s="270">
        <v>383</v>
      </c>
      <c r="BS1289" s="1">
        <v>10916</v>
      </c>
      <c r="BT1289" s="1" t="s">
        <v>902</v>
      </c>
      <c r="BX1289" s="36"/>
    </row>
    <row r="1290" spans="2:76" ht="14.25">
      <c r="B1290" s="36"/>
      <c r="C1290" s="36"/>
      <c r="D1290" s="36"/>
      <c r="E1290" s="36"/>
      <c r="F1290" s="36"/>
      <c r="G1290" s="36"/>
      <c r="H1290" s="36"/>
      <c r="J1290" s="36"/>
      <c r="L1290" s="1" t="str">
        <f t="shared" si="112"/>
        <v/>
      </c>
      <c r="M1290" s="94">
        <v>1285</v>
      </c>
      <c r="N1290" s="36" t="s">
        <v>2946</v>
      </c>
      <c r="O1290" s="95">
        <v>310992</v>
      </c>
      <c r="P1290" s="36"/>
      <c r="AI1290" s="122">
        <v>978</v>
      </c>
      <c r="AJ1290" s="1" t="s">
        <v>2638</v>
      </c>
      <c r="AK1290" s="1">
        <v>310685</v>
      </c>
      <c r="AL1290" s="1" t="s">
        <v>930</v>
      </c>
      <c r="AN1290" s="270">
        <v>384</v>
      </c>
      <c r="BS1290" s="1">
        <v>10917</v>
      </c>
      <c r="BT1290" s="1" t="s">
        <v>902</v>
      </c>
      <c r="BX1290" s="36"/>
    </row>
    <row r="1291" spans="2:76" ht="14.25">
      <c r="B1291" s="36"/>
      <c r="C1291" s="36"/>
      <c r="D1291" s="36"/>
      <c r="E1291" s="36"/>
      <c r="F1291" s="36"/>
      <c r="G1291" s="36"/>
      <c r="H1291" s="36"/>
      <c r="J1291" s="36"/>
      <c r="L1291" s="1" t="str">
        <f t="shared" si="112"/>
        <v/>
      </c>
      <c r="M1291" s="94">
        <v>1286</v>
      </c>
      <c r="N1291" s="36" t="s">
        <v>2947</v>
      </c>
      <c r="O1291" s="95">
        <v>310993</v>
      </c>
      <c r="P1291" s="36"/>
      <c r="AI1291" s="122">
        <v>979</v>
      </c>
      <c r="AJ1291" s="1" t="s">
        <v>2639</v>
      </c>
      <c r="AK1291" s="1">
        <v>310686</v>
      </c>
      <c r="AL1291" s="1" t="s">
        <v>930</v>
      </c>
      <c r="AN1291" s="270">
        <v>385</v>
      </c>
      <c r="BS1291" s="1">
        <v>10918</v>
      </c>
      <c r="BT1291" s="1" t="s">
        <v>902</v>
      </c>
      <c r="BX1291" s="36"/>
    </row>
    <row r="1292" spans="2:76" ht="14.25">
      <c r="B1292" s="36"/>
      <c r="C1292" s="36"/>
      <c r="D1292" s="36"/>
      <c r="E1292" s="36"/>
      <c r="F1292" s="36"/>
      <c r="G1292" s="36"/>
      <c r="H1292" s="36"/>
      <c r="J1292" s="36"/>
      <c r="L1292" s="1" t="str">
        <f t="shared" si="112"/>
        <v/>
      </c>
      <c r="M1292" s="94">
        <v>1287</v>
      </c>
      <c r="N1292" s="36" t="s">
        <v>2948</v>
      </c>
      <c r="O1292" s="95">
        <v>310994</v>
      </c>
      <c r="P1292" s="36"/>
      <c r="AI1292" s="122">
        <v>980</v>
      </c>
      <c r="AJ1292" s="1" t="s">
        <v>2640</v>
      </c>
      <c r="AK1292" s="1">
        <v>310687</v>
      </c>
      <c r="AL1292" s="1" t="s">
        <v>115</v>
      </c>
      <c r="AN1292" s="270">
        <v>386</v>
      </c>
      <c r="BS1292" s="1">
        <v>10919</v>
      </c>
      <c r="BT1292" s="1" t="s">
        <v>902</v>
      </c>
      <c r="BX1292" s="36"/>
    </row>
    <row r="1293" spans="2:76" ht="14.25">
      <c r="B1293" s="36"/>
      <c r="C1293" s="36"/>
      <c r="D1293" s="36"/>
      <c r="E1293" s="36"/>
      <c r="F1293" s="36"/>
      <c r="G1293" s="36"/>
      <c r="H1293" s="36"/>
      <c r="J1293" s="36"/>
      <c r="L1293" s="1" t="str">
        <f t="shared" si="112"/>
        <v/>
      </c>
      <c r="M1293" s="94">
        <v>1288</v>
      </c>
      <c r="N1293" s="36" t="s">
        <v>2949</v>
      </c>
      <c r="O1293" s="95">
        <v>310995</v>
      </c>
      <c r="P1293" s="36"/>
      <c r="AI1293" s="122">
        <v>981</v>
      </c>
      <c r="AJ1293" s="1" t="s">
        <v>2641</v>
      </c>
      <c r="AK1293" s="1">
        <v>310688</v>
      </c>
      <c r="AL1293" s="1" t="s">
        <v>930</v>
      </c>
      <c r="AN1293" s="270">
        <v>387</v>
      </c>
      <c r="BS1293" s="1">
        <v>10920</v>
      </c>
      <c r="BT1293" s="1" t="s">
        <v>902</v>
      </c>
      <c r="BX1293" s="36"/>
    </row>
    <row r="1294" spans="2:76" ht="14.25">
      <c r="B1294" s="36"/>
      <c r="C1294" s="36"/>
      <c r="D1294" s="36"/>
      <c r="E1294" s="36"/>
      <c r="F1294" s="36"/>
      <c r="G1294" s="36"/>
      <c r="H1294" s="36"/>
      <c r="J1294" s="36"/>
      <c r="L1294" s="1" t="str">
        <f t="shared" si="112"/>
        <v/>
      </c>
      <c r="M1294" s="94">
        <v>1289</v>
      </c>
      <c r="N1294" s="36" t="s">
        <v>2950</v>
      </c>
      <c r="O1294" s="95">
        <v>310996</v>
      </c>
      <c r="P1294" s="36"/>
      <c r="AI1294" s="122">
        <v>982</v>
      </c>
      <c r="AJ1294" s="1" t="s">
        <v>2642</v>
      </c>
      <c r="AK1294" s="1">
        <v>310689</v>
      </c>
      <c r="AL1294" s="1" t="s">
        <v>115</v>
      </c>
      <c r="AN1294" s="270">
        <v>388</v>
      </c>
      <c r="BS1294" s="1">
        <v>10921</v>
      </c>
      <c r="BT1294" s="1" t="s">
        <v>902</v>
      </c>
      <c r="BX1294" s="36"/>
    </row>
    <row r="1295" spans="2:76" ht="14.25">
      <c r="B1295" s="36"/>
      <c r="C1295" s="36"/>
      <c r="D1295" s="36"/>
      <c r="E1295" s="36"/>
      <c r="F1295" s="36"/>
      <c r="G1295" s="36"/>
      <c r="H1295" s="36"/>
      <c r="J1295" s="36"/>
      <c r="L1295" s="1" t="str">
        <f t="shared" si="112"/>
        <v/>
      </c>
      <c r="M1295" s="94">
        <v>1290</v>
      </c>
      <c r="N1295" s="36" t="s">
        <v>2951</v>
      </c>
      <c r="O1295" s="95">
        <v>310997</v>
      </c>
      <c r="P1295" s="36"/>
      <c r="AI1295" s="122">
        <v>983</v>
      </c>
      <c r="AJ1295" s="1" t="s">
        <v>2643</v>
      </c>
      <c r="AK1295" s="1">
        <v>310690</v>
      </c>
      <c r="AL1295" s="1" t="s">
        <v>930</v>
      </c>
      <c r="AN1295" s="270">
        <v>389</v>
      </c>
      <c r="BS1295" s="1">
        <v>10922</v>
      </c>
      <c r="BT1295" s="1" t="s">
        <v>902</v>
      </c>
      <c r="BX1295" s="36"/>
    </row>
    <row r="1296" spans="2:76" ht="14.25">
      <c r="B1296" s="36"/>
      <c r="C1296" s="36"/>
      <c r="D1296" s="36"/>
      <c r="E1296" s="36"/>
      <c r="F1296" s="36"/>
      <c r="G1296" s="36"/>
      <c r="H1296" s="36"/>
      <c r="J1296" s="36"/>
      <c r="L1296" s="1" t="str">
        <f t="shared" si="112"/>
        <v/>
      </c>
      <c r="M1296" s="94">
        <v>1291</v>
      </c>
      <c r="N1296" s="36" t="s">
        <v>2952</v>
      </c>
      <c r="O1296" s="95">
        <v>310998</v>
      </c>
      <c r="P1296" s="36"/>
      <c r="AI1296" s="122">
        <v>984</v>
      </c>
      <c r="AJ1296" s="1" t="s">
        <v>2644</v>
      </c>
      <c r="AK1296" s="1">
        <v>310691</v>
      </c>
      <c r="AL1296" s="1" t="s">
        <v>115</v>
      </c>
      <c r="AN1296" s="270">
        <v>390</v>
      </c>
      <c r="BS1296" s="1">
        <v>10923</v>
      </c>
      <c r="BT1296" s="1" t="s">
        <v>902</v>
      </c>
      <c r="BX1296" s="36"/>
    </row>
    <row r="1297" spans="2:76" ht="14.25">
      <c r="B1297" s="36"/>
      <c r="C1297" s="36"/>
      <c r="D1297" s="36"/>
      <c r="E1297" s="36"/>
      <c r="F1297" s="36"/>
      <c r="G1297" s="36"/>
      <c r="H1297" s="36"/>
      <c r="J1297" s="36"/>
      <c r="L1297" s="1" t="str">
        <f t="shared" si="112"/>
        <v/>
      </c>
      <c r="M1297" s="94">
        <v>1292</v>
      </c>
      <c r="N1297" s="36" t="s">
        <v>2953</v>
      </c>
      <c r="O1297" s="95">
        <v>310999</v>
      </c>
      <c r="P1297" s="36"/>
      <c r="AI1297" s="122">
        <v>985</v>
      </c>
      <c r="AJ1297" s="1" t="s">
        <v>2645</v>
      </c>
      <c r="AK1297" s="1">
        <v>310692</v>
      </c>
      <c r="AL1297" s="1" t="s">
        <v>930</v>
      </c>
      <c r="AN1297" s="270">
        <v>391</v>
      </c>
      <c r="BS1297" s="1">
        <v>10924</v>
      </c>
      <c r="BT1297" s="1" t="s">
        <v>902</v>
      </c>
      <c r="BX1297" s="36"/>
    </row>
    <row r="1298" spans="2:76" ht="14.25">
      <c r="B1298" s="36"/>
      <c r="C1298" s="36"/>
      <c r="D1298" s="36"/>
      <c r="E1298" s="36"/>
      <c r="F1298" s="36"/>
      <c r="G1298" s="36"/>
      <c r="H1298" s="36"/>
      <c r="J1298" s="36"/>
      <c r="L1298" s="1" t="str">
        <f t="shared" si="112"/>
        <v/>
      </c>
      <c r="M1298" s="94">
        <v>1293</v>
      </c>
      <c r="N1298" s="36" t="s">
        <v>2954</v>
      </c>
      <c r="O1298" s="95">
        <v>311000</v>
      </c>
      <c r="P1298" s="36"/>
      <c r="AI1298" s="122">
        <v>986</v>
      </c>
      <c r="AJ1298" s="1" t="s">
        <v>2646</v>
      </c>
      <c r="AK1298" s="1">
        <v>310693</v>
      </c>
      <c r="AL1298" s="1" t="s">
        <v>930</v>
      </c>
      <c r="AN1298" s="270">
        <v>392</v>
      </c>
      <c r="BS1298" s="1">
        <v>10925</v>
      </c>
      <c r="BT1298" s="1" t="s">
        <v>902</v>
      </c>
      <c r="BX1298" s="36"/>
    </row>
    <row r="1299" spans="2:76" ht="14.25">
      <c r="B1299" s="36"/>
      <c r="C1299" s="36"/>
      <c r="D1299" s="36"/>
      <c r="E1299" s="36"/>
      <c r="F1299" s="36"/>
      <c r="G1299" s="36"/>
      <c r="H1299" s="36"/>
      <c r="J1299" s="36"/>
      <c r="L1299" s="1" t="str">
        <f t="shared" si="112"/>
        <v/>
      </c>
      <c r="M1299" s="94">
        <v>1294</v>
      </c>
      <c r="N1299" s="36" t="s">
        <v>2955</v>
      </c>
      <c r="O1299" s="95">
        <v>311001</v>
      </c>
      <c r="P1299" s="36"/>
      <c r="AI1299" s="122">
        <v>987</v>
      </c>
      <c r="AJ1299" s="1" t="s">
        <v>2647</v>
      </c>
      <c r="AK1299" s="1">
        <v>310694</v>
      </c>
      <c r="AL1299" s="1" t="s">
        <v>115</v>
      </c>
      <c r="AN1299" s="270">
        <v>393</v>
      </c>
      <c r="BS1299" s="1">
        <v>10926</v>
      </c>
      <c r="BT1299" s="1" t="s">
        <v>902</v>
      </c>
      <c r="BX1299" s="36"/>
    </row>
    <row r="1300" spans="2:76" ht="14.25">
      <c r="B1300" s="36"/>
      <c r="C1300" s="36"/>
      <c r="D1300" s="36"/>
      <c r="E1300" s="36"/>
      <c r="F1300" s="36"/>
      <c r="G1300" s="36"/>
      <c r="H1300" s="36"/>
      <c r="J1300" s="36"/>
      <c r="L1300" s="1" t="str">
        <f t="shared" si="112"/>
        <v/>
      </c>
      <c r="M1300" s="94">
        <v>1295</v>
      </c>
      <c r="N1300" s="36" t="s">
        <v>2956</v>
      </c>
      <c r="O1300" s="95">
        <v>311002</v>
      </c>
      <c r="P1300" s="36"/>
      <c r="AI1300" s="122">
        <v>988</v>
      </c>
      <c r="AJ1300" s="1" t="s">
        <v>2648</v>
      </c>
      <c r="AK1300" s="1">
        <v>310695</v>
      </c>
      <c r="AL1300" s="1" t="s">
        <v>930</v>
      </c>
      <c r="AN1300" s="270">
        <v>394</v>
      </c>
      <c r="BS1300" s="1">
        <v>10927</v>
      </c>
      <c r="BT1300" s="1" t="s">
        <v>902</v>
      </c>
      <c r="BX1300" s="36"/>
    </row>
    <row r="1301" spans="2:76" ht="14.25">
      <c r="B1301" s="36"/>
      <c r="C1301" s="36"/>
      <c r="D1301" s="36"/>
      <c r="E1301" s="36"/>
      <c r="F1301" s="36"/>
      <c r="G1301" s="36"/>
      <c r="H1301" s="36"/>
      <c r="J1301" s="36"/>
      <c r="L1301" s="1" t="str">
        <f t="shared" si="112"/>
        <v/>
      </c>
      <c r="M1301" s="94">
        <v>1296</v>
      </c>
      <c r="N1301" s="36" t="s">
        <v>2957</v>
      </c>
      <c r="O1301" s="95">
        <v>311003</v>
      </c>
      <c r="P1301" s="36"/>
      <c r="AI1301" s="122">
        <v>989</v>
      </c>
      <c r="AJ1301" s="1" t="s">
        <v>2649</v>
      </c>
      <c r="AK1301" s="1">
        <v>310696</v>
      </c>
      <c r="AL1301" s="1" t="s">
        <v>115</v>
      </c>
      <c r="AN1301" s="270">
        <v>395</v>
      </c>
      <c r="BS1301" s="1">
        <v>10928</v>
      </c>
      <c r="BT1301" s="1" t="s">
        <v>902</v>
      </c>
      <c r="BX1301" s="36"/>
    </row>
    <row r="1302" spans="2:76" ht="14.25">
      <c r="B1302" s="36"/>
      <c r="C1302" s="36"/>
      <c r="D1302" s="36"/>
      <c r="E1302" s="36"/>
      <c r="F1302" s="36"/>
      <c r="G1302" s="36"/>
      <c r="H1302" s="36"/>
      <c r="J1302" s="36"/>
      <c r="L1302" s="1" t="str">
        <f t="shared" si="112"/>
        <v/>
      </c>
      <c r="M1302" s="94">
        <v>1297</v>
      </c>
      <c r="N1302" s="36" t="s">
        <v>2958</v>
      </c>
      <c r="O1302" s="95">
        <v>311004</v>
      </c>
      <c r="P1302" s="36"/>
      <c r="AI1302" s="122">
        <v>990</v>
      </c>
      <c r="AJ1302" s="1" t="s">
        <v>2650</v>
      </c>
      <c r="AK1302" s="1">
        <v>310697</v>
      </c>
      <c r="AL1302" s="1" t="s">
        <v>930</v>
      </c>
      <c r="AN1302" s="270">
        <v>396</v>
      </c>
      <c r="BS1302" s="1">
        <v>10929</v>
      </c>
      <c r="BT1302" s="1" t="s">
        <v>902</v>
      </c>
      <c r="BX1302" s="36"/>
    </row>
    <row r="1303" spans="2:76" ht="14.25">
      <c r="B1303" s="36"/>
      <c r="C1303" s="36"/>
      <c r="D1303" s="36"/>
      <c r="E1303" s="36"/>
      <c r="F1303" s="36"/>
      <c r="G1303" s="36"/>
      <c r="H1303" s="36"/>
      <c r="J1303" s="36"/>
      <c r="L1303" s="1" t="str">
        <f t="shared" si="112"/>
        <v/>
      </c>
      <c r="M1303" s="94">
        <v>1298</v>
      </c>
      <c r="N1303" s="36" t="s">
        <v>2959</v>
      </c>
      <c r="O1303" s="95">
        <v>311005</v>
      </c>
      <c r="P1303" s="36"/>
      <c r="AI1303" s="122">
        <v>991</v>
      </c>
      <c r="AJ1303" s="1" t="s">
        <v>2651</v>
      </c>
      <c r="AK1303" s="1">
        <v>310698</v>
      </c>
      <c r="AL1303" s="1" t="s">
        <v>115</v>
      </c>
      <c r="AN1303" s="270">
        <v>397</v>
      </c>
      <c r="BS1303" s="1">
        <v>10930</v>
      </c>
      <c r="BT1303" s="1" t="s">
        <v>902</v>
      </c>
      <c r="BX1303" s="36"/>
    </row>
    <row r="1304" spans="2:76" ht="14.25">
      <c r="B1304" s="36"/>
      <c r="C1304" s="36"/>
      <c r="D1304" s="36"/>
      <c r="E1304" s="36"/>
      <c r="F1304" s="36"/>
      <c r="G1304" s="36"/>
      <c r="H1304" s="36"/>
      <c r="J1304" s="36"/>
      <c r="L1304" s="1" t="str">
        <f t="shared" si="112"/>
        <v/>
      </c>
      <c r="M1304" s="94">
        <v>1299</v>
      </c>
      <c r="N1304" s="36" t="s">
        <v>2960</v>
      </c>
      <c r="O1304" s="95">
        <v>311006</v>
      </c>
      <c r="P1304" s="36"/>
      <c r="AI1304" s="122">
        <v>992</v>
      </c>
      <c r="AJ1304" s="1" t="s">
        <v>2652</v>
      </c>
      <c r="AK1304" s="1">
        <v>310699</v>
      </c>
      <c r="AL1304" s="1" t="s">
        <v>930</v>
      </c>
      <c r="AN1304" s="270">
        <v>398</v>
      </c>
      <c r="BS1304" s="1">
        <v>10931</v>
      </c>
      <c r="BT1304" s="1" t="s">
        <v>902</v>
      </c>
      <c r="BX1304" s="36"/>
    </row>
    <row r="1305" spans="2:76" ht="14.25">
      <c r="B1305" s="36"/>
      <c r="C1305" s="36"/>
      <c r="D1305" s="36"/>
      <c r="E1305" s="36"/>
      <c r="F1305" s="36"/>
      <c r="G1305" s="36"/>
      <c r="H1305" s="36"/>
      <c r="J1305" s="36"/>
      <c r="L1305" s="1" t="str">
        <f t="shared" si="112"/>
        <v/>
      </c>
      <c r="M1305" s="94">
        <v>1300</v>
      </c>
      <c r="N1305" s="36" t="s">
        <v>2961</v>
      </c>
      <c r="O1305" s="95">
        <v>311007</v>
      </c>
      <c r="P1305" s="36"/>
      <c r="AI1305" s="122">
        <v>993</v>
      </c>
      <c r="AJ1305" s="1" t="s">
        <v>2653</v>
      </c>
      <c r="AK1305" s="1">
        <v>310700</v>
      </c>
      <c r="AL1305" s="1" t="s">
        <v>930</v>
      </c>
      <c r="AN1305" s="270">
        <v>399</v>
      </c>
      <c r="BS1305" s="1">
        <v>10932</v>
      </c>
      <c r="BT1305" s="1" t="s">
        <v>902</v>
      </c>
      <c r="BX1305" s="36"/>
    </row>
    <row r="1306" spans="2:76" ht="14.25">
      <c r="B1306" s="36"/>
      <c r="C1306" s="36"/>
      <c r="D1306" s="36"/>
      <c r="E1306" s="36"/>
      <c r="F1306" s="36"/>
      <c r="G1306" s="36"/>
      <c r="H1306" s="36"/>
      <c r="J1306" s="36"/>
      <c r="L1306" s="1" t="str">
        <f t="shared" si="112"/>
        <v/>
      </c>
      <c r="M1306" s="94">
        <v>1301</v>
      </c>
      <c r="N1306" s="36" t="s">
        <v>2962</v>
      </c>
      <c r="O1306" s="95">
        <v>311008</v>
      </c>
      <c r="P1306" s="36"/>
      <c r="AI1306" s="122">
        <v>994</v>
      </c>
      <c r="AJ1306" s="1" t="s">
        <v>2654</v>
      </c>
      <c r="AK1306" s="1">
        <v>310701</v>
      </c>
      <c r="AL1306" s="1" t="s">
        <v>115</v>
      </c>
      <c r="AN1306" s="270">
        <v>400</v>
      </c>
      <c r="BS1306" s="1">
        <v>10933</v>
      </c>
      <c r="BT1306" s="1" t="s">
        <v>902</v>
      </c>
      <c r="BX1306" s="36"/>
    </row>
    <row r="1307" spans="2:76" ht="14.25">
      <c r="B1307" s="36"/>
      <c r="C1307" s="36"/>
      <c r="D1307" s="36"/>
      <c r="E1307" s="36"/>
      <c r="F1307" s="36"/>
      <c r="G1307" s="36"/>
      <c r="H1307" s="36"/>
      <c r="J1307" s="36"/>
      <c r="L1307" s="1" t="str">
        <f t="shared" si="112"/>
        <v/>
      </c>
      <c r="M1307" s="94">
        <v>1302</v>
      </c>
      <c r="N1307" s="36" t="s">
        <v>2963</v>
      </c>
      <c r="O1307" s="95">
        <v>311009</v>
      </c>
      <c r="P1307" s="36"/>
      <c r="AI1307" s="122">
        <v>995</v>
      </c>
      <c r="AJ1307" s="1" t="s">
        <v>2655</v>
      </c>
      <c r="AK1307" s="1">
        <v>310702</v>
      </c>
      <c r="AL1307" s="1" t="s">
        <v>930</v>
      </c>
      <c r="AN1307" s="270">
        <v>401</v>
      </c>
      <c r="BS1307" s="1">
        <v>10934</v>
      </c>
      <c r="BT1307" s="1" t="s">
        <v>902</v>
      </c>
      <c r="BX1307" s="36"/>
    </row>
    <row r="1308" spans="2:76" ht="14.25">
      <c r="B1308" s="36"/>
      <c r="C1308" s="36"/>
      <c r="D1308" s="36"/>
      <c r="E1308" s="36"/>
      <c r="F1308" s="36"/>
      <c r="G1308" s="36"/>
      <c r="H1308" s="36"/>
      <c r="J1308" s="36"/>
      <c r="L1308" s="1" t="str">
        <f t="shared" si="112"/>
        <v/>
      </c>
      <c r="M1308" s="94">
        <v>1303</v>
      </c>
      <c r="N1308" s="36" t="s">
        <v>2964</v>
      </c>
      <c r="O1308" s="95">
        <v>311010</v>
      </c>
      <c r="P1308" s="36"/>
      <c r="AI1308" s="122">
        <v>996</v>
      </c>
      <c r="AJ1308" s="1" t="s">
        <v>2656</v>
      </c>
      <c r="AK1308" s="1">
        <v>310703</v>
      </c>
      <c r="AL1308" s="1" t="s">
        <v>115</v>
      </c>
      <c r="AN1308" s="270">
        <v>402</v>
      </c>
      <c r="BS1308" s="1">
        <v>10935</v>
      </c>
      <c r="BT1308" s="1" t="s">
        <v>902</v>
      </c>
      <c r="BX1308" s="36"/>
    </row>
    <row r="1309" spans="2:76" ht="14.25">
      <c r="B1309" s="36"/>
      <c r="C1309" s="36"/>
      <c r="D1309" s="36"/>
      <c r="E1309" s="36"/>
      <c r="F1309" s="36"/>
      <c r="G1309" s="36"/>
      <c r="H1309" s="36"/>
      <c r="J1309" s="36"/>
      <c r="L1309" s="1" t="str">
        <f t="shared" si="112"/>
        <v/>
      </c>
      <c r="M1309" s="94">
        <v>1304</v>
      </c>
      <c r="N1309" s="36" t="s">
        <v>2965</v>
      </c>
      <c r="O1309" s="95">
        <v>311011</v>
      </c>
      <c r="P1309" s="36"/>
      <c r="AI1309" s="122">
        <v>997</v>
      </c>
      <c r="AJ1309" s="1" t="s">
        <v>2657</v>
      </c>
      <c r="AK1309" s="1">
        <v>310704</v>
      </c>
      <c r="AL1309" s="1" t="s">
        <v>930</v>
      </c>
      <c r="AN1309" s="270">
        <v>403</v>
      </c>
      <c r="BS1309" s="1">
        <v>10936</v>
      </c>
      <c r="BT1309" s="1" t="s">
        <v>902</v>
      </c>
      <c r="BX1309" s="36"/>
    </row>
    <row r="1310" spans="2:76" ht="14.25">
      <c r="B1310" s="36"/>
      <c r="C1310" s="36"/>
      <c r="D1310" s="36"/>
      <c r="E1310" s="36"/>
      <c r="F1310" s="36"/>
      <c r="G1310" s="36"/>
      <c r="H1310" s="36"/>
      <c r="J1310" s="36"/>
      <c r="L1310" s="1" t="str">
        <f t="shared" si="112"/>
        <v/>
      </c>
      <c r="M1310" s="94">
        <v>1305</v>
      </c>
      <c r="N1310" s="36" t="s">
        <v>2966</v>
      </c>
      <c r="O1310" s="95">
        <v>311012</v>
      </c>
      <c r="P1310" s="36"/>
      <c r="AI1310" s="122">
        <v>998</v>
      </c>
      <c r="AJ1310" s="1" t="s">
        <v>2658</v>
      </c>
      <c r="AK1310" s="1">
        <v>310705</v>
      </c>
      <c r="AL1310" s="1" t="s">
        <v>115</v>
      </c>
      <c r="AN1310" s="270">
        <v>404</v>
      </c>
      <c r="BS1310" s="1">
        <v>10937</v>
      </c>
      <c r="BT1310" s="1" t="s">
        <v>902</v>
      </c>
      <c r="BX1310" s="36"/>
    </row>
    <row r="1311" spans="2:76" ht="14.25">
      <c r="B1311" s="36"/>
      <c r="C1311" s="36"/>
      <c r="D1311" s="36"/>
      <c r="E1311" s="36"/>
      <c r="F1311" s="36"/>
      <c r="G1311" s="36"/>
      <c r="H1311" s="36"/>
      <c r="J1311" s="36"/>
      <c r="L1311" s="1" t="str">
        <f t="shared" si="112"/>
        <v/>
      </c>
      <c r="M1311" s="94">
        <v>1306</v>
      </c>
      <c r="N1311" s="36" t="s">
        <v>2967</v>
      </c>
      <c r="O1311" s="95">
        <v>311013</v>
      </c>
      <c r="P1311" s="36"/>
      <c r="AI1311" s="122">
        <v>999</v>
      </c>
      <c r="AJ1311" s="1" t="s">
        <v>2659</v>
      </c>
      <c r="AK1311" s="1">
        <v>310706</v>
      </c>
      <c r="AL1311" s="1" t="s">
        <v>930</v>
      </c>
      <c r="AN1311" s="270">
        <v>405</v>
      </c>
      <c r="BS1311" s="1">
        <v>10938</v>
      </c>
      <c r="BT1311" s="1" t="s">
        <v>902</v>
      </c>
      <c r="BX1311" s="36"/>
    </row>
    <row r="1312" spans="2:76" ht="14.25">
      <c r="B1312" s="36"/>
      <c r="C1312" s="36"/>
      <c r="D1312" s="36"/>
      <c r="E1312" s="36"/>
      <c r="F1312" s="36"/>
      <c r="G1312" s="36"/>
      <c r="H1312" s="36"/>
      <c r="J1312" s="36"/>
      <c r="L1312" s="1" t="str">
        <f t="shared" si="112"/>
        <v/>
      </c>
      <c r="M1312" s="94">
        <v>1307</v>
      </c>
      <c r="N1312" s="36" t="s">
        <v>2968</v>
      </c>
      <c r="O1312" s="95">
        <v>311014</v>
      </c>
      <c r="P1312" s="36"/>
      <c r="AI1312" s="122">
        <v>1000</v>
      </c>
      <c r="AJ1312" s="1" t="s">
        <v>2660</v>
      </c>
      <c r="AK1312" s="1">
        <v>310707</v>
      </c>
      <c r="AL1312" s="1" t="s">
        <v>115</v>
      </c>
      <c r="AN1312" s="270">
        <v>406</v>
      </c>
      <c r="BS1312" s="1">
        <v>10939</v>
      </c>
      <c r="BT1312" s="1" t="s">
        <v>898</v>
      </c>
      <c r="BX1312" s="36"/>
    </row>
    <row r="1313" spans="2:76" ht="14.25">
      <c r="B1313" s="36"/>
      <c r="C1313" s="36"/>
      <c r="D1313" s="36"/>
      <c r="E1313" s="36"/>
      <c r="F1313" s="36"/>
      <c r="G1313" s="36"/>
      <c r="H1313" s="36"/>
      <c r="J1313" s="36"/>
      <c r="L1313" s="1" t="str">
        <f t="shared" si="112"/>
        <v/>
      </c>
      <c r="M1313" s="94">
        <v>1308</v>
      </c>
      <c r="N1313" s="36" t="s">
        <v>2969</v>
      </c>
      <c r="O1313" s="95">
        <v>311015</v>
      </c>
      <c r="P1313" s="36"/>
      <c r="AI1313" s="122">
        <v>1001</v>
      </c>
      <c r="AJ1313" s="1" t="s">
        <v>2661</v>
      </c>
      <c r="AK1313" s="1">
        <v>310708</v>
      </c>
      <c r="AL1313" s="1" t="s">
        <v>930</v>
      </c>
      <c r="AN1313" s="270">
        <v>407</v>
      </c>
      <c r="BS1313" s="1">
        <v>10940</v>
      </c>
      <c r="BT1313" s="1" t="s">
        <v>902</v>
      </c>
      <c r="BX1313" s="36"/>
    </row>
    <row r="1314" spans="2:76" ht="14.25">
      <c r="B1314" s="36"/>
      <c r="C1314" s="36"/>
      <c r="D1314" s="36"/>
      <c r="E1314" s="36"/>
      <c r="F1314" s="36"/>
      <c r="G1314" s="36"/>
      <c r="H1314" s="36"/>
      <c r="J1314" s="36"/>
      <c r="L1314" s="1" t="str">
        <f t="shared" si="112"/>
        <v/>
      </c>
      <c r="M1314" s="94">
        <v>1309</v>
      </c>
      <c r="N1314" s="36" t="s">
        <v>2970</v>
      </c>
      <c r="O1314" s="95">
        <v>311016</v>
      </c>
      <c r="P1314" s="36"/>
      <c r="AI1314" s="122">
        <v>1002</v>
      </c>
      <c r="AJ1314" s="1" t="s">
        <v>2662</v>
      </c>
      <c r="AK1314" s="1">
        <v>310709</v>
      </c>
      <c r="AL1314" s="1" t="s">
        <v>930</v>
      </c>
      <c r="AN1314" s="270">
        <v>408</v>
      </c>
      <c r="BS1314" s="1">
        <v>10941</v>
      </c>
      <c r="BT1314" s="1" t="s">
        <v>902</v>
      </c>
      <c r="BX1314" s="36"/>
    </row>
    <row r="1315" spans="2:76" ht="14.25">
      <c r="B1315" s="36"/>
      <c r="C1315" s="36"/>
      <c r="D1315" s="36"/>
      <c r="E1315" s="36"/>
      <c r="F1315" s="36"/>
      <c r="G1315" s="36"/>
      <c r="H1315" s="36"/>
      <c r="J1315" s="36"/>
      <c r="L1315" s="1" t="str">
        <f t="shared" si="112"/>
        <v/>
      </c>
      <c r="M1315" s="94">
        <v>1310</v>
      </c>
      <c r="N1315" s="36" t="s">
        <v>2971</v>
      </c>
      <c r="O1315" s="95">
        <v>311017</v>
      </c>
      <c r="P1315" s="36"/>
      <c r="AI1315" s="122">
        <v>1003</v>
      </c>
      <c r="AJ1315" s="1" t="s">
        <v>2663</v>
      </c>
      <c r="AK1315" s="1">
        <v>310710</v>
      </c>
      <c r="AL1315" s="1" t="s">
        <v>115</v>
      </c>
      <c r="AN1315" s="270">
        <v>409</v>
      </c>
      <c r="BS1315" s="1">
        <v>10942</v>
      </c>
      <c r="BT1315" s="1" t="s">
        <v>902</v>
      </c>
      <c r="BX1315" s="36"/>
    </row>
    <row r="1316" spans="2:76" ht="14.25">
      <c r="B1316" s="36"/>
      <c r="C1316" s="36"/>
      <c r="D1316" s="36"/>
      <c r="E1316" s="36"/>
      <c r="F1316" s="36"/>
      <c r="G1316" s="36"/>
      <c r="H1316" s="36"/>
      <c r="J1316" s="36"/>
      <c r="L1316" s="1" t="str">
        <f t="shared" si="112"/>
        <v/>
      </c>
      <c r="M1316" s="94">
        <v>1311</v>
      </c>
      <c r="N1316" s="36" t="s">
        <v>2972</v>
      </c>
      <c r="O1316" s="95">
        <v>311018</v>
      </c>
      <c r="P1316" s="36"/>
      <c r="AI1316" s="122">
        <v>1004</v>
      </c>
      <c r="AJ1316" s="1" t="s">
        <v>2664</v>
      </c>
      <c r="AK1316" s="1">
        <v>310711</v>
      </c>
      <c r="AL1316" s="1" t="s">
        <v>930</v>
      </c>
      <c r="AN1316" s="270">
        <v>410</v>
      </c>
      <c r="BS1316" s="1">
        <v>10943</v>
      </c>
      <c r="BT1316" s="1" t="s">
        <v>902</v>
      </c>
      <c r="BX1316" s="36"/>
    </row>
    <row r="1317" spans="2:76" ht="14.25">
      <c r="B1317" s="36"/>
      <c r="C1317" s="36"/>
      <c r="D1317" s="36"/>
      <c r="E1317" s="36"/>
      <c r="F1317" s="36"/>
      <c r="G1317" s="36"/>
      <c r="H1317" s="36"/>
      <c r="J1317" s="36"/>
      <c r="L1317" s="1" t="str">
        <f t="shared" si="112"/>
        <v/>
      </c>
      <c r="M1317" s="94">
        <v>1312</v>
      </c>
      <c r="N1317" s="36" t="s">
        <v>2973</v>
      </c>
      <c r="O1317" s="95">
        <v>311019</v>
      </c>
      <c r="P1317" s="36"/>
      <c r="AI1317" s="122">
        <v>1005</v>
      </c>
      <c r="AJ1317" s="1" t="s">
        <v>2665</v>
      </c>
      <c r="AK1317" s="1">
        <v>310712</v>
      </c>
      <c r="AL1317" s="1" t="s">
        <v>115</v>
      </c>
      <c r="AN1317" s="270">
        <v>411</v>
      </c>
      <c r="BS1317" s="1">
        <v>10944</v>
      </c>
      <c r="BT1317" s="1" t="s">
        <v>902</v>
      </c>
      <c r="BX1317" s="36"/>
    </row>
    <row r="1318" spans="2:76" ht="14.25">
      <c r="B1318" s="36"/>
      <c r="C1318" s="36"/>
      <c r="D1318" s="36"/>
      <c r="E1318" s="36"/>
      <c r="F1318" s="36"/>
      <c r="G1318" s="36"/>
      <c r="H1318" s="36"/>
      <c r="J1318" s="36"/>
      <c r="L1318" s="1" t="str">
        <f t="shared" si="112"/>
        <v/>
      </c>
      <c r="M1318" s="94">
        <v>1313</v>
      </c>
      <c r="N1318" s="36" t="s">
        <v>2974</v>
      </c>
      <c r="O1318" s="95">
        <v>311020</v>
      </c>
      <c r="P1318" s="36"/>
      <c r="AI1318" s="122">
        <v>1006</v>
      </c>
      <c r="AJ1318" s="1" t="s">
        <v>2666</v>
      </c>
      <c r="AK1318" s="1">
        <v>310713</v>
      </c>
      <c r="AL1318" s="1" t="s">
        <v>930</v>
      </c>
      <c r="AN1318" s="270">
        <v>412</v>
      </c>
      <c r="BS1318" s="1">
        <v>10945</v>
      </c>
      <c r="BT1318" s="1" t="s">
        <v>902</v>
      </c>
      <c r="BX1318" s="36"/>
    </row>
    <row r="1319" spans="2:76" ht="14.25">
      <c r="B1319" s="36"/>
      <c r="C1319" s="36"/>
      <c r="D1319" s="36"/>
      <c r="E1319" s="36"/>
      <c r="F1319" s="36"/>
      <c r="G1319" s="36"/>
      <c r="H1319" s="36"/>
      <c r="J1319" s="36"/>
      <c r="L1319" s="1" t="str">
        <f t="shared" si="112"/>
        <v/>
      </c>
      <c r="M1319" s="94">
        <v>1314</v>
      </c>
      <c r="N1319" s="36" t="s">
        <v>2975</v>
      </c>
      <c r="O1319" s="95">
        <v>311021</v>
      </c>
      <c r="P1319" s="36"/>
      <c r="AI1319" s="122">
        <v>1007</v>
      </c>
      <c r="AJ1319" s="1" t="s">
        <v>2667</v>
      </c>
      <c r="AK1319" s="1">
        <v>310714</v>
      </c>
      <c r="AL1319" s="1" t="s">
        <v>115</v>
      </c>
      <c r="AN1319" s="270">
        <v>413</v>
      </c>
      <c r="BS1319" s="1">
        <v>10946</v>
      </c>
      <c r="BT1319" s="1" t="s">
        <v>902</v>
      </c>
      <c r="BX1319" s="36"/>
    </row>
    <row r="1320" spans="2:76" ht="14.25">
      <c r="B1320" s="36"/>
      <c r="C1320" s="36"/>
      <c r="D1320" s="36"/>
      <c r="E1320" s="36"/>
      <c r="F1320" s="36"/>
      <c r="G1320" s="36"/>
      <c r="H1320" s="36"/>
      <c r="J1320" s="36"/>
      <c r="L1320" s="1" t="str">
        <f t="shared" si="112"/>
        <v/>
      </c>
      <c r="M1320" s="94">
        <v>1315</v>
      </c>
      <c r="N1320" s="36" t="s">
        <v>2976</v>
      </c>
      <c r="O1320" s="95">
        <v>311022</v>
      </c>
      <c r="P1320" s="36"/>
      <c r="AI1320" s="122">
        <v>1008</v>
      </c>
      <c r="AJ1320" s="1" t="s">
        <v>2668</v>
      </c>
      <c r="AK1320" s="1">
        <v>310715</v>
      </c>
      <c r="AL1320" s="1" t="s">
        <v>930</v>
      </c>
      <c r="AN1320" s="270">
        <v>414</v>
      </c>
      <c r="BS1320" s="1">
        <v>10947</v>
      </c>
      <c r="BT1320" s="1" t="s">
        <v>902</v>
      </c>
      <c r="BX1320" s="36"/>
    </row>
    <row r="1321" spans="2:76" ht="14.25">
      <c r="B1321" s="36"/>
      <c r="C1321" s="36"/>
      <c r="D1321" s="36"/>
      <c r="E1321" s="36"/>
      <c r="F1321" s="36"/>
      <c r="G1321" s="36"/>
      <c r="H1321" s="36"/>
      <c r="J1321" s="36"/>
      <c r="L1321" s="1" t="str">
        <f t="shared" si="112"/>
        <v/>
      </c>
      <c r="M1321" s="94">
        <v>1316</v>
      </c>
      <c r="N1321" s="36" t="s">
        <v>2977</v>
      </c>
      <c r="O1321" s="95">
        <v>311023</v>
      </c>
      <c r="P1321" s="36"/>
      <c r="AI1321" s="122">
        <v>1009</v>
      </c>
      <c r="AJ1321" s="1" t="s">
        <v>2669</v>
      </c>
      <c r="AK1321" s="1">
        <v>310716</v>
      </c>
      <c r="AL1321" s="1" t="s">
        <v>930</v>
      </c>
      <c r="AN1321" s="270">
        <v>415</v>
      </c>
      <c r="BS1321" s="1">
        <v>10948</v>
      </c>
      <c r="BT1321" s="1" t="s">
        <v>902</v>
      </c>
      <c r="BX1321" s="36"/>
    </row>
    <row r="1322" spans="2:76" ht="14.25">
      <c r="B1322" s="36"/>
      <c r="C1322" s="36"/>
      <c r="D1322" s="36"/>
      <c r="E1322" s="36"/>
      <c r="F1322" s="36"/>
      <c r="G1322" s="36"/>
      <c r="H1322" s="36"/>
      <c r="J1322" s="36"/>
      <c r="L1322" s="1" t="str">
        <f t="shared" si="112"/>
        <v/>
      </c>
      <c r="M1322" s="94">
        <v>1317</v>
      </c>
      <c r="N1322" s="36" t="s">
        <v>2978</v>
      </c>
      <c r="O1322" s="95">
        <v>311024</v>
      </c>
      <c r="P1322" s="36"/>
      <c r="AI1322" s="122">
        <v>1010</v>
      </c>
      <c r="AJ1322" s="1" t="s">
        <v>2670</v>
      </c>
      <c r="AK1322" s="1">
        <v>310717</v>
      </c>
      <c r="AL1322" s="1" t="s">
        <v>115</v>
      </c>
      <c r="AN1322" s="270">
        <v>416</v>
      </c>
      <c r="BS1322" s="1">
        <v>10949</v>
      </c>
      <c r="BT1322" s="1" t="s">
        <v>2427</v>
      </c>
      <c r="BX1322" s="36"/>
    </row>
    <row r="1323" spans="2:76" ht="14.25">
      <c r="B1323" s="36"/>
      <c r="C1323" s="36"/>
      <c r="D1323" s="36"/>
      <c r="E1323" s="36"/>
      <c r="F1323" s="36"/>
      <c r="G1323" s="36"/>
      <c r="H1323" s="36"/>
      <c r="J1323" s="36"/>
      <c r="L1323" s="1" t="str">
        <f t="shared" si="112"/>
        <v/>
      </c>
      <c r="M1323" s="94">
        <v>1318</v>
      </c>
      <c r="N1323" s="36" t="s">
        <v>2979</v>
      </c>
      <c r="O1323" s="95">
        <v>311025</v>
      </c>
      <c r="P1323" s="36"/>
      <c r="AI1323" s="122">
        <v>1011</v>
      </c>
      <c r="AJ1323" s="1" t="s">
        <v>2671</v>
      </c>
      <c r="AK1323" s="1">
        <v>310718</v>
      </c>
      <c r="AL1323" s="1" t="s">
        <v>930</v>
      </c>
      <c r="AN1323" s="270">
        <v>417</v>
      </c>
      <c r="BS1323" s="1">
        <v>10950</v>
      </c>
      <c r="BT1323" s="1" t="s">
        <v>902</v>
      </c>
      <c r="BX1323" s="36"/>
    </row>
    <row r="1324" spans="2:76" ht="14.25">
      <c r="B1324" s="36"/>
      <c r="C1324" s="36"/>
      <c r="D1324" s="36"/>
      <c r="E1324" s="36"/>
      <c r="F1324" s="36"/>
      <c r="G1324" s="36"/>
      <c r="H1324" s="36"/>
      <c r="J1324" s="36"/>
      <c r="L1324" s="1" t="str">
        <f t="shared" si="112"/>
        <v/>
      </c>
      <c r="M1324" s="94">
        <v>1319</v>
      </c>
      <c r="N1324" s="36" t="s">
        <v>2980</v>
      </c>
      <c r="O1324" s="95">
        <v>311026</v>
      </c>
      <c r="P1324" s="36"/>
      <c r="AI1324" s="122">
        <v>1012</v>
      </c>
      <c r="AJ1324" s="1" t="s">
        <v>2672</v>
      </c>
      <c r="AK1324" s="1">
        <v>310719</v>
      </c>
      <c r="AL1324" s="1" t="s">
        <v>115</v>
      </c>
      <c r="AN1324" s="270">
        <v>418</v>
      </c>
      <c r="BS1324" s="1">
        <v>10951</v>
      </c>
      <c r="BT1324" s="1" t="s">
        <v>902</v>
      </c>
      <c r="BX1324" s="36"/>
    </row>
    <row r="1325" spans="2:76" ht="14.25">
      <c r="B1325" s="36"/>
      <c r="C1325" s="36"/>
      <c r="D1325" s="36"/>
      <c r="E1325" s="36"/>
      <c r="F1325" s="36"/>
      <c r="G1325" s="36"/>
      <c r="H1325" s="36"/>
      <c r="J1325" s="36"/>
      <c r="L1325" s="1" t="str">
        <f t="shared" si="112"/>
        <v/>
      </c>
      <c r="M1325" s="94">
        <v>1320</v>
      </c>
      <c r="N1325" s="36" t="s">
        <v>2981</v>
      </c>
      <c r="O1325" s="95">
        <v>311027</v>
      </c>
      <c r="P1325" s="36"/>
      <c r="AI1325" s="122">
        <v>1013</v>
      </c>
      <c r="AJ1325" s="1" t="s">
        <v>2673</v>
      </c>
      <c r="AK1325" s="1">
        <v>310720</v>
      </c>
      <c r="AL1325" s="1" t="s">
        <v>930</v>
      </c>
      <c r="AN1325" s="270">
        <v>419</v>
      </c>
      <c r="BS1325" s="1">
        <v>10952</v>
      </c>
      <c r="BT1325" s="1" t="s">
        <v>902</v>
      </c>
      <c r="BX1325" s="36"/>
    </row>
    <row r="1326" spans="2:76" ht="14.25">
      <c r="B1326" s="36"/>
      <c r="C1326" s="36"/>
      <c r="D1326" s="36"/>
      <c r="E1326" s="36"/>
      <c r="F1326" s="36"/>
      <c r="G1326" s="36"/>
      <c r="H1326" s="36"/>
      <c r="J1326" s="36"/>
      <c r="L1326" s="1" t="str">
        <f t="shared" si="112"/>
        <v/>
      </c>
      <c r="M1326" s="94">
        <v>1321</v>
      </c>
      <c r="N1326" s="36" t="s">
        <v>2982</v>
      </c>
      <c r="O1326" s="95">
        <v>311028</v>
      </c>
      <c r="P1326" s="36"/>
      <c r="AI1326" s="122">
        <v>1014</v>
      </c>
      <c r="AJ1326" s="1" t="s">
        <v>2674</v>
      </c>
      <c r="AK1326" s="1">
        <v>310721</v>
      </c>
      <c r="AL1326" s="1" t="s">
        <v>115</v>
      </c>
      <c r="AN1326" s="270">
        <v>420</v>
      </c>
      <c r="BS1326" s="1">
        <v>10953</v>
      </c>
      <c r="BT1326" s="1" t="s">
        <v>902</v>
      </c>
      <c r="BX1326" s="36"/>
    </row>
    <row r="1327" spans="2:76" ht="14.25">
      <c r="B1327" s="36"/>
      <c r="C1327" s="36"/>
      <c r="D1327" s="36"/>
      <c r="E1327" s="36"/>
      <c r="F1327" s="36"/>
      <c r="G1327" s="36"/>
      <c r="H1327" s="36"/>
      <c r="J1327" s="36"/>
      <c r="L1327" s="1" t="str">
        <f t="shared" si="112"/>
        <v/>
      </c>
      <c r="M1327" s="94">
        <v>1322</v>
      </c>
      <c r="N1327" s="36" t="s">
        <v>2983</v>
      </c>
      <c r="O1327" s="95">
        <v>311029</v>
      </c>
      <c r="P1327" s="36"/>
      <c r="AI1327" s="122">
        <v>1015</v>
      </c>
      <c r="AJ1327" s="1" t="s">
        <v>2675</v>
      </c>
      <c r="AK1327" s="1">
        <v>310722</v>
      </c>
      <c r="AL1327" s="1" t="s">
        <v>930</v>
      </c>
      <c r="AN1327" s="270">
        <v>421</v>
      </c>
      <c r="BS1327" s="1">
        <v>10954</v>
      </c>
      <c r="BT1327" s="1" t="s">
        <v>902</v>
      </c>
      <c r="BX1327" s="36"/>
    </row>
    <row r="1328" spans="2:76" ht="14.25">
      <c r="B1328" s="36"/>
      <c r="C1328" s="36"/>
      <c r="D1328" s="36"/>
      <c r="E1328" s="36"/>
      <c r="F1328" s="36"/>
      <c r="G1328" s="36"/>
      <c r="H1328" s="36"/>
      <c r="J1328" s="36"/>
      <c r="L1328" s="1" t="str">
        <f t="shared" si="112"/>
        <v/>
      </c>
      <c r="M1328" s="94">
        <v>1323</v>
      </c>
      <c r="N1328" s="36" t="s">
        <v>2984</v>
      </c>
      <c r="O1328" s="95">
        <v>311030</v>
      </c>
      <c r="P1328" s="36"/>
      <c r="AI1328" s="122">
        <v>1016</v>
      </c>
      <c r="AJ1328" s="1" t="s">
        <v>2676</v>
      </c>
      <c r="AK1328" s="1">
        <v>310723</v>
      </c>
      <c r="AL1328" s="1" t="s">
        <v>115</v>
      </c>
      <c r="AN1328" s="270">
        <v>422</v>
      </c>
      <c r="BS1328" s="1">
        <v>10955</v>
      </c>
      <c r="BT1328" s="1" t="s">
        <v>902</v>
      </c>
      <c r="BX1328" s="36"/>
    </row>
    <row r="1329" spans="2:76" ht="14.25">
      <c r="B1329" s="36"/>
      <c r="C1329" s="36"/>
      <c r="D1329" s="36"/>
      <c r="E1329" s="36"/>
      <c r="F1329" s="36"/>
      <c r="G1329" s="36"/>
      <c r="H1329" s="36"/>
      <c r="J1329" s="36"/>
      <c r="L1329" s="1" t="str">
        <f t="shared" si="112"/>
        <v/>
      </c>
      <c r="M1329" s="94">
        <v>1324</v>
      </c>
      <c r="N1329" s="36" t="s">
        <v>2985</v>
      </c>
      <c r="O1329" s="95">
        <v>311031</v>
      </c>
      <c r="P1329" s="36"/>
      <c r="AI1329" s="122">
        <v>1017</v>
      </c>
      <c r="AJ1329" s="1" t="s">
        <v>2677</v>
      </c>
      <c r="AK1329" s="1">
        <v>310724</v>
      </c>
      <c r="AL1329" s="1" t="s">
        <v>930</v>
      </c>
      <c r="AN1329" s="270">
        <v>423</v>
      </c>
      <c r="BS1329" s="1">
        <v>10956</v>
      </c>
      <c r="BT1329" s="1" t="s">
        <v>902</v>
      </c>
      <c r="BX1329" s="36"/>
    </row>
    <row r="1330" spans="2:76" ht="14.25">
      <c r="B1330" s="36"/>
      <c r="C1330" s="36"/>
      <c r="D1330" s="36"/>
      <c r="E1330" s="36"/>
      <c r="F1330" s="36"/>
      <c r="G1330" s="36"/>
      <c r="H1330" s="36"/>
      <c r="J1330" s="36"/>
      <c r="L1330" s="1" t="str">
        <f t="shared" si="112"/>
        <v/>
      </c>
      <c r="M1330" s="94">
        <v>1325</v>
      </c>
      <c r="N1330" s="36" t="s">
        <v>2986</v>
      </c>
      <c r="O1330" s="95">
        <v>311032</v>
      </c>
      <c r="P1330" s="36"/>
      <c r="AI1330" s="122">
        <v>1018</v>
      </c>
      <c r="AJ1330" s="1" t="s">
        <v>2678</v>
      </c>
      <c r="AK1330" s="1">
        <v>310725</v>
      </c>
      <c r="AL1330" s="1" t="s">
        <v>930</v>
      </c>
      <c r="AN1330" s="270">
        <v>424</v>
      </c>
      <c r="BS1330" s="1">
        <v>10957</v>
      </c>
      <c r="BT1330" s="1" t="s">
        <v>902</v>
      </c>
      <c r="BX1330" s="36"/>
    </row>
    <row r="1331" spans="2:76" ht="14.25">
      <c r="B1331" s="36"/>
      <c r="C1331" s="36"/>
      <c r="D1331" s="36"/>
      <c r="E1331" s="36"/>
      <c r="F1331" s="36"/>
      <c r="G1331" s="36"/>
      <c r="H1331" s="36"/>
      <c r="J1331" s="36"/>
      <c r="L1331" s="1" t="str">
        <f t="shared" si="112"/>
        <v/>
      </c>
      <c r="M1331" s="94">
        <v>1326</v>
      </c>
      <c r="N1331" s="36" t="s">
        <v>2987</v>
      </c>
      <c r="O1331" s="95">
        <v>311033</v>
      </c>
      <c r="P1331" s="36"/>
      <c r="AI1331" s="122">
        <v>1019</v>
      </c>
      <c r="AJ1331" s="1" t="s">
        <v>2679</v>
      </c>
      <c r="AK1331" s="1">
        <v>310726</v>
      </c>
      <c r="AL1331" s="1" t="s">
        <v>115</v>
      </c>
      <c r="AN1331" s="270">
        <v>425</v>
      </c>
      <c r="BS1331" s="1">
        <v>10958</v>
      </c>
      <c r="BT1331" s="1" t="s">
        <v>902</v>
      </c>
      <c r="BX1331" s="36"/>
    </row>
    <row r="1332" spans="2:76" ht="14.25">
      <c r="B1332" s="36"/>
      <c r="C1332" s="36"/>
      <c r="D1332" s="36"/>
      <c r="E1332" s="36"/>
      <c r="F1332" s="36"/>
      <c r="G1332" s="36"/>
      <c r="H1332" s="36"/>
      <c r="J1332" s="36"/>
      <c r="L1332" s="1" t="str">
        <f t="shared" si="112"/>
        <v/>
      </c>
      <c r="M1332" s="94">
        <v>1327</v>
      </c>
      <c r="N1332" s="36" t="s">
        <v>2988</v>
      </c>
      <c r="O1332" s="95">
        <v>311034</v>
      </c>
      <c r="P1332" s="36"/>
      <c r="AI1332" s="122">
        <v>1020</v>
      </c>
      <c r="AJ1332" s="1" t="s">
        <v>2680</v>
      </c>
      <c r="AK1332" s="1">
        <v>310727</v>
      </c>
      <c r="AL1332" s="1" t="s">
        <v>930</v>
      </c>
      <c r="AN1332" s="270">
        <v>426</v>
      </c>
      <c r="BS1332" s="1">
        <v>10959</v>
      </c>
      <c r="BT1332" s="1" t="s">
        <v>902</v>
      </c>
      <c r="BX1332" s="36"/>
    </row>
    <row r="1333" spans="2:76" ht="14.25">
      <c r="B1333" s="36"/>
      <c r="C1333" s="36"/>
      <c r="D1333" s="36"/>
      <c r="E1333" s="36"/>
      <c r="F1333" s="36"/>
      <c r="G1333" s="36"/>
      <c r="H1333" s="36"/>
      <c r="J1333" s="36"/>
      <c r="L1333" s="1" t="str">
        <f t="shared" si="112"/>
        <v/>
      </c>
      <c r="M1333" s="94">
        <v>1328</v>
      </c>
      <c r="N1333" s="36" t="s">
        <v>2989</v>
      </c>
      <c r="O1333" s="95">
        <v>311035</v>
      </c>
      <c r="P1333" s="36"/>
      <c r="AI1333" s="122">
        <v>1021</v>
      </c>
      <c r="AJ1333" s="1" t="s">
        <v>2681</v>
      </c>
      <c r="AK1333" s="1">
        <v>310728</v>
      </c>
      <c r="AL1333" s="1" t="s">
        <v>115</v>
      </c>
      <c r="AN1333" s="270">
        <v>427</v>
      </c>
      <c r="BS1333" s="1">
        <v>10960</v>
      </c>
      <c r="BT1333" s="1" t="s">
        <v>902</v>
      </c>
      <c r="BX1333" s="36"/>
    </row>
    <row r="1334" spans="2:76" ht="14.25">
      <c r="B1334" s="36"/>
      <c r="C1334" s="36"/>
      <c r="D1334" s="36"/>
      <c r="E1334" s="36"/>
      <c r="F1334" s="36"/>
      <c r="G1334" s="36"/>
      <c r="H1334" s="36"/>
      <c r="J1334" s="36"/>
      <c r="L1334" s="1" t="str">
        <f t="shared" si="112"/>
        <v/>
      </c>
      <c r="M1334" s="94">
        <v>1329</v>
      </c>
      <c r="N1334" s="36" t="s">
        <v>2990</v>
      </c>
      <c r="O1334" s="95">
        <v>311036</v>
      </c>
      <c r="P1334" s="36"/>
      <c r="AI1334" s="122">
        <v>1022</v>
      </c>
      <c r="AJ1334" s="1" t="s">
        <v>2682</v>
      </c>
      <c r="AK1334" s="1">
        <v>310729</v>
      </c>
      <c r="AL1334" s="1" t="s">
        <v>930</v>
      </c>
      <c r="AN1334" s="270">
        <v>428</v>
      </c>
      <c r="BS1334" s="1">
        <v>10961</v>
      </c>
      <c r="BT1334" s="1" t="s">
        <v>902</v>
      </c>
      <c r="BX1334" s="36"/>
    </row>
    <row r="1335" spans="2:76" ht="14.25">
      <c r="B1335" s="36"/>
      <c r="C1335" s="36"/>
      <c r="D1335" s="36"/>
      <c r="E1335" s="36"/>
      <c r="F1335" s="36"/>
      <c r="G1335" s="36"/>
      <c r="H1335" s="36"/>
      <c r="J1335" s="36"/>
      <c r="L1335" s="1" t="str">
        <f t="shared" si="112"/>
        <v/>
      </c>
      <c r="M1335" s="94">
        <v>1330</v>
      </c>
      <c r="N1335" s="36" t="s">
        <v>2991</v>
      </c>
      <c r="O1335" s="95">
        <v>311037</v>
      </c>
      <c r="P1335" s="36"/>
      <c r="AI1335" s="122">
        <v>1023</v>
      </c>
      <c r="AJ1335" s="1" t="s">
        <v>2683</v>
      </c>
      <c r="AK1335" s="1">
        <v>310730</v>
      </c>
      <c r="AL1335" s="1" t="s">
        <v>115</v>
      </c>
      <c r="AN1335" s="270">
        <v>429</v>
      </c>
      <c r="BS1335" s="1">
        <v>10962</v>
      </c>
      <c r="BT1335" s="1" t="s">
        <v>902</v>
      </c>
      <c r="BX1335" s="36"/>
    </row>
    <row r="1336" spans="2:76" ht="14.25">
      <c r="B1336" s="36"/>
      <c r="C1336" s="36"/>
      <c r="D1336" s="36"/>
      <c r="E1336" s="36"/>
      <c r="F1336" s="36"/>
      <c r="G1336" s="36"/>
      <c r="H1336" s="36"/>
      <c r="J1336" s="36"/>
      <c r="L1336" s="1" t="str">
        <f t="shared" si="112"/>
        <v/>
      </c>
      <c r="M1336" s="94">
        <v>1331</v>
      </c>
      <c r="N1336" s="36" t="s">
        <v>2992</v>
      </c>
      <c r="O1336" s="95">
        <v>311038</v>
      </c>
      <c r="P1336" s="36"/>
      <c r="AI1336" s="122">
        <v>1024</v>
      </c>
      <c r="AJ1336" s="1" t="s">
        <v>2684</v>
      </c>
      <c r="AK1336" s="1">
        <v>310731</v>
      </c>
      <c r="AL1336" s="1" t="s">
        <v>930</v>
      </c>
      <c r="AN1336" s="270">
        <v>430</v>
      </c>
      <c r="BS1336" s="1">
        <v>10963</v>
      </c>
      <c r="BT1336" s="1" t="s">
        <v>902</v>
      </c>
      <c r="BX1336" s="36"/>
    </row>
    <row r="1337" spans="2:76" ht="14.25">
      <c r="B1337" s="36"/>
      <c r="C1337" s="36"/>
      <c r="D1337" s="36"/>
      <c r="E1337" s="36"/>
      <c r="F1337" s="36"/>
      <c r="G1337" s="36"/>
      <c r="H1337" s="36"/>
      <c r="J1337" s="36"/>
      <c r="L1337" s="1" t="str">
        <f t="shared" si="112"/>
        <v/>
      </c>
      <c r="M1337" s="94">
        <v>1332</v>
      </c>
      <c r="N1337" s="36" t="s">
        <v>2993</v>
      </c>
      <c r="O1337" s="95">
        <v>311039</v>
      </c>
      <c r="P1337" s="36"/>
      <c r="AI1337" s="122">
        <v>1025</v>
      </c>
      <c r="AJ1337" s="1" t="s">
        <v>2685</v>
      </c>
      <c r="AK1337" s="1">
        <v>310732</v>
      </c>
      <c r="AL1337" s="1" t="s">
        <v>930</v>
      </c>
      <c r="AN1337" s="270">
        <v>431</v>
      </c>
      <c r="BS1337" s="1">
        <v>10964</v>
      </c>
      <c r="BT1337" s="1" t="s">
        <v>902</v>
      </c>
      <c r="BX1337" s="36"/>
    </row>
    <row r="1338" spans="2:76" ht="14.25">
      <c r="B1338" s="36"/>
      <c r="C1338" s="36"/>
      <c r="D1338" s="36"/>
      <c r="E1338" s="36"/>
      <c r="F1338" s="36"/>
      <c r="G1338" s="36"/>
      <c r="H1338" s="36"/>
      <c r="J1338" s="36"/>
      <c r="L1338" s="1" t="str">
        <f t="shared" si="112"/>
        <v/>
      </c>
      <c r="M1338" s="94">
        <v>1333</v>
      </c>
      <c r="N1338" s="36" t="s">
        <v>2994</v>
      </c>
      <c r="O1338" s="95">
        <v>311040</v>
      </c>
      <c r="P1338" s="36"/>
      <c r="AI1338" s="122">
        <v>1026</v>
      </c>
      <c r="AJ1338" s="1" t="s">
        <v>2686</v>
      </c>
      <c r="AK1338" s="1">
        <v>310733</v>
      </c>
      <c r="AL1338" s="1" t="s">
        <v>115</v>
      </c>
      <c r="AN1338" s="270">
        <v>432</v>
      </c>
      <c r="BS1338" s="1">
        <v>10965</v>
      </c>
      <c r="BT1338" s="1" t="s">
        <v>902</v>
      </c>
      <c r="BX1338" s="36"/>
    </row>
    <row r="1339" spans="2:76" ht="14.25">
      <c r="B1339" s="36"/>
      <c r="C1339" s="36"/>
      <c r="D1339" s="36"/>
      <c r="E1339" s="36"/>
      <c r="F1339" s="36"/>
      <c r="G1339" s="36"/>
      <c r="H1339" s="36"/>
      <c r="J1339" s="36"/>
      <c r="L1339" s="1" t="str">
        <f t="shared" si="112"/>
        <v/>
      </c>
      <c r="M1339" s="94">
        <v>1334</v>
      </c>
      <c r="N1339" s="36" t="s">
        <v>2995</v>
      </c>
      <c r="O1339" s="95">
        <v>311041</v>
      </c>
      <c r="P1339" s="36"/>
      <c r="AI1339" s="122">
        <v>1027</v>
      </c>
      <c r="AJ1339" s="1" t="s">
        <v>2687</v>
      </c>
      <c r="AK1339" s="1">
        <v>310734</v>
      </c>
      <c r="AL1339" s="1" t="s">
        <v>930</v>
      </c>
      <c r="AN1339" s="270">
        <v>433</v>
      </c>
      <c r="BS1339" s="1">
        <v>10966</v>
      </c>
      <c r="BT1339" s="1" t="s">
        <v>902</v>
      </c>
      <c r="BX1339" s="36"/>
    </row>
    <row r="1340" spans="2:76" ht="14.25">
      <c r="B1340" s="36"/>
      <c r="C1340" s="36"/>
      <c r="D1340" s="36"/>
      <c r="E1340" s="36"/>
      <c r="F1340" s="36"/>
      <c r="G1340" s="36"/>
      <c r="H1340" s="36"/>
      <c r="J1340" s="36"/>
      <c r="L1340" s="1" t="str">
        <f t="shared" si="112"/>
        <v/>
      </c>
      <c r="M1340" s="94">
        <v>1335</v>
      </c>
      <c r="N1340" s="36" t="s">
        <v>2996</v>
      </c>
      <c r="O1340" s="95">
        <v>311042</v>
      </c>
      <c r="P1340" s="36"/>
      <c r="AI1340" s="122">
        <v>1028</v>
      </c>
      <c r="AJ1340" s="1" t="s">
        <v>2688</v>
      </c>
      <c r="AK1340" s="1">
        <v>310735</v>
      </c>
      <c r="AL1340" s="1" t="s">
        <v>115</v>
      </c>
      <c r="AN1340" s="270">
        <v>434</v>
      </c>
      <c r="BS1340" s="1">
        <v>10967</v>
      </c>
      <c r="BT1340" s="1" t="s">
        <v>902</v>
      </c>
      <c r="BX1340" s="36"/>
    </row>
    <row r="1341" spans="2:76" ht="14.25">
      <c r="B1341" s="36"/>
      <c r="C1341" s="36"/>
      <c r="D1341" s="36"/>
      <c r="E1341" s="36"/>
      <c r="F1341" s="36"/>
      <c r="G1341" s="36"/>
      <c r="H1341" s="36"/>
      <c r="J1341" s="36"/>
      <c r="L1341" s="1" t="str">
        <f t="shared" si="112"/>
        <v/>
      </c>
      <c r="M1341" s="94">
        <v>1336</v>
      </c>
      <c r="N1341" s="36" t="s">
        <v>2997</v>
      </c>
      <c r="O1341" s="95">
        <v>311043</v>
      </c>
      <c r="P1341" s="36"/>
      <c r="AI1341" s="122">
        <v>1029</v>
      </c>
      <c r="AJ1341" s="1" t="s">
        <v>2689</v>
      </c>
      <c r="AK1341" s="1">
        <v>310736</v>
      </c>
      <c r="AL1341" s="1" t="s">
        <v>930</v>
      </c>
      <c r="AN1341" s="270">
        <v>435</v>
      </c>
      <c r="BS1341" s="1">
        <v>10968</v>
      </c>
      <c r="BT1341" s="1" t="s">
        <v>902</v>
      </c>
      <c r="BX1341" s="36"/>
    </row>
    <row r="1342" spans="2:76" ht="14.25">
      <c r="B1342" s="36"/>
      <c r="C1342" s="36"/>
      <c r="D1342" s="36"/>
      <c r="E1342" s="36"/>
      <c r="F1342" s="36"/>
      <c r="G1342" s="36"/>
      <c r="H1342" s="36"/>
      <c r="J1342" s="36"/>
      <c r="L1342" s="1" t="str">
        <f t="shared" si="112"/>
        <v/>
      </c>
      <c r="M1342" s="94">
        <v>1337</v>
      </c>
      <c r="N1342" s="36" t="s">
        <v>2998</v>
      </c>
      <c r="O1342" s="95">
        <v>311044</v>
      </c>
      <c r="P1342" s="36"/>
      <c r="AI1342" s="122">
        <v>1030</v>
      </c>
      <c r="AJ1342" s="1" t="s">
        <v>2690</v>
      </c>
      <c r="AK1342" s="1">
        <v>310737</v>
      </c>
      <c r="AL1342" s="1" t="s">
        <v>115</v>
      </c>
      <c r="AN1342" s="270">
        <v>436</v>
      </c>
      <c r="BS1342" s="1">
        <v>10969</v>
      </c>
      <c r="BT1342" s="1" t="s">
        <v>902</v>
      </c>
      <c r="BX1342" s="36"/>
    </row>
    <row r="1343" spans="2:76" ht="14.25">
      <c r="B1343" s="36"/>
      <c r="C1343" s="36"/>
      <c r="D1343" s="36"/>
      <c r="E1343" s="36"/>
      <c r="F1343" s="36"/>
      <c r="G1343" s="36"/>
      <c r="H1343" s="36"/>
      <c r="J1343" s="36"/>
      <c r="L1343" s="1" t="str">
        <f t="shared" si="112"/>
        <v/>
      </c>
      <c r="M1343" s="94">
        <v>1338</v>
      </c>
      <c r="N1343" s="36" t="s">
        <v>2999</v>
      </c>
      <c r="O1343" s="95">
        <v>311045</v>
      </c>
      <c r="P1343" s="36"/>
      <c r="AI1343" s="122">
        <v>1031</v>
      </c>
      <c r="AJ1343" s="1" t="s">
        <v>2691</v>
      </c>
      <c r="AK1343" s="1">
        <v>310738</v>
      </c>
      <c r="AL1343" s="1" t="s">
        <v>930</v>
      </c>
      <c r="AN1343" s="270">
        <v>437</v>
      </c>
      <c r="BS1343" s="1">
        <v>10970</v>
      </c>
      <c r="BT1343" s="1" t="s">
        <v>902</v>
      </c>
      <c r="BX1343" s="36"/>
    </row>
    <row r="1344" spans="2:76" ht="14.25">
      <c r="B1344" s="36"/>
      <c r="C1344" s="36"/>
      <c r="D1344" s="36"/>
      <c r="E1344" s="36"/>
      <c r="F1344" s="36"/>
      <c r="G1344" s="36"/>
      <c r="H1344" s="36"/>
      <c r="J1344" s="36"/>
      <c r="L1344" s="1" t="str">
        <f t="shared" si="112"/>
        <v/>
      </c>
      <c r="M1344" s="94">
        <v>1339</v>
      </c>
      <c r="N1344" s="36" t="s">
        <v>3000</v>
      </c>
      <c r="O1344" s="95">
        <v>311046</v>
      </c>
      <c r="P1344" s="36"/>
      <c r="AI1344" s="122">
        <v>1032</v>
      </c>
      <c r="AJ1344" s="1" t="s">
        <v>2692</v>
      </c>
      <c r="AK1344" s="1">
        <v>310739</v>
      </c>
      <c r="AL1344" s="1" t="s">
        <v>930</v>
      </c>
      <c r="AN1344" s="270">
        <v>438</v>
      </c>
      <c r="BS1344" s="1">
        <v>10971</v>
      </c>
      <c r="BT1344" s="1" t="s">
        <v>934</v>
      </c>
      <c r="BX1344" s="36"/>
    </row>
    <row r="1345" spans="2:76" ht="14.25">
      <c r="B1345" s="36"/>
      <c r="C1345" s="36"/>
      <c r="D1345" s="36"/>
      <c r="E1345" s="36"/>
      <c r="F1345" s="36"/>
      <c r="G1345" s="36"/>
      <c r="H1345" s="36"/>
      <c r="J1345" s="36"/>
      <c r="L1345" s="1" t="str">
        <f t="shared" si="112"/>
        <v/>
      </c>
      <c r="M1345" s="94">
        <v>1340</v>
      </c>
      <c r="N1345" s="36" t="s">
        <v>3001</v>
      </c>
      <c r="O1345" s="95">
        <v>311047</v>
      </c>
      <c r="P1345" s="36"/>
      <c r="AI1345" s="122">
        <v>1033</v>
      </c>
      <c r="AJ1345" s="1" t="s">
        <v>2693</v>
      </c>
      <c r="AK1345" s="1">
        <v>310740</v>
      </c>
      <c r="AL1345" s="1" t="s">
        <v>115</v>
      </c>
      <c r="AN1345" s="270">
        <v>439</v>
      </c>
      <c r="BS1345" s="1">
        <v>10972</v>
      </c>
      <c r="BT1345" s="1" t="s">
        <v>902</v>
      </c>
      <c r="BX1345" s="36"/>
    </row>
    <row r="1346" spans="2:76" ht="14.25">
      <c r="B1346" s="36"/>
      <c r="C1346" s="36"/>
      <c r="D1346" s="36"/>
      <c r="E1346" s="36"/>
      <c r="F1346" s="36"/>
      <c r="G1346" s="36"/>
      <c r="H1346" s="36"/>
      <c r="J1346" s="36"/>
      <c r="L1346" s="1" t="str">
        <f t="shared" si="112"/>
        <v/>
      </c>
      <c r="M1346" s="94">
        <v>1341</v>
      </c>
      <c r="N1346" s="36" t="s">
        <v>3002</v>
      </c>
      <c r="O1346" s="95">
        <v>311048</v>
      </c>
      <c r="P1346" s="36"/>
      <c r="AI1346" s="122">
        <v>1034</v>
      </c>
      <c r="AJ1346" s="1" t="s">
        <v>2694</v>
      </c>
      <c r="AK1346" s="1">
        <v>310741</v>
      </c>
      <c r="AL1346" s="1" t="s">
        <v>930</v>
      </c>
      <c r="AN1346" s="270">
        <v>440</v>
      </c>
      <c r="BS1346" s="1">
        <v>10973</v>
      </c>
      <c r="BT1346" s="1" t="s">
        <v>902</v>
      </c>
      <c r="BX1346" s="36"/>
    </row>
    <row r="1347" spans="2:76" ht="14.25">
      <c r="B1347" s="36"/>
      <c r="C1347" s="36"/>
      <c r="D1347" s="36"/>
      <c r="E1347" s="36"/>
      <c r="F1347" s="36"/>
      <c r="G1347" s="36"/>
      <c r="H1347" s="36"/>
      <c r="J1347" s="36"/>
      <c r="L1347" s="1" t="str">
        <f t="shared" si="112"/>
        <v/>
      </c>
      <c r="M1347" s="94">
        <v>1342</v>
      </c>
      <c r="N1347" s="36" t="s">
        <v>3003</v>
      </c>
      <c r="O1347" s="95">
        <v>311049</v>
      </c>
      <c r="P1347" s="36"/>
      <c r="AI1347" s="122">
        <v>1035</v>
      </c>
      <c r="AJ1347" s="1" t="s">
        <v>2695</v>
      </c>
      <c r="AK1347" s="1">
        <v>310742</v>
      </c>
      <c r="AL1347" s="1" t="s">
        <v>115</v>
      </c>
      <c r="AN1347" s="270">
        <v>441</v>
      </c>
      <c r="BS1347" s="1">
        <v>10974</v>
      </c>
      <c r="BT1347" s="1" t="s">
        <v>902</v>
      </c>
      <c r="BX1347" s="36"/>
    </row>
    <row r="1348" spans="2:76" ht="14.25">
      <c r="B1348" s="36"/>
      <c r="C1348" s="36"/>
      <c r="D1348" s="36"/>
      <c r="E1348" s="36"/>
      <c r="F1348" s="36"/>
      <c r="G1348" s="36"/>
      <c r="H1348" s="36"/>
      <c r="J1348" s="36"/>
      <c r="L1348" s="1" t="str">
        <f t="shared" ref="L1348:L1411" si="113">IF(AND(MIN(I:I)&lt;20,MAX(I:I)&gt;980,I1348&lt;20),I1348,"")</f>
        <v/>
      </c>
      <c r="M1348" s="94">
        <v>1343</v>
      </c>
      <c r="N1348" s="36" t="s">
        <v>3004</v>
      </c>
      <c r="O1348" s="95">
        <v>311050</v>
      </c>
      <c r="P1348" s="36"/>
      <c r="AI1348" s="122">
        <v>1036</v>
      </c>
      <c r="AJ1348" s="1" t="s">
        <v>2696</v>
      </c>
      <c r="AK1348" s="1">
        <v>310743</v>
      </c>
      <c r="AL1348" s="1" t="s">
        <v>930</v>
      </c>
      <c r="AN1348" s="270">
        <v>442</v>
      </c>
      <c r="BS1348" s="1">
        <v>10975</v>
      </c>
      <c r="BT1348" s="1" t="s">
        <v>902</v>
      </c>
      <c r="BX1348" s="36"/>
    </row>
    <row r="1349" spans="2:76" ht="14.25">
      <c r="B1349" s="36"/>
      <c r="C1349" s="36"/>
      <c r="D1349" s="36"/>
      <c r="E1349" s="36"/>
      <c r="F1349" s="36"/>
      <c r="G1349" s="36"/>
      <c r="H1349" s="36"/>
      <c r="J1349" s="36"/>
      <c r="L1349" s="1" t="str">
        <f t="shared" si="113"/>
        <v/>
      </c>
      <c r="M1349" s="94">
        <v>1344</v>
      </c>
      <c r="N1349" s="36" t="s">
        <v>3005</v>
      </c>
      <c r="O1349" s="95">
        <v>311051</v>
      </c>
      <c r="P1349" s="36"/>
      <c r="AI1349" s="122">
        <v>1037</v>
      </c>
      <c r="AJ1349" s="1" t="s">
        <v>2697</v>
      </c>
      <c r="AK1349" s="1">
        <v>310744</v>
      </c>
      <c r="AL1349" s="1" t="s">
        <v>115</v>
      </c>
      <c r="AN1349" s="270">
        <v>443</v>
      </c>
      <c r="BS1349" s="1">
        <v>10976</v>
      </c>
      <c r="BT1349" s="1" t="s">
        <v>902</v>
      </c>
      <c r="BX1349" s="36"/>
    </row>
    <row r="1350" spans="2:76" ht="14.25">
      <c r="B1350" s="36"/>
      <c r="C1350" s="36"/>
      <c r="D1350" s="36"/>
      <c r="E1350" s="36"/>
      <c r="F1350" s="36"/>
      <c r="G1350" s="36"/>
      <c r="H1350" s="36"/>
      <c r="J1350" s="36"/>
      <c r="L1350" s="1" t="str">
        <f t="shared" si="113"/>
        <v/>
      </c>
      <c r="M1350" s="94">
        <v>1345</v>
      </c>
      <c r="N1350" s="36" t="s">
        <v>3006</v>
      </c>
      <c r="O1350" s="95">
        <v>311052</v>
      </c>
      <c r="P1350" s="36"/>
      <c r="AI1350" s="122">
        <v>1038</v>
      </c>
      <c r="AJ1350" s="1" t="s">
        <v>2698</v>
      </c>
      <c r="AK1350" s="1">
        <v>310745</v>
      </c>
      <c r="AL1350" s="1" t="s">
        <v>930</v>
      </c>
      <c r="AN1350" s="270">
        <v>444</v>
      </c>
      <c r="BS1350" s="1">
        <v>10977</v>
      </c>
      <c r="BT1350" s="1" t="s">
        <v>902</v>
      </c>
      <c r="BX1350" s="36"/>
    </row>
    <row r="1351" spans="2:76" ht="14.25">
      <c r="B1351" s="36"/>
      <c r="C1351" s="36"/>
      <c r="D1351" s="36"/>
      <c r="E1351" s="36"/>
      <c r="F1351" s="36"/>
      <c r="G1351" s="36"/>
      <c r="H1351" s="36"/>
      <c r="J1351" s="36"/>
      <c r="L1351" s="1" t="str">
        <f t="shared" si="113"/>
        <v/>
      </c>
      <c r="M1351" s="94">
        <v>1346</v>
      </c>
      <c r="N1351" s="36" t="s">
        <v>3007</v>
      </c>
      <c r="O1351" s="95">
        <v>311053</v>
      </c>
      <c r="P1351" s="36"/>
      <c r="AI1351" s="122">
        <v>1039</v>
      </c>
      <c r="AJ1351" s="1" t="s">
        <v>2699</v>
      </c>
      <c r="AK1351" s="1">
        <v>310746</v>
      </c>
      <c r="AL1351" s="1" t="s">
        <v>115</v>
      </c>
      <c r="AN1351" s="270">
        <v>445</v>
      </c>
      <c r="BS1351" s="1">
        <v>10978</v>
      </c>
      <c r="BT1351" s="1" t="s">
        <v>902</v>
      </c>
      <c r="BX1351" s="36"/>
    </row>
    <row r="1352" spans="2:76" ht="14.25">
      <c r="B1352" s="36"/>
      <c r="C1352" s="36"/>
      <c r="D1352" s="36"/>
      <c r="E1352" s="36"/>
      <c r="F1352" s="36"/>
      <c r="G1352" s="36"/>
      <c r="H1352" s="36"/>
      <c r="J1352" s="36"/>
      <c r="L1352" s="1" t="str">
        <f t="shared" si="113"/>
        <v/>
      </c>
      <c r="M1352" s="94">
        <v>1347</v>
      </c>
      <c r="N1352" s="36" t="s">
        <v>3008</v>
      </c>
      <c r="O1352" s="95">
        <v>311054</v>
      </c>
      <c r="P1352" s="36"/>
      <c r="AI1352" s="122">
        <v>1040</v>
      </c>
      <c r="AJ1352" s="1" t="s">
        <v>2700</v>
      </c>
      <c r="AK1352" s="1">
        <v>310747</v>
      </c>
      <c r="AL1352" s="1" t="s">
        <v>930</v>
      </c>
      <c r="AN1352" s="270">
        <v>446</v>
      </c>
      <c r="BS1352" s="1">
        <v>10979</v>
      </c>
      <c r="BT1352" s="1" t="s">
        <v>902</v>
      </c>
      <c r="BX1352" s="36"/>
    </row>
    <row r="1353" spans="2:76" ht="14.25">
      <c r="B1353" s="36"/>
      <c r="C1353" s="36"/>
      <c r="D1353" s="36"/>
      <c r="E1353" s="36"/>
      <c r="F1353" s="36"/>
      <c r="G1353" s="36"/>
      <c r="H1353" s="36"/>
      <c r="J1353" s="36"/>
      <c r="L1353" s="1" t="str">
        <f t="shared" si="113"/>
        <v/>
      </c>
      <c r="M1353" s="94">
        <v>1348</v>
      </c>
      <c r="N1353" s="36" t="s">
        <v>3009</v>
      </c>
      <c r="O1353" s="95">
        <v>311055</v>
      </c>
      <c r="P1353" s="36"/>
      <c r="AI1353" s="122">
        <v>1041</v>
      </c>
      <c r="AJ1353" s="1" t="s">
        <v>2701</v>
      </c>
      <c r="AK1353" s="1">
        <v>310748</v>
      </c>
      <c r="AL1353" s="1" t="s">
        <v>930</v>
      </c>
      <c r="AN1353" s="270">
        <v>447</v>
      </c>
      <c r="BS1353" s="1">
        <v>10980</v>
      </c>
      <c r="BT1353" s="1" t="s">
        <v>902</v>
      </c>
      <c r="BX1353" s="36"/>
    </row>
    <row r="1354" spans="2:76" ht="14.25">
      <c r="B1354" s="36"/>
      <c r="C1354" s="36"/>
      <c r="D1354" s="36"/>
      <c r="E1354" s="36"/>
      <c r="F1354" s="36"/>
      <c r="G1354" s="36"/>
      <c r="H1354" s="36"/>
      <c r="J1354" s="36"/>
      <c r="L1354" s="1" t="str">
        <f t="shared" si="113"/>
        <v/>
      </c>
      <c r="M1354" s="94">
        <v>1349</v>
      </c>
      <c r="N1354" s="36" t="s">
        <v>3010</v>
      </c>
      <c r="O1354" s="95">
        <v>311056</v>
      </c>
      <c r="P1354" s="36"/>
      <c r="AI1354" s="122">
        <v>1042</v>
      </c>
      <c r="AJ1354" s="1" t="s">
        <v>2702</v>
      </c>
      <c r="AK1354" s="1">
        <v>310749</v>
      </c>
      <c r="AL1354" s="1" t="s">
        <v>115</v>
      </c>
      <c r="AN1354" s="270">
        <v>448</v>
      </c>
      <c r="BS1354" s="1">
        <v>10981</v>
      </c>
      <c r="BT1354" s="1" t="s">
        <v>902</v>
      </c>
      <c r="BX1354" s="36"/>
    </row>
    <row r="1355" spans="2:76" ht="14.25">
      <c r="B1355" s="36"/>
      <c r="C1355" s="36"/>
      <c r="D1355" s="36"/>
      <c r="E1355" s="36"/>
      <c r="F1355" s="36"/>
      <c r="G1355" s="36"/>
      <c r="H1355" s="36"/>
      <c r="J1355" s="36"/>
      <c r="L1355" s="1" t="str">
        <f t="shared" si="113"/>
        <v/>
      </c>
      <c r="M1355" s="94">
        <v>1350</v>
      </c>
      <c r="N1355" s="36" t="s">
        <v>3011</v>
      </c>
      <c r="O1355" s="95">
        <v>311057</v>
      </c>
      <c r="P1355" s="36"/>
      <c r="AI1355" s="122">
        <v>1043</v>
      </c>
      <c r="AJ1355" s="1" t="s">
        <v>2703</v>
      </c>
      <c r="AK1355" s="1">
        <v>310750</v>
      </c>
      <c r="AL1355" s="1" t="s">
        <v>930</v>
      </c>
      <c r="AN1355" s="270">
        <v>449</v>
      </c>
      <c r="BS1355" s="1">
        <v>10982</v>
      </c>
      <c r="BT1355" s="1" t="s">
        <v>902</v>
      </c>
      <c r="BX1355" s="36"/>
    </row>
    <row r="1356" spans="2:76" ht="14.25">
      <c r="B1356" s="36"/>
      <c r="C1356" s="36"/>
      <c r="D1356" s="36"/>
      <c r="E1356" s="36"/>
      <c r="F1356" s="36"/>
      <c r="G1356" s="36"/>
      <c r="H1356" s="36"/>
      <c r="J1356" s="36"/>
      <c r="L1356" s="1" t="str">
        <f t="shared" si="113"/>
        <v/>
      </c>
      <c r="M1356" s="94">
        <v>1351</v>
      </c>
      <c r="N1356" s="36" t="s">
        <v>3012</v>
      </c>
      <c r="O1356" s="95">
        <v>311058</v>
      </c>
      <c r="P1356" s="36"/>
      <c r="AI1356" s="122">
        <v>1044</v>
      </c>
      <c r="AJ1356" s="1" t="s">
        <v>2704</v>
      </c>
      <c r="AK1356" s="1">
        <v>310751</v>
      </c>
      <c r="AL1356" s="1" t="s">
        <v>115</v>
      </c>
      <c r="AN1356" s="270">
        <v>450</v>
      </c>
      <c r="BS1356" s="1">
        <v>10983</v>
      </c>
      <c r="BT1356" s="1" t="s">
        <v>245</v>
      </c>
      <c r="BX1356" s="36"/>
    </row>
    <row r="1357" spans="2:76" ht="14.25">
      <c r="B1357" s="36"/>
      <c r="C1357" s="36"/>
      <c r="D1357" s="36"/>
      <c r="E1357" s="36"/>
      <c r="F1357" s="36"/>
      <c r="G1357" s="36"/>
      <c r="H1357" s="36"/>
      <c r="J1357" s="36"/>
      <c r="L1357" s="1" t="str">
        <f t="shared" si="113"/>
        <v/>
      </c>
      <c r="M1357" s="94">
        <v>1352</v>
      </c>
      <c r="N1357" s="36" t="s">
        <v>3013</v>
      </c>
      <c r="O1357" s="95">
        <v>311059</v>
      </c>
      <c r="P1357" s="36"/>
      <c r="AI1357" s="122">
        <v>1045</v>
      </c>
      <c r="AJ1357" s="1" t="s">
        <v>2705</v>
      </c>
      <c r="AK1357" s="1">
        <v>310752</v>
      </c>
      <c r="AL1357" s="1" t="s">
        <v>930</v>
      </c>
      <c r="AN1357" s="270">
        <v>451</v>
      </c>
      <c r="BS1357" s="1">
        <v>10984</v>
      </c>
      <c r="BT1357" s="1" t="s">
        <v>902</v>
      </c>
      <c r="BX1357" s="36"/>
    </row>
    <row r="1358" spans="2:76" ht="14.25">
      <c r="B1358" s="36"/>
      <c r="C1358" s="36"/>
      <c r="D1358" s="36"/>
      <c r="E1358" s="36"/>
      <c r="F1358" s="36"/>
      <c r="G1358" s="36"/>
      <c r="H1358" s="36"/>
      <c r="J1358" s="36"/>
      <c r="L1358" s="1" t="str">
        <f t="shared" si="113"/>
        <v/>
      </c>
      <c r="M1358" s="94">
        <v>1353</v>
      </c>
      <c r="N1358" s="36" t="s">
        <v>3014</v>
      </c>
      <c r="O1358" s="95">
        <v>311060</v>
      </c>
      <c r="P1358" s="36"/>
      <c r="AI1358" s="122">
        <v>1046</v>
      </c>
      <c r="AJ1358" s="1" t="s">
        <v>2706</v>
      </c>
      <c r="AK1358" s="1">
        <v>310753</v>
      </c>
      <c r="AL1358" s="1" t="s">
        <v>115</v>
      </c>
      <c r="AN1358" s="270">
        <v>452</v>
      </c>
      <c r="BS1358" s="1">
        <v>10985</v>
      </c>
      <c r="BT1358" s="1" t="s">
        <v>902</v>
      </c>
      <c r="BX1358" s="36"/>
    </row>
    <row r="1359" spans="2:76" ht="14.25">
      <c r="B1359" s="36"/>
      <c r="C1359" s="36"/>
      <c r="D1359" s="36"/>
      <c r="E1359" s="36"/>
      <c r="F1359" s="36"/>
      <c r="G1359" s="36"/>
      <c r="H1359" s="36"/>
      <c r="J1359" s="36"/>
      <c r="L1359" s="1" t="str">
        <f t="shared" si="113"/>
        <v/>
      </c>
      <c r="M1359" s="94">
        <v>1354</v>
      </c>
      <c r="N1359" s="36" t="s">
        <v>3015</v>
      </c>
      <c r="O1359" s="95">
        <v>311061</v>
      </c>
      <c r="P1359" s="36"/>
      <c r="AI1359" s="122">
        <v>1047</v>
      </c>
      <c r="AJ1359" s="1" t="s">
        <v>2707</v>
      </c>
      <c r="AK1359" s="1">
        <v>310754</v>
      </c>
      <c r="AL1359" s="1" t="s">
        <v>930</v>
      </c>
      <c r="AN1359" s="270">
        <v>453</v>
      </c>
      <c r="BS1359" s="1">
        <v>10986</v>
      </c>
      <c r="BT1359" s="1" t="s">
        <v>902</v>
      </c>
      <c r="BX1359" s="36"/>
    </row>
    <row r="1360" spans="2:76" ht="14.25">
      <c r="B1360" s="36"/>
      <c r="C1360" s="36"/>
      <c r="D1360" s="36"/>
      <c r="E1360" s="36"/>
      <c r="F1360" s="36"/>
      <c r="G1360" s="36"/>
      <c r="H1360" s="36"/>
      <c r="J1360" s="36"/>
      <c r="L1360" s="1" t="str">
        <f t="shared" si="113"/>
        <v/>
      </c>
      <c r="M1360" s="94">
        <v>1355</v>
      </c>
      <c r="N1360" s="36" t="s">
        <v>3016</v>
      </c>
      <c r="O1360" s="95">
        <v>311062</v>
      </c>
      <c r="P1360" s="36"/>
      <c r="AI1360" s="122">
        <v>1048</v>
      </c>
      <c r="AJ1360" s="1" t="s">
        <v>2709</v>
      </c>
      <c r="AK1360" s="1">
        <v>310755</v>
      </c>
      <c r="AL1360" s="1" t="s">
        <v>930</v>
      </c>
      <c r="AN1360" s="270">
        <v>454</v>
      </c>
      <c r="BS1360" s="1">
        <v>10987</v>
      </c>
      <c r="BT1360" s="1" t="s">
        <v>902</v>
      </c>
      <c r="BX1360" s="36"/>
    </row>
    <row r="1361" spans="2:76" ht="14.25">
      <c r="B1361" s="36"/>
      <c r="C1361" s="36"/>
      <c r="D1361" s="36"/>
      <c r="E1361" s="36"/>
      <c r="F1361" s="36"/>
      <c r="G1361" s="36"/>
      <c r="H1361" s="36"/>
      <c r="J1361" s="36"/>
      <c r="L1361" s="1" t="str">
        <f t="shared" si="113"/>
        <v/>
      </c>
      <c r="M1361" s="94">
        <v>1356</v>
      </c>
      <c r="N1361" s="36" t="s">
        <v>3017</v>
      </c>
      <c r="O1361" s="95">
        <v>311063</v>
      </c>
      <c r="P1361" s="36"/>
      <c r="AI1361" s="122">
        <v>1049</v>
      </c>
      <c r="AJ1361" s="1" t="s">
        <v>2710</v>
      </c>
      <c r="AK1361" s="1">
        <v>310756</v>
      </c>
      <c r="AL1361" s="1" t="s">
        <v>115</v>
      </c>
      <c r="AN1361" s="270">
        <v>455</v>
      </c>
      <c r="BS1361" s="1">
        <v>10988</v>
      </c>
      <c r="BT1361" s="1" t="s">
        <v>902</v>
      </c>
      <c r="BX1361" s="36"/>
    </row>
    <row r="1362" spans="2:76" ht="14.25">
      <c r="B1362" s="36"/>
      <c r="C1362" s="36"/>
      <c r="D1362" s="36"/>
      <c r="E1362" s="36"/>
      <c r="F1362" s="36"/>
      <c r="G1362" s="36"/>
      <c r="H1362" s="36"/>
      <c r="J1362" s="36"/>
      <c r="L1362" s="1" t="str">
        <f t="shared" si="113"/>
        <v/>
      </c>
      <c r="M1362" s="94">
        <v>1357</v>
      </c>
      <c r="N1362" s="36" t="s">
        <v>3018</v>
      </c>
      <c r="O1362" s="95">
        <v>311064</v>
      </c>
      <c r="P1362" s="36"/>
      <c r="AI1362" s="122">
        <v>1050</v>
      </c>
      <c r="AJ1362" s="1" t="s">
        <v>2711</v>
      </c>
      <c r="AK1362" s="1">
        <v>310757</v>
      </c>
      <c r="AL1362" s="1" t="s">
        <v>930</v>
      </c>
      <c r="AN1362" s="270">
        <v>456</v>
      </c>
      <c r="BS1362" s="1">
        <v>10989</v>
      </c>
      <c r="BT1362" s="1" t="s">
        <v>902</v>
      </c>
      <c r="BX1362" s="36"/>
    </row>
    <row r="1363" spans="2:76" ht="14.25">
      <c r="B1363" s="36"/>
      <c r="C1363" s="36"/>
      <c r="D1363" s="36"/>
      <c r="E1363" s="36"/>
      <c r="F1363" s="36"/>
      <c r="G1363" s="36"/>
      <c r="H1363" s="36"/>
      <c r="J1363" s="36"/>
      <c r="L1363" s="1" t="str">
        <f t="shared" si="113"/>
        <v/>
      </c>
      <c r="M1363" s="94">
        <v>1358</v>
      </c>
      <c r="N1363" s="36" t="s">
        <v>3019</v>
      </c>
      <c r="O1363" s="95">
        <v>311065</v>
      </c>
      <c r="P1363" s="36"/>
      <c r="AI1363" s="122">
        <v>1051</v>
      </c>
      <c r="AJ1363" s="1" t="s">
        <v>2712</v>
      </c>
      <c r="AK1363" s="1">
        <v>310758</v>
      </c>
      <c r="AL1363" s="1" t="s">
        <v>115</v>
      </c>
      <c r="AN1363" s="270">
        <v>457</v>
      </c>
      <c r="BS1363" s="1">
        <v>10990</v>
      </c>
      <c r="BT1363" s="1" t="s">
        <v>902</v>
      </c>
      <c r="BX1363" s="36"/>
    </row>
    <row r="1364" spans="2:76" ht="14.25">
      <c r="B1364" s="36"/>
      <c r="C1364" s="36"/>
      <c r="D1364" s="36"/>
      <c r="E1364" s="36"/>
      <c r="F1364" s="36"/>
      <c r="G1364" s="36"/>
      <c r="H1364" s="36"/>
      <c r="J1364" s="36"/>
      <c r="L1364" s="1" t="str">
        <f t="shared" si="113"/>
        <v/>
      </c>
      <c r="M1364" s="94">
        <v>1359</v>
      </c>
      <c r="N1364" s="36" t="s">
        <v>3020</v>
      </c>
      <c r="O1364" s="95">
        <v>311066</v>
      </c>
      <c r="P1364" s="36"/>
      <c r="AI1364" s="122">
        <v>1052</v>
      </c>
      <c r="AJ1364" s="1" t="s">
        <v>2713</v>
      </c>
      <c r="AK1364" s="1">
        <v>310759</v>
      </c>
      <c r="AL1364" s="1" t="s">
        <v>930</v>
      </c>
      <c r="AN1364" s="270">
        <v>458</v>
      </c>
      <c r="BS1364" s="1">
        <v>10991</v>
      </c>
      <c r="BT1364" s="1" t="s">
        <v>902</v>
      </c>
      <c r="BX1364" s="36"/>
    </row>
    <row r="1365" spans="2:76" ht="14.25">
      <c r="B1365" s="36"/>
      <c r="C1365" s="36"/>
      <c r="D1365" s="36"/>
      <c r="E1365" s="36"/>
      <c r="F1365" s="36"/>
      <c r="G1365" s="36"/>
      <c r="H1365" s="36"/>
      <c r="J1365" s="36"/>
      <c r="L1365" s="1" t="str">
        <f t="shared" si="113"/>
        <v/>
      </c>
      <c r="M1365" s="94">
        <v>1360</v>
      </c>
      <c r="N1365" s="36" t="s">
        <v>3021</v>
      </c>
      <c r="O1365" s="95">
        <v>311067</v>
      </c>
      <c r="P1365" s="36"/>
      <c r="AI1365" s="122">
        <v>1053</v>
      </c>
      <c r="AJ1365" s="1" t="s">
        <v>2714</v>
      </c>
      <c r="AK1365" s="1">
        <v>310760</v>
      </c>
      <c r="AL1365" s="1" t="s">
        <v>115</v>
      </c>
      <c r="AN1365" s="270">
        <v>459</v>
      </c>
      <c r="BS1365" s="1">
        <v>10992</v>
      </c>
      <c r="BT1365" s="1" t="s">
        <v>902</v>
      </c>
      <c r="BX1365" s="36"/>
    </row>
    <row r="1366" spans="2:76" ht="14.25">
      <c r="B1366" s="36"/>
      <c r="C1366" s="36"/>
      <c r="D1366" s="36"/>
      <c r="E1366" s="36"/>
      <c r="F1366" s="36"/>
      <c r="G1366" s="36"/>
      <c r="H1366" s="36"/>
      <c r="J1366" s="36"/>
      <c r="L1366" s="1" t="str">
        <f t="shared" si="113"/>
        <v/>
      </c>
      <c r="M1366" s="94">
        <v>1361</v>
      </c>
      <c r="N1366" s="36" t="s">
        <v>3022</v>
      </c>
      <c r="O1366" s="95">
        <v>311068</v>
      </c>
      <c r="P1366" s="36"/>
      <c r="AI1366" s="122">
        <v>1054</v>
      </c>
      <c r="AJ1366" s="1" t="s">
        <v>2715</v>
      </c>
      <c r="AK1366" s="1">
        <v>310761</v>
      </c>
      <c r="AL1366" s="1" t="s">
        <v>930</v>
      </c>
      <c r="AN1366" s="270">
        <v>460</v>
      </c>
      <c r="BS1366" s="1">
        <v>10993</v>
      </c>
      <c r="BT1366" s="1" t="s">
        <v>902</v>
      </c>
      <c r="BX1366" s="36"/>
    </row>
    <row r="1367" spans="2:76" ht="14.25">
      <c r="B1367" s="36"/>
      <c r="C1367" s="36"/>
      <c r="D1367" s="36"/>
      <c r="E1367" s="36"/>
      <c r="F1367" s="36"/>
      <c r="G1367" s="36"/>
      <c r="H1367" s="36"/>
      <c r="J1367" s="36"/>
      <c r="L1367" s="1" t="str">
        <f t="shared" si="113"/>
        <v/>
      </c>
      <c r="M1367" s="94">
        <v>1362</v>
      </c>
      <c r="N1367" s="36" t="s">
        <v>3023</v>
      </c>
      <c r="O1367" s="95">
        <v>311069</v>
      </c>
      <c r="P1367" s="36"/>
      <c r="AI1367" s="122">
        <v>1055</v>
      </c>
      <c r="AJ1367" s="1" t="s">
        <v>2716</v>
      </c>
      <c r="AK1367" s="1">
        <v>310762</v>
      </c>
      <c r="AL1367" s="1" t="s">
        <v>930</v>
      </c>
      <c r="AN1367" s="270">
        <v>461</v>
      </c>
      <c r="BS1367" s="1">
        <v>10994</v>
      </c>
      <c r="BT1367" s="1" t="s">
        <v>41</v>
      </c>
      <c r="BX1367" s="36"/>
    </row>
    <row r="1368" spans="2:76" ht="14.25">
      <c r="B1368" s="36"/>
      <c r="C1368" s="36"/>
      <c r="D1368" s="36"/>
      <c r="E1368" s="36"/>
      <c r="F1368" s="36"/>
      <c r="G1368" s="36"/>
      <c r="H1368" s="36"/>
      <c r="J1368" s="36"/>
      <c r="L1368" s="1" t="str">
        <f t="shared" si="113"/>
        <v/>
      </c>
      <c r="M1368" s="94">
        <v>1363</v>
      </c>
      <c r="N1368" s="36" t="s">
        <v>3024</v>
      </c>
      <c r="O1368" s="95">
        <v>311070</v>
      </c>
      <c r="P1368" s="36"/>
      <c r="AI1368" s="122">
        <v>1056</v>
      </c>
      <c r="AJ1368" s="1" t="s">
        <v>2717</v>
      </c>
      <c r="AK1368" s="1">
        <v>310763</v>
      </c>
      <c r="AL1368" s="1" t="s">
        <v>115</v>
      </c>
      <c r="AN1368" s="270">
        <v>462</v>
      </c>
      <c r="BS1368" s="1">
        <v>10995</v>
      </c>
      <c r="BT1368" s="1" t="s">
        <v>902</v>
      </c>
      <c r="BX1368" s="36"/>
    </row>
    <row r="1369" spans="2:76" ht="14.25">
      <c r="B1369" s="36"/>
      <c r="C1369" s="36"/>
      <c r="D1369" s="36"/>
      <c r="E1369" s="36"/>
      <c r="F1369" s="36"/>
      <c r="G1369" s="36"/>
      <c r="H1369" s="36"/>
      <c r="J1369" s="36"/>
      <c r="L1369" s="1" t="str">
        <f t="shared" si="113"/>
        <v/>
      </c>
      <c r="M1369" s="94">
        <v>1364</v>
      </c>
      <c r="N1369" s="36" t="s">
        <v>3025</v>
      </c>
      <c r="O1369" s="95">
        <v>311071</v>
      </c>
      <c r="P1369" s="36"/>
      <c r="AI1369" s="122">
        <v>1057</v>
      </c>
      <c r="AJ1369" s="1" t="s">
        <v>2718</v>
      </c>
      <c r="AK1369" s="1">
        <v>310764</v>
      </c>
      <c r="AL1369" s="1" t="s">
        <v>930</v>
      </c>
      <c r="AN1369" s="270">
        <v>463</v>
      </c>
      <c r="BS1369" s="1">
        <v>10996</v>
      </c>
      <c r="BT1369" s="1" t="s">
        <v>902</v>
      </c>
      <c r="BX1369" s="36"/>
    </row>
    <row r="1370" spans="2:76" ht="14.25">
      <c r="B1370" s="36"/>
      <c r="C1370" s="36"/>
      <c r="D1370" s="36"/>
      <c r="E1370" s="36"/>
      <c r="F1370" s="36"/>
      <c r="G1370" s="36"/>
      <c r="H1370" s="36"/>
      <c r="J1370" s="36"/>
      <c r="L1370" s="1" t="str">
        <f t="shared" si="113"/>
        <v/>
      </c>
      <c r="M1370" s="94">
        <v>1365</v>
      </c>
      <c r="N1370" s="36" t="s">
        <v>3026</v>
      </c>
      <c r="O1370" s="95">
        <v>311072</v>
      </c>
      <c r="P1370" s="36"/>
      <c r="AI1370" s="122">
        <v>1058</v>
      </c>
      <c r="AJ1370" s="1" t="s">
        <v>2719</v>
      </c>
      <c r="AK1370" s="1">
        <v>310765</v>
      </c>
      <c r="AL1370" s="1" t="s">
        <v>115</v>
      </c>
      <c r="AN1370" s="270">
        <v>464</v>
      </c>
      <c r="BS1370" s="1">
        <v>10997</v>
      </c>
      <c r="BT1370" s="1" t="s">
        <v>902</v>
      </c>
      <c r="BX1370" s="36"/>
    </row>
    <row r="1371" spans="2:76" ht="14.25">
      <c r="B1371" s="36"/>
      <c r="C1371" s="36"/>
      <c r="D1371" s="36"/>
      <c r="E1371" s="36"/>
      <c r="F1371" s="36"/>
      <c r="G1371" s="36"/>
      <c r="H1371" s="36"/>
      <c r="J1371" s="36"/>
      <c r="L1371" s="1" t="str">
        <f t="shared" si="113"/>
        <v/>
      </c>
      <c r="M1371" s="94">
        <v>1366</v>
      </c>
      <c r="N1371" s="36" t="s">
        <v>3027</v>
      </c>
      <c r="O1371" s="95">
        <v>311073</v>
      </c>
      <c r="P1371" s="36"/>
      <c r="AI1371" s="122">
        <v>1059</v>
      </c>
      <c r="AJ1371" s="1" t="s">
        <v>2720</v>
      </c>
      <c r="AK1371" s="1">
        <v>310766</v>
      </c>
      <c r="AL1371" s="1" t="s">
        <v>930</v>
      </c>
      <c r="AN1371" s="270">
        <v>465</v>
      </c>
      <c r="BS1371" s="1">
        <v>10998</v>
      </c>
      <c r="BT1371" s="1" t="s">
        <v>891</v>
      </c>
      <c r="BX1371" s="36"/>
    </row>
    <row r="1372" spans="2:76" ht="14.25">
      <c r="B1372" s="36"/>
      <c r="C1372" s="36"/>
      <c r="D1372" s="36"/>
      <c r="E1372" s="36"/>
      <c r="F1372" s="36"/>
      <c r="G1372" s="36"/>
      <c r="H1372" s="36"/>
      <c r="J1372" s="36"/>
      <c r="L1372" s="1" t="str">
        <f t="shared" si="113"/>
        <v/>
      </c>
      <c r="M1372" s="94">
        <v>1367</v>
      </c>
      <c r="N1372" s="36" t="s">
        <v>3028</v>
      </c>
      <c r="O1372" s="95">
        <v>311074</v>
      </c>
      <c r="P1372" s="36"/>
      <c r="AI1372" s="122">
        <v>1060</v>
      </c>
      <c r="AJ1372" s="1" t="s">
        <v>2721</v>
      </c>
      <c r="AK1372" s="1">
        <v>310767</v>
      </c>
      <c r="AL1372" s="1" t="s">
        <v>115</v>
      </c>
      <c r="AN1372" s="270">
        <v>466</v>
      </c>
      <c r="BS1372" s="1">
        <v>10999</v>
      </c>
      <c r="BT1372" s="1" t="s">
        <v>902</v>
      </c>
      <c r="BX1372" s="36"/>
    </row>
    <row r="1373" spans="2:76" ht="14.25">
      <c r="B1373" s="36"/>
      <c r="C1373" s="36"/>
      <c r="D1373" s="36"/>
      <c r="E1373" s="36"/>
      <c r="F1373" s="36"/>
      <c r="G1373" s="36"/>
      <c r="H1373" s="36"/>
      <c r="J1373" s="36"/>
      <c r="L1373" s="1" t="str">
        <f t="shared" si="113"/>
        <v/>
      </c>
      <c r="M1373" s="94">
        <v>1368</v>
      </c>
      <c r="N1373" s="36" t="s">
        <v>3029</v>
      </c>
      <c r="O1373" s="95">
        <v>311075</v>
      </c>
      <c r="P1373" s="36"/>
      <c r="AI1373" s="122">
        <v>1061</v>
      </c>
      <c r="AJ1373" s="1" t="s">
        <v>2722</v>
      </c>
      <c r="AK1373" s="1">
        <v>310768</v>
      </c>
      <c r="AL1373" s="1" t="s">
        <v>930</v>
      </c>
      <c r="AN1373" s="270">
        <v>467</v>
      </c>
      <c r="BS1373" s="1">
        <v>11000</v>
      </c>
      <c r="BT1373" s="1" t="s">
        <v>902</v>
      </c>
      <c r="BX1373" s="36"/>
    </row>
    <row r="1374" spans="2:76" ht="14.25">
      <c r="B1374" s="36"/>
      <c r="C1374" s="36"/>
      <c r="D1374" s="36"/>
      <c r="E1374" s="36"/>
      <c r="F1374" s="36"/>
      <c r="G1374" s="36"/>
      <c r="H1374" s="36"/>
      <c r="J1374" s="36"/>
      <c r="L1374" s="1" t="str">
        <f t="shared" si="113"/>
        <v/>
      </c>
      <c r="M1374" s="94">
        <v>1369</v>
      </c>
      <c r="N1374" s="36" t="s">
        <v>3030</v>
      </c>
      <c r="O1374" s="95">
        <v>311076</v>
      </c>
      <c r="P1374" s="36"/>
      <c r="AI1374" s="122">
        <v>1062</v>
      </c>
      <c r="AJ1374" s="1" t="s">
        <v>2723</v>
      </c>
      <c r="AK1374" s="1">
        <v>310769</v>
      </c>
      <c r="AL1374" s="1" t="s">
        <v>930</v>
      </c>
      <c r="AN1374" s="270">
        <v>468</v>
      </c>
      <c r="BS1374" s="1">
        <v>11001</v>
      </c>
      <c r="BT1374" s="1" t="s">
        <v>902</v>
      </c>
      <c r="BX1374" s="36"/>
    </row>
    <row r="1375" spans="2:76" ht="14.25">
      <c r="B1375" s="36"/>
      <c r="C1375" s="36"/>
      <c r="D1375" s="36"/>
      <c r="E1375" s="36"/>
      <c r="F1375" s="36"/>
      <c r="G1375" s="36"/>
      <c r="H1375" s="36"/>
      <c r="J1375" s="36"/>
      <c r="L1375" s="1" t="str">
        <f t="shared" si="113"/>
        <v/>
      </c>
      <c r="M1375" s="94">
        <v>1370</v>
      </c>
      <c r="N1375" s="36" t="s">
        <v>3031</v>
      </c>
      <c r="O1375" s="95">
        <v>311077</v>
      </c>
      <c r="P1375" s="36"/>
      <c r="AI1375" s="122">
        <v>1063</v>
      </c>
      <c r="AJ1375" s="1" t="s">
        <v>2724</v>
      </c>
      <c r="AK1375" s="1">
        <v>310770</v>
      </c>
      <c r="AL1375" s="1" t="s">
        <v>115</v>
      </c>
      <c r="AN1375" s="270">
        <v>469</v>
      </c>
      <c r="BS1375" s="1">
        <v>11002</v>
      </c>
      <c r="BT1375" s="1" t="s">
        <v>902</v>
      </c>
      <c r="BX1375" s="36"/>
    </row>
    <row r="1376" spans="2:76" ht="14.25">
      <c r="B1376" s="36"/>
      <c r="C1376" s="36"/>
      <c r="D1376" s="36"/>
      <c r="E1376" s="36"/>
      <c r="F1376" s="36"/>
      <c r="G1376" s="36"/>
      <c r="H1376" s="36"/>
      <c r="J1376" s="36"/>
      <c r="L1376" s="1" t="str">
        <f t="shared" si="113"/>
        <v/>
      </c>
      <c r="M1376" s="94">
        <v>1371</v>
      </c>
      <c r="N1376" s="36" t="s">
        <v>3032</v>
      </c>
      <c r="O1376" s="95">
        <v>311078</v>
      </c>
      <c r="P1376" s="36"/>
      <c r="AI1376" s="122">
        <v>1064</v>
      </c>
      <c r="AJ1376" s="1" t="s">
        <v>2725</v>
      </c>
      <c r="AK1376" s="1">
        <v>310771</v>
      </c>
      <c r="AL1376" s="1" t="s">
        <v>930</v>
      </c>
      <c r="AN1376" s="270">
        <v>470</v>
      </c>
      <c r="BS1376" s="1">
        <v>11003</v>
      </c>
      <c r="BT1376" s="1" t="s">
        <v>902</v>
      </c>
      <c r="BX1376" s="36"/>
    </row>
    <row r="1377" spans="2:76" ht="14.25">
      <c r="B1377" s="36"/>
      <c r="C1377" s="36"/>
      <c r="D1377" s="36"/>
      <c r="E1377" s="36"/>
      <c r="F1377" s="36"/>
      <c r="G1377" s="36"/>
      <c r="H1377" s="36"/>
      <c r="J1377" s="36"/>
      <c r="L1377" s="1" t="str">
        <f t="shared" si="113"/>
        <v/>
      </c>
      <c r="M1377" s="94">
        <v>1372</v>
      </c>
      <c r="N1377" s="36" t="s">
        <v>3033</v>
      </c>
      <c r="O1377" s="95">
        <v>311079</v>
      </c>
      <c r="P1377" s="36"/>
      <c r="AI1377" s="122">
        <v>1065</v>
      </c>
      <c r="AJ1377" s="1" t="s">
        <v>2726</v>
      </c>
      <c r="AK1377" s="1">
        <v>310772</v>
      </c>
      <c r="AL1377" s="1" t="s">
        <v>115</v>
      </c>
      <c r="AN1377" s="270">
        <v>471</v>
      </c>
      <c r="BS1377" s="1">
        <v>11004</v>
      </c>
      <c r="BT1377" s="1" t="s">
        <v>42</v>
      </c>
      <c r="BX1377" s="36"/>
    </row>
    <row r="1378" spans="2:76" ht="14.25">
      <c r="B1378" s="36"/>
      <c r="C1378" s="36"/>
      <c r="D1378" s="36"/>
      <c r="E1378" s="36"/>
      <c r="F1378" s="36"/>
      <c r="G1378" s="36"/>
      <c r="H1378" s="36"/>
      <c r="J1378" s="36"/>
      <c r="L1378" s="1" t="str">
        <f t="shared" si="113"/>
        <v/>
      </c>
      <c r="M1378" s="94">
        <v>1373</v>
      </c>
      <c r="N1378" s="36" t="s">
        <v>3034</v>
      </c>
      <c r="O1378" s="95">
        <v>311080</v>
      </c>
      <c r="P1378" s="36"/>
      <c r="AI1378" s="122">
        <v>1066</v>
      </c>
      <c r="AJ1378" s="1" t="s">
        <v>2727</v>
      </c>
      <c r="AK1378" s="1">
        <v>310773</v>
      </c>
      <c r="AL1378" s="1" t="s">
        <v>930</v>
      </c>
      <c r="AN1378" s="270">
        <v>472</v>
      </c>
      <c r="BS1378" s="1">
        <v>11005</v>
      </c>
      <c r="BT1378" s="1" t="s">
        <v>902</v>
      </c>
      <c r="BX1378" s="36"/>
    </row>
    <row r="1379" spans="2:76" ht="14.25">
      <c r="B1379" s="36"/>
      <c r="C1379" s="36"/>
      <c r="D1379" s="36"/>
      <c r="E1379" s="36"/>
      <c r="F1379" s="36"/>
      <c r="G1379" s="36"/>
      <c r="H1379" s="36"/>
      <c r="J1379" s="36"/>
      <c r="L1379" s="1" t="str">
        <f t="shared" si="113"/>
        <v/>
      </c>
      <c r="M1379" s="94">
        <v>1374</v>
      </c>
      <c r="N1379" s="36" t="s">
        <v>3035</v>
      </c>
      <c r="O1379" s="95">
        <v>311081</v>
      </c>
      <c r="P1379" s="36"/>
      <c r="AI1379" s="122">
        <v>1067</v>
      </c>
      <c r="AJ1379" s="1" t="s">
        <v>2728</v>
      </c>
      <c r="AK1379" s="1">
        <v>310774</v>
      </c>
      <c r="AL1379" s="1" t="s">
        <v>115</v>
      </c>
      <c r="AN1379" s="270">
        <v>473</v>
      </c>
      <c r="BS1379" s="1">
        <v>11006</v>
      </c>
      <c r="BT1379" s="1" t="s">
        <v>902</v>
      </c>
      <c r="BX1379" s="36"/>
    </row>
    <row r="1380" spans="2:76" ht="14.25">
      <c r="B1380" s="36"/>
      <c r="C1380" s="36"/>
      <c r="D1380" s="36"/>
      <c r="E1380" s="36"/>
      <c r="F1380" s="36"/>
      <c r="G1380" s="36"/>
      <c r="H1380" s="36"/>
      <c r="J1380" s="36"/>
      <c r="L1380" s="1" t="str">
        <f t="shared" si="113"/>
        <v/>
      </c>
      <c r="M1380" s="94">
        <v>1375</v>
      </c>
      <c r="N1380" s="36" t="s">
        <v>3036</v>
      </c>
      <c r="O1380" s="95">
        <v>311082</v>
      </c>
      <c r="P1380" s="36"/>
      <c r="AI1380" s="122">
        <v>1068</v>
      </c>
      <c r="AJ1380" s="1" t="s">
        <v>2729</v>
      </c>
      <c r="AK1380" s="1">
        <v>310775</v>
      </c>
      <c r="AL1380" s="1" t="s">
        <v>930</v>
      </c>
      <c r="AN1380" s="270">
        <v>474</v>
      </c>
      <c r="BS1380" s="1">
        <v>11007</v>
      </c>
      <c r="BT1380" s="1" t="s">
        <v>902</v>
      </c>
      <c r="BX1380" s="36"/>
    </row>
    <row r="1381" spans="2:76" ht="14.25">
      <c r="B1381" s="36"/>
      <c r="C1381" s="36"/>
      <c r="D1381" s="36"/>
      <c r="E1381" s="36"/>
      <c r="F1381" s="36"/>
      <c r="G1381" s="36"/>
      <c r="H1381" s="36"/>
      <c r="J1381" s="36"/>
      <c r="L1381" s="1" t="str">
        <f t="shared" si="113"/>
        <v/>
      </c>
      <c r="M1381" s="94">
        <v>1376</v>
      </c>
      <c r="N1381" s="36" t="s">
        <v>3037</v>
      </c>
      <c r="O1381" s="95">
        <v>311083</v>
      </c>
      <c r="P1381" s="36"/>
      <c r="AI1381" s="122">
        <v>1069</v>
      </c>
      <c r="AJ1381" s="1" t="s">
        <v>2730</v>
      </c>
      <c r="AK1381" s="1">
        <v>310776</v>
      </c>
      <c r="AL1381" s="1" t="s">
        <v>930</v>
      </c>
      <c r="AN1381" s="270">
        <v>475</v>
      </c>
      <c r="BS1381" s="1">
        <v>11008</v>
      </c>
      <c r="BT1381" s="1" t="s">
        <v>902</v>
      </c>
      <c r="BX1381" s="36"/>
    </row>
    <row r="1382" spans="2:76" ht="14.25">
      <c r="B1382" s="36"/>
      <c r="C1382" s="36"/>
      <c r="D1382" s="36"/>
      <c r="E1382" s="36"/>
      <c r="F1382" s="36"/>
      <c r="G1382" s="36"/>
      <c r="H1382" s="36"/>
      <c r="J1382" s="36"/>
      <c r="L1382" s="1" t="str">
        <f t="shared" si="113"/>
        <v/>
      </c>
      <c r="M1382" s="94">
        <v>1377</v>
      </c>
      <c r="N1382" s="36" t="s">
        <v>3038</v>
      </c>
      <c r="O1382" s="95">
        <v>311084</v>
      </c>
      <c r="P1382" s="36"/>
      <c r="AI1382" s="122">
        <v>1070</v>
      </c>
      <c r="AJ1382" s="1" t="s">
        <v>2731</v>
      </c>
      <c r="AK1382" s="1">
        <v>310777</v>
      </c>
      <c r="AL1382" s="1" t="s">
        <v>115</v>
      </c>
      <c r="AN1382" s="270">
        <v>476</v>
      </c>
      <c r="BS1382" s="1">
        <v>11009</v>
      </c>
      <c r="BT1382" s="1" t="s">
        <v>902</v>
      </c>
      <c r="BX1382" s="36"/>
    </row>
    <row r="1383" spans="2:76" ht="14.25">
      <c r="B1383" s="36"/>
      <c r="C1383" s="36"/>
      <c r="D1383" s="36"/>
      <c r="E1383" s="36"/>
      <c r="F1383" s="36"/>
      <c r="G1383" s="36"/>
      <c r="H1383" s="36"/>
      <c r="J1383" s="36"/>
      <c r="L1383" s="1" t="str">
        <f t="shared" si="113"/>
        <v/>
      </c>
      <c r="M1383" s="94">
        <v>1378</v>
      </c>
      <c r="N1383" s="36" t="s">
        <v>3039</v>
      </c>
      <c r="O1383" s="95">
        <v>311085</v>
      </c>
      <c r="P1383" s="36"/>
      <c r="AI1383" s="122">
        <v>1071</v>
      </c>
      <c r="AJ1383" s="1" t="s">
        <v>2732</v>
      </c>
      <c r="AK1383" s="1">
        <v>310778</v>
      </c>
      <c r="AL1383" s="1" t="s">
        <v>930</v>
      </c>
      <c r="AN1383" s="270">
        <v>477</v>
      </c>
      <c r="BS1383" s="1">
        <v>11010</v>
      </c>
      <c r="BT1383" s="1" t="s">
        <v>902</v>
      </c>
      <c r="BX1383" s="36"/>
    </row>
    <row r="1384" spans="2:76" ht="14.25">
      <c r="B1384" s="36"/>
      <c r="C1384" s="36"/>
      <c r="D1384" s="36"/>
      <c r="E1384" s="36"/>
      <c r="F1384" s="36"/>
      <c r="G1384" s="36"/>
      <c r="H1384" s="36"/>
      <c r="J1384" s="36"/>
      <c r="L1384" s="1" t="str">
        <f t="shared" si="113"/>
        <v/>
      </c>
      <c r="M1384" s="94">
        <v>1379</v>
      </c>
      <c r="N1384" s="36" t="s">
        <v>3040</v>
      </c>
      <c r="O1384" s="95">
        <v>311086</v>
      </c>
      <c r="P1384" s="36"/>
      <c r="AI1384" s="122">
        <v>1072</v>
      </c>
      <c r="AJ1384" s="1" t="s">
        <v>2733</v>
      </c>
      <c r="AK1384" s="1">
        <v>310779</v>
      </c>
      <c r="AL1384" s="1" t="s">
        <v>115</v>
      </c>
      <c r="AN1384" s="270">
        <v>478</v>
      </c>
      <c r="BS1384" s="1">
        <v>11011</v>
      </c>
      <c r="BT1384" s="1" t="s">
        <v>902</v>
      </c>
      <c r="BX1384" s="36"/>
    </row>
    <row r="1385" spans="2:76" ht="14.25">
      <c r="B1385" s="36"/>
      <c r="C1385" s="36"/>
      <c r="D1385" s="36"/>
      <c r="E1385" s="36"/>
      <c r="F1385" s="36"/>
      <c r="G1385" s="36"/>
      <c r="H1385" s="36"/>
      <c r="J1385" s="36"/>
      <c r="L1385" s="1" t="str">
        <f t="shared" si="113"/>
        <v/>
      </c>
      <c r="M1385" s="94">
        <v>1380</v>
      </c>
      <c r="N1385" s="36" t="s">
        <v>3041</v>
      </c>
      <c r="O1385" s="95">
        <v>311087</v>
      </c>
      <c r="P1385" s="36"/>
      <c r="AI1385" s="122">
        <v>1073</v>
      </c>
      <c r="AJ1385" s="1" t="s">
        <v>2734</v>
      </c>
      <c r="AK1385" s="1">
        <v>310780</v>
      </c>
      <c r="AL1385" s="1" t="s">
        <v>930</v>
      </c>
      <c r="AN1385" s="270">
        <v>479</v>
      </c>
      <c r="BS1385" s="1">
        <v>11012</v>
      </c>
      <c r="BT1385" s="1" t="s">
        <v>902</v>
      </c>
      <c r="BX1385" s="36"/>
    </row>
    <row r="1386" spans="2:76" ht="14.25">
      <c r="B1386" s="36"/>
      <c r="C1386" s="36"/>
      <c r="D1386" s="36"/>
      <c r="E1386" s="36"/>
      <c r="F1386" s="36"/>
      <c r="G1386" s="36"/>
      <c r="H1386" s="36"/>
      <c r="J1386" s="36"/>
      <c r="L1386" s="1" t="str">
        <f t="shared" si="113"/>
        <v/>
      </c>
      <c r="M1386" s="94">
        <v>1381</v>
      </c>
      <c r="N1386" s="36" t="s">
        <v>3042</v>
      </c>
      <c r="O1386" s="95">
        <v>311088</v>
      </c>
      <c r="P1386" s="36"/>
      <c r="AI1386" s="122">
        <v>1074</v>
      </c>
      <c r="AJ1386" s="1" t="s">
        <v>2735</v>
      </c>
      <c r="AK1386" s="1">
        <v>310781</v>
      </c>
      <c r="AL1386" s="1" t="s">
        <v>115</v>
      </c>
      <c r="AN1386" s="270">
        <v>480</v>
      </c>
      <c r="BS1386" s="1">
        <v>11013</v>
      </c>
      <c r="BT1386" s="1" t="s">
        <v>902</v>
      </c>
      <c r="BX1386" s="36"/>
    </row>
    <row r="1387" spans="2:76" ht="14.25">
      <c r="B1387" s="36"/>
      <c r="C1387" s="36"/>
      <c r="D1387" s="36"/>
      <c r="E1387" s="36"/>
      <c r="F1387" s="36"/>
      <c r="G1387" s="36"/>
      <c r="H1387" s="36"/>
      <c r="J1387" s="36"/>
      <c r="L1387" s="1" t="str">
        <f t="shared" si="113"/>
        <v/>
      </c>
      <c r="M1387" s="94">
        <v>1382</v>
      </c>
      <c r="N1387" s="36" t="s">
        <v>3043</v>
      </c>
      <c r="O1387" s="95">
        <v>311089</v>
      </c>
      <c r="P1387" s="36"/>
      <c r="AI1387" s="122">
        <v>1075</v>
      </c>
      <c r="AJ1387" s="1" t="s">
        <v>2736</v>
      </c>
      <c r="AK1387" s="1">
        <v>310782</v>
      </c>
      <c r="AL1387" s="1" t="s">
        <v>930</v>
      </c>
      <c r="AN1387" s="270">
        <v>481</v>
      </c>
      <c r="BS1387" s="1">
        <v>11014</v>
      </c>
      <c r="BT1387" s="1" t="s">
        <v>41</v>
      </c>
      <c r="BX1387" s="36"/>
    </row>
    <row r="1388" spans="2:76" ht="14.25">
      <c r="B1388" s="36"/>
      <c r="C1388" s="36"/>
      <c r="D1388" s="36"/>
      <c r="E1388" s="36"/>
      <c r="F1388" s="36"/>
      <c r="G1388" s="36"/>
      <c r="H1388" s="36"/>
      <c r="J1388" s="36"/>
      <c r="L1388" s="1" t="str">
        <f t="shared" si="113"/>
        <v/>
      </c>
      <c r="M1388" s="94">
        <v>1383</v>
      </c>
      <c r="N1388" s="36" t="s">
        <v>3044</v>
      </c>
      <c r="O1388" s="95">
        <v>311090</v>
      </c>
      <c r="P1388" s="36"/>
      <c r="AI1388" s="122">
        <v>1076</v>
      </c>
      <c r="AJ1388" s="1" t="s">
        <v>2737</v>
      </c>
      <c r="AK1388" s="1">
        <v>310783</v>
      </c>
      <c r="AL1388" s="1" t="s">
        <v>115</v>
      </c>
      <c r="AN1388" s="270">
        <v>482</v>
      </c>
      <c r="BS1388" s="1">
        <v>11015</v>
      </c>
      <c r="BT1388" s="1" t="s">
        <v>902</v>
      </c>
      <c r="BX1388" s="36"/>
    </row>
    <row r="1389" spans="2:76" ht="14.25">
      <c r="B1389" s="36"/>
      <c r="C1389" s="36"/>
      <c r="D1389" s="36"/>
      <c r="E1389" s="36"/>
      <c r="F1389" s="36"/>
      <c r="G1389" s="36"/>
      <c r="H1389" s="36"/>
      <c r="J1389" s="36"/>
      <c r="L1389" s="1" t="str">
        <f t="shared" si="113"/>
        <v/>
      </c>
      <c r="M1389" s="94">
        <v>1384</v>
      </c>
      <c r="N1389" s="36" t="s">
        <v>3045</v>
      </c>
      <c r="O1389" s="95">
        <v>311091</v>
      </c>
      <c r="P1389" s="36"/>
      <c r="AI1389" s="122">
        <v>1077</v>
      </c>
      <c r="AJ1389" s="1" t="s">
        <v>2738</v>
      </c>
      <c r="AK1389" s="1">
        <v>310784</v>
      </c>
      <c r="AL1389" s="1" t="s">
        <v>930</v>
      </c>
      <c r="AN1389" s="270">
        <v>483</v>
      </c>
      <c r="BS1389" s="1">
        <v>11016</v>
      </c>
      <c r="BT1389" s="1" t="s">
        <v>902</v>
      </c>
      <c r="BX1389" s="36"/>
    </row>
    <row r="1390" spans="2:76" ht="14.25">
      <c r="B1390" s="36"/>
      <c r="C1390" s="36"/>
      <c r="D1390" s="36"/>
      <c r="E1390" s="36"/>
      <c r="F1390" s="36"/>
      <c r="G1390" s="36"/>
      <c r="H1390" s="36"/>
      <c r="J1390" s="36"/>
      <c r="L1390" s="1" t="str">
        <f t="shared" si="113"/>
        <v/>
      </c>
      <c r="M1390" s="94">
        <v>1385</v>
      </c>
      <c r="N1390" s="36" t="s">
        <v>3046</v>
      </c>
      <c r="O1390" s="95">
        <v>311092</v>
      </c>
      <c r="P1390" s="36"/>
      <c r="AI1390" s="122">
        <v>1078</v>
      </c>
      <c r="AJ1390" s="1" t="s">
        <v>2739</v>
      </c>
      <c r="AK1390" s="1">
        <v>310785</v>
      </c>
      <c r="AL1390" s="1" t="s">
        <v>930</v>
      </c>
      <c r="AN1390" s="270">
        <v>484</v>
      </c>
      <c r="BS1390" s="1">
        <v>11017</v>
      </c>
      <c r="BT1390" s="1" t="s">
        <v>902</v>
      </c>
      <c r="BX1390" s="36"/>
    </row>
    <row r="1391" spans="2:76" ht="14.25">
      <c r="B1391" s="36"/>
      <c r="C1391" s="36"/>
      <c r="D1391" s="36"/>
      <c r="E1391" s="36"/>
      <c r="F1391" s="36"/>
      <c r="G1391" s="36"/>
      <c r="H1391" s="36"/>
      <c r="J1391" s="36"/>
      <c r="L1391" s="1" t="str">
        <f t="shared" si="113"/>
        <v/>
      </c>
      <c r="M1391" s="94">
        <v>1386</v>
      </c>
      <c r="N1391" s="36" t="s">
        <v>3047</v>
      </c>
      <c r="O1391" s="95">
        <v>311093</v>
      </c>
      <c r="P1391" s="36"/>
      <c r="AI1391" s="122">
        <v>1079</v>
      </c>
      <c r="AJ1391" s="1" t="s">
        <v>2740</v>
      </c>
      <c r="AK1391" s="1">
        <v>310786</v>
      </c>
      <c r="AL1391" s="1" t="s">
        <v>115</v>
      </c>
      <c r="AN1391" s="270">
        <v>485</v>
      </c>
      <c r="BS1391" s="1">
        <v>11018</v>
      </c>
      <c r="BT1391" s="1" t="s">
        <v>902</v>
      </c>
      <c r="BX1391" s="36"/>
    </row>
    <row r="1392" spans="2:76" ht="14.25">
      <c r="B1392" s="36"/>
      <c r="C1392" s="36"/>
      <c r="D1392" s="36"/>
      <c r="E1392" s="36"/>
      <c r="F1392" s="36"/>
      <c r="G1392" s="36"/>
      <c r="H1392" s="36"/>
      <c r="J1392" s="36"/>
      <c r="L1392" s="1" t="str">
        <f t="shared" si="113"/>
        <v/>
      </c>
      <c r="M1392" s="94">
        <v>1387</v>
      </c>
      <c r="N1392" s="36" t="s">
        <v>3048</v>
      </c>
      <c r="O1392" s="95">
        <v>311094</v>
      </c>
      <c r="P1392" s="36"/>
      <c r="AI1392" s="122">
        <v>1080</v>
      </c>
      <c r="AJ1392" s="1" t="s">
        <v>2741</v>
      </c>
      <c r="AK1392" s="1">
        <v>310787</v>
      </c>
      <c r="AL1392" s="1" t="s">
        <v>930</v>
      </c>
      <c r="AN1392" s="270">
        <v>486</v>
      </c>
      <c r="BS1392" s="1">
        <v>11019</v>
      </c>
      <c r="BT1392" s="1" t="s">
        <v>902</v>
      </c>
      <c r="BX1392" s="36"/>
    </row>
    <row r="1393" spans="2:76" ht="14.25">
      <c r="B1393" s="36"/>
      <c r="C1393" s="36"/>
      <c r="D1393" s="36"/>
      <c r="E1393" s="36"/>
      <c r="F1393" s="36"/>
      <c r="G1393" s="36"/>
      <c r="H1393" s="36"/>
      <c r="J1393" s="36"/>
      <c r="L1393" s="1" t="str">
        <f t="shared" si="113"/>
        <v/>
      </c>
      <c r="M1393" s="94">
        <v>1388</v>
      </c>
      <c r="N1393" s="36" t="s">
        <v>3049</v>
      </c>
      <c r="O1393" s="95">
        <v>311095</v>
      </c>
      <c r="P1393" s="36"/>
      <c r="AI1393" s="122">
        <v>1081</v>
      </c>
      <c r="AJ1393" s="1" t="s">
        <v>2742</v>
      </c>
      <c r="AK1393" s="1">
        <v>310788</v>
      </c>
      <c r="AL1393" s="1" t="s">
        <v>115</v>
      </c>
      <c r="AN1393" s="270">
        <v>487</v>
      </c>
      <c r="BS1393" s="1">
        <v>11020</v>
      </c>
      <c r="BT1393" s="1" t="s">
        <v>902</v>
      </c>
      <c r="BX1393" s="36"/>
    </row>
    <row r="1394" spans="2:76" ht="14.25">
      <c r="B1394" s="36"/>
      <c r="C1394" s="36"/>
      <c r="D1394" s="36"/>
      <c r="E1394" s="36"/>
      <c r="F1394" s="36"/>
      <c r="G1394" s="36"/>
      <c r="H1394" s="36"/>
      <c r="J1394" s="36"/>
      <c r="L1394" s="1" t="str">
        <f t="shared" si="113"/>
        <v/>
      </c>
      <c r="M1394" s="94">
        <v>1389</v>
      </c>
      <c r="N1394" s="36" t="s">
        <v>3050</v>
      </c>
      <c r="O1394" s="95">
        <v>311096</v>
      </c>
      <c r="P1394" s="36"/>
      <c r="AI1394" s="122">
        <v>1082</v>
      </c>
      <c r="AJ1394" s="1" t="s">
        <v>2743</v>
      </c>
      <c r="AK1394" s="1">
        <v>310789</v>
      </c>
      <c r="AL1394" s="1" t="s">
        <v>930</v>
      </c>
      <c r="AN1394" s="270">
        <v>488</v>
      </c>
      <c r="BS1394" s="1">
        <v>11021</v>
      </c>
      <c r="BT1394" s="1" t="s">
        <v>902</v>
      </c>
      <c r="BX1394" s="36"/>
    </row>
    <row r="1395" spans="2:76" ht="14.25">
      <c r="B1395" s="36"/>
      <c r="C1395" s="36"/>
      <c r="D1395" s="36"/>
      <c r="E1395" s="36"/>
      <c r="F1395" s="36"/>
      <c r="G1395" s="36"/>
      <c r="H1395" s="36"/>
      <c r="J1395" s="36"/>
      <c r="L1395" s="1" t="str">
        <f t="shared" si="113"/>
        <v/>
      </c>
      <c r="M1395" s="94">
        <v>1390</v>
      </c>
      <c r="N1395" s="36" t="s">
        <v>3051</v>
      </c>
      <c r="O1395" s="95">
        <v>311097</v>
      </c>
      <c r="P1395" s="36"/>
      <c r="AI1395" s="122">
        <v>1083</v>
      </c>
      <c r="AJ1395" s="1" t="s">
        <v>2744</v>
      </c>
      <c r="AK1395" s="1">
        <v>310790</v>
      </c>
      <c r="AL1395" s="1" t="s">
        <v>115</v>
      </c>
      <c r="AN1395" s="270">
        <v>489</v>
      </c>
      <c r="BS1395" s="1">
        <v>11022</v>
      </c>
      <c r="BT1395" s="1" t="s">
        <v>902</v>
      </c>
      <c r="BX1395" s="36"/>
    </row>
    <row r="1396" spans="2:76" ht="14.25">
      <c r="B1396" s="36"/>
      <c r="C1396" s="36"/>
      <c r="D1396" s="36"/>
      <c r="E1396" s="36"/>
      <c r="F1396" s="36"/>
      <c r="G1396" s="36"/>
      <c r="H1396" s="36"/>
      <c r="J1396" s="36"/>
      <c r="L1396" s="1" t="str">
        <f t="shared" si="113"/>
        <v/>
      </c>
      <c r="M1396" s="94">
        <v>1391</v>
      </c>
      <c r="N1396" s="36" t="s">
        <v>3052</v>
      </c>
      <c r="O1396" s="95">
        <v>311098</v>
      </c>
      <c r="P1396" s="36"/>
      <c r="AI1396" s="122">
        <v>1084</v>
      </c>
      <c r="AJ1396" s="1" t="s">
        <v>2745</v>
      </c>
      <c r="AK1396" s="1">
        <v>310791</v>
      </c>
      <c r="AL1396" s="1" t="s">
        <v>930</v>
      </c>
      <c r="AN1396" s="270">
        <v>490</v>
      </c>
      <c r="BS1396" s="1">
        <v>11023</v>
      </c>
      <c r="BT1396" s="1" t="s">
        <v>893</v>
      </c>
      <c r="BX1396" s="36"/>
    </row>
    <row r="1397" spans="2:76" ht="14.25">
      <c r="B1397" s="36"/>
      <c r="C1397" s="36"/>
      <c r="D1397" s="36"/>
      <c r="E1397" s="36"/>
      <c r="F1397" s="36"/>
      <c r="G1397" s="36"/>
      <c r="H1397" s="36"/>
      <c r="J1397" s="36"/>
      <c r="L1397" s="1" t="str">
        <f t="shared" si="113"/>
        <v/>
      </c>
      <c r="M1397" s="94">
        <v>1392</v>
      </c>
      <c r="N1397" s="36" t="s">
        <v>3053</v>
      </c>
      <c r="O1397" s="95">
        <v>311099</v>
      </c>
      <c r="P1397" s="36"/>
      <c r="AI1397" s="122">
        <v>1085</v>
      </c>
      <c r="AJ1397" s="1" t="s">
        <v>2746</v>
      </c>
      <c r="AK1397" s="1">
        <v>310792</v>
      </c>
      <c r="AL1397" s="1" t="s">
        <v>930</v>
      </c>
      <c r="AN1397" s="270">
        <v>491</v>
      </c>
      <c r="BS1397" s="1">
        <v>11024</v>
      </c>
      <c r="BT1397" s="1" t="s">
        <v>40</v>
      </c>
      <c r="BX1397" s="36"/>
    </row>
    <row r="1398" spans="2:76" ht="14.25">
      <c r="B1398" s="36"/>
      <c r="C1398" s="36"/>
      <c r="D1398" s="36"/>
      <c r="E1398" s="36"/>
      <c r="F1398" s="36"/>
      <c r="G1398" s="36"/>
      <c r="H1398" s="36"/>
      <c r="J1398" s="36"/>
      <c r="L1398" s="1" t="str">
        <f t="shared" si="113"/>
        <v/>
      </c>
      <c r="M1398" s="94">
        <v>1393</v>
      </c>
      <c r="N1398" s="36" t="s">
        <v>3054</v>
      </c>
      <c r="O1398" s="95">
        <v>311100</v>
      </c>
      <c r="P1398" s="36"/>
      <c r="AI1398" s="122">
        <v>1086</v>
      </c>
      <c r="AJ1398" s="1" t="s">
        <v>2747</v>
      </c>
      <c r="AK1398" s="1">
        <v>310793</v>
      </c>
      <c r="AL1398" s="1" t="s">
        <v>115</v>
      </c>
      <c r="AN1398" s="270">
        <v>492</v>
      </c>
      <c r="BS1398" s="1">
        <v>11025</v>
      </c>
      <c r="BT1398" s="1" t="s">
        <v>902</v>
      </c>
      <c r="BX1398" s="36"/>
    </row>
    <row r="1399" spans="2:76" ht="14.25">
      <c r="B1399" s="36"/>
      <c r="C1399" s="36"/>
      <c r="D1399" s="36"/>
      <c r="E1399" s="36"/>
      <c r="F1399" s="36"/>
      <c r="G1399" s="36"/>
      <c r="H1399" s="36"/>
      <c r="J1399" s="36"/>
      <c r="L1399" s="1" t="str">
        <f t="shared" si="113"/>
        <v/>
      </c>
      <c r="M1399" s="94">
        <v>1394</v>
      </c>
      <c r="N1399" s="36" t="s">
        <v>3055</v>
      </c>
      <c r="O1399" s="95">
        <v>311101</v>
      </c>
      <c r="P1399" s="36"/>
      <c r="AI1399" s="122">
        <v>1087</v>
      </c>
      <c r="AJ1399" s="1" t="s">
        <v>2748</v>
      </c>
      <c r="AK1399" s="1">
        <v>310794</v>
      </c>
      <c r="AL1399" s="1" t="s">
        <v>930</v>
      </c>
      <c r="AN1399" s="270">
        <v>493</v>
      </c>
      <c r="BS1399" s="1">
        <v>11026</v>
      </c>
      <c r="BT1399" s="1" t="s">
        <v>902</v>
      </c>
      <c r="BX1399" s="36"/>
    </row>
    <row r="1400" spans="2:76" ht="14.25">
      <c r="B1400" s="36"/>
      <c r="C1400" s="36"/>
      <c r="D1400" s="36"/>
      <c r="E1400" s="36"/>
      <c r="F1400" s="36"/>
      <c r="G1400" s="36"/>
      <c r="H1400" s="36"/>
      <c r="J1400" s="36"/>
      <c r="L1400" s="1" t="str">
        <f t="shared" si="113"/>
        <v/>
      </c>
      <c r="M1400" s="94">
        <v>1395</v>
      </c>
      <c r="N1400" s="36" t="s">
        <v>3056</v>
      </c>
      <c r="O1400" s="95">
        <v>311102</v>
      </c>
      <c r="P1400" s="36"/>
      <c r="AI1400" s="122">
        <v>1088</v>
      </c>
      <c r="AJ1400" s="1" t="s">
        <v>2749</v>
      </c>
      <c r="AK1400" s="1">
        <v>310795</v>
      </c>
      <c r="AL1400" s="1" t="s">
        <v>115</v>
      </c>
      <c r="AN1400" s="270">
        <v>494</v>
      </c>
      <c r="BS1400" s="1">
        <v>11027</v>
      </c>
      <c r="BT1400" s="1" t="s">
        <v>155</v>
      </c>
      <c r="BX1400" s="36"/>
    </row>
    <row r="1401" spans="2:76" ht="14.25">
      <c r="B1401" s="36"/>
      <c r="C1401" s="36"/>
      <c r="D1401" s="36"/>
      <c r="E1401" s="36"/>
      <c r="F1401" s="36"/>
      <c r="G1401" s="36"/>
      <c r="H1401" s="36"/>
      <c r="J1401" s="36"/>
      <c r="L1401" s="1" t="str">
        <f t="shared" si="113"/>
        <v/>
      </c>
      <c r="M1401" s="94">
        <v>1396</v>
      </c>
      <c r="N1401" s="36" t="s">
        <v>3057</v>
      </c>
      <c r="O1401" s="95">
        <v>311103</v>
      </c>
      <c r="P1401" s="36"/>
      <c r="AI1401" s="122">
        <v>1089</v>
      </c>
      <c r="AJ1401" s="1" t="s">
        <v>2750</v>
      </c>
      <c r="AK1401" s="1">
        <v>310796</v>
      </c>
      <c r="AL1401" s="1" t="s">
        <v>930</v>
      </c>
      <c r="AN1401" s="270">
        <v>495</v>
      </c>
      <c r="BS1401" s="1">
        <v>11028</v>
      </c>
      <c r="BT1401" s="1" t="s">
        <v>902</v>
      </c>
      <c r="BX1401" s="36"/>
    </row>
    <row r="1402" spans="2:76" ht="14.25">
      <c r="B1402" s="36"/>
      <c r="C1402" s="36"/>
      <c r="D1402" s="36"/>
      <c r="E1402" s="36"/>
      <c r="F1402" s="36"/>
      <c r="G1402" s="36"/>
      <c r="H1402" s="36"/>
      <c r="J1402" s="36"/>
      <c r="L1402" s="1" t="str">
        <f t="shared" si="113"/>
        <v/>
      </c>
      <c r="M1402" s="94">
        <v>1397</v>
      </c>
      <c r="N1402" s="36" t="s">
        <v>3058</v>
      </c>
      <c r="O1402" s="95">
        <v>311104</v>
      </c>
      <c r="P1402" s="36"/>
      <c r="AI1402" s="122">
        <v>1090</v>
      </c>
      <c r="AJ1402" s="1" t="s">
        <v>2751</v>
      </c>
      <c r="AK1402" s="1">
        <v>310797</v>
      </c>
      <c r="AL1402" s="1" t="s">
        <v>115</v>
      </c>
      <c r="AN1402" s="270">
        <v>496</v>
      </c>
      <c r="BS1402" s="1">
        <v>11029</v>
      </c>
      <c r="BT1402" s="1" t="s">
        <v>2428</v>
      </c>
      <c r="BX1402" s="36"/>
    </row>
    <row r="1403" spans="2:76" ht="14.25">
      <c r="B1403" s="36"/>
      <c r="C1403" s="36"/>
      <c r="D1403" s="36"/>
      <c r="E1403" s="36"/>
      <c r="F1403" s="36"/>
      <c r="G1403" s="36"/>
      <c r="H1403" s="36"/>
      <c r="J1403" s="36"/>
      <c r="L1403" s="1" t="str">
        <f t="shared" si="113"/>
        <v/>
      </c>
      <c r="M1403" s="94">
        <v>1398</v>
      </c>
      <c r="N1403" s="36" t="s">
        <v>3059</v>
      </c>
      <c r="O1403" s="95">
        <v>311105</v>
      </c>
      <c r="P1403" s="36"/>
      <c r="AI1403" s="122">
        <v>1091</v>
      </c>
      <c r="AJ1403" s="1" t="s">
        <v>2752</v>
      </c>
      <c r="AK1403" s="1">
        <v>310798</v>
      </c>
      <c r="AL1403" s="1" t="s">
        <v>930</v>
      </c>
      <c r="AN1403" s="270">
        <v>497</v>
      </c>
      <c r="BS1403" s="1">
        <v>11030</v>
      </c>
      <c r="BT1403" s="1" t="s">
        <v>902</v>
      </c>
      <c r="BX1403" s="36"/>
    </row>
    <row r="1404" spans="2:76" ht="14.25">
      <c r="B1404" s="36"/>
      <c r="C1404" s="36"/>
      <c r="D1404" s="36"/>
      <c r="E1404" s="36"/>
      <c r="F1404" s="36"/>
      <c r="G1404" s="36"/>
      <c r="H1404" s="36"/>
      <c r="J1404" s="36"/>
      <c r="L1404" s="1" t="str">
        <f t="shared" si="113"/>
        <v/>
      </c>
      <c r="M1404" s="94">
        <v>1399</v>
      </c>
      <c r="N1404" s="36" t="s">
        <v>3060</v>
      </c>
      <c r="O1404" s="95">
        <v>311106</v>
      </c>
      <c r="P1404" s="36"/>
      <c r="AI1404" s="122">
        <v>1092</v>
      </c>
      <c r="AJ1404" s="1" t="s">
        <v>2753</v>
      </c>
      <c r="AK1404" s="1">
        <v>310799</v>
      </c>
      <c r="AL1404" s="1" t="s">
        <v>930</v>
      </c>
      <c r="AN1404" s="270">
        <v>498</v>
      </c>
      <c r="BS1404" s="1">
        <v>11031</v>
      </c>
      <c r="BT1404" s="1" t="s">
        <v>902</v>
      </c>
      <c r="BX1404" s="36"/>
    </row>
    <row r="1405" spans="2:76" ht="14.25">
      <c r="B1405" s="36"/>
      <c r="C1405" s="36"/>
      <c r="D1405" s="36"/>
      <c r="E1405" s="36"/>
      <c r="F1405" s="36"/>
      <c r="G1405" s="36"/>
      <c r="H1405" s="36"/>
      <c r="J1405" s="36"/>
      <c r="L1405" s="1" t="str">
        <f t="shared" si="113"/>
        <v/>
      </c>
      <c r="M1405" s="94">
        <v>1400</v>
      </c>
      <c r="N1405" s="36" t="s">
        <v>3061</v>
      </c>
      <c r="O1405" s="95">
        <v>311107</v>
      </c>
      <c r="P1405" s="36"/>
      <c r="AI1405" s="122">
        <v>1093</v>
      </c>
      <c r="AJ1405" s="1" t="s">
        <v>2754</v>
      </c>
      <c r="AK1405" s="1">
        <v>310800</v>
      </c>
      <c r="AL1405" s="1" t="s">
        <v>115</v>
      </c>
      <c r="AN1405" s="270">
        <v>499</v>
      </c>
      <c r="BS1405" s="1">
        <v>11032</v>
      </c>
      <c r="BT1405" s="1" t="s">
        <v>902</v>
      </c>
      <c r="BX1405" s="36"/>
    </row>
    <row r="1406" spans="2:76" ht="14.25">
      <c r="B1406" s="36"/>
      <c r="C1406" s="36"/>
      <c r="D1406" s="36"/>
      <c r="E1406" s="36"/>
      <c r="F1406" s="36"/>
      <c r="G1406" s="36"/>
      <c r="H1406" s="36"/>
      <c r="J1406" s="36"/>
      <c r="L1406" s="1" t="str">
        <f t="shared" si="113"/>
        <v/>
      </c>
      <c r="M1406" s="94">
        <v>1401</v>
      </c>
      <c r="N1406" s="36" t="s">
        <v>3062</v>
      </c>
      <c r="O1406" s="95">
        <v>311108</v>
      </c>
      <c r="P1406" s="36"/>
      <c r="AI1406" s="122">
        <v>1094</v>
      </c>
      <c r="AJ1406" s="1" t="s">
        <v>2755</v>
      </c>
      <c r="AK1406" s="1">
        <v>310801</v>
      </c>
      <c r="AL1406" s="1" t="s">
        <v>930</v>
      </c>
      <c r="AN1406" s="270">
        <v>500</v>
      </c>
      <c r="BS1406" s="1">
        <v>11033</v>
      </c>
      <c r="BT1406" s="1" t="s">
        <v>902</v>
      </c>
      <c r="BX1406" s="36"/>
    </row>
    <row r="1407" spans="2:76" ht="14.25">
      <c r="B1407" s="36"/>
      <c r="C1407" s="36"/>
      <c r="D1407" s="36"/>
      <c r="E1407" s="36"/>
      <c r="F1407" s="36"/>
      <c r="G1407" s="36"/>
      <c r="H1407" s="36"/>
      <c r="J1407" s="36"/>
      <c r="L1407" s="1" t="str">
        <f t="shared" si="113"/>
        <v/>
      </c>
      <c r="M1407" s="94">
        <v>1402</v>
      </c>
      <c r="N1407" s="36" t="s">
        <v>3063</v>
      </c>
      <c r="O1407" s="95">
        <v>311109</v>
      </c>
      <c r="P1407" s="36"/>
      <c r="AI1407" s="122">
        <v>1095</v>
      </c>
      <c r="AJ1407" s="1" t="s">
        <v>2756</v>
      </c>
      <c r="AK1407" s="1">
        <v>310802</v>
      </c>
      <c r="AL1407" s="1" t="s">
        <v>115</v>
      </c>
      <c r="AN1407" s="270">
        <v>501</v>
      </c>
      <c r="BS1407" s="1">
        <v>11034</v>
      </c>
      <c r="BT1407" s="1" t="s">
        <v>41</v>
      </c>
      <c r="BX1407" s="36"/>
    </row>
    <row r="1408" spans="2:76" ht="14.25">
      <c r="B1408" s="36"/>
      <c r="C1408" s="36"/>
      <c r="D1408" s="36"/>
      <c r="E1408" s="36"/>
      <c r="F1408" s="36"/>
      <c r="G1408" s="36"/>
      <c r="H1408" s="36"/>
      <c r="J1408" s="36"/>
      <c r="L1408" s="1" t="str">
        <f t="shared" si="113"/>
        <v/>
      </c>
      <c r="M1408" s="94">
        <v>1403</v>
      </c>
      <c r="N1408" s="36" t="s">
        <v>3064</v>
      </c>
      <c r="O1408" s="95">
        <v>311110</v>
      </c>
      <c r="P1408" s="36"/>
      <c r="AI1408" s="122">
        <v>1096</v>
      </c>
      <c r="AJ1408" s="1" t="s">
        <v>2757</v>
      </c>
      <c r="AK1408" s="1">
        <v>310803</v>
      </c>
      <c r="AL1408" s="1" t="s">
        <v>930</v>
      </c>
      <c r="AN1408" s="270">
        <v>502</v>
      </c>
      <c r="BS1408" s="1">
        <v>11035</v>
      </c>
      <c r="BT1408" s="1" t="s">
        <v>902</v>
      </c>
      <c r="BX1408" s="36"/>
    </row>
    <row r="1409" spans="2:76" ht="14.25">
      <c r="B1409" s="36"/>
      <c r="C1409" s="36"/>
      <c r="D1409" s="36"/>
      <c r="E1409" s="36"/>
      <c r="F1409" s="36"/>
      <c r="G1409" s="36"/>
      <c r="H1409" s="36"/>
      <c r="J1409" s="36"/>
      <c r="L1409" s="1" t="str">
        <f t="shared" si="113"/>
        <v/>
      </c>
      <c r="M1409" s="94">
        <v>1404</v>
      </c>
      <c r="N1409" s="36" t="s">
        <v>3065</v>
      </c>
      <c r="O1409" s="95">
        <v>311111</v>
      </c>
      <c r="P1409" s="36"/>
      <c r="AI1409" s="122">
        <v>1097</v>
      </c>
      <c r="AJ1409" s="1" t="s">
        <v>2758</v>
      </c>
      <c r="AK1409" s="1">
        <v>310804</v>
      </c>
      <c r="AL1409" s="1" t="s">
        <v>115</v>
      </c>
      <c r="AN1409" s="270">
        <v>503</v>
      </c>
      <c r="BS1409" s="1">
        <v>11036</v>
      </c>
      <c r="BT1409" s="1" t="s">
        <v>902</v>
      </c>
      <c r="BX1409" s="36"/>
    </row>
    <row r="1410" spans="2:76" ht="14.25">
      <c r="B1410" s="36"/>
      <c r="C1410" s="36"/>
      <c r="D1410" s="36"/>
      <c r="E1410" s="36"/>
      <c r="F1410" s="36"/>
      <c r="G1410" s="36"/>
      <c r="H1410" s="36"/>
      <c r="J1410" s="36"/>
      <c r="L1410" s="1" t="str">
        <f t="shared" si="113"/>
        <v/>
      </c>
      <c r="M1410" s="94">
        <v>1405</v>
      </c>
      <c r="N1410" s="36" t="s">
        <v>3066</v>
      </c>
      <c r="O1410" s="95">
        <v>311112</v>
      </c>
      <c r="P1410" s="36"/>
      <c r="AI1410" s="122">
        <v>1098</v>
      </c>
      <c r="AJ1410" s="1" t="s">
        <v>2759</v>
      </c>
      <c r="AK1410" s="1">
        <v>310805</v>
      </c>
      <c r="AL1410" s="1" t="s">
        <v>930</v>
      </c>
      <c r="AN1410" s="270">
        <v>504</v>
      </c>
      <c r="BS1410" s="1">
        <v>11037</v>
      </c>
      <c r="BT1410" s="1" t="s">
        <v>902</v>
      </c>
      <c r="BX1410" s="36"/>
    </row>
    <row r="1411" spans="2:76" ht="14.25">
      <c r="B1411" s="36"/>
      <c r="C1411" s="36"/>
      <c r="D1411" s="36"/>
      <c r="E1411" s="36"/>
      <c r="F1411" s="36"/>
      <c r="G1411" s="36"/>
      <c r="H1411" s="36"/>
      <c r="J1411" s="36"/>
      <c r="L1411" s="1" t="str">
        <f t="shared" si="113"/>
        <v/>
      </c>
      <c r="M1411" s="94">
        <v>1406</v>
      </c>
      <c r="N1411" s="36" t="s">
        <v>3067</v>
      </c>
      <c r="O1411" s="95">
        <v>311113</v>
      </c>
      <c r="P1411" s="36"/>
      <c r="AI1411" s="122">
        <v>1099</v>
      </c>
      <c r="AJ1411" s="1" t="s">
        <v>2760</v>
      </c>
      <c r="AK1411" s="1">
        <v>310806</v>
      </c>
      <c r="AL1411" s="1" t="s">
        <v>930</v>
      </c>
      <c r="AN1411" s="270">
        <v>505</v>
      </c>
      <c r="BS1411" s="1">
        <v>11038</v>
      </c>
      <c r="BT1411" s="1" t="s">
        <v>902</v>
      </c>
      <c r="BX1411" s="36"/>
    </row>
    <row r="1412" spans="2:76" ht="14.25">
      <c r="B1412" s="36"/>
      <c r="C1412" s="36"/>
      <c r="D1412" s="36"/>
      <c r="E1412" s="36"/>
      <c r="F1412" s="36"/>
      <c r="G1412" s="36"/>
      <c r="H1412" s="36"/>
      <c r="J1412" s="36"/>
      <c r="L1412" s="1" t="str">
        <f t="shared" ref="L1412:L1475" si="114">IF(AND(MIN(I:I)&lt;20,MAX(I:I)&gt;980,I1412&lt;20),I1412,"")</f>
        <v/>
      </c>
      <c r="M1412" s="94">
        <v>1407</v>
      </c>
      <c r="N1412" s="36" t="s">
        <v>3068</v>
      </c>
      <c r="O1412" s="95">
        <v>311114</v>
      </c>
      <c r="P1412" s="36"/>
      <c r="AI1412" s="122">
        <v>1100</v>
      </c>
      <c r="AJ1412" s="1" t="s">
        <v>2761</v>
      </c>
      <c r="AK1412" s="1">
        <v>310807</v>
      </c>
      <c r="AL1412" s="1" t="s">
        <v>115</v>
      </c>
      <c r="AN1412" s="270">
        <v>506</v>
      </c>
      <c r="BS1412" s="1">
        <v>11039</v>
      </c>
      <c r="BT1412" s="1" t="s">
        <v>902</v>
      </c>
      <c r="BX1412" s="36"/>
    </row>
    <row r="1413" spans="2:76" ht="14.25">
      <c r="B1413" s="36"/>
      <c r="C1413" s="36"/>
      <c r="D1413" s="36"/>
      <c r="E1413" s="36"/>
      <c r="F1413" s="36"/>
      <c r="G1413" s="36"/>
      <c r="H1413" s="36"/>
      <c r="J1413" s="36"/>
      <c r="L1413" s="1" t="str">
        <f t="shared" si="114"/>
        <v/>
      </c>
      <c r="M1413" s="94">
        <v>1408</v>
      </c>
      <c r="N1413" s="36" t="s">
        <v>3069</v>
      </c>
      <c r="O1413" s="95">
        <v>311115</v>
      </c>
      <c r="P1413" s="36"/>
      <c r="AI1413" s="122">
        <v>1101</v>
      </c>
      <c r="AJ1413" s="1" t="s">
        <v>2762</v>
      </c>
      <c r="AK1413" s="1">
        <v>310808</v>
      </c>
      <c r="AL1413" s="1" t="s">
        <v>930</v>
      </c>
      <c r="AN1413" s="270">
        <v>507</v>
      </c>
      <c r="BS1413" s="1">
        <v>11040</v>
      </c>
      <c r="BT1413" s="1" t="s">
        <v>902</v>
      </c>
      <c r="BX1413" s="36"/>
    </row>
    <row r="1414" spans="2:76" ht="14.25">
      <c r="B1414" s="36"/>
      <c r="C1414" s="36"/>
      <c r="D1414" s="36"/>
      <c r="E1414" s="36"/>
      <c r="F1414" s="36"/>
      <c r="G1414" s="36"/>
      <c r="H1414" s="36"/>
      <c r="J1414" s="36"/>
      <c r="L1414" s="1" t="str">
        <f t="shared" si="114"/>
        <v/>
      </c>
      <c r="M1414" s="94">
        <v>1409</v>
      </c>
      <c r="N1414" s="36" t="s">
        <v>3070</v>
      </c>
      <c r="O1414" s="95">
        <v>311116</v>
      </c>
      <c r="P1414" s="36"/>
      <c r="AI1414" s="122">
        <v>1102</v>
      </c>
      <c r="AJ1414" s="1" t="s">
        <v>2763</v>
      </c>
      <c r="AK1414" s="1">
        <v>310809</v>
      </c>
      <c r="AL1414" s="1" t="s">
        <v>115</v>
      </c>
      <c r="AN1414" s="270">
        <v>508</v>
      </c>
      <c r="BS1414" s="1">
        <v>11041</v>
      </c>
      <c r="BT1414" s="1" t="s">
        <v>902</v>
      </c>
      <c r="BX1414" s="36"/>
    </row>
    <row r="1415" spans="2:76" ht="14.25">
      <c r="B1415" s="36"/>
      <c r="C1415" s="36"/>
      <c r="D1415" s="36"/>
      <c r="E1415" s="36"/>
      <c r="F1415" s="36"/>
      <c r="G1415" s="36"/>
      <c r="H1415" s="36"/>
      <c r="J1415" s="36"/>
      <c r="L1415" s="1" t="str">
        <f t="shared" si="114"/>
        <v/>
      </c>
      <c r="M1415" s="94">
        <v>1410</v>
      </c>
      <c r="N1415" s="36" t="s">
        <v>3071</v>
      </c>
      <c r="O1415" s="95">
        <v>311117</v>
      </c>
      <c r="P1415" s="36"/>
      <c r="AI1415" s="122">
        <v>1103</v>
      </c>
      <c r="AJ1415" s="1" t="s">
        <v>2764</v>
      </c>
      <c r="AK1415" s="1">
        <v>310810</v>
      </c>
      <c r="AL1415" s="1" t="s">
        <v>930</v>
      </c>
      <c r="AN1415" s="270">
        <v>509</v>
      </c>
      <c r="BS1415" s="1">
        <v>11042</v>
      </c>
      <c r="BT1415" s="1" t="s">
        <v>902</v>
      </c>
      <c r="BX1415" s="36"/>
    </row>
    <row r="1416" spans="2:76" ht="14.25">
      <c r="B1416" s="36"/>
      <c r="C1416" s="36"/>
      <c r="D1416" s="36"/>
      <c r="E1416" s="36"/>
      <c r="F1416" s="36"/>
      <c r="G1416" s="36"/>
      <c r="H1416" s="36"/>
      <c r="J1416" s="36"/>
      <c r="L1416" s="1" t="str">
        <f t="shared" si="114"/>
        <v/>
      </c>
      <c r="M1416" s="94">
        <v>1411</v>
      </c>
      <c r="N1416" s="36" t="s">
        <v>3072</v>
      </c>
      <c r="O1416" s="95">
        <v>311118</v>
      </c>
      <c r="P1416" s="36"/>
      <c r="AI1416" s="122">
        <v>1104</v>
      </c>
      <c r="AJ1416" s="1" t="s">
        <v>2765</v>
      </c>
      <c r="AK1416" s="1">
        <v>310811</v>
      </c>
      <c r="AL1416" s="1" t="s">
        <v>115</v>
      </c>
      <c r="AN1416" s="270">
        <v>510</v>
      </c>
      <c r="BS1416" s="1">
        <v>11043</v>
      </c>
      <c r="BT1416" s="1" t="s">
        <v>902</v>
      </c>
      <c r="BX1416" s="36"/>
    </row>
    <row r="1417" spans="2:76" ht="14.25">
      <c r="B1417" s="36"/>
      <c r="C1417" s="36"/>
      <c r="D1417" s="36"/>
      <c r="E1417" s="36"/>
      <c r="F1417" s="36"/>
      <c r="G1417" s="36"/>
      <c r="H1417" s="36"/>
      <c r="J1417" s="36"/>
      <c r="L1417" s="1" t="str">
        <f t="shared" si="114"/>
        <v/>
      </c>
      <c r="M1417" s="94">
        <v>1412</v>
      </c>
      <c r="N1417" s="36" t="s">
        <v>3073</v>
      </c>
      <c r="O1417" s="95">
        <v>311119</v>
      </c>
      <c r="P1417" s="36"/>
      <c r="AI1417" s="122">
        <v>1105</v>
      </c>
      <c r="AJ1417" s="1" t="s">
        <v>2766</v>
      </c>
      <c r="AK1417" s="1">
        <v>310812</v>
      </c>
      <c r="AL1417" s="1" t="s">
        <v>930</v>
      </c>
      <c r="AN1417" s="270">
        <v>511</v>
      </c>
      <c r="BS1417" s="1">
        <v>11044</v>
      </c>
      <c r="BT1417" s="1" t="s">
        <v>40</v>
      </c>
      <c r="BX1417" s="36"/>
    </row>
    <row r="1418" spans="2:76" ht="14.25">
      <c r="B1418" s="36"/>
      <c r="C1418" s="36"/>
      <c r="D1418" s="36"/>
      <c r="E1418" s="36"/>
      <c r="F1418" s="36"/>
      <c r="G1418" s="36"/>
      <c r="H1418" s="36"/>
      <c r="J1418" s="36"/>
      <c r="L1418" s="1" t="str">
        <f t="shared" si="114"/>
        <v/>
      </c>
      <c r="M1418" s="94">
        <v>1413</v>
      </c>
      <c r="N1418" s="36" t="s">
        <v>3074</v>
      </c>
      <c r="O1418" s="95">
        <v>311120</v>
      </c>
      <c r="P1418" s="36"/>
      <c r="AI1418" s="122">
        <v>1106</v>
      </c>
      <c r="AJ1418" s="1" t="s">
        <v>2767</v>
      </c>
      <c r="AK1418" s="1">
        <v>310813</v>
      </c>
      <c r="AL1418" s="1" t="s">
        <v>930</v>
      </c>
      <c r="AN1418" s="270">
        <v>512</v>
      </c>
      <c r="BS1418" s="1">
        <v>11045</v>
      </c>
      <c r="BT1418" s="1" t="s">
        <v>902</v>
      </c>
      <c r="BX1418" s="36"/>
    </row>
    <row r="1419" spans="2:76" ht="14.25">
      <c r="B1419" s="36"/>
      <c r="C1419" s="36"/>
      <c r="D1419" s="36"/>
      <c r="E1419" s="36"/>
      <c r="F1419" s="36"/>
      <c r="G1419" s="36"/>
      <c r="H1419" s="36"/>
      <c r="J1419" s="36"/>
      <c r="L1419" s="1" t="str">
        <f t="shared" si="114"/>
        <v/>
      </c>
      <c r="M1419" s="94">
        <v>1414</v>
      </c>
      <c r="N1419" s="36" t="s">
        <v>3075</v>
      </c>
      <c r="O1419" s="95">
        <v>311121</v>
      </c>
      <c r="P1419" s="36"/>
      <c r="AI1419" s="122">
        <v>1107</v>
      </c>
      <c r="AJ1419" s="1" t="s">
        <v>2768</v>
      </c>
      <c r="AK1419" s="1">
        <v>310814</v>
      </c>
      <c r="AL1419" s="1" t="s">
        <v>115</v>
      </c>
      <c r="AN1419" s="270">
        <v>513</v>
      </c>
      <c r="BS1419" s="1">
        <v>11046</v>
      </c>
      <c r="BT1419" s="1" t="s">
        <v>155</v>
      </c>
      <c r="BX1419" s="36"/>
    </row>
    <row r="1420" spans="2:76" ht="14.25">
      <c r="B1420" s="36"/>
      <c r="C1420" s="36"/>
      <c r="D1420" s="36"/>
      <c r="E1420" s="36"/>
      <c r="F1420" s="36"/>
      <c r="G1420" s="36"/>
      <c r="H1420" s="36"/>
      <c r="J1420" s="36"/>
      <c r="L1420" s="1" t="str">
        <f t="shared" si="114"/>
        <v/>
      </c>
      <c r="M1420" s="94">
        <v>1415</v>
      </c>
      <c r="N1420" s="36" t="s">
        <v>3076</v>
      </c>
      <c r="O1420" s="95">
        <v>311122</v>
      </c>
      <c r="P1420" s="36"/>
      <c r="AI1420" s="122">
        <v>1108</v>
      </c>
      <c r="AJ1420" s="1" t="s">
        <v>2769</v>
      </c>
      <c r="AK1420" s="1">
        <v>310815</v>
      </c>
      <c r="AL1420" s="1" t="s">
        <v>930</v>
      </c>
      <c r="AN1420" s="270">
        <v>514</v>
      </c>
      <c r="BS1420" s="1">
        <v>11047</v>
      </c>
      <c r="BT1420" s="1" t="s">
        <v>902</v>
      </c>
      <c r="BX1420" s="36"/>
    </row>
    <row r="1421" spans="2:76" ht="14.25">
      <c r="B1421" s="36"/>
      <c r="C1421" s="36"/>
      <c r="D1421" s="36"/>
      <c r="E1421" s="36"/>
      <c r="F1421" s="36"/>
      <c r="G1421" s="36"/>
      <c r="H1421" s="36"/>
      <c r="J1421" s="36"/>
      <c r="L1421" s="1" t="str">
        <f t="shared" si="114"/>
        <v/>
      </c>
      <c r="M1421" s="94">
        <v>1416</v>
      </c>
      <c r="N1421" s="36" t="s">
        <v>3077</v>
      </c>
      <c r="O1421" s="95">
        <v>311123</v>
      </c>
      <c r="P1421" s="36"/>
      <c r="AI1421" s="122">
        <v>1109</v>
      </c>
      <c r="AJ1421" s="1" t="s">
        <v>2770</v>
      </c>
      <c r="AK1421" s="1">
        <v>310816</v>
      </c>
      <c r="AL1421" s="1" t="s">
        <v>115</v>
      </c>
      <c r="AN1421" s="270">
        <v>515</v>
      </c>
      <c r="BS1421" s="1">
        <v>11048</v>
      </c>
      <c r="BT1421" s="1" t="s">
        <v>902</v>
      </c>
      <c r="BX1421" s="36"/>
    </row>
    <row r="1422" spans="2:76" ht="14.25">
      <c r="B1422" s="36"/>
      <c r="C1422" s="36"/>
      <c r="D1422" s="36"/>
      <c r="E1422" s="36"/>
      <c r="F1422" s="36"/>
      <c r="G1422" s="36"/>
      <c r="H1422" s="36"/>
      <c r="J1422" s="36"/>
      <c r="L1422" s="1" t="str">
        <f t="shared" si="114"/>
        <v/>
      </c>
      <c r="M1422" s="94">
        <v>1417</v>
      </c>
      <c r="N1422" s="36" t="s">
        <v>3078</v>
      </c>
      <c r="O1422" s="95">
        <v>311124</v>
      </c>
      <c r="P1422" s="36"/>
      <c r="AI1422" s="122">
        <v>1110</v>
      </c>
      <c r="AJ1422" s="1" t="s">
        <v>2771</v>
      </c>
      <c r="AK1422" s="1">
        <v>310817</v>
      </c>
      <c r="AL1422" s="1" t="s">
        <v>930</v>
      </c>
      <c r="AN1422" s="270">
        <v>516</v>
      </c>
      <c r="BS1422" s="1">
        <v>11049</v>
      </c>
      <c r="BT1422" s="1" t="s">
        <v>902</v>
      </c>
      <c r="BX1422" s="36"/>
    </row>
    <row r="1423" spans="2:76" ht="14.25">
      <c r="B1423" s="36"/>
      <c r="C1423" s="36"/>
      <c r="D1423" s="36"/>
      <c r="E1423" s="36"/>
      <c r="F1423" s="36"/>
      <c r="G1423" s="36"/>
      <c r="H1423" s="36"/>
      <c r="J1423" s="36"/>
      <c r="L1423" s="1" t="str">
        <f t="shared" si="114"/>
        <v/>
      </c>
      <c r="M1423" s="94">
        <v>1418</v>
      </c>
      <c r="N1423" s="36" t="s">
        <v>3079</v>
      </c>
      <c r="O1423" s="95">
        <v>311125</v>
      </c>
      <c r="P1423" s="36"/>
      <c r="AI1423" s="122">
        <v>1111</v>
      </c>
      <c r="AJ1423" s="1" t="s">
        <v>2772</v>
      </c>
      <c r="AK1423" s="1">
        <v>310818</v>
      </c>
      <c r="AL1423" s="1" t="s">
        <v>115</v>
      </c>
      <c r="AN1423" s="270">
        <v>517</v>
      </c>
      <c r="BS1423" s="1">
        <v>11050</v>
      </c>
      <c r="BT1423" s="1" t="s">
        <v>902</v>
      </c>
      <c r="BX1423" s="36"/>
    </row>
    <row r="1424" spans="2:76" ht="14.25">
      <c r="B1424" s="36"/>
      <c r="C1424" s="36"/>
      <c r="D1424" s="36"/>
      <c r="E1424" s="36"/>
      <c r="F1424" s="36"/>
      <c r="G1424" s="36"/>
      <c r="H1424" s="36"/>
      <c r="J1424" s="36"/>
      <c r="L1424" s="1" t="str">
        <f t="shared" si="114"/>
        <v/>
      </c>
      <c r="M1424" s="94">
        <v>1419</v>
      </c>
      <c r="N1424" s="36" t="s">
        <v>3080</v>
      </c>
      <c r="O1424" s="95">
        <v>311126</v>
      </c>
      <c r="P1424" s="36"/>
      <c r="AI1424" s="122">
        <v>1112</v>
      </c>
      <c r="AJ1424" s="1" t="s">
        <v>2773</v>
      </c>
      <c r="AK1424" s="1">
        <v>310819</v>
      </c>
      <c r="AL1424" s="1" t="s">
        <v>930</v>
      </c>
      <c r="AN1424" s="270">
        <v>518</v>
      </c>
      <c r="BS1424" s="1">
        <v>11051</v>
      </c>
      <c r="BT1424" s="1" t="s">
        <v>902</v>
      </c>
      <c r="BX1424" s="36"/>
    </row>
    <row r="1425" spans="2:76" ht="14.25">
      <c r="B1425" s="36"/>
      <c r="C1425" s="36"/>
      <c r="D1425" s="36"/>
      <c r="E1425" s="36"/>
      <c r="F1425" s="36"/>
      <c r="G1425" s="36"/>
      <c r="H1425" s="36"/>
      <c r="J1425" s="36"/>
      <c r="L1425" s="1" t="str">
        <f t="shared" si="114"/>
        <v/>
      </c>
      <c r="M1425" s="94">
        <v>1420</v>
      </c>
      <c r="N1425" s="36" t="s">
        <v>3081</v>
      </c>
      <c r="O1425" s="95">
        <v>311127</v>
      </c>
      <c r="P1425" s="36"/>
      <c r="AI1425" s="122">
        <v>1113</v>
      </c>
      <c r="AJ1425" s="1" t="s">
        <v>2774</v>
      </c>
      <c r="AK1425" s="1">
        <v>310820</v>
      </c>
      <c r="AL1425" s="1" t="s">
        <v>930</v>
      </c>
      <c r="AN1425" s="270">
        <v>519</v>
      </c>
      <c r="BS1425" s="1">
        <v>11052</v>
      </c>
      <c r="BT1425" s="1" t="s">
        <v>902</v>
      </c>
      <c r="BX1425" s="36"/>
    </row>
    <row r="1426" spans="2:76" ht="14.25">
      <c r="B1426" s="36"/>
      <c r="C1426" s="36"/>
      <c r="D1426" s="36"/>
      <c r="E1426" s="36"/>
      <c r="F1426" s="36"/>
      <c r="G1426" s="36"/>
      <c r="H1426" s="36"/>
      <c r="J1426" s="36"/>
      <c r="L1426" s="1" t="str">
        <f t="shared" si="114"/>
        <v/>
      </c>
      <c r="M1426" s="94">
        <v>1421</v>
      </c>
      <c r="N1426" s="36" t="s">
        <v>3082</v>
      </c>
      <c r="O1426" s="95">
        <v>311128</v>
      </c>
      <c r="P1426" s="36"/>
      <c r="AI1426" s="122">
        <v>1114</v>
      </c>
      <c r="AJ1426" s="1" t="s">
        <v>2775</v>
      </c>
      <c r="AK1426" s="1">
        <v>310821</v>
      </c>
      <c r="AL1426" s="1" t="s">
        <v>115</v>
      </c>
      <c r="AN1426" s="270">
        <v>520</v>
      </c>
      <c r="BS1426" s="1">
        <v>11053</v>
      </c>
      <c r="BT1426" s="1" t="s">
        <v>902</v>
      </c>
      <c r="BX1426" s="36"/>
    </row>
    <row r="1427" spans="2:76" ht="14.25">
      <c r="B1427" s="36"/>
      <c r="C1427" s="36"/>
      <c r="D1427" s="36"/>
      <c r="E1427" s="36"/>
      <c r="F1427" s="36"/>
      <c r="G1427" s="36"/>
      <c r="H1427" s="36"/>
      <c r="J1427" s="36"/>
      <c r="L1427" s="1" t="str">
        <f t="shared" si="114"/>
        <v/>
      </c>
      <c r="M1427" s="94">
        <v>1422</v>
      </c>
      <c r="N1427" s="36" t="s">
        <v>3083</v>
      </c>
      <c r="O1427" s="95">
        <v>311129</v>
      </c>
      <c r="P1427" s="36"/>
      <c r="AI1427" s="122">
        <v>1115</v>
      </c>
      <c r="AJ1427" s="1" t="s">
        <v>2776</v>
      </c>
      <c r="AK1427" s="1">
        <v>310822</v>
      </c>
      <c r="AL1427" s="1" t="s">
        <v>930</v>
      </c>
      <c r="AN1427" s="270">
        <v>521</v>
      </c>
      <c r="BS1427" s="1">
        <v>11054</v>
      </c>
      <c r="BT1427" s="1" t="s">
        <v>902</v>
      </c>
      <c r="BX1427" s="36"/>
    </row>
    <row r="1428" spans="2:76" ht="14.25">
      <c r="B1428" s="36"/>
      <c r="C1428" s="36"/>
      <c r="D1428" s="36"/>
      <c r="E1428" s="36"/>
      <c r="F1428" s="36"/>
      <c r="G1428" s="36"/>
      <c r="H1428" s="36"/>
      <c r="J1428" s="36"/>
      <c r="L1428" s="1" t="str">
        <f t="shared" si="114"/>
        <v/>
      </c>
      <c r="M1428" s="94">
        <v>1423</v>
      </c>
      <c r="N1428" s="36" t="s">
        <v>3084</v>
      </c>
      <c r="O1428" s="95">
        <v>311130</v>
      </c>
      <c r="P1428" s="36"/>
      <c r="AI1428" s="122">
        <v>1116</v>
      </c>
      <c r="AJ1428" s="1" t="s">
        <v>2777</v>
      </c>
      <c r="AK1428" s="1">
        <v>310823</v>
      </c>
      <c r="AL1428" s="1" t="s">
        <v>115</v>
      </c>
      <c r="AN1428" s="270">
        <v>522</v>
      </c>
      <c r="BS1428" s="1">
        <v>11055</v>
      </c>
      <c r="BT1428" s="1" t="s">
        <v>44</v>
      </c>
      <c r="BX1428" s="36"/>
    </row>
    <row r="1429" spans="2:76" ht="14.25">
      <c r="B1429" s="36"/>
      <c r="C1429" s="36"/>
      <c r="D1429" s="36"/>
      <c r="E1429" s="36"/>
      <c r="F1429" s="36"/>
      <c r="G1429" s="36"/>
      <c r="H1429" s="36"/>
      <c r="J1429" s="36"/>
      <c r="L1429" s="1" t="str">
        <f t="shared" si="114"/>
        <v/>
      </c>
      <c r="M1429" s="94">
        <v>1424</v>
      </c>
      <c r="N1429" s="36" t="s">
        <v>3085</v>
      </c>
      <c r="O1429" s="95">
        <v>311131</v>
      </c>
      <c r="P1429" s="36"/>
      <c r="AI1429" s="122">
        <v>1117</v>
      </c>
      <c r="AJ1429" s="1" t="s">
        <v>2778</v>
      </c>
      <c r="AK1429" s="1">
        <v>310824</v>
      </c>
      <c r="AL1429" s="1" t="s">
        <v>930</v>
      </c>
      <c r="AN1429" s="270">
        <v>523</v>
      </c>
      <c r="BS1429" s="1">
        <v>11056</v>
      </c>
      <c r="BT1429" s="1" t="s">
        <v>902</v>
      </c>
      <c r="BX1429" s="36"/>
    </row>
    <row r="1430" spans="2:76" ht="14.25">
      <c r="B1430" s="36"/>
      <c r="C1430" s="36"/>
      <c r="D1430" s="36"/>
      <c r="E1430" s="36"/>
      <c r="F1430" s="36"/>
      <c r="G1430" s="36"/>
      <c r="H1430" s="36"/>
      <c r="J1430" s="36"/>
      <c r="L1430" s="1" t="str">
        <f t="shared" si="114"/>
        <v/>
      </c>
      <c r="M1430" s="94">
        <v>1425</v>
      </c>
      <c r="N1430" s="36" t="s">
        <v>3086</v>
      </c>
      <c r="O1430" s="95">
        <v>311132</v>
      </c>
      <c r="P1430" s="36"/>
      <c r="AI1430" s="122">
        <v>1118</v>
      </c>
      <c r="AJ1430" s="1" t="s">
        <v>2779</v>
      </c>
      <c r="AK1430" s="1">
        <v>310825</v>
      </c>
      <c r="AL1430" s="1" t="s">
        <v>115</v>
      </c>
      <c r="AN1430" s="270">
        <v>524</v>
      </c>
      <c r="BS1430" s="1">
        <v>11057</v>
      </c>
      <c r="BT1430" s="1" t="s">
        <v>891</v>
      </c>
      <c r="BX1430" s="36"/>
    </row>
    <row r="1431" spans="2:76" ht="14.25">
      <c r="B1431" s="36"/>
      <c r="C1431" s="36"/>
      <c r="D1431" s="36"/>
      <c r="E1431" s="36"/>
      <c r="F1431" s="36"/>
      <c r="G1431" s="36"/>
      <c r="H1431" s="36"/>
      <c r="J1431" s="36"/>
      <c r="L1431" s="1" t="str">
        <f t="shared" si="114"/>
        <v/>
      </c>
      <c r="M1431" s="94">
        <v>1426</v>
      </c>
      <c r="N1431" s="36" t="s">
        <v>3087</v>
      </c>
      <c r="O1431" s="95">
        <v>311133</v>
      </c>
      <c r="P1431" s="36"/>
      <c r="AI1431" s="122">
        <v>1119</v>
      </c>
      <c r="AJ1431" s="1" t="s">
        <v>2780</v>
      </c>
      <c r="AK1431" s="1">
        <v>310826</v>
      </c>
      <c r="AL1431" s="1" t="s">
        <v>930</v>
      </c>
      <c r="AN1431" s="270">
        <v>525</v>
      </c>
      <c r="BS1431" s="1">
        <v>11058</v>
      </c>
      <c r="BT1431" s="1" t="s">
        <v>902</v>
      </c>
      <c r="BX1431" s="36"/>
    </row>
    <row r="1432" spans="2:76" ht="14.25">
      <c r="B1432" s="36"/>
      <c r="C1432" s="36"/>
      <c r="D1432" s="36"/>
      <c r="E1432" s="36"/>
      <c r="F1432" s="36"/>
      <c r="G1432" s="36"/>
      <c r="H1432" s="36"/>
      <c r="J1432" s="36"/>
      <c r="L1432" s="1" t="str">
        <f t="shared" si="114"/>
        <v/>
      </c>
      <c r="M1432" s="94">
        <v>1427</v>
      </c>
      <c r="N1432" s="36" t="s">
        <v>3088</v>
      </c>
      <c r="O1432" s="95">
        <v>311134</v>
      </c>
      <c r="P1432" s="36"/>
      <c r="AI1432" s="122">
        <v>1120</v>
      </c>
      <c r="AJ1432" s="1" t="s">
        <v>2781</v>
      </c>
      <c r="AK1432" s="1">
        <v>310827</v>
      </c>
      <c r="AL1432" s="1" t="s">
        <v>115</v>
      </c>
      <c r="AN1432" s="270">
        <v>526</v>
      </c>
      <c r="BS1432" s="1">
        <v>11059</v>
      </c>
      <c r="BT1432" s="1" t="s">
        <v>245</v>
      </c>
      <c r="BX1432" s="36"/>
    </row>
    <row r="1433" spans="2:76" ht="14.25">
      <c r="B1433" s="36"/>
      <c r="C1433" s="36"/>
      <c r="D1433" s="36"/>
      <c r="E1433" s="36"/>
      <c r="F1433" s="36"/>
      <c r="G1433" s="36"/>
      <c r="H1433" s="36"/>
      <c r="J1433" s="36"/>
      <c r="L1433" s="1" t="str">
        <f t="shared" si="114"/>
        <v/>
      </c>
      <c r="M1433" s="94">
        <v>1428</v>
      </c>
      <c r="N1433" s="36" t="s">
        <v>3089</v>
      </c>
      <c r="O1433" s="95">
        <v>311135</v>
      </c>
      <c r="P1433" s="36"/>
      <c r="AI1433" s="122">
        <v>1121</v>
      </c>
      <c r="AJ1433" s="1" t="s">
        <v>2782</v>
      </c>
      <c r="AK1433" s="1">
        <v>310828</v>
      </c>
      <c r="AL1433" s="1" t="s">
        <v>930</v>
      </c>
      <c r="AN1433" s="270">
        <v>527</v>
      </c>
      <c r="BS1433" s="1">
        <v>11060</v>
      </c>
      <c r="BT1433" s="1" t="s">
        <v>891</v>
      </c>
      <c r="BX1433" s="36"/>
    </row>
    <row r="1434" spans="2:76" ht="14.25">
      <c r="B1434" s="36"/>
      <c r="C1434" s="36"/>
      <c r="D1434" s="36"/>
      <c r="E1434" s="36"/>
      <c r="F1434" s="36"/>
      <c r="G1434" s="36"/>
      <c r="H1434" s="36"/>
      <c r="J1434" s="36"/>
      <c r="L1434" s="1" t="str">
        <f t="shared" si="114"/>
        <v/>
      </c>
      <c r="M1434" s="94">
        <v>1429</v>
      </c>
      <c r="N1434" s="36" t="s">
        <v>3090</v>
      </c>
      <c r="O1434" s="95">
        <v>311136</v>
      </c>
      <c r="P1434" s="36"/>
      <c r="AI1434" s="122">
        <v>1122</v>
      </c>
      <c r="AJ1434" s="1" t="s">
        <v>2783</v>
      </c>
      <c r="AK1434" s="1">
        <v>310829</v>
      </c>
      <c r="AL1434" s="1" t="s">
        <v>930</v>
      </c>
      <c r="AN1434" s="270">
        <v>528</v>
      </c>
      <c r="BS1434" s="1">
        <v>11061</v>
      </c>
      <c r="BT1434" s="1" t="s">
        <v>245</v>
      </c>
      <c r="BX1434" s="36"/>
    </row>
    <row r="1435" spans="2:76" ht="14.25">
      <c r="B1435" s="36"/>
      <c r="C1435" s="36"/>
      <c r="D1435" s="36"/>
      <c r="E1435" s="36"/>
      <c r="F1435" s="36"/>
      <c r="G1435" s="36"/>
      <c r="H1435" s="36"/>
      <c r="J1435" s="36"/>
      <c r="L1435" s="1" t="str">
        <f t="shared" si="114"/>
        <v/>
      </c>
      <c r="M1435" s="94">
        <v>1430</v>
      </c>
      <c r="N1435" s="36" t="s">
        <v>3091</v>
      </c>
      <c r="O1435" s="95">
        <v>311137</v>
      </c>
      <c r="P1435" s="36"/>
      <c r="AI1435" s="122">
        <v>1123</v>
      </c>
      <c r="AJ1435" s="1" t="s">
        <v>2784</v>
      </c>
      <c r="AK1435" s="1">
        <v>310830</v>
      </c>
      <c r="AL1435" s="1" t="s">
        <v>115</v>
      </c>
      <c r="AN1435" s="270">
        <v>529</v>
      </c>
      <c r="BS1435" s="1">
        <v>11062</v>
      </c>
      <c r="BT1435" s="1" t="s">
        <v>902</v>
      </c>
      <c r="BX1435" s="36"/>
    </row>
    <row r="1436" spans="2:76" ht="14.25">
      <c r="B1436" s="36"/>
      <c r="C1436" s="36"/>
      <c r="D1436" s="36"/>
      <c r="E1436" s="36"/>
      <c r="F1436" s="36"/>
      <c r="G1436" s="36"/>
      <c r="H1436" s="36"/>
      <c r="J1436" s="36"/>
      <c r="L1436" s="1" t="str">
        <f t="shared" si="114"/>
        <v/>
      </c>
      <c r="M1436" s="94">
        <v>1431</v>
      </c>
      <c r="N1436" s="36" t="s">
        <v>3092</v>
      </c>
      <c r="O1436" s="95">
        <v>311138</v>
      </c>
      <c r="P1436" s="36"/>
      <c r="AI1436" s="122">
        <v>1124</v>
      </c>
      <c r="AJ1436" s="1" t="s">
        <v>2785</v>
      </c>
      <c r="AK1436" s="1">
        <v>310831</v>
      </c>
      <c r="AL1436" s="1" t="s">
        <v>930</v>
      </c>
      <c r="AN1436" s="270">
        <v>530</v>
      </c>
      <c r="BS1436" s="1">
        <v>11063</v>
      </c>
      <c r="BT1436" s="1" t="s">
        <v>245</v>
      </c>
      <c r="BX1436" s="36"/>
    </row>
    <row r="1437" spans="2:76" ht="14.25">
      <c r="B1437" s="36"/>
      <c r="C1437" s="36"/>
      <c r="D1437" s="36"/>
      <c r="E1437" s="36"/>
      <c r="F1437" s="36"/>
      <c r="G1437" s="36"/>
      <c r="H1437" s="36"/>
      <c r="J1437" s="36"/>
      <c r="L1437" s="1" t="str">
        <f t="shared" si="114"/>
        <v/>
      </c>
      <c r="M1437" s="94">
        <v>1432</v>
      </c>
      <c r="N1437" s="36" t="s">
        <v>3093</v>
      </c>
      <c r="O1437" s="95">
        <v>311139</v>
      </c>
      <c r="P1437" s="36"/>
      <c r="AI1437" s="122">
        <v>1125</v>
      </c>
      <c r="AJ1437" s="1" t="s">
        <v>2786</v>
      </c>
      <c r="AK1437" s="1">
        <v>310832</v>
      </c>
      <c r="AL1437" s="1" t="s">
        <v>115</v>
      </c>
      <c r="AN1437" s="270">
        <v>531</v>
      </c>
      <c r="BS1437" s="1">
        <v>11064</v>
      </c>
      <c r="BT1437" s="1" t="s">
        <v>245</v>
      </c>
      <c r="BX1437" s="36"/>
    </row>
    <row r="1438" spans="2:76" ht="14.25">
      <c r="B1438" s="36"/>
      <c r="C1438" s="36"/>
      <c r="D1438" s="36"/>
      <c r="E1438" s="36"/>
      <c r="F1438" s="36"/>
      <c r="G1438" s="36"/>
      <c r="H1438" s="36"/>
      <c r="J1438" s="36"/>
      <c r="L1438" s="1" t="str">
        <f t="shared" si="114"/>
        <v/>
      </c>
      <c r="M1438" s="94">
        <v>1433</v>
      </c>
      <c r="N1438" s="36" t="s">
        <v>3094</v>
      </c>
      <c r="O1438" s="95">
        <v>311140</v>
      </c>
      <c r="P1438" s="36"/>
      <c r="AI1438" s="122">
        <v>1126</v>
      </c>
      <c r="AJ1438" s="1" t="s">
        <v>2787</v>
      </c>
      <c r="AK1438" s="1">
        <v>310833</v>
      </c>
      <c r="AL1438" s="1" t="s">
        <v>930</v>
      </c>
      <c r="AN1438" s="270">
        <v>532</v>
      </c>
      <c r="BS1438" s="1">
        <v>11065</v>
      </c>
      <c r="BT1438" s="1" t="s">
        <v>44</v>
      </c>
      <c r="BX1438" s="36"/>
    </row>
    <row r="1439" spans="2:76" ht="14.25">
      <c r="B1439" s="36"/>
      <c r="C1439" s="36"/>
      <c r="D1439" s="36"/>
      <c r="E1439" s="36"/>
      <c r="F1439" s="36"/>
      <c r="G1439" s="36"/>
      <c r="H1439" s="36"/>
      <c r="J1439" s="36"/>
      <c r="L1439" s="1" t="str">
        <f t="shared" si="114"/>
        <v/>
      </c>
      <c r="M1439" s="94">
        <v>1434</v>
      </c>
      <c r="N1439" s="36" t="s">
        <v>3095</v>
      </c>
      <c r="O1439" s="95">
        <v>311141</v>
      </c>
      <c r="P1439" s="36"/>
      <c r="AI1439" s="122">
        <v>1127</v>
      </c>
      <c r="AJ1439" s="1" t="s">
        <v>2788</v>
      </c>
      <c r="AK1439" s="1">
        <v>310834</v>
      </c>
      <c r="AL1439" s="1" t="s">
        <v>115</v>
      </c>
      <c r="AN1439" s="270">
        <v>533</v>
      </c>
      <c r="BS1439" s="1">
        <v>11066</v>
      </c>
      <c r="BT1439" s="1" t="s">
        <v>902</v>
      </c>
      <c r="BX1439" s="36"/>
    </row>
    <row r="1440" spans="2:76" ht="14.25">
      <c r="B1440" s="36"/>
      <c r="C1440" s="36"/>
      <c r="D1440" s="36"/>
      <c r="E1440" s="36"/>
      <c r="F1440" s="36"/>
      <c r="G1440" s="36"/>
      <c r="H1440" s="36"/>
      <c r="J1440" s="36"/>
      <c r="L1440" s="1" t="str">
        <f t="shared" si="114"/>
        <v/>
      </c>
      <c r="M1440" s="94">
        <v>1435</v>
      </c>
      <c r="N1440" s="36" t="s">
        <v>3096</v>
      </c>
      <c r="O1440" s="95">
        <v>311142</v>
      </c>
      <c r="P1440" s="36"/>
      <c r="AI1440" s="122">
        <v>1128</v>
      </c>
      <c r="AJ1440" s="1" t="s">
        <v>2789</v>
      </c>
      <c r="AK1440" s="1">
        <v>310835</v>
      </c>
      <c r="AL1440" s="1" t="s">
        <v>930</v>
      </c>
      <c r="AN1440" s="270">
        <v>534</v>
      </c>
      <c r="BS1440" s="1">
        <v>11067</v>
      </c>
      <c r="BT1440" s="1" t="s">
        <v>245</v>
      </c>
      <c r="BX1440" s="36"/>
    </row>
    <row r="1441" spans="2:76" ht="14.25">
      <c r="B1441" s="36"/>
      <c r="C1441" s="36"/>
      <c r="D1441" s="36"/>
      <c r="E1441" s="36"/>
      <c r="F1441" s="36"/>
      <c r="G1441" s="36"/>
      <c r="H1441" s="36"/>
      <c r="J1441" s="36"/>
      <c r="L1441" s="1" t="str">
        <f t="shared" si="114"/>
        <v/>
      </c>
      <c r="M1441" s="94">
        <v>1436</v>
      </c>
      <c r="N1441" s="36" t="s">
        <v>3097</v>
      </c>
      <c r="O1441" s="95">
        <v>311143</v>
      </c>
      <c r="P1441" s="36"/>
      <c r="AI1441" s="122">
        <v>1129</v>
      </c>
      <c r="AJ1441" s="1" t="s">
        <v>2790</v>
      </c>
      <c r="AK1441" s="1">
        <v>310836</v>
      </c>
      <c r="AL1441" s="1" t="s">
        <v>930</v>
      </c>
      <c r="AN1441" s="270">
        <v>535</v>
      </c>
      <c r="BS1441" s="1">
        <v>11068</v>
      </c>
      <c r="BT1441" s="1" t="s">
        <v>902</v>
      </c>
      <c r="BX1441" s="36"/>
    </row>
    <row r="1442" spans="2:76" ht="14.25">
      <c r="B1442" s="36"/>
      <c r="C1442" s="36"/>
      <c r="D1442" s="36"/>
      <c r="E1442" s="36"/>
      <c r="F1442" s="36"/>
      <c r="G1442" s="36"/>
      <c r="H1442" s="36"/>
      <c r="J1442" s="36"/>
      <c r="L1442" s="1" t="str">
        <f t="shared" si="114"/>
        <v/>
      </c>
      <c r="M1442" s="94">
        <v>1437</v>
      </c>
      <c r="N1442" s="36" t="s">
        <v>3098</v>
      </c>
      <c r="O1442" s="95">
        <v>311144</v>
      </c>
      <c r="P1442" s="36"/>
      <c r="AI1442" s="122">
        <v>1130</v>
      </c>
      <c r="AJ1442" s="1" t="s">
        <v>2791</v>
      </c>
      <c r="AK1442" s="1">
        <v>310837</v>
      </c>
      <c r="AL1442" s="1" t="s">
        <v>115</v>
      </c>
      <c r="AN1442" s="270">
        <v>536</v>
      </c>
      <c r="BS1442" s="1">
        <v>11069</v>
      </c>
      <c r="BT1442" s="1" t="s">
        <v>245</v>
      </c>
      <c r="BX1442" s="36"/>
    </row>
    <row r="1443" spans="2:76" ht="14.25">
      <c r="B1443" s="36"/>
      <c r="C1443" s="36"/>
      <c r="D1443" s="36"/>
      <c r="E1443" s="36"/>
      <c r="F1443" s="36"/>
      <c r="G1443" s="36"/>
      <c r="H1443" s="36"/>
      <c r="J1443" s="36"/>
      <c r="L1443" s="1" t="str">
        <f t="shared" si="114"/>
        <v/>
      </c>
      <c r="M1443" s="94">
        <v>1438</v>
      </c>
      <c r="N1443" s="36" t="s">
        <v>3099</v>
      </c>
      <c r="O1443" s="95">
        <v>311145</v>
      </c>
      <c r="P1443" s="36"/>
      <c r="AI1443" s="122">
        <v>1131</v>
      </c>
      <c r="AJ1443" s="1" t="s">
        <v>2792</v>
      </c>
      <c r="AK1443" s="1">
        <v>310838</v>
      </c>
      <c r="AL1443" s="1" t="s">
        <v>930</v>
      </c>
      <c r="AN1443" s="270">
        <v>537</v>
      </c>
      <c r="BS1443" s="1">
        <v>11070</v>
      </c>
      <c r="BT1443" s="1" t="s">
        <v>89</v>
      </c>
      <c r="BX1443" s="36"/>
    </row>
    <row r="1444" spans="2:76" ht="14.25">
      <c r="B1444" s="36"/>
      <c r="C1444" s="36"/>
      <c r="D1444" s="36"/>
      <c r="E1444" s="36"/>
      <c r="F1444" s="36"/>
      <c r="G1444" s="36"/>
      <c r="H1444" s="36"/>
      <c r="J1444" s="36"/>
      <c r="L1444" s="1" t="str">
        <f t="shared" si="114"/>
        <v/>
      </c>
      <c r="M1444" s="94">
        <v>1439</v>
      </c>
      <c r="N1444" s="36" t="s">
        <v>3100</v>
      </c>
      <c r="O1444" s="95">
        <v>311146</v>
      </c>
      <c r="P1444" s="36"/>
      <c r="AI1444" s="122">
        <v>1132</v>
      </c>
      <c r="AJ1444" s="1" t="s">
        <v>2793</v>
      </c>
      <c r="AK1444" s="1">
        <v>310839</v>
      </c>
      <c r="AL1444" s="1" t="s">
        <v>115</v>
      </c>
      <c r="AN1444" s="270">
        <v>538</v>
      </c>
      <c r="BS1444" s="1">
        <v>11071</v>
      </c>
      <c r="BT1444" s="1" t="s">
        <v>245</v>
      </c>
      <c r="BX1444" s="36"/>
    </row>
    <row r="1445" spans="2:76" ht="14.25">
      <c r="B1445" s="36"/>
      <c r="C1445" s="36"/>
      <c r="D1445" s="36"/>
      <c r="E1445" s="36"/>
      <c r="F1445" s="36"/>
      <c r="G1445" s="36"/>
      <c r="H1445" s="36"/>
      <c r="J1445" s="36"/>
      <c r="L1445" s="1" t="str">
        <f t="shared" si="114"/>
        <v/>
      </c>
      <c r="M1445" s="94">
        <v>1440</v>
      </c>
      <c r="N1445" s="36" t="s">
        <v>3101</v>
      </c>
      <c r="O1445" s="95">
        <v>311147</v>
      </c>
      <c r="P1445" s="36"/>
      <c r="AI1445" s="122">
        <v>1133</v>
      </c>
      <c r="AJ1445" s="1" t="s">
        <v>2794</v>
      </c>
      <c r="AK1445" s="1">
        <v>310840</v>
      </c>
      <c r="AL1445" s="1" t="s">
        <v>930</v>
      </c>
      <c r="AN1445" s="270">
        <v>539</v>
      </c>
      <c r="BS1445" s="1">
        <v>11072</v>
      </c>
      <c r="BT1445" s="1" t="s">
        <v>40</v>
      </c>
      <c r="BX1445" s="36"/>
    </row>
    <row r="1446" spans="2:76" ht="14.25">
      <c r="B1446" s="36"/>
      <c r="C1446" s="36"/>
      <c r="D1446" s="36"/>
      <c r="E1446" s="36"/>
      <c r="F1446" s="36"/>
      <c r="G1446" s="36"/>
      <c r="H1446" s="36"/>
      <c r="J1446" s="36"/>
      <c r="L1446" s="1" t="str">
        <f t="shared" si="114"/>
        <v/>
      </c>
      <c r="M1446" s="94">
        <v>1441</v>
      </c>
      <c r="N1446" s="36" t="s">
        <v>3102</v>
      </c>
      <c r="O1446" s="95">
        <v>311148</v>
      </c>
      <c r="P1446" s="36"/>
      <c r="AI1446" s="122">
        <v>1134</v>
      </c>
      <c r="AJ1446" s="1" t="s">
        <v>2795</v>
      </c>
      <c r="AK1446" s="1">
        <v>310841</v>
      </c>
      <c r="AL1446" s="1" t="s">
        <v>115</v>
      </c>
      <c r="AN1446" s="270">
        <v>540</v>
      </c>
      <c r="BS1446" s="1">
        <v>11073</v>
      </c>
      <c r="BT1446" s="1" t="s">
        <v>245</v>
      </c>
      <c r="BX1446" s="36"/>
    </row>
    <row r="1447" spans="2:76" ht="14.25">
      <c r="B1447" s="36"/>
      <c r="C1447" s="36"/>
      <c r="D1447" s="36"/>
      <c r="E1447" s="36"/>
      <c r="F1447" s="36"/>
      <c r="G1447" s="36"/>
      <c r="H1447" s="36"/>
      <c r="J1447" s="36"/>
      <c r="L1447" s="1" t="str">
        <f t="shared" si="114"/>
        <v/>
      </c>
      <c r="M1447" s="94">
        <v>1442</v>
      </c>
      <c r="N1447" s="36" t="s">
        <v>3103</v>
      </c>
      <c r="O1447" s="95">
        <v>311149</v>
      </c>
      <c r="P1447" s="36"/>
      <c r="AI1447" s="122">
        <v>1135</v>
      </c>
      <c r="AJ1447" s="1" t="s">
        <v>2796</v>
      </c>
      <c r="AK1447" s="1">
        <v>310842</v>
      </c>
      <c r="AL1447" s="1" t="s">
        <v>930</v>
      </c>
      <c r="AN1447" s="270">
        <v>541</v>
      </c>
      <c r="BS1447" s="1">
        <v>11074</v>
      </c>
      <c r="BT1447" s="1" t="s">
        <v>902</v>
      </c>
      <c r="BX1447" s="36"/>
    </row>
    <row r="1448" spans="2:76" ht="14.25">
      <c r="B1448" s="36"/>
      <c r="C1448" s="36"/>
      <c r="D1448" s="36"/>
      <c r="E1448" s="36"/>
      <c r="F1448" s="36"/>
      <c r="G1448" s="36"/>
      <c r="H1448" s="36"/>
      <c r="J1448" s="36"/>
      <c r="L1448" s="1" t="str">
        <f t="shared" si="114"/>
        <v/>
      </c>
      <c r="M1448" s="94">
        <v>1443</v>
      </c>
      <c r="N1448" s="36" t="s">
        <v>3104</v>
      </c>
      <c r="O1448" s="95">
        <v>311150</v>
      </c>
      <c r="P1448" s="36"/>
      <c r="AI1448" s="122">
        <v>1136</v>
      </c>
      <c r="AJ1448" s="1" t="s">
        <v>2797</v>
      </c>
      <c r="AK1448" s="1">
        <v>310843</v>
      </c>
      <c r="AL1448" s="1" t="s">
        <v>930</v>
      </c>
      <c r="AN1448" s="270">
        <v>542</v>
      </c>
      <c r="BS1448" s="1">
        <v>11075</v>
      </c>
      <c r="BT1448" s="1" t="s">
        <v>245</v>
      </c>
      <c r="BX1448" s="36"/>
    </row>
    <row r="1449" spans="2:76" ht="14.25">
      <c r="B1449" s="36"/>
      <c r="C1449" s="36"/>
      <c r="D1449" s="36"/>
      <c r="E1449" s="36"/>
      <c r="F1449" s="36"/>
      <c r="G1449" s="36"/>
      <c r="H1449" s="36"/>
      <c r="J1449" s="36"/>
      <c r="L1449" s="1" t="str">
        <f t="shared" si="114"/>
        <v/>
      </c>
      <c r="M1449" s="94">
        <v>1444</v>
      </c>
      <c r="N1449" s="36" t="s">
        <v>3105</v>
      </c>
      <c r="O1449" s="95">
        <v>311151</v>
      </c>
      <c r="P1449" s="36"/>
      <c r="AI1449" s="122">
        <v>1137</v>
      </c>
      <c r="AJ1449" s="1" t="s">
        <v>2798</v>
      </c>
      <c r="AK1449" s="1">
        <v>310844</v>
      </c>
      <c r="AL1449" s="1" t="s">
        <v>115</v>
      </c>
      <c r="AN1449" s="270">
        <v>543</v>
      </c>
      <c r="BS1449" s="1">
        <v>11076</v>
      </c>
      <c r="BT1449" s="1" t="s">
        <v>40</v>
      </c>
      <c r="BX1449" s="36"/>
    </row>
    <row r="1450" spans="2:76" ht="14.25">
      <c r="B1450" s="36"/>
      <c r="C1450" s="36"/>
      <c r="D1450" s="36"/>
      <c r="E1450" s="36"/>
      <c r="F1450" s="36"/>
      <c r="G1450" s="36"/>
      <c r="H1450" s="36"/>
      <c r="J1450" s="36"/>
      <c r="L1450" s="1" t="str">
        <f t="shared" si="114"/>
        <v/>
      </c>
      <c r="M1450" s="94">
        <v>1445</v>
      </c>
      <c r="N1450" s="36" t="s">
        <v>3106</v>
      </c>
      <c r="O1450" s="95">
        <v>311152</v>
      </c>
      <c r="P1450" s="36"/>
      <c r="AI1450" s="122">
        <v>1138</v>
      </c>
      <c r="AJ1450" s="1" t="s">
        <v>2799</v>
      </c>
      <c r="AK1450" s="1">
        <v>310845</v>
      </c>
      <c r="AL1450" s="1" t="s">
        <v>930</v>
      </c>
      <c r="AN1450" s="270">
        <v>544</v>
      </c>
      <c r="BS1450" s="1">
        <v>11077</v>
      </c>
      <c r="BT1450" s="1" t="s">
        <v>934</v>
      </c>
      <c r="BX1450" s="36"/>
    </row>
    <row r="1451" spans="2:76" ht="14.25">
      <c r="B1451" s="36"/>
      <c r="C1451" s="36"/>
      <c r="D1451" s="36"/>
      <c r="E1451" s="36"/>
      <c r="F1451" s="36"/>
      <c r="G1451" s="36"/>
      <c r="H1451" s="36"/>
      <c r="J1451" s="36"/>
      <c r="L1451" s="1" t="str">
        <f t="shared" si="114"/>
        <v/>
      </c>
      <c r="M1451" s="94">
        <v>1446</v>
      </c>
      <c r="N1451" s="36" t="s">
        <v>3107</v>
      </c>
      <c r="O1451" s="95">
        <v>311153</v>
      </c>
      <c r="P1451" s="36"/>
      <c r="AI1451" s="122">
        <v>1139</v>
      </c>
      <c r="AJ1451" s="1" t="s">
        <v>2800</v>
      </c>
      <c r="AK1451" s="1">
        <v>310846</v>
      </c>
      <c r="AL1451" s="1" t="s">
        <v>115</v>
      </c>
      <c r="AN1451" s="270">
        <v>545</v>
      </c>
      <c r="BS1451" s="1">
        <v>11078</v>
      </c>
      <c r="BT1451" s="1" t="s">
        <v>934</v>
      </c>
      <c r="BX1451" s="36"/>
    </row>
    <row r="1452" spans="2:76" ht="14.25">
      <c r="B1452" s="36"/>
      <c r="C1452" s="36"/>
      <c r="D1452" s="36"/>
      <c r="E1452" s="36"/>
      <c r="F1452" s="36"/>
      <c r="G1452" s="36"/>
      <c r="H1452" s="36"/>
      <c r="J1452" s="36"/>
      <c r="L1452" s="1" t="str">
        <f t="shared" si="114"/>
        <v/>
      </c>
      <c r="M1452" s="94">
        <v>1447</v>
      </c>
      <c r="N1452" s="36" t="s">
        <v>3108</v>
      </c>
      <c r="O1452" s="95">
        <v>311154</v>
      </c>
      <c r="P1452" s="36"/>
      <c r="AI1452" s="122">
        <v>1140</v>
      </c>
      <c r="AJ1452" s="1" t="s">
        <v>2801</v>
      </c>
      <c r="AK1452" s="1">
        <v>310847</v>
      </c>
      <c r="AL1452" s="1" t="s">
        <v>930</v>
      </c>
      <c r="AN1452" s="270">
        <v>546</v>
      </c>
      <c r="BS1452" s="1">
        <v>11079</v>
      </c>
      <c r="BT1452" s="1" t="s">
        <v>245</v>
      </c>
      <c r="BX1452" s="36"/>
    </row>
    <row r="1453" spans="2:76" ht="14.25">
      <c r="B1453" s="36"/>
      <c r="C1453" s="36"/>
      <c r="D1453" s="36"/>
      <c r="E1453" s="36"/>
      <c r="F1453" s="36"/>
      <c r="G1453" s="36"/>
      <c r="H1453" s="36"/>
      <c r="J1453" s="36"/>
      <c r="L1453" s="1" t="str">
        <f t="shared" si="114"/>
        <v/>
      </c>
      <c r="M1453" s="94">
        <v>1448</v>
      </c>
      <c r="N1453" s="36" t="s">
        <v>3109</v>
      </c>
      <c r="O1453" s="95">
        <v>311155</v>
      </c>
      <c r="P1453" s="36"/>
      <c r="AI1453" s="122">
        <v>1141</v>
      </c>
      <c r="AJ1453" s="1" t="s">
        <v>2802</v>
      </c>
      <c r="AK1453" s="1">
        <v>310848</v>
      </c>
      <c r="AL1453" s="1" t="s">
        <v>115</v>
      </c>
      <c r="AN1453" s="270">
        <v>547</v>
      </c>
      <c r="BS1453" s="1">
        <v>11080</v>
      </c>
      <c r="BT1453" s="1" t="s">
        <v>934</v>
      </c>
      <c r="BX1453" s="36"/>
    </row>
    <row r="1454" spans="2:76" ht="14.25">
      <c r="B1454" s="36"/>
      <c r="C1454" s="36"/>
      <c r="D1454" s="36"/>
      <c r="E1454" s="36"/>
      <c r="F1454" s="36"/>
      <c r="G1454" s="36"/>
      <c r="H1454" s="36"/>
      <c r="J1454" s="36"/>
      <c r="L1454" s="1" t="str">
        <f t="shared" si="114"/>
        <v/>
      </c>
      <c r="M1454" s="94">
        <v>1449</v>
      </c>
      <c r="N1454" s="36" t="s">
        <v>3110</v>
      </c>
      <c r="O1454" s="95">
        <v>311156</v>
      </c>
      <c r="P1454" s="36"/>
      <c r="AI1454" s="122">
        <v>1142</v>
      </c>
      <c r="AJ1454" s="1" t="s">
        <v>2803</v>
      </c>
      <c r="AK1454" s="1">
        <v>310849</v>
      </c>
      <c r="AL1454" s="1" t="s">
        <v>930</v>
      </c>
      <c r="AN1454" s="270">
        <v>548</v>
      </c>
      <c r="BS1454" s="1">
        <v>11081</v>
      </c>
      <c r="BT1454" s="1" t="s">
        <v>934</v>
      </c>
      <c r="BX1454" s="36"/>
    </row>
    <row r="1455" spans="2:76" ht="14.25">
      <c r="B1455" s="36"/>
      <c r="C1455" s="36"/>
      <c r="D1455" s="36"/>
      <c r="E1455" s="36"/>
      <c r="F1455" s="36"/>
      <c r="G1455" s="36"/>
      <c r="H1455" s="36"/>
      <c r="J1455" s="36"/>
      <c r="L1455" s="1" t="str">
        <f t="shared" si="114"/>
        <v/>
      </c>
      <c r="M1455" s="94">
        <v>1450</v>
      </c>
      <c r="N1455" s="36" t="s">
        <v>3111</v>
      </c>
      <c r="O1455" s="95">
        <v>311157</v>
      </c>
      <c r="P1455" s="36"/>
      <c r="AI1455" s="122">
        <v>1143</v>
      </c>
      <c r="AJ1455" s="1" t="s">
        <v>2804</v>
      </c>
      <c r="AK1455" s="1">
        <v>310850</v>
      </c>
      <c r="AL1455" s="1" t="s">
        <v>930</v>
      </c>
      <c r="AN1455" s="270">
        <v>549</v>
      </c>
      <c r="BS1455" s="1">
        <v>11082</v>
      </c>
      <c r="BT1455" s="1" t="s">
        <v>934</v>
      </c>
      <c r="BX1455" s="36"/>
    </row>
    <row r="1456" spans="2:76" ht="14.25">
      <c r="B1456" s="36"/>
      <c r="C1456" s="36"/>
      <c r="D1456" s="36"/>
      <c r="E1456" s="36"/>
      <c r="F1456" s="36"/>
      <c r="G1456" s="36"/>
      <c r="H1456" s="36"/>
      <c r="J1456" s="36"/>
      <c r="L1456" s="1" t="str">
        <f t="shared" si="114"/>
        <v/>
      </c>
      <c r="M1456" s="94">
        <v>1451</v>
      </c>
      <c r="N1456" s="36" t="s">
        <v>3112</v>
      </c>
      <c r="O1456" s="95">
        <v>311158</v>
      </c>
      <c r="P1456" s="36"/>
      <c r="AI1456" s="122">
        <v>1144</v>
      </c>
      <c r="AJ1456" s="1" t="s">
        <v>2805</v>
      </c>
      <c r="AK1456" s="1">
        <v>310851</v>
      </c>
      <c r="AL1456" s="1" t="s">
        <v>115</v>
      </c>
      <c r="AN1456" s="270">
        <v>550</v>
      </c>
      <c r="BS1456" s="1">
        <v>11083</v>
      </c>
      <c r="BT1456" s="1" t="s">
        <v>934</v>
      </c>
      <c r="BX1456" s="36"/>
    </row>
    <row r="1457" spans="2:76" ht="14.25">
      <c r="B1457" s="36"/>
      <c r="C1457" s="36"/>
      <c r="D1457" s="36"/>
      <c r="E1457" s="36"/>
      <c r="F1457" s="36"/>
      <c r="G1457" s="36"/>
      <c r="H1457" s="36"/>
      <c r="J1457" s="36"/>
      <c r="L1457" s="1" t="str">
        <f t="shared" si="114"/>
        <v/>
      </c>
      <c r="M1457" s="94">
        <v>1452</v>
      </c>
      <c r="N1457" s="36" t="s">
        <v>3113</v>
      </c>
      <c r="O1457" s="95">
        <v>311159</v>
      </c>
      <c r="P1457" s="36"/>
      <c r="AI1457" s="122">
        <v>1145</v>
      </c>
      <c r="AJ1457" s="1" t="s">
        <v>2806</v>
      </c>
      <c r="AK1457" s="1">
        <v>310852</v>
      </c>
      <c r="AL1457" s="1" t="s">
        <v>930</v>
      </c>
      <c r="AN1457" s="270">
        <v>551</v>
      </c>
      <c r="BS1457" s="1">
        <v>11084</v>
      </c>
      <c r="BT1457" s="1" t="s">
        <v>245</v>
      </c>
      <c r="BX1457" s="36"/>
    </row>
    <row r="1458" spans="2:76" ht="14.25">
      <c r="B1458" s="36"/>
      <c r="C1458" s="36"/>
      <c r="D1458" s="36"/>
      <c r="E1458" s="36"/>
      <c r="F1458" s="36"/>
      <c r="G1458" s="36"/>
      <c r="H1458" s="36"/>
      <c r="J1458" s="36"/>
      <c r="L1458" s="1" t="str">
        <f t="shared" si="114"/>
        <v/>
      </c>
      <c r="M1458" s="94">
        <v>1453</v>
      </c>
      <c r="N1458" s="36" t="s">
        <v>3114</v>
      </c>
      <c r="O1458" s="95">
        <v>311160</v>
      </c>
      <c r="P1458" s="36"/>
      <c r="AI1458" s="122">
        <v>1146</v>
      </c>
      <c r="AJ1458" s="1" t="s">
        <v>2807</v>
      </c>
      <c r="AK1458" s="1">
        <v>310853</v>
      </c>
      <c r="AL1458" s="1" t="s">
        <v>115</v>
      </c>
      <c r="AN1458" s="270">
        <v>552</v>
      </c>
      <c r="BS1458" s="1">
        <v>11085</v>
      </c>
      <c r="BT1458" s="1" t="s">
        <v>54</v>
      </c>
      <c r="BX1458" s="36"/>
    </row>
    <row r="1459" spans="2:76" ht="14.25">
      <c r="B1459" s="36"/>
      <c r="C1459" s="36"/>
      <c r="D1459" s="36"/>
      <c r="E1459" s="36"/>
      <c r="F1459" s="36"/>
      <c r="G1459" s="36"/>
      <c r="H1459" s="36"/>
      <c r="J1459" s="36"/>
      <c r="L1459" s="1" t="str">
        <f t="shared" si="114"/>
        <v/>
      </c>
      <c r="M1459" s="94">
        <v>1454</v>
      </c>
      <c r="N1459" s="36" t="s">
        <v>3115</v>
      </c>
      <c r="O1459" s="95">
        <v>311161</v>
      </c>
      <c r="P1459" s="36"/>
      <c r="AI1459" s="122">
        <v>1147</v>
      </c>
      <c r="AJ1459" s="1" t="s">
        <v>2808</v>
      </c>
      <c r="AK1459" s="1">
        <v>310854</v>
      </c>
      <c r="AL1459" s="1" t="s">
        <v>930</v>
      </c>
      <c r="AN1459" s="270">
        <v>553</v>
      </c>
      <c r="BS1459" s="1">
        <v>11086</v>
      </c>
      <c r="BT1459" s="1" t="s">
        <v>934</v>
      </c>
      <c r="BX1459" s="36"/>
    </row>
    <row r="1460" spans="2:76" ht="14.25">
      <c r="B1460" s="36"/>
      <c r="C1460" s="36"/>
      <c r="D1460" s="36"/>
      <c r="E1460" s="36"/>
      <c r="F1460" s="36"/>
      <c r="G1460" s="36"/>
      <c r="H1460" s="36"/>
      <c r="J1460" s="36"/>
      <c r="L1460" s="1" t="str">
        <f t="shared" si="114"/>
        <v/>
      </c>
      <c r="M1460" s="96">
        <v>1455</v>
      </c>
      <c r="N1460" s="54" t="s">
        <v>3116</v>
      </c>
      <c r="O1460" s="97">
        <v>311162</v>
      </c>
      <c r="P1460" s="54"/>
      <c r="AI1460" s="122">
        <v>1148</v>
      </c>
      <c r="AJ1460" s="1" t="s">
        <v>2809</v>
      </c>
      <c r="AK1460" s="1">
        <v>310855</v>
      </c>
      <c r="AL1460" s="1" t="s">
        <v>115</v>
      </c>
      <c r="AN1460" s="270">
        <v>554</v>
      </c>
      <c r="BS1460" s="1">
        <v>11087</v>
      </c>
      <c r="BT1460" s="1" t="s">
        <v>44</v>
      </c>
      <c r="BX1460" s="36"/>
    </row>
    <row r="1461" spans="2:76" ht="14.25">
      <c r="B1461" s="36"/>
      <c r="C1461" s="36"/>
      <c r="D1461" s="36"/>
      <c r="E1461" s="36"/>
      <c r="F1461" s="36"/>
      <c r="G1461" s="36"/>
      <c r="H1461" s="36"/>
      <c r="J1461" s="36"/>
      <c r="L1461" s="1" t="str">
        <f t="shared" si="114"/>
        <v/>
      </c>
      <c r="M1461" s="94">
        <v>1456</v>
      </c>
      <c r="N1461" s="36" t="s">
        <v>3117</v>
      </c>
      <c r="O1461" s="95">
        <v>311163</v>
      </c>
      <c r="P1461" s="36"/>
      <c r="AI1461" s="122">
        <v>1149</v>
      </c>
      <c r="AJ1461" s="1" t="s">
        <v>2810</v>
      </c>
      <c r="AK1461" s="1">
        <v>310856</v>
      </c>
      <c r="AL1461" s="1" t="s">
        <v>930</v>
      </c>
      <c r="AN1461" s="270">
        <v>555</v>
      </c>
      <c r="BS1461" s="1">
        <v>11088</v>
      </c>
      <c r="BT1461" s="1" t="s">
        <v>934</v>
      </c>
      <c r="BX1461" s="36"/>
    </row>
    <row r="1462" spans="2:76" ht="14.25">
      <c r="B1462" s="36"/>
      <c r="C1462" s="36"/>
      <c r="D1462" s="36"/>
      <c r="E1462" s="36"/>
      <c r="F1462" s="36"/>
      <c r="G1462" s="36"/>
      <c r="H1462" s="36"/>
      <c r="J1462" s="36"/>
      <c r="L1462" s="1" t="str">
        <f t="shared" si="114"/>
        <v/>
      </c>
      <c r="M1462" s="94">
        <v>1457</v>
      </c>
      <c r="N1462" s="36" t="s">
        <v>3118</v>
      </c>
      <c r="O1462" s="95">
        <v>311164</v>
      </c>
      <c r="P1462" s="36"/>
      <c r="AI1462" s="122">
        <v>1150</v>
      </c>
      <c r="AJ1462" s="1" t="s">
        <v>2811</v>
      </c>
      <c r="AK1462" s="1">
        <v>310857</v>
      </c>
      <c r="AL1462" s="1" t="s">
        <v>930</v>
      </c>
      <c r="AN1462" s="270">
        <v>556</v>
      </c>
      <c r="BS1462" s="1">
        <v>11089</v>
      </c>
      <c r="BT1462" s="1" t="s">
        <v>42</v>
      </c>
      <c r="BX1462" s="36"/>
    </row>
    <row r="1463" spans="2:76" ht="14.25">
      <c r="B1463" s="36"/>
      <c r="C1463" s="36"/>
      <c r="D1463" s="36"/>
      <c r="E1463" s="36"/>
      <c r="F1463" s="36"/>
      <c r="G1463" s="36"/>
      <c r="H1463" s="36"/>
      <c r="J1463" s="36"/>
      <c r="L1463" s="1" t="str">
        <f t="shared" si="114"/>
        <v/>
      </c>
      <c r="M1463" s="94">
        <v>1458</v>
      </c>
      <c r="N1463" s="36" t="s">
        <v>3119</v>
      </c>
      <c r="O1463" s="95">
        <v>311165</v>
      </c>
      <c r="P1463" s="36"/>
      <c r="AI1463" s="122">
        <v>1151</v>
      </c>
      <c r="AJ1463" s="1" t="s">
        <v>2812</v>
      </c>
      <c r="AK1463" s="1">
        <v>310858</v>
      </c>
      <c r="AL1463" s="1" t="s">
        <v>115</v>
      </c>
      <c r="AN1463" s="270">
        <v>557</v>
      </c>
      <c r="BS1463" s="1">
        <v>11090</v>
      </c>
      <c r="BT1463" s="1" t="s">
        <v>44</v>
      </c>
      <c r="BX1463" s="36"/>
    </row>
    <row r="1464" spans="2:76" ht="14.25">
      <c r="B1464" s="36"/>
      <c r="C1464" s="36"/>
      <c r="D1464" s="36"/>
      <c r="E1464" s="36"/>
      <c r="F1464" s="36"/>
      <c r="G1464" s="36"/>
      <c r="H1464" s="36"/>
      <c r="J1464" s="36"/>
      <c r="L1464" s="1" t="str">
        <f t="shared" si="114"/>
        <v/>
      </c>
      <c r="M1464" s="94">
        <v>1459</v>
      </c>
      <c r="N1464" s="36" t="s">
        <v>3120</v>
      </c>
      <c r="O1464" s="95">
        <v>311166</v>
      </c>
      <c r="P1464" s="36"/>
      <c r="AI1464" s="122">
        <v>1152</v>
      </c>
      <c r="AJ1464" s="1" t="s">
        <v>2813</v>
      </c>
      <c r="AK1464" s="1">
        <v>310859</v>
      </c>
      <c r="AL1464" s="1" t="s">
        <v>930</v>
      </c>
      <c r="AN1464" s="270">
        <v>558</v>
      </c>
      <c r="BS1464" s="1">
        <v>11091</v>
      </c>
      <c r="BT1464" s="1" t="s">
        <v>1167</v>
      </c>
      <c r="BX1464" s="36"/>
    </row>
    <row r="1465" spans="2:76" ht="14.25">
      <c r="B1465" s="36"/>
      <c r="C1465" s="36"/>
      <c r="D1465" s="36"/>
      <c r="E1465" s="36"/>
      <c r="F1465" s="36"/>
      <c r="G1465" s="36"/>
      <c r="H1465" s="36"/>
      <c r="J1465" s="36"/>
      <c r="L1465" s="1" t="str">
        <f t="shared" si="114"/>
        <v/>
      </c>
      <c r="M1465" s="94">
        <v>1460</v>
      </c>
      <c r="N1465" s="36" t="s">
        <v>3121</v>
      </c>
      <c r="O1465" s="95">
        <v>311167</v>
      </c>
      <c r="P1465" s="36"/>
      <c r="AI1465" s="122">
        <v>1153</v>
      </c>
      <c r="AJ1465" s="1" t="s">
        <v>2814</v>
      </c>
      <c r="AK1465" s="1">
        <v>310860</v>
      </c>
      <c r="AL1465" s="1" t="s">
        <v>115</v>
      </c>
      <c r="AN1465" s="270">
        <v>559</v>
      </c>
      <c r="BS1465" s="1">
        <v>11092</v>
      </c>
      <c r="BT1465" s="1" t="s">
        <v>54</v>
      </c>
      <c r="BX1465" s="36"/>
    </row>
    <row r="1466" spans="2:76" ht="14.25">
      <c r="B1466" s="36"/>
      <c r="C1466" s="36"/>
      <c r="D1466" s="36"/>
      <c r="E1466" s="36"/>
      <c r="F1466" s="36"/>
      <c r="G1466" s="36"/>
      <c r="H1466" s="36"/>
      <c r="J1466" s="36"/>
      <c r="L1466" s="1" t="str">
        <f t="shared" si="114"/>
        <v/>
      </c>
      <c r="M1466" s="94">
        <v>1461</v>
      </c>
      <c r="N1466" s="36" t="s">
        <v>3122</v>
      </c>
      <c r="O1466" s="95">
        <v>311168</v>
      </c>
      <c r="P1466" s="36"/>
      <c r="AI1466" s="122">
        <v>1154</v>
      </c>
      <c r="AJ1466" s="1" t="s">
        <v>2815</v>
      </c>
      <c r="AK1466" s="1">
        <v>310861</v>
      </c>
      <c r="AL1466" s="1" t="s">
        <v>930</v>
      </c>
      <c r="AN1466" s="270">
        <v>560</v>
      </c>
      <c r="BS1466" s="1">
        <v>11093</v>
      </c>
      <c r="BT1466" s="1" t="s">
        <v>42</v>
      </c>
      <c r="BX1466" s="36"/>
    </row>
    <row r="1467" spans="2:76" ht="14.25">
      <c r="B1467" s="36"/>
      <c r="C1467" s="36"/>
      <c r="D1467" s="36"/>
      <c r="E1467" s="36"/>
      <c r="F1467" s="36"/>
      <c r="G1467" s="36"/>
      <c r="H1467" s="36"/>
      <c r="J1467" s="36"/>
      <c r="L1467" s="1" t="str">
        <f t="shared" si="114"/>
        <v/>
      </c>
      <c r="M1467" s="94">
        <v>1462</v>
      </c>
      <c r="N1467" s="36" t="s">
        <v>3123</v>
      </c>
      <c r="O1467" s="95">
        <v>311169</v>
      </c>
      <c r="P1467" s="36"/>
      <c r="AI1467" s="122">
        <v>1155</v>
      </c>
      <c r="AJ1467" s="1" t="s">
        <v>2816</v>
      </c>
      <c r="AK1467" s="1">
        <v>310862</v>
      </c>
      <c r="AL1467" s="1" t="s">
        <v>115</v>
      </c>
      <c r="AN1467" s="270">
        <v>561</v>
      </c>
      <c r="BS1467" s="1">
        <v>11094</v>
      </c>
      <c r="BT1467" s="1" t="s">
        <v>42</v>
      </c>
      <c r="BX1467" s="36"/>
    </row>
    <row r="1468" spans="2:76" ht="14.25">
      <c r="B1468" s="36"/>
      <c r="C1468" s="36"/>
      <c r="D1468" s="36"/>
      <c r="E1468" s="36"/>
      <c r="F1468" s="36"/>
      <c r="G1468" s="36"/>
      <c r="H1468" s="36"/>
      <c r="J1468" s="36"/>
      <c r="L1468" s="1" t="str">
        <f t="shared" si="114"/>
        <v/>
      </c>
      <c r="M1468" s="94">
        <v>1463</v>
      </c>
      <c r="N1468" s="36" t="s">
        <v>3124</v>
      </c>
      <c r="O1468" s="95">
        <v>311170</v>
      </c>
      <c r="P1468" s="36"/>
      <c r="AI1468" s="122">
        <v>1156</v>
      </c>
      <c r="AJ1468" s="1" t="s">
        <v>2817</v>
      </c>
      <c r="AK1468" s="1">
        <v>310863</v>
      </c>
      <c r="AL1468" s="1" t="s">
        <v>930</v>
      </c>
      <c r="AN1468" s="270">
        <v>562</v>
      </c>
      <c r="BS1468" s="1">
        <v>11095</v>
      </c>
      <c r="BT1468" s="1" t="s">
        <v>54</v>
      </c>
      <c r="BX1468" s="36"/>
    </row>
    <row r="1469" spans="2:76" ht="14.25">
      <c r="B1469" s="36"/>
      <c r="C1469" s="36"/>
      <c r="D1469" s="36"/>
      <c r="E1469" s="36"/>
      <c r="F1469" s="36"/>
      <c r="G1469" s="36"/>
      <c r="H1469" s="36"/>
      <c r="J1469" s="36"/>
      <c r="L1469" s="1" t="str">
        <f t="shared" si="114"/>
        <v/>
      </c>
      <c r="M1469" s="94">
        <v>1464</v>
      </c>
      <c r="N1469" s="36" t="s">
        <v>3125</v>
      </c>
      <c r="O1469" s="95">
        <v>311171</v>
      </c>
      <c r="P1469" s="36"/>
      <c r="AI1469" s="122">
        <v>1157</v>
      </c>
      <c r="AJ1469" s="1" t="s">
        <v>2818</v>
      </c>
      <c r="AK1469" s="1">
        <v>310864</v>
      </c>
      <c r="AL1469" s="1" t="s">
        <v>930</v>
      </c>
      <c r="AN1469" s="270">
        <v>563</v>
      </c>
      <c r="BS1469" s="1">
        <v>11096</v>
      </c>
      <c r="BT1469" s="1" t="s">
        <v>54</v>
      </c>
      <c r="BX1469" s="36"/>
    </row>
    <row r="1470" spans="2:76" ht="14.25">
      <c r="B1470" s="36"/>
      <c r="C1470" s="36"/>
      <c r="D1470" s="36"/>
      <c r="E1470" s="36"/>
      <c r="F1470" s="36"/>
      <c r="G1470" s="36"/>
      <c r="H1470" s="36"/>
      <c r="J1470" s="36"/>
      <c r="L1470" s="1" t="str">
        <f t="shared" si="114"/>
        <v/>
      </c>
      <c r="M1470" s="94">
        <v>1465</v>
      </c>
      <c r="N1470" s="36" t="s">
        <v>3126</v>
      </c>
      <c r="O1470" s="95">
        <v>311172</v>
      </c>
      <c r="P1470" s="36"/>
      <c r="AI1470" s="122">
        <v>1158</v>
      </c>
      <c r="AJ1470" s="1" t="s">
        <v>2819</v>
      </c>
      <c r="AK1470" s="1">
        <v>310865</v>
      </c>
      <c r="AL1470" s="1" t="s">
        <v>115</v>
      </c>
      <c r="AN1470" s="270">
        <v>564</v>
      </c>
      <c r="BS1470" s="1">
        <v>11097</v>
      </c>
      <c r="BT1470" s="1" t="s">
        <v>44</v>
      </c>
      <c r="BX1470" s="36"/>
    </row>
    <row r="1471" spans="2:76" ht="14.25">
      <c r="B1471" s="36"/>
      <c r="C1471" s="36"/>
      <c r="D1471" s="36"/>
      <c r="E1471" s="36"/>
      <c r="F1471" s="36"/>
      <c r="G1471" s="36"/>
      <c r="H1471" s="36"/>
      <c r="J1471" s="36"/>
      <c r="L1471" s="1" t="str">
        <f t="shared" si="114"/>
        <v/>
      </c>
      <c r="M1471" s="94">
        <v>1466</v>
      </c>
      <c r="N1471" s="36" t="s">
        <v>3127</v>
      </c>
      <c r="O1471" s="95">
        <v>311173</v>
      </c>
      <c r="P1471" s="36"/>
      <c r="AI1471" s="122">
        <v>1159</v>
      </c>
      <c r="AJ1471" s="1" t="s">
        <v>2820</v>
      </c>
      <c r="AK1471" s="1">
        <v>310866</v>
      </c>
      <c r="AL1471" s="1" t="s">
        <v>930</v>
      </c>
      <c r="AN1471" s="270">
        <v>565</v>
      </c>
      <c r="BS1471" s="1">
        <v>11098</v>
      </c>
      <c r="BT1471" s="1" t="s">
        <v>54</v>
      </c>
      <c r="BX1471" s="36"/>
    </row>
    <row r="1472" spans="2:76" ht="14.25">
      <c r="B1472" s="36"/>
      <c r="C1472" s="36"/>
      <c r="D1472" s="36"/>
      <c r="E1472" s="36"/>
      <c r="F1472" s="36"/>
      <c r="G1472" s="36"/>
      <c r="H1472" s="36"/>
      <c r="J1472" s="36"/>
      <c r="L1472" s="1" t="str">
        <f t="shared" si="114"/>
        <v/>
      </c>
      <c r="M1472" s="94">
        <v>1467</v>
      </c>
      <c r="N1472" s="36" t="s">
        <v>3128</v>
      </c>
      <c r="O1472" s="95">
        <v>311174</v>
      </c>
      <c r="P1472" s="36"/>
      <c r="AI1472" s="122">
        <v>1160</v>
      </c>
      <c r="AJ1472" s="1" t="s">
        <v>2821</v>
      </c>
      <c r="AK1472" s="1">
        <v>310867</v>
      </c>
      <c r="AL1472" s="1" t="s">
        <v>115</v>
      </c>
      <c r="AN1472" s="270">
        <v>566</v>
      </c>
      <c r="BS1472" s="1">
        <v>11099</v>
      </c>
      <c r="BT1472" s="1" t="s">
        <v>54</v>
      </c>
      <c r="BX1472" s="36"/>
    </row>
    <row r="1473" spans="2:76" ht="14.25">
      <c r="B1473" s="36"/>
      <c r="C1473" s="36"/>
      <c r="D1473" s="36"/>
      <c r="E1473" s="36"/>
      <c r="F1473" s="36"/>
      <c r="G1473" s="36"/>
      <c r="H1473" s="36"/>
      <c r="J1473" s="36"/>
      <c r="L1473" s="1" t="str">
        <f t="shared" si="114"/>
        <v/>
      </c>
      <c r="M1473" s="94">
        <v>1468</v>
      </c>
      <c r="N1473" s="36" t="s">
        <v>3129</v>
      </c>
      <c r="O1473" s="95">
        <v>311175</v>
      </c>
      <c r="P1473" s="36"/>
      <c r="AI1473" s="122">
        <v>1161</v>
      </c>
      <c r="AJ1473" s="1" t="s">
        <v>2822</v>
      </c>
      <c r="AK1473" s="1">
        <v>310868</v>
      </c>
      <c r="AL1473" s="1" t="s">
        <v>930</v>
      </c>
      <c r="AN1473" s="270">
        <v>567</v>
      </c>
      <c r="BS1473" s="1">
        <v>11100</v>
      </c>
      <c r="BT1473" s="1" t="s">
        <v>54</v>
      </c>
      <c r="BX1473" s="36"/>
    </row>
    <row r="1474" spans="2:76" ht="14.25">
      <c r="B1474" s="36"/>
      <c r="C1474" s="36"/>
      <c r="D1474" s="36"/>
      <c r="E1474" s="36"/>
      <c r="F1474" s="36"/>
      <c r="G1474" s="36"/>
      <c r="H1474" s="36"/>
      <c r="J1474" s="36"/>
      <c r="L1474" s="1" t="str">
        <f t="shared" si="114"/>
        <v/>
      </c>
      <c r="M1474" s="94">
        <v>1469</v>
      </c>
      <c r="N1474" s="36" t="s">
        <v>3130</v>
      </c>
      <c r="O1474" s="95">
        <v>311176</v>
      </c>
      <c r="P1474" s="36"/>
      <c r="AI1474" s="122">
        <v>1162</v>
      </c>
      <c r="AJ1474" s="1" t="s">
        <v>2823</v>
      </c>
      <c r="AK1474" s="1">
        <v>310869</v>
      </c>
      <c r="AL1474" s="1" t="s">
        <v>115</v>
      </c>
      <c r="AN1474" s="270">
        <v>568</v>
      </c>
      <c r="BS1474" s="1">
        <v>11101</v>
      </c>
      <c r="BT1474" s="1" t="s">
        <v>54</v>
      </c>
      <c r="BX1474" s="36"/>
    </row>
    <row r="1475" spans="2:76" ht="14.25">
      <c r="B1475" s="36"/>
      <c r="C1475" s="36"/>
      <c r="D1475" s="36"/>
      <c r="E1475" s="36"/>
      <c r="F1475" s="36"/>
      <c r="G1475" s="36"/>
      <c r="H1475" s="36"/>
      <c r="J1475" s="36"/>
      <c r="L1475" s="1" t="str">
        <f t="shared" si="114"/>
        <v/>
      </c>
      <c r="M1475" s="94">
        <v>1470</v>
      </c>
      <c r="N1475" s="36" t="s">
        <v>3131</v>
      </c>
      <c r="O1475" s="95">
        <v>311177</v>
      </c>
      <c r="P1475" s="36"/>
      <c r="AI1475" s="122">
        <v>1163</v>
      </c>
      <c r="AJ1475" s="1" t="s">
        <v>2824</v>
      </c>
      <c r="AK1475" s="1">
        <v>310870</v>
      </c>
      <c r="AL1475" s="1" t="s">
        <v>930</v>
      </c>
      <c r="AN1475" s="270">
        <v>569</v>
      </c>
      <c r="BS1475" s="1">
        <v>11102</v>
      </c>
      <c r="BT1475" s="1" t="s">
        <v>42</v>
      </c>
      <c r="BX1475" s="36"/>
    </row>
    <row r="1476" spans="2:76" ht="14.25">
      <c r="B1476" s="36"/>
      <c r="C1476" s="36"/>
      <c r="D1476" s="36"/>
      <c r="E1476" s="36"/>
      <c r="F1476" s="36"/>
      <c r="G1476" s="36"/>
      <c r="H1476" s="36"/>
      <c r="J1476" s="36"/>
      <c r="L1476" s="1" t="str">
        <f t="shared" ref="L1476:L1539" si="115">IF(AND(MIN(I:I)&lt;20,MAX(I:I)&gt;980,I1476&lt;20),I1476,"")</f>
        <v/>
      </c>
      <c r="M1476" s="94">
        <v>1471</v>
      </c>
      <c r="N1476" s="36" t="s">
        <v>3132</v>
      </c>
      <c r="O1476" s="95">
        <v>311178</v>
      </c>
      <c r="P1476" s="36"/>
      <c r="AI1476" s="122">
        <v>1164</v>
      </c>
      <c r="AJ1476" s="1" t="s">
        <v>2825</v>
      </c>
      <c r="AK1476" s="1">
        <v>310871</v>
      </c>
      <c r="AL1476" s="1" t="s">
        <v>115</v>
      </c>
      <c r="AN1476" s="270">
        <v>570</v>
      </c>
      <c r="BS1476" s="1">
        <v>11103</v>
      </c>
      <c r="BT1476" s="1" t="s">
        <v>42</v>
      </c>
      <c r="BX1476" s="36"/>
    </row>
    <row r="1477" spans="2:76" ht="14.25">
      <c r="B1477" s="36"/>
      <c r="C1477" s="36"/>
      <c r="D1477" s="36"/>
      <c r="E1477" s="36"/>
      <c r="F1477" s="36"/>
      <c r="G1477" s="36"/>
      <c r="H1477" s="36"/>
      <c r="J1477" s="36"/>
      <c r="L1477" s="1" t="str">
        <f t="shared" si="115"/>
        <v/>
      </c>
      <c r="M1477" s="94">
        <v>1472</v>
      </c>
      <c r="N1477" s="36" t="s">
        <v>3133</v>
      </c>
      <c r="O1477" s="95">
        <v>311179</v>
      </c>
      <c r="P1477" s="36"/>
      <c r="AI1477" s="122">
        <v>1165</v>
      </c>
      <c r="AJ1477" s="1" t="s">
        <v>2826</v>
      </c>
      <c r="AK1477" s="1">
        <v>310872</v>
      </c>
      <c r="AL1477" s="1" t="s">
        <v>930</v>
      </c>
      <c r="AN1477" s="270">
        <v>571</v>
      </c>
      <c r="BS1477" s="1">
        <v>11104</v>
      </c>
      <c r="BT1477" s="1" t="s">
        <v>54</v>
      </c>
      <c r="BX1477" s="36"/>
    </row>
    <row r="1478" spans="2:76" ht="14.25">
      <c r="B1478" s="36"/>
      <c r="C1478" s="36"/>
      <c r="D1478" s="36"/>
      <c r="E1478" s="36"/>
      <c r="F1478" s="36"/>
      <c r="G1478" s="36"/>
      <c r="H1478" s="36"/>
      <c r="J1478" s="36"/>
      <c r="L1478" s="1" t="str">
        <f t="shared" si="115"/>
        <v/>
      </c>
      <c r="M1478" s="94">
        <v>1473</v>
      </c>
      <c r="N1478" s="36" t="s">
        <v>3134</v>
      </c>
      <c r="O1478" s="95">
        <v>311180</v>
      </c>
      <c r="P1478" s="36"/>
      <c r="AI1478" s="122">
        <v>1166</v>
      </c>
      <c r="AJ1478" s="1" t="s">
        <v>2827</v>
      </c>
      <c r="AK1478" s="1">
        <v>310873</v>
      </c>
      <c r="AL1478" s="1" t="s">
        <v>930</v>
      </c>
      <c r="AN1478" s="270">
        <v>572</v>
      </c>
      <c r="BS1478" s="1">
        <v>11105</v>
      </c>
      <c r="BT1478" s="1" t="s">
        <v>54</v>
      </c>
      <c r="BX1478" s="36"/>
    </row>
    <row r="1479" spans="2:76" ht="14.25">
      <c r="B1479" s="36"/>
      <c r="C1479" s="36"/>
      <c r="D1479" s="36"/>
      <c r="E1479" s="36"/>
      <c r="F1479" s="36"/>
      <c r="G1479" s="36"/>
      <c r="H1479" s="36"/>
      <c r="J1479" s="36"/>
      <c r="L1479" s="1" t="str">
        <f t="shared" si="115"/>
        <v/>
      </c>
      <c r="M1479" s="94">
        <v>1474</v>
      </c>
      <c r="N1479" s="36" t="s">
        <v>3135</v>
      </c>
      <c r="O1479" s="95">
        <v>311181</v>
      </c>
      <c r="P1479" s="36"/>
      <c r="AI1479" s="122">
        <v>1167</v>
      </c>
      <c r="AJ1479" s="1" t="s">
        <v>2828</v>
      </c>
      <c r="AK1479" s="1">
        <v>310874</v>
      </c>
      <c r="AL1479" s="1" t="s">
        <v>115</v>
      </c>
      <c r="AN1479" s="270">
        <v>573</v>
      </c>
      <c r="BS1479" s="1">
        <v>11106</v>
      </c>
      <c r="BT1479" s="1" t="s">
        <v>41</v>
      </c>
      <c r="BX1479" s="36"/>
    </row>
    <row r="1480" spans="2:76" ht="14.25">
      <c r="B1480" s="36"/>
      <c r="C1480" s="36"/>
      <c r="D1480" s="36"/>
      <c r="E1480" s="36"/>
      <c r="F1480" s="36"/>
      <c r="G1480" s="36"/>
      <c r="H1480" s="36"/>
      <c r="J1480" s="36"/>
      <c r="L1480" s="1" t="str">
        <f t="shared" si="115"/>
        <v/>
      </c>
      <c r="M1480" s="94">
        <v>1475</v>
      </c>
      <c r="N1480" s="36" t="s">
        <v>3136</v>
      </c>
      <c r="O1480" s="95">
        <v>311182</v>
      </c>
      <c r="P1480" s="36"/>
      <c r="AI1480" s="122">
        <v>1168</v>
      </c>
      <c r="AJ1480" s="1" t="s">
        <v>2829</v>
      </c>
      <c r="AK1480" s="1">
        <v>310875</v>
      </c>
      <c r="AL1480" s="1" t="s">
        <v>930</v>
      </c>
      <c r="AN1480" s="270">
        <v>574</v>
      </c>
      <c r="BS1480" s="1">
        <v>11107</v>
      </c>
      <c r="BT1480" s="1" t="s">
        <v>42</v>
      </c>
      <c r="BX1480" s="36"/>
    </row>
    <row r="1481" spans="2:76" ht="14.25">
      <c r="B1481" s="36"/>
      <c r="C1481" s="36"/>
      <c r="D1481" s="36"/>
      <c r="E1481" s="36"/>
      <c r="F1481" s="36"/>
      <c r="G1481" s="36"/>
      <c r="H1481" s="36"/>
      <c r="J1481" s="36"/>
      <c r="L1481" s="1" t="str">
        <f t="shared" si="115"/>
        <v/>
      </c>
      <c r="M1481" s="94">
        <v>1476</v>
      </c>
      <c r="N1481" s="36" t="s">
        <v>3137</v>
      </c>
      <c r="O1481" s="95">
        <v>311183</v>
      </c>
      <c r="P1481" s="36"/>
      <c r="AI1481" s="122">
        <v>1169</v>
      </c>
      <c r="AJ1481" s="1" t="s">
        <v>2830</v>
      </c>
      <c r="AK1481" s="1">
        <v>310876</v>
      </c>
      <c r="AL1481" s="1" t="s">
        <v>115</v>
      </c>
      <c r="AN1481" s="270">
        <v>575</v>
      </c>
      <c r="BS1481" s="1">
        <v>11108</v>
      </c>
      <c r="BT1481" s="1" t="s">
        <v>1150</v>
      </c>
      <c r="BX1481" s="36"/>
    </row>
    <row r="1482" spans="2:76" ht="14.25">
      <c r="B1482" s="36"/>
      <c r="C1482" s="36"/>
      <c r="D1482" s="36"/>
      <c r="E1482" s="36"/>
      <c r="F1482" s="36"/>
      <c r="G1482" s="36"/>
      <c r="H1482" s="36"/>
      <c r="J1482" s="36"/>
      <c r="L1482" s="1" t="str">
        <f t="shared" si="115"/>
        <v/>
      </c>
      <c r="M1482" s="94">
        <v>1477</v>
      </c>
      <c r="N1482" s="36" t="s">
        <v>3138</v>
      </c>
      <c r="O1482" s="95">
        <v>311184</v>
      </c>
      <c r="P1482" s="36"/>
      <c r="AI1482" s="122">
        <v>1170</v>
      </c>
      <c r="AJ1482" s="1" t="s">
        <v>2831</v>
      </c>
      <c r="AK1482" s="1">
        <v>310877</v>
      </c>
      <c r="AL1482" s="1" t="s">
        <v>930</v>
      </c>
      <c r="AN1482" s="270">
        <v>576</v>
      </c>
      <c r="BS1482" s="1">
        <v>11109</v>
      </c>
      <c r="BT1482" s="1" t="s">
        <v>41</v>
      </c>
      <c r="BX1482" s="36"/>
    </row>
    <row r="1483" spans="2:76" ht="14.25">
      <c r="B1483" s="36"/>
      <c r="C1483" s="36"/>
      <c r="D1483" s="36"/>
      <c r="E1483" s="36"/>
      <c r="F1483" s="36"/>
      <c r="G1483" s="36"/>
      <c r="H1483" s="36"/>
      <c r="J1483" s="36"/>
      <c r="L1483" s="1" t="str">
        <f t="shared" si="115"/>
        <v/>
      </c>
      <c r="M1483" s="94">
        <v>1478</v>
      </c>
      <c r="N1483" s="36" t="s">
        <v>3139</v>
      </c>
      <c r="O1483" s="95">
        <v>311185</v>
      </c>
      <c r="P1483" s="36"/>
      <c r="AI1483" s="122">
        <v>1171</v>
      </c>
      <c r="AJ1483" s="1" t="s">
        <v>2832</v>
      </c>
      <c r="AK1483" s="1">
        <v>310878</v>
      </c>
      <c r="AL1483" s="1" t="s">
        <v>115</v>
      </c>
      <c r="AN1483" s="270">
        <v>577</v>
      </c>
      <c r="BS1483" s="1">
        <v>11110</v>
      </c>
      <c r="BT1483" s="1" t="s">
        <v>42</v>
      </c>
      <c r="BX1483" s="36"/>
    </row>
    <row r="1484" spans="2:76" ht="14.25">
      <c r="B1484" s="36"/>
      <c r="C1484" s="36"/>
      <c r="D1484" s="36"/>
      <c r="E1484" s="36"/>
      <c r="F1484" s="36"/>
      <c r="G1484" s="36"/>
      <c r="H1484" s="36"/>
      <c r="J1484" s="36"/>
      <c r="L1484" s="1" t="str">
        <f t="shared" si="115"/>
        <v/>
      </c>
      <c r="M1484" s="94">
        <v>1479</v>
      </c>
      <c r="N1484" s="36" t="s">
        <v>3140</v>
      </c>
      <c r="O1484" s="95">
        <v>311186</v>
      </c>
      <c r="P1484" s="36"/>
      <c r="AI1484" s="122">
        <v>1172</v>
      </c>
      <c r="AJ1484" s="1" t="s">
        <v>2833</v>
      </c>
      <c r="AK1484" s="1">
        <v>310879</v>
      </c>
      <c r="AL1484" s="1" t="s">
        <v>930</v>
      </c>
      <c r="AN1484" s="270">
        <v>578</v>
      </c>
      <c r="BS1484" s="1">
        <v>11111</v>
      </c>
      <c r="BT1484" s="1" t="s">
        <v>42</v>
      </c>
      <c r="BX1484" s="36"/>
    </row>
    <row r="1485" spans="2:76" ht="14.25">
      <c r="B1485" s="36"/>
      <c r="C1485" s="36"/>
      <c r="D1485" s="36"/>
      <c r="E1485" s="36"/>
      <c r="F1485" s="36"/>
      <c r="G1485" s="36"/>
      <c r="H1485" s="36"/>
      <c r="J1485" s="36"/>
      <c r="L1485" s="1" t="str">
        <f t="shared" si="115"/>
        <v/>
      </c>
      <c r="M1485" s="94">
        <v>1480</v>
      </c>
      <c r="N1485" s="36" t="s">
        <v>3141</v>
      </c>
      <c r="O1485" s="95">
        <v>311187</v>
      </c>
      <c r="P1485" s="36"/>
      <c r="AI1485" s="122">
        <v>1173</v>
      </c>
      <c r="AJ1485" s="1" t="s">
        <v>2834</v>
      </c>
      <c r="AK1485" s="1">
        <v>310880</v>
      </c>
      <c r="AL1485" s="1" t="s">
        <v>930</v>
      </c>
      <c r="AN1485" s="270">
        <v>579</v>
      </c>
      <c r="BS1485" s="1">
        <v>11112</v>
      </c>
      <c r="BT1485" s="1" t="s">
        <v>42</v>
      </c>
      <c r="BX1485" s="36"/>
    </row>
    <row r="1486" spans="2:76" ht="14.25">
      <c r="B1486" s="36"/>
      <c r="C1486" s="36"/>
      <c r="D1486" s="36"/>
      <c r="E1486" s="36"/>
      <c r="F1486" s="36"/>
      <c r="G1486" s="36"/>
      <c r="H1486" s="36"/>
      <c r="J1486" s="36"/>
      <c r="L1486" s="1" t="str">
        <f t="shared" si="115"/>
        <v/>
      </c>
      <c r="M1486" s="94">
        <v>1481</v>
      </c>
      <c r="N1486" s="36" t="s">
        <v>3142</v>
      </c>
      <c r="O1486" s="95">
        <v>311188</v>
      </c>
      <c r="P1486" s="36"/>
      <c r="AI1486" s="122">
        <v>1174</v>
      </c>
      <c r="AJ1486" s="1" t="s">
        <v>2835</v>
      </c>
      <c r="AK1486" s="1">
        <v>310881</v>
      </c>
      <c r="AL1486" s="1" t="s">
        <v>115</v>
      </c>
      <c r="AN1486" s="270">
        <v>580</v>
      </c>
      <c r="BS1486" s="1">
        <v>11113</v>
      </c>
      <c r="BT1486" s="1" t="s">
        <v>42</v>
      </c>
      <c r="BX1486" s="36"/>
    </row>
    <row r="1487" spans="2:76" ht="14.25">
      <c r="B1487" s="36"/>
      <c r="C1487" s="36"/>
      <c r="D1487" s="36"/>
      <c r="E1487" s="36"/>
      <c r="F1487" s="36"/>
      <c r="G1487" s="36"/>
      <c r="H1487" s="36"/>
      <c r="J1487" s="36"/>
      <c r="L1487" s="1" t="str">
        <f t="shared" si="115"/>
        <v/>
      </c>
      <c r="M1487" s="94">
        <v>1482</v>
      </c>
      <c r="N1487" s="36" t="s">
        <v>3143</v>
      </c>
      <c r="O1487" s="95">
        <v>311189</v>
      </c>
      <c r="P1487" s="36"/>
      <c r="AI1487" s="122">
        <v>1175</v>
      </c>
      <c r="AJ1487" s="1" t="s">
        <v>2836</v>
      </c>
      <c r="AK1487" s="1">
        <v>310882</v>
      </c>
      <c r="AL1487" s="1" t="s">
        <v>930</v>
      </c>
      <c r="AN1487" s="270">
        <v>581</v>
      </c>
      <c r="BS1487" s="1">
        <v>11114</v>
      </c>
      <c r="BT1487" s="1" t="s">
        <v>41</v>
      </c>
      <c r="BX1487" s="36"/>
    </row>
    <row r="1488" spans="2:76" ht="14.25">
      <c r="B1488" s="36"/>
      <c r="C1488" s="36"/>
      <c r="D1488" s="36"/>
      <c r="E1488" s="36"/>
      <c r="F1488" s="36"/>
      <c r="G1488" s="36"/>
      <c r="H1488" s="36"/>
      <c r="J1488" s="36"/>
      <c r="L1488" s="1" t="str">
        <f t="shared" si="115"/>
        <v/>
      </c>
      <c r="M1488" s="94">
        <v>1483</v>
      </c>
      <c r="N1488" s="36" t="s">
        <v>3144</v>
      </c>
      <c r="O1488" s="95">
        <v>311190</v>
      </c>
      <c r="P1488" s="36"/>
      <c r="AI1488" s="122">
        <v>1176</v>
      </c>
      <c r="AJ1488" s="1" t="s">
        <v>2837</v>
      </c>
      <c r="AK1488" s="1">
        <v>310883</v>
      </c>
      <c r="AL1488" s="1" t="s">
        <v>115</v>
      </c>
      <c r="AN1488" s="270">
        <v>582</v>
      </c>
      <c r="BS1488" s="1">
        <v>11115</v>
      </c>
      <c r="BT1488" s="1" t="s">
        <v>41</v>
      </c>
      <c r="BX1488" s="36"/>
    </row>
    <row r="1489" spans="2:76" ht="14.25">
      <c r="B1489" s="36"/>
      <c r="C1489" s="36"/>
      <c r="D1489" s="36"/>
      <c r="E1489" s="36"/>
      <c r="F1489" s="36"/>
      <c r="G1489" s="36"/>
      <c r="H1489" s="36"/>
      <c r="J1489" s="36"/>
      <c r="L1489" s="1" t="str">
        <f t="shared" si="115"/>
        <v/>
      </c>
      <c r="M1489" s="94">
        <v>1484</v>
      </c>
      <c r="N1489" s="36" t="s">
        <v>3145</v>
      </c>
      <c r="O1489" s="95">
        <v>311191</v>
      </c>
      <c r="P1489" s="36"/>
      <c r="AI1489" s="122">
        <v>1177</v>
      </c>
      <c r="AJ1489" s="1" t="s">
        <v>2838</v>
      </c>
      <c r="AK1489" s="1">
        <v>310884</v>
      </c>
      <c r="AL1489" s="1" t="s">
        <v>930</v>
      </c>
      <c r="AN1489" s="270">
        <v>583</v>
      </c>
      <c r="BS1489" s="1">
        <v>11116</v>
      </c>
      <c r="BT1489" s="1" t="s">
        <v>41</v>
      </c>
      <c r="BX1489" s="36"/>
    </row>
    <row r="1490" spans="2:76" ht="14.25">
      <c r="B1490" s="36"/>
      <c r="C1490" s="36"/>
      <c r="D1490" s="36"/>
      <c r="E1490" s="36"/>
      <c r="F1490" s="36"/>
      <c r="G1490" s="36"/>
      <c r="H1490" s="36"/>
      <c r="J1490" s="36"/>
      <c r="L1490" s="1" t="str">
        <f t="shared" si="115"/>
        <v/>
      </c>
      <c r="M1490" s="94">
        <v>1485</v>
      </c>
      <c r="N1490" s="36" t="s">
        <v>3146</v>
      </c>
      <c r="O1490" s="95">
        <v>311192</v>
      </c>
      <c r="P1490" s="36"/>
      <c r="AI1490" s="122">
        <v>1178</v>
      </c>
      <c r="AJ1490" s="1" t="s">
        <v>2839</v>
      </c>
      <c r="AK1490" s="1">
        <v>310885</v>
      </c>
      <c r="AL1490" s="1" t="s">
        <v>115</v>
      </c>
      <c r="AN1490" s="270">
        <v>584</v>
      </c>
      <c r="BS1490" s="1">
        <v>11117</v>
      </c>
      <c r="BT1490" s="1" t="s">
        <v>42</v>
      </c>
      <c r="BX1490" s="36"/>
    </row>
    <row r="1491" spans="2:76" ht="14.25">
      <c r="B1491" s="36"/>
      <c r="C1491" s="36"/>
      <c r="D1491" s="36"/>
      <c r="E1491" s="36"/>
      <c r="F1491" s="36"/>
      <c r="G1491" s="36"/>
      <c r="H1491" s="36"/>
      <c r="J1491" s="36"/>
      <c r="L1491" s="1" t="str">
        <f t="shared" si="115"/>
        <v/>
      </c>
      <c r="M1491" s="94">
        <v>1486</v>
      </c>
      <c r="N1491" s="36" t="s">
        <v>3147</v>
      </c>
      <c r="O1491" s="95">
        <v>311193</v>
      </c>
      <c r="P1491" s="36"/>
      <c r="AI1491" s="122">
        <v>1179</v>
      </c>
      <c r="AJ1491" s="1" t="s">
        <v>2840</v>
      </c>
      <c r="AK1491" s="1">
        <v>310886</v>
      </c>
      <c r="AL1491" s="1" t="s">
        <v>930</v>
      </c>
      <c r="AN1491" s="270">
        <v>585</v>
      </c>
      <c r="BS1491" s="1">
        <v>11118</v>
      </c>
      <c r="BT1491" s="1" t="s">
        <v>246</v>
      </c>
      <c r="BX1491" s="36"/>
    </row>
    <row r="1492" spans="2:76" ht="14.25">
      <c r="B1492" s="36"/>
      <c r="C1492" s="36"/>
      <c r="D1492" s="36"/>
      <c r="E1492" s="36"/>
      <c r="F1492" s="36"/>
      <c r="G1492" s="36"/>
      <c r="H1492" s="36"/>
      <c r="J1492" s="36"/>
      <c r="L1492" s="1" t="str">
        <f t="shared" si="115"/>
        <v/>
      </c>
      <c r="M1492" s="94">
        <v>1487</v>
      </c>
      <c r="N1492" s="36" t="s">
        <v>3148</v>
      </c>
      <c r="O1492" s="95">
        <v>311194</v>
      </c>
      <c r="P1492" s="36"/>
      <c r="AI1492" s="122">
        <v>1180</v>
      </c>
      <c r="AJ1492" s="1" t="s">
        <v>2841</v>
      </c>
      <c r="AK1492" s="1">
        <v>310887</v>
      </c>
      <c r="AL1492" s="1" t="s">
        <v>930</v>
      </c>
      <c r="AN1492" s="270">
        <v>586</v>
      </c>
      <c r="BS1492" s="1">
        <v>11119</v>
      </c>
      <c r="BT1492" s="1" t="s">
        <v>41</v>
      </c>
      <c r="BX1492" s="36"/>
    </row>
    <row r="1493" spans="2:76" ht="14.25">
      <c r="B1493" s="36"/>
      <c r="C1493" s="36"/>
      <c r="D1493" s="36"/>
      <c r="E1493" s="36"/>
      <c r="F1493" s="36"/>
      <c r="G1493" s="36"/>
      <c r="H1493" s="36"/>
      <c r="J1493" s="36"/>
      <c r="L1493" s="1" t="str">
        <f t="shared" si="115"/>
        <v/>
      </c>
      <c r="M1493" s="94">
        <v>1488</v>
      </c>
      <c r="N1493" s="36" t="s">
        <v>3149</v>
      </c>
      <c r="O1493" s="95">
        <v>311195</v>
      </c>
      <c r="P1493" s="36"/>
      <c r="AI1493" s="122">
        <v>1181</v>
      </c>
      <c r="AJ1493" s="1" t="s">
        <v>2842</v>
      </c>
      <c r="AK1493" s="1">
        <v>310888</v>
      </c>
      <c r="AL1493" s="1" t="s">
        <v>115</v>
      </c>
      <c r="AN1493" s="270">
        <v>587</v>
      </c>
      <c r="BS1493" s="1">
        <v>11120</v>
      </c>
      <c r="BT1493" s="1" t="s">
        <v>47</v>
      </c>
      <c r="BX1493" s="36"/>
    </row>
    <row r="1494" spans="2:76" ht="14.25">
      <c r="B1494" s="36"/>
      <c r="C1494" s="36"/>
      <c r="D1494" s="36"/>
      <c r="E1494" s="36"/>
      <c r="F1494" s="36"/>
      <c r="G1494" s="36"/>
      <c r="H1494" s="36"/>
      <c r="J1494" s="36"/>
      <c r="L1494" s="1" t="str">
        <f t="shared" si="115"/>
        <v/>
      </c>
      <c r="M1494" s="94">
        <v>1489</v>
      </c>
      <c r="N1494" s="36" t="s">
        <v>3150</v>
      </c>
      <c r="O1494" s="95">
        <v>311196</v>
      </c>
      <c r="P1494" s="36"/>
      <c r="AI1494" s="122">
        <v>1182</v>
      </c>
      <c r="AJ1494" s="1" t="s">
        <v>2843</v>
      </c>
      <c r="AK1494" s="1">
        <v>310889</v>
      </c>
      <c r="AL1494" s="1" t="s">
        <v>930</v>
      </c>
      <c r="AN1494" s="270">
        <v>588</v>
      </c>
      <c r="BS1494" s="1">
        <v>11121</v>
      </c>
      <c r="BT1494" s="1" t="s">
        <v>41</v>
      </c>
      <c r="BX1494" s="36"/>
    </row>
    <row r="1495" spans="2:76" ht="14.25">
      <c r="B1495" s="36"/>
      <c r="C1495" s="36"/>
      <c r="D1495" s="36"/>
      <c r="E1495" s="36"/>
      <c r="F1495" s="36"/>
      <c r="G1495" s="36"/>
      <c r="H1495" s="36"/>
      <c r="J1495" s="36"/>
      <c r="L1495" s="1" t="str">
        <f t="shared" si="115"/>
        <v/>
      </c>
      <c r="M1495" s="94">
        <v>1490</v>
      </c>
      <c r="N1495" s="36" t="s">
        <v>3151</v>
      </c>
      <c r="O1495" s="95">
        <v>311197</v>
      </c>
      <c r="P1495" s="36"/>
      <c r="AI1495" s="122">
        <v>1183</v>
      </c>
      <c r="AJ1495" s="1" t="s">
        <v>2844</v>
      </c>
      <c r="AK1495" s="1">
        <v>310890</v>
      </c>
      <c r="AL1495" s="1" t="s">
        <v>115</v>
      </c>
      <c r="AN1495" s="270">
        <v>589</v>
      </c>
      <c r="BS1495" s="1">
        <v>11122</v>
      </c>
      <c r="BT1495" s="1" t="s">
        <v>41</v>
      </c>
      <c r="BX1495" s="36"/>
    </row>
    <row r="1496" spans="2:76" ht="14.25">
      <c r="B1496" s="36"/>
      <c r="C1496" s="36"/>
      <c r="D1496" s="36"/>
      <c r="E1496" s="36"/>
      <c r="F1496" s="36"/>
      <c r="G1496" s="36"/>
      <c r="H1496" s="36"/>
      <c r="J1496" s="36"/>
      <c r="L1496" s="1" t="str">
        <f t="shared" si="115"/>
        <v/>
      </c>
      <c r="M1496" s="94">
        <v>1491</v>
      </c>
      <c r="N1496" s="36" t="s">
        <v>3152</v>
      </c>
      <c r="O1496" s="95">
        <v>311198</v>
      </c>
      <c r="P1496" s="36"/>
      <c r="AI1496" s="122">
        <v>1184</v>
      </c>
      <c r="AJ1496" s="1" t="s">
        <v>2845</v>
      </c>
      <c r="AK1496" s="1">
        <v>310891</v>
      </c>
      <c r="AL1496" s="1" t="s">
        <v>930</v>
      </c>
      <c r="AN1496" s="270">
        <v>590</v>
      </c>
      <c r="BS1496" s="1">
        <v>11123</v>
      </c>
      <c r="BT1496" s="1" t="s">
        <v>45</v>
      </c>
      <c r="BX1496" s="36"/>
    </row>
    <row r="1497" spans="2:76" ht="14.25">
      <c r="B1497" s="36"/>
      <c r="C1497" s="36"/>
      <c r="D1497" s="36"/>
      <c r="E1497" s="36"/>
      <c r="F1497" s="36"/>
      <c r="G1497" s="36"/>
      <c r="H1497" s="36"/>
      <c r="J1497" s="36"/>
      <c r="L1497" s="1" t="str">
        <f t="shared" si="115"/>
        <v/>
      </c>
      <c r="M1497" s="94">
        <v>1492</v>
      </c>
      <c r="N1497" s="36" t="s">
        <v>3153</v>
      </c>
      <c r="O1497" s="95">
        <v>311199</v>
      </c>
      <c r="P1497" s="36"/>
      <c r="AI1497" s="122">
        <v>1185</v>
      </c>
      <c r="AJ1497" s="1" t="s">
        <v>2846</v>
      </c>
      <c r="AK1497" s="1">
        <v>310892</v>
      </c>
      <c r="AL1497" s="1" t="s">
        <v>115</v>
      </c>
      <c r="AN1497" s="270">
        <v>591</v>
      </c>
      <c r="BS1497" s="1">
        <v>11124</v>
      </c>
      <c r="BT1497" s="1" t="s">
        <v>41</v>
      </c>
      <c r="BX1497" s="36"/>
    </row>
    <row r="1498" spans="2:76" ht="14.25">
      <c r="B1498" s="36"/>
      <c r="C1498" s="36"/>
      <c r="D1498" s="36"/>
      <c r="E1498" s="36"/>
      <c r="F1498" s="36"/>
      <c r="G1498" s="36"/>
      <c r="H1498" s="36"/>
      <c r="J1498" s="36"/>
      <c r="L1498" s="1" t="str">
        <f t="shared" si="115"/>
        <v/>
      </c>
      <c r="M1498" s="94">
        <v>1493</v>
      </c>
      <c r="N1498" s="36" t="s">
        <v>3154</v>
      </c>
      <c r="O1498" s="95">
        <v>311200</v>
      </c>
      <c r="P1498" s="36"/>
      <c r="AI1498" s="122">
        <v>1186</v>
      </c>
      <c r="AJ1498" s="1" t="s">
        <v>2847</v>
      </c>
      <c r="AK1498" s="1">
        <v>310893</v>
      </c>
      <c r="AL1498" s="1" t="s">
        <v>930</v>
      </c>
      <c r="AN1498" s="270">
        <v>592</v>
      </c>
      <c r="BS1498" s="1">
        <v>11125</v>
      </c>
      <c r="BT1498" s="1" t="s">
        <v>41</v>
      </c>
      <c r="BX1498" s="36"/>
    </row>
    <row r="1499" spans="2:76" ht="14.25">
      <c r="B1499" s="36"/>
      <c r="C1499" s="36"/>
      <c r="D1499" s="36"/>
      <c r="E1499" s="36"/>
      <c r="F1499" s="36"/>
      <c r="G1499" s="36"/>
      <c r="H1499" s="36"/>
      <c r="J1499" s="36"/>
      <c r="L1499" s="1" t="str">
        <f t="shared" si="115"/>
        <v/>
      </c>
      <c r="M1499" s="94">
        <v>1494</v>
      </c>
      <c r="N1499" s="36" t="s">
        <v>3155</v>
      </c>
      <c r="O1499" s="95">
        <v>311201</v>
      </c>
      <c r="P1499" s="36"/>
      <c r="AI1499" s="122">
        <v>1187</v>
      </c>
      <c r="AJ1499" s="1" t="s">
        <v>2848</v>
      </c>
      <c r="AK1499" s="1">
        <v>310894</v>
      </c>
      <c r="AL1499" s="1" t="s">
        <v>930</v>
      </c>
      <c r="AN1499" s="270">
        <v>593</v>
      </c>
      <c r="BS1499" s="1">
        <v>11126</v>
      </c>
      <c r="BT1499" s="1" t="s">
        <v>41</v>
      </c>
      <c r="BX1499" s="36"/>
    </row>
    <row r="1500" spans="2:76" ht="14.25">
      <c r="B1500" s="36"/>
      <c r="C1500" s="36"/>
      <c r="D1500" s="36"/>
      <c r="E1500" s="36"/>
      <c r="F1500" s="36"/>
      <c r="G1500" s="36"/>
      <c r="H1500" s="36"/>
      <c r="J1500" s="36"/>
      <c r="L1500" s="1" t="str">
        <f t="shared" si="115"/>
        <v/>
      </c>
      <c r="M1500" s="94">
        <v>1495</v>
      </c>
      <c r="N1500" s="36" t="s">
        <v>3156</v>
      </c>
      <c r="O1500" s="95">
        <v>311202</v>
      </c>
      <c r="P1500" s="36"/>
      <c r="AI1500" s="122">
        <v>1188</v>
      </c>
      <c r="AJ1500" s="1" t="s">
        <v>2849</v>
      </c>
      <c r="AK1500" s="1">
        <v>310895</v>
      </c>
      <c r="AL1500" s="1" t="s">
        <v>115</v>
      </c>
      <c r="AN1500" s="270">
        <v>594</v>
      </c>
      <c r="BS1500" s="1">
        <v>11127</v>
      </c>
      <c r="BT1500" s="1" t="s">
        <v>41</v>
      </c>
      <c r="BX1500" s="36"/>
    </row>
    <row r="1501" spans="2:76" ht="14.25">
      <c r="B1501" s="36"/>
      <c r="C1501" s="36"/>
      <c r="D1501" s="36"/>
      <c r="E1501" s="36"/>
      <c r="F1501" s="36"/>
      <c r="G1501" s="36"/>
      <c r="H1501" s="36"/>
      <c r="J1501" s="36"/>
      <c r="L1501" s="1" t="str">
        <f t="shared" si="115"/>
        <v/>
      </c>
      <c r="M1501" s="94">
        <v>1496</v>
      </c>
      <c r="N1501" s="36" t="s">
        <v>3157</v>
      </c>
      <c r="O1501" s="95">
        <v>311203</v>
      </c>
      <c r="P1501" s="36"/>
      <c r="AI1501" s="122">
        <v>1189</v>
      </c>
      <c r="AJ1501" s="1" t="s">
        <v>2850</v>
      </c>
      <c r="AK1501" s="1">
        <v>310896</v>
      </c>
      <c r="AL1501" s="1" t="s">
        <v>930</v>
      </c>
      <c r="AN1501" s="270">
        <v>595</v>
      </c>
      <c r="BS1501" s="1">
        <v>11128</v>
      </c>
      <c r="BT1501" s="1" t="s">
        <v>41</v>
      </c>
      <c r="BX1501" s="36"/>
    </row>
    <row r="1502" spans="2:76" ht="14.25">
      <c r="B1502" s="36"/>
      <c r="C1502" s="36"/>
      <c r="D1502" s="36"/>
      <c r="E1502" s="36"/>
      <c r="F1502" s="36"/>
      <c r="G1502" s="36"/>
      <c r="H1502" s="36"/>
      <c r="J1502" s="36"/>
      <c r="L1502" s="1" t="str">
        <f t="shared" si="115"/>
        <v/>
      </c>
      <c r="M1502" s="94">
        <v>1497</v>
      </c>
      <c r="N1502" s="36" t="s">
        <v>3158</v>
      </c>
      <c r="O1502" s="95">
        <v>311204</v>
      </c>
      <c r="P1502" s="36"/>
      <c r="AI1502" s="122">
        <v>1190</v>
      </c>
      <c r="AJ1502" s="1" t="s">
        <v>2851</v>
      </c>
      <c r="AK1502" s="1">
        <v>310897</v>
      </c>
      <c r="AL1502" s="1" t="s">
        <v>115</v>
      </c>
      <c r="AN1502" s="270">
        <v>596</v>
      </c>
      <c r="BS1502" s="1">
        <v>11129</v>
      </c>
      <c r="BT1502" s="1" t="s">
        <v>41</v>
      </c>
      <c r="BX1502" s="36"/>
    </row>
    <row r="1503" spans="2:76" ht="14.25">
      <c r="B1503" s="36"/>
      <c r="C1503" s="36"/>
      <c r="D1503" s="36"/>
      <c r="E1503" s="36"/>
      <c r="F1503" s="36"/>
      <c r="G1503" s="36"/>
      <c r="H1503" s="36"/>
      <c r="J1503" s="36"/>
      <c r="L1503" s="1" t="str">
        <f t="shared" si="115"/>
        <v/>
      </c>
      <c r="M1503" s="94">
        <v>1498</v>
      </c>
      <c r="N1503" s="36" t="s">
        <v>3159</v>
      </c>
      <c r="O1503" s="95">
        <v>311205</v>
      </c>
      <c r="P1503" s="36"/>
      <c r="AI1503" s="122">
        <v>1191</v>
      </c>
      <c r="AJ1503" s="1" t="s">
        <v>2852</v>
      </c>
      <c r="AK1503" s="1">
        <v>310898</v>
      </c>
      <c r="AL1503" s="1" t="s">
        <v>930</v>
      </c>
      <c r="AN1503" s="270">
        <v>597</v>
      </c>
      <c r="BS1503" s="1">
        <v>11130</v>
      </c>
      <c r="BT1503" s="1" t="s">
        <v>41</v>
      </c>
      <c r="BX1503" s="36"/>
    </row>
    <row r="1504" spans="2:76" ht="14.25">
      <c r="B1504" s="36"/>
      <c r="C1504" s="36"/>
      <c r="D1504" s="36"/>
      <c r="E1504" s="36"/>
      <c r="F1504" s="36"/>
      <c r="G1504" s="36"/>
      <c r="H1504" s="36"/>
      <c r="J1504" s="36"/>
      <c r="L1504" s="1" t="str">
        <f t="shared" si="115"/>
        <v/>
      </c>
      <c r="M1504" s="94">
        <v>1499</v>
      </c>
      <c r="N1504" s="36" t="s">
        <v>3160</v>
      </c>
      <c r="O1504" s="95">
        <v>311206</v>
      </c>
      <c r="P1504" s="36"/>
      <c r="AI1504" s="122">
        <v>1192</v>
      </c>
      <c r="AJ1504" s="1" t="s">
        <v>2853</v>
      </c>
      <c r="AK1504" s="1">
        <v>310899</v>
      </c>
      <c r="AL1504" s="1" t="s">
        <v>115</v>
      </c>
      <c r="AN1504" s="270">
        <v>598</v>
      </c>
      <c r="BS1504" s="1">
        <v>11131</v>
      </c>
      <c r="BT1504" s="1" t="s">
        <v>41</v>
      </c>
      <c r="BX1504" s="36"/>
    </row>
    <row r="1505" spans="2:76" ht="14.25">
      <c r="B1505" s="36"/>
      <c r="C1505" s="36"/>
      <c r="D1505" s="36"/>
      <c r="E1505" s="36"/>
      <c r="F1505" s="36"/>
      <c r="G1505" s="36"/>
      <c r="H1505" s="36"/>
      <c r="J1505" s="36"/>
      <c r="L1505" s="1" t="str">
        <f t="shared" si="115"/>
        <v/>
      </c>
      <c r="M1505" s="94">
        <v>1500</v>
      </c>
      <c r="N1505" s="36" t="s">
        <v>3161</v>
      </c>
      <c r="O1505" s="95">
        <v>311207</v>
      </c>
      <c r="P1505" s="36"/>
      <c r="AI1505" s="122">
        <v>1193</v>
      </c>
      <c r="AJ1505" s="1" t="s">
        <v>2854</v>
      </c>
      <c r="AK1505" s="1">
        <v>310900</v>
      </c>
      <c r="AL1505" s="1" t="s">
        <v>930</v>
      </c>
      <c r="AN1505" s="270">
        <v>599</v>
      </c>
      <c r="BS1505" s="1">
        <v>11132</v>
      </c>
      <c r="BT1505" s="1" t="s">
        <v>41</v>
      </c>
      <c r="BX1505" s="36"/>
    </row>
    <row r="1506" spans="2:76" ht="14.25">
      <c r="B1506" s="36"/>
      <c r="C1506" s="36"/>
      <c r="D1506" s="36"/>
      <c r="E1506" s="36"/>
      <c r="F1506" s="36"/>
      <c r="G1506" s="36"/>
      <c r="H1506" s="36"/>
      <c r="J1506" s="36"/>
      <c r="L1506" s="1" t="str">
        <f t="shared" si="115"/>
        <v/>
      </c>
      <c r="M1506" s="94">
        <v>1501</v>
      </c>
      <c r="N1506" s="36" t="s">
        <v>3162</v>
      </c>
      <c r="O1506" s="95">
        <v>311208</v>
      </c>
      <c r="P1506" s="36"/>
      <c r="AI1506" s="122">
        <v>1194</v>
      </c>
      <c r="AJ1506" s="1" t="s">
        <v>2855</v>
      </c>
      <c r="AK1506" s="1">
        <v>310901</v>
      </c>
      <c r="AL1506" s="1" t="s">
        <v>930</v>
      </c>
      <c r="AN1506" s="270">
        <v>600</v>
      </c>
      <c r="BS1506" s="1">
        <v>11133</v>
      </c>
      <c r="BT1506" s="1" t="s">
        <v>41</v>
      </c>
      <c r="BX1506" s="36"/>
    </row>
    <row r="1507" spans="2:76" ht="14.25">
      <c r="B1507" s="36"/>
      <c r="C1507" s="36"/>
      <c r="D1507" s="36"/>
      <c r="E1507" s="36"/>
      <c r="F1507" s="36"/>
      <c r="G1507" s="36"/>
      <c r="H1507" s="36"/>
      <c r="J1507" s="36"/>
      <c r="L1507" s="1" t="str">
        <f t="shared" si="115"/>
        <v/>
      </c>
      <c r="M1507" s="94">
        <v>1502</v>
      </c>
      <c r="N1507" s="36" t="s">
        <v>3163</v>
      </c>
      <c r="O1507" s="95">
        <v>311209</v>
      </c>
      <c r="P1507" s="36"/>
      <c r="AI1507" s="122">
        <v>1195</v>
      </c>
      <c r="AJ1507" s="1" t="s">
        <v>2856</v>
      </c>
      <c r="AK1507" s="1">
        <v>310902</v>
      </c>
      <c r="AL1507" s="1" t="s">
        <v>115</v>
      </c>
      <c r="AN1507" s="270">
        <v>601</v>
      </c>
      <c r="BS1507" s="1">
        <v>11134</v>
      </c>
      <c r="BT1507" s="1" t="s">
        <v>246</v>
      </c>
      <c r="BX1507" s="36"/>
    </row>
    <row r="1508" spans="2:76" ht="14.25">
      <c r="B1508" s="36"/>
      <c r="C1508" s="36"/>
      <c r="D1508" s="36"/>
      <c r="E1508" s="36"/>
      <c r="F1508" s="36"/>
      <c r="G1508" s="36"/>
      <c r="H1508" s="36"/>
      <c r="J1508" s="36"/>
      <c r="L1508" s="1" t="str">
        <f t="shared" si="115"/>
        <v/>
      </c>
      <c r="M1508" s="94">
        <v>1503</v>
      </c>
      <c r="N1508" s="36" t="s">
        <v>3164</v>
      </c>
      <c r="O1508" s="95">
        <v>311210</v>
      </c>
      <c r="P1508" s="36"/>
      <c r="AI1508" s="122">
        <v>1196</v>
      </c>
      <c r="AJ1508" s="1" t="s">
        <v>2857</v>
      </c>
      <c r="AK1508" s="1">
        <v>310903</v>
      </c>
      <c r="AL1508" s="1" t="s">
        <v>930</v>
      </c>
      <c r="AN1508" s="270">
        <v>602</v>
      </c>
      <c r="BS1508" s="1">
        <v>11135</v>
      </c>
      <c r="BT1508" s="1" t="s">
        <v>41</v>
      </c>
      <c r="BX1508" s="36"/>
    </row>
    <row r="1509" spans="2:76" ht="14.25">
      <c r="B1509" s="36"/>
      <c r="C1509" s="36"/>
      <c r="D1509" s="36"/>
      <c r="E1509" s="36"/>
      <c r="F1509" s="36"/>
      <c r="G1509" s="36"/>
      <c r="H1509" s="36"/>
      <c r="J1509" s="36"/>
      <c r="L1509" s="1" t="str">
        <f t="shared" si="115"/>
        <v/>
      </c>
      <c r="M1509" s="94">
        <v>1504</v>
      </c>
      <c r="N1509" s="36" t="s">
        <v>3165</v>
      </c>
      <c r="O1509" s="95">
        <v>311211</v>
      </c>
      <c r="P1509" s="36"/>
      <c r="AI1509" s="122">
        <v>1197</v>
      </c>
      <c r="AJ1509" s="1" t="s">
        <v>2858</v>
      </c>
      <c r="AK1509" s="1">
        <v>310904</v>
      </c>
      <c r="AL1509" s="1" t="s">
        <v>115</v>
      </c>
      <c r="AN1509" s="270">
        <v>603</v>
      </c>
      <c r="BS1509" s="1">
        <v>11136</v>
      </c>
      <c r="BT1509" s="1" t="s">
        <v>41</v>
      </c>
      <c r="BX1509" s="36"/>
    </row>
    <row r="1510" spans="2:76" ht="14.25">
      <c r="B1510" s="36"/>
      <c r="C1510" s="36"/>
      <c r="D1510" s="36"/>
      <c r="E1510" s="36"/>
      <c r="F1510" s="36"/>
      <c r="G1510" s="36"/>
      <c r="H1510" s="36"/>
      <c r="J1510" s="36"/>
      <c r="L1510" s="1" t="str">
        <f t="shared" si="115"/>
        <v/>
      </c>
      <c r="M1510" s="94">
        <v>1505</v>
      </c>
      <c r="N1510" s="36" t="s">
        <v>3166</v>
      </c>
      <c r="O1510" s="95">
        <v>311212</v>
      </c>
      <c r="P1510" s="36"/>
      <c r="AI1510" s="122">
        <v>1198</v>
      </c>
      <c r="AJ1510" s="1" t="s">
        <v>2859</v>
      </c>
      <c r="AK1510" s="1">
        <v>310905</v>
      </c>
      <c r="AL1510" s="1" t="s">
        <v>930</v>
      </c>
      <c r="AN1510" s="270">
        <v>604</v>
      </c>
      <c r="BS1510" s="1">
        <v>11137</v>
      </c>
      <c r="BT1510" s="1" t="s">
        <v>40</v>
      </c>
      <c r="BX1510" s="36"/>
    </row>
    <row r="1511" spans="2:76" ht="14.25">
      <c r="B1511" s="36"/>
      <c r="C1511" s="36"/>
      <c r="D1511" s="36"/>
      <c r="E1511" s="36"/>
      <c r="F1511" s="36"/>
      <c r="G1511" s="36"/>
      <c r="H1511" s="36"/>
      <c r="J1511" s="36"/>
      <c r="L1511" s="1" t="str">
        <f t="shared" si="115"/>
        <v/>
      </c>
      <c r="M1511" s="94">
        <v>1506</v>
      </c>
      <c r="N1511" s="36" t="s">
        <v>3167</v>
      </c>
      <c r="O1511" s="95">
        <v>311213</v>
      </c>
      <c r="P1511" s="36"/>
      <c r="AI1511" s="122">
        <v>1199</v>
      </c>
      <c r="AJ1511" s="1" t="s">
        <v>2860</v>
      </c>
      <c r="AK1511" s="1">
        <v>310906</v>
      </c>
      <c r="AL1511" s="1" t="s">
        <v>115</v>
      </c>
      <c r="AN1511" s="270">
        <v>605</v>
      </c>
      <c r="BS1511" s="1">
        <v>11138</v>
      </c>
      <c r="BT1511" s="1" t="s">
        <v>40</v>
      </c>
      <c r="BX1511" s="36"/>
    </row>
    <row r="1512" spans="2:76" ht="14.25">
      <c r="B1512" s="36"/>
      <c r="C1512" s="36"/>
      <c r="D1512" s="36"/>
      <c r="E1512" s="36"/>
      <c r="F1512" s="36"/>
      <c r="G1512" s="36"/>
      <c r="H1512" s="36"/>
      <c r="J1512" s="36"/>
      <c r="L1512" s="1" t="str">
        <f t="shared" si="115"/>
        <v/>
      </c>
      <c r="M1512" s="94">
        <v>1507</v>
      </c>
      <c r="N1512" s="36" t="s">
        <v>3168</v>
      </c>
      <c r="O1512" s="95">
        <v>311214</v>
      </c>
      <c r="P1512" s="36"/>
      <c r="AI1512" s="122">
        <v>1200</v>
      </c>
      <c r="AJ1512" s="1" t="s">
        <v>2861</v>
      </c>
      <c r="AK1512" s="1">
        <v>310907</v>
      </c>
      <c r="AL1512" s="1" t="s">
        <v>930</v>
      </c>
      <c r="AN1512" s="270">
        <v>606</v>
      </c>
      <c r="BS1512" s="1">
        <v>11139</v>
      </c>
      <c r="BT1512" s="1" t="s">
        <v>40</v>
      </c>
      <c r="BX1512" s="36"/>
    </row>
    <row r="1513" spans="2:76" ht="14.25">
      <c r="B1513" s="36"/>
      <c r="C1513" s="36"/>
      <c r="D1513" s="36"/>
      <c r="E1513" s="36"/>
      <c r="F1513" s="36"/>
      <c r="G1513" s="36"/>
      <c r="H1513" s="36"/>
      <c r="J1513" s="36"/>
      <c r="L1513" s="1" t="str">
        <f t="shared" si="115"/>
        <v/>
      </c>
      <c r="M1513" s="94">
        <v>1508</v>
      </c>
      <c r="N1513" s="36" t="s">
        <v>3169</v>
      </c>
      <c r="O1513" s="95">
        <v>311215</v>
      </c>
      <c r="P1513" s="36"/>
      <c r="AI1513" s="122">
        <v>1201</v>
      </c>
      <c r="AJ1513" s="1" t="s">
        <v>2862</v>
      </c>
      <c r="AK1513" s="1">
        <v>310908</v>
      </c>
      <c r="AL1513" s="1" t="s">
        <v>930</v>
      </c>
      <c r="AN1513" s="270">
        <v>607</v>
      </c>
      <c r="BS1513" s="1">
        <v>11140</v>
      </c>
      <c r="BT1513" s="1" t="s">
        <v>41</v>
      </c>
      <c r="BX1513" s="36"/>
    </row>
    <row r="1514" spans="2:76" ht="14.25">
      <c r="B1514" s="36"/>
      <c r="C1514" s="36"/>
      <c r="D1514" s="36"/>
      <c r="E1514" s="36"/>
      <c r="F1514" s="36"/>
      <c r="G1514" s="36"/>
      <c r="H1514" s="36"/>
      <c r="J1514" s="36"/>
      <c r="L1514" s="1" t="str">
        <f t="shared" si="115"/>
        <v/>
      </c>
      <c r="M1514" s="94">
        <v>1509</v>
      </c>
      <c r="N1514" s="36" t="s">
        <v>3170</v>
      </c>
      <c r="O1514" s="95">
        <v>311216</v>
      </c>
      <c r="P1514" s="36"/>
      <c r="AI1514" s="122">
        <v>1202</v>
      </c>
      <c r="AJ1514" s="1" t="s">
        <v>2863</v>
      </c>
      <c r="AK1514" s="1">
        <v>310909</v>
      </c>
      <c r="AL1514" s="1" t="s">
        <v>115</v>
      </c>
      <c r="AN1514" s="270">
        <v>608</v>
      </c>
      <c r="BS1514" s="1">
        <v>11141</v>
      </c>
      <c r="BT1514" s="1" t="s">
        <v>40</v>
      </c>
      <c r="BX1514" s="36"/>
    </row>
    <row r="1515" spans="2:76" ht="14.25">
      <c r="B1515" s="36"/>
      <c r="C1515" s="36"/>
      <c r="D1515" s="36"/>
      <c r="E1515" s="36"/>
      <c r="F1515" s="36"/>
      <c r="G1515" s="36"/>
      <c r="H1515" s="36"/>
      <c r="J1515" s="36"/>
      <c r="L1515" s="1" t="str">
        <f t="shared" si="115"/>
        <v/>
      </c>
      <c r="M1515" s="94">
        <v>1510</v>
      </c>
      <c r="N1515" s="36" t="s">
        <v>3171</v>
      </c>
      <c r="O1515" s="95">
        <v>311217</v>
      </c>
      <c r="P1515" s="36"/>
      <c r="AI1515" s="122">
        <v>1203</v>
      </c>
      <c r="AJ1515" s="1" t="s">
        <v>2864</v>
      </c>
      <c r="AK1515" s="1">
        <v>310910</v>
      </c>
      <c r="AL1515" s="1" t="s">
        <v>930</v>
      </c>
      <c r="AN1515" s="270">
        <v>609</v>
      </c>
      <c r="BS1515" s="1">
        <v>11142</v>
      </c>
      <c r="BT1515" s="1" t="s">
        <v>41</v>
      </c>
      <c r="BX1515" s="36"/>
    </row>
    <row r="1516" spans="2:76" ht="14.25">
      <c r="B1516" s="36"/>
      <c r="C1516" s="36"/>
      <c r="D1516" s="36"/>
      <c r="E1516" s="36"/>
      <c r="F1516" s="36"/>
      <c r="G1516" s="36"/>
      <c r="H1516" s="36"/>
      <c r="J1516" s="36"/>
      <c r="L1516" s="1" t="str">
        <f t="shared" si="115"/>
        <v/>
      </c>
      <c r="M1516" s="94">
        <v>1511</v>
      </c>
      <c r="N1516" s="36" t="s">
        <v>3172</v>
      </c>
      <c r="O1516" s="95">
        <v>311218</v>
      </c>
      <c r="P1516" s="36"/>
      <c r="AI1516" s="122">
        <v>1204</v>
      </c>
      <c r="AJ1516" s="1" t="s">
        <v>2865</v>
      </c>
      <c r="AK1516" s="1">
        <v>310911</v>
      </c>
      <c r="AL1516" s="1" t="s">
        <v>115</v>
      </c>
      <c r="AN1516" s="270">
        <v>610</v>
      </c>
      <c r="BS1516" s="1">
        <v>11143</v>
      </c>
      <c r="BT1516" s="1" t="s">
        <v>41</v>
      </c>
      <c r="BX1516" s="36"/>
    </row>
    <row r="1517" spans="2:76" ht="14.25">
      <c r="B1517" s="36"/>
      <c r="C1517" s="36"/>
      <c r="D1517" s="36"/>
      <c r="E1517" s="36"/>
      <c r="F1517" s="36"/>
      <c r="G1517" s="36"/>
      <c r="H1517" s="36"/>
      <c r="J1517" s="36"/>
      <c r="L1517" s="1" t="str">
        <f t="shared" si="115"/>
        <v/>
      </c>
      <c r="M1517" s="94">
        <v>1512</v>
      </c>
      <c r="N1517" s="36" t="s">
        <v>3173</v>
      </c>
      <c r="O1517" s="95">
        <v>311219</v>
      </c>
      <c r="P1517" s="36"/>
      <c r="AI1517" s="122">
        <v>1205</v>
      </c>
      <c r="AJ1517" s="1" t="s">
        <v>2866</v>
      </c>
      <c r="AK1517" s="1">
        <v>310912</v>
      </c>
      <c r="AL1517" s="1" t="s">
        <v>930</v>
      </c>
      <c r="AN1517" s="270">
        <v>611</v>
      </c>
      <c r="BS1517" s="1">
        <v>11144</v>
      </c>
      <c r="BT1517" s="1" t="s">
        <v>47</v>
      </c>
      <c r="BX1517" s="36"/>
    </row>
    <row r="1518" spans="2:76" ht="14.25">
      <c r="B1518" s="36"/>
      <c r="C1518" s="36"/>
      <c r="D1518" s="36"/>
      <c r="E1518" s="36"/>
      <c r="F1518" s="36"/>
      <c r="G1518" s="36"/>
      <c r="H1518" s="36"/>
      <c r="J1518" s="36"/>
      <c r="L1518" s="1" t="str">
        <f t="shared" si="115"/>
        <v/>
      </c>
      <c r="M1518" s="94">
        <v>1513</v>
      </c>
      <c r="N1518" s="36" t="s">
        <v>3174</v>
      </c>
      <c r="O1518" s="95">
        <v>311220</v>
      </c>
      <c r="P1518" s="36"/>
      <c r="AI1518" s="122">
        <v>1206</v>
      </c>
      <c r="AJ1518" s="1" t="s">
        <v>2867</v>
      </c>
      <c r="AK1518" s="1">
        <v>310913</v>
      </c>
      <c r="AL1518" s="1" t="s">
        <v>115</v>
      </c>
      <c r="AN1518" s="270">
        <v>612</v>
      </c>
      <c r="BS1518" s="1">
        <v>11145</v>
      </c>
      <c r="BT1518" s="1" t="s">
        <v>41</v>
      </c>
      <c r="BX1518" s="36"/>
    </row>
    <row r="1519" spans="2:76" ht="14.25">
      <c r="B1519" s="36"/>
      <c r="C1519" s="36"/>
      <c r="D1519" s="36"/>
      <c r="E1519" s="36"/>
      <c r="F1519" s="36"/>
      <c r="G1519" s="36"/>
      <c r="H1519" s="36"/>
      <c r="J1519" s="36"/>
      <c r="L1519" s="1" t="str">
        <f t="shared" si="115"/>
        <v/>
      </c>
      <c r="M1519" s="94">
        <v>1514</v>
      </c>
      <c r="N1519" s="36" t="s">
        <v>3175</v>
      </c>
      <c r="O1519" s="95">
        <v>311221</v>
      </c>
      <c r="P1519" s="36"/>
      <c r="AI1519" s="122">
        <v>1207</v>
      </c>
      <c r="AJ1519" s="1" t="s">
        <v>2868</v>
      </c>
      <c r="AK1519" s="1">
        <v>310914</v>
      </c>
      <c r="AL1519" s="1" t="s">
        <v>930</v>
      </c>
      <c r="AN1519" s="270">
        <v>613</v>
      </c>
      <c r="BS1519" s="1">
        <v>11146</v>
      </c>
      <c r="BT1519" s="1" t="s">
        <v>40</v>
      </c>
      <c r="BX1519" s="36"/>
    </row>
    <row r="1520" spans="2:76" ht="14.25">
      <c r="B1520" s="36"/>
      <c r="C1520" s="36"/>
      <c r="D1520" s="36"/>
      <c r="E1520" s="36"/>
      <c r="F1520" s="36"/>
      <c r="G1520" s="36"/>
      <c r="H1520" s="36"/>
      <c r="J1520" s="36"/>
      <c r="L1520" s="1" t="str">
        <f t="shared" si="115"/>
        <v/>
      </c>
      <c r="M1520" s="94">
        <v>1515</v>
      </c>
      <c r="N1520" s="36" t="s">
        <v>3176</v>
      </c>
      <c r="O1520" s="95">
        <v>311222</v>
      </c>
      <c r="P1520" s="36"/>
      <c r="AI1520" s="122">
        <v>1208</v>
      </c>
      <c r="AJ1520" s="1" t="s">
        <v>2869</v>
      </c>
      <c r="AK1520" s="1">
        <v>310915</v>
      </c>
      <c r="AL1520" s="1" t="s">
        <v>930</v>
      </c>
      <c r="AN1520" s="270">
        <v>614</v>
      </c>
      <c r="BS1520" s="1">
        <v>11147</v>
      </c>
      <c r="BT1520" s="1" t="s">
        <v>41</v>
      </c>
      <c r="BX1520" s="36"/>
    </row>
    <row r="1521" spans="2:76" ht="14.25">
      <c r="B1521" s="36"/>
      <c r="C1521" s="36"/>
      <c r="D1521" s="36"/>
      <c r="E1521" s="36"/>
      <c r="F1521" s="36"/>
      <c r="G1521" s="36"/>
      <c r="H1521" s="36"/>
      <c r="J1521" s="36"/>
      <c r="L1521" s="1" t="str">
        <f t="shared" si="115"/>
        <v/>
      </c>
      <c r="M1521" s="94">
        <v>1516</v>
      </c>
      <c r="N1521" s="36" t="s">
        <v>3177</v>
      </c>
      <c r="O1521" s="95">
        <v>311223</v>
      </c>
      <c r="P1521" s="36"/>
      <c r="AI1521" s="122">
        <v>1209</v>
      </c>
      <c r="AJ1521" s="1" t="s">
        <v>2870</v>
      </c>
      <c r="AK1521" s="1">
        <v>310916</v>
      </c>
      <c r="AL1521" s="1" t="s">
        <v>115</v>
      </c>
      <c r="AN1521" s="270">
        <v>615</v>
      </c>
      <c r="BS1521" s="1">
        <v>11148</v>
      </c>
      <c r="BT1521" s="1" t="s">
        <v>41</v>
      </c>
      <c r="BX1521" s="36"/>
    </row>
    <row r="1522" spans="2:76" ht="14.25">
      <c r="B1522" s="36"/>
      <c r="C1522" s="36"/>
      <c r="D1522" s="36"/>
      <c r="E1522" s="36"/>
      <c r="F1522" s="36"/>
      <c r="G1522" s="36"/>
      <c r="H1522" s="36"/>
      <c r="J1522" s="36"/>
      <c r="L1522" s="1" t="str">
        <f t="shared" si="115"/>
        <v/>
      </c>
      <c r="M1522" s="94">
        <v>1517</v>
      </c>
      <c r="N1522" s="36" t="s">
        <v>3178</v>
      </c>
      <c r="O1522" s="95">
        <v>311224</v>
      </c>
      <c r="P1522" s="36"/>
      <c r="AI1522" s="122">
        <v>1210</v>
      </c>
      <c r="AJ1522" s="1" t="s">
        <v>2871</v>
      </c>
      <c r="AK1522" s="1">
        <v>310917</v>
      </c>
      <c r="AL1522" s="1" t="s">
        <v>930</v>
      </c>
      <c r="AN1522" s="270">
        <v>616</v>
      </c>
      <c r="BS1522" s="1">
        <v>11149</v>
      </c>
      <c r="BT1522" s="1" t="s">
        <v>41</v>
      </c>
      <c r="BX1522" s="36"/>
    </row>
    <row r="1523" spans="2:76" ht="14.25">
      <c r="B1523" s="36"/>
      <c r="C1523" s="36"/>
      <c r="D1523" s="36"/>
      <c r="E1523" s="36"/>
      <c r="F1523" s="36"/>
      <c r="G1523" s="36"/>
      <c r="H1523" s="36"/>
      <c r="J1523" s="36"/>
      <c r="L1523" s="1" t="str">
        <f t="shared" si="115"/>
        <v/>
      </c>
      <c r="M1523" s="94">
        <v>1518</v>
      </c>
      <c r="N1523" s="36" t="s">
        <v>3179</v>
      </c>
      <c r="O1523" s="95">
        <v>311225</v>
      </c>
      <c r="P1523" s="36"/>
      <c r="AI1523" s="122">
        <v>1211</v>
      </c>
      <c r="AJ1523" s="1" t="s">
        <v>2872</v>
      </c>
      <c r="AK1523" s="1">
        <v>310918</v>
      </c>
      <c r="AL1523" s="1" t="s">
        <v>115</v>
      </c>
      <c r="AN1523" s="270">
        <v>617</v>
      </c>
      <c r="BS1523" s="1">
        <v>11150</v>
      </c>
      <c r="BT1523" s="1" t="s">
        <v>41</v>
      </c>
      <c r="BX1523" s="36"/>
    </row>
    <row r="1524" spans="2:76" ht="14.25">
      <c r="B1524" s="36"/>
      <c r="C1524" s="36"/>
      <c r="D1524" s="36"/>
      <c r="E1524" s="36"/>
      <c r="F1524" s="36"/>
      <c r="G1524" s="36"/>
      <c r="H1524" s="36"/>
      <c r="J1524" s="36"/>
      <c r="L1524" s="1" t="str">
        <f t="shared" si="115"/>
        <v/>
      </c>
      <c r="M1524" s="94">
        <v>1519</v>
      </c>
      <c r="N1524" s="36" t="s">
        <v>3180</v>
      </c>
      <c r="O1524" s="95">
        <v>311226</v>
      </c>
      <c r="P1524" s="36"/>
      <c r="AI1524" s="122">
        <v>1212</v>
      </c>
      <c r="AJ1524" s="1" t="s">
        <v>2873</v>
      </c>
      <c r="AK1524" s="1">
        <v>310919</v>
      </c>
      <c r="AL1524" s="1" t="s">
        <v>930</v>
      </c>
      <c r="AN1524" s="270">
        <v>618</v>
      </c>
      <c r="BS1524" s="1">
        <v>11151</v>
      </c>
      <c r="BT1524" s="1" t="s">
        <v>40</v>
      </c>
      <c r="BX1524" s="36"/>
    </row>
    <row r="1525" spans="2:76" ht="14.25">
      <c r="B1525" s="36"/>
      <c r="C1525" s="36"/>
      <c r="D1525" s="36"/>
      <c r="E1525" s="36"/>
      <c r="F1525" s="36"/>
      <c r="G1525" s="36"/>
      <c r="H1525" s="36"/>
      <c r="J1525" s="36"/>
      <c r="L1525" s="1" t="str">
        <f t="shared" si="115"/>
        <v/>
      </c>
      <c r="M1525" s="94">
        <v>1520</v>
      </c>
      <c r="N1525" s="36" t="s">
        <v>3181</v>
      </c>
      <c r="O1525" s="95">
        <v>311227</v>
      </c>
      <c r="P1525" s="36"/>
      <c r="AI1525" s="122">
        <v>1213</v>
      </c>
      <c r="AJ1525" s="1" t="s">
        <v>2874</v>
      </c>
      <c r="AK1525" s="1">
        <v>310920</v>
      </c>
      <c r="AL1525" s="1" t="s">
        <v>115</v>
      </c>
      <c r="AN1525" s="270">
        <v>619</v>
      </c>
      <c r="BS1525" s="1">
        <v>11152</v>
      </c>
      <c r="BT1525" s="1" t="s">
        <v>40</v>
      </c>
      <c r="BX1525" s="36"/>
    </row>
    <row r="1526" spans="2:76" ht="14.25">
      <c r="B1526" s="36"/>
      <c r="C1526" s="36"/>
      <c r="D1526" s="36"/>
      <c r="E1526" s="36"/>
      <c r="F1526" s="36"/>
      <c r="G1526" s="36"/>
      <c r="H1526" s="36"/>
      <c r="J1526" s="36"/>
      <c r="L1526" s="1" t="str">
        <f t="shared" si="115"/>
        <v/>
      </c>
      <c r="M1526" s="94">
        <v>1521</v>
      </c>
      <c r="N1526" s="36" t="s">
        <v>3182</v>
      </c>
      <c r="O1526" s="95">
        <v>311228</v>
      </c>
      <c r="P1526" s="36"/>
      <c r="AI1526" s="122">
        <v>1214</v>
      </c>
      <c r="AJ1526" s="1" t="s">
        <v>2875</v>
      </c>
      <c r="AK1526" s="1">
        <v>310921</v>
      </c>
      <c r="AL1526" s="1" t="s">
        <v>930</v>
      </c>
      <c r="AN1526" s="270">
        <v>620</v>
      </c>
      <c r="BS1526" s="1">
        <v>11153</v>
      </c>
      <c r="BT1526" s="1" t="s">
        <v>40</v>
      </c>
      <c r="BX1526" s="36"/>
    </row>
    <row r="1527" spans="2:76" ht="14.25">
      <c r="B1527" s="36"/>
      <c r="C1527" s="36"/>
      <c r="D1527" s="36"/>
      <c r="E1527" s="36"/>
      <c r="F1527" s="36"/>
      <c r="G1527" s="36"/>
      <c r="H1527" s="36"/>
      <c r="J1527" s="36"/>
      <c r="L1527" s="1" t="str">
        <f t="shared" si="115"/>
        <v/>
      </c>
      <c r="M1527" s="94">
        <v>1522</v>
      </c>
      <c r="N1527" s="36" t="s">
        <v>3183</v>
      </c>
      <c r="O1527" s="95">
        <v>311229</v>
      </c>
      <c r="P1527" s="36"/>
      <c r="AI1527" s="122">
        <v>1215</v>
      </c>
      <c r="AJ1527" s="1" t="s">
        <v>2876</v>
      </c>
      <c r="AK1527" s="1">
        <v>310922</v>
      </c>
      <c r="AL1527" s="1" t="s">
        <v>115</v>
      </c>
      <c r="AN1527" s="270">
        <v>621</v>
      </c>
      <c r="BS1527" s="1">
        <v>11154</v>
      </c>
      <c r="BT1527" s="1" t="s">
        <v>47</v>
      </c>
      <c r="BX1527" s="36"/>
    </row>
    <row r="1528" spans="2:76" ht="14.25">
      <c r="B1528" s="36"/>
      <c r="C1528" s="36"/>
      <c r="D1528" s="36"/>
      <c r="E1528" s="36"/>
      <c r="F1528" s="36"/>
      <c r="G1528" s="36"/>
      <c r="H1528" s="36"/>
      <c r="J1528" s="36"/>
      <c r="L1528" s="1" t="str">
        <f t="shared" si="115"/>
        <v/>
      </c>
      <c r="M1528" s="94">
        <v>1523</v>
      </c>
      <c r="N1528" s="36" t="s">
        <v>3184</v>
      </c>
      <c r="O1528" s="95">
        <v>311230</v>
      </c>
      <c r="P1528" s="36"/>
      <c r="AI1528" s="122">
        <v>1216</v>
      </c>
      <c r="AJ1528" s="1" t="s">
        <v>2877</v>
      </c>
      <c r="AK1528" s="1">
        <v>310923</v>
      </c>
      <c r="AL1528" s="1" t="s">
        <v>930</v>
      </c>
      <c r="AN1528" s="270">
        <v>622</v>
      </c>
      <c r="BS1528" s="1">
        <v>11155</v>
      </c>
      <c r="BT1528" s="1" t="s">
        <v>40</v>
      </c>
      <c r="BX1528" s="36"/>
    </row>
    <row r="1529" spans="2:76" ht="14.25">
      <c r="B1529" s="36"/>
      <c r="C1529" s="36"/>
      <c r="D1529" s="36"/>
      <c r="E1529" s="36"/>
      <c r="F1529" s="36"/>
      <c r="G1529" s="36"/>
      <c r="H1529" s="36"/>
      <c r="J1529" s="36"/>
      <c r="L1529" s="1" t="str">
        <f t="shared" si="115"/>
        <v/>
      </c>
      <c r="M1529" s="94">
        <v>1524</v>
      </c>
      <c r="N1529" s="36" t="s">
        <v>3185</v>
      </c>
      <c r="O1529" s="95">
        <v>311231</v>
      </c>
      <c r="P1529" s="36"/>
      <c r="AI1529" s="122">
        <v>1217</v>
      </c>
      <c r="AJ1529" s="1" t="s">
        <v>2878</v>
      </c>
      <c r="AK1529" s="1">
        <v>310924</v>
      </c>
      <c r="AL1529" s="1" t="s">
        <v>930</v>
      </c>
      <c r="AN1529" s="270">
        <v>623</v>
      </c>
      <c r="BS1529" s="1">
        <v>11156</v>
      </c>
      <c r="BT1529" s="1" t="s">
        <v>40</v>
      </c>
      <c r="BX1529" s="36"/>
    </row>
    <row r="1530" spans="2:76" ht="14.25">
      <c r="B1530" s="36"/>
      <c r="C1530" s="36"/>
      <c r="D1530" s="36"/>
      <c r="E1530" s="36"/>
      <c r="F1530" s="36"/>
      <c r="G1530" s="36"/>
      <c r="H1530" s="36"/>
      <c r="J1530" s="36"/>
      <c r="L1530" s="1" t="str">
        <f t="shared" si="115"/>
        <v/>
      </c>
      <c r="M1530" s="94">
        <v>1525</v>
      </c>
      <c r="N1530" s="36" t="s">
        <v>3186</v>
      </c>
      <c r="O1530" s="95">
        <v>311232</v>
      </c>
      <c r="P1530" s="36"/>
      <c r="AI1530" s="122">
        <v>1218</v>
      </c>
      <c r="AJ1530" s="1" t="s">
        <v>2879</v>
      </c>
      <c r="AK1530" s="1">
        <v>310925</v>
      </c>
      <c r="AL1530" s="1" t="s">
        <v>115</v>
      </c>
      <c r="AN1530" s="270">
        <v>624</v>
      </c>
      <c r="BS1530" s="1">
        <v>11157</v>
      </c>
      <c r="BT1530" s="1" t="s">
        <v>40</v>
      </c>
      <c r="BX1530" s="36"/>
    </row>
    <row r="1531" spans="2:76" ht="14.25">
      <c r="B1531" s="36"/>
      <c r="C1531" s="36"/>
      <c r="D1531" s="36"/>
      <c r="E1531" s="36"/>
      <c r="F1531" s="36"/>
      <c r="G1531" s="36"/>
      <c r="H1531" s="36"/>
      <c r="J1531" s="36"/>
      <c r="L1531" s="1" t="str">
        <f t="shared" si="115"/>
        <v/>
      </c>
      <c r="M1531" s="94">
        <v>1526</v>
      </c>
      <c r="N1531" s="36" t="s">
        <v>3187</v>
      </c>
      <c r="O1531" s="95">
        <v>311233</v>
      </c>
      <c r="P1531" s="36"/>
      <c r="AI1531" s="122">
        <v>1219</v>
      </c>
      <c r="AJ1531" s="1" t="s">
        <v>2880</v>
      </c>
      <c r="AK1531" s="1">
        <v>310926</v>
      </c>
      <c r="AL1531" s="1" t="s">
        <v>930</v>
      </c>
      <c r="AN1531" s="270">
        <v>625</v>
      </c>
      <c r="BS1531" s="1">
        <v>11158</v>
      </c>
      <c r="BT1531" s="1" t="s">
        <v>40</v>
      </c>
      <c r="BX1531" s="36"/>
    </row>
    <row r="1532" spans="2:76" ht="14.25">
      <c r="B1532" s="36"/>
      <c r="C1532" s="36"/>
      <c r="D1532" s="36"/>
      <c r="E1532" s="36"/>
      <c r="F1532" s="36"/>
      <c r="G1532" s="36"/>
      <c r="H1532" s="36"/>
      <c r="J1532" s="36"/>
      <c r="L1532" s="1" t="str">
        <f t="shared" si="115"/>
        <v/>
      </c>
      <c r="M1532" s="94">
        <v>1527</v>
      </c>
      <c r="N1532" s="36" t="s">
        <v>3188</v>
      </c>
      <c r="O1532" s="95">
        <v>311234</v>
      </c>
      <c r="P1532" s="36"/>
      <c r="AI1532" s="122">
        <v>1220</v>
      </c>
      <c r="AJ1532" s="1" t="s">
        <v>2881</v>
      </c>
      <c r="AK1532" s="1">
        <v>310927</v>
      </c>
      <c r="AL1532" s="1" t="s">
        <v>115</v>
      </c>
      <c r="AN1532" s="270">
        <v>626</v>
      </c>
      <c r="BS1532" s="1">
        <v>11159</v>
      </c>
      <c r="BT1532" s="1" t="s">
        <v>40</v>
      </c>
      <c r="BX1532" s="36"/>
    </row>
    <row r="1533" spans="2:76" ht="14.25">
      <c r="B1533" s="36"/>
      <c r="C1533" s="36"/>
      <c r="D1533" s="36"/>
      <c r="E1533" s="36"/>
      <c r="F1533" s="36"/>
      <c r="G1533" s="36"/>
      <c r="H1533" s="36"/>
      <c r="J1533" s="36"/>
      <c r="L1533" s="1" t="str">
        <f t="shared" si="115"/>
        <v/>
      </c>
      <c r="M1533" s="94">
        <v>1528</v>
      </c>
      <c r="N1533" s="36" t="s">
        <v>3189</v>
      </c>
      <c r="O1533" s="95">
        <v>311235</v>
      </c>
      <c r="P1533" s="36"/>
      <c r="AI1533" s="122">
        <v>1221</v>
      </c>
      <c r="AJ1533" s="1" t="s">
        <v>2882</v>
      </c>
      <c r="AK1533" s="1">
        <v>310928</v>
      </c>
      <c r="AL1533" s="1" t="s">
        <v>930</v>
      </c>
      <c r="AN1533" s="270">
        <v>627</v>
      </c>
      <c r="BS1533" s="1">
        <v>11160</v>
      </c>
      <c r="BT1533" s="1" t="s">
        <v>40</v>
      </c>
      <c r="BX1533" s="36"/>
    </row>
    <row r="1534" spans="2:76" ht="14.25">
      <c r="B1534" s="36"/>
      <c r="C1534" s="36"/>
      <c r="D1534" s="36"/>
      <c r="E1534" s="36"/>
      <c r="F1534" s="36"/>
      <c r="G1534" s="36"/>
      <c r="H1534" s="36"/>
      <c r="J1534" s="36"/>
      <c r="L1534" s="1" t="str">
        <f t="shared" si="115"/>
        <v/>
      </c>
      <c r="M1534" s="94">
        <v>1529</v>
      </c>
      <c r="N1534" s="36" t="s">
        <v>3190</v>
      </c>
      <c r="O1534" s="95">
        <v>311236</v>
      </c>
      <c r="P1534" s="36"/>
      <c r="AI1534" s="122">
        <v>1222</v>
      </c>
      <c r="AJ1534" s="1" t="s">
        <v>2883</v>
      </c>
      <c r="AK1534" s="1">
        <v>310929</v>
      </c>
      <c r="AL1534" s="1" t="s">
        <v>115</v>
      </c>
      <c r="AN1534" s="270">
        <v>628</v>
      </c>
      <c r="BS1534" s="1">
        <v>11161</v>
      </c>
      <c r="BT1534" s="1" t="s">
        <v>40</v>
      </c>
      <c r="BX1534" s="36"/>
    </row>
    <row r="1535" spans="2:76" ht="14.25">
      <c r="B1535" s="36"/>
      <c r="C1535" s="36"/>
      <c r="D1535" s="36"/>
      <c r="E1535" s="36"/>
      <c r="F1535" s="36"/>
      <c r="G1535" s="36"/>
      <c r="H1535" s="36"/>
      <c r="J1535" s="36"/>
      <c r="L1535" s="1" t="str">
        <f t="shared" si="115"/>
        <v/>
      </c>
      <c r="M1535" s="94">
        <v>1530</v>
      </c>
      <c r="N1535" s="36" t="s">
        <v>3191</v>
      </c>
      <c r="O1535" s="95">
        <v>311237</v>
      </c>
      <c r="P1535" s="36"/>
      <c r="AI1535" s="122">
        <v>1223</v>
      </c>
      <c r="AJ1535" s="1" t="s">
        <v>2884</v>
      </c>
      <c r="AK1535" s="1">
        <v>310930</v>
      </c>
      <c r="AL1535" s="1" t="s">
        <v>930</v>
      </c>
      <c r="AN1535" s="270">
        <v>629</v>
      </c>
      <c r="BS1535" s="1">
        <v>11162</v>
      </c>
      <c r="BT1535" s="1" t="s">
        <v>40</v>
      </c>
      <c r="BX1535" s="36"/>
    </row>
    <row r="1536" spans="2:76" ht="14.25">
      <c r="B1536" s="36"/>
      <c r="C1536" s="36"/>
      <c r="D1536" s="36"/>
      <c r="E1536" s="36"/>
      <c r="F1536" s="36"/>
      <c r="G1536" s="36"/>
      <c r="H1536" s="36"/>
      <c r="J1536" s="36"/>
      <c r="L1536" s="1" t="str">
        <f t="shared" si="115"/>
        <v/>
      </c>
      <c r="M1536" s="94">
        <v>1531</v>
      </c>
      <c r="N1536" s="36" t="s">
        <v>3192</v>
      </c>
      <c r="O1536" s="95">
        <v>311238</v>
      </c>
      <c r="P1536" s="36"/>
      <c r="AI1536" s="122">
        <v>1224</v>
      </c>
      <c r="AJ1536" s="1" t="s">
        <v>2885</v>
      </c>
      <c r="AK1536" s="1">
        <v>310931</v>
      </c>
      <c r="AL1536" s="1" t="s">
        <v>930</v>
      </c>
      <c r="AN1536" s="270">
        <v>630</v>
      </c>
      <c r="BS1536" s="1">
        <v>11163</v>
      </c>
      <c r="BT1536" s="1" t="s">
        <v>40</v>
      </c>
      <c r="BX1536" s="36"/>
    </row>
    <row r="1537" spans="2:76" ht="14.25">
      <c r="B1537" s="36"/>
      <c r="C1537" s="36"/>
      <c r="D1537" s="36"/>
      <c r="E1537" s="36"/>
      <c r="F1537" s="36"/>
      <c r="G1537" s="36"/>
      <c r="H1537" s="36"/>
      <c r="J1537" s="36"/>
      <c r="L1537" s="1" t="str">
        <f t="shared" si="115"/>
        <v/>
      </c>
      <c r="M1537" s="94">
        <v>1532</v>
      </c>
      <c r="N1537" s="36" t="s">
        <v>3193</v>
      </c>
      <c r="O1537" s="95">
        <v>311239</v>
      </c>
      <c r="P1537" s="36"/>
      <c r="AI1537" s="122">
        <v>1225</v>
      </c>
      <c r="AJ1537" s="1" t="s">
        <v>2886</v>
      </c>
      <c r="AK1537" s="1">
        <v>310932</v>
      </c>
      <c r="AL1537" s="1" t="s">
        <v>115</v>
      </c>
      <c r="AN1537" s="270">
        <v>631</v>
      </c>
      <c r="BS1537" s="1">
        <v>11164</v>
      </c>
      <c r="BT1537" s="1" t="s">
        <v>40</v>
      </c>
      <c r="BX1537" s="36"/>
    </row>
    <row r="1538" spans="2:76" ht="14.25">
      <c r="B1538" s="36"/>
      <c r="C1538" s="36"/>
      <c r="D1538" s="36"/>
      <c r="E1538" s="36"/>
      <c r="F1538" s="36"/>
      <c r="G1538" s="36"/>
      <c r="H1538" s="36"/>
      <c r="J1538" s="36"/>
      <c r="L1538" s="1" t="str">
        <f t="shared" si="115"/>
        <v/>
      </c>
      <c r="M1538" s="94">
        <v>1533</v>
      </c>
      <c r="N1538" s="36" t="s">
        <v>3194</v>
      </c>
      <c r="O1538" s="95">
        <v>311240</v>
      </c>
      <c r="P1538" s="36"/>
      <c r="AI1538" s="122">
        <v>1226</v>
      </c>
      <c r="AJ1538" s="1" t="s">
        <v>2887</v>
      </c>
      <c r="AK1538" s="1">
        <v>310933</v>
      </c>
      <c r="AL1538" s="1" t="s">
        <v>930</v>
      </c>
      <c r="AN1538" s="270">
        <v>632</v>
      </c>
      <c r="BS1538" s="1">
        <v>11165</v>
      </c>
      <c r="BT1538" s="1" t="s">
        <v>40</v>
      </c>
      <c r="BX1538" s="36"/>
    </row>
    <row r="1539" spans="2:76" ht="14.25">
      <c r="B1539" s="36"/>
      <c r="C1539" s="36"/>
      <c r="D1539" s="36"/>
      <c r="E1539" s="36"/>
      <c r="F1539" s="36"/>
      <c r="G1539" s="36"/>
      <c r="H1539" s="36"/>
      <c r="J1539" s="36"/>
      <c r="L1539" s="1" t="str">
        <f t="shared" si="115"/>
        <v/>
      </c>
      <c r="M1539" s="94">
        <v>1534</v>
      </c>
      <c r="N1539" s="36" t="s">
        <v>3195</v>
      </c>
      <c r="O1539" s="95">
        <v>311241</v>
      </c>
      <c r="P1539" s="36"/>
      <c r="AI1539" s="122">
        <v>1227</v>
      </c>
      <c r="AJ1539" s="1" t="s">
        <v>2888</v>
      </c>
      <c r="AK1539" s="1">
        <v>310934</v>
      </c>
      <c r="AL1539" s="1" t="s">
        <v>115</v>
      </c>
      <c r="AN1539" s="270">
        <v>633</v>
      </c>
      <c r="BS1539" s="1">
        <v>11166</v>
      </c>
      <c r="BT1539" s="1" t="s">
        <v>129</v>
      </c>
      <c r="BX1539" s="36"/>
    </row>
    <row r="1540" spans="2:76" ht="14.25">
      <c r="B1540" s="36"/>
      <c r="C1540" s="36"/>
      <c r="D1540" s="36"/>
      <c r="E1540" s="36"/>
      <c r="F1540" s="36"/>
      <c r="G1540" s="36"/>
      <c r="H1540" s="36"/>
      <c r="J1540" s="36"/>
      <c r="L1540" s="1" t="str">
        <f t="shared" ref="L1540:L1603" si="116">IF(AND(MIN(I:I)&lt;20,MAX(I:I)&gt;980,I1540&lt;20),I1540,"")</f>
        <v/>
      </c>
      <c r="M1540" s="94">
        <v>1535</v>
      </c>
      <c r="N1540" s="36" t="s">
        <v>3196</v>
      </c>
      <c r="O1540" s="95">
        <v>311242</v>
      </c>
      <c r="P1540" s="36"/>
      <c r="AI1540" s="122">
        <v>1228</v>
      </c>
      <c r="AJ1540" s="1" t="s">
        <v>2889</v>
      </c>
      <c r="AK1540" s="1">
        <v>310935</v>
      </c>
      <c r="AL1540" s="1" t="s">
        <v>930</v>
      </c>
      <c r="AN1540" s="270">
        <v>634</v>
      </c>
      <c r="BS1540" s="1">
        <v>11167</v>
      </c>
      <c r="BT1540" s="1" t="s">
        <v>40</v>
      </c>
      <c r="BX1540" s="36"/>
    </row>
    <row r="1541" spans="2:76" ht="14.25">
      <c r="B1541" s="36"/>
      <c r="C1541" s="36"/>
      <c r="D1541" s="36"/>
      <c r="E1541" s="36"/>
      <c r="F1541" s="36"/>
      <c r="G1541" s="36"/>
      <c r="H1541" s="36"/>
      <c r="J1541" s="36"/>
      <c r="L1541" s="1" t="str">
        <f t="shared" si="116"/>
        <v/>
      </c>
      <c r="M1541" s="94">
        <v>1536</v>
      </c>
      <c r="N1541" s="36" t="s">
        <v>3197</v>
      </c>
      <c r="O1541" s="95">
        <v>311243</v>
      </c>
      <c r="P1541" s="36"/>
      <c r="AI1541" s="122">
        <v>1229</v>
      </c>
      <c r="AJ1541" s="1" t="s">
        <v>2890</v>
      </c>
      <c r="AK1541" s="1">
        <v>310936</v>
      </c>
      <c r="AL1541" s="1" t="s">
        <v>115</v>
      </c>
      <c r="AN1541" s="270">
        <v>635</v>
      </c>
      <c r="BS1541" s="1">
        <v>11168</v>
      </c>
      <c r="BT1541" s="1" t="s">
        <v>40</v>
      </c>
      <c r="BX1541" s="36"/>
    </row>
    <row r="1542" spans="2:76" ht="14.25">
      <c r="B1542" s="36"/>
      <c r="C1542" s="36"/>
      <c r="D1542" s="36"/>
      <c r="E1542" s="36"/>
      <c r="F1542" s="36"/>
      <c r="G1542" s="36"/>
      <c r="H1542" s="36"/>
      <c r="J1542" s="36"/>
      <c r="L1542" s="1" t="str">
        <f t="shared" si="116"/>
        <v/>
      </c>
      <c r="M1542" s="94">
        <v>1537</v>
      </c>
      <c r="N1542" s="36" t="s">
        <v>3198</v>
      </c>
      <c r="O1542" s="95">
        <v>311244</v>
      </c>
      <c r="P1542" s="36"/>
      <c r="AI1542" s="122">
        <v>1230</v>
      </c>
      <c r="AJ1542" s="1" t="s">
        <v>2891</v>
      </c>
      <c r="AK1542" s="1">
        <v>310937</v>
      </c>
      <c r="AL1542" s="1" t="s">
        <v>930</v>
      </c>
      <c r="AN1542" s="270">
        <v>636</v>
      </c>
      <c r="BS1542" s="1">
        <v>11169</v>
      </c>
      <c r="BT1542" s="1" t="s">
        <v>40</v>
      </c>
      <c r="BX1542" s="36"/>
    </row>
    <row r="1543" spans="2:76" ht="14.25">
      <c r="B1543" s="36"/>
      <c r="C1543" s="36"/>
      <c r="D1543" s="36"/>
      <c r="E1543" s="36"/>
      <c r="F1543" s="36"/>
      <c r="G1543" s="36"/>
      <c r="H1543" s="36"/>
      <c r="J1543" s="36"/>
      <c r="L1543" s="1" t="str">
        <f t="shared" si="116"/>
        <v/>
      </c>
      <c r="M1543" s="94">
        <v>1538</v>
      </c>
      <c r="N1543" s="36" t="s">
        <v>3199</v>
      </c>
      <c r="O1543" s="95">
        <v>311245</v>
      </c>
      <c r="P1543" s="36"/>
      <c r="AI1543" s="122">
        <v>1231</v>
      </c>
      <c r="AJ1543" s="1" t="s">
        <v>2892</v>
      </c>
      <c r="AK1543" s="1">
        <v>310938</v>
      </c>
      <c r="AL1543" s="1" t="s">
        <v>930</v>
      </c>
      <c r="AN1543" s="270">
        <v>637</v>
      </c>
      <c r="BS1543" s="1">
        <v>11170</v>
      </c>
      <c r="BT1543" s="1" t="s">
        <v>40</v>
      </c>
      <c r="BX1543" s="36"/>
    </row>
    <row r="1544" spans="2:76" ht="14.25">
      <c r="B1544" s="36"/>
      <c r="C1544" s="36"/>
      <c r="D1544" s="36"/>
      <c r="E1544" s="36"/>
      <c r="F1544" s="36"/>
      <c r="G1544" s="36"/>
      <c r="H1544" s="36"/>
      <c r="J1544" s="36"/>
      <c r="L1544" s="1" t="str">
        <f t="shared" si="116"/>
        <v/>
      </c>
      <c r="M1544" s="94">
        <v>1539</v>
      </c>
      <c r="N1544" s="36" t="s">
        <v>3200</v>
      </c>
      <c r="O1544" s="95">
        <v>311246</v>
      </c>
      <c r="P1544" s="36"/>
      <c r="AI1544" s="122">
        <v>1232</v>
      </c>
      <c r="AJ1544" s="1" t="s">
        <v>2893</v>
      </c>
      <c r="AK1544" s="1">
        <v>310939</v>
      </c>
      <c r="AL1544" s="1" t="s">
        <v>115</v>
      </c>
      <c r="AN1544" s="270">
        <v>638</v>
      </c>
      <c r="BS1544" s="1">
        <v>11171</v>
      </c>
      <c r="BT1544" s="1" t="s">
        <v>40</v>
      </c>
      <c r="BX1544" s="36"/>
    </row>
    <row r="1545" spans="2:76" ht="14.25">
      <c r="B1545" s="36"/>
      <c r="C1545" s="36"/>
      <c r="D1545" s="36"/>
      <c r="E1545" s="36"/>
      <c r="F1545" s="36"/>
      <c r="G1545" s="36"/>
      <c r="H1545" s="36"/>
      <c r="J1545" s="36"/>
      <c r="L1545" s="1" t="str">
        <f t="shared" si="116"/>
        <v/>
      </c>
      <c r="M1545" s="94">
        <v>1540</v>
      </c>
      <c r="N1545" s="36" t="s">
        <v>3201</v>
      </c>
      <c r="O1545" s="95">
        <v>311247</v>
      </c>
      <c r="P1545" s="36"/>
      <c r="AI1545" s="122">
        <v>1233</v>
      </c>
      <c r="AJ1545" s="1" t="s">
        <v>2894</v>
      </c>
      <c r="AK1545" s="1">
        <v>310940</v>
      </c>
      <c r="AL1545" s="1" t="s">
        <v>930</v>
      </c>
      <c r="AN1545" s="270">
        <v>639</v>
      </c>
      <c r="BS1545" s="1">
        <v>11172</v>
      </c>
      <c r="BT1545" s="1" t="s">
        <v>40</v>
      </c>
      <c r="BX1545" s="36"/>
    </row>
    <row r="1546" spans="2:76" ht="14.25">
      <c r="B1546" s="36"/>
      <c r="C1546" s="36"/>
      <c r="D1546" s="36"/>
      <c r="E1546" s="36"/>
      <c r="F1546" s="36"/>
      <c r="G1546" s="36"/>
      <c r="H1546" s="36"/>
      <c r="J1546" s="36"/>
      <c r="L1546" s="1" t="str">
        <f t="shared" si="116"/>
        <v/>
      </c>
      <c r="M1546" s="94">
        <v>1541</v>
      </c>
      <c r="N1546" s="36" t="s">
        <v>3202</v>
      </c>
      <c r="O1546" s="95">
        <v>311248</v>
      </c>
      <c r="P1546" s="36"/>
      <c r="AI1546" s="122">
        <v>1234</v>
      </c>
      <c r="AJ1546" s="1" t="s">
        <v>2895</v>
      </c>
      <c r="AK1546" s="1">
        <v>310941</v>
      </c>
      <c r="AL1546" s="1" t="s">
        <v>115</v>
      </c>
      <c r="AN1546" s="270">
        <v>640</v>
      </c>
      <c r="BS1546" s="1">
        <v>11173</v>
      </c>
      <c r="BT1546" s="1" t="s">
        <v>40</v>
      </c>
      <c r="BX1546" s="36"/>
    </row>
    <row r="1547" spans="2:76" ht="14.25">
      <c r="B1547" s="36"/>
      <c r="C1547" s="36"/>
      <c r="D1547" s="36"/>
      <c r="E1547" s="36"/>
      <c r="F1547" s="36"/>
      <c r="G1547" s="36"/>
      <c r="H1547" s="36"/>
      <c r="J1547" s="36"/>
      <c r="L1547" s="1" t="str">
        <f t="shared" si="116"/>
        <v/>
      </c>
      <c r="M1547" s="94">
        <v>1542</v>
      </c>
      <c r="N1547" s="36" t="s">
        <v>3203</v>
      </c>
      <c r="O1547" s="95">
        <v>311249</v>
      </c>
      <c r="P1547" s="36"/>
      <c r="AI1547" s="122">
        <v>1235</v>
      </c>
      <c r="AJ1547" s="1" t="s">
        <v>2896</v>
      </c>
      <c r="AK1547" s="1">
        <v>310942</v>
      </c>
      <c r="AL1547" s="1" t="s">
        <v>930</v>
      </c>
      <c r="AN1547" s="270">
        <v>641</v>
      </c>
      <c r="BS1547" s="1">
        <v>11174</v>
      </c>
      <c r="BT1547" s="1" t="s">
        <v>81</v>
      </c>
      <c r="BX1547" s="36"/>
    </row>
    <row r="1548" spans="2:76" ht="14.25">
      <c r="B1548" s="36"/>
      <c r="C1548" s="36"/>
      <c r="D1548" s="36"/>
      <c r="E1548" s="36"/>
      <c r="F1548" s="36"/>
      <c r="G1548" s="36"/>
      <c r="H1548" s="36"/>
      <c r="J1548" s="36"/>
      <c r="L1548" s="1" t="str">
        <f t="shared" si="116"/>
        <v/>
      </c>
      <c r="M1548" s="94">
        <v>1543</v>
      </c>
      <c r="N1548" s="36" t="s">
        <v>3204</v>
      </c>
      <c r="O1548" s="95">
        <v>311250</v>
      </c>
      <c r="P1548" s="36"/>
      <c r="AI1548" s="122">
        <v>1236</v>
      </c>
      <c r="AJ1548" s="1" t="s">
        <v>2897</v>
      </c>
      <c r="AK1548" s="1">
        <v>310943</v>
      </c>
      <c r="AL1548" s="1" t="s">
        <v>115</v>
      </c>
      <c r="AN1548" s="270">
        <v>642</v>
      </c>
      <c r="BS1548" s="1">
        <v>11175</v>
      </c>
      <c r="BT1548" s="1" t="s">
        <v>43</v>
      </c>
      <c r="BX1548" s="36"/>
    </row>
    <row r="1549" spans="2:76" ht="14.25">
      <c r="B1549" s="36"/>
      <c r="C1549" s="36"/>
      <c r="D1549" s="36"/>
      <c r="E1549" s="36"/>
      <c r="F1549" s="36"/>
      <c r="G1549" s="36"/>
      <c r="H1549" s="36"/>
      <c r="J1549" s="36"/>
      <c r="L1549" s="1" t="str">
        <f t="shared" si="116"/>
        <v/>
      </c>
      <c r="M1549" s="94">
        <v>1544</v>
      </c>
      <c r="N1549" s="36" t="s">
        <v>3205</v>
      </c>
      <c r="O1549" s="95">
        <v>311251</v>
      </c>
      <c r="P1549" s="36"/>
      <c r="AI1549" s="122">
        <v>1237</v>
      </c>
      <c r="AJ1549" s="1" t="s">
        <v>2898</v>
      </c>
      <c r="AK1549" s="1">
        <v>310944</v>
      </c>
      <c r="AL1549" s="1" t="s">
        <v>930</v>
      </c>
      <c r="AN1549" s="270">
        <v>643</v>
      </c>
      <c r="BS1549" s="1">
        <v>11176</v>
      </c>
      <c r="BT1549" s="1" t="s">
        <v>44</v>
      </c>
      <c r="BX1549" s="36"/>
    </row>
    <row r="1550" spans="2:76" ht="14.25">
      <c r="B1550" s="36"/>
      <c r="C1550" s="36"/>
      <c r="D1550" s="36"/>
      <c r="E1550" s="36"/>
      <c r="F1550" s="36"/>
      <c r="G1550" s="36"/>
      <c r="H1550" s="36"/>
      <c r="J1550" s="36"/>
      <c r="L1550" s="1" t="str">
        <f t="shared" si="116"/>
        <v/>
      </c>
      <c r="M1550" s="94">
        <v>1545</v>
      </c>
      <c r="N1550" s="36" t="s">
        <v>3206</v>
      </c>
      <c r="O1550" s="95">
        <v>311252</v>
      </c>
      <c r="P1550" s="36"/>
      <c r="AI1550" s="122">
        <v>1238</v>
      </c>
      <c r="AJ1550" s="1" t="s">
        <v>2899</v>
      </c>
      <c r="AK1550" s="1">
        <v>310945</v>
      </c>
      <c r="AL1550" s="1" t="s">
        <v>930</v>
      </c>
      <c r="AN1550" s="270">
        <v>644</v>
      </c>
      <c r="BS1550" s="1">
        <v>11177</v>
      </c>
      <c r="BT1550" s="1" t="s">
        <v>129</v>
      </c>
      <c r="BX1550" s="36"/>
    </row>
    <row r="1551" spans="2:76" ht="14.25">
      <c r="B1551" s="36"/>
      <c r="C1551" s="36"/>
      <c r="D1551" s="36"/>
      <c r="E1551" s="36"/>
      <c r="F1551" s="36"/>
      <c r="G1551" s="36"/>
      <c r="H1551" s="36"/>
      <c r="J1551" s="36"/>
      <c r="L1551" s="1" t="str">
        <f t="shared" si="116"/>
        <v/>
      </c>
      <c r="M1551" s="94">
        <v>1546</v>
      </c>
      <c r="N1551" s="36" t="s">
        <v>3207</v>
      </c>
      <c r="O1551" s="95">
        <v>311253</v>
      </c>
      <c r="P1551" s="36"/>
      <c r="AI1551" s="122">
        <v>1239</v>
      </c>
      <c r="AJ1551" s="1" t="s">
        <v>2900</v>
      </c>
      <c r="AK1551" s="1">
        <v>310946</v>
      </c>
      <c r="AL1551" s="1" t="s">
        <v>115</v>
      </c>
      <c r="AN1551" s="270">
        <v>645</v>
      </c>
      <c r="BS1551" s="1">
        <v>11178</v>
      </c>
      <c r="BT1551" s="1" t="s">
        <v>44</v>
      </c>
      <c r="BX1551" s="36"/>
    </row>
    <row r="1552" spans="2:76" ht="14.25">
      <c r="B1552" s="36"/>
      <c r="C1552" s="36"/>
      <c r="D1552" s="36"/>
      <c r="E1552" s="36"/>
      <c r="F1552" s="36"/>
      <c r="G1552" s="36"/>
      <c r="H1552" s="36"/>
      <c r="J1552" s="36"/>
      <c r="L1552" s="1" t="str">
        <f t="shared" si="116"/>
        <v/>
      </c>
      <c r="M1552" s="94">
        <v>1547</v>
      </c>
      <c r="N1552" s="36" t="s">
        <v>3208</v>
      </c>
      <c r="O1552" s="95">
        <v>311254</v>
      </c>
      <c r="P1552" s="36"/>
      <c r="AI1552" s="122">
        <v>1240</v>
      </c>
      <c r="AJ1552" s="1" t="s">
        <v>2901</v>
      </c>
      <c r="AK1552" s="1">
        <v>310947</v>
      </c>
      <c r="AL1552" s="1" t="s">
        <v>930</v>
      </c>
      <c r="AN1552" s="270">
        <v>646</v>
      </c>
      <c r="BS1552" s="1">
        <v>11179</v>
      </c>
      <c r="BT1552" s="1" t="s">
        <v>40</v>
      </c>
      <c r="BX1552" s="36"/>
    </row>
    <row r="1553" spans="2:76" ht="14.25">
      <c r="B1553" s="36"/>
      <c r="C1553" s="36"/>
      <c r="D1553" s="36"/>
      <c r="E1553" s="36"/>
      <c r="F1553" s="36"/>
      <c r="G1553" s="36"/>
      <c r="H1553" s="36"/>
      <c r="J1553" s="36"/>
      <c r="L1553" s="1" t="str">
        <f t="shared" si="116"/>
        <v/>
      </c>
      <c r="M1553" s="94">
        <v>1548</v>
      </c>
      <c r="N1553" s="36" t="s">
        <v>3209</v>
      </c>
      <c r="O1553" s="95">
        <v>311255</v>
      </c>
      <c r="P1553" s="36"/>
      <c r="AI1553" s="122">
        <v>1241</v>
      </c>
      <c r="AJ1553" s="1" t="s">
        <v>2902</v>
      </c>
      <c r="AK1553" s="1">
        <v>310948</v>
      </c>
      <c r="AL1553" s="1" t="s">
        <v>115</v>
      </c>
      <c r="AN1553" s="270">
        <v>647</v>
      </c>
      <c r="BS1553" s="1">
        <v>11180</v>
      </c>
      <c r="BT1553" s="1" t="s">
        <v>44</v>
      </c>
      <c r="BX1553" s="36"/>
    </row>
    <row r="1554" spans="2:76" ht="14.25">
      <c r="B1554" s="36"/>
      <c r="C1554" s="36"/>
      <c r="D1554" s="36"/>
      <c r="E1554" s="36"/>
      <c r="F1554" s="36"/>
      <c r="G1554" s="36"/>
      <c r="H1554" s="36"/>
      <c r="J1554" s="36"/>
      <c r="L1554" s="1" t="str">
        <f t="shared" si="116"/>
        <v/>
      </c>
      <c r="M1554" s="94">
        <v>1549</v>
      </c>
      <c r="N1554" s="36" t="s">
        <v>3210</v>
      </c>
      <c r="O1554" s="95">
        <v>311256</v>
      </c>
      <c r="P1554" s="36"/>
      <c r="AI1554" s="122">
        <v>1242</v>
      </c>
      <c r="AJ1554" s="1" t="s">
        <v>2903</v>
      </c>
      <c r="AK1554" s="1">
        <v>310949</v>
      </c>
      <c r="AL1554" s="1" t="s">
        <v>930</v>
      </c>
      <c r="AN1554" s="270">
        <v>648</v>
      </c>
      <c r="BS1554" s="1">
        <v>11181</v>
      </c>
      <c r="BT1554" s="1" t="s">
        <v>40</v>
      </c>
      <c r="BX1554" s="36"/>
    </row>
    <row r="1555" spans="2:76" ht="14.25">
      <c r="B1555" s="36"/>
      <c r="C1555" s="36"/>
      <c r="D1555" s="36"/>
      <c r="E1555" s="36"/>
      <c r="F1555" s="36"/>
      <c r="G1555" s="36"/>
      <c r="H1555" s="36"/>
      <c r="J1555" s="36"/>
      <c r="L1555" s="1" t="str">
        <f t="shared" si="116"/>
        <v/>
      </c>
      <c r="M1555" s="94">
        <v>1550</v>
      </c>
      <c r="N1555" s="36" t="s">
        <v>3211</v>
      </c>
      <c r="O1555" s="95">
        <v>311257</v>
      </c>
      <c r="P1555" s="36"/>
      <c r="AI1555" s="122">
        <v>1243</v>
      </c>
      <c r="AJ1555" s="1" t="s">
        <v>2904</v>
      </c>
      <c r="AK1555" s="1">
        <v>310950</v>
      </c>
      <c r="AL1555" s="1" t="s">
        <v>115</v>
      </c>
      <c r="AN1555" s="270">
        <v>649</v>
      </c>
      <c r="BS1555" s="1">
        <v>11182</v>
      </c>
      <c r="BT1555" s="1" t="s">
        <v>40</v>
      </c>
      <c r="BX1555" s="36"/>
    </row>
    <row r="1556" spans="2:76" ht="14.25">
      <c r="B1556" s="36"/>
      <c r="C1556" s="36"/>
      <c r="D1556" s="36"/>
      <c r="E1556" s="36"/>
      <c r="F1556" s="36"/>
      <c r="G1556" s="36"/>
      <c r="H1556" s="36"/>
      <c r="J1556" s="36"/>
      <c r="L1556" s="1" t="str">
        <f t="shared" si="116"/>
        <v/>
      </c>
      <c r="M1556" s="94">
        <v>1551</v>
      </c>
      <c r="N1556" s="36" t="s">
        <v>3212</v>
      </c>
      <c r="O1556" s="95">
        <v>311258</v>
      </c>
      <c r="P1556" s="36"/>
      <c r="AI1556" s="122">
        <v>1244</v>
      </c>
      <c r="AJ1556" s="1" t="s">
        <v>2905</v>
      </c>
      <c r="AK1556" s="1">
        <v>310951</v>
      </c>
      <c r="AL1556" s="1" t="s">
        <v>930</v>
      </c>
      <c r="AN1556" s="270">
        <v>650</v>
      </c>
      <c r="BS1556" s="1">
        <v>11183</v>
      </c>
      <c r="BT1556" s="1" t="s">
        <v>44</v>
      </c>
      <c r="BX1556" s="36"/>
    </row>
    <row r="1557" spans="2:76" ht="14.25">
      <c r="B1557" s="36"/>
      <c r="C1557" s="36"/>
      <c r="D1557" s="36"/>
      <c r="E1557" s="36"/>
      <c r="F1557" s="36"/>
      <c r="G1557" s="36"/>
      <c r="H1557" s="36"/>
      <c r="J1557" s="36"/>
      <c r="L1557" s="1" t="str">
        <f t="shared" si="116"/>
        <v/>
      </c>
      <c r="M1557" s="94">
        <v>1552</v>
      </c>
      <c r="N1557" s="36" t="s">
        <v>3213</v>
      </c>
      <c r="O1557" s="95">
        <v>311259</v>
      </c>
      <c r="P1557" s="36"/>
      <c r="AI1557" s="122">
        <v>1245</v>
      </c>
      <c r="AJ1557" s="1" t="s">
        <v>2906</v>
      </c>
      <c r="AK1557" s="1">
        <v>310952</v>
      </c>
      <c r="AL1557" s="1" t="s">
        <v>930</v>
      </c>
      <c r="AN1557" s="270">
        <v>651</v>
      </c>
      <c r="BS1557" s="1">
        <v>11184</v>
      </c>
      <c r="BT1557" s="1" t="s">
        <v>81</v>
      </c>
      <c r="BX1557" s="36"/>
    </row>
    <row r="1558" spans="2:76" ht="14.25">
      <c r="B1558" s="36"/>
      <c r="C1558" s="36"/>
      <c r="D1558" s="36"/>
      <c r="E1558" s="36"/>
      <c r="F1558" s="36"/>
      <c r="G1558" s="36"/>
      <c r="H1558" s="36"/>
      <c r="J1558" s="36"/>
      <c r="L1558" s="1" t="str">
        <f t="shared" si="116"/>
        <v/>
      </c>
      <c r="M1558" s="94">
        <v>1553</v>
      </c>
      <c r="N1558" s="36" t="s">
        <v>3214</v>
      </c>
      <c r="O1558" s="95">
        <v>311260</v>
      </c>
      <c r="P1558" s="36"/>
      <c r="AI1558" s="122">
        <v>1246</v>
      </c>
      <c r="AJ1558" s="1" t="s">
        <v>2907</v>
      </c>
      <c r="AK1558" s="1">
        <v>310953</v>
      </c>
      <c r="AL1558" s="1" t="s">
        <v>115</v>
      </c>
      <c r="AN1558" s="270">
        <v>652</v>
      </c>
      <c r="BS1558" s="1">
        <v>11185</v>
      </c>
      <c r="BT1558" s="1" t="s">
        <v>44</v>
      </c>
      <c r="BX1558" s="36"/>
    </row>
    <row r="1559" spans="2:76" ht="14.25">
      <c r="B1559" s="36"/>
      <c r="C1559" s="36"/>
      <c r="D1559" s="36"/>
      <c r="E1559" s="36"/>
      <c r="F1559" s="36"/>
      <c r="G1559" s="36"/>
      <c r="H1559" s="36"/>
      <c r="J1559" s="36"/>
      <c r="L1559" s="1" t="str">
        <f t="shared" si="116"/>
        <v/>
      </c>
      <c r="M1559" s="94">
        <v>1554</v>
      </c>
      <c r="N1559" s="36" t="s">
        <v>3215</v>
      </c>
      <c r="O1559" s="95">
        <v>311261</v>
      </c>
      <c r="P1559" s="36"/>
      <c r="AI1559" s="122">
        <v>1247</v>
      </c>
      <c r="AJ1559" s="1" t="s">
        <v>2908</v>
      </c>
      <c r="AK1559" s="1">
        <v>310954</v>
      </c>
      <c r="AL1559" s="1" t="s">
        <v>930</v>
      </c>
      <c r="AN1559" s="270">
        <v>653</v>
      </c>
      <c r="BS1559" s="1">
        <v>11186</v>
      </c>
      <c r="BT1559" s="1" t="s">
        <v>44</v>
      </c>
      <c r="BX1559" s="36"/>
    </row>
    <row r="1560" spans="2:76" ht="14.25">
      <c r="B1560" s="36"/>
      <c r="C1560" s="36"/>
      <c r="D1560" s="36"/>
      <c r="E1560" s="36"/>
      <c r="F1560" s="36"/>
      <c r="G1560" s="36"/>
      <c r="H1560" s="36"/>
      <c r="J1560" s="36"/>
      <c r="L1560" s="1" t="str">
        <f t="shared" si="116"/>
        <v/>
      </c>
      <c r="M1560" s="94">
        <v>1555</v>
      </c>
      <c r="N1560" s="36" t="s">
        <v>3216</v>
      </c>
      <c r="O1560" s="95">
        <v>311262</v>
      </c>
      <c r="P1560" s="36"/>
      <c r="AI1560" s="122">
        <v>1248</v>
      </c>
      <c r="AJ1560" s="1" t="s">
        <v>2909</v>
      </c>
      <c r="AK1560" s="1">
        <v>310955</v>
      </c>
      <c r="AL1560" s="1" t="s">
        <v>115</v>
      </c>
      <c r="AN1560" s="270">
        <v>654</v>
      </c>
      <c r="BS1560" s="1">
        <v>11187</v>
      </c>
      <c r="BT1560" s="1" t="s">
        <v>44</v>
      </c>
      <c r="BX1560" s="36"/>
    </row>
    <row r="1561" spans="2:76" ht="14.25">
      <c r="B1561" s="36"/>
      <c r="C1561" s="36"/>
      <c r="D1561" s="36"/>
      <c r="E1561" s="36"/>
      <c r="F1561" s="36"/>
      <c r="G1561" s="36"/>
      <c r="H1561" s="36"/>
      <c r="J1561" s="36"/>
      <c r="L1561" s="1" t="str">
        <f t="shared" si="116"/>
        <v/>
      </c>
      <c r="M1561" s="94">
        <v>1556</v>
      </c>
      <c r="N1561" s="36" t="s">
        <v>3217</v>
      </c>
      <c r="O1561" s="95">
        <v>311263</v>
      </c>
      <c r="P1561" s="36"/>
      <c r="AI1561" s="122">
        <v>1249</v>
      </c>
      <c r="AJ1561" s="1" t="s">
        <v>2910</v>
      </c>
      <c r="AK1561" s="1">
        <v>310956</v>
      </c>
      <c r="AL1561" s="1" t="s">
        <v>930</v>
      </c>
      <c r="AN1561" s="270">
        <v>655</v>
      </c>
      <c r="BS1561" s="1">
        <v>11188</v>
      </c>
      <c r="BT1561" s="1" t="s">
        <v>46</v>
      </c>
      <c r="BX1561" s="36"/>
    </row>
    <row r="1562" spans="2:76" ht="14.25">
      <c r="B1562" s="36"/>
      <c r="C1562" s="36"/>
      <c r="D1562" s="36"/>
      <c r="E1562" s="36"/>
      <c r="F1562" s="36"/>
      <c r="G1562" s="36"/>
      <c r="H1562" s="36"/>
      <c r="J1562" s="36"/>
      <c r="L1562" s="1" t="str">
        <f t="shared" si="116"/>
        <v/>
      </c>
      <c r="M1562" s="94">
        <v>1557</v>
      </c>
      <c r="N1562" s="36" t="s">
        <v>3218</v>
      </c>
      <c r="O1562" s="95">
        <v>311264</v>
      </c>
      <c r="P1562" s="36"/>
      <c r="AI1562" s="122">
        <v>1250</v>
      </c>
      <c r="AJ1562" s="1" t="s">
        <v>2911</v>
      </c>
      <c r="AK1562" s="1">
        <v>310957</v>
      </c>
      <c r="AL1562" s="1" t="s">
        <v>115</v>
      </c>
      <c r="AN1562" s="270">
        <v>656</v>
      </c>
      <c r="BS1562" s="1">
        <v>11189</v>
      </c>
      <c r="BT1562" s="1" t="s">
        <v>44</v>
      </c>
      <c r="BX1562" s="36"/>
    </row>
    <row r="1563" spans="2:76" ht="14.25">
      <c r="B1563" s="36"/>
      <c r="C1563" s="36"/>
      <c r="D1563" s="36"/>
      <c r="E1563" s="36"/>
      <c r="F1563" s="36"/>
      <c r="G1563" s="36"/>
      <c r="H1563" s="36"/>
      <c r="J1563" s="36"/>
      <c r="L1563" s="1" t="str">
        <f t="shared" si="116"/>
        <v/>
      </c>
      <c r="M1563" s="94">
        <v>1558</v>
      </c>
      <c r="N1563" s="36" t="s">
        <v>3219</v>
      </c>
      <c r="O1563" s="95">
        <v>311265</v>
      </c>
      <c r="P1563" s="36"/>
      <c r="AI1563" s="122">
        <v>1251</v>
      </c>
      <c r="AJ1563" s="1" t="s">
        <v>2912</v>
      </c>
      <c r="AK1563" s="1">
        <v>310958</v>
      </c>
      <c r="AL1563" s="1" t="s">
        <v>930</v>
      </c>
      <c r="AN1563" s="270">
        <v>657</v>
      </c>
      <c r="BS1563" s="1">
        <v>11190</v>
      </c>
      <c r="BT1563" s="1" t="s">
        <v>45</v>
      </c>
      <c r="BX1563" s="36"/>
    </row>
    <row r="1564" spans="2:76" ht="14.25">
      <c r="B1564" s="36"/>
      <c r="C1564" s="36"/>
      <c r="D1564" s="36"/>
      <c r="E1564" s="36"/>
      <c r="F1564" s="36"/>
      <c r="G1564" s="36"/>
      <c r="H1564" s="36"/>
      <c r="J1564" s="36"/>
      <c r="L1564" s="1" t="str">
        <f t="shared" si="116"/>
        <v/>
      </c>
      <c r="M1564" s="94">
        <v>1559</v>
      </c>
      <c r="N1564" s="36" t="s">
        <v>3220</v>
      </c>
      <c r="O1564" s="95">
        <v>311266</v>
      </c>
      <c r="P1564" s="36"/>
      <c r="AI1564" s="122">
        <v>1252</v>
      </c>
      <c r="AJ1564" s="1" t="s">
        <v>2913</v>
      </c>
      <c r="AK1564" s="1">
        <v>310959</v>
      </c>
      <c r="AL1564" s="1" t="s">
        <v>930</v>
      </c>
      <c r="AN1564" s="270">
        <v>658</v>
      </c>
      <c r="BS1564" s="1">
        <v>11191</v>
      </c>
      <c r="BT1564" s="1" t="s">
        <v>44</v>
      </c>
      <c r="BX1564" s="36"/>
    </row>
    <row r="1565" spans="2:76" ht="14.25">
      <c r="B1565" s="36"/>
      <c r="C1565" s="36"/>
      <c r="D1565" s="36"/>
      <c r="E1565" s="36"/>
      <c r="F1565" s="36"/>
      <c r="G1565" s="36"/>
      <c r="H1565" s="36"/>
      <c r="J1565" s="36"/>
      <c r="L1565" s="1" t="str">
        <f t="shared" si="116"/>
        <v/>
      </c>
      <c r="M1565" s="94">
        <v>1560</v>
      </c>
      <c r="N1565" s="36" t="s">
        <v>3221</v>
      </c>
      <c r="O1565" s="95">
        <v>311267</v>
      </c>
      <c r="P1565" s="36"/>
      <c r="AI1565" s="122">
        <v>1253</v>
      </c>
      <c r="AJ1565" s="1" t="s">
        <v>2914</v>
      </c>
      <c r="AK1565" s="1">
        <v>310960</v>
      </c>
      <c r="AL1565" s="1" t="s">
        <v>115</v>
      </c>
      <c r="AN1565" s="270">
        <v>659</v>
      </c>
      <c r="BS1565" s="1">
        <v>11192</v>
      </c>
      <c r="BT1565" s="1" t="s">
        <v>45</v>
      </c>
      <c r="BX1565" s="36"/>
    </row>
    <row r="1566" spans="2:76" ht="14.25">
      <c r="B1566" s="36"/>
      <c r="C1566" s="36"/>
      <c r="D1566" s="36"/>
      <c r="E1566" s="36"/>
      <c r="F1566" s="36"/>
      <c r="G1566" s="36"/>
      <c r="H1566" s="36"/>
      <c r="J1566" s="36"/>
      <c r="L1566" s="1" t="str">
        <f t="shared" si="116"/>
        <v/>
      </c>
      <c r="M1566" s="94">
        <v>1561</v>
      </c>
      <c r="N1566" s="36" t="s">
        <v>3222</v>
      </c>
      <c r="O1566" s="95">
        <v>311268</v>
      </c>
      <c r="P1566" s="36"/>
      <c r="AI1566" s="122">
        <v>1254</v>
      </c>
      <c r="AJ1566" s="1" t="s">
        <v>2915</v>
      </c>
      <c r="AK1566" s="1">
        <v>310961</v>
      </c>
      <c r="AL1566" s="1" t="s">
        <v>930</v>
      </c>
      <c r="AN1566" s="270">
        <v>660</v>
      </c>
      <c r="BS1566" s="1">
        <v>11193</v>
      </c>
      <c r="BT1566" s="1" t="s">
        <v>44</v>
      </c>
      <c r="BX1566" s="36"/>
    </row>
    <row r="1567" spans="2:76" ht="14.25">
      <c r="B1567" s="36"/>
      <c r="C1567" s="36"/>
      <c r="D1567" s="36"/>
      <c r="E1567" s="36"/>
      <c r="F1567" s="36"/>
      <c r="G1567" s="36"/>
      <c r="H1567" s="36"/>
      <c r="J1567" s="36"/>
      <c r="L1567" s="1" t="str">
        <f t="shared" si="116"/>
        <v/>
      </c>
      <c r="M1567" s="94">
        <v>1562</v>
      </c>
      <c r="N1567" s="36" t="s">
        <v>3223</v>
      </c>
      <c r="O1567" s="95">
        <v>311269</v>
      </c>
      <c r="P1567" s="36"/>
      <c r="AI1567" s="122">
        <v>1255</v>
      </c>
      <c r="AJ1567" s="1" t="s">
        <v>2916</v>
      </c>
      <c r="AK1567" s="1">
        <v>310962</v>
      </c>
      <c r="AL1567" s="1" t="s">
        <v>115</v>
      </c>
      <c r="AN1567" s="270">
        <v>661</v>
      </c>
      <c r="BS1567" s="1">
        <v>11194</v>
      </c>
      <c r="BT1567" s="1" t="s">
        <v>246</v>
      </c>
      <c r="BX1567" s="36"/>
    </row>
    <row r="1568" spans="2:76" ht="14.25">
      <c r="B1568" s="36"/>
      <c r="C1568" s="36"/>
      <c r="D1568" s="36"/>
      <c r="E1568" s="36"/>
      <c r="F1568" s="36"/>
      <c r="G1568" s="36"/>
      <c r="H1568" s="36"/>
      <c r="J1568" s="36"/>
      <c r="L1568" s="1" t="str">
        <f t="shared" si="116"/>
        <v/>
      </c>
      <c r="M1568" s="94">
        <v>1563</v>
      </c>
      <c r="N1568" s="36" t="s">
        <v>3224</v>
      </c>
      <c r="O1568" s="95">
        <v>311270</v>
      </c>
      <c r="P1568" s="36"/>
      <c r="AI1568" s="122">
        <v>1256</v>
      </c>
      <c r="AJ1568" s="1" t="s">
        <v>2917</v>
      </c>
      <c r="AK1568" s="1">
        <v>310963</v>
      </c>
      <c r="AL1568" s="1" t="s">
        <v>930</v>
      </c>
      <c r="AN1568" s="270">
        <v>662</v>
      </c>
      <c r="BS1568" s="1">
        <v>11195</v>
      </c>
      <c r="BT1568" s="1" t="s">
        <v>78</v>
      </c>
      <c r="BX1568" s="36"/>
    </row>
    <row r="1569" spans="2:76" ht="14.25">
      <c r="B1569" s="36"/>
      <c r="C1569" s="36"/>
      <c r="D1569" s="36"/>
      <c r="E1569" s="36"/>
      <c r="F1569" s="36"/>
      <c r="G1569" s="36"/>
      <c r="H1569" s="36"/>
      <c r="J1569" s="36"/>
      <c r="L1569" s="1" t="str">
        <f t="shared" si="116"/>
        <v/>
      </c>
      <c r="M1569" s="94">
        <v>1564</v>
      </c>
      <c r="N1569" s="36" t="s">
        <v>3225</v>
      </c>
      <c r="O1569" s="95">
        <v>311271</v>
      </c>
      <c r="P1569" s="36"/>
      <c r="AI1569" s="122">
        <v>1257</v>
      </c>
      <c r="AJ1569" s="1" t="s">
        <v>2918</v>
      </c>
      <c r="AK1569" s="1">
        <v>310964</v>
      </c>
      <c r="AL1569" s="1" t="s">
        <v>115</v>
      </c>
      <c r="AN1569" s="270">
        <v>663</v>
      </c>
      <c r="BS1569" s="1">
        <v>11196</v>
      </c>
      <c r="BT1569" s="1" t="s">
        <v>45</v>
      </c>
      <c r="BX1569" s="36"/>
    </row>
    <row r="1570" spans="2:76" ht="14.25">
      <c r="B1570" s="36"/>
      <c r="C1570" s="36"/>
      <c r="D1570" s="36"/>
      <c r="E1570" s="36"/>
      <c r="F1570" s="36"/>
      <c r="G1570" s="36"/>
      <c r="H1570" s="36"/>
      <c r="J1570" s="36"/>
      <c r="L1570" s="1" t="str">
        <f t="shared" si="116"/>
        <v/>
      </c>
      <c r="M1570" s="94">
        <v>1565</v>
      </c>
      <c r="N1570" s="36" t="s">
        <v>3226</v>
      </c>
      <c r="O1570" s="95">
        <v>311272</v>
      </c>
      <c r="P1570" s="36"/>
      <c r="AI1570" s="122">
        <v>1258</v>
      </c>
      <c r="AJ1570" s="1" t="s">
        <v>2919</v>
      </c>
      <c r="AK1570" s="1">
        <v>310965</v>
      </c>
      <c r="AL1570" s="1" t="s">
        <v>930</v>
      </c>
      <c r="AN1570" s="270">
        <v>664</v>
      </c>
      <c r="BS1570" s="1">
        <v>11197</v>
      </c>
      <c r="BT1570" s="1" t="s">
        <v>44</v>
      </c>
      <c r="BX1570" s="36"/>
    </row>
    <row r="1571" spans="2:76" ht="14.25">
      <c r="B1571" s="36"/>
      <c r="C1571" s="36"/>
      <c r="D1571" s="36"/>
      <c r="E1571" s="36"/>
      <c r="F1571" s="36"/>
      <c r="G1571" s="36"/>
      <c r="H1571" s="36"/>
      <c r="J1571" s="36"/>
      <c r="L1571" s="1" t="str">
        <f t="shared" si="116"/>
        <v/>
      </c>
      <c r="M1571" s="94">
        <v>1566</v>
      </c>
      <c r="N1571" s="36" t="s">
        <v>3227</v>
      </c>
      <c r="O1571" s="95">
        <v>311273</v>
      </c>
      <c r="P1571" s="36"/>
      <c r="AI1571" s="122">
        <v>1259</v>
      </c>
      <c r="AJ1571" s="1" t="s">
        <v>2920</v>
      </c>
      <c r="AK1571" s="1">
        <v>310966</v>
      </c>
      <c r="AL1571" s="1" t="s">
        <v>115</v>
      </c>
      <c r="AN1571" s="270">
        <v>665</v>
      </c>
      <c r="BS1571" s="1">
        <v>11198</v>
      </c>
      <c r="BT1571" s="1" t="s">
        <v>45</v>
      </c>
      <c r="BX1571" s="36"/>
    </row>
    <row r="1572" spans="2:76" ht="14.25">
      <c r="B1572" s="36"/>
      <c r="C1572" s="36"/>
      <c r="D1572" s="36"/>
      <c r="E1572" s="36"/>
      <c r="F1572" s="36"/>
      <c r="G1572" s="36"/>
      <c r="H1572" s="36"/>
      <c r="J1572" s="36"/>
      <c r="L1572" s="1" t="str">
        <f t="shared" si="116"/>
        <v/>
      </c>
      <c r="M1572" s="94">
        <v>1567</v>
      </c>
      <c r="N1572" s="36" t="s">
        <v>3228</v>
      </c>
      <c r="O1572" s="95">
        <v>311274</v>
      </c>
      <c r="P1572" s="36"/>
      <c r="AI1572" s="122">
        <v>1260</v>
      </c>
      <c r="AJ1572" s="1" t="s">
        <v>2921</v>
      </c>
      <c r="AK1572" s="1">
        <v>310967</v>
      </c>
      <c r="AL1572" s="1" t="s">
        <v>930</v>
      </c>
      <c r="AN1572" s="270">
        <v>666</v>
      </c>
      <c r="BS1572" s="1">
        <v>11199</v>
      </c>
      <c r="BT1572" s="1" t="s">
        <v>1165</v>
      </c>
      <c r="BX1572" s="36"/>
    </row>
    <row r="1573" spans="2:76" ht="14.25">
      <c r="B1573" s="36"/>
      <c r="C1573" s="36"/>
      <c r="D1573" s="36"/>
      <c r="E1573" s="36"/>
      <c r="F1573" s="36"/>
      <c r="G1573" s="36"/>
      <c r="H1573" s="36"/>
      <c r="J1573" s="36"/>
      <c r="L1573" s="1" t="str">
        <f t="shared" si="116"/>
        <v/>
      </c>
      <c r="M1573" s="94">
        <v>1568</v>
      </c>
      <c r="N1573" s="36" t="s">
        <v>3229</v>
      </c>
      <c r="O1573" s="95">
        <v>311275</v>
      </c>
      <c r="P1573" s="36"/>
      <c r="AI1573" s="122">
        <v>1261</v>
      </c>
      <c r="AJ1573" s="1" t="s">
        <v>2922</v>
      </c>
      <c r="AK1573" s="1">
        <v>310968</v>
      </c>
      <c r="AL1573" s="1" t="s">
        <v>930</v>
      </c>
      <c r="AN1573" s="270">
        <v>667</v>
      </c>
      <c r="BS1573" s="1">
        <v>11200</v>
      </c>
      <c r="BT1573" s="1" t="s">
        <v>246</v>
      </c>
      <c r="BX1573" s="36"/>
    </row>
    <row r="1574" spans="2:76" ht="14.25">
      <c r="B1574" s="36"/>
      <c r="C1574" s="36"/>
      <c r="D1574" s="36"/>
      <c r="E1574" s="36"/>
      <c r="F1574" s="36"/>
      <c r="G1574" s="36"/>
      <c r="H1574" s="36"/>
      <c r="J1574" s="36"/>
      <c r="L1574" s="1" t="str">
        <f t="shared" si="116"/>
        <v/>
      </c>
      <c r="M1574" s="94">
        <v>1569</v>
      </c>
      <c r="N1574" s="36" t="s">
        <v>3230</v>
      </c>
      <c r="O1574" s="95">
        <v>311276</v>
      </c>
      <c r="P1574" s="36"/>
      <c r="AI1574" s="122">
        <v>1262</v>
      </c>
      <c r="AJ1574" s="1" t="s">
        <v>2923</v>
      </c>
      <c r="AK1574" s="1">
        <v>310969</v>
      </c>
      <c r="AL1574" s="1" t="s">
        <v>115</v>
      </c>
      <c r="AN1574" s="270">
        <v>668</v>
      </c>
      <c r="BS1574" s="1">
        <v>11201</v>
      </c>
      <c r="BT1574" s="1" t="s">
        <v>247</v>
      </c>
      <c r="BX1574" s="36"/>
    </row>
    <row r="1575" spans="2:76" ht="14.25">
      <c r="B1575" s="36"/>
      <c r="C1575" s="36"/>
      <c r="D1575" s="36"/>
      <c r="E1575" s="36"/>
      <c r="F1575" s="36"/>
      <c r="G1575" s="36"/>
      <c r="H1575" s="36"/>
      <c r="J1575" s="36"/>
      <c r="L1575" s="1" t="str">
        <f t="shared" si="116"/>
        <v/>
      </c>
      <c r="M1575" s="94">
        <v>1570</v>
      </c>
      <c r="N1575" s="36" t="s">
        <v>3231</v>
      </c>
      <c r="O1575" s="95">
        <v>311277</v>
      </c>
      <c r="P1575" s="36"/>
      <c r="AI1575" s="122">
        <v>1263</v>
      </c>
      <c r="AJ1575" s="1" t="s">
        <v>2924</v>
      </c>
      <c r="AK1575" s="1">
        <v>310970</v>
      </c>
      <c r="AL1575" s="1" t="s">
        <v>930</v>
      </c>
      <c r="AN1575" s="270">
        <v>669</v>
      </c>
      <c r="BS1575" s="1">
        <v>11202</v>
      </c>
      <c r="BT1575" s="1" t="s">
        <v>44</v>
      </c>
      <c r="BX1575" s="36"/>
    </row>
    <row r="1576" spans="2:76" ht="14.25">
      <c r="B1576" s="36"/>
      <c r="C1576" s="36"/>
      <c r="D1576" s="36"/>
      <c r="E1576" s="36"/>
      <c r="F1576" s="36"/>
      <c r="G1576" s="36"/>
      <c r="H1576" s="36"/>
      <c r="J1576" s="36"/>
      <c r="L1576" s="1" t="str">
        <f t="shared" si="116"/>
        <v/>
      </c>
      <c r="M1576" s="94">
        <v>1571</v>
      </c>
      <c r="N1576" s="36" t="s">
        <v>3232</v>
      </c>
      <c r="O1576" s="95">
        <v>311278</v>
      </c>
      <c r="P1576" s="36"/>
      <c r="AI1576" s="122">
        <v>1264</v>
      </c>
      <c r="AJ1576" s="1" t="s">
        <v>2925</v>
      </c>
      <c r="AK1576" s="1">
        <v>310971</v>
      </c>
      <c r="AL1576" s="1" t="s">
        <v>115</v>
      </c>
      <c r="AN1576" s="270">
        <v>670</v>
      </c>
      <c r="BS1576" s="1">
        <v>11203</v>
      </c>
      <c r="BT1576" s="1" t="s">
        <v>45</v>
      </c>
      <c r="BX1576" s="36"/>
    </row>
    <row r="1577" spans="2:76" ht="14.25">
      <c r="B1577" s="36"/>
      <c r="C1577" s="36"/>
      <c r="D1577" s="36"/>
      <c r="E1577" s="36"/>
      <c r="F1577" s="36"/>
      <c r="G1577" s="36"/>
      <c r="H1577" s="36"/>
      <c r="J1577" s="36"/>
      <c r="L1577" s="1" t="str">
        <f t="shared" si="116"/>
        <v/>
      </c>
      <c r="M1577" s="94">
        <v>1572</v>
      </c>
      <c r="N1577" s="36" t="s">
        <v>3233</v>
      </c>
      <c r="O1577" s="95">
        <v>311279</v>
      </c>
      <c r="P1577" s="36"/>
      <c r="AI1577" s="122">
        <v>1265</v>
      </c>
      <c r="AJ1577" s="1" t="s">
        <v>2926</v>
      </c>
      <c r="AK1577" s="1">
        <v>310972</v>
      </c>
      <c r="AL1577" s="1" t="s">
        <v>930</v>
      </c>
      <c r="AN1577" s="270">
        <v>671</v>
      </c>
      <c r="BS1577" s="1">
        <v>11204</v>
      </c>
      <c r="BT1577" s="1" t="s">
        <v>45</v>
      </c>
      <c r="BX1577" s="36"/>
    </row>
    <row r="1578" spans="2:76" ht="14.25">
      <c r="B1578" s="36"/>
      <c r="C1578" s="36"/>
      <c r="D1578" s="36"/>
      <c r="E1578" s="36"/>
      <c r="F1578" s="36"/>
      <c r="G1578" s="36"/>
      <c r="H1578" s="36"/>
      <c r="J1578" s="36"/>
      <c r="L1578" s="1" t="str">
        <f t="shared" si="116"/>
        <v/>
      </c>
      <c r="M1578" s="94">
        <v>1573</v>
      </c>
      <c r="N1578" s="36" t="s">
        <v>3234</v>
      </c>
      <c r="O1578" s="95">
        <v>311280</v>
      </c>
      <c r="P1578" s="36"/>
      <c r="AI1578" s="122">
        <v>1266</v>
      </c>
      <c r="AJ1578" s="1" t="s">
        <v>2927</v>
      </c>
      <c r="AK1578" s="1">
        <v>310973</v>
      </c>
      <c r="AL1578" s="1" t="s">
        <v>115</v>
      </c>
      <c r="AN1578" s="270">
        <v>672</v>
      </c>
      <c r="BS1578" s="1">
        <v>11205</v>
      </c>
      <c r="BT1578" s="1" t="s">
        <v>45</v>
      </c>
      <c r="BX1578" s="36"/>
    </row>
    <row r="1579" spans="2:76" ht="14.25">
      <c r="B1579" s="36"/>
      <c r="C1579" s="36"/>
      <c r="D1579" s="36"/>
      <c r="E1579" s="36"/>
      <c r="F1579" s="36"/>
      <c r="G1579" s="36"/>
      <c r="H1579" s="36"/>
      <c r="J1579" s="36"/>
      <c r="L1579" s="1" t="str">
        <f t="shared" si="116"/>
        <v/>
      </c>
      <c r="M1579" s="94">
        <v>1574</v>
      </c>
      <c r="N1579" s="36" t="s">
        <v>3235</v>
      </c>
      <c r="O1579" s="95">
        <v>311281</v>
      </c>
      <c r="P1579" s="36"/>
      <c r="AI1579" s="122">
        <v>1267</v>
      </c>
      <c r="AJ1579" s="1" t="s">
        <v>2928</v>
      </c>
      <c r="AK1579" s="1">
        <v>310974</v>
      </c>
      <c r="AL1579" s="1" t="s">
        <v>930</v>
      </c>
      <c r="AN1579" s="270">
        <v>673</v>
      </c>
      <c r="BS1579" s="1">
        <v>11206</v>
      </c>
      <c r="BT1579" s="1" t="s">
        <v>43</v>
      </c>
      <c r="BX1579" s="36"/>
    </row>
    <row r="1580" spans="2:76" ht="14.25">
      <c r="B1580" s="36"/>
      <c r="C1580" s="36"/>
      <c r="D1580" s="36"/>
      <c r="E1580" s="36"/>
      <c r="F1580" s="36"/>
      <c r="G1580" s="36"/>
      <c r="H1580" s="36"/>
      <c r="J1580" s="36"/>
      <c r="L1580" s="1" t="str">
        <f t="shared" si="116"/>
        <v/>
      </c>
      <c r="M1580" s="94">
        <v>1575</v>
      </c>
      <c r="N1580" s="36" t="s">
        <v>3236</v>
      </c>
      <c r="O1580" s="95">
        <v>311282</v>
      </c>
      <c r="P1580" s="36"/>
      <c r="AI1580" s="122">
        <v>1268</v>
      </c>
      <c r="AJ1580" s="1" t="s">
        <v>2929</v>
      </c>
      <c r="AK1580" s="1">
        <v>310975</v>
      </c>
      <c r="AL1580" s="1" t="s">
        <v>930</v>
      </c>
      <c r="AN1580" s="270">
        <v>674</v>
      </c>
      <c r="BS1580" s="1">
        <v>11207</v>
      </c>
      <c r="BT1580" s="1" t="s">
        <v>43</v>
      </c>
      <c r="BX1580" s="36"/>
    </row>
    <row r="1581" spans="2:76" ht="14.25">
      <c r="B1581" s="36"/>
      <c r="C1581" s="36"/>
      <c r="D1581" s="36"/>
      <c r="E1581" s="36"/>
      <c r="F1581" s="36"/>
      <c r="G1581" s="36"/>
      <c r="H1581" s="36"/>
      <c r="J1581" s="36"/>
      <c r="L1581" s="1" t="str">
        <f t="shared" si="116"/>
        <v/>
      </c>
      <c r="M1581" s="94">
        <v>1576</v>
      </c>
      <c r="N1581" s="36" t="s">
        <v>3237</v>
      </c>
      <c r="O1581" s="95">
        <v>311283</v>
      </c>
      <c r="P1581" s="36"/>
      <c r="AI1581" s="122">
        <v>1269</v>
      </c>
      <c r="AJ1581" s="1" t="s">
        <v>2930</v>
      </c>
      <c r="AK1581" s="1">
        <v>310976</v>
      </c>
      <c r="AL1581" s="1" t="s">
        <v>115</v>
      </c>
      <c r="AN1581" s="270">
        <v>675</v>
      </c>
      <c r="BS1581" s="1">
        <v>11208</v>
      </c>
      <c r="BT1581" s="1" t="s">
        <v>78</v>
      </c>
      <c r="BX1581" s="36"/>
    </row>
    <row r="1582" spans="2:76" ht="14.25">
      <c r="B1582" s="36"/>
      <c r="C1582" s="36"/>
      <c r="D1582" s="36"/>
      <c r="E1582" s="36"/>
      <c r="F1582" s="36"/>
      <c r="G1582" s="36"/>
      <c r="H1582" s="36"/>
      <c r="J1582" s="36"/>
      <c r="L1582" s="1" t="str">
        <f t="shared" si="116"/>
        <v/>
      </c>
      <c r="M1582" s="94">
        <v>1577</v>
      </c>
      <c r="N1582" s="36" t="s">
        <v>3238</v>
      </c>
      <c r="O1582" s="95">
        <v>311284</v>
      </c>
      <c r="P1582" s="36"/>
      <c r="AI1582" s="122">
        <v>1270</v>
      </c>
      <c r="AJ1582" s="1" t="s">
        <v>2931</v>
      </c>
      <c r="AK1582" s="1">
        <v>310977</v>
      </c>
      <c r="AL1582" s="1" t="s">
        <v>930</v>
      </c>
      <c r="AN1582" s="270">
        <v>676</v>
      </c>
      <c r="BS1582" s="1">
        <v>11209</v>
      </c>
      <c r="BT1582" s="1" t="s">
        <v>1165</v>
      </c>
      <c r="BX1582" s="36"/>
    </row>
    <row r="1583" spans="2:76" ht="14.25">
      <c r="B1583" s="36"/>
      <c r="C1583" s="36"/>
      <c r="D1583" s="36"/>
      <c r="E1583" s="36"/>
      <c r="F1583" s="36"/>
      <c r="G1583" s="36"/>
      <c r="H1583" s="36"/>
      <c r="J1583" s="36"/>
      <c r="L1583" s="1" t="str">
        <f t="shared" si="116"/>
        <v/>
      </c>
      <c r="M1583" s="94">
        <v>1578</v>
      </c>
      <c r="N1583" s="36" t="s">
        <v>3239</v>
      </c>
      <c r="O1583" s="95">
        <v>311285</v>
      </c>
      <c r="P1583" s="36"/>
      <c r="AI1583" s="122">
        <v>1271</v>
      </c>
      <c r="AJ1583" s="1" t="s">
        <v>2932</v>
      </c>
      <c r="AK1583" s="1">
        <v>310978</v>
      </c>
      <c r="AL1583" s="1" t="s">
        <v>115</v>
      </c>
      <c r="AN1583" s="270">
        <v>677</v>
      </c>
      <c r="BS1583" s="1">
        <v>11210</v>
      </c>
      <c r="BT1583" s="1" t="s">
        <v>45</v>
      </c>
      <c r="BX1583" s="36"/>
    </row>
    <row r="1584" spans="2:76" ht="14.25">
      <c r="B1584" s="36"/>
      <c r="C1584" s="36"/>
      <c r="D1584" s="36"/>
      <c r="E1584" s="36"/>
      <c r="F1584" s="36"/>
      <c r="G1584" s="36"/>
      <c r="H1584" s="36"/>
      <c r="J1584" s="36"/>
      <c r="L1584" s="1" t="str">
        <f t="shared" si="116"/>
        <v/>
      </c>
      <c r="M1584" s="94">
        <v>1579</v>
      </c>
      <c r="N1584" s="36" t="s">
        <v>3240</v>
      </c>
      <c r="O1584" s="95">
        <v>311286</v>
      </c>
      <c r="P1584" s="36"/>
      <c r="AI1584" s="122">
        <v>1272</v>
      </c>
      <c r="AJ1584" s="1" t="s">
        <v>2933</v>
      </c>
      <c r="AK1584" s="1">
        <v>310979</v>
      </c>
      <c r="AL1584" s="1" t="s">
        <v>930</v>
      </c>
      <c r="AN1584" s="270">
        <v>678</v>
      </c>
      <c r="BS1584" s="1">
        <v>11211</v>
      </c>
      <c r="BT1584" s="1" t="s">
        <v>78</v>
      </c>
      <c r="BX1584" s="36"/>
    </row>
    <row r="1585" spans="2:76" ht="14.25">
      <c r="B1585" s="36"/>
      <c r="C1585" s="36"/>
      <c r="D1585" s="36"/>
      <c r="E1585" s="36"/>
      <c r="F1585" s="36"/>
      <c r="G1585" s="36"/>
      <c r="H1585" s="36"/>
      <c r="J1585" s="36"/>
      <c r="L1585" s="1" t="str">
        <f t="shared" si="116"/>
        <v/>
      </c>
      <c r="M1585" s="94">
        <v>1580</v>
      </c>
      <c r="N1585" s="36" t="s">
        <v>3241</v>
      </c>
      <c r="O1585" s="95">
        <v>311287</v>
      </c>
      <c r="P1585" s="36"/>
      <c r="AI1585" s="122">
        <v>1273</v>
      </c>
      <c r="AJ1585" s="1" t="s">
        <v>2934</v>
      </c>
      <c r="AK1585" s="1">
        <v>310980</v>
      </c>
      <c r="AL1585" s="1" t="s">
        <v>115</v>
      </c>
      <c r="AN1585" s="270">
        <v>679</v>
      </c>
      <c r="BS1585" s="1">
        <v>11212</v>
      </c>
      <c r="BT1585" s="1" t="s">
        <v>246</v>
      </c>
      <c r="BX1585" s="36"/>
    </row>
    <row r="1586" spans="2:76" ht="14.25">
      <c r="B1586" s="36"/>
      <c r="C1586" s="36"/>
      <c r="D1586" s="36"/>
      <c r="E1586" s="36"/>
      <c r="F1586" s="36"/>
      <c r="G1586" s="36"/>
      <c r="H1586" s="36"/>
      <c r="J1586" s="36"/>
      <c r="L1586" s="1" t="str">
        <f t="shared" si="116"/>
        <v/>
      </c>
      <c r="M1586" s="94">
        <v>1581</v>
      </c>
      <c r="N1586" s="36" t="s">
        <v>3242</v>
      </c>
      <c r="O1586" s="95">
        <v>311288</v>
      </c>
      <c r="P1586" s="36"/>
      <c r="AI1586" s="122">
        <v>1274</v>
      </c>
      <c r="AJ1586" s="1" t="s">
        <v>2935</v>
      </c>
      <c r="AK1586" s="1">
        <v>310981</v>
      </c>
      <c r="AL1586" s="1" t="s">
        <v>930</v>
      </c>
      <c r="AN1586" s="270">
        <v>680</v>
      </c>
      <c r="BS1586" s="1">
        <v>11213</v>
      </c>
      <c r="BT1586" s="1" t="s">
        <v>246</v>
      </c>
      <c r="BX1586" s="36"/>
    </row>
    <row r="1587" spans="2:76" ht="14.25">
      <c r="B1587" s="36"/>
      <c r="C1587" s="36"/>
      <c r="D1587" s="36"/>
      <c r="E1587" s="36"/>
      <c r="F1587" s="36"/>
      <c r="G1587" s="36"/>
      <c r="H1587" s="36"/>
      <c r="J1587" s="36"/>
      <c r="L1587" s="1" t="str">
        <f t="shared" si="116"/>
        <v/>
      </c>
      <c r="M1587" s="94">
        <v>1582</v>
      </c>
      <c r="N1587" s="36" t="s">
        <v>3243</v>
      </c>
      <c r="O1587" s="95">
        <v>311289</v>
      </c>
      <c r="P1587" s="36"/>
      <c r="AI1587" s="122">
        <v>1275</v>
      </c>
      <c r="AJ1587" s="1" t="s">
        <v>2936</v>
      </c>
      <c r="AK1587" s="1">
        <v>310982</v>
      </c>
      <c r="AL1587" s="1" t="s">
        <v>930</v>
      </c>
      <c r="AN1587" s="270">
        <v>681</v>
      </c>
      <c r="BS1587" s="1">
        <v>11214</v>
      </c>
      <c r="BT1587" s="1" t="s">
        <v>47</v>
      </c>
      <c r="BX1587" s="36"/>
    </row>
    <row r="1588" spans="2:76" ht="14.25">
      <c r="B1588" s="36"/>
      <c r="C1588" s="36"/>
      <c r="D1588" s="36"/>
      <c r="E1588" s="36"/>
      <c r="F1588" s="36"/>
      <c r="G1588" s="36"/>
      <c r="H1588" s="36"/>
      <c r="J1588" s="36"/>
      <c r="L1588" s="1" t="str">
        <f t="shared" si="116"/>
        <v/>
      </c>
      <c r="M1588" s="94">
        <v>1583</v>
      </c>
      <c r="N1588" s="36" t="s">
        <v>3244</v>
      </c>
      <c r="O1588" s="95">
        <v>311290</v>
      </c>
      <c r="P1588" s="36"/>
      <c r="AI1588" s="122">
        <v>1276</v>
      </c>
      <c r="AJ1588" s="1" t="s">
        <v>2937</v>
      </c>
      <c r="AK1588" s="1">
        <v>310983</v>
      </c>
      <c r="AL1588" s="1" t="s">
        <v>115</v>
      </c>
      <c r="AN1588" s="270">
        <v>682</v>
      </c>
      <c r="BS1588" s="1">
        <v>11215</v>
      </c>
      <c r="BT1588" s="1" t="s">
        <v>246</v>
      </c>
      <c r="BX1588" s="36"/>
    </row>
    <row r="1589" spans="2:76" ht="14.25">
      <c r="B1589" s="36"/>
      <c r="C1589" s="36"/>
      <c r="D1589" s="36"/>
      <c r="E1589" s="36"/>
      <c r="F1589" s="36"/>
      <c r="G1589" s="36"/>
      <c r="H1589" s="36"/>
      <c r="J1589" s="36"/>
      <c r="L1589" s="1" t="str">
        <f t="shared" si="116"/>
        <v/>
      </c>
      <c r="M1589" s="94">
        <v>1584</v>
      </c>
      <c r="N1589" s="36" t="s">
        <v>3245</v>
      </c>
      <c r="O1589" s="95">
        <v>311291</v>
      </c>
      <c r="P1589" s="36"/>
      <c r="AI1589" s="122">
        <v>1277</v>
      </c>
      <c r="AJ1589" s="1" t="s">
        <v>2938</v>
      </c>
      <c r="AK1589" s="1">
        <v>310984</v>
      </c>
      <c r="AL1589" s="1" t="s">
        <v>930</v>
      </c>
      <c r="AN1589" s="270">
        <v>683</v>
      </c>
      <c r="BS1589" s="1">
        <v>11216</v>
      </c>
      <c r="BT1589" s="1" t="s">
        <v>247</v>
      </c>
      <c r="BX1589" s="36"/>
    </row>
    <row r="1590" spans="2:76" ht="14.25">
      <c r="B1590" s="36"/>
      <c r="C1590" s="36"/>
      <c r="D1590" s="36"/>
      <c r="E1590" s="36"/>
      <c r="F1590" s="36"/>
      <c r="G1590" s="36"/>
      <c r="H1590" s="36"/>
      <c r="J1590" s="36"/>
      <c r="L1590" s="1" t="str">
        <f t="shared" si="116"/>
        <v/>
      </c>
      <c r="M1590" s="94">
        <v>1585</v>
      </c>
      <c r="N1590" s="36" t="s">
        <v>3246</v>
      </c>
      <c r="O1590" s="95">
        <v>311292</v>
      </c>
      <c r="P1590" s="36"/>
      <c r="AI1590" s="122">
        <v>1278</v>
      </c>
      <c r="AJ1590" s="1" t="s">
        <v>2939</v>
      </c>
      <c r="AK1590" s="1">
        <v>310985</v>
      </c>
      <c r="AL1590" s="1" t="s">
        <v>115</v>
      </c>
      <c r="AN1590" s="270">
        <v>684</v>
      </c>
      <c r="BS1590" s="1">
        <v>11217</v>
      </c>
      <c r="BT1590" s="1" t="s">
        <v>47</v>
      </c>
      <c r="BX1590" s="36"/>
    </row>
    <row r="1591" spans="2:76" ht="14.25">
      <c r="B1591" s="36"/>
      <c r="C1591" s="36"/>
      <c r="D1591" s="36"/>
      <c r="E1591" s="36"/>
      <c r="F1591" s="36"/>
      <c r="G1591" s="36"/>
      <c r="H1591" s="36"/>
      <c r="J1591" s="36"/>
      <c r="L1591" s="1" t="str">
        <f t="shared" si="116"/>
        <v/>
      </c>
      <c r="M1591" s="94">
        <v>1586</v>
      </c>
      <c r="N1591" s="36" t="s">
        <v>3247</v>
      </c>
      <c r="O1591" s="95">
        <v>311293</v>
      </c>
      <c r="P1591" s="36"/>
      <c r="AI1591" s="122">
        <v>1279</v>
      </c>
      <c r="AJ1591" s="1" t="s">
        <v>2940</v>
      </c>
      <c r="AK1591" s="1">
        <v>310986</v>
      </c>
      <c r="AL1591" s="1" t="s">
        <v>930</v>
      </c>
      <c r="AN1591" s="270">
        <v>685</v>
      </c>
      <c r="BS1591" s="1">
        <v>11218</v>
      </c>
      <c r="BT1591" s="1" t="s">
        <v>47</v>
      </c>
      <c r="BX1591" s="36"/>
    </row>
    <row r="1592" spans="2:76" ht="14.25">
      <c r="B1592" s="36"/>
      <c r="C1592" s="36"/>
      <c r="D1592" s="36"/>
      <c r="E1592" s="36"/>
      <c r="F1592" s="36"/>
      <c r="G1592" s="36"/>
      <c r="H1592" s="36"/>
      <c r="J1592" s="36"/>
      <c r="L1592" s="1" t="str">
        <f t="shared" si="116"/>
        <v/>
      </c>
      <c r="M1592" s="94">
        <v>1587</v>
      </c>
      <c r="N1592" s="36" t="s">
        <v>3248</v>
      </c>
      <c r="O1592" s="95">
        <v>311294</v>
      </c>
      <c r="P1592" s="36"/>
      <c r="AI1592" s="122">
        <v>1280</v>
      </c>
      <c r="AJ1592" s="1" t="s">
        <v>2941</v>
      </c>
      <c r="AK1592" s="1">
        <v>310987</v>
      </c>
      <c r="AL1592" s="1" t="s">
        <v>115</v>
      </c>
      <c r="AN1592" s="270">
        <v>686</v>
      </c>
      <c r="BS1592" s="1">
        <v>11219</v>
      </c>
      <c r="BT1592" s="1" t="s">
        <v>78</v>
      </c>
      <c r="BX1592" s="36"/>
    </row>
    <row r="1593" spans="2:76" ht="14.25">
      <c r="B1593" s="36"/>
      <c r="C1593" s="36"/>
      <c r="D1593" s="36"/>
      <c r="E1593" s="36"/>
      <c r="F1593" s="36"/>
      <c r="G1593" s="36"/>
      <c r="H1593" s="36"/>
      <c r="J1593" s="36"/>
      <c r="L1593" s="1" t="str">
        <f t="shared" si="116"/>
        <v/>
      </c>
      <c r="M1593" s="94">
        <v>1588</v>
      </c>
      <c r="N1593" s="36" t="s">
        <v>3249</v>
      </c>
      <c r="O1593" s="95">
        <v>311295</v>
      </c>
      <c r="P1593" s="36"/>
      <c r="AI1593" s="122">
        <v>1281</v>
      </c>
      <c r="AJ1593" s="1" t="s">
        <v>2942</v>
      </c>
      <c r="AK1593" s="1">
        <v>310988</v>
      </c>
      <c r="AL1593" s="1" t="s">
        <v>930</v>
      </c>
      <c r="AN1593" s="270">
        <v>687</v>
      </c>
      <c r="BS1593" s="1">
        <v>11220</v>
      </c>
      <c r="BT1593" s="1" t="s">
        <v>78</v>
      </c>
      <c r="BX1593" s="36"/>
    </row>
    <row r="1594" spans="2:76" ht="14.25">
      <c r="B1594" s="36"/>
      <c r="C1594" s="36"/>
      <c r="D1594" s="36"/>
      <c r="E1594" s="36"/>
      <c r="F1594" s="36"/>
      <c r="G1594" s="36"/>
      <c r="H1594" s="36"/>
      <c r="J1594" s="36"/>
      <c r="L1594" s="1" t="str">
        <f t="shared" si="116"/>
        <v/>
      </c>
      <c r="M1594" s="94">
        <v>1589</v>
      </c>
      <c r="N1594" s="36" t="s">
        <v>3250</v>
      </c>
      <c r="O1594" s="95">
        <v>311296</v>
      </c>
      <c r="P1594" s="36"/>
      <c r="AI1594" s="122">
        <v>1282</v>
      </c>
      <c r="AJ1594" s="1" t="s">
        <v>2943</v>
      </c>
      <c r="AK1594" s="1">
        <v>310989</v>
      </c>
      <c r="AL1594" s="1" t="s">
        <v>930</v>
      </c>
      <c r="AN1594" s="270">
        <v>688</v>
      </c>
      <c r="BS1594" s="1">
        <v>11221</v>
      </c>
      <c r="BT1594" s="1" t="s">
        <v>78</v>
      </c>
      <c r="BX1594" s="36"/>
    </row>
    <row r="1595" spans="2:76" ht="14.25">
      <c r="B1595" s="36"/>
      <c r="C1595" s="36"/>
      <c r="D1595" s="36"/>
      <c r="E1595" s="36"/>
      <c r="F1595" s="36"/>
      <c r="G1595" s="36"/>
      <c r="H1595" s="36"/>
      <c r="J1595" s="36"/>
      <c r="L1595" s="1" t="str">
        <f t="shared" si="116"/>
        <v/>
      </c>
      <c r="M1595" s="94">
        <v>1590</v>
      </c>
      <c r="N1595" s="36" t="s">
        <v>3251</v>
      </c>
      <c r="O1595" s="95">
        <v>311297</v>
      </c>
      <c r="P1595" s="36"/>
      <c r="AI1595" s="122">
        <v>1283</v>
      </c>
      <c r="AJ1595" s="1" t="s">
        <v>2944</v>
      </c>
      <c r="AK1595" s="1">
        <v>310990</v>
      </c>
      <c r="AL1595" s="1" t="s">
        <v>115</v>
      </c>
      <c r="AN1595" s="270">
        <v>689</v>
      </c>
      <c r="BS1595" s="1">
        <v>11222</v>
      </c>
      <c r="BT1595" s="1" t="s">
        <v>78</v>
      </c>
      <c r="BX1595" s="36"/>
    </row>
    <row r="1596" spans="2:76" ht="14.25">
      <c r="B1596" s="36"/>
      <c r="C1596" s="36"/>
      <c r="D1596" s="36"/>
      <c r="E1596" s="36"/>
      <c r="F1596" s="36"/>
      <c r="G1596" s="36"/>
      <c r="H1596" s="36"/>
      <c r="J1596" s="36"/>
      <c r="L1596" s="1" t="str">
        <f t="shared" si="116"/>
        <v/>
      </c>
      <c r="M1596" s="94">
        <v>1591</v>
      </c>
      <c r="N1596" s="36" t="s">
        <v>3252</v>
      </c>
      <c r="O1596" s="95">
        <v>311298</v>
      </c>
      <c r="P1596" s="36"/>
      <c r="AI1596" s="122">
        <v>1284</v>
      </c>
      <c r="AJ1596" s="1" t="s">
        <v>2945</v>
      </c>
      <c r="AK1596" s="1">
        <v>310991</v>
      </c>
      <c r="AL1596" s="1" t="s">
        <v>930</v>
      </c>
      <c r="AN1596" s="270">
        <v>690</v>
      </c>
      <c r="BS1596" s="1">
        <v>11223</v>
      </c>
      <c r="BT1596" s="1" t="s">
        <v>78</v>
      </c>
      <c r="BX1596" s="36"/>
    </row>
    <row r="1597" spans="2:76" ht="14.25">
      <c r="B1597" s="36"/>
      <c r="C1597" s="36"/>
      <c r="D1597" s="36"/>
      <c r="E1597" s="36"/>
      <c r="F1597" s="36"/>
      <c r="G1597" s="36"/>
      <c r="H1597" s="36"/>
      <c r="J1597" s="36"/>
      <c r="L1597" s="1" t="str">
        <f t="shared" si="116"/>
        <v/>
      </c>
      <c r="M1597" s="94">
        <v>1592</v>
      </c>
      <c r="N1597" s="36" t="s">
        <v>3253</v>
      </c>
      <c r="O1597" s="95">
        <v>311299</v>
      </c>
      <c r="P1597" s="36"/>
      <c r="AI1597" s="122">
        <v>1285</v>
      </c>
      <c r="AJ1597" s="1" t="s">
        <v>2946</v>
      </c>
      <c r="AK1597" s="1">
        <v>310992</v>
      </c>
      <c r="AL1597" s="1" t="s">
        <v>115</v>
      </c>
      <c r="AN1597" s="270">
        <v>691</v>
      </c>
      <c r="BS1597" s="1">
        <v>11224</v>
      </c>
      <c r="BT1597" s="1" t="s">
        <v>78</v>
      </c>
      <c r="BX1597" s="36"/>
    </row>
    <row r="1598" spans="2:76" ht="14.25">
      <c r="B1598" s="36"/>
      <c r="C1598" s="36"/>
      <c r="D1598" s="36"/>
      <c r="E1598" s="36"/>
      <c r="F1598" s="36"/>
      <c r="G1598" s="36"/>
      <c r="H1598" s="36"/>
      <c r="J1598" s="36"/>
      <c r="L1598" s="1" t="str">
        <f t="shared" si="116"/>
        <v/>
      </c>
      <c r="M1598" s="94">
        <v>1593</v>
      </c>
      <c r="N1598" s="36" t="s">
        <v>3254</v>
      </c>
      <c r="O1598" s="95">
        <v>311300</v>
      </c>
      <c r="P1598" s="36"/>
      <c r="AI1598" s="122">
        <v>1286</v>
      </c>
      <c r="AJ1598" s="1" t="s">
        <v>2947</v>
      </c>
      <c r="AK1598" s="1">
        <v>310993</v>
      </c>
      <c r="AL1598" s="1" t="s">
        <v>930</v>
      </c>
      <c r="AN1598" s="270">
        <v>692</v>
      </c>
      <c r="BS1598" s="1">
        <v>11225</v>
      </c>
      <c r="BT1598" s="1" t="s">
        <v>78</v>
      </c>
      <c r="BX1598" s="36"/>
    </row>
    <row r="1599" spans="2:76" ht="14.25">
      <c r="B1599" s="36"/>
      <c r="C1599" s="36"/>
      <c r="D1599" s="36"/>
      <c r="E1599" s="36"/>
      <c r="F1599" s="36"/>
      <c r="G1599" s="36"/>
      <c r="H1599" s="36"/>
      <c r="J1599" s="36"/>
      <c r="L1599" s="1" t="str">
        <f t="shared" si="116"/>
        <v/>
      </c>
      <c r="M1599" s="94">
        <v>1594</v>
      </c>
      <c r="N1599" s="36" t="s">
        <v>3255</v>
      </c>
      <c r="O1599" s="95">
        <v>311301</v>
      </c>
      <c r="P1599" s="36"/>
      <c r="AI1599" s="122">
        <v>1287</v>
      </c>
      <c r="AJ1599" s="1" t="s">
        <v>2948</v>
      </c>
      <c r="AK1599" s="1">
        <v>310994</v>
      </c>
      <c r="AL1599" s="1" t="s">
        <v>115</v>
      </c>
      <c r="AN1599" s="270">
        <v>693</v>
      </c>
      <c r="BS1599" s="1">
        <v>11226</v>
      </c>
      <c r="BT1599" s="1" t="s">
        <v>78</v>
      </c>
      <c r="BX1599" s="36"/>
    </row>
    <row r="1600" spans="2:76" ht="14.25">
      <c r="B1600" s="36"/>
      <c r="C1600" s="36"/>
      <c r="D1600" s="36"/>
      <c r="E1600" s="36"/>
      <c r="F1600" s="36"/>
      <c r="G1600" s="36"/>
      <c r="H1600" s="36"/>
      <c r="J1600" s="36"/>
      <c r="L1600" s="1" t="str">
        <f t="shared" si="116"/>
        <v/>
      </c>
      <c r="M1600" s="94">
        <v>1595</v>
      </c>
      <c r="N1600" s="36" t="s">
        <v>3256</v>
      </c>
      <c r="O1600" s="95">
        <v>311302</v>
      </c>
      <c r="P1600" s="36"/>
      <c r="AI1600" s="122">
        <v>1288</v>
      </c>
      <c r="AJ1600" s="1" t="s">
        <v>2949</v>
      </c>
      <c r="AK1600" s="1">
        <v>310995</v>
      </c>
      <c r="AL1600" s="1" t="s">
        <v>930</v>
      </c>
      <c r="AN1600" s="270">
        <v>694</v>
      </c>
      <c r="BS1600" s="1">
        <v>11227</v>
      </c>
      <c r="BT1600" s="1" t="s">
        <v>129</v>
      </c>
      <c r="BX1600" s="36"/>
    </row>
    <row r="1601" spans="2:76" ht="14.25">
      <c r="B1601" s="36"/>
      <c r="C1601" s="36"/>
      <c r="D1601" s="36"/>
      <c r="E1601" s="36"/>
      <c r="F1601" s="36"/>
      <c r="G1601" s="36"/>
      <c r="H1601" s="36"/>
      <c r="J1601" s="36"/>
      <c r="L1601" s="1" t="str">
        <f t="shared" si="116"/>
        <v/>
      </c>
      <c r="M1601" s="94">
        <v>1596</v>
      </c>
      <c r="N1601" s="36" t="s">
        <v>3257</v>
      </c>
      <c r="O1601" s="95">
        <v>311303</v>
      </c>
      <c r="P1601" s="36"/>
      <c r="AI1601" s="122">
        <v>1289</v>
      </c>
      <c r="AJ1601" s="1" t="s">
        <v>2950</v>
      </c>
      <c r="AK1601" s="1">
        <v>310996</v>
      </c>
      <c r="AL1601" s="1" t="s">
        <v>930</v>
      </c>
      <c r="AN1601" s="270">
        <v>695</v>
      </c>
      <c r="BS1601" s="1">
        <v>11228</v>
      </c>
      <c r="BT1601" s="1" t="s">
        <v>78</v>
      </c>
      <c r="BX1601" s="36"/>
    </row>
    <row r="1602" spans="2:76" ht="14.25">
      <c r="B1602" s="36"/>
      <c r="C1602" s="36"/>
      <c r="D1602" s="36"/>
      <c r="E1602" s="36"/>
      <c r="F1602" s="36"/>
      <c r="G1602" s="36"/>
      <c r="H1602" s="36"/>
      <c r="J1602" s="36"/>
      <c r="L1602" s="1" t="str">
        <f t="shared" si="116"/>
        <v/>
      </c>
      <c r="M1602" s="94">
        <v>1597</v>
      </c>
      <c r="N1602" s="36" t="s">
        <v>3258</v>
      </c>
      <c r="O1602" s="95">
        <v>311304</v>
      </c>
      <c r="P1602" s="36"/>
      <c r="AI1602" s="122">
        <v>1290</v>
      </c>
      <c r="AJ1602" s="1" t="s">
        <v>2951</v>
      </c>
      <c r="AK1602" s="1">
        <v>310997</v>
      </c>
      <c r="AL1602" s="1" t="s">
        <v>115</v>
      </c>
      <c r="AN1602" s="270">
        <v>696</v>
      </c>
      <c r="BS1602" s="1">
        <v>11229</v>
      </c>
      <c r="BT1602" s="1" t="s">
        <v>78</v>
      </c>
      <c r="BX1602" s="36"/>
    </row>
    <row r="1603" spans="2:76" ht="14.25">
      <c r="B1603" s="36"/>
      <c r="C1603" s="36"/>
      <c r="D1603" s="36"/>
      <c r="E1603" s="36"/>
      <c r="F1603" s="36"/>
      <c r="G1603" s="36"/>
      <c r="H1603" s="36"/>
      <c r="J1603" s="36"/>
      <c r="L1603" s="1" t="str">
        <f t="shared" si="116"/>
        <v/>
      </c>
      <c r="M1603" s="94">
        <v>1598</v>
      </c>
      <c r="N1603" s="36" t="s">
        <v>3259</v>
      </c>
      <c r="O1603" s="95">
        <v>311305</v>
      </c>
      <c r="P1603" s="36"/>
      <c r="AI1603" s="122">
        <v>1291</v>
      </c>
      <c r="AJ1603" s="1" t="s">
        <v>2952</v>
      </c>
      <c r="AK1603" s="1">
        <v>310998</v>
      </c>
      <c r="AL1603" s="1" t="s">
        <v>930</v>
      </c>
      <c r="AN1603" s="270">
        <v>697</v>
      </c>
      <c r="BS1603" s="1">
        <v>11230</v>
      </c>
      <c r="BT1603" s="1" t="s">
        <v>78</v>
      </c>
      <c r="BX1603" s="36"/>
    </row>
    <row r="1604" spans="2:76" ht="14.25">
      <c r="B1604" s="36"/>
      <c r="C1604" s="36"/>
      <c r="D1604" s="36"/>
      <c r="E1604" s="36"/>
      <c r="F1604" s="36"/>
      <c r="G1604" s="36"/>
      <c r="H1604" s="36"/>
      <c r="J1604" s="36"/>
      <c r="L1604" s="1" t="str">
        <f t="shared" ref="L1604:L1667" si="117">IF(AND(MIN(I:I)&lt;20,MAX(I:I)&gt;980,I1604&lt;20),I1604,"")</f>
        <v/>
      </c>
      <c r="M1604" s="94">
        <v>1599</v>
      </c>
      <c r="N1604" s="36" t="s">
        <v>3260</v>
      </c>
      <c r="O1604" s="95">
        <v>311306</v>
      </c>
      <c r="P1604" s="36"/>
      <c r="AI1604" s="122">
        <v>1292</v>
      </c>
      <c r="AJ1604" s="1" t="s">
        <v>2953</v>
      </c>
      <c r="AK1604" s="1">
        <v>310999</v>
      </c>
      <c r="AL1604" s="1" t="s">
        <v>115</v>
      </c>
      <c r="AN1604" s="270">
        <v>698</v>
      </c>
      <c r="BS1604" s="1">
        <v>11231</v>
      </c>
      <c r="BT1604" s="1" t="s">
        <v>78</v>
      </c>
      <c r="BX1604" s="36"/>
    </row>
    <row r="1605" spans="2:76" ht="14.25">
      <c r="B1605" s="36"/>
      <c r="C1605" s="36"/>
      <c r="D1605" s="36"/>
      <c r="E1605" s="36"/>
      <c r="F1605" s="36"/>
      <c r="G1605" s="36"/>
      <c r="H1605" s="36"/>
      <c r="J1605" s="36"/>
      <c r="L1605" s="1" t="str">
        <f t="shared" si="117"/>
        <v/>
      </c>
      <c r="M1605" s="94">
        <v>1600</v>
      </c>
      <c r="N1605" s="36" t="s">
        <v>3261</v>
      </c>
      <c r="O1605" s="95">
        <v>311307</v>
      </c>
      <c r="P1605" s="36"/>
      <c r="AI1605" s="122">
        <v>1293</v>
      </c>
      <c r="AJ1605" s="1" t="s">
        <v>2954</v>
      </c>
      <c r="AK1605" s="1">
        <v>311000</v>
      </c>
      <c r="AL1605" s="1" t="s">
        <v>930</v>
      </c>
      <c r="AN1605" s="270">
        <v>699</v>
      </c>
      <c r="BS1605" s="1">
        <v>11232</v>
      </c>
      <c r="BT1605" s="1" t="s">
        <v>78</v>
      </c>
      <c r="BX1605" s="36"/>
    </row>
    <row r="1606" spans="2:76" ht="14.25">
      <c r="B1606" s="36"/>
      <c r="C1606" s="36"/>
      <c r="D1606" s="36"/>
      <c r="E1606" s="36"/>
      <c r="F1606" s="36"/>
      <c r="G1606" s="36"/>
      <c r="H1606" s="36"/>
      <c r="J1606" s="36"/>
      <c r="L1606" s="1" t="str">
        <f t="shared" si="117"/>
        <v/>
      </c>
      <c r="M1606" s="94">
        <v>1601</v>
      </c>
      <c r="N1606" s="36" t="s">
        <v>3262</v>
      </c>
      <c r="O1606" s="95">
        <v>311308</v>
      </c>
      <c r="P1606" s="36"/>
      <c r="AI1606" s="122">
        <v>1294</v>
      </c>
      <c r="AJ1606" s="1" t="s">
        <v>2955</v>
      </c>
      <c r="AK1606" s="1">
        <v>311001</v>
      </c>
      <c r="AL1606" s="1" t="s">
        <v>115</v>
      </c>
      <c r="AN1606" s="270">
        <v>700</v>
      </c>
      <c r="BS1606" s="1">
        <v>11233</v>
      </c>
      <c r="BT1606" s="1" t="s">
        <v>78</v>
      </c>
      <c r="BX1606" s="36"/>
    </row>
    <row r="1607" spans="2:76" ht="14.25">
      <c r="B1607" s="36"/>
      <c r="C1607" s="36"/>
      <c r="D1607" s="36"/>
      <c r="E1607" s="36"/>
      <c r="F1607" s="36"/>
      <c r="G1607" s="36"/>
      <c r="H1607" s="36"/>
      <c r="J1607" s="36"/>
      <c r="L1607" s="1" t="str">
        <f t="shared" si="117"/>
        <v/>
      </c>
      <c r="M1607" s="94"/>
      <c r="N1607" s="36"/>
      <c r="O1607" s="95"/>
      <c r="P1607" s="36"/>
      <c r="AI1607" s="122">
        <v>1295</v>
      </c>
      <c r="AJ1607" s="1" t="s">
        <v>2956</v>
      </c>
      <c r="AK1607" s="1">
        <v>311002</v>
      </c>
      <c r="AL1607" s="1" t="s">
        <v>930</v>
      </c>
      <c r="AN1607" s="270">
        <v>701</v>
      </c>
      <c r="BS1607" s="1">
        <v>11234</v>
      </c>
      <c r="BT1607" s="1" t="s">
        <v>47</v>
      </c>
      <c r="BX1607" s="36"/>
    </row>
    <row r="1608" spans="2:76" ht="14.25">
      <c r="B1608" s="36"/>
      <c r="C1608" s="36"/>
      <c r="D1608" s="36"/>
      <c r="E1608" s="36"/>
      <c r="F1608" s="36"/>
      <c r="G1608" s="36"/>
      <c r="H1608" s="36"/>
      <c r="J1608" s="36"/>
      <c r="L1608" s="1" t="str">
        <f t="shared" si="117"/>
        <v/>
      </c>
      <c r="M1608" s="94"/>
      <c r="N1608" s="36"/>
      <c r="O1608" s="95"/>
      <c r="P1608" s="36"/>
      <c r="AI1608" s="122">
        <v>1296</v>
      </c>
      <c r="AJ1608" s="1" t="s">
        <v>2957</v>
      </c>
      <c r="AK1608" s="1">
        <v>311003</v>
      </c>
      <c r="AL1608" s="1" t="s">
        <v>930</v>
      </c>
      <c r="AN1608" s="270">
        <v>702</v>
      </c>
      <c r="BS1608" s="1">
        <v>11235</v>
      </c>
      <c r="BT1608" s="1" t="s">
        <v>78</v>
      </c>
      <c r="BX1608" s="36"/>
    </row>
    <row r="1609" spans="2:76" ht="14.25">
      <c r="B1609" s="36"/>
      <c r="C1609" s="36"/>
      <c r="D1609" s="36"/>
      <c r="E1609" s="36"/>
      <c r="F1609" s="36"/>
      <c r="G1609" s="36"/>
      <c r="H1609" s="36"/>
      <c r="J1609" s="36"/>
      <c r="L1609" s="1" t="str">
        <f t="shared" si="117"/>
        <v/>
      </c>
      <c r="M1609" s="94"/>
      <c r="N1609" s="36"/>
      <c r="O1609" s="95"/>
      <c r="P1609" s="36"/>
      <c r="AI1609" s="122">
        <v>1297</v>
      </c>
      <c r="AJ1609" s="1" t="s">
        <v>2958</v>
      </c>
      <c r="AK1609" s="1">
        <v>311004</v>
      </c>
      <c r="AL1609" s="1" t="s">
        <v>115</v>
      </c>
      <c r="AN1609" s="270">
        <v>703</v>
      </c>
      <c r="BS1609" s="1">
        <v>11236</v>
      </c>
      <c r="BT1609" s="1" t="s">
        <v>78</v>
      </c>
      <c r="BX1609" s="36"/>
    </row>
    <row r="1610" spans="2:76" ht="14.25">
      <c r="B1610" s="36"/>
      <c r="C1610" s="36"/>
      <c r="D1610" s="36"/>
      <c r="E1610" s="36"/>
      <c r="F1610" s="36"/>
      <c r="G1610" s="36"/>
      <c r="H1610" s="36"/>
      <c r="J1610" s="36"/>
      <c r="L1610" s="1" t="str">
        <f t="shared" si="117"/>
        <v/>
      </c>
      <c r="M1610" s="94"/>
      <c r="N1610" s="36"/>
      <c r="O1610" s="95"/>
      <c r="P1610" s="36"/>
      <c r="AI1610" s="122">
        <v>1298</v>
      </c>
      <c r="AJ1610" s="1" t="s">
        <v>2959</v>
      </c>
      <c r="AK1610" s="1">
        <v>311005</v>
      </c>
      <c r="AL1610" s="1" t="s">
        <v>930</v>
      </c>
      <c r="AN1610" s="270">
        <v>704</v>
      </c>
      <c r="BS1610" s="1">
        <v>11237</v>
      </c>
      <c r="BT1610" s="1" t="s">
        <v>78</v>
      </c>
      <c r="BX1610" s="36"/>
    </row>
    <row r="1611" spans="2:76" ht="14.25">
      <c r="B1611" s="36"/>
      <c r="C1611" s="36"/>
      <c r="D1611" s="36"/>
      <c r="E1611" s="36"/>
      <c r="F1611" s="36"/>
      <c r="G1611" s="36"/>
      <c r="H1611" s="36"/>
      <c r="J1611" s="36"/>
      <c r="L1611" s="1" t="str">
        <f t="shared" si="117"/>
        <v/>
      </c>
      <c r="M1611" s="94"/>
      <c r="N1611" s="36"/>
      <c r="O1611" s="95"/>
      <c r="P1611" s="36"/>
      <c r="AI1611" s="122">
        <v>1299</v>
      </c>
      <c r="AJ1611" s="1" t="s">
        <v>2960</v>
      </c>
      <c r="AK1611" s="1">
        <v>311006</v>
      </c>
      <c r="AL1611" s="1" t="s">
        <v>115</v>
      </c>
      <c r="AN1611" s="270">
        <v>705</v>
      </c>
      <c r="BS1611" s="1">
        <v>11238</v>
      </c>
      <c r="BT1611" s="1" t="s">
        <v>78</v>
      </c>
      <c r="BX1611" s="36"/>
    </row>
    <row r="1612" spans="2:76" ht="14.25">
      <c r="B1612" s="36"/>
      <c r="C1612" s="36"/>
      <c r="D1612" s="36"/>
      <c r="E1612" s="36"/>
      <c r="F1612" s="36"/>
      <c r="G1612" s="36"/>
      <c r="H1612" s="36"/>
      <c r="J1612" s="36"/>
      <c r="L1612" s="1" t="str">
        <f t="shared" si="117"/>
        <v/>
      </c>
      <c r="M1612" s="94"/>
      <c r="N1612" s="36"/>
      <c r="O1612" s="95"/>
      <c r="P1612" s="36"/>
      <c r="AI1612" s="122">
        <v>1300</v>
      </c>
      <c r="AJ1612" s="1" t="s">
        <v>2961</v>
      </c>
      <c r="AK1612" s="1">
        <v>311007</v>
      </c>
      <c r="AL1612" s="1" t="s">
        <v>930</v>
      </c>
      <c r="AN1612" s="270">
        <v>706</v>
      </c>
      <c r="BS1612" s="1">
        <v>11239</v>
      </c>
      <c r="BT1612" s="1" t="s">
        <v>78</v>
      </c>
      <c r="BX1612" s="36"/>
    </row>
    <row r="1613" spans="2:76" ht="14.25">
      <c r="B1613" s="36"/>
      <c r="C1613" s="36"/>
      <c r="D1613" s="36"/>
      <c r="E1613" s="36"/>
      <c r="F1613" s="36"/>
      <c r="G1613" s="36"/>
      <c r="H1613" s="36"/>
      <c r="J1613" s="36"/>
      <c r="L1613" s="1" t="str">
        <f t="shared" si="117"/>
        <v/>
      </c>
      <c r="M1613" s="94"/>
      <c r="N1613" s="36"/>
      <c r="O1613" s="95"/>
      <c r="P1613" s="36"/>
      <c r="AI1613" s="122">
        <v>1301</v>
      </c>
      <c r="AJ1613" s="1" t="s">
        <v>2962</v>
      </c>
      <c r="AK1613" s="1">
        <v>311008</v>
      </c>
      <c r="AL1613" s="1" t="s">
        <v>115</v>
      </c>
      <c r="AN1613" s="270">
        <v>707</v>
      </c>
      <c r="BS1613" s="1">
        <v>11240</v>
      </c>
      <c r="BT1613" s="1" t="s">
        <v>78</v>
      </c>
      <c r="BX1613" s="36"/>
    </row>
    <row r="1614" spans="2:76" ht="14.25">
      <c r="B1614" s="36"/>
      <c r="C1614" s="36"/>
      <c r="D1614" s="36"/>
      <c r="E1614" s="36"/>
      <c r="F1614" s="36"/>
      <c r="G1614" s="36"/>
      <c r="H1614" s="36"/>
      <c r="J1614" s="36"/>
      <c r="L1614" s="1" t="str">
        <f t="shared" si="117"/>
        <v/>
      </c>
      <c r="M1614" s="94"/>
      <c r="N1614" s="36"/>
      <c r="O1614" s="95"/>
      <c r="P1614" s="36"/>
      <c r="AI1614" s="122">
        <v>1302</v>
      </c>
      <c r="AJ1614" s="1" t="s">
        <v>2963</v>
      </c>
      <c r="AK1614" s="1">
        <v>311009</v>
      </c>
      <c r="AL1614" s="1" t="s">
        <v>930</v>
      </c>
      <c r="AN1614" s="270">
        <v>708</v>
      </c>
      <c r="BS1614" s="1">
        <v>11241</v>
      </c>
      <c r="BT1614" s="1" t="s">
        <v>78</v>
      </c>
      <c r="BX1614" s="36"/>
    </row>
    <row r="1615" spans="2:76" ht="14.25">
      <c r="B1615" s="36"/>
      <c r="C1615" s="36"/>
      <c r="D1615" s="36"/>
      <c r="E1615" s="36"/>
      <c r="F1615" s="36"/>
      <c r="G1615" s="36"/>
      <c r="H1615" s="36"/>
      <c r="J1615" s="36"/>
      <c r="L1615" s="1" t="str">
        <f t="shared" si="117"/>
        <v/>
      </c>
      <c r="M1615" s="94"/>
      <c r="N1615" s="36"/>
      <c r="O1615" s="95"/>
      <c r="P1615" s="36"/>
      <c r="AI1615" s="122">
        <v>1303</v>
      </c>
      <c r="AJ1615" s="1" t="s">
        <v>2964</v>
      </c>
      <c r="AK1615" s="1">
        <v>311010</v>
      </c>
      <c r="AL1615" s="1" t="s">
        <v>115</v>
      </c>
      <c r="AN1615" s="270">
        <v>709</v>
      </c>
      <c r="BS1615" s="1">
        <v>11242</v>
      </c>
      <c r="BT1615" s="1" t="s">
        <v>78</v>
      </c>
      <c r="BX1615" s="36"/>
    </row>
    <row r="1616" spans="2:76" ht="14.25">
      <c r="B1616" s="36"/>
      <c r="C1616" s="36"/>
      <c r="D1616" s="36"/>
      <c r="E1616" s="36"/>
      <c r="F1616" s="36"/>
      <c r="G1616" s="36"/>
      <c r="H1616" s="36"/>
      <c r="J1616" s="36"/>
      <c r="L1616" s="1" t="str">
        <f t="shared" si="117"/>
        <v/>
      </c>
      <c r="M1616" s="94"/>
      <c r="N1616" s="36"/>
      <c r="O1616" s="95"/>
      <c r="P1616" s="36"/>
      <c r="AI1616" s="122">
        <v>1304</v>
      </c>
      <c r="AJ1616" s="1" t="s">
        <v>2965</v>
      </c>
      <c r="AK1616" s="1">
        <v>311011</v>
      </c>
      <c r="AL1616" s="1" t="s">
        <v>930</v>
      </c>
      <c r="AN1616" s="270">
        <v>710</v>
      </c>
      <c r="BS1616" s="1">
        <v>11243</v>
      </c>
      <c r="BT1616" s="1" t="s">
        <v>78</v>
      </c>
      <c r="BX1616" s="36"/>
    </row>
    <row r="1617" spans="2:76" ht="14.25">
      <c r="B1617" s="36"/>
      <c r="C1617" s="36"/>
      <c r="D1617" s="36"/>
      <c r="E1617" s="36"/>
      <c r="F1617" s="36"/>
      <c r="G1617" s="36"/>
      <c r="H1617" s="36"/>
      <c r="J1617" s="36"/>
      <c r="L1617" s="1" t="str">
        <f t="shared" si="117"/>
        <v/>
      </c>
      <c r="M1617" s="94"/>
      <c r="N1617" s="36"/>
      <c r="O1617" s="95"/>
      <c r="P1617" s="36"/>
      <c r="AI1617" s="122">
        <v>1305</v>
      </c>
      <c r="AJ1617" s="1" t="s">
        <v>2966</v>
      </c>
      <c r="AK1617" s="1">
        <v>311012</v>
      </c>
      <c r="AL1617" s="1" t="s">
        <v>930</v>
      </c>
      <c r="AN1617" s="270">
        <v>711</v>
      </c>
      <c r="BS1617" s="1">
        <v>11244</v>
      </c>
      <c r="BT1617" s="1" t="s">
        <v>78</v>
      </c>
      <c r="BX1617" s="36"/>
    </row>
    <row r="1618" spans="2:76" ht="14.25">
      <c r="B1618" s="36"/>
      <c r="C1618" s="36"/>
      <c r="D1618" s="36"/>
      <c r="E1618" s="36"/>
      <c r="F1618" s="36"/>
      <c r="G1618" s="36"/>
      <c r="H1618" s="36"/>
      <c r="J1618" s="36"/>
      <c r="L1618" s="1" t="str">
        <f t="shared" si="117"/>
        <v/>
      </c>
      <c r="M1618" s="94"/>
      <c r="N1618" s="36"/>
      <c r="O1618" s="95"/>
      <c r="P1618" s="36"/>
      <c r="AI1618" s="122">
        <v>1306</v>
      </c>
      <c r="AJ1618" s="1" t="s">
        <v>2967</v>
      </c>
      <c r="AK1618" s="1">
        <v>311013</v>
      </c>
      <c r="AL1618" s="1" t="s">
        <v>115</v>
      </c>
      <c r="AN1618" s="270">
        <v>712</v>
      </c>
      <c r="BS1618" s="1">
        <v>11245</v>
      </c>
      <c r="BT1618" s="1" t="s">
        <v>78</v>
      </c>
      <c r="BX1618" s="36"/>
    </row>
    <row r="1619" spans="2:76" ht="14.25">
      <c r="B1619" s="36"/>
      <c r="C1619" s="36"/>
      <c r="D1619" s="36"/>
      <c r="E1619" s="36"/>
      <c r="F1619" s="36"/>
      <c r="G1619" s="36"/>
      <c r="H1619" s="36"/>
      <c r="J1619" s="36"/>
      <c r="L1619" s="1" t="str">
        <f t="shared" si="117"/>
        <v/>
      </c>
      <c r="M1619" s="94"/>
      <c r="N1619" s="36"/>
      <c r="O1619" s="95"/>
      <c r="P1619" s="36"/>
      <c r="AI1619" s="122">
        <v>1307</v>
      </c>
      <c r="AJ1619" s="1" t="s">
        <v>2968</v>
      </c>
      <c r="AK1619" s="1">
        <v>311014</v>
      </c>
      <c r="AL1619" s="1" t="s">
        <v>930</v>
      </c>
      <c r="AN1619" s="270">
        <v>713</v>
      </c>
      <c r="BS1619" s="1">
        <v>11246</v>
      </c>
      <c r="BT1619" s="1" t="s">
        <v>78</v>
      </c>
      <c r="BX1619" s="36"/>
    </row>
    <row r="1620" spans="2:76" ht="14.25">
      <c r="B1620" s="36"/>
      <c r="C1620" s="36"/>
      <c r="D1620" s="36"/>
      <c r="E1620" s="36"/>
      <c r="F1620" s="36"/>
      <c r="G1620" s="36"/>
      <c r="H1620" s="36"/>
      <c r="J1620" s="36"/>
      <c r="L1620" s="1" t="str">
        <f t="shared" si="117"/>
        <v/>
      </c>
      <c r="M1620" s="94"/>
      <c r="N1620" s="36"/>
      <c r="O1620" s="95"/>
      <c r="P1620" s="36"/>
      <c r="AI1620" s="122">
        <v>1308</v>
      </c>
      <c r="AJ1620" s="1" t="s">
        <v>2969</v>
      </c>
      <c r="AK1620" s="1">
        <v>311015</v>
      </c>
      <c r="AL1620" s="1" t="s">
        <v>115</v>
      </c>
      <c r="AN1620" s="270">
        <v>714</v>
      </c>
      <c r="BS1620" s="1">
        <v>11247</v>
      </c>
      <c r="BT1620" s="1" t="s">
        <v>78</v>
      </c>
      <c r="BX1620" s="36"/>
    </row>
    <row r="1621" spans="2:76" ht="14.25">
      <c r="B1621" s="36"/>
      <c r="C1621" s="36"/>
      <c r="D1621" s="36"/>
      <c r="E1621" s="36"/>
      <c r="F1621" s="36"/>
      <c r="G1621" s="36"/>
      <c r="H1621" s="36"/>
      <c r="J1621" s="36"/>
      <c r="L1621" s="1" t="str">
        <f t="shared" si="117"/>
        <v/>
      </c>
      <c r="M1621" s="94"/>
      <c r="N1621" s="36"/>
      <c r="O1621" s="95"/>
      <c r="P1621" s="36"/>
      <c r="AI1621" s="122">
        <v>1309</v>
      </c>
      <c r="AJ1621" s="1" t="s">
        <v>2970</v>
      </c>
      <c r="AK1621" s="1">
        <v>311016</v>
      </c>
      <c r="AL1621" s="1" t="s">
        <v>930</v>
      </c>
      <c r="AN1621" s="270">
        <v>715</v>
      </c>
      <c r="BS1621" s="1">
        <v>11248</v>
      </c>
      <c r="BT1621" s="1" t="s">
        <v>897</v>
      </c>
      <c r="BX1621" s="36"/>
    </row>
    <row r="1622" spans="2:76" ht="14.25">
      <c r="B1622" s="36"/>
      <c r="C1622" s="36"/>
      <c r="D1622" s="36"/>
      <c r="E1622" s="36"/>
      <c r="F1622" s="36"/>
      <c r="G1622" s="36"/>
      <c r="H1622" s="36"/>
      <c r="J1622" s="36"/>
      <c r="L1622" s="1" t="str">
        <f t="shared" si="117"/>
        <v/>
      </c>
      <c r="M1622" s="94"/>
      <c r="N1622" s="36"/>
      <c r="O1622" s="95"/>
      <c r="P1622" s="36"/>
      <c r="AI1622" s="122">
        <v>1310</v>
      </c>
      <c r="AJ1622" s="1" t="s">
        <v>2971</v>
      </c>
      <c r="AK1622" s="1">
        <v>311017</v>
      </c>
      <c r="AL1622" s="1" t="s">
        <v>115</v>
      </c>
      <c r="AN1622" s="270">
        <v>716</v>
      </c>
      <c r="BS1622" s="1">
        <v>11249</v>
      </c>
      <c r="BT1622" s="1" t="s">
        <v>129</v>
      </c>
      <c r="BX1622" s="36"/>
    </row>
    <row r="1623" spans="2:76" ht="14.25">
      <c r="B1623" s="36"/>
      <c r="C1623" s="36"/>
      <c r="D1623" s="36"/>
      <c r="E1623" s="36"/>
      <c r="F1623" s="36"/>
      <c r="G1623" s="36"/>
      <c r="H1623" s="36"/>
      <c r="J1623" s="36"/>
      <c r="L1623" s="1" t="str">
        <f t="shared" si="117"/>
        <v/>
      </c>
      <c r="M1623" s="94"/>
      <c r="N1623" s="36"/>
      <c r="O1623" s="95"/>
      <c r="P1623" s="36"/>
      <c r="AI1623" s="122">
        <v>1311</v>
      </c>
      <c r="AJ1623" s="1" t="s">
        <v>2972</v>
      </c>
      <c r="AK1623" s="1">
        <v>311018</v>
      </c>
      <c r="AL1623" s="1" t="s">
        <v>930</v>
      </c>
      <c r="AN1623" s="270">
        <v>717</v>
      </c>
      <c r="BS1623" s="1">
        <v>11250</v>
      </c>
      <c r="BT1623" s="1" t="s">
        <v>129</v>
      </c>
      <c r="BX1623" s="36"/>
    </row>
    <row r="1624" spans="2:76" ht="14.25">
      <c r="B1624" s="36"/>
      <c r="C1624" s="36"/>
      <c r="D1624" s="36"/>
      <c r="E1624" s="36"/>
      <c r="F1624" s="36"/>
      <c r="G1624" s="36"/>
      <c r="H1624" s="36"/>
      <c r="J1624" s="36"/>
      <c r="L1624" s="1" t="str">
        <f t="shared" si="117"/>
        <v/>
      </c>
      <c r="M1624" s="94"/>
      <c r="N1624" s="36"/>
      <c r="O1624" s="95"/>
      <c r="P1624" s="36"/>
      <c r="AI1624" s="122">
        <v>1312</v>
      </c>
      <c r="AJ1624" s="1" t="s">
        <v>2973</v>
      </c>
      <c r="AK1624" s="1">
        <v>311019</v>
      </c>
      <c r="AL1624" s="1" t="s">
        <v>930</v>
      </c>
      <c r="AN1624" s="270">
        <v>718</v>
      </c>
      <c r="BS1624" s="1">
        <v>11251</v>
      </c>
      <c r="BT1624" s="1" t="s">
        <v>129</v>
      </c>
      <c r="BX1624" s="36"/>
    </row>
    <row r="1625" spans="2:76" ht="14.25">
      <c r="B1625" s="36"/>
      <c r="C1625" s="36"/>
      <c r="D1625" s="36"/>
      <c r="E1625" s="36"/>
      <c r="F1625" s="36"/>
      <c r="G1625" s="36"/>
      <c r="H1625" s="36"/>
      <c r="J1625" s="36"/>
      <c r="L1625" s="1" t="str">
        <f t="shared" si="117"/>
        <v/>
      </c>
      <c r="M1625" s="94"/>
      <c r="N1625" s="36"/>
      <c r="O1625" s="95"/>
      <c r="P1625" s="36"/>
      <c r="AI1625" s="122">
        <v>1313</v>
      </c>
      <c r="AJ1625" s="1" t="s">
        <v>2974</v>
      </c>
      <c r="AK1625" s="1">
        <v>311020</v>
      </c>
      <c r="AL1625" s="1" t="s">
        <v>115</v>
      </c>
      <c r="AN1625" s="270">
        <v>719</v>
      </c>
      <c r="BS1625" s="1">
        <v>11252</v>
      </c>
      <c r="BT1625" s="1" t="s">
        <v>129</v>
      </c>
      <c r="BX1625" s="36"/>
    </row>
    <row r="1626" spans="2:76" ht="14.25">
      <c r="B1626" s="36"/>
      <c r="C1626" s="36"/>
      <c r="D1626" s="36"/>
      <c r="E1626" s="36"/>
      <c r="F1626" s="36"/>
      <c r="G1626" s="36"/>
      <c r="H1626" s="36"/>
      <c r="J1626" s="36"/>
      <c r="L1626" s="1" t="str">
        <f t="shared" si="117"/>
        <v/>
      </c>
      <c r="M1626" s="94"/>
      <c r="N1626" s="36"/>
      <c r="O1626" s="95"/>
      <c r="P1626" s="36"/>
      <c r="AI1626" s="122">
        <v>1314</v>
      </c>
      <c r="AJ1626" s="1" t="s">
        <v>2975</v>
      </c>
      <c r="AK1626" s="1">
        <v>311021</v>
      </c>
      <c r="AL1626" s="1" t="s">
        <v>930</v>
      </c>
      <c r="AN1626" s="270">
        <v>720</v>
      </c>
      <c r="BS1626" s="1">
        <v>11253</v>
      </c>
      <c r="BT1626" s="1" t="s">
        <v>46</v>
      </c>
      <c r="BX1626" s="36"/>
    </row>
    <row r="1627" spans="2:76" ht="14.25">
      <c r="B1627" s="36"/>
      <c r="C1627" s="36"/>
      <c r="D1627" s="36"/>
      <c r="E1627" s="36"/>
      <c r="F1627" s="36"/>
      <c r="G1627" s="36"/>
      <c r="H1627" s="36"/>
      <c r="J1627" s="36"/>
      <c r="L1627" s="1" t="str">
        <f t="shared" si="117"/>
        <v/>
      </c>
      <c r="M1627" s="94"/>
      <c r="N1627" s="36"/>
      <c r="O1627" s="95"/>
      <c r="P1627" s="36"/>
      <c r="AI1627" s="122">
        <v>1315</v>
      </c>
      <c r="AJ1627" s="1" t="s">
        <v>2976</v>
      </c>
      <c r="AK1627" s="1">
        <v>311022</v>
      </c>
      <c r="AL1627" s="1" t="s">
        <v>115</v>
      </c>
      <c r="AN1627" s="270">
        <v>721</v>
      </c>
      <c r="BS1627" s="1">
        <v>11254</v>
      </c>
      <c r="BT1627" s="1" t="s">
        <v>46</v>
      </c>
      <c r="BX1627" s="36"/>
    </row>
    <row r="1628" spans="2:76" ht="14.25">
      <c r="B1628" s="36"/>
      <c r="C1628" s="36"/>
      <c r="D1628" s="36"/>
      <c r="E1628" s="36"/>
      <c r="F1628" s="36"/>
      <c r="G1628" s="36"/>
      <c r="H1628" s="36"/>
      <c r="J1628" s="36"/>
      <c r="L1628" s="1" t="str">
        <f t="shared" si="117"/>
        <v/>
      </c>
      <c r="M1628" s="94"/>
      <c r="N1628" s="36"/>
      <c r="O1628" s="95"/>
      <c r="P1628" s="36"/>
      <c r="AI1628" s="122">
        <v>1316</v>
      </c>
      <c r="AJ1628" s="1" t="s">
        <v>2977</v>
      </c>
      <c r="AK1628" s="1">
        <v>311023</v>
      </c>
      <c r="AL1628" s="1" t="s">
        <v>930</v>
      </c>
      <c r="AN1628" s="270">
        <v>722</v>
      </c>
      <c r="BS1628" s="1">
        <v>11255</v>
      </c>
      <c r="BT1628" s="1" t="s">
        <v>46</v>
      </c>
      <c r="BX1628" s="36"/>
    </row>
    <row r="1629" spans="2:76" ht="14.25">
      <c r="B1629" s="36"/>
      <c r="C1629" s="36"/>
      <c r="D1629" s="36"/>
      <c r="E1629" s="36"/>
      <c r="F1629" s="36"/>
      <c r="G1629" s="36"/>
      <c r="H1629" s="36"/>
      <c r="J1629" s="36"/>
      <c r="L1629" s="1" t="str">
        <f t="shared" si="117"/>
        <v/>
      </c>
      <c r="M1629" s="94"/>
      <c r="N1629" s="36"/>
      <c r="O1629" s="95"/>
      <c r="P1629" s="36"/>
      <c r="AI1629" s="122">
        <v>1317</v>
      </c>
      <c r="AJ1629" s="1" t="s">
        <v>2978</v>
      </c>
      <c r="AK1629" s="1">
        <v>311024</v>
      </c>
      <c r="AL1629" s="1" t="s">
        <v>115</v>
      </c>
      <c r="AN1629" s="270">
        <v>723</v>
      </c>
      <c r="BS1629" s="1">
        <v>11256</v>
      </c>
      <c r="BT1629" s="1" t="s">
        <v>2429</v>
      </c>
      <c r="BX1629" s="36"/>
    </row>
    <row r="1630" spans="2:76" ht="14.25">
      <c r="B1630" s="36"/>
      <c r="C1630" s="36"/>
      <c r="D1630" s="36"/>
      <c r="E1630" s="36"/>
      <c r="F1630" s="36"/>
      <c r="G1630" s="36"/>
      <c r="H1630" s="36"/>
      <c r="J1630" s="36"/>
      <c r="L1630" s="1" t="str">
        <f t="shared" si="117"/>
        <v/>
      </c>
      <c r="M1630" s="94"/>
      <c r="N1630" s="36"/>
      <c r="O1630" s="95"/>
      <c r="P1630" s="36"/>
      <c r="AI1630" s="122">
        <v>1318</v>
      </c>
      <c r="AJ1630" s="1" t="s">
        <v>2979</v>
      </c>
      <c r="AK1630" s="1">
        <v>311025</v>
      </c>
      <c r="AL1630" s="1" t="s">
        <v>930</v>
      </c>
      <c r="AN1630" s="270">
        <v>724</v>
      </c>
      <c r="BS1630" s="1">
        <v>11257</v>
      </c>
      <c r="BT1630" s="1" t="s">
        <v>2429</v>
      </c>
      <c r="BX1630" s="36"/>
    </row>
    <row r="1631" spans="2:76" ht="14.25">
      <c r="B1631" s="36"/>
      <c r="C1631" s="36"/>
      <c r="D1631" s="36"/>
      <c r="E1631" s="36"/>
      <c r="F1631" s="36"/>
      <c r="G1631" s="36"/>
      <c r="H1631" s="36"/>
      <c r="J1631" s="36"/>
      <c r="L1631" s="1" t="str">
        <f t="shared" si="117"/>
        <v/>
      </c>
      <c r="M1631" s="94"/>
      <c r="N1631" s="36"/>
      <c r="O1631" s="95"/>
      <c r="P1631" s="36"/>
      <c r="AI1631" s="122">
        <v>1319</v>
      </c>
      <c r="AJ1631" s="1" t="s">
        <v>2980</v>
      </c>
      <c r="AK1631" s="1">
        <v>311026</v>
      </c>
      <c r="AL1631" s="1" t="s">
        <v>930</v>
      </c>
      <c r="AN1631" s="270">
        <v>725</v>
      </c>
      <c r="BS1631" s="1">
        <v>11258</v>
      </c>
      <c r="BT1631" s="1" t="s">
        <v>2429</v>
      </c>
      <c r="BX1631" s="36"/>
    </row>
    <row r="1632" spans="2:76" ht="14.25">
      <c r="B1632" s="36"/>
      <c r="C1632" s="36"/>
      <c r="D1632" s="36"/>
      <c r="E1632" s="36"/>
      <c r="F1632" s="36"/>
      <c r="G1632" s="36"/>
      <c r="H1632" s="36"/>
      <c r="J1632" s="36"/>
      <c r="L1632" s="1" t="str">
        <f t="shared" si="117"/>
        <v/>
      </c>
      <c r="M1632" s="94"/>
      <c r="N1632" s="36"/>
      <c r="O1632" s="95"/>
      <c r="P1632" s="36"/>
      <c r="AI1632" s="122">
        <v>1320</v>
      </c>
      <c r="AJ1632" s="1" t="s">
        <v>2981</v>
      </c>
      <c r="AK1632" s="1">
        <v>311027</v>
      </c>
      <c r="AL1632" s="1" t="s">
        <v>115</v>
      </c>
      <c r="AN1632" s="270">
        <v>726</v>
      </c>
      <c r="BS1632" s="1">
        <v>11259</v>
      </c>
      <c r="BT1632" s="1" t="s">
        <v>2429</v>
      </c>
      <c r="BX1632" s="36"/>
    </row>
    <row r="1633" spans="2:76" ht="14.25">
      <c r="B1633" s="36"/>
      <c r="C1633" s="36"/>
      <c r="D1633" s="36"/>
      <c r="E1633" s="36"/>
      <c r="F1633" s="36"/>
      <c r="G1633" s="36"/>
      <c r="H1633" s="36"/>
      <c r="J1633" s="36"/>
      <c r="L1633" s="1" t="str">
        <f t="shared" si="117"/>
        <v/>
      </c>
      <c r="M1633" s="94"/>
      <c r="N1633" s="36"/>
      <c r="O1633" s="95"/>
      <c r="P1633" s="36"/>
      <c r="AI1633" s="122">
        <v>1321</v>
      </c>
      <c r="AJ1633" s="1" t="s">
        <v>2982</v>
      </c>
      <c r="AK1633" s="1">
        <v>311028</v>
      </c>
      <c r="AL1633" s="1" t="s">
        <v>930</v>
      </c>
      <c r="AN1633" s="270">
        <v>727</v>
      </c>
      <c r="BS1633" s="1">
        <v>11260</v>
      </c>
      <c r="BT1633" s="1" t="s">
        <v>2429</v>
      </c>
      <c r="BX1633" s="36"/>
    </row>
    <row r="1634" spans="2:76" ht="14.25">
      <c r="B1634" s="36"/>
      <c r="C1634" s="36"/>
      <c r="D1634" s="36"/>
      <c r="E1634" s="36"/>
      <c r="F1634" s="36"/>
      <c r="G1634" s="36"/>
      <c r="H1634" s="36"/>
      <c r="J1634" s="36"/>
      <c r="L1634" s="1" t="str">
        <f t="shared" si="117"/>
        <v/>
      </c>
      <c r="M1634" s="94"/>
      <c r="N1634" s="36"/>
      <c r="O1634" s="95"/>
      <c r="P1634" s="36"/>
      <c r="AI1634" s="122">
        <v>1322</v>
      </c>
      <c r="AJ1634" s="1" t="s">
        <v>2983</v>
      </c>
      <c r="AK1634" s="1">
        <v>311029</v>
      </c>
      <c r="AL1634" s="1" t="s">
        <v>115</v>
      </c>
      <c r="AN1634" s="270">
        <v>728</v>
      </c>
      <c r="BS1634" s="1">
        <v>11261</v>
      </c>
      <c r="BT1634" s="1" t="s">
        <v>2429</v>
      </c>
      <c r="BX1634" s="36"/>
    </row>
    <row r="1635" spans="2:76" ht="14.25">
      <c r="B1635" s="36"/>
      <c r="C1635" s="36"/>
      <c r="D1635" s="36"/>
      <c r="E1635" s="36"/>
      <c r="F1635" s="36"/>
      <c r="G1635" s="36"/>
      <c r="H1635" s="36"/>
      <c r="J1635" s="36"/>
      <c r="L1635" s="1" t="str">
        <f t="shared" si="117"/>
        <v/>
      </c>
      <c r="M1635" s="94"/>
      <c r="N1635" s="36"/>
      <c r="O1635" s="95"/>
      <c r="P1635" s="36"/>
      <c r="AI1635" s="122">
        <v>1323</v>
      </c>
      <c r="AJ1635" s="1" t="s">
        <v>2984</v>
      </c>
      <c r="AK1635" s="1">
        <v>311030</v>
      </c>
      <c r="AL1635" s="1" t="s">
        <v>930</v>
      </c>
      <c r="AN1635" s="270">
        <v>729</v>
      </c>
      <c r="BS1635" s="1">
        <v>11262</v>
      </c>
      <c r="BT1635" s="1" t="s">
        <v>2429</v>
      </c>
      <c r="BX1635" s="36"/>
    </row>
    <row r="1636" spans="2:76" ht="14.25">
      <c r="B1636" s="36"/>
      <c r="C1636" s="36"/>
      <c r="D1636" s="36"/>
      <c r="E1636" s="36"/>
      <c r="F1636" s="36"/>
      <c r="G1636" s="36"/>
      <c r="H1636" s="36"/>
      <c r="J1636" s="36"/>
      <c r="L1636" s="1" t="str">
        <f t="shared" si="117"/>
        <v/>
      </c>
      <c r="M1636" s="94"/>
      <c r="N1636" s="36"/>
      <c r="O1636" s="95"/>
      <c r="P1636" s="36"/>
      <c r="AI1636" s="122">
        <v>1324</v>
      </c>
      <c r="AJ1636" s="1" t="s">
        <v>2985</v>
      </c>
      <c r="AK1636" s="1">
        <v>311031</v>
      </c>
      <c r="AL1636" s="1" t="s">
        <v>115</v>
      </c>
      <c r="AN1636" s="270">
        <v>730</v>
      </c>
      <c r="BS1636" s="1">
        <v>11263</v>
      </c>
      <c r="BT1636" s="1" t="s">
        <v>2429</v>
      </c>
      <c r="BX1636" s="36"/>
    </row>
    <row r="1637" spans="2:76" ht="14.25">
      <c r="B1637" s="36"/>
      <c r="C1637" s="36"/>
      <c r="D1637" s="36"/>
      <c r="E1637" s="36"/>
      <c r="F1637" s="36"/>
      <c r="G1637" s="36"/>
      <c r="H1637" s="36"/>
      <c r="J1637" s="36"/>
      <c r="L1637" s="1" t="str">
        <f t="shared" si="117"/>
        <v/>
      </c>
      <c r="M1637" s="94"/>
      <c r="N1637" s="36"/>
      <c r="O1637" s="95"/>
      <c r="P1637" s="36"/>
      <c r="AI1637" s="122">
        <v>1325</v>
      </c>
      <c r="AJ1637" s="1" t="s">
        <v>2986</v>
      </c>
      <c r="AK1637" s="1">
        <v>311032</v>
      </c>
      <c r="AL1637" s="1" t="s">
        <v>930</v>
      </c>
      <c r="AN1637" s="270">
        <v>731</v>
      </c>
      <c r="BS1637" s="1">
        <v>11264</v>
      </c>
      <c r="BT1637" s="1" t="s">
        <v>2429</v>
      </c>
      <c r="BX1637" s="36"/>
    </row>
    <row r="1638" spans="2:76" ht="14.25">
      <c r="B1638" s="36"/>
      <c r="C1638" s="36"/>
      <c r="D1638" s="36"/>
      <c r="E1638" s="36"/>
      <c r="F1638" s="36"/>
      <c r="G1638" s="36"/>
      <c r="H1638" s="36"/>
      <c r="J1638" s="36"/>
      <c r="L1638" s="1" t="str">
        <f t="shared" si="117"/>
        <v/>
      </c>
      <c r="M1638" s="94"/>
      <c r="N1638" s="36"/>
      <c r="O1638" s="95"/>
      <c r="P1638" s="36"/>
      <c r="AI1638" s="122">
        <v>1326</v>
      </c>
      <c r="AJ1638" s="1" t="s">
        <v>2987</v>
      </c>
      <c r="AK1638" s="1">
        <v>311033</v>
      </c>
      <c r="AL1638" s="1" t="s">
        <v>930</v>
      </c>
      <c r="AN1638" s="270">
        <v>732</v>
      </c>
      <c r="BS1638" s="1">
        <v>11265</v>
      </c>
      <c r="BT1638" s="1" t="s">
        <v>2429</v>
      </c>
      <c r="BX1638" s="36"/>
    </row>
    <row r="1639" spans="2:76" ht="14.25">
      <c r="B1639" s="36"/>
      <c r="C1639" s="36"/>
      <c r="D1639" s="36"/>
      <c r="E1639" s="36"/>
      <c r="F1639" s="36"/>
      <c r="G1639" s="36"/>
      <c r="H1639" s="36"/>
      <c r="J1639" s="36"/>
      <c r="L1639" s="1" t="str">
        <f t="shared" si="117"/>
        <v/>
      </c>
      <c r="M1639" s="94"/>
      <c r="N1639" s="36"/>
      <c r="O1639" s="95"/>
      <c r="P1639" s="36"/>
      <c r="AI1639" s="122">
        <v>1327</v>
      </c>
      <c r="AJ1639" s="1" t="s">
        <v>2988</v>
      </c>
      <c r="AK1639" s="1">
        <v>311034</v>
      </c>
      <c r="AL1639" s="1" t="s">
        <v>115</v>
      </c>
      <c r="AN1639" s="270">
        <v>733</v>
      </c>
      <c r="BS1639" s="1">
        <v>11266</v>
      </c>
      <c r="BT1639" s="1" t="s">
        <v>2429</v>
      </c>
      <c r="BX1639" s="36"/>
    </row>
    <row r="1640" spans="2:76" ht="14.25">
      <c r="B1640" s="36"/>
      <c r="C1640" s="36"/>
      <c r="D1640" s="36"/>
      <c r="E1640" s="36"/>
      <c r="F1640" s="36"/>
      <c r="G1640" s="36"/>
      <c r="H1640" s="36"/>
      <c r="J1640" s="36"/>
      <c r="L1640" s="1" t="str">
        <f t="shared" si="117"/>
        <v/>
      </c>
      <c r="M1640" s="94"/>
      <c r="N1640" s="36"/>
      <c r="O1640" s="95"/>
      <c r="P1640" s="36"/>
      <c r="AI1640" s="122">
        <v>1328</v>
      </c>
      <c r="AJ1640" s="1" t="s">
        <v>2989</v>
      </c>
      <c r="AK1640" s="1">
        <v>311035</v>
      </c>
      <c r="AL1640" s="1" t="s">
        <v>930</v>
      </c>
      <c r="AN1640" s="270">
        <v>734</v>
      </c>
      <c r="BS1640" s="1">
        <v>11267</v>
      </c>
      <c r="BT1640" s="1" t="s">
        <v>2429</v>
      </c>
      <c r="BX1640" s="36"/>
    </row>
    <row r="1641" spans="2:76" ht="14.25">
      <c r="B1641" s="36"/>
      <c r="C1641" s="36"/>
      <c r="D1641" s="36"/>
      <c r="E1641" s="36"/>
      <c r="F1641" s="36"/>
      <c r="G1641" s="36"/>
      <c r="H1641" s="36"/>
      <c r="J1641" s="36"/>
      <c r="L1641" s="1" t="str">
        <f t="shared" si="117"/>
        <v/>
      </c>
      <c r="M1641" s="94"/>
      <c r="N1641" s="36"/>
      <c r="O1641" s="95"/>
      <c r="P1641" s="36"/>
      <c r="AI1641" s="122">
        <v>1329</v>
      </c>
      <c r="AJ1641" s="1" t="s">
        <v>2990</v>
      </c>
      <c r="AK1641" s="1">
        <v>311036</v>
      </c>
      <c r="AL1641" s="1" t="s">
        <v>115</v>
      </c>
      <c r="AN1641" s="270">
        <v>735</v>
      </c>
      <c r="BS1641" s="1">
        <v>11268</v>
      </c>
      <c r="BT1641" s="1" t="s">
        <v>101</v>
      </c>
      <c r="BX1641" s="36"/>
    </row>
    <row r="1642" spans="2:76" ht="14.25">
      <c r="B1642" s="36"/>
      <c r="C1642" s="36"/>
      <c r="D1642" s="36"/>
      <c r="E1642" s="36"/>
      <c r="F1642" s="36"/>
      <c r="G1642" s="36"/>
      <c r="H1642" s="36"/>
      <c r="J1642" s="36"/>
      <c r="L1642" s="1" t="str">
        <f t="shared" si="117"/>
        <v/>
      </c>
      <c r="M1642" s="94"/>
      <c r="N1642" s="36"/>
      <c r="O1642" s="95"/>
      <c r="P1642" s="36"/>
      <c r="AI1642" s="122">
        <v>1330</v>
      </c>
      <c r="AJ1642" s="1" t="s">
        <v>2991</v>
      </c>
      <c r="AK1642" s="1">
        <v>311037</v>
      </c>
      <c r="AL1642" s="1" t="s">
        <v>930</v>
      </c>
      <c r="AN1642" s="270">
        <v>736</v>
      </c>
      <c r="BS1642" s="1">
        <v>11269</v>
      </c>
      <c r="BT1642" s="1" t="s">
        <v>101</v>
      </c>
      <c r="BX1642" s="36"/>
    </row>
    <row r="1643" spans="2:76" ht="14.25">
      <c r="B1643" s="36"/>
      <c r="C1643" s="36"/>
      <c r="D1643" s="36"/>
      <c r="E1643" s="36"/>
      <c r="F1643" s="36"/>
      <c r="G1643" s="36"/>
      <c r="H1643" s="36"/>
      <c r="J1643" s="36"/>
      <c r="L1643" s="1" t="str">
        <f t="shared" si="117"/>
        <v/>
      </c>
      <c r="M1643" s="94"/>
      <c r="N1643" s="36"/>
      <c r="O1643" s="95"/>
      <c r="P1643" s="36"/>
      <c r="AI1643" s="122">
        <v>1331</v>
      </c>
      <c r="AJ1643" s="1" t="s">
        <v>2992</v>
      </c>
      <c r="AK1643" s="1">
        <v>311038</v>
      </c>
      <c r="AL1643" s="1" t="s">
        <v>115</v>
      </c>
      <c r="AN1643" s="270">
        <v>737</v>
      </c>
      <c r="BS1643" s="1">
        <v>11270</v>
      </c>
      <c r="BT1643" s="1" t="s">
        <v>101</v>
      </c>
      <c r="BX1643" s="36"/>
    </row>
    <row r="1644" spans="2:76" ht="14.25">
      <c r="B1644" s="36"/>
      <c r="C1644" s="36"/>
      <c r="D1644" s="36"/>
      <c r="E1644" s="36"/>
      <c r="F1644" s="36"/>
      <c r="G1644" s="36"/>
      <c r="H1644" s="36"/>
      <c r="J1644" s="36"/>
      <c r="L1644" s="1" t="str">
        <f t="shared" si="117"/>
        <v/>
      </c>
      <c r="M1644" s="94"/>
      <c r="N1644" s="36"/>
      <c r="O1644" s="95"/>
      <c r="P1644" s="36"/>
      <c r="AI1644" s="122">
        <v>1332</v>
      </c>
      <c r="AJ1644" s="1" t="s">
        <v>2993</v>
      </c>
      <c r="AK1644" s="1">
        <v>311039</v>
      </c>
      <c r="AL1644" s="1" t="s">
        <v>930</v>
      </c>
      <c r="AN1644" s="270">
        <v>738</v>
      </c>
      <c r="BS1644" s="1">
        <v>11271</v>
      </c>
      <c r="BT1644" s="1" t="s">
        <v>101</v>
      </c>
      <c r="BX1644" s="36"/>
    </row>
    <row r="1645" spans="2:76" ht="14.25">
      <c r="B1645" s="36"/>
      <c r="C1645" s="36"/>
      <c r="D1645" s="36"/>
      <c r="E1645" s="36"/>
      <c r="F1645" s="36"/>
      <c r="G1645" s="36"/>
      <c r="H1645" s="36"/>
      <c r="J1645" s="36"/>
      <c r="L1645" s="1" t="str">
        <f t="shared" si="117"/>
        <v/>
      </c>
      <c r="M1645" s="94"/>
      <c r="N1645" s="36"/>
      <c r="O1645" s="95"/>
      <c r="P1645" s="36"/>
      <c r="AI1645" s="122">
        <v>1333</v>
      </c>
      <c r="AJ1645" s="1" t="s">
        <v>2994</v>
      </c>
      <c r="AK1645" s="1">
        <v>311040</v>
      </c>
      <c r="AL1645" s="1" t="s">
        <v>115</v>
      </c>
      <c r="AN1645" s="270">
        <v>739</v>
      </c>
      <c r="BS1645" s="1">
        <v>11272</v>
      </c>
      <c r="BT1645" s="1" t="s">
        <v>101</v>
      </c>
      <c r="BX1645" s="36"/>
    </row>
    <row r="1646" spans="2:76" ht="14.25">
      <c r="B1646" s="36"/>
      <c r="C1646" s="36"/>
      <c r="D1646" s="36"/>
      <c r="E1646" s="36"/>
      <c r="F1646" s="36"/>
      <c r="G1646" s="36"/>
      <c r="H1646" s="36"/>
      <c r="J1646" s="36"/>
      <c r="L1646" s="1" t="str">
        <f t="shared" si="117"/>
        <v/>
      </c>
      <c r="M1646" s="94"/>
      <c r="N1646" s="36"/>
      <c r="O1646" s="95"/>
      <c r="P1646" s="36"/>
      <c r="AI1646" s="122">
        <v>1334</v>
      </c>
      <c r="AJ1646" s="1" t="s">
        <v>2995</v>
      </c>
      <c r="AK1646" s="1">
        <v>311041</v>
      </c>
      <c r="AL1646" s="1" t="s">
        <v>930</v>
      </c>
      <c r="AN1646" s="270">
        <v>740</v>
      </c>
      <c r="BS1646" s="1">
        <v>11273</v>
      </c>
      <c r="BT1646" s="1" t="s">
        <v>101</v>
      </c>
      <c r="BX1646" s="36"/>
    </row>
    <row r="1647" spans="2:76" ht="14.25">
      <c r="B1647" s="36"/>
      <c r="C1647" s="36"/>
      <c r="D1647" s="36"/>
      <c r="E1647" s="36"/>
      <c r="F1647" s="36"/>
      <c r="G1647" s="36"/>
      <c r="H1647" s="36"/>
      <c r="J1647" s="36"/>
      <c r="L1647" s="1" t="str">
        <f t="shared" si="117"/>
        <v/>
      </c>
      <c r="M1647" s="94"/>
      <c r="N1647" s="36"/>
      <c r="O1647" s="95"/>
      <c r="P1647" s="36"/>
      <c r="AI1647" s="122">
        <v>1335</v>
      </c>
      <c r="AJ1647" s="1" t="s">
        <v>2996</v>
      </c>
      <c r="AK1647" s="1">
        <v>311042</v>
      </c>
      <c r="AL1647" s="1" t="s">
        <v>930</v>
      </c>
      <c r="AN1647" s="270">
        <v>741</v>
      </c>
      <c r="BS1647" s="1">
        <v>11274</v>
      </c>
      <c r="BT1647" s="1" t="s">
        <v>101</v>
      </c>
      <c r="BX1647" s="36"/>
    </row>
    <row r="1648" spans="2:76" ht="14.25">
      <c r="B1648" s="36"/>
      <c r="C1648" s="36"/>
      <c r="D1648" s="36"/>
      <c r="E1648" s="36"/>
      <c r="F1648" s="36"/>
      <c r="G1648" s="36"/>
      <c r="H1648" s="36"/>
      <c r="J1648" s="36"/>
      <c r="L1648" s="1" t="str">
        <f t="shared" si="117"/>
        <v/>
      </c>
      <c r="M1648" s="94"/>
      <c r="N1648" s="36"/>
      <c r="O1648" s="95"/>
      <c r="P1648" s="36"/>
      <c r="AI1648" s="122">
        <v>1336</v>
      </c>
      <c r="AJ1648" s="1" t="s">
        <v>2997</v>
      </c>
      <c r="AK1648" s="1">
        <v>311043</v>
      </c>
      <c r="AL1648" s="1" t="s">
        <v>115</v>
      </c>
      <c r="AN1648" s="270">
        <v>742</v>
      </c>
      <c r="BS1648" s="1">
        <v>11275</v>
      </c>
      <c r="BT1648" s="1" t="s">
        <v>101</v>
      </c>
      <c r="BX1648" s="36"/>
    </row>
    <row r="1649" spans="2:76" ht="14.25">
      <c r="B1649" s="36"/>
      <c r="C1649" s="36"/>
      <c r="D1649" s="36"/>
      <c r="E1649" s="36"/>
      <c r="F1649" s="36"/>
      <c r="G1649" s="36"/>
      <c r="H1649" s="36"/>
      <c r="J1649" s="36"/>
      <c r="L1649" s="1" t="str">
        <f t="shared" si="117"/>
        <v/>
      </c>
      <c r="M1649" s="94"/>
      <c r="N1649" s="36"/>
      <c r="O1649" s="95"/>
      <c r="P1649" s="36"/>
      <c r="AI1649" s="122">
        <v>1337</v>
      </c>
      <c r="AJ1649" s="1" t="s">
        <v>2998</v>
      </c>
      <c r="AK1649" s="1">
        <v>311044</v>
      </c>
      <c r="AL1649" s="1" t="s">
        <v>930</v>
      </c>
      <c r="AN1649" s="270">
        <v>743</v>
      </c>
      <c r="BS1649" s="1">
        <v>11276</v>
      </c>
      <c r="BT1649" s="1" t="s">
        <v>101</v>
      </c>
      <c r="BX1649" s="36"/>
    </row>
    <row r="1650" spans="2:76" ht="14.25">
      <c r="B1650" s="36"/>
      <c r="C1650" s="36"/>
      <c r="D1650" s="36"/>
      <c r="E1650" s="36"/>
      <c r="F1650" s="36"/>
      <c r="G1650" s="36"/>
      <c r="H1650" s="36"/>
      <c r="J1650" s="36"/>
      <c r="L1650" s="1" t="str">
        <f t="shared" si="117"/>
        <v/>
      </c>
      <c r="M1650" s="94"/>
      <c r="N1650" s="36"/>
      <c r="O1650" s="95"/>
      <c r="P1650" s="36"/>
      <c r="AI1650" s="122">
        <v>1338</v>
      </c>
      <c r="AJ1650" s="1" t="s">
        <v>2999</v>
      </c>
      <c r="AK1650" s="1">
        <v>311045</v>
      </c>
      <c r="AL1650" s="1" t="s">
        <v>115</v>
      </c>
      <c r="AN1650" s="270">
        <v>744</v>
      </c>
      <c r="BS1650" s="1">
        <v>11277</v>
      </c>
      <c r="BT1650" s="1" t="s">
        <v>101</v>
      </c>
      <c r="BX1650" s="36"/>
    </row>
    <row r="1651" spans="2:76" ht="14.25">
      <c r="B1651" s="36"/>
      <c r="C1651" s="36"/>
      <c r="D1651" s="36"/>
      <c r="E1651" s="36"/>
      <c r="F1651" s="36"/>
      <c r="G1651" s="36"/>
      <c r="H1651" s="36"/>
      <c r="J1651" s="36"/>
      <c r="L1651" s="1" t="str">
        <f t="shared" si="117"/>
        <v/>
      </c>
      <c r="M1651" s="94"/>
      <c r="N1651" s="36"/>
      <c r="O1651" s="95"/>
      <c r="P1651" s="36"/>
      <c r="AI1651" s="122">
        <v>1339</v>
      </c>
      <c r="AJ1651" s="1" t="s">
        <v>3000</v>
      </c>
      <c r="AK1651" s="1">
        <v>311046</v>
      </c>
      <c r="AL1651" s="1" t="s">
        <v>930</v>
      </c>
      <c r="AN1651" s="270">
        <v>745</v>
      </c>
      <c r="BS1651" s="1">
        <v>11278</v>
      </c>
      <c r="BT1651" s="1" t="s">
        <v>101</v>
      </c>
      <c r="BX1651" s="36"/>
    </row>
    <row r="1652" spans="2:76" ht="14.25">
      <c r="B1652" s="36"/>
      <c r="C1652" s="36"/>
      <c r="D1652" s="36"/>
      <c r="E1652" s="36"/>
      <c r="F1652" s="36"/>
      <c r="G1652" s="36"/>
      <c r="H1652" s="36"/>
      <c r="J1652" s="36"/>
      <c r="L1652" s="1" t="str">
        <f t="shared" si="117"/>
        <v/>
      </c>
      <c r="M1652" s="94"/>
      <c r="N1652" s="36"/>
      <c r="O1652" s="95"/>
      <c r="P1652" s="36"/>
      <c r="AI1652" s="122">
        <v>1340</v>
      </c>
      <c r="AJ1652" s="1" t="s">
        <v>3001</v>
      </c>
      <c r="AK1652" s="1">
        <v>311047</v>
      </c>
      <c r="AL1652" s="1" t="s">
        <v>115</v>
      </c>
      <c r="AN1652" s="270">
        <v>746</v>
      </c>
      <c r="BS1652" s="1">
        <v>11279</v>
      </c>
      <c r="BT1652" s="1" t="s">
        <v>101</v>
      </c>
      <c r="BX1652" s="36"/>
    </row>
    <row r="1653" spans="2:76" ht="14.25">
      <c r="B1653" s="36"/>
      <c r="C1653" s="36"/>
      <c r="D1653" s="36"/>
      <c r="E1653" s="36"/>
      <c r="F1653" s="36"/>
      <c r="G1653" s="36"/>
      <c r="H1653" s="36"/>
      <c r="J1653" s="36"/>
      <c r="L1653" s="1" t="str">
        <f t="shared" si="117"/>
        <v/>
      </c>
      <c r="M1653" s="94"/>
      <c r="N1653" s="36"/>
      <c r="O1653" s="95"/>
      <c r="P1653" s="36"/>
      <c r="AI1653" s="122">
        <v>1341</v>
      </c>
      <c r="AJ1653" s="1" t="s">
        <v>3002</v>
      </c>
      <c r="AK1653" s="1">
        <v>311048</v>
      </c>
      <c r="AL1653" s="1" t="s">
        <v>930</v>
      </c>
      <c r="AN1653" s="270">
        <v>747</v>
      </c>
      <c r="BS1653" s="1">
        <v>11280</v>
      </c>
      <c r="BT1653" s="1" t="s">
        <v>49</v>
      </c>
      <c r="BX1653" s="36"/>
    </row>
    <row r="1654" spans="2:76" ht="14.25">
      <c r="B1654" s="36"/>
      <c r="C1654" s="36"/>
      <c r="D1654" s="36"/>
      <c r="E1654" s="36"/>
      <c r="F1654" s="36"/>
      <c r="G1654" s="36"/>
      <c r="H1654" s="36"/>
      <c r="J1654" s="36"/>
      <c r="L1654" s="1" t="str">
        <f t="shared" si="117"/>
        <v/>
      </c>
      <c r="M1654" s="94"/>
      <c r="N1654" s="36"/>
      <c r="O1654" s="95"/>
      <c r="P1654" s="36"/>
      <c r="AI1654" s="122">
        <v>1342</v>
      </c>
      <c r="AJ1654" s="1" t="s">
        <v>3003</v>
      </c>
      <c r="AK1654" s="1">
        <v>311049</v>
      </c>
      <c r="AL1654" s="1" t="s">
        <v>930</v>
      </c>
      <c r="AN1654" s="270">
        <v>748</v>
      </c>
      <c r="BS1654" s="1">
        <v>11281</v>
      </c>
      <c r="BT1654" s="1" t="s">
        <v>101</v>
      </c>
      <c r="BX1654" s="36"/>
    </row>
    <row r="1655" spans="2:76" ht="14.25">
      <c r="B1655" s="36"/>
      <c r="C1655" s="36"/>
      <c r="D1655" s="36"/>
      <c r="E1655" s="36"/>
      <c r="F1655" s="36"/>
      <c r="G1655" s="36"/>
      <c r="H1655" s="36"/>
      <c r="J1655" s="36"/>
      <c r="L1655" s="1" t="str">
        <f t="shared" si="117"/>
        <v/>
      </c>
      <c r="M1655" s="94"/>
      <c r="N1655" s="36"/>
      <c r="O1655" s="95"/>
      <c r="P1655" s="36"/>
      <c r="AI1655" s="122">
        <v>1343</v>
      </c>
      <c r="AJ1655" s="1" t="s">
        <v>3004</v>
      </c>
      <c r="AK1655" s="1">
        <v>311050</v>
      </c>
      <c r="AL1655" s="1" t="s">
        <v>115</v>
      </c>
      <c r="AN1655" s="270">
        <v>749</v>
      </c>
      <c r="BS1655" s="1">
        <v>11282</v>
      </c>
      <c r="BT1655" s="1" t="s">
        <v>101</v>
      </c>
      <c r="BX1655" s="36"/>
    </row>
    <row r="1656" spans="2:76" ht="14.25">
      <c r="B1656" s="36"/>
      <c r="C1656" s="36"/>
      <c r="D1656" s="36"/>
      <c r="E1656" s="36"/>
      <c r="F1656" s="36"/>
      <c r="G1656" s="36"/>
      <c r="H1656" s="36"/>
      <c r="J1656" s="36"/>
      <c r="L1656" s="1" t="str">
        <f t="shared" si="117"/>
        <v/>
      </c>
      <c r="M1656" s="94"/>
      <c r="N1656" s="36"/>
      <c r="O1656" s="95"/>
      <c r="P1656" s="36"/>
      <c r="AI1656" s="122">
        <v>1344</v>
      </c>
      <c r="AJ1656" s="1" t="s">
        <v>3005</v>
      </c>
      <c r="AK1656" s="1">
        <v>311051</v>
      </c>
      <c r="AL1656" s="1" t="s">
        <v>930</v>
      </c>
      <c r="AN1656" s="270">
        <v>750</v>
      </c>
      <c r="BS1656" s="1">
        <v>11283</v>
      </c>
      <c r="BT1656" s="1" t="s">
        <v>101</v>
      </c>
      <c r="BX1656" s="36"/>
    </row>
    <row r="1657" spans="2:76" ht="14.25">
      <c r="B1657" s="36"/>
      <c r="C1657" s="36"/>
      <c r="D1657" s="36"/>
      <c r="E1657" s="36"/>
      <c r="F1657" s="36"/>
      <c r="G1657" s="36"/>
      <c r="H1657" s="36"/>
      <c r="J1657" s="36"/>
      <c r="L1657" s="1" t="str">
        <f t="shared" si="117"/>
        <v/>
      </c>
      <c r="M1657" s="94"/>
      <c r="N1657" s="36"/>
      <c r="O1657" s="95"/>
      <c r="P1657" s="36"/>
      <c r="AI1657" s="122">
        <v>1345</v>
      </c>
      <c r="AJ1657" s="1" t="s">
        <v>3006</v>
      </c>
      <c r="AK1657" s="1">
        <v>311052</v>
      </c>
      <c r="AL1657" s="1" t="s">
        <v>115</v>
      </c>
      <c r="AN1657" s="270">
        <v>751</v>
      </c>
      <c r="BS1657" s="1">
        <v>11284</v>
      </c>
      <c r="BT1657" s="1" t="s">
        <v>101</v>
      </c>
      <c r="BX1657" s="36"/>
    </row>
    <row r="1658" spans="2:76" ht="14.25">
      <c r="B1658" s="36"/>
      <c r="C1658" s="36"/>
      <c r="D1658" s="36"/>
      <c r="E1658" s="36"/>
      <c r="F1658" s="36"/>
      <c r="G1658" s="36"/>
      <c r="H1658" s="36"/>
      <c r="J1658" s="36"/>
      <c r="L1658" s="1" t="str">
        <f t="shared" si="117"/>
        <v/>
      </c>
      <c r="M1658" s="94"/>
      <c r="N1658" s="36"/>
      <c r="O1658" s="95"/>
      <c r="P1658" s="36"/>
      <c r="AI1658" s="122">
        <v>1346</v>
      </c>
      <c r="AJ1658" s="1" t="s">
        <v>3007</v>
      </c>
      <c r="AK1658" s="1">
        <v>311053</v>
      </c>
      <c r="AL1658" s="1" t="s">
        <v>930</v>
      </c>
      <c r="AN1658" s="270">
        <v>752</v>
      </c>
      <c r="BS1658" s="1">
        <v>11285</v>
      </c>
      <c r="BT1658" s="1" t="s">
        <v>101</v>
      </c>
      <c r="BX1658" s="36"/>
    </row>
    <row r="1659" spans="2:76" ht="14.25">
      <c r="B1659" s="36"/>
      <c r="C1659" s="36"/>
      <c r="D1659" s="36"/>
      <c r="E1659" s="36"/>
      <c r="F1659" s="36"/>
      <c r="G1659" s="36"/>
      <c r="H1659" s="36"/>
      <c r="J1659" s="36"/>
      <c r="L1659" s="1" t="str">
        <f t="shared" si="117"/>
        <v/>
      </c>
      <c r="M1659" s="94"/>
      <c r="N1659" s="36"/>
      <c r="O1659" s="95"/>
      <c r="P1659" s="36"/>
      <c r="AI1659" s="122">
        <v>1347</v>
      </c>
      <c r="AJ1659" s="1" t="s">
        <v>3008</v>
      </c>
      <c r="AK1659" s="1">
        <v>311054</v>
      </c>
      <c r="AL1659" s="1" t="s">
        <v>115</v>
      </c>
      <c r="AN1659" s="270">
        <v>753</v>
      </c>
      <c r="BS1659" s="1">
        <v>11286</v>
      </c>
      <c r="BT1659" s="1" t="s">
        <v>101</v>
      </c>
      <c r="BX1659" s="36"/>
    </row>
    <row r="1660" spans="2:76" ht="14.25">
      <c r="B1660" s="36"/>
      <c r="C1660" s="36"/>
      <c r="D1660" s="36"/>
      <c r="E1660" s="36"/>
      <c r="F1660" s="36"/>
      <c r="G1660" s="36"/>
      <c r="H1660" s="36"/>
      <c r="J1660" s="36"/>
      <c r="L1660" s="1" t="str">
        <f t="shared" si="117"/>
        <v/>
      </c>
      <c r="M1660" s="94"/>
      <c r="N1660" s="36"/>
      <c r="O1660" s="95"/>
      <c r="P1660" s="36"/>
      <c r="AI1660" s="122">
        <v>1348</v>
      </c>
      <c r="AJ1660" s="1" t="s">
        <v>3009</v>
      </c>
      <c r="AK1660" s="1">
        <v>311055</v>
      </c>
      <c r="AL1660" s="1" t="s">
        <v>930</v>
      </c>
      <c r="AN1660" s="270">
        <v>754</v>
      </c>
      <c r="BS1660" s="1">
        <v>11287</v>
      </c>
      <c r="BT1660" s="1" t="s">
        <v>49</v>
      </c>
      <c r="BX1660" s="36"/>
    </row>
    <row r="1661" spans="2:76" ht="14.25">
      <c r="B1661" s="36"/>
      <c r="C1661" s="36"/>
      <c r="D1661" s="36"/>
      <c r="E1661" s="36"/>
      <c r="F1661" s="36"/>
      <c r="G1661" s="36"/>
      <c r="H1661" s="36"/>
      <c r="J1661" s="36"/>
      <c r="L1661" s="1" t="str">
        <f t="shared" si="117"/>
        <v/>
      </c>
      <c r="M1661" s="94"/>
      <c r="N1661" s="36"/>
      <c r="O1661" s="95"/>
      <c r="P1661" s="36"/>
      <c r="AI1661" s="122">
        <v>1349</v>
      </c>
      <c r="AJ1661" s="1" t="s">
        <v>3010</v>
      </c>
      <c r="AK1661" s="1">
        <v>311056</v>
      </c>
      <c r="AL1661" s="1" t="s">
        <v>115</v>
      </c>
      <c r="AN1661" s="270">
        <v>755</v>
      </c>
      <c r="BS1661" s="1">
        <v>11288</v>
      </c>
      <c r="BT1661" s="1" t="s">
        <v>49</v>
      </c>
      <c r="BX1661" s="36"/>
    </row>
    <row r="1662" spans="2:76" ht="14.25">
      <c r="B1662" s="36"/>
      <c r="C1662" s="36"/>
      <c r="D1662" s="36"/>
      <c r="E1662" s="36"/>
      <c r="F1662" s="36"/>
      <c r="G1662" s="36"/>
      <c r="H1662" s="36"/>
      <c r="J1662" s="36"/>
      <c r="L1662" s="1" t="str">
        <f t="shared" si="117"/>
        <v/>
      </c>
      <c r="M1662" s="94"/>
      <c r="N1662" s="36"/>
      <c r="O1662" s="95"/>
      <c r="P1662" s="36"/>
      <c r="AI1662" s="122">
        <v>1350</v>
      </c>
      <c r="AJ1662" s="1" t="s">
        <v>3011</v>
      </c>
      <c r="AK1662" s="1">
        <v>311057</v>
      </c>
      <c r="AL1662" s="1" t="s">
        <v>930</v>
      </c>
      <c r="AN1662" s="270">
        <v>756</v>
      </c>
      <c r="BS1662" s="1">
        <v>11289</v>
      </c>
      <c r="BT1662" s="1" t="s">
        <v>49</v>
      </c>
      <c r="BX1662" s="36"/>
    </row>
    <row r="1663" spans="2:76" ht="14.25">
      <c r="B1663" s="36"/>
      <c r="C1663" s="36"/>
      <c r="D1663" s="36"/>
      <c r="E1663" s="36"/>
      <c r="F1663" s="36"/>
      <c r="G1663" s="36"/>
      <c r="H1663" s="36"/>
      <c r="J1663" s="36"/>
      <c r="L1663" s="1" t="str">
        <f t="shared" si="117"/>
        <v/>
      </c>
      <c r="M1663" s="94"/>
      <c r="N1663" s="36"/>
      <c r="O1663" s="95"/>
      <c r="P1663" s="36"/>
      <c r="AI1663" s="122">
        <v>1351</v>
      </c>
      <c r="AJ1663" s="1" t="s">
        <v>3012</v>
      </c>
      <c r="AK1663" s="1">
        <v>311058</v>
      </c>
      <c r="AL1663" s="1" t="s">
        <v>930</v>
      </c>
      <c r="AN1663" s="270">
        <v>757</v>
      </c>
      <c r="BS1663" s="1">
        <v>11290</v>
      </c>
      <c r="BT1663" s="1" t="s">
        <v>50</v>
      </c>
      <c r="BX1663" s="36"/>
    </row>
    <row r="1664" spans="2:76" ht="14.25">
      <c r="B1664" s="36"/>
      <c r="C1664" s="36"/>
      <c r="D1664" s="36"/>
      <c r="E1664" s="36"/>
      <c r="F1664" s="36"/>
      <c r="G1664" s="36"/>
      <c r="H1664" s="36"/>
      <c r="J1664" s="36"/>
      <c r="L1664" s="1" t="str">
        <f t="shared" si="117"/>
        <v/>
      </c>
      <c r="M1664" s="94"/>
      <c r="N1664" s="36"/>
      <c r="O1664" s="95"/>
      <c r="P1664" s="36"/>
      <c r="AI1664" s="122">
        <v>1352</v>
      </c>
      <c r="AJ1664" s="1" t="s">
        <v>3013</v>
      </c>
      <c r="AK1664" s="1">
        <v>311059</v>
      </c>
      <c r="AL1664" s="1" t="s">
        <v>115</v>
      </c>
      <c r="AN1664" s="270">
        <v>758</v>
      </c>
      <c r="BS1664" s="1">
        <v>11291</v>
      </c>
      <c r="BT1664" s="1" t="s">
        <v>49</v>
      </c>
      <c r="BX1664" s="36"/>
    </row>
    <row r="1665" spans="2:76" ht="14.25">
      <c r="B1665" s="36"/>
      <c r="C1665" s="36"/>
      <c r="D1665" s="36"/>
      <c r="E1665" s="36"/>
      <c r="F1665" s="36"/>
      <c r="G1665" s="36"/>
      <c r="H1665" s="36"/>
      <c r="J1665" s="36"/>
      <c r="L1665" s="1" t="str">
        <f t="shared" si="117"/>
        <v/>
      </c>
      <c r="M1665" s="94"/>
      <c r="N1665" s="36"/>
      <c r="O1665" s="95"/>
      <c r="P1665" s="36"/>
      <c r="AI1665" s="122">
        <v>1353</v>
      </c>
      <c r="AJ1665" s="1" t="s">
        <v>3014</v>
      </c>
      <c r="AK1665" s="1">
        <v>311060</v>
      </c>
      <c r="AL1665" s="1" t="s">
        <v>930</v>
      </c>
      <c r="AN1665" s="270">
        <v>759</v>
      </c>
      <c r="BS1665" s="1">
        <v>11292</v>
      </c>
      <c r="BT1665" s="1" t="s">
        <v>50</v>
      </c>
      <c r="BX1665" s="36"/>
    </row>
    <row r="1666" spans="2:76" ht="14.25">
      <c r="B1666" s="36"/>
      <c r="C1666" s="36"/>
      <c r="D1666" s="36"/>
      <c r="E1666" s="36"/>
      <c r="F1666" s="36"/>
      <c r="G1666" s="36"/>
      <c r="H1666" s="36"/>
      <c r="J1666" s="36"/>
      <c r="L1666" s="1" t="str">
        <f t="shared" si="117"/>
        <v/>
      </c>
      <c r="M1666" s="94"/>
      <c r="N1666" s="36"/>
      <c r="O1666" s="95"/>
      <c r="P1666" s="36"/>
      <c r="AI1666" s="122">
        <v>1354</v>
      </c>
      <c r="AJ1666" s="1" t="s">
        <v>3015</v>
      </c>
      <c r="AK1666" s="1">
        <v>311061</v>
      </c>
      <c r="AL1666" s="1" t="s">
        <v>115</v>
      </c>
      <c r="AN1666" s="270">
        <v>760</v>
      </c>
      <c r="BS1666" s="1">
        <v>11293</v>
      </c>
      <c r="BT1666" s="1" t="s">
        <v>50</v>
      </c>
      <c r="BX1666" s="36"/>
    </row>
    <row r="1667" spans="2:76" ht="14.25">
      <c r="B1667" s="36"/>
      <c r="C1667" s="36"/>
      <c r="D1667" s="36"/>
      <c r="E1667" s="36"/>
      <c r="F1667" s="36"/>
      <c r="G1667" s="36"/>
      <c r="H1667" s="36"/>
      <c r="J1667" s="36"/>
      <c r="L1667" s="1" t="str">
        <f t="shared" si="117"/>
        <v/>
      </c>
      <c r="M1667" s="94"/>
      <c r="N1667" s="36"/>
      <c r="O1667" s="95"/>
      <c r="P1667" s="36"/>
      <c r="AI1667" s="122">
        <v>1355</v>
      </c>
      <c r="AJ1667" s="1" t="s">
        <v>3016</v>
      </c>
      <c r="AK1667" s="1">
        <v>311062</v>
      </c>
      <c r="AL1667" s="1" t="s">
        <v>930</v>
      </c>
      <c r="AN1667" s="270">
        <v>761</v>
      </c>
      <c r="BS1667" s="1">
        <v>11294</v>
      </c>
      <c r="BT1667" s="1" t="s">
        <v>50</v>
      </c>
      <c r="BX1667" s="36"/>
    </row>
    <row r="1668" spans="2:76" ht="14.25">
      <c r="B1668" s="36"/>
      <c r="C1668" s="36"/>
      <c r="D1668" s="36"/>
      <c r="E1668" s="36"/>
      <c r="F1668" s="36"/>
      <c r="G1668" s="36"/>
      <c r="H1668" s="36"/>
      <c r="J1668" s="36"/>
      <c r="L1668" s="1" t="str">
        <f t="shared" ref="L1668:L1731" si="118">IF(AND(MIN(I:I)&lt;20,MAX(I:I)&gt;980,I1668&lt;20),I1668,"")</f>
        <v/>
      </c>
      <c r="M1668" s="94"/>
      <c r="N1668" s="36"/>
      <c r="O1668" s="95"/>
      <c r="P1668" s="36"/>
      <c r="AI1668" s="122">
        <v>1356</v>
      </c>
      <c r="AJ1668" s="1" t="s">
        <v>3017</v>
      </c>
      <c r="AK1668" s="1">
        <v>311063</v>
      </c>
      <c r="AL1668" s="1" t="s">
        <v>115</v>
      </c>
      <c r="AN1668" s="270">
        <v>762</v>
      </c>
      <c r="BS1668" s="1">
        <v>11295</v>
      </c>
      <c r="BT1668" s="1" t="s">
        <v>50</v>
      </c>
      <c r="BX1668" s="36"/>
    </row>
    <row r="1669" spans="2:76" ht="14.25">
      <c r="B1669" s="36"/>
      <c r="C1669" s="36"/>
      <c r="D1669" s="36"/>
      <c r="E1669" s="36"/>
      <c r="F1669" s="36"/>
      <c r="G1669" s="36"/>
      <c r="H1669" s="36"/>
      <c r="J1669" s="36"/>
      <c r="L1669" s="1" t="str">
        <f t="shared" si="118"/>
        <v/>
      </c>
      <c r="M1669" s="94"/>
      <c r="N1669" s="36"/>
      <c r="O1669" s="95"/>
      <c r="P1669" s="36"/>
      <c r="AI1669" s="122">
        <v>1357</v>
      </c>
      <c r="AJ1669" s="1" t="s">
        <v>3018</v>
      </c>
      <c r="AK1669" s="1">
        <v>311064</v>
      </c>
      <c r="AL1669" s="1" t="s">
        <v>930</v>
      </c>
      <c r="AN1669" s="270">
        <v>763</v>
      </c>
      <c r="BS1669" s="1">
        <v>11296</v>
      </c>
      <c r="BT1669" s="1" t="s">
        <v>50</v>
      </c>
      <c r="BX1669" s="36"/>
    </row>
    <row r="1670" spans="2:76" ht="14.25">
      <c r="B1670" s="36"/>
      <c r="C1670" s="36"/>
      <c r="D1670" s="36"/>
      <c r="E1670" s="36"/>
      <c r="F1670" s="36"/>
      <c r="G1670" s="36"/>
      <c r="H1670" s="36"/>
      <c r="J1670" s="36"/>
      <c r="L1670" s="1" t="str">
        <f t="shared" si="118"/>
        <v/>
      </c>
      <c r="M1670" s="94"/>
      <c r="N1670" s="36"/>
      <c r="O1670" s="95"/>
      <c r="P1670" s="36"/>
      <c r="AI1670" s="122">
        <v>1358</v>
      </c>
      <c r="AJ1670" s="1" t="s">
        <v>3019</v>
      </c>
      <c r="AK1670" s="1">
        <v>311065</v>
      </c>
      <c r="AL1670" s="1" t="s">
        <v>930</v>
      </c>
      <c r="AN1670" s="270">
        <v>764</v>
      </c>
      <c r="BS1670" s="1">
        <v>11297</v>
      </c>
      <c r="BT1670" s="1" t="s">
        <v>50</v>
      </c>
      <c r="BX1670" s="36"/>
    </row>
    <row r="1671" spans="2:76" ht="14.25">
      <c r="B1671" s="36"/>
      <c r="C1671" s="36"/>
      <c r="D1671" s="36"/>
      <c r="E1671" s="36"/>
      <c r="F1671" s="36"/>
      <c r="G1671" s="36"/>
      <c r="H1671" s="36"/>
      <c r="J1671" s="36"/>
      <c r="L1671" s="1" t="str">
        <f t="shared" si="118"/>
        <v/>
      </c>
      <c r="M1671" s="94"/>
      <c r="N1671" s="36"/>
      <c r="O1671" s="95"/>
      <c r="P1671" s="36"/>
      <c r="AI1671" s="122">
        <v>1359</v>
      </c>
      <c r="AJ1671" s="1" t="s">
        <v>3020</v>
      </c>
      <c r="AK1671" s="1">
        <v>311066</v>
      </c>
      <c r="AL1671" s="1" t="s">
        <v>115</v>
      </c>
      <c r="AN1671" s="270">
        <v>765</v>
      </c>
      <c r="BS1671" s="1">
        <v>11298</v>
      </c>
      <c r="BT1671" s="1" t="s">
        <v>50</v>
      </c>
      <c r="BX1671" s="36"/>
    </row>
    <row r="1672" spans="2:76" ht="14.25">
      <c r="B1672" s="36"/>
      <c r="C1672" s="36"/>
      <c r="D1672" s="36"/>
      <c r="E1672" s="36"/>
      <c r="F1672" s="36"/>
      <c r="G1672" s="36"/>
      <c r="H1672" s="36"/>
      <c r="J1672" s="36"/>
      <c r="L1672" s="1" t="str">
        <f t="shared" si="118"/>
        <v/>
      </c>
      <c r="M1672" s="94"/>
      <c r="N1672" s="36"/>
      <c r="O1672" s="95"/>
      <c r="P1672" s="36"/>
      <c r="AI1672" s="122">
        <v>1360</v>
      </c>
      <c r="AJ1672" s="1" t="s">
        <v>3021</v>
      </c>
      <c r="AK1672" s="1">
        <v>311067</v>
      </c>
      <c r="AL1672" s="1" t="s">
        <v>930</v>
      </c>
      <c r="AN1672" s="270">
        <v>766</v>
      </c>
      <c r="BS1672" s="1">
        <v>11299</v>
      </c>
      <c r="BT1672" s="1" t="s">
        <v>50</v>
      </c>
      <c r="BX1672" s="36"/>
    </row>
    <row r="1673" spans="2:76" ht="14.25">
      <c r="B1673" s="36"/>
      <c r="C1673" s="36"/>
      <c r="D1673" s="36"/>
      <c r="E1673" s="36"/>
      <c r="F1673" s="36"/>
      <c r="G1673" s="36"/>
      <c r="H1673" s="36"/>
      <c r="J1673" s="36"/>
      <c r="L1673" s="1" t="str">
        <f t="shared" si="118"/>
        <v/>
      </c>
      <c r="M1673" s="94"/>
      <c r="N1673" s="36"/>
      <c r="O1673" s="95"/>
      <c r="P1673" s="36"/>
      <c r="AI1673" s="122">
        <v>1361</v>
      </c>
      <c r="AJ1673" s="1" t="s">
        <v>3022</v>
      </c>
      <c r="AK1673" s="1">
        <v>311068</v>
      </c>
      <c r="AL1673" s="1" t="s">
        <v>115</v>
      </c>
      <c r="AN1673" s="270">
        <v>767</v>
      </c>
      <c r="BS1673" s="1">
        <v>11300</v>
      </c>
      <c r="BT1673" s="1" t="s">
        <v>50</v>
      </c>
      <c r="BX1673" s="36"/>
    </row>
    <row r="1674" spans="2:76" ht="14.25">
      <c r="B1674" s="36"/>
      <c r="C1674" s="36"/>
      <c r="D1674" s="36"/>
      <c r="E1674" s="36"/>
      <c r="F1674" s="36"/>
      <c r="G1674" s="36"/>
      <c r="H1674" s="36"/>
      <c r="J1674" s="36"/>
      <c r="L1674" s="1" t="str">
        <f t="shared" si="118"/>
        <v/>
      </c>
      <c r="M1674" s="94"/>
      <c r="N1674" s="36"/>
      <c r="O1674" s="95"/>
      <c r="P1674" s="36"/>
      <c r="AI1674" s="122">
        <v>1362</v>
      </c>
      <c r="AJ1674" s="1" t="s">
        <v>3023</v>
      </c>
      <c r="AK1674" s="1">
        <v>311069</v>
      </c>
      <c r="AL1674" s="1" t="s">
        <v>930</v>
      </c>
      <c r="AN1674" s="270">
        <v>768</v>
      </c>
      <c r="BS1674" s="1">
        <v>11301</v>
      </c>
      <c r="BT1674" s="1" t="s">
        <v>50</v>
      </c>
      <c r="BX1674" s="36"/>
    </row>
    <row r="1675" spans="2:76" ht="14.25">
      <c r="B1675" s="36"/>
      <c r="C1675" s="36"/>
      <c r="D1675" s="36"/>
      <c r="E1675" s="36"/>
      <c r="F1675" s="36"/>
      <c r="G1675" s="36"/>
      <c r="H1675" s="36"/>
      <c r="J1675" s="36"/>
      <c r="L1675" s="1" t="str">
        <f t="shared" si="118"/>
        <v/>
      </c>
      <c r="M1675" s="94"/>
      <c r="N1675" s="36"/>
      <c r="O1675" s="95"/>
      <c r="P1675" s="36"/>
      <c r="AI1675" s="122">
        <v>1363</v>
      </c>
      <c r="AJ1675" s="1" t="s">
        <v>3024</v>
      </c>
      <c r="AK1675" s="1">
        <v>311070</v>
      </c>
      <c r="AL1675" s="1" t="s">
        <v>115</v>
      </c>
      <c r="AN1675" s="270">
        <v>769</v>
      </c>
      <c r="BS1675" s="1">
        <v>11302</v>
      </c>
      <c r="BT1675" s="1" t="s">
        <v>50</v>
      </c>
      <c r="BX1675" s="36"/>
    </row>
    <row r="1676" spans="2:76" ht="14.25">
      <c r="B1676" s="36"/>
      <c r="C1676" s="36"/>
      <c r="D1676" s="36"/>
      <c r="E1676" s="36"/>
      <c r="F1676" s="36"/>
      <c r="G1676" s="36"/>
      <c r="H1676" s="36"/>
      <c r="J1676" s="36"/>
      <c r="L1676" s="1" t="str">
        <f t="shared" si="118"/>
        <v/>
      </c>
      <c r="M1676" s="94"/>
      <c r="N1676" s="36"/>
      <c r="O1676" s="95"/>
      <c r="P1676" s="36"/>
      <c r="AI1676" s="122">
        <v>1364</v>
      </c>
      <c r="AJ1676" s="1" t="s">
        <v>3025</v>
      </c>
      <c r="AK1676" s="1">
        <v>311071</v>
      </c>
      <c r="AL1676" s="1" t="s">
        <v>930</v>
      </c>
      <c r="AN1676" s="270">
        <v>770</v>
      </c>
      <c r="BS1676" s="1">
        <v>11303</v>
      </c>
      <c r="BT1676" s="1" t="s">
        <v>50</v>
      </c>
      <c r="BX1676" s="36"/>
    </row>
    <row r="1677" spans="2:76" ht="14.25">
      <c r="B1677" s="36"/>
      <c r="C1677" s="36"/>
      <c r="D1677" s="36"/>
      <c r="E1677" s="36"/>
      <c r="F1677" s="36"/>
      <c r="G1677" s="36"/>
      <c r="H1677" s="36"/>
      <c r="J1677" s="36"/>
      <c r="L1677" s="1" t="str">
        <f t="shared" si="118"/>
        <v/>
      </c>
      <c r="M1677" s="94"/>
      <c r="N1677" s="36"/>
      <c r="O1677" s="95"/>
      <c r="P1677" s="36"/>
      <c r="AI1677" s="122">
        <v>1365</v>
      </c>
      <c r="AJ1677" s="1" t="s">
        <v>3026</v>
      </c>
      <c r="AK1677" s="1">
        <v>311072</v>
      </c>
      <c r="AL1677" s="1" t="s">
        <v>115</v>
      </c>
      <c r="AN1677" s="270">
        <v>771</v>
      </c>
      <c r="BS1677" s="1">
        <v>11304</v>
      </c>
      <c r="BT1677" s="1" t="s">
        <v>50</v>
      </c>
      <c r="BX1677" s="36"/>
    </row>
    <row r="1678" spans="2:76" ht="14.25">
      <c r="B1678" s="36"/>
      <c r="C1678" s="36"/>
      <c r="D1678" s="36"/>
      <c r="E1678" s="36"/>
      <c r="F1678" s="36"/>
      <c r="G1678" s="36"/>
      <c r="H1678" s="36"/>
      <c r="J1678" s="36"/>
      <c r="L1678" s="1" t="str">
        <f t="shared" si="118"/>
        <v/>
      </c>
      <c r="M1678" s="94"/>
      <c r="N1678" s="36"/>
      <c r="O1678" s="95"/>
      <c r="P1678" s="36"/>
      <c r="AI1678" s="122">
        <v>1366</v>
      </c>
      <c r="AJ1678" s="1" t="s">
        <v>3027</v>
      </c>
      <c r="AK1678" s="1">
        <v>311073</v>
      </c>
      <c r="AL1678" s="1" t="s">
        <v>930</v>
      </c>
      <c r="AN1678" s="270">
        <v>772</v>
      </c>
      <c r="BS1678" s="1">
        <v>11305</v>
      </c>
      <c r="BT1678" s="1" t="s">
        <v>50</v>
      </c>
      <c r="BX1678" s="36"/>
    </row>
    <row r="1679" spans="2:76" ht="14.25">
      <c r="B1679" s="36"/>
      <c r="C1679" s="36"/>
      <c r="D1679" s="36"/>
      <c r="E1679" s="36"/>
      <c r="F1679" s="36"/>
      <c r="G1679" s="36"/>
      <c r="H1679" s="36"/>
      <c r="J1679" s="36"/>
      <c r="L1679" s="1" t="str">
        <f t="shared" si="118"/>
        <v/>
      </c>
      <c r="M1679" s="94"/>
      <c r="N1679" s="36"/>
      <c r="O1679" s="95"/>
      <c r="P1679" s="36"/>
      <c r="AI1679" s="122">
        <v>1367</v>
      </c>
      <c r="AJ1679" s="1" t="s">
        <v>3028</v>
      </c>
      <c r="AK1679" s="1">
        <v>311074</v>
      </c>
      <c r="AL1679" s="1" t="s">
        <v>930</v>
      </c>
      <c r="AN1679" s="270">
        <v>773</v>
      </c>
      <c r="BS1679" s="1">
        <v>11306</v>
      </c>
      <c r="BT1679" s="1" t="s">
        <v>50</v>
      </c>
      <c r="BX1679" s="36"/>
    </row>
    <row r="1680" spans="2:76" ht="14.25">
      <c r="B1680" s="36"/>
      <c r="C1680" s="36"/>
      <c r="D1680" s="36"/>
      <c r="E1680" s="36"/>
      <c r="F1680" s="36"/>
      <c r="G1680" s="36"/>
      <c r="H1680" s="36"/>
      <c r="J1680" s="36"/>
      <c r="L1680" s="1" t="str">
        <f t="shared" si="118"/>
        <v/>
      </c>
      <c r="M1680" s="94"/>
      <c r="N1680" s="36"/>
      <c r="O1680" s="95"/>
      <c r="P1680" s="36"/>
      <c r="AI1680" s="122">
        <v>1368</v>
      </c>
      <c r="AJ1680" s="1" t="s">
        <v>3029</v>
      </c>
      <c r="AK1680" s="1">
        <v>311075</v>
      </c>
      <c r="AL1680" s="1" t="s">
        <v>115</v>
      </c>
      <c r="AN1680" s="270">
        <v>774</v>
      </c>
      <c r="BS1680" s="1">
        <v>11307</v>
      </c>
      <c r="BT1680" s="1" t="s">
        <v>50</v>
      </c>
      <c r="BX1680" s="36"/>
    </row>
    <row r="1681" spans="2:76" ht="14.25">
      <c r="B1681" s="36"/>
      <c r="C1681" s="36"/>
      <c r="D1681" s="36"/>
      <c r="E1681" s="36"/>
      <c r="F1681" s="36"/>
      <c r="G1681" s="36"/>
      <c r="H1681" s="36"/>
      <c r="J1681" s="36"/>
      <c r="L1681" s="1" t="str">
        <f t="shared" si="118"/>
        <v/>
      </c>
      <c r="M1681" s="94"/>
      <c r="N1681" s="36"/>
      <c r="O1681" s="95"/>
      <c r="P1681" s="36"/>
      <c r="AI1681" s="122">
        <v>1369</v>
      </c>
      <c r="AJ1681" s="1" t="s">
        <v>3030</v>
      </c>
      <c r="AK1681" s="1">
        <v>311076</v>
      </c>
      <c r="AL1681" s="1" t="s">
        <v>930</v>
      </c>
      <c r="AN1681" s="270">
        <v>775</v>
      </c>
      <c r="BS1681" s="1">
        <v>11308</v>
      </c>
      <c r="BT1681" s="1" t="s">
        <v>50</v>
      </c>
      <c r="BX1681" s="36"/>
    </row>
    <row r="1682" spans="2:76" ht="14.25">
      <c r="B1682" s="36"/>
      <c r="C1682" s="36"/>
      <c r="D1682" s="36"/>
      <c r="E1682" s="36"/>
      <c r="F1682" s="36"/>
      <c r="G1682" s="36"/>
      <c r="H1682" s="36"/>
      <c r="J1682" s="36"/>
      <c r="L1682" s="1" t="str">
        <f t="shared" si="118"/>
        <v/>
      </c>
      <c r="M1682" s="94"/>
      <c r="N1682" s="36"/>
      <c r="O1682" s="95"/>
      <c r="P1682" s="36"/>
      <c r="AI1682" s="122">
        <v>1370</v>
      </c>
      <c r="AJ1682" s="1" t="s">
        <v>3031</v>
      </c>
      <c r="AK1682" s="1">
        <v>311077</v>
      </c>
      <c r="AL1682" s="1" t="s">
        <v>115</v>
      </c>
      <c r="AN1682" s="270">
        <v>776</v>
      </c>
      <c r="BS1682" s="1">
        <v>11309</v>
      </c>
      <c r="BT1682" s="1" t="s">
        <v>50</v>
      </c>
      <c r="BX1682" s="36"/>
    </row>
    <row r="1683" spans="2:76" ht="14.25">
      <c r="B1683" s="36"/>
      <c r="C1683" s="36"/>
      <c r="D1683" s="36"/>
      <c r="E1683" s="36"/>
      <c r="F1683" s="36"/>
      <c r="G1683" s="36"/>
      <c r="H1683" s="36"/>
      <c r="J1683" s="36"/>
      <c r="L1683" s="1" t="str">
        <f t="shared" si="118"/>
        <v/>
      </c>
      <c r="M1683" s="94"/>
      <c r="N1683" s="36"/>
      <c r="O1683" s="95"/>
      <c r="P1683" s="36"/>
      <c r="AI1683" s="122">
        <v>1371</v>
      </c>
      <c r="AJ1683" s="1" t="s">
        <v>3032</v>
      </c>
      <c r="AK1683" s="1">
        <v>311078</v>
      </c>
      <c r="AL1683" s="1" t="s">
        <v>930</v>
      </c>
      <c r="AN1683" s="270">
        <v>777</v>
      </c>
      <c r="BS1683" s="1">
        <v>11310</v>
      </c>
      <c r="BT1683" s="1" t="s">
        <v>50</v>
      </c>
      <c r="BX1683" s="36"/>
    </row>
    <row r="1684" spans="2:76" ht="14.25">
      <c r="B1684" s="36"/>
      <c r="C1684" s="36"/>
      <c r="D1684" s="36"/>
      <c r="E1684" s="36"/>
      <c r="F1684" s="36"/>
      <c r="G1684" s="36"/>
      <c r="H1684" s="36"/>
      <c r="J1684" s="36"/>
      <c r="L1684" s="1" t="str">
        <f t="shared" si="118"/>
        <v/>
      </c>
      <c r="M1684" s="94"/>
      <c r="N1684" s="36"/>
      <c r="O1684" s="95"/>
      <c r="P1684" s="36"/>
      <c r="AI1684" s="122">
        <v>1372</v>
      </c>
      <c r="AJ1684" s="1" t="s">
        <v>3033</v>
      </c>
      <c r="AK1684" s="1">
        <v>311079</v>
      </c>
      <c r="AL1684" s="1" t="s">
        <v>115</v>
      </c>
      <c r="AN1684" s="270">
        <v>778</v>
      </c>
      <c r="BS1684" s="1">
        <v>11311</v>
      </c>
      <c r="BT1684" s="1" t="s">
        <v>50</v>
      </c>
      <c r="BX1684" s="36"/>
    </row>
    <row r="1685" spans="2:76" ht="14.25">
      <c r="B1685" s="36"/>
      <c r="C1685" s="36"/>
      <c r="D1685" s="36"/>
      <c r="E1685" s="36"/>
      <c r="F1685" s="36"/>
      <c r="G1685" s="36"/>
      <c r="H1685" s="36"/>
      <c r="J1685" s="36"/>
      <c r="L1685" s="1" t="str">
        <f t="shared" si="118"/>
        <v/>
      </c>
      <c r="M1685" s="94"/>
      <c r="N1685" s="36"/>
      <c r="O1685" s="95"/>
      <c r="P1685" s="36"/>
      <c r="AI1685" s="122">
        <v>1373</v>
      </c>
      <c r="AJ1685" s="1" t="s">
        <v>3034</v>
      </c>
      <c r="AK1685" s="1">
        <v>311080</v>
      </c>
      <c r="AL1685" s="1" t="s">
        <v>930</v>
      </c>
      <c r="AN1685" s="270">
        <v>779</v>
      </c>
      <c r="BS1685" s="1">
        <v>11312</v>
      </c>
      <c r="BT1685" s="1" t="s">
        <v>50</v>
      </c>
      <c r="BX1685" s="36"/>
    </row>
    <row r="1686" spans="2:76" ht="14.25">
      <c r="B1686" s="36"/>
      <c r="C1686" s="36"/>
      <c r="D1686" s="36"/>
      <c r="E1686" s="36"/>
      <c r="F1686" s="36"/>
      <c r="G1686" s="36"/>
      <c r="H1686" s="36"/>
      <c r="J1686" s="36"/>
      <c r="L1686" s="1" t="str">
        <f t="shared" si="118"/>
        <v/>
      </c>
      <c r="M1686" s="94"/>
      <c r="N1686" s="36"/>
      <c r="O1686" s="95"/>
      <c r="P1686" s="36"/>
      <c r="AI1686" s="122">
        <v>1374</v>
      </c>
      <c r="AJ1686" s="1" t="s">
        <v>3035</v>
      </c>
      <c r="AK1686" s="1">
        <v>311081</v>
      </c>
      <c r="AL1686" s="1" t="s">
        <v>930</v>
      </c>
      <c r="AN1686" s="270">
        <v>780</v>
      </c>
      <c r="BS1686" s="1">
        <v>11313</v>
      </c>
      <c r="BT1686" s="1" t="s">
        <v>50</v>
      </c>
      <c r="BX1686" s="36"/>
    </row>
    <row r="1687" spans="2:76" ht="14.25">
      <c r="B1687" s="36"/>
      <c r="C1687" s="36"/>
      <c r="D1687" s="36"/>
      <c r="E1687" s="36"/>
      <c r="F1687" s="36"/>
      <c r="G1687" s="36"/>
      <c r="H1687" s="36"/>
      <c r="J1687" s="36"/>
      <c r="L1687" s="1" t="str">
        <f t="shared" si="118"/>
        <v/>
      </c>
      <c r="M1687" s="94"/>
      <c r="N1687" s="36"/>
      <c r="O1687" s="95"/>
      <c r="P1687" s="36"/>
      <c r="AI1687" s="122">
        <v>1375</v>
      </c>
      <c r="AJ1687" s="1" t="s">
        <v>3036</v>
      </c>
      <c r="AK1687" s="1">
        <v>311082</v>
      </c>
      <c r="AL1687" s="1" t="s">
        <v>115</v>
      </c>
      <c r="AN1687" s="270">
        <v>781</v>
      </c>
      <c r="BS1687" s="1">
        <v>11314</v>
      </c>
      <c r="BT1687" s="1" t="s">
        <v>50</v>
      </c>
      <c r="BX1687" s="36"/>
    </row>
    <row r="1688" spans="2:76" ht="14.25">
      <c r="B1688" s="36"/>
      <c r="C1688" s="36"/>
      <c r="D1688" s="36"/>
      <c r="E1688" s="36"/>
      <c r="F1688" s="36"/>
      <c r="G1688" s="36"/>
      <c r="H1688" s="36"/>
      <c r="J1688" s="36"/>
      <c r="L1688" s="1" t="str">
        <f t="shared" si="118"/>
        <v/>
      </c>
      <c r="M1688" s="94"/>
      <c r="N1688" s="36"/>
      <c r="O1688" s="95"/>
      <c r="P1688" s="36"/>
      <c r="AI1688" s="122">
        <v>1376</v>
      </c>
      <c r="AJ1688" s="1" t="s">
        <v>3037</v>
      </c>
      <c r="AK1688" s="1">
        <v>311083</v>
      </c>
      <c r="AL1688" s="1" t="s">
        <v>930</v>
      </c>
      <c r="AN1688" s="270">
        <v>782</v>
      </c>
      <c r="BS1688" s="1">
        <v>11315</v>
      </c>
      <c r="BT1688" s="1" t="s">
        <v>50</v>
      </c>
      <c r="BX1688" s="36"/>
    </row>
    <row r="1689" spans="2:76" ht="14.25">
      <c r="B1689" s="36"/>
      <c r="C1689" s="36"/>
      <c r="D1689" s="36"/>
      <c r="E1689" s="36"/>
      <c r="F1689" s="36"/>
      <c r="G1689" s="36"/>
      <c r="H1689" s="36"/>
      <c r="J1689" s="36"/>
      <c r="L1689" s="1" t="str">
        <f t="shared" si="118"/>
        <v/>
      </c>
      <c r="M1689" s="94"/>
      <c r="N1689" s="36"/>
      <c r="O1689" s="95"/>
      <c r="P1689" s="36"/>
      <c r="AI1689" s="122">
        <v>1377</v>
      </c>
      <c r="AJ1689" s="1" t="s">
        <v>3038</v>
      </c>
      <c r="AK1689" s="1">
        <v>311084</v>
      </c>
      <c r="AL1689" s="1" t="s">
        <v>115</v>
      </c>
      <c r="AN1689" s="270">
        <v>783</v>
      </c>
      <c r="BS1689" s="1">
        <v>11316</v>
      </c>
      <c r="BT1689" s="1" t="s">
        <v>50</v>
      </c>
      <c r="BX1689" s="36"/>
    </row>
    <row r="1690" spans="2:76" ht="14.25">
      <c r="B1690" s="36"/>
      <c r="C1690" s="36"/>
      <c r="D1690" s="36"/>
      <c r="E1690" s="36"/>
      <c r="F1690" s="36"/>
      <c r="G1690" s="36"/>
      <c r="H1690" s="36"/>
      <c r="J1690" s="36"/>
      <c r="L1690" s="1" t="str">
        <f t="shared" si="118"/>
        <v/>
      </c>
      <c r="M1690" s="94"/>
      <c r="N1690" s="36"/>
      <c r="O1690" s="95"/>
      <c r="P1690" s="36"/>
      <c r="AI1690" s="122">
        <v>1378</v>
      </c>
      <c r="AJ1690" s="1" t="s">
        <v>3039</v>
      </c>
      <c r="AK1690" s="1">
        <v>311085</v>
      </c>
      <c r="AL1690" s="1" t="s">
        <v>930</v>
      </c>
      <c r="AN1690" s="270">
        <v>784</v>
      </c>
      <c r="BS1690" s="1">
        <v>11317</v>
      </c>
      <c r="BT1690" s="1" t="s">
        <v>50</v>
      </c>
      <c r="BX1690" s="36"/>
    </row>
    <row r="1691" spans="2:76" ht="14.25">
      <c r="B1691" s="36"/>
      <c r="C1691" s="36"/>
      <c r="D1691" s="36"/>
      <c r="E1691" s="36"/>
      <c r="F1691" s="36"/>
      <c r="G1691" s="36"/>
      <c r="H1691" s="36"/>
      <c r="J1691" s="36"/>
      <c r="L1691" s="1" t="str">
        <f t="shared" si="118"/>
        <v/>
      </c>
      <c r="M1691" s="94"/>
      <c r="N1691" s="36"/>
      <c r="O1691" s="95"/>
      <c r="P1691" s="36"/>
      <c r="AI1691" s="122">
        <v>1379</v>
      </c>
      <c r="AJ1691" s="1" t="s">
        <v>3040</v>
      </c>
      <c r="AK1691" s="1">
        <v>311086</v>
      </c>
      <c r="AL1691" s="1" t="s">
        <v>115</v>
      </c>
      <c r="AN1691" s="270">
        <v>785</v>
      </c>
      <c r="BS1691" s="1">
        <v>11318</v>
      </c>
      <c r="BT1691" s="1" t="s">
        <v>50</v>
      </c>
      <c r="BX1691" s="36"/>
    </row>
    <row r="1692" spans="2:76" ht="14.25">
      <c r="B1692" s="36"/>
      <c r="C1692" s="36"/>
      <c r="D1692" s="36"/>
      <c r="E1692" s="36"/>
      <c r="F1692" s="36"/>
      <c r="G1692" s="36"/>
      <c r="H1692" s="36"/>
      <c r="J1692" s="36"/>
      <c r="L1692" s="1" t="str">
        <f t="shared" si="118"/>
        <v/>
      </c>
      <c r="M1692" s="94"/>
      <c r="N1692" s="36"/>
      <c r="O1692" s="95"/>
      <c r="P1692" s="36"/>
      <c r="AI1692" s="122">
        <v>1380</v>
      </c>
      <c r="AJ1692" s="1" t="s">
        <v>3041</v>
      </c>
      <c r="AK1692" s="1">
        <v>311087</v>
      </c>
      <c r="AL1692" s="1" t="s">
        <v>930</v>
      </c>
      <c r="AN1692" s="270">
        <v>786</v>
      </c>
      <c r="BS1692" s="1">
        <v>11319</v>
      </c>
      <c r="BT1692" s="1" t="s">
        <v>50</v>
      </c>
      <c r="BX1692" s="36"/>
    </row>
    <row r="1693" spans="2:76" ht="14.25">
      <c r="B1693" s="36"/>
      <c r="C1693" s="36"/>
      <c r="D1693" s="36"/>
      <c r="E1693" s="36"/>
      <c r="F1693" s="36"/>
      <c r="G1693" s="36"/>
      <c r="H1693" s="36"/>
      <c r="J1693" s="36"/>
      <c r="L1693" s="1" t="str">
        <f t="shared" si="118"/>
        <v/>
      </c>
      <c r="M1693" s="94"/>
      <c r="N1693" s="36"/>
      <c r="O1693" s="95"/>
      <c r="P1693" s="36"/>
      <c r="AI1693" s="122">
        <v>1381</v>
      </c>
      <c r="AJ1693" s="1" t="s">
        <v>3042</v>
      </c>
      <c r="AK1693" s="1">
        <v>311088</v>
      </c>
      <c r="AL1693" s="1" t="s">
        <v>115</v>
      </c>
      <c r="AN1693" s="270">
        <v>787</v>
      </c>
      <c r="BS1693" s="1">
        <v>11320</v>
      </c>
      <c r="BT1693" s="1" t="s">
        <v>50</v>
      </c>
      <c r="BX1693" s="36"/>
    </row>
    <row r="1694" spans="2:76" ht="14.25">
      <c r="B1694" s="36"/>
      <c r="C1694" s="36"/>
      <c r="D1694" s="36"/>
      <c r="E1694" s="36"/>
      <c r="F1694" s="36"/>
      <c r="G1694" s="36"/>
      <c r="H1694" s="36"/>
      <c r="J1694" s="36"/>
      <c r="L1694" s="1" t="str">
        <f t="shared" si="118"/>
        <v/>
      </c>
      <c r="M1694" s="94"/>
      <c r="N1694" s="36"/>
      <c r="O1694" s="95"/>
      <c r="P1694" s="36"/>
      <c r="AI1694" s="122">
        <v>1382</v>
      </c>
      <c r="AJ1694" s="1" t="s">
        <v>3043</v>
      </c>
      <c r="AK1694" s="1">
        <v>311089</v>
      </c>
      <c r="AL1694" s="1" t="s">
        <v>930</v>
      </c>
      <c r="AN1694" s="270">
        <v>788</v>
      </c>
      <c r="BS1694" s="1">
        <v>11321</v>
      </c>
      <c r="BT1694" s="1" t="s">
        <v>50</v>
      </c>
      <c r="BX1694" s="36"/>
    </row>
    <row r="1695" spans="2:76" ht="14.25">
      <c r="B1695" s="36"/>
      <c r="C1695" s="36"/>
      <c r="D1695" s="36"/>
      <c r="E1695" s="36"/>
      <c r="F1695" s="36"/>
      <c r="G1695" s="36"/>
      <c r="H1695" s="36"/>
      <c r="J1695" s="36"/>
      <c r="L1695" s="1" t="str">
        <f t="shared" si="118"/>
        <v/>
      </c>
      <c r="M1695" s="94"/>
      <c r="N1695" s="36"/>
      <c r="O1695" s="95"/>
      <c r="P1695" s="36"/>
      <c r="AI1695" s="122">
        <v>1383</v>
      </c>
      <c r="AJ1695" s="1" t="s">
        <v>3044</v>
      </c>
      <c r="AK1695" s="1">
        <v>311090</v>
      </c>
      <c r="AL1695" s="1" t="s">
        <v>930</v>
      </c>
      <c r="AN1695" s="270">
        <v>789</v>
      </c>
      <c r="BS1695" s="1">
        <v>11322</v>
      </c>
      <c r="BT1695" s="1" t="s">
        <v>50</v>
      </c>
      <c r="BX1695" s="36"/>
    </row>
    <row r="1696" spans="2:76" ht="14.25">
      <c r="B1696" s="36"/>
      <c r="C1696" s="36"/>
      <c r="D1696" s="36"/>
      <c r="E1696" s="36"/>
      <c r="F1696" s="36"/>
      <c r="G1696" s="36"/>
      <c r="H1696" s="36"/>
      <c r="J1696" s="36"/>
      <c r="L1696" s="1" t="str">
        <f t="shared" si="118"/>
        <v/>
      </c>
      <c r="M1696" s="94"/>
      <c r="N1696" s="36"/>
      <c r="O1696" s="95"/>
      <c r="P1696" s="36"/>
      <c r="AI1696" s="122">
        <v>1384</v>
      </c>
      <c r="AJ1696" s="1" t="s">
        <v>3045</v>
      </c>
      <c r="AK1696" s="1">
        <v>311091</v>
      </c>
      <c r="AL1696" s="1" t="s">
        <v>115</v>
      </c>
      <c r="AN1696" s="270">
        <v>790</v>
      </c>
      <c r="BS1696" s="1">
        <v>11323</v>
      </c>
      <c r="BT1696" s="1" t="s">
        <v>50</v>
      </c>
      <c r="BX1696" s="36"/>
    </row>
    <row r="1697" spans="2:76" ht="14.25">
      <c r="B1697" s="36"/>
      <c r="C1697" s="36"/>
      <c r="D1697" s="36"/>
      <c r="E1697" s="36"/>
      <c r="F1697" s="36"/>
      <c r="G1697" s="36"/>
      <c r="H1697" s="36"/>
      <c r="J1697" s="36"/>
      <c r="L1697" s="1" t="str">
        <f t="shared" si="118"/>
        <v/>
      </c>
      <c r="M1697" s="94"/>
      <c r="N1697" s="36"/>
      <c r="O1697" s="95"/>
      <c r="P1697" s="36"/>
      <c r="AI1697" s="122">
        <v>1385</v>
      </c>
      <c r="AJ1697" s="1" t="s">
        <v>3046</v>
      </c>
      <c r="AK1697" s="1">
        <v>311092</v>
      </c>
      <c r="AL1697" s="1" t="s">
        <v>930</v>
      </c>
      <c r="AN1697" s="270">
        <v>791</v>
      </c>
      <c r="BS1697" s="1">
        <v>11324</v>
      </c>
      <c r="BT1697" s="1" t="s">
        <v>50</v>
      </c>
      <c r="BX1697" s="36"/>
    </row>
    <row r="1698" spans="2:76" ht="14.25">
      <c r="B1698" s="36"/>
      <c r="C1698" s="36"/>
      <c r="D1698" s="36"/>
      <c r="E1698" s="36"/>
      <c r="F1698" s="36"/>
      <c r="G1698" s="36"/>
      <c r="H1698" s="36"/>
      <c r="J1698" s="36"/>
      <c r="L1698" s="1" t="str">
        <f t="shared" si="118"/>
        <v/>
      </c>
      <c r="M1698" s="94"/>
      <c r="N1698" s="36"/>
      <c r="O1698" s="95"/>
      <c r="P1698" s="36"/>
      <c r="AI1698" s="122">
        <v>1386</v>
      </c>
      <c r="AJ1698" s="1" t="s">
        <v>3047</v>
      </c>
      <c r="AK1698" s="1">
        <v>311093</v>
      </c>
      <c r="AL1698" s="1" t="s">
        <v>115</v>
      </c>
      <c r="AN1698" s="270">
        <v>792</v>
      </c>
      <c r="BS1698" s="1">
        <v>11325</v>
      </c>
      <c r="BT1698" s="1" t="s">
        <v>50</v>
      </c>
      <c r="BX1698" s="36"/>
    </row>
    <row r="1699" spans="2:76" ht="14.25">
      <c r="B1699" s="36"/>
      <c r="C1699" s="36"/>
      <c r="D1699" s="36"/>
      <c r="E1699" s="36"/>
      <c r="F1699" s="36"/>
      <c r="G1699" s="36"/>
      <c r="H1699" s="36"/>
      <c r="J1699" s="36"/>
      <c r="L1699" s="1" t="str">
        <f t="shared" si="118"/>
        <v/>
      </c>
      <c r="M1699" s="94"/>
      <c r="N1699" s="36"/>
      <c r="O1699" s="95"/>
      <c r="P1699" s="36"/>
      <c r="AI1699" s="122">
        <v>1387</v>
      </c>
      <c r="AJ1699" s="1" t="s">
        <v>3048</v>
      </c>
      <c r="AK1699" s="1">
        <v>311094</v>
      </c>
      <c r="AL1699" s="1" t="s">
        <v>930</v>
      </c>
      <c r="AN1699" s="270">
        <v>793</v>
      </c>
      <c r="BS1699" s="1">
        <v>11326</v>
      </c>
      <c r="BT1699" s="1" t="s">
        <v>50</v>
      </c>
      <c r="BX1699" s="36"/>
    </row>
    <row r="1700" spans="2:76" ht="14.25">
      <c r="B1700" s="36"/>
      <c r="C1700" s="36"/>
      <c r="D1700" s="36"/>
      <c r="E1700" s="36"/>
      <c r="F1700" s="36"/>
      <c r="G1700" s="36"/>
      <c r="H1700" s="36"/>
      <c r="J1700" s="36"/>
      <c r="L1700" s="1" t="str">
        <f t="shared" si="118"/>
        <v/>
      </c>
      <c r="M1700" s="94"/>
      <c r="N1700" s="36"/>
      <c r="O1700" s="95"/>
      <c r="P1700" s="36"/>
      <c r="AI1700" s="122">
        <v>1388</v>
      </c>
      <c r="AJ1700" s="1" t="s">
        <v>3049</v>
      </c>
      <c r="AK1700" s="1">
        <v>311095</v>
      </c>
      <c r="AL1700" s="1" t="s">
        <v>115</v>
      </c>
      <c r="AN1700" s="270">
        <v>794</v>
      </c>
      <c r="BS1700" s="1">
        <v>11327</v>
      </c>
      <c r="BT1700" s="1" t="s">
        <v>50</v>
      </c>
      <c r="BX1700" s="36"/>
    </row>
    <row r="1701" spans="2:76" ht="14.25">
      <c r="B1701" s="36"/>
      <c r="C1701" s="36"/>
      <c r="D1701" s="36"/>
      <c r="E1701" s="36"/>
      <c r="F1701" s="36"/>
      <c r="G1701" s="36"/>
      <c r="H1701" s="36"/>
      <c r="J1701" s="36"/>
      <c r="L1701" s="1" t="str">
        <f t="shared" si="118"/>
        <v/>
      </c>
      <c r="M1701" s="94"/>
      <c r="N1701" s="36"/>
      <c r="O1701" s="95"/>
      <c r="P1701" s="36"/>
      <c r="AI1701" s="122">
        <v>1389</v>
      </c>
      <c r="AJ1701" s="1" t="s">
        <v>3050</v>
      </c>
      <c r="AK1701" s="1">
        <v>311096</v>
      </c>
      <c r="AL1701" s="1" t="s">
        <v>930</v>
      </c>
      <c r="AN1701" s="270">
        <v>795</v>
      </c>
      <c r="BS1701" s="1">
        <v>11328</v>
      </c>
      <c r="BT1701" s="1" t="s">
        <v>50</v>
      </c>
      <c r="BX1701" s="36"/>
    </row>
    <row r="1702" spans="2:76" ht="14.25">
      <c r="B1702" s="36"/>
      <c r="C1702" s="36"/>
      <c r="D1702" s="36"/>
      <c r="E1702" s="36"/>
      <c r="F1702" s="36"/>
      <c r="G1702" s="36"/>
      <c r="H1702" s="36"/>
      <c r="J1702" s="36"/>
      <c r="L1702" s="1" t="str">
        <f t="shared" si="118"/>
        <v/>
      </c>
      <c r="M1702" s="94"/>
      <c r="N1702" s="36"/>
      <c r="O1702" s="95"/>
      <c r="P1702" s="36"/>
      <c r="AI1702" s="122">
        <v>1390</v>
      </c>
      <c r="AJ1702" s="1" t="s">
        <v>3051</v>
      </c>
      <c r="AK1702" s="1">
        <v>311097</v>
      </c>
      <c r="AL1702" s="1" t="s">
        <v>930</v>
      </c>
      <c r="AN1702" s="270">
        <v>796</v>
      </c>
      <c r="BS1702" s="1">
        <v>11329</v>
      </c>
      <c r="BT1702" s="1" t="s">
        <v>50</v>
      </c>
      <c r="BX1702" s="36"/>
    </row>
    <row r="1703" spans="2:76" ht="14.25">
      <c r="B1703" s="36"/>
      <c r="C1703" s="36"/>
      <c r="D1703" s="36"/>
      <c r="E1703" s="36"/>
      <c r="F1703" s="36"/>
      <c r="G1703" s="36"/>
      <c r="H1703" s="36"/>
      <c r="J1703" s="36"/>
      <c r="L1703" s="1" t="str">
        <f t="shared" si="118"/>
        <v/>
      </c>
      <c r="M1703" s="94"/>
      <c r="N1703" s="36"/>
      <c r="O1703" s="95"/>
      <c r="P1703" s="36"/>
      <c r="AI1703" s="122">
        <v>1391</v>
      </c>
      <c r="AJ1703" s="1" t="s">
        <v>3052</v>
      </c>
      <c r="AK1703" s="1">
        <v>311098</v>
      </c>
      <c r="AL1703" s="1" t="s">
        <v>115</v>
      </c>
      <c r="AN1703" s="270">
        <v>797</v>
      </c>
      <c r="BS1703" s="1">
        <v>11330</v>
      </c>
      <c r="BT1703" s="1" t="s">
        <v>50</v>
      </c>
      <c r="BX1703" s="36"/>
    </row>
    <row r="1704" spans="2:76" ht="14.25">
      <c r="B1704" s="36"/>
      <c r="C1704" s="36"/>
      <c r="D1704" s="36"/>
      <c r="E1704" s="36"/>
      <c r="F1704" s="36"/>
      <c r="G1704" s="36"/>
      <c r="H1704" s="36"/>
      <c r="J1704" s="36"/>
      <c r="L1704" s="1" t="str">
        <f t="shared" si="118"/>
        <v/>
      </c>
      <c r="M1704" s="94"/>
      <c r="N1704" s="36"/>
      <c r="O1704" s="95"/>
      <c r="P1704" s="36"/>
      <c r="AI1704" s="122">
        <v>1392</v>
      </c>
      <c r="AJ1704" s="1" t="s">
        <v>3053</v>
      </c>
      <c r="AK1704" s="1">
        <v>311099</v>
      </c>
      <c r="AL1704" s="1" t="s">
        <v>930</v>
      </c>
      <c r="AN1704" s="270">
        <v>798</v>
      </c>
      <c r="BS1704" s="1">
        <v>11331</v>
      </c>
      <c r="BT1704" s="1" t="s">
        <v>50</v>
      </c>
      <c r="BX1704" s="36"/>
    </row>
    <row r="1705" spans="2:76" ht="14.25">
      <c r="B1705" s="36"/>
      <c r="C1705" s="36"/>
      <c r="D1705" s="36"/>
      <c r="E1705" s="36"/>
      <c r="F1705" s="36"/>
      <c r="G1705" s="36"/>
      <c r="H1705" s="36"/>
      <c r="J1705" s="36"/>
      <c r="L1705" s="1" t="str">
        <f t="shared" si="118"/>
        <v/>
      </c>
      <c r="M1705" s="94"/>
      <c r="N1705" s="36"/>
      <c r="O1705" s="95"/>
      <c r="P1705" s="36"/>
      <c r="AI1705" s="122">
        <v>1393</v>
      </c>
      <c r="AJ1705" s="1" t="s">
        <v>3054</v>
      </c>
      <c r="AK1705" s="1">
        <v>311100</v>
      </c>
      <c r="AL1705" s="1" t="s">
        <v>115</v>
      </c>
      <c r="AN1705" s="270">
        <v>799</v>
      </c>
      <c r="BS1705" s="1">
        <v>11332</v>
      </c>
      <c r="BT1705" s="1" t="s">
        <v>50</v>
      </c>
      <c r="BX1705" s="36"/>
    </row>
    <row r="1706" spans="2:76" ht="14.25">
      <c r="B1706" s="36"/>
      <c r="C1706" s="36"/>
      <c r="D1706" s="36"/>
      <c r="E1706" s="36"/>
      <c r="F1706" s="36"/>
      <c r="G1706" s="36"/>
      <c r="H1706" s="36"/>
      <c r="J1706" s="36"/>
      <c r="L1706" s="1" t="str">
        <f t="shared" si="118"/>
        <v/>
      </c>
      <c r="M1706" s="94"/>
      <c r="N1706" s="36"/>
      <c r="O1706" s="95"/>
      <c r="P1706" s="36"/>
      <c r="AI1706" s="122">
        <v>1394</v>
      </c>
      <c r="AJ1706" s="1" t="s">
        <v>3055</v>
      </c>
      <c r="AK1706" s="1">
        <v>311101</v>
      </c>
      <c r="AL1706" s="1" t="s">
        <v>930</v>
      </c>
      <c r="AN1706" s="270">
        <v>800</v>
      </c>
      <c r="BS1706" s="1">
        <v>11333</v>
      </c>
      <c r="BT1706" s="1" t="s">
        <v>50</v>
      </c>
      <c r="BX1706" s="36"/>
    </row>
    <row r="1707" spans="2:76" ht="14.25">
      <c r="B1707" s="36"/>
      <c r="C1707" s="36"/>
      <c r="D1707" s="36"/>
      <c r="E1707" s="36"/>
      <c r="F1707" s="36"/>
      <c r="G1707" s="36"/>
      <c r="H1707" s="36"/>
      <c r="J1707" s="36"/>
      <c r="L1707" s="1" t="str">
        <f t="shared" si="118"/>
        <v/>
      </c>
      <c r="M1707" s="94"/>
      <c r="N1707" s="36"/>
      <c r="O1707" s="95"/>
      <c r="P1707" s="36"/>
      <c r="AI1707" s="122">
        <v>1395</v>
      </c>
      <c r="AJ1707" s="1" t="s">
        <v>3056</v>
      </c>
      <c r="AK1707" s="1">
        <v>311102</v>
      </c>
      <c r="AL1707" s="1" t="s">
        <v>115</v>
      </c>
      <c r="AN1707" s="270">
        <v>801</v>
      </c>
      <c r="BS1707" s="1">
        <v>11334</v>
      </c>
      <c r="BT1707" s="1" t="s">
        <v>50</v>
      </c>
      <c r="BX1707" s="36"/>
    </row>
    <row r="1708" spans="2:76" ht="14.25">
      <c r="B1708" s="36"/>
      <c r="C1708" s="36"/>
      <c r="D1708" s="36"/>
      <c r="E1708" s="36"/>
      <c r="F1708" s="36"/>
      <c r="G1708" s="36"/>
      <c r="H1708" s="36"/>
      <c r="J1708" s="36"/>
      <c r="L1708" s="1" t="str">
        <f t="shared" si="118"/>
        <v/>
      </c>
      <c r="M1708" s="94"/>
      <c r="N1708" s="36"/>
      <c r="O1708" s="95"/>
      <c r="P1708" s="36"/>
      <c r="AI1708" s="122">
        <v>1396</v>
      </c>
      <c r="AJ1708" s="1" t="s">
        <v>3057</v>
      </c>
      <c r="AK1708" s="1">
        <v>311103</v>
      </c>
      <c r="AL1708" s="1" t="s">
        <v>930</v>
      </c>
      <c r="AN1708" s="270">
        <v>802</v>
      </c>
      <c r="BS1708" s="1">
        <v>11335</v>
      </c>
      <c r="BT1708" s="1" t="s">
        <v>50</v>
      </c>
      <c r="BX1708" s="36"/>
    </row>
    <row r="1709" spans="2:76" ht="14.25">
      <c r="B1709" s="36"/>
      <c r="C1709" s="36"/>
      <c r="D1709" s="36"/>
      <c r="E1709" s="36"/>
      <c r="F1709" s="36"/>
      <c r="G1709" s="36"/>
      <c r="H1709" s="36"/>
      <c r="J1709" s="36"/>
      <c r="L1709" s="1" t="str">
        <f t="shared" si="118"/>
        <v/>
      </c>
      <c r="M1709" s="94"/>
      <c r="N1709" s="36"/>
      <c r="O1709" s="95"/>
      <c r="P1709" s="36"/>
      <c r="AI1709" s="122">
        <v>1397</v>
      </c>
      <c r="AJ1709" s="1" t="s">
        <v>3058</v>
      </c>
      <c r="AK1709" s="1">
        <v>311104</v>
      </c>
      <c r="AL1709" s="1" t="s">
        <v>115</v>
      </c>
      <c r="AN1709" s="270">
        <v>803</v>
      </c>
      <c r="BS1709" s="1">
        <v>11336</v>
      </c>
      <c r="BT1709" s="1" t="s">
        <v>50</v>
      </c>
      <c r="BX1709" s="36"/>
    </row>
    <row r="1710" spans="2:76" ht="14.25">
      <c r="B1710" s="36"/>
      <c r="C1710" s="36"/>
      <c r="D1710" s="36"/>
      <c r="E1710" s="36"/>
      <c r="F1710" s="36"/>
      <c r="G1710" s="36"/>
      <c r="H1710" s="36"/>
      <c r="J1710" s="36"/>
      <c r="L1710" s="1" t="str">
        <f t="shared" si="118"/>
        <v/>
      </c>
      <c r="M1710" s="94"/>
      <c r="N1710" s="36"/>
      <c r="O1710" s="95"/>
      <c r="P1710" s="36"/>
      <c r="AI1710" s="122">
        <v>1398</v>
      </c>
      <c r="AJ1710" s="1" t="s">
        <v>3059</v>
      </c>
      <c r="AK1710" s="1">
        <v>311105</v>
      </c>
      <c r="AL1710" s="1" t="s">
        <v>930</v>
      </c>
      <c r="AN1710" s="270">
        <v>804</v>
      </c>
      <c r="BS1710" s="1">
        <v>11337</v>
      </c>
      <c r="BT1710" s="1" t="s">
        <v>50</v>
      </c>
      <c r="BX1710" s="36"/>
    </row>
    <row r="1711" spans="2:76" ht="14.25">
      <c r="B1711" s="36"/>
      <c r="C1711" s="36"/>
      <c r="D1711" s="36"/>
      <c r="E1711" s="36"/>
      <c r="F1711" s="36"/>
      <c r="G1711" s="36"/>
      <c r="H1711" s="36"/>
      <c r="J1711" s="36"/>
      <c r="L1711" s="1" t="str">
        <f t="shared" si="118"/>
        <v/>
      </c>
      <c r="M1711" s="94"/>
      <c r="N1711" s="36"/>
      <c r="O1711" s="95"/>
      <c r="P1711" s="36"/>
      <c r="AI1711" s="122">
        <v>1399</v>
      </c>
      <c r="AJ1711" s="1" t="s">
        <v>3060</v>
      </c>
      <c r="AK1711" s="1">
        <v>311106</v>
      </c>
      <c r="AL1711" s="1" t="s">
        <v>930</v>
      </c>
      <c r="AN1711" s="270">
        <v>805</v>
      </c>
      <c r="BS1711" s="1">
        <v>11338</v>
      </c>
      <c r="BT1711" s="1" t="s">
        <v>50</v>
      </c>
      <c r="BX1711" s="36"/>
    </row>
    <row r="1712" spans="2:76" ht="14.25">
      <c r="B1712" s="36"/>
      <c r="C1712" s="36"/>
      <c r="D1712" s="36"/>
      <c r="E1712" s="36"/>
      <c r="F1712" s="36"/>
      <c r="G1712" s="36"/>
      <c r="H1712" s="36"/>
      <c r="J1712" s="36"/>
      <c r="L1712" s="1" t="str">
        <f t="shared" si="118"/>
        <v/>
      </c>
      <c r="M1712" s="94"/>
      <c r="N1712" s="36"/>
      <c r="O1712" s="95"/>
      <c r="P1712" s="36"/>
      <c r="AI1712" s="122">
        <v>1400</v>
      </c>
      <c r="AJ1712" s="1" t="s">
        <v>3061</v>
      </c>
      <c r="AK1712" s="1">
        <v>311107</v>
      </c>
      <c r="AL1712" s="1" t="s">
        <v>115</v>
      </c>
      <c r="AN1712" s="270">
        <v>806</v>
      </c>
      <c r="BS1712" s="1">
        <v>11339</v>
      </c>
      <c r="BT1712" s="1" t="s">
        <v>50</v>
      </c>
      <c r="BX1712" s="36"/>
    </row>
    <row r="1713" spans="2:76" ht="14.25">
      <c r="B1713" s="36"/>
      <c r="C1713" s="36"/>
      <c r="D1713" s="36"/>
      <c r="E1713" s="36"/>
      <c r="F1713" s="36"/>
      <c r="G1713" s="36"/>
      <c r="H1713" s="36"/>
      <c r="J1713" s="36"/>
      <c r="L1713" s="1" t="str">
        <f t="shared" si="118"/>
        <v/>
      </c>
      <c r="M1713" s="94"/>
      <c r="N1713" s="36"/>
      <c r="O1713" s="95"/>
      <c r="P1713" s="36"/>
      <c r="AI1713" s="122">
        <v>1401</v>
      </c>
      <c r="AJ1713" s="1" t="s">
        <v>3062</v>
      </c>
      <c r="AK1713" s="1">
        <v>311108</v>
      </c>
      <c r="AL1713" s="1" t="s">
        <v>930</v>
      </c>
      <c r="AN1713" s="270">
        <v>807</v>
      </c>
      <c r="BS1713" s="1">
        <v>11340</v>
      </c>
      <c r="BT1713" s="1" t="s">
        <v>50</v>
      </c>
      <c r="BX1713" s="36"/>
    </row>
    <row r="1714" spans="2:76" ht="14.25">
      <c r="B1714" s="36"/>
      <c r="C1714" s="36"/>
      <c r="D1714" s="36"/>
      <c r="E1714" s="36"/>
      <c r="F1714" s="36"/>
      <c r="G1714" s="36"/>
      <c r="H1714" s="36"/>
      <c r="J1714" s="36"/>
      <c r="L1714" s="1" t="str">
        <f t="shared" si="118"/>
        <v/>
      </c>
      <c r="M1714" s="94"/>
      <c r="N1714" s="36"/>
      <c r="O1714" s="95"/>
      <c r="P1714" s="36"/>
      <c r="AI1714" s="122">
        <v>1402</v>
      </c>
      <c r="AJ1714" s="1" t="s">
        <v>3063</v>
      </c>
      <c r="AK1714" s="1">
        <v>311109</v>
      </c>
      <c r="AL1714" s="1" t="s">
        <v>115</v>
      </c>
      <c r="AN1714" s="270">
        <v>808</v>
      </c>
      <c r="BS1714" s="1">
        <v>11341</v>
      </c>
      <c r="BT1714" s="1" t="s">
        <v>50</v>
      </c>
      <c r="BX1714" s="36"/>
    </row>
    <row r="1715" spans="2:76" ht="14.25">
      <c r="B1715" s="36"/>
      <c r="C1715" s="36"/>
      <c r="D1715" s="36"/>
      <c r="E1715" s="36"/>
      <c r="F1715" s="36"/>
      <c r="G1715" s="36"/>
      <c r="H1715" s="36"/>
      <c r="J1715" s="36"/>
      <c r="L1715" s="1" t="str">
        <f t="shared" si="118"/>
        <v/>
      </c>
      <c r="M1715" s="94"/>
      <c r="N1715" s="36"/>
      <c r="O1715" s="95"/>
      <c r="P1715" s="36"/>
      <c r="AI1715" s="122">
        <v>1403</v>
      </c>
      <c r="AJ1715" s="1" t="s">
        <v>3064</v>
      </c>
      <c r="AK1715" s="1">
        <v>311110</v>
      </c>
      <c r="AL1715" s="1" t="s">
        <v>930</v>
      </c>
      <c r="AN1715" s="270">
        <v>809</v>
      </c>
      <c r="BS1715" s="1">
        <v>11342</v>
      </c>
      <c r="BT1715" s="1" t="s">
        <v>50</v>
      </c>
      <c r="BX1715" s="36"/>
    </row>
    <row r="1716" spans="2:76" ht="14.25">
      <c r="B1716" s="36"/>
      <c r="C1716" s="36"/>
      <c r="D1716" s="36"/>
      <c r="E1716" s="36"/>
      <c r="F1716" s="36"/>
      <c r="G1716" s="36"/>
      <c r="H1716" s="36"/>
      <c r="J1716" s="36"/>
      <c r="L1716" s="1" t="str">
        <f t="shared" si="118"/>
        <v/>
      </c>
      <c r="M1716" s="94"/>
      <c r="N1716" s="36"/>
      <c r="O1716" s="95"/>
      <c r="P1716" s="36"/>
      <c r="AI1716" s="122">
        <v>1404</v>
      </c>
      <c r="AJ1716" s="1" t="s">
        <v>3065</v>
      </c>
      <c r="AK1716" s="1">
        <v>311111</v>
      </c>
      <c r="AL1716" s="1" t="s">
        <v>115</v>
      </c>
      <c r="AN1716" s="270">
        <v>810</v>
      </c>
      <c r="BS1716" s="1">
        <v>11343</v>
      </c>
      <c r="BT1716" s="1" t="s">
        <v>50</v>
      </c>
      <c r="BX1716" s="36"/>
    </row>
    <row r="1717" spans="2:76" ht="14.25">
      <c r="B1717" s="36"/>
      <c r="C1717" s="36"/>
      <c r="D1717" s="36"/>
      <c r="E1717" s="36"/>
      <c r="F1717" s="36"/>
      <c r="G1717" s="36"/>
      <c r="H1717" s="36"/>
      <c r="J1717" s="36"/>
      <c r="L1717" s="1" t="str">
        <f t="shared" si="118"/>
        <v/>
      </c>
      <c r="M1717" s="94"/>
      <c r="N1717" s="36"/>
      <c r="O1717" s="95"/>
      <c r="P1717" s="36"/>
      <c r="AI1717" s="122">
        <v>1405</v>
      </c>
      <c r="AJ1717" s="1" t="s">
        <v>3066</v>
      </c>
      <c r="AK1717" s="1">
        <v>311112</v>
      </c>
      <c r="AL1717" s="1" t="s">
        <v>930</v>
      </c>
      <c r="AN1717" s="270">
        <v>811</v>
      </c>
      <c r="BS1717" s="1">
        <v>11344</v>
      </c>
      <c r="BT1717" s="1" t="s">
        <v>50</v>
      </c>
      <c r="BX1717" s="36"/>
    </row>
    <row r="1718" spans="2:76" ht="14.25">
      <c r="B1718" s="36"/>
      <c r="C1718" s="36"/>
      <c r="D1718" s="36"/>
      <c r="E1718" s="36"/>
      <c r="F1718" s="36"/>
      <c r="G1718" s="36"/>
      <c r="H1718" s="36"/>
      <c r="J1718" s="36"/>
      <c r="L1718" s="1" t="str">
        <f t="shared" si="118"/>
        <v/>
      </c>
      <c r="M1718" s="94"/>
      <c r="N1718" s="36"/>
      <c r="O1718" s="95"/>
      <c r="P1718" s="36"/>
      <c r="AI1718" s="122">
        <v>1406</v>
      </c>
      <c r="AJ1718" s="1" t="s">
        <v>3067</v>
      </c>
      <c r="AK1718" s="1">
        <v>311113</v>
      </c>
      <c r="AL1718" s="1" t="s">
        <v>115</v>
      </c>
      <c r="AN1718" s="270">
        <v>812</v>
      </c>
      <c r="BS1718" s="1">
        <v>11345</v>
      </c>
      <c r="BT1718" s="1" t="s">
        <v>50</v>
      </c>
      <c r="BX1718" s="36"/>
    </row>
    <row r="1719" spans="2:76" ht="14.25">
      <c r="B1719" s="36"/>
      <c r="C1719" s="36"/>
      <c r="D1719" s="36"/>
      <c r="E1719" s="36"/>
      <c r="F1719" s="36"/>
      <c r="G1719" s="36"/>
      <c r="H1719" s="36"/>
      <c r="J1719" s="36"/>
      <c r="L1719" s="1" t="str">
        <f t="shared" si="118"/>
        <v/>
      </c>
      <c r="M1719" s="94"/>
      <c r="N1719" s="36"/>
      <c r="O1719" s="95"/>
      <c r="P1719" s="36"/>
      <c r="AI1719" s="122">
        <v>1407</v>
      </c>
      <c r="AJ1719" s="1" t="s">
        <v>3068</v>
      </c>
      <c r="AK1719" s="1">
        <v>311114</v>
      </c>
      <c r="AL1719" s="1" t="s">
        <v>930</v>
      </c>
      <c r="AN1719" s="270">
        <v>813</v>
      </c>
      <c r="BS1719" s="1">
        <v>11346</v>
      </c>
      <c r="BT1719" s="1" t="s">
        <v>50</v>
      </c>
      <c r="BX1719" s="36"/>
    </row>
    <row r="1720" spans="2:76" ht="14.25">
      <c r="B1720" s="36"/>
      <c r="C1720" s="36"/>
      <c r="D1720" s="36"/>
      <c r="E1720" s="36"/>
      <c r="F1720" s="36"/>
      <c r="G1720" s="36"/>
      <c r="H1720" s="36"/>
      <c r="J1720" s="36"/>
      <c r="L1720" s="1" t="str">
        <f t="shared" si="118"/>
        <v/>
      </c>
      <c r="M1720" s="94"/>
      <c r="N1720" s="36"/>
      <c r="O1720" s="95"/>
      <c r="P1720" s="36"/>
      <c r="AI1720" s="122">
        <v>1408</v>
      </c>
      <c r="AJ1720" s="1" t="s">
        <v>3069</v>
      </c>
      <c r="AK1720" s="1">
        <v>311115</v>
      </c>
      <c r="AL1720" s="1" t="s">
        <v>930</v>
      </c>
      <c r="AN1720" s="270">
        <v>814</v>
      </c>
      <c r="BS1720" s="1">
        <v>11347</v>
      </c>
      <c r="BT1720" s="1" t="s">
        <v>130</v>
      </c>
      <c r="BX1720" s="36"/>
    </row>
    <row r="1721" spans="2:76" ht="14.25">
      <c r="B1721" s="36"/>
      <c r="C1721" s="36"/>
      <c r="D1721" s="36"/>
      <c r="E1721" s="36"/>
      <c r="F1721" s="36"/>
      <c r="G1721" s="36"/>
      <c r="H1721" s="36"/>
      <c r="J1721" s="36"/>
      <c r="L1721" s="1" t="str">
        <f t="shared" si="118"/>
        <v/>
      </c>
      <c r="M1721" s="94"/>
      <c r="N1721" s="36"/>
      <c r="O1721" s="95"/>
      <c r="P1721" s="36"/>
      <c r="AI1721" s="122">
        <v>1409</v>
      </c>
      <c r="AJ1721" s="1" t="s">
        <v>3070</v>
      </c>
      <c r="AK1721" s="1">
        <v>311116</v>
      </c>
      <c r="AL1721" s="1" t="s">
        <v>115</v>
      </c>
      <c r="AN1721" s="270">
        <v>815</v>
      </c>
      <c r="BS1721" s="1">
        <v>11348</v>
      </c>
      <c r="BT1721" s="1" t="s">
        <v>130</v>
      </c>
      <c r="BX1721" s="36"/>
    </row>
    <row r="1722" spans="2:76" ht="14.25">
      <c r="B1722" s="36"/>
      <c r="C1722" s="36"/>
      <c r="D1722" s="36"/>
      <c r="E1722" s="36"/>
      <c r="F1722" s="36"/>
      <c r="G1722" s="36"/>
      <c r="H1722" s="36"/>
      <c r="J1722" s="36"/>
      <c r="L1722" s="1" t="str">
        <f t="shared" si="118"/>
        <v/>
      </c>
      <c r="M1722" s="94"/>
      <c r="N1722" s="36"/>
      <c r="O1722" s="95"/>
      <c r="P1722" s="36"/>
      <c r="AI1722" s="122">
        <v>1410</v>
      </c>
      <c r="AJ1722" s="1" t="s">
        <v>3071</v>
      </c>
      <c r="AK1722" s="1">
        <v>311117</v>
      </c>
      <c r="AL1722" s="1" t="s">
        <v>930</v>
      </c>
      <c r="AN1722" s="270">
        <v>816</v>
      </c>
      <c r="BS1722" s="1">
        <v>11349</v>
      </c>
      <c r="BT1722" s="1" t="s">
        <v>130</v>
      </c>
      <c r="BX1722" s="36"/>
    </row>
    <row r="1723" spans="2:76" ht="14.25">
      <c r="B1723" s="36"/>
      <c r="C1723" s="36"/>
      <c r="D1723" s="36"/>
      <c r="E1723" s="36"/>
      <c r="F1723" s="36"/>
      <c r="G1723" s="36"/>
      <c r="H1723" s="36"/>
      <c r="J1723" s="36"/>
      <c r="L1723" s="1" t="str">
        <f t="shared" si="118"/>
        <v/>
      </c>
      <c r="M1723" s="94"/>
      <c r="N1723" s="36"/>
      <c r="O1723" s="95"/>
      <c r="P1723" s="36"/>
      <c r="AI1723" s="122">
        <v>1411</v>
      </c>
      <c r="AJ1723" s="1" t="s">
        <v>3072</v>
      </c>
      <c r="AK1723" s="1">
        <v>311118</v>
      </c>
      <c r="AL1723" s="1" t="s">
        <v>115</v>
      </c>
      <c r="AN1723" s="270">
        <v>817</v>
      </c>
      <c r="BS1723" s="1">
        <v>11350</v>
      </c>
      <c r="BT1723" s="1" t="s">
        <v>130</v>
      </c>
      <c r="BX1723" s="36"/>
    </row>
    <row r="1724" spans="2:76" ht="14.25">
      <c r="B1724" s="36"/>
      <c r="C1724" s="36"/>
      <c r="D1724" s="36"/>
      <c r="E1724" s="36"/>
      <c r="F1724" s="36"/>
      <c r="G1724" s="36"/>
      <c r="H1724" s="36"/>
      <c r="J1724" s="36"/>
      <c r="L1724" s="1" t="str">
        <f t="shared" si="118"/>
        <v/>
      </c>
      <c r="M1724" s="94"/>
      <c r="N1724" s="36"/>
      <c r="O1724" s="95"/>
      <c r="P1724" s="36"/>
      <c r="AI1724" s="122">
        <v>1412</v>
      </c>
      <c r="AJ1724" s="1" t="s">
        <v>3073</v>
      </c>
      <c r="AK1724" s="1">
        <v>311119</v>
      </c>
      <c r="AL1724" s="1" t="s">
        <v>930</v>
      </c>
      <c r="AN1724" s="270">
        <v>818</v>
      </c>
      <c r="BS1724" s="1">
        <v>11351</v>
      </c>
      <c r="BT1724" s="1" t="s">
        <v>130</v>
      </c>
      <c r="BX1724" s="36"/>
    </row>
    <row r="1725" spans="2:76" ht="14.25">
      <c r="B1725" s="36"/>
      <c r="C1725" s="36"/>
      <c r="D1725" s="36"/>
      <c r="E1725" s="36"/>
      <c r="F1725" s="36"/>
      <c r="G1725" s="36"/>
      <c r="H1725" s="36"/>
      <c r="J1725" s="36"/>
      <c r="L1725" s="1" t="str">
        <f t="shared" si="118"/>
        <v/>
      </c>
      <c r="M1725" s="94"/>
      <c r="N1725" s="36"/>
      <c r="O1725" s="95"/>
      <c r="P1725" s="36"/>
      <c r="AI1725" s="122">
        <v>1413</v>
      </c>
      <c r="AJ1725" s="1" t="s">
        <v>3074</v>
      </c>
      <c r="AK1725" s="1">
        <v>311120</v>
      </c>
      <c r="AL1725" s="1" t="s">
        <v>115</v>
      </c>
      <c r="AN1725" s="270">
        <v>819</v>
      </c>
      <c r="BS1725" s="1">
        <v>11352</v>
      </c>
      <c r="BT1725" s="1" t="s">
        <v>130</v>
      </c>
      <c r="BX1725" s="36"/>
    </row>
    <row r="1726" spans="2:76" ht="14.25">
      <c r="B1726" s="36"/>
      <c r="C1726" s="36"/>
      <c r="D1726" s="36"/>
      <c r="E1726" s="36"/>
      <c r="F1726" s="36"/>
      <c r="G1726" s="36"/>
      <c r="H1726" s="36"/>
      <c r="J1726" s="36"/>
      <c r="L1726" s="1" t="str">
        <f t="shared" si="118"/>
        <v/>
      </c>
      <c r="M1726" s="94"/>
      <c r="N1726" s="36"/>
      <c r="O1726" s="95"/>
      <c r="P1726" s="36"/>
      <c r="AI1726" s="122">
        <v>1414</v>
      </c>
      <c r="AJ1726" s="1" t="s">
        <v>3075</v>
      </c>
      <c r="AK1726" s="1">
        <v>311121</v>
      </c>
      <c r="AL1726" s="1" t="s">
        <v>930</v>
      </c>
      <c r="AN1726" s="270">
        <v>820</v>
      </c>
      <c r="BS1726" s="1">
        <v>11353</v>
      </c>
      <c r="BT1726" s="1" t="s">
        <v>48</v>
      </c>
      <c r="BX1726" s="36"/>
    </row>
    <row r="1727" spans="2:76" ht="14.25">
      <c r="B1727" s="36"/>
      <c r="C1727" s="36"/>
      <c r="D1727" s="36"/>
      <c r="E1727" s="36"/>
      <c r="F1727" s="36"/>
      <c r="G1727" s="36"/>
      <c r="H1727" s="36"/>
      <c r="J1727" s="36"/>
      <c r="L1727" s="1" t="str">
        <f t="shared" si="118"/>
        <v/>
      </c>
      <c r="M1727" s="94"/>
      <c r="N1727" s="36"/>
      <c r="O1727" s="95"/>
      <c r="P1727" s="36"/>
      <c r="AI1727" s="122">
        <v>1415</v>
      </c>
      <c r="AJ1727" s="1" t="s">
        <v>3076</v>
      </c>
      <c r="AK1727" s="1">
        <v>311122</v>
      </c>
      <c r="AL1727" s="1" t="s">
        <v>930</v>
      </c>
      <c r="AN1727" s="270">
        <v>821</v>
      </c>
      <c r="BS1727" s="1">
        <v>11354</v>
      </c>
      <c r="BT1727" s="1" t="s">
        <v>48</v>
      </c>
      <c r="BX1727" s="36"/>
    </row>
    <row r="1728" spans="2:76" ht="14.25">
      <c r="B1728" s="36"/>
      <c r="C1728" s="36"/>
      <c r="D1728" s="36"/>
      <c r="E1728" s="36"/>
      <c r="F1728" s="36"/>
      <c r="G1728" s="36"/>
      <c r="H1728" s="36"/>
      <c r="J1728" s="36"/>
      <c r="L1728" s="1" t="str">
        <f t="shared" si="118"/>
        <v/>
      </c>
      <c r="M1728" s="94"/>
      <c r="N1728" s="36"/>
      <c r="O1728" s="95"/>
      <c r="P1728" s="36"/>
      <c r="AI1728" s="122">
        <v>1416</v>
      </c>
      <c r="AJ1728" s="1" t="s">
        <v>3077</v>
      </c>
      <c r="AK1728" s="1">
        <v>311123</v>
      </c>
      <c r="AL1728" s="1" t="s">
        <v>115</v>
      </c>
      <c r="AN1728" s="270">
        <v>822</v>
      </c>
      <c r="BS1728" s="1">
        <v>11355</v>
      </c>
      <c r="BT1728" s="1" t="s">
        <v>48</v>
      </c>
      <c r="BX1728" s="36"/>
    </row>
    <row r="1729" spans="2:76" ht="14.25">
      <c r="B1729" s="36"/>
      <c r="C1729" s="36"/>
      <c r="D1729" s="36"/>
      <c r="E1729" s="36"/>
      <c r="F1729" s="36"/>
      <c r="G1729" s="36"/>
      <c r="H1729" s="36"/>
      <c r="J1729" s="36"/>
      <c r="L1729" s="1" t="str">
        <f t="shared" si="118"/>
        <v/>
      </c>
      <c r="M1729" s="94"/>
      <c r="N1729" s="36"/>
      <c r="O1729" s="95"/>
      <c r="P1729" s="36"/>
      <c r="AI1729" s="122">
        <v>1417</v>
      </c>
      <c r="AJ1729" s="1" t="s">
        <v>3078</v>
      </c>
      <c r="AK1729" s="1">
        <v>311124</v>
      </c>
      <c r="AL1729" s="1" t="s">
        <v>930</v>
      </c>
      <c r="AN1729" s="270">
        <v>823</v>
      </c>
      <c r="BS1729" s="1">
        <v>11356</v>
      </c>
      <c r="BT1729" s="1" t="s">
        <v>48</v>
      </c>
      <c r="BX1729" s="36"/>
    </row>
    <row r="1730" spans="2:76" ht="14.25">
      <c r="B1730" s="36"/>
      <c r="C1730" s="36"/>
      <c r="D1730" s="36"/>
      <c r="E1730" s="36"/>
      <c r="F1730" s="36"/>
      <c r="G1730" s="36"/>
      <c r="H1730" s="36"/>
      <c r="J1730" s="36"/>
      <c r="L1730" s="1" t="str">
        <f t="shared" si="118"/>
        <v/>
      </c>
      <c r="M1730" s="94"/>
      <c r="N1730" s="36"/>
      <c r="O1730" s="95"/>
      <c r="P1730" s="36"/>
      <c r="AI1730" s="122">
        <v>1418</v>
      </c>
      <c r="AJ1730" s="1" t="s">
        <v>3079</v>
      </c>
      <c r="AK1730" s="1">
        <v>311125</v>
      </c>
      <c r="AL1730" s="1" t="s">
        <v>115</v>
      </c>
      <c r="AN1730" s="270">
        <v>824</v>
      </c>
      <c r="BS1730" s="1">
        <v>11357</v>
      </c>
      <c r="BT1730" s="1" t="s">
        <v>48</v>
      </c>
      <c r="BX1730" s="36"/>
    </row>
    <row r="1731" spans="2:76" ht="14.25">
      <c r="B1731" s="36"/>
      <c r="C1731" s="36"/>
      <c r="D1731" s="36"/>
      <c r="E1731" s="36"/>
      <c r="F1731" s="36"/>
      <c r="G1731" s="36"/>
      <c r="H1731" s="36"/>
      <c r="J1731" s="36"/>
      <c r="L1731" s="1" t="str">
        <f t="shared" si="118"/>
        <v/>
      </c>
      <c r="M1731" s="94"/>
      <c r="N1731" s="36"/>
      <c r="O1731" s="95"/>
      <c r="P1731" s="36"/>
      <c r="AI1731" s="122">
        <v>1419</v>
      </c>
      <c r="AJ1731" s="1" t="s">
        <v>3080</v>
      </c>
      <c r="AK1731" s="1">
        <v>311126</v>
      </c>
      <c r="AL1731" s="1" t="s">
        <v>930</v>
      </c>
      <c r="AN1731" s="270">
        <v>825</v>
      </c>
      <c r="BS1731" s="1">
        <v>11358</v>
      </c>
      <c r="BT1731" s="1" t="s">
        <v>48</v>
      </c>
      <c r="BX1731" s="36"/>
    </row>
    <row r="1732" spans="2:76" ht="14.25">
      <c r="B1732" s="36"/>
      <c r="C1732" s="36"/>
      <c r="D1732" s="36"/>
      <c r="E1732" s="36"/>
      <c r="F1732" s="36"/>
      <c r="G1732" s="36"/>
      <c r="H1732" s="36"/>
      <c r="J1732" s="36"/>
      <c r="L1732" s="1" t="str">
        <f t="shared" ref="L1732:L1795" si="119">IF(AND(MIN(I:I)&lt;20,MAX(I:I)&gt;980,I1732&lt;20),I1732,"")</f>
        <v/>
      </c>
      <c r="M1732" s="94"/>
      <c r="N1732" s="36"/>
      <c r="O1732" s="95"/>
      <c r="P1732" s="36"/>
      <c r="AI1732" s="122">
        <v>1420</v>
      </c>
      <c r="AJ1732" s="1" t="s">
        <v>3081</v>
      </c>
      <c r="AK1732" s="1">
        <v>311127</v>
      </c>
      <c r="AL1732" s="1" t="s">
        <v>115</v>
      </c>
      <c r="AN1732" s="270">
        <v>826</v>
      </c>
      <c r="BS1732" s="1">
        <v>11359</v>
      </c>
      <c r="BT1732" s="1" t="s">
        <v>48</v>
      </c>
      <c r="BX1732" s="36"/>
    </row>
    <row r="1733" spans="2:76" ht="14.25">
      <c r="B1733" s="36"/>
      <c r="C1733" s="36"/>
      <c r="D1733" s="36"/>
      <c r="E1733" s="36"/>
      <c r="F1733" s="36"/>
      <c r="G1733" s="36"/>
      <c r="H1733" s="36"/>
      <c r="J1733" s="36"/>
      <c r="L1733" s="1" t="str">
        <f t="shared" si="119"/>
        <v/>
      </c>
      <c r="M1733" s="94"/>
      <c r="N1733" s="36"/>
      <c r="O1733" s="95"/>
      <c r="P1733" s="36"/>
      <c r="AI1733" s="122">
        <v>1421</v>
      </c>
      <c r="AJ1733" s="1" t="s">
        <v>3082</v>
      </c>
      <c r="AK1733" s="1">
        <v>311128</v>
      </c>
      <c r="AL1733" s="1" t="s">
        <v>930</v>
      </c>
      <c r="AN1733" s="270">
        <v>827</v>
      </c>
      <c r="BS1733" s="1">
        <v>11360</v>
      </c>
      <c r="BT1733" s="1" t="s">
        <v>48</v>
      </c>
      <c r="BX1733" s="36"/>
    </row>
    <row r="1734" spans="2:76" ht="14.25">
      <c r="B1734" s="36"/>
      <c r="C1734" s="36"/>
      <c r="D1734" s="36"/>
      <c r="E1734" s="36"/>
      <c r="F1734" s="36"/>
      <c r="G1734" s="36"/>
      <c r="H1734" s="36"/>
      <c r="J1734" s="36"/>
      <c r="L1734" s="1" t="str">
        <f t="shared" si="119"/>
        <v/>
      </c>
      <c r="M1734" s="94"/>
      <c r="N1734" s="36"/>
      <c r="O1734" s="95"/>
      <c r="P1734" s="36"/>
      <c r="AI1734" s="122">
        <v>1422</v>
      </c>
      <c r="AJ1734" s="1" t="s">
        <v>3083</v>
      </c>
      <c r="AK1734" s="1">
        <v>311129</v>
      </c>
      <c r="AL1734" s="1" t="s">
        <v>115</v>
      </c>
      <c r="AN1734" s="270">
        <v>828</v>
      </c>
      <c r="BS1734" s="1">
        <v>11361</v>
      </c>
      <c r="BT1734" s="1" t="s">
        <v>48</v>
      </c>
      <c r="BX1734" s="36"/>
    </row>
    <row r="1735" spans="2:76" ht="14.25">
      <c r="B1735" s="36"/>
      <c r="C1735" s="36"/>
      <c r="D1735" s="36"/>
      <c r="E1735" s="36"/>
      <c r="F1735" s="36"/>
      <c r="G1735" s="36"/>
      <c r="H1735" s="36"/>
      <c r="J1735" s="36"/>
      <c r="L1735" s="1" t="str">
        <f t="shared" si="119"/>
        <v/>
      </c>
      <c r="M1735" s="94"/>
      <c r="N1735" s="36"/>
      <c r="O1735" s="95"/>
      <c r="P1735" s="36"/>
      <c r="AI1735" s="122">
        <v>1423</v>
      </c>
      <c r="AJ1735" s="1" t="s">
        <v>3084</v>
      </c>
      <c r="AK1735" s="1">
        <v>311130</v>
      </c>
      <c r="AL1735" s="1" t="s">
        <v>930</v>
      </c>
      <c r="AN1735" s="270">
        <v>829</v>
      </c>
      <c r="BS1735" s="1">
        <v>11362</v>
      </c>
      <c r="BT1735" s="1" t="s">
        <v>48</v>
      </c>
      <c r="BX1735" s="36"/>
    </row>
    <row r="1736" spans="2:76" ht="14.25">
      <c r="B1736" s="36"/>
      <c r="C1736" s="36"/>
      <c r="D1736" s="36"/>
      <c r="E1736" s="36"/>
      <c r="F1736" s="36"/>
      <c r="G1736" s="36"/>
      <c r="H1736" s="36"/>
      <c r="J1736" s="36"/>
      <c r="L1736" s="1" t="str">
        <f t="shared" si="119"/>
        <v/>
      </c>
      <c r="M1736" s="94"/>
      <c r="N1736" s="36"/>
      <c r="O1736" s="95"/>
      <c r="P1736" s="36"/>
      <c r="AI1736" s="122">
        <v>1424</v>
      </c>
      <c r="AJ1736" s="1" t="s">
        <v>3085</v>
      </c>
      <c r="AK1736" s="1">
        <v>311131</v>
      </c>
      <c r="AL1736" s="1" t="s">
        <v>930</v>
      </c>
      <c r="AN1736" s="270">
        <v>830</v>
      </c>
      <c r="BS1736" s="1">
        <v>11363</v>
      </c>
      <c r="BT1736" s="1" t="s">
        <v>48</v>
      </c>
      <c r="BX1736" s="36"/>
    </row>
    <row r="1737" spans="2:76" ht="14.25">
      <c r="B1737" s="36"/>
      <c r="C1737" s="36"/>
      <c r="D1737" s="36"/>
      <c r="E1737" s="36"/>
      <c r="F1737" s="36"/>
      <c r="G1737" s="36"/>
      <c r="H1737" s="36"/>
      <c r="J1737" s="36"/>
      <c r="L1737" s="1" t="str">
        <f t="shared" si="119"/>
        <v/>
      </c>
      <c r="M1737" s="94"/>
      <c r="N1737" s="36"/>
      <c r="O1737" s="95"/>
      <c r="P1737" s="36"/>
      <c r="AI1737" s="122">
        <v>1425</v>
      </c>
      <c r="AJ1737" s="1" t="s">
        <v>3086</v>
      </c>
      <c r="AK1737" s="1">
        <v>311132</v>
      </c>
      <c r="AL1737" s="1" t="s">
        <v>115</v>
      </c>
      <c r="AN1737" s="270">
        <v>831</v>
      </c>
      <c r="BS1737" s="1">
        <v>11364</v>
      </c>
      <c r="BT1737" s="1" t="s">
        <v>48</v>
      </c>
      <c r="BX1737" s="36"/>
    </row>
    <row r="1738" spans="2:76" ht="14.25">
      <c r="B1738" s="36"/>
      <c r="C1738" s="36"/>
      <c r="D1738" s="36"/>
      <c r="E1738" s="36"/>
      <c r="F1738" s="36"/>
      <c r="G1738" s="36"/>
      <c r="H1738" s="36"/>
      <c r="J1738" s="36"/>
      <c r="L1738" s="1" t="str">
        <f t="shared" si="119"/>
        <v/>
      </c>
      <c r="M1738" s="94"/>
      <c r="N1738" s="36"/>
      <c r="O1738" s="95"/>
      <c r="P1738" s="36"/>
      <c r="AI1738" s="122">
        <v>1426</v>
      </c>
      <c r="AJ1738" s="1" t="s">
        <v>3087</v>
      </c>
      <c r="AK1738" s="1">
        <v>311133</v>
      </c>
      <c r="AL1738" s="1" t="s">
        <v>930</v>
      </c>
      <c r="AN1738" s="270">
        <v>832</v>
      </c>
      <c r="BS1738" s="1">
        <v>11365</v>
      </c>
      <c r="BT1738" s="1" t="s">
        <v>48</v>
      </c>
      <c r="BX1738" s="36"/>
    </row>
    <row r="1739" spans="2:76" ht="14.25">
      <c r="B1739" s="36"/>
      <c r="C1739" s="36"/>
      <c r="D1739" s="36"/>
      <c r="E1739" s="36"/>
      <c r="F1739" s="36"/>
      <c r="G1739" s="36"/>
      <c r="H1739" s="36"/>
      <c r="J1739" s="36"/>
      <c r="L1739" s="1" t="str">
        <f t="shared" si="119"/>
        <v/>
      </c>
      <c r="M1739" s="94"/>
      <c r="N1739" s="36"/>
      <c r="O1739" s="95"/>
      <c r="P1739" s="36"/>
      <c r="AI1739" s="122">
        <v>1427</v>
      </c>
      <c r="AJ1739" s="1" t="s">
        <v>3088</v>
      </c>
      <c r="AK1739" s="1">
        <v>311134</v>
      </c>
      <c r="AL1739" s="1" t="s">
        <v>115</v>
      </c>
      <c r="AN1739" s="270">
        <v>833</v>
      </c>
      <c r="BS1739" s="1">
        <v>11366</v>
      </c>
      <c r="BT1739" s="1" t="s">
        <v>48</v>
      </c>
      <c r="BX1739" s="36"/>
    </row>
    <row r="1740" spans="2:76" ht="14.25">
      <c r="B1740" s="36"/>
      <c r="C1740" s="36"/>
      <c r="D1740" s="36"/>
      <c r="E1740" s="36"/>
      <c r="F1740" s="36"/>
      <c r="G1740" s="36"/>
      <c r="H1740" s="36"/>
      <c r="J1740" s="36"/>
      <c r="L1740" s="1" t="str">
        <f t="shared" si="119"/>
        <v/>
      </c>
      <c r="M1740" s="94"/>
      <c r="N1740" s="36"/>
      <c r="O1740" s="95"/>
      <c r="P1740" s="36"/>
      <c r="AI1740" s="122">
        <v>1428</v>
      </c>
      <c r="AJ1740" s="1" t="s">
        <v>3089</v>
      </c>
      <c r="AK1740" s="1">
        <v>311135</v>
      </c>
      <c r="AL1740" s="1" t="s">
        <v>930</v>
      </c>
      <c r="AN1740" s="270">
        <v>834</v>
      </c>
      <c r="BS1740" s="1">
        <v>11367</v>
      </c>
      <c r="BT1740" s="1" t="s">
        <v>48</v>
      </c>
      <c r="BX1740" s="36"/>
    </row>
    <row r="1741" spans="2:76" ht="14.25">
      <c r="B1741" s="36"/>
      <c r="C1741" s="36"/>
      <c r="D1741" s="36"/>
      <c r="E1741" s="36"/>
      <c r="F1741" s="36"/>
      <c r="G1741" s="36"/>
      <c r="H1741" s="36"/>
      <c r="J1741" s="36"/>
      <c r="L1741" s="1" t="str">
        <f t="shared" si="119"/>
        <v/>
      </c>
      <c r="M1741" s="94"/>
      <c r="N1741" s="36"/>
      <c r="O1741" s="95"/>
      <c r="P1741" s="36"/>
      <c r="AI1741" s="122">
        <v>1429</v>
      </c>
      <c r="AJ1741" s="1" t="s">
        <v>3090</v>
      </c>
      <c r="AK1741" s="1">
        <v>311136</v>
      </c>
      <c r="AL1741" s="1" t="s">
        <v>115</v>
      </c>
      <c r="AN1741" s="270">
        <v>835</v>
      </c>
      <c r="BS1741" s="1">
        <v>11368</v>
      </c>
      <c r="BT1741" s="1" t="s">
        <v>48</v>
      </c>
      <c r="BX1741" s="36"/>
    </row>
    <row r="1742" spans="2:76" ht="14.25">
      <c r="B1742" s="36"/>
      <c r="C1742" s="36"/>
      <c r="D1742" s="36"/>
      <c r="E1742" s="36"/>
      <c r="F1742" s="36"/>
      <c r="G1742" s="36"/>
      <c r="H1742" s="36"/>
      <c r="J1742" s="36"/>
      <c r="L1742" s="1" t="str">
        <f t="shared" si="119"/>
        <v/>
      </c>
      <c r="M1742" s="94"/>
      <c r="N1742" s="36"/>
      <c r="O1742" s="95"/>
      <c r="P1742" s="36"/>
      <c r="AI1742" s="122">
        <v>1430</v>
      </c>
      <c r="AJ1742" s="1" t="s">
        <v>3091</v>
      </c>
      <c r="AK1742" s="1">
        <v>311137</v>
      </c>
      <c r="AL1742" s="1" t="s">
        <v>930</v>
      </c>
      <c r="AN1742" s="270">
        <v>836</v>
      </c>
      <c r="BS1742" s="1">
        <v>11369</v>
      </c>
      <c r="BT1742" s="1" t="s">
        <v>48</v>
      </c>
      <c r="BX1742" s="36"/>
    </row>
    <row r="1743" spans="2:76" ht="14.25">
      <c r="B1743" s="36"/>
      <c r="C1743" s="36"/>
      <c r="D1743" s="36"/>
      <c r="E1743" s="36"/>
      <c r="F1743" s="36"/>
      <c r="G1743" s="36"/>
      <c r="H1743" s="36"/>
      <c r="J1743" s="36"/>
      <c r="L1743" s="1" t="str">
        <f t="shared" si="119"/>
        <v/>
      </c>
      <c r="M1743" s="94"/>
      <c r="N1743" s="36"/>
      <c r="O1743" s="95"/>
      <c r="P1743" s="36"/>
      <c r="AI1743" s="122">
        <v>1431</v>
      </c>
      <c r="AJ1743" s="1" t="s">
        <v>3092</v>
      </c>
      <c r="AK1743" s="1">
        <v>311138</v>
      </c>
      <c r="AL1743" s="1" t="s">
        <v>930</v>
      </c>
      <c r="AN1743" s="270">
        <v>837</v>
      </c>
      <c r="BS1743" s="1">
        <v>11370</v>
      </c>
      <c r="BT1743" s="1" t="s">
        <v>48</v>
      </c>
      <c r="BX1743" s="36"/>
    </row>
    <row r="1744" spans="2:76" ht="14.25">
      <c r="B1744" s="36"/>
      <c r="C1744" s="36"/>
      <c r="D1744" s="36"/>
      <c r="E1744" s="36"/>
      <c r="F1744" s="36"/>
      <c r="G1744" s="36"/>
      <c r="H1744" s="36"/>
      <c r="J1744" s="36"/>
      <c r="L1744" s="1" t="str">
        <f t="shared" si="119"/>
        <v/>
      </c>
      <c r="M1744" s="94"/>
      <c r="N1744" s="36"/>
      <c r="O1744" s="95"/>
      <c r="P1744" s="36"/>
      <c r="AI1744" s="122">
        <v>1432</v>
      </c>
      <c r="AJ1744" s="1" t="s">
        <v>3093</v>
      </c>
      <c r="AK1744" s="1">
        <v>311139</v>
      </c>
      <c r="AL1744" s="1" t="s">
        <v>115</v>
      </c>
      <c r="AN1744" s="270">
        <v>838</v>
      </c>
      <c r="BS1744" s="1">
        <v>11371</v>
      </c>
      <c r="BT1744" s="1" t="s">
        <v>48</v>
      </c>
      <c r="BX1744" s="36"/>
    </row>
    <row r="1745" spans="2:76" ht="14.25">
      <c r="B1745" s="36"/>
      <c r="C1745" s="36"/>
      <c r="D1745" s="36"/>
      <c r="E1745" s="36"/>
      <c r="F1745" s="36"/>
      <c r="G1745" s="36"/>
      <c r="H1745" s="36"/>
      <c r="J1745" s="36"/>
      <c r="L1745" s="1" t="str">
        <f t="shared" si="119"/>
        <v/>
      </c>
      <c r="M1745" s="94"/>
      <c r="N1745" s="36"/>
      <c r="O1745" s="95"/>
      <c r="P1745" s="36"/>
      <c r="AI1745" s="122">
        <v>1433</v>
      </c>
      <c r="AJ1745" s="1" t="s">
        <v>3094</v>
      </c>
      <c r="AK1745" s="1">
        <v>311140</v>
      </c>
      <c r="AL1745" s="1" t="s">
        <v>930</v>
      </c>
      <c r="AN1745" s="270">
        <v>839</v>
      </c>
      <c r="BS1745" s="1">
        <v>11372</v>
      </c>
      <c r="BT1745" s="1" t="s">
        <v>48</v>
      </c>
      <c r="BX1745" s="36"/>
    </row>
    <row r="1746" spans="2:76" ht="14.25">
      <c r="B1746" s="36"/>
      <c r="C1746" s="36"/>
      <c r="D1746" s="36"/>
      <c r="E1746" s="36"/>
      <c r="F1746" s="36"/>
      <c r="G1746" s="36"/>
      <c r="H1746" s="36"/>
      <c r="J1746" s="36"/>
      <c r="L1746" s="1" t="str">
        <f t="shared" si="119"/>
        <v/>
      </c>
      <c r="M1746" s="94"/>
      <c r="N1746" s="36"/>
      <c r="O1746" s="95"/>
      <c r="P1746" s="36"/>
      <c r="AI1746" s="122">
        <v>1434</v>
      </c>
      <c r="AJ1746" s="1" t="s">
        <v>3095</v>
      </c>
      <c r="AK1746" s="1">
        <v>311141</v>
      </c>
      <c r="AL1746" s="1" t="s">
        <v>115</v>
      </c>
      <c r="AN1746" s="270">
        <v>840</v>
      </c>
      <c r="BS1746" s="1">
        <v>11373</v>
      </c>
      <c r="BT1746" s="1" t="s">
        <v>48</v>
      </c>
      <c r="BX1746" s="36"/>
    </row>
    <row r="1747" spans="2:76" ht="14.25">
      <c r="B1747" s="36"/>
      <c r="C1747" s="36"/>
      <c r="D1747" s="36"/>
      <c r="E1747" s="36"/>
      <c r="F1747" s="36"/>
      <c r="G1747" s="36"/>
      <c r="H1747" s="36"/>
      <c r="J1747" s="36"/>
      <c r="L1747" s="1" t="str">
        <f t="shared" si="119"/>
        <v/>
      </c>
      <c r="M1747" s="94"/>
      <c r="N1747" s="36"/>
      <c r="O1747" s="95"/>
      <c r="P1747" s="36"/>
      <c r="AI1747" s="122">
        <v>1435</v>
      </c>
      <c r="AJ1747" s="1" t="s">
        <v>3096</v>
      </c>
      <c r="AK1747" s="1">
        <v>311142</v>
      </c>
      <c r="AL1747" s="1" t="s">
        <v>930</v>
      </c>
      <c r="AN1747" s="270">
        <v>841</v>
      </c>
      <c r="BS1747" s="1">
        <v>11374</v>
      </c>
      <c r="BT1747" s="1" t="s">
        <v>48</v>
      </c>
      <c r="BX1747" s="36"/>
    </row>
    <row r="1748" spans="2:76" ht="14.25">
      <c r="B1748" s="36"/>
      <c r="C1748" s="36"/>
      <c r="D1748" s="36"/>
      <c r="E1748" s="36"/>
      <c r="F1748" s="36"/>
      <c r="G1748" s="36"/>
      <c r="H1748" s="36"/>
      <c r="J1748" s="36"/>
      <c r="L1748" s="1" t="str">
        <f t="shared" si="119"/>
        <v/>
      </c>
      <c r="M1748" s="94"/>
      <c r="N1748" s="36"/>
      <c r="O1748" s="95"/>
      <c r="P1748" s="36"/>
      <c r="AI1748" s="122">
        <v>1436</v>
      </c>
      <c r="AJ1748" s="1" t="s">
        <v>3097</v>
      </c>
      <c r="AK1748" s="1">
        <v>311143</v>
      </c>
      <c r="AL1748" s="1" t="s">
        <v>115</v>
      </c>
      <c r="AN1748" s="270">
        <v>842</v>
      </c>
      <c r="BS1748" s="1">
        <v>11375</v>
      </c>
      <c r="BT1748" s="1" t="s">
        <v>48</v>
      </c>
      <c r="BX1748" s="36"/>
    </row>
    <row r="1749" spans="2:76" ht="14.25">
      <c r="B1749" s="36"/>
      <c r="C1749" s="36"/>
      <c r="D1749" s="36"/>
      <c r="E1749" s="36"/>
      <c r="F1749" s="36"/>
      <c r="G1749" s="36"/>
      <c r="H1749" s="36"/>
      <c r="J1749" s="36"/>
      <c r="L1749" s="1" t="str">
        <f t="shared" si="119"/>
        <v/>
      </c>
      <c r="M1749" s="94"/>
      <c r="N1749" s="36"/>
      <c r="O1749" s="95"/>
      <c r="P1749" s="36"/>
      <c r="AI1749" s="122">
        <v>1437</v>
      </c>
      <c r="AJ1749" s="1" t="s">
        <v>3098</v>
      </c>
      <c r="AK1749" s="1">
        <v>311144</v>
      </c>
      <c r="AL1749" s="1" t="s">
        <v>930</v>
      </c>
      <c r="AN1749" s="270">
        <v>843</v>
      </c>
      <c r="BS1749" s="1">
        <v>11376</v>
      </c>
      <c r="BT1749" s="1" t="s">
        <v>48</v>
      </c>
      <c r="BX1749" s="36"/>
    </row>
    <row r="1750" spans="2:76" ht="14.25">
      <c r="B1750" s="36"/>
      <c r="C1750" s="36"/>
      <c r="D1750" s="36"/>
      <c r="E1750" s="36"/>
      <c r="F1750" s="36"/>
      <c r="G1750" s="36"/>
      <c r="H1750" s="36"/>
      <c r="J1750" s="36"/>
      <c r="L1750" s="1" t="str">
        <f t="shared" si="119"/>
        <v/>
      </c>
      <c r="M1750" s="94"/>
      <c r="N1750" s="36"/>
      <c r="O1750" s="95"/>
      <c r="P1750" s="36"/>
      <c r="AI1750" s="122">
        <v>1438</v>
      </c>
      <c r="AJ1750" s="1" t="s">
        <v>3099</v>
      </c>
      <c r="AK1750" s="1">
        <v>311145</v>
      </c>
      <c r="AL1750" s="1" t="s">
        <v>115</v>
      </c>
      <c r="AN1750" s="270">
        <v>844</v>
      </c>
      <c r="BS1750" s="1">
        <v>11377</v>
      </c>
      <c r="BT1750" s="1" t="s">
        <v>48</v>
      </c>
      <c r="BX1750" s="36"/>
    </row>
    <row r="1751" spans="2:76" ht="14.25">
      <c r="B1751" s="36"/>
      <c r="C1751" s="36"/>
      <c r="D1751" s="36"/>
      <c r="E1751" s="36"/>
      <c r="F1751" s="36"/>
      <c r="G1751" s="36"/>
      <c r="H1751" s="36"/>
      <c r="J1751" s="36"/>
      <c r="L1751" s="1" t="str">
        <f t="shared" si="119"/>
        <v/>
      </c>
      <c r="M1751" s="94"/>
      <c r="N1751" s="36"/>
      <c r="O1751" s="95"/>
      <c r="P1751" s="36"/>
      <c r="AI1751" s="122">
        <v>1439</v>
      </c>
      <c r="AJ1751" s="1" t="s">
        <v>3100</v>
      </c>
      <c r="AK1751" s="1">
        <v>311146</v>
      </c>
      <c r="AL1751" s="1" t="s">
        <v>930</v>
      </c>
      <c r="AN1751" s="270">
        <v>845</v>
      </c>
      <c r="BS1751" s="1">
        <v>11378</v>
      </c>
      <c r="BT1751" s="1" t="s">
        <v>48</v>
      </c>
      <c r="BX1751" s="36"/>
    </row>
    <row r="1752" spans="2:76" ht="14.25">
      <c r="B1752" s="36"/>
      <c r="C1752" s="36"/>
      <c r="D1752" s="36"/>
      <c r="E1752" s="36"/>
      <c r="F1752" s="36"/>
      <c r="G1752" s="36"/>
      <c r="H1752" s="36"/>
      <c r="J1752" s="36"/>
      <c r="L1752" s="1" t="str">
        <f t="shared" si="119"/>
        <v/>
      </c>
      <c r="M1752" s="94"/>
      <c r="N1752" s="36"/>
      <c r="O1752" s="95"/>
      <c r="P1752" s="36"/>
      <c r="AI1752" s="122">
        <v>1440</v>
      </c>
      <c r="AJ1752" s="1" t="s">
        <v>3101</v>
      </c>
      <c r="AK1752" s="1">
        <v>311147</v>
      </c>
      <c r="AL1752" s="1" t="s">
        <v>930</v>
      </c>
      <c r="AN1752" s="270">
        <v>846</v>
      </c>
      <c r="BS1752" s="1">
        <v>11379</v>
      </c>
      <c r="BT1752" s="1" t="s">
        <v>48</v>
      </c>
      <c r="BX1752" s="36"/>
    </row>
    <row r="1753" spans="2:76" ht="14.25">
      <c r="B1753" s="36"/>
      <c r="C1753" s="36"/>
      <c r="D1753" s="36"/>
      <c r="E1753" s="36"/>
      <c r="F1753" s="36"/>
      <c r="G1753" s="36"/>
      <c r="H1753" s="36"/>
      <c r="J1753" s="36"/>
      <c r="L1753" s="1" t="str">
        <f t="shared" si="119"/>
        <v/>
      </c>
      <c r="M1753" s="94"/>
      <c r="N1753" s="36"/>
      <c r="O1753" s="95"/>
      <c r="P1753" s="36"/>
      <c r="AI1753" s="122">
        <v>1441</v>
      </c>
      <c r="AJ1753" s="1" t="s">
        <v>3102</v>
      </c>
      <c r="AK1753" s="1">
        <v>311148</v>
      </c>
      <c r="AL1753" s="1" t="s">
        <v>115</v>
      </c>
      <c r="AN1753" s="270">
        <v>847</v>
      </c>
      <c r="BS1753" s="1">
        <v>11380</v>
      </c>
      <c r="BT1753" s="1" t="s">
        <v>48</v>
      </c>
      <c r="BX1753" s="36"/>
    </row>
    <row r="1754" spans="2:76" ht="14.25">
      <c r="B1754" s="36"/>
      <c r="C1754" s="36"/>
      <c r="D1754" s="36"/>
      <c r="E1754" s="36"/>
      <c r="F1754" s="36"/>
      <c r="G1754" s="36"/>
      <c r="H1754" s="36"/>
      <c r="J1754" s="36"/>
      <c r="L1754" s="1" t="str">
        <f t="shared" si="119"/>
        <v/>
      </c>
      <c r="M1754" s="94"/>
      <c r="N1754" s="36"/>
      <c r="O1754" s="95"/>
      <c r="P1754" s="36"/>
      <c r="AI1754" s="122">
        <v>1442</v>
      </c>
      <c r="AJ1754" s="1" t="s">
        <v>3103</v>
      </c>
      <c r="AK1754" s="1">
        <v>311149</v>
      </c>
      <c r="AL1754" s="1" t="s">
        <v>930</v>
      </c>
      <c r="AN1754" s="270">
        <v>848</v>
      </c>
      <c r="BS1754" s="1">
        <v>11381</v>
      </c>
      <c r="BT1754" s="1" t="s">
        <v>48</v>
      </c>
      <c r="BX1754" s="36"/>
    </row>
    <row r="1755" spans="2:76" ht="14.25">
      <c r="B1755" s="36"/>
      <c r="C1755" s="36"/>
      <c r="D1755" s="36"/>
      <c r="E1755" s="36"/>
      <c r="F1755" s="36"/>
      <c r="G1755" s="36"/>
      <c r="H1755" s="36"/>
      <c r="J1755" s="36"/>
      <c r="L1755" s="1" t="str">
        <f t="shared" si="119"/>
        <v/>
      </c>
      <c r="M1755" s="94"/>
      <c r="N1755" s="36"/>
      <c r="O1755" s="95"/>
      <c r="P1755" s="36"/>
      <c r="AI1755" s="122">
        <v>1443</v>
      </c>
      <c r="AJ1755" s="1" t="s">
        <v>3104</v>
      </c>
      <c r="AK1755" s="1">
        <v>311150</v>
      </c>
      <c r="AL1755" s="1" t="s">
        <v>115</v>
      </c>
      <c r="AN1755" s="270">
        <v>849</v>
      </c>
      <c r="BS1755" s="1">
        <v>11382</v>
      </c>
      <c r="BT1755" s="1" t="s">
        <v>48</v>
      </c>
      <c r="BX1755" s="36"/>
    </row>
    <row r="1756" spans="2:76" ht="14.25">
      <c r="B1756" s="36"/>
      <c r="C1756" s="36"/>
      <c r="D1756" s="36"/>
      <c r="E1756" s="36"/>
      <c r="F1756" s="36"/>
      <c r="G1756" s="36"/>
      <c r="H1756" s="36"/>
      <c r="J1756" s="36"/>
      <c r="L1756" s="1" t="str">
        <f t="shared" si="119"/>
        <v/>
      </c>
      <c r="M1756" s="94"/>
      <c r="N1756" s="36"/>
      <c r="O1756" s="95"/>
      <c r="P1756" s="36"/>
      <c r="AI1756" s="122">
        <v>1444</v>
      </c>
      <c r="AJ1756" s="1" t="s">
        <v>3105</v>
      </c>
      <c r="AK1756" s="1">
        <v>311151</v>
      </c>
      <c r="AL1756" s="1" t="s">
        <v>930</v>
      </c>
      <c r="AN1756" s="270">
        <v>850</v>
      </c>
      <c r="BS1756" s="1">
        <v>11383</v>
      </c>
      <c r="BT1756" s="1" t="s">
        <v>48</v>
      </c>
      <c r="BX1756" s="36"/>
    </row>
    <row r="1757" spans="2:76" ht="14.25">
      <c r="B1757" s="36"/>
      <c r="C1757" s="36"/>
      <c r="D1757" s="36"/>
      <c r="E1757" s="36"/>
      <c r="F1757" s="36"/>
      <c r="G1757" s="36"/>
      <c r="H1757" s="36"/>
      <c r="J1757" s="36"/>
      <c r="L1757" s="1" t="str">
        <f t="shared" si="119"/>
        <v/>
      </c>
      <c r="M1757" s="94"/>
      <c r="N1757" s="36"/>
      <c r="O1757" s="95"/>
      <c r="P1757" s="36"/>
      <c r="AI1757" s="122">
        <v>1445</v>
      </c>
      <c r="AJ1757" s="1" t="s">
        <v>3106</v>
      </c>
      <c r="AK1757" s="1">
        <v>311152</v>
      </c>
      <c r="AL1757" s="1" t="s">
        <v>115</v>
      </c>
      <c r="AN1757" s="270">
        <v>851</v>
      </c>
      <c r="BS1757" s="1">
        <v>11384</v>
      </c>
      <c r="BT1757" s="1" t="s">
        <v>48</v>
      </c>
      <c r="BX1757" s="36"/>
    </row>
    <row r="1758" spans="2:76" ht="14.25">
      <c r="B1758" s="36"/>
      <c r="C1758" s="36"/>
      <c r="D1758" s="36"/>
      <c r="E1758" s="36"/>
      <c r="F1758" s="36"/>
      <c r="G1758" s="36"/>
      <c r="H1758" s="36"/>
      <c r="J1758" s="36"/>
      <c r="L1758" s="1" t="str">
        <f t="shared" si="119"/>
        <v/>
      </c>
      <c r="M1758" s="94"/>
      <c r="N1758" s="36"/>
      <c r="O1758" s="95"/>
      <c r="P1758" s="36"/>
      <c r="AI1758" s="122">
        <v>1446</v>
      </c>
      <c r="AJ1758" s="1" t="s">
        <v>3107</v>
      </c>
      <c r="AK1758" s="1">
        <v>311153</v>
      </c>
      <c r="AL1758" s="1" t="s">
        <v>930</v>
      </c>
      <c r="AN1758" s="270">
        <v>852</v>
      </c>
      <c r="BS1758" s="1">
        <v>11385</v>
      </c>
      <c r="BT1758" s="1" t="s">
        <v>48</v>
      </c>
      <c r="BX1758" s="36"/>
    </row>
    <row r="1759" spans="2:76" ht="14.25">
      <c r="B1759" s="36"/>
      <c r="C1759" s="36"/>
      <c r="D1759" s="36"/>
      <c r="E1759" s="36"/>
      <c r="F1759" s="36"/>
      <c r="G1759" s="36"/>
      <c r="H1759" s="36"/>
      <c r="J1759" s="36"/>
      <c r="L1759" s="1" t="str">
        <f t="shared" si="119"/>
        <v/>
      </c>
      <c r="M1759" s="94"/>
      <c r="N1759" s="36"/>
      <c r="O1759" s="95"/>
      <c r="P1759" s="36"/>
      <c r="AI1759" s="122">
        <v>1447</v>
      </c>
      <c r="AJ1759" s="1" t="s">
        <v>3108</v>
      </c>
      <c r="AK1759" s="1">
        <v>311154</v>
      </c>
      <c r="AL1759" s="1" t="s">
        <v>930</v>
      </c>
      <c r="AN1759" s="270">
        <v>853</v>
      </c>
      <c r="BS1759" s="1">
        <v>11386</v>
      </c>
      <c r="BT1759" s="1" t="s">
        <v>48</v>
      </c>
      <c r="BX1759" s="36"/>
    </row>
    <row r="1760" spans="2:76" ht="14.25">
      <c r="B1760" s="36"/>
      <c r="C1760" s="36"/>
      <c r="D1760" s="36"/>
      <c r="E1760" s="36"/>
      <c r="F1760" s="36"/>
      <c r="G1760" s="36"/>
      <c r="H1760" s="36"/>
      <c r="J1760" s="36"/>
      <c r="L1760" s="1" t="str">
        <f t="shared" si="119"/>
        <v/>
      </c>
      <c r="M1760" s="94"/>
      <c r="N1760" s="36"/>
      <c r="O1760" s="95"/>
      <c r="P1760" s="36"/>
      <c r="AI1760" s="122">
        <v>1448</v>
      </c>
      <c r="AJ1760" s="1" t="s">
        <v>3109</v>
      </c>
      <c r="AK1760" s="1">
        <v>311155</v>
      </c>
      <c r="AL1760" s="1" t="s">
        <v>115</v>
      </c>
      <c r="AN1760" s="270">
        <v>854</v>
      </c>
      <c r="BS1760" s="1">
        <v>11387</v>
      </c>
      <c r="BT1760" s="1" t="s">
        <v>48</v>
      </c>
      <c r="BX1760" s="36"/>
    </row>
    <row r="1761" spans="2:76" ht="14.25">
      <c r="B1761" s="36"/>
      <c r="C1761" s="36"/>
      <c r="D1761" s="36"/>
      <c r="E1761" s="36"/>
      <c r="F1761" s="36"/>
      <c r="G1761" s="36"/>
      <c r="H1761" s="36"/>
      <c r="J1761" s="36"/>
      <c r="L1761" s="1" t="str">
        <f t="shared" si="119"/>
        <v/>
      </c>
      <c r="M1761" s="94"/>
      <c r="N1761" s="36"/>
      <c r="O1761" s="95"/>
      <c r="P1761" s="36"/>
      <c r="AI1761" s="122">
        <v>1449</v>
      </c>
      <c r="AJ1761" s="1" t="s">
        <v>3110</v>
      </c>
      <c r="AK1761" s="1">
        <v>311156</v>
      </c>
      <c r="AL1761" s="1" t="s">
        <v>930</v>
      </c>
      <c r="AN1761" s="270">
        <v>855</v>
      </c>
      <c r="BS1761" s="1">
        <v>11388</v>
      </c>
      <c r="BT1761" s="1" t="s">
        <v>48</v>
      </c>
      <c r="BX1761" s="36"/>
    </row>
    <row r="1762" spans="2:76" ht="14.25">
      <c r="B1762" s="36"/>
      <c r="C1762" s="36"/>
      <c r="D1762" s="36"/>
      <c r="E1762" s="36"/>
      <c r="F1762" s="36"/>
      <c r="G1762" s="36"/>
      <c r="H1762" s="36"/>
      <c r="J1762" s="36"/>
      <c r="L1762" s="1" t="str">
        <f t="shared" si="119"/>
        <v/>
      </c>
      <c r="M1762" s="94"/>
      <c r="N1762" s="36"/>
      <c r="O1762" s="95"/>
      <c r="P1762" s="36"/>
      <c r="AI1762" s="122">
        <v>1450</v>
      </c>
      <c r="AJ1762" s="1" t="s">
        <v>3111</v>
      </c>
      <c r="AK1762" s="1">
        <v>311157</v>
      </c>
      <c r="AL1762" s="1" t="s">
        <v>115</v>
      </c>
      <c r="AN1762" s="270">
        <v>856</v>
      </c>
      <c r="BS1762" s="1">
        <v>11389</v>
      </c>
      <c r="BT1762" s="1" t="s">
        <v>48</v>
      </c>
      <c r="BX1762" s="36"/>
    </row>
    <row r="1763" spans="2:76" ht="14.25">
      <c r="B1763" s="36"/>
      <c r="C1763" s="36"/>
      <c r="D1763" s="36"/>
      <c r="E1763" s="36"/>
      <c r="F1763" s="36"/>
      <c r="G1763" s="36"/>
      <c r="H1763" s="36"/>
      <c r="J1763" s="36"/>
      <c r="L1763" s="1" t="str">
        <f t="shared" si="119"/>
        <v/>
      </c>
      <c r="M1763" s="94"/>
      <c r="N1763" s="36"/>
      <c r="O1763" s="95"/>
      <c r="P1763" s="36"/>
      <c r="AI1763" s="122">
        <v>1451</v>
      </c>
      <c r="AJ1763" s="1" t="s">
        <v>3112</v>
      </c>
      <c r="AK1763" s="1">
        <v>311158</v>
      </c>
      <c r="AL1763" s="1" t="s">
        <v>930</v>
      </c>
      <c r="AN1763" s="270">
        <v>857</v>
      </c>
      <c r="BS1763" s="1">
        <v>11390</v>
      </c>
      <c r="BT1763" s="1" t="s">
        <v>48</v>
      </c>
      <c r="BX1763" s="36"/>
    </row>
    <row r="1764" spans="2:76" ht="14.25">
      <c r="B1764" s="36"/>
      <c r="C1764" s="36"/>
      <c r="D1764" s="36"/>
      <c r="E1764" s="36"/>
      <c r="F1764" s="36"/>
      <c r="G1764" s="36"/>
      <c r="H1764" s="36"/>
      <c r="J1764" s="36"/>
      <c r="L1764" s="1" t="str">
        <f t="shared" si="119"/>
        <v/>
      </c>
      <c r="M1764" s="94"/>
      <c r="N1764" s="36"/>
      <c r="O1764" s="95"/>
      <c r="P1764" s="36"/>
      <c r="AI1764" s="122">
        <v>1452</v>
      </c>
      <c r="AJ1764" s="1" t="s">
        <v>3113</v>
      </c>
      <c r="AK1764" s="1">
        <v>311159</v>
      </c>
      <c r="AL1764" s="1" t="s">
        <v>115</v>
      </c>
      <c r="AN1764" s="270">
        <v>858</v>
      </c>
      <c r="BS1764" s="1">
        <v>11391</v>
      </c>
      <c r="BT1764" s="1" t="s">
        <v>48</v>
      </c>
      <c r="BX1764" s="36"/>
    </row>
    <row r="1765" spans="2:76" ht="14.25">
      <c r="B1765" s="36"/>
      <c r="C1765" s="36"/>
      <c r="D1765" s="36"/>
      <c r="E1765" s="36"/>
      <c r="F1765" s="36"/>
      <c r="G1765" s="36"/>
      <c r="H1765" s="36"/>
      <c r="J1765" s="36"/>
      <c r="L1765" s="1" t="str">
        <f t="shared" si="119"/>
        <v/>
      </c>
      <c r="M1765" s="94"/>
      <c r="N1765" s="36"/>
      <c r="O1765" s="95"/>
      <c r="P1765" s="36"/>
      <c r="AI1765" s="122">
        <v>1453</v>
      </c>
      <c r="AJ1765" s="1" t="s">
        <v>3114</v>
      </c>
      <c r="AK1765" s="1">
        <v>311160</v>
      </c>
      <c r="AL1765" s="1" t="s">
        <v>930</v>
      </c>
      <c r="AN1765" s="270">
        <v>859</v>
      </c>
      <c r="BS1765" s="1">
        <v>11392</v>
      </c>
      <c r="BT1765" s="1" t="s">
        <v>48</v>
      </c>
      <c r="BX1765" s="36"/>
    </row>
    <row r="1766" spans="2:76" ht="14.25">
      <c r="B1766" s="36"/>
      <c r="C1766" s="36"/>
      <c r="D1766" s="36"/>
      <c r="E1766" s="36"/>
      <c r="F1766" s="36"/>
      <c r="G1766" s="36"/>
      <c r="H1766" s="36"/>
      <c r="J1766" s="36"/>
      <c r="L1766" s="1" t="str">
        <f t="shared" si="119"/>
        <v/>
      </c>
      <c r="M1766" s="94"/>
      <c r="N1766" s="36"/>
      <c r="O1766" s="95"/>
      <c r="P1766" s="36"/>
      <c r="AI1766" s="122">
        <v>1454</v>
      </c>
      <c r="AJ1766" s="1" t="s">
        <v>3115</v>
      </c>
      <c r="AK1766" s="1">
        <v>311161</v>
      </c>
      <c r="AL1766" s="1" t="s">
        <v>115</v>
      </c>
      <c r="AN1766" s="270">
        <v>860</v>
      </c>
      <c r="BS1766" s="1">
        <v>11393</v>
      </c>
      <c r="BT1766" s="1" t="s">
        <v>75</v>
      </c>
      <c r="BX1766" s="36"/>
    </row>
    <row r="1767" spans="2:76" ht="14.25">
      <c r="B1767" s="36"/>
      <c r="C1767" s="36"/>
      <c r="D1767" s="36"/>
      <c r="E1767" s="36"/>
      <c r="F1767" s="36"/>
      <c r="G1767" s="36"/>
      <c r="H1767" s="36"/>
      <c r="J1767" s="36"/>
      <c r="L1767" s="1" t="str">
        <f t="shared" si="119"/>
        <v/>
      </c>
      <c r="M1767" s="94"/>
      <c r="N1767" s="36"/>
      <c r="O1767" s="95"/>
      <c r="P1767" s="36"/>
      <c r="AI1767" s="122">
        <v>1455</v>
      </c>
      <c r="AJ1767" s="1" t="s">
        <v>3116</v>
      </c>
      <c r="AK1767" s="1">
        <v>311162</v>
      </c>
      <c r="AL1767" s="1" t="s">
        <v>930</v>
      </c>
      <c r="AN1767" s="270">
        <v>861</v>
      </c>
      <c r="BS1767" s="1">
        <v>11394</v>
      </c>
      <c r="BT1767" s="1" t="s">
        <v>75</v>
      </c>
      <c r="BX1767" s="36"/>
    </row>
    <row r="1768" spans="2:76" ht="14.25">
      <c r="B1768" s="36"/>
      <c r="C1768" s="36"/>
      <c r="D1768" s="36"/>
      <c r="E1768" s="36"/>
      <c r="F1768" s="36"/>
      <c r="G1768" s="36"/>
      <c r="H1768" s="36"/>
      <c r="J1768" s="36"/>
      <c r="L1768" s="1" t="str">
        <f t="shared" si="119"/>
        <v/>
      </c>
      <c r="M1768" s="94"/>
      <c r="N1768" s="36"/>
      <c r="O1768" s="95"/>
      <c r="P1768" s="36"/>
      <c r="AI1768" s="122">
        <v>1456</v>
      </c>
      <c r="AJ1768" s="1" t="s">
        <v>3117</v>
      </c>
      <c r="AK1768" s="1">
        <v>311163</v>
      </c>
      <c r="AL1768" s="1" t="s">
        <v>930</v>
      </c>
      <c r="AN1768" s="270">
        <v>862</v>
      </c>
      <c r="BS1768" s="1">
        <v>11395</v>
      </c>
      <c r="BT1768" s="1" t="s">
        <v>75</v>
      </c>
      <c r="BX1768" s="36"/>
    </row>
    <row r="1769" spans="2:76" ht="14.25">
      <c r="B1769" s="36"/>
      <c r="C1769" s="36"/>
      <c r="D1769" s="36"/>
      <c r="E1769" s="36"/>
      <c r="F1769" s="36"/>
      <c r="G1769" s="36"/>
      <c r="H1769" s="36"/>
      <c r="J1769" s="36"/>
      <c r="L1769" s="1" t="str">
        <f t="shared" si="119"/>
        <v/>
      </c>
      <c r="M1769" s="94"/>
      <c r="N1769" s="36"/>
      <c r="O1769" s="95"/>
      <c r="P1769" s="36"/>
      <c r="AI1769" s="122">
        <v>1457</v>
      </c>
      <c r="AJ1769" s="1" t="s">
        <v>3118</v>
      </c>
      <c r="AK1769" s="1">
        <v>311164</v>
      </c>
      <c r="AL1769" s="1" t="s">
        <v>115</v>
      </c>
      <c r="AN1769" s="270">
        <v>863</v>
      </c>
      <c r="BS1769" s="1">
        <v>11396</v>
      </c>
      <c r="BT1769" s="1" t="s">
        <v>75</v>
      </c>
      <c r="BX1769" s="36"/>
    </row>
    <row r="1770" spans="2:76" ht="14.25">
      <c r="B1770" s="36"/>
      <c r="C1770" s="36"/>
      <c r="D1770" s="36"/>
      <c r="E1770" s="36"/>
      <c r="F1770" s="36"/>
      <c r="G1770" s="36"/>
      <c r="H1770" s="36"/>
      <c r="J1770" s="36"/>
      <c r="L1770" s="1" t="str">
        <f t="shared" si="119"/>
        <v/>
      </c>
      <c r="M1770" s="94"/>
      <c r="N1770" s="36"/>
      <c r="O1770" s="95"/>
      <c r="P1770" s="36"/>
      <c r="AI1770" s="122">
        <v>1458</v>
      </c>
      <c r="AJ1770" s="1" t="s">
        <v>3119</v>
      </c>
      <c r="AK1770" s="1">
        <v>311165</v>
      </c>
      <c r="AL1770" s="1" t="s">
        <v>930</v>
      </c>
      <c r="AN1770" s="270">
        <v>864</v>
      </c>
      <c r="BS1770" s="1">
        <v>11397</v>
      </c>
      <c r="BT1770" s="1" t="s">
        <v>75</v>
      </c>
      <c r="BX1770" s="36"/>
    </row>
    <row r="1771" spans="2:76" ht="14.25">
      <c r="B1771" s="36"/>
      <c r="C1771" s="36"/>
      <c r="D1771" s="36"/>
      <c r="E1771" s="36"/>
      <c r="F1771" s="36"/>
      <c r="G1771" s="36"/>
      <c r="H1771" s="36"/>
      <c r="J1771" s="36"/>
      <c r="L1771" s="1" t="str">
        <f t="shared" si="119"/>
        <v/>
      </c>
      <c r="M1771" s="94"/>
      <c r="N1771" s="36"/>
      <c r="O1771" s="95"/>
      <c r="P1771" s="36"/>
      <c r="AI1771" s="122">
        <v>1459</v>
      </c>
      <c r="AJ1771" s="1" t="s">
        <v>3120</v>
      </c>
      <c r="AK1771" s="1">
        <v>311166</v>
      </c>
      <c r="AL1771" s="1" t="s">
        <v>115</v>
      </c>
      <c r="AN1771" s="270">
        <v>865</v>
      </c>
      <c r="BS1771" s="1">
        <v>11398</v>
      </c>
      <c r="BT1771" s="1" t="s">
        <v>75</v>
      </c>
      <c r="BX1771" s="36"/>
    </row>
    <row r="1772" spans="2:76" ht="14.25">
      <c r="B1772" s="36"/>
      <c r="C1772" s="36"/>
      <c r="D1772" s="36"/>
      <c r="E1772" s="36"/>
      <c r="F1772" s="36"/>
      <c r="G1772" s="36"/>
      <c r="H1772" s="36"/>
      <c r="J1772" s="36"/>
      <c r="L1772" s="1" t="str">
        <f t="shared" si="119"/>
        <v/>
      </c>
      <c r="M1772" s="94"/>
      <c r="N1772" s="36"/>
      <c r="O1772" s="95"/>
      <c r="P1772" s="36"/>
      <c r="AI1772" s="122">
        <v>1460</v>
      </c>
      <c r="AJ1772" s="1" t="s">
        <v>3121</v>
      </c>
      <c r="AK1772" s="1">
        <v>311167</v>
      </c>
      <c r="AL1772" s="1" t="s">
        <v>930</v>
      </c>
      <c r="AN1772" s="270">
        <v>866</v>
      </c>
      <c r="BS1772" s="1">
        <v>11399</v>
      </c>
      <c r="BT1772" s="1" t="s">
        <v>75</v>
      </c>
      <c r="BX1772" s="36"/>
    </row>
    <row r="1773" spans="2:76" ht="14.25">
      <c r="B1773" s="36"/>
      <c r="C1773" s="36"/>
      <c r="D1773" s="36"/>
      <c r="E1773" s="36"/>
      <c r="F1773" s="36"/>
      <c r="G1773" s="36"/>
      <c r="H1773" s="36"/>
      <c r="J1773" s="36"/>
      <c r="L1773" s="1" t="str">
        <f t="shared" si="119"/>
        <v/>
      </c>
      <c r="M1773" s="94"/>
      <c r="N1773" s="36"/>
      <c r="O1773" s="95"/>
      <c r="P1773" s="36"/>
      <c r="AI1773" s="122">
        <v>1461</v>
      </c>
      <c r="AJ1773" s="1" t="s">
        <v>3122</v>
      </c>
      <c r="AK1773" s="1">
        <v>311168</v>
      </c>
      <c r="AL1773" s="1" t="s">
        <v>115</v>
      </c>
      <c r="AN1773" s="270">
        <v>867</v>
      </c>
      <c r="BS1773" s="1">
        <v>11400</v>
      </c>
      <c r="BT1773" s="1" t="s">
        <v>75</v>
      </c>
      <c r="BX1773" s="36"/>
    </row>
    <row r="1774" spans="2:76" ht="14.25">
      <c r="B1774" s="36"/>
      <c r="C1774" s="36"/>
      <c r="D1774" s="36"/>
      <c r="E1774" s="36"/>
      <c r="F1774" s="36"/>
      <c r="G1774" s="36"/>
      <c r="H1774" s="36"/>
      <c r="J1774" s="36"/>
      <c r="L1774" s="1" t="str">
        <f t="shared" si="119"/>
        <v/>
      </c>
      <c r="M1774" s="94"/>
      <c r="N1774" s="36"/>
      <c r="O1774" s="95"/>
      <c r="P1774" s="36"/>
      <c r="AI1774" s="122">
        <v>1462</v>
      </c>
      <c r="AJ1774" s="1" t="s">
        <v>3123</v>
      </c>
      <c r="AK1774" s="1">
        <v>311169</v>
      </c>
      <c r="AL1774" s="1" t="s">
        <v>930</v>
      </c>
      <c r="AN1774" s="270">
        <v>868</v>
      </c>
      <c r="BS1774" s="1">
        <v>11401</v>
      </c>
      <c r="BT1774" s="1" t="s">
        <v>75</v>
      </c>
      <c r="BX1774" s="36"/>
    </row>
    <row r="1775" spans="2:76" ht="14.25">
      <c r="B1775" s="36"/>
      <c r="C1775" s="36"/>
      <c r="D1775" s="36"/>
      <c r="E1775" s="36"/>
      <c r="F1775" s="36"/>
      <c r="G1775" s="36"/>
      <c r="H1775" s="36"/>
      <c r="J1775" s="36"/>
      <c r="L1775" s="1" t="str">
        <f t="shared" si="119"/>
        <v/>
      </c>
      <c r="M1775" s="94"/>
      <c r="N1775" s="36"/>
      <c r="O1775" s="95"/>
      <c r="P1775" s="36"/>
      <c r="AI1775" s="122">
        <v>1463</v>
      </c>
      <c r="AJ1775" s="1" t="s">
        <v>3124</v>
      </c>
      <c r="AK1775" s="1">
        <v>311170</v>
      </c>
      <c r="AL1775" s="1" t="s">
        <v>115</v>
      </c>
      <c r="AN1775" s="270">
        <v>869</v>
      </c>
      <c r="BS1775" s="1">
        <v>11402</v>
      </c>
      <c r="BT1775" s="1" t="s">
        <v>75</v>
      </c>
      <c r="BX1775" s="36"/>
    </row>
    <row r="1776" spans="2:76" ht="14.25">
      <c r="B1776" s="36"/>
      <c r="C1776" s="36"/>
      <c r="D1776" s="36"/>
      <c r="E1776" s="36"/>
      <c r="F1776" s="36"/>
      <c r="G1776" s="36"/>
      <c r="H1776" s="36"/>
      <c r="J1776" s="36"/>
      <c r="L1776" s="1" t="str">
        <f t="shared" si="119"/>
        <v/>
      </c>
      <c r="M1776" s="94"/>
      <c r="N1776" s="36"/>
      <c r="O1776" s="95"/>
      <c r="P1776" s="36"/>
      <c r="AI1776" s="122">
        <v>1464</v>
      </c>
      <c r="AJ1776" s="1" t="s">
        <v>3125</v>
      </c>
      <c r="AK1776" s="1">
        <v>311171</v>
      </c>
      <c r="AL1776" s="1" t="s">
        <v>930</v>
      </c>
      <c r="AN1776" s="270">
        <v>870</v>
      </c>
      <c r="BS1776" s="1">
        <v>11403</v>
      </c>
      <c r="BT1776" s="1" t="s">
        <v>75</v>
      </c>
      <c r="BX1776" s="36"/>
    </row>
    <row r="1777" spans="2:76" ht="14.25">
      <c r="B1777" s="36"/>
      <c r="C1777" s="36"/>
      <c r="D1777" s="36"/>
      <c r="E1777" s="36"/>
      <c r="F1777" s="36"/>
      <c r="G1777" s="36"/>
      <c r="H1777" s="36"/>
      <c r="J1777" s="36"/>
      <c r="L1777" s="1" t="str">
        <f t="shared" si="119"/>
        <v/>
      </c>
      <c r="M1777" s="94"/>
      <c r="N1777" s="36"/>
      <c r="O1777" s="95"/>
      <c r="P1777" s="36"/>
      <c r="AI1777" s="122">
        <v>1465</v>
      </c>
      <c r="AJ1777" s="1" t="s">
        <v>3126</v>
      </c>
      <c r="AK1777" s="1">
        <v>311172</v>
      </c>
      <c r="AL1777" s="1" t="s">
        <v>930</v>
      </c>
      <c r="AN1777" s="270">
        <v>871</v>
      </c>
      <c r="BS1777" s="1">
        <v>11404</v>
      </c>
      <c r="BT1777" s="1" t="s">
        <v>75</v>
      </c>
      <c r="BX1777" s="36"/>
    </row>
    <row r="1778" spans="2:76" ht="14.25">
      <c r="B1778" s="36"/>
      <c r="C1778" s="36"/>
      <c r="D1778" s="36"/>
      <c r="E1778" s="36"/>
      <c r="F1778" s="36"/>
      <c r="G1778" s="36"/>
      <c r="H1778" s="36"/>
      <c r="J1778" s="36"/>
      <c r="L1778" s="1" t="str">
        <f t="shared" si="119"/>
        <v/>
      </c>
      <c r="M1778" s="94"/>
      <c r="N1778" s="36"/>
      <c r="O1778" s="95"/>
      <c r="P1778" s="36"/>
      <c r="AI1778" s="122">
        <v>1466</v>
      </c>
      <c r="AJ1778" s="1" t="s">
        <v>3127</v>
      </c>
      <c r="AK1778" s="1">
        <v>311173</v>
      </c>
      <c r="AL1778" s="1" t="s">
        <v>115</v>
      </c>
      <c r="AN1778" s="270">
        <v>872</v>
      </c>
      <c r="BS1778" s="1">
        <v>11405</v>
      </c>
      <c r="BT1778" s="1" t="s">
        <v>75</v>
      </c>
      <c r="BX1778" s="36"/>
    </row>
    <row r="1779" spans="2:76" ht="14.25">
      <c r="B1779" s="36"/>
      <c r="C1779" s="36"/>
      <c r="D1779" s="36"/>
      <c r="E1779" s="36"/>
      <c r="F1779" s="36"/>
      <c r="G1779" s="36"/>
      <c r="H1779" s="36"/>
      <c r="J1779" s="36"/>
      <c r="L1779" s="1" t="str">
        <f t="shared" si="119"/>
        <v/>
      </c>
      <c r="M1779" s="94"/>
      <c r="N1779" s="36"/>
      <c r="O1779" s="95"/>
      <c r="P1779" s="36"/>
      <c r="AI1779" s="122">
        <v>1467</v>
      </c>
      <c r="AJ1779" s="1" t="s">
        <v>3128</v>
      </c>
      <c r="AK1779" s="1">
        <v>311174</v>
      </c>
      <c r="AL1779" s="1" t="s">
        <v>930</v>
      </c>
      <c r="AN1779" s="270">
        <v>873</v>
      </c>
      <c r="BS1779" s="1">
        <v>11406</v>
      </c>
      <c r="BT1779" s="1" t="s">
        <v>75</v>
      </c>
      <c r="BX1779" s="36"/>
    </row>
    <row r="1780" spans="2:76" ht="14.25">
      <c r="B1780" s="36"/>
      <c r="C1780" s="36"/>
      <c r="D1780" s="36"/>
      <c r="E1780" s="36"/>
      <c r="F1780" s="36"/>
      <c r="G1780" s="36"/>
      <c r="H1780" s="36"/>
      <c r="J1780" s="36"/>
      <c r="L1780" s="1" t="str">
        <f t="shared" si="119"/>
        <v/>
      </c>
      <c r="M1780" s="94"/>
      <c r="N1780" s="36"/>
      <c r="O1780" s="95"/>
      <c r="P1780" s="36"/>
      <c r="AI1780" s="122">
        <v>1468</v>
      </c>
      <c r="AJ1780" s="1" t="s">
        <v>3129</v>
      </c>
      <c r="AK1780" s="1">
        <v>311175</v>
      </c>
      <c r="AL1780" s="1" t="s">
        <v>115</v>
      </c>
      <c r="AN1780" s="270">
        <v>874</v>
      </c>
      <c r="BS1780" s="1">
        <v>11407</v>
      </c>
      <c r="BT1780" s="1" t="s">
        <v>75</v>
      </c>
      <c r="BX1780" s="36"/>
    </row>
    <row r="1781" spans="2:76" ht="14.25">
      <c r="B1781" s="36"/>
      <c r="C1781" s="36"/>
      <c r="D1781" s="36"/>
      <c r="E1781" s="36"/>
      <c r="F1781" s="36"/>
      <c r="G1781" s="36"/>
      <c r="H1781" s="36"/>
      <c r="J1781" s="36"/>
      <c r="L1781" s="1" t="str">
        <f t="shared" si="119"/>
        <v/>
      </c>
      <c r="M1781" s="94"/>
      <c r="N1781" s="36"/>
      <c r="O1781" s="95"/>
      <c r="P1781" s="36"/>
      <c r="AI1781" s="122">
        <v>1469</v>
      </c>
      <c r="AJ1781" s="1" t="s">
        <v>3130</v>
      </c>
      <c r="AK1781" s="1">
        <v>311176</v>
      </c>
      <c r="AL1781" s="1" t="s">
        <v>930</v>
      </c>
      <c r="AN1781" s="270">
        <v>875</v>
      </c>
      <c r="BS1781" s="1">
        <v>11408</v>
      </c>
      <c r="BT1781" s="1" t="s">
        <v>75</v>
      </c>
      <c r="BX1781" s="36"/>
    </row>
    <row r="1782" spans="2:76" ht="14.25">
      <c r="B1782" s="36"/>
      <c r="C1782" s="36"/>
      <c r="D1782" s="36"/>
      <c r="E1782" s="36"/>
      <c r="F1782" s="36"/>
      <c r="G1782" s="36"/>
      <c r="H1782" s="36"/>
      <c r="J1782" s="36"/>
      <c r="L1782" s="1" t="str">
        <f t="shared" si="119"/>
        <v/>
      </c>
      <c r="M1782" s="94"/>
      <c r="N1782" s="36"/>
      <c r="O1782" s="95"/>
      <c r="P1782" s="36"/>
      <c r="AI1782" s="122">
        <v>1470</v>
      </c>
      <c r="AJ1782" s="1" t="s">
        <v>3131</v>
      </c>
      <c r="AK1782" s="1">
        <v>311177</v>
      </c>
      <c r="AL1782" s="1" t="s">
        <v>115</v>
      </c>
      <c r="AN1782" s="270">
        <v>876</v>
      </c>
      <c r="BS1782" s="1">
        <v>11409</v>
      </c>
      <c r="BT1782" s="1" t="s">
        <v>75</v>
      </c>
      <c r="BX1782" s="36"/>
    </row>
    <row r="1783" spans="2:76" ht="14.25">
      <c r="B1783" s="36"/>
      <c r="C1783" s="36"/>
      <c r="D1783" s="36"/>
      <c r="E1783" s="36"/>
      <c r="F1783" s="36"/>
      <c r="G1783" s="36"/>
      <c r="H1783" s="36"/>
      <c r="J1783" s="36"/>
      <c r="L1783" s="1" t="str">
        <f t="shared" si="119"/>
        <v/>
      </c>
      <c r="M1783" s="94"/>
      <c r="N1783" s="36"/>
      <c r="O1783" s="95"/>
      <c r="P1783" s="36"/>
      <c r="AI1783" s="122">
        <v>1471</v>
      </c>
      <c r="AJ1783" s="1" t="s">
        <v>3132</v>
      </c>
      <c r="AK1783" s="1">
        <v>311178</v>
      </c>
      <c r="AL1783" s="1" t="s">
        <v>930</v>
      </c>
      <c r="AN1783" s="270">
        <v>877</v>
      </c>
      <c r="BS1783" s="1">
        <v>11410</v>
      </c>
      <c r="BT1783" s="1" t="s">
        <v>75</v>
      </c>
      <c r="BX1783" s="36"/>
    </row>
    <row r="1784" spans="2:76" ht="14.25">
      <c r="B1784" s="36"/>
      <c r="C1784" s="36"/>
      <c r="D1784" s="36"/>
      <c r="E1784" s="36"/>
      <c r="F1784" s="36"/>
      <c r="G1784" s="36"/>
      <c r="H1784" s="36"/>
      <c r="J1784" s="36"/>
      <c r="L1784" s="1" t="str">
        <f t="shared" si="119"/>
        <v/>
      </c>
      <c r="M1784" s="94"/>
      <c r="N1784" s="36"/>
      <c r="O1784" s="95"/>
      <c r="P1784" s="36"/>
      <c r="AI1784" s="122">
        <v>1472</v>
      </c>
      <c r="AJ1784" s="1" t="s">
        <v>3133</v>
      </c>
      <c r="AK1784" s="1">
        <v>311179</v>
      </c>
      <c r="AL1784" s="1" t="s">
        <v>930</v>
      </c>
      <c r="AN1784" s="270">
        <v>878</v>
      </c>
      <c r="BS1784" s="1">
        <v>11411</v>
      </c>
      <c r="BT1784" s="1" t="s">
        <v>75</v>
      </c>
      <c r="BX1784" s="36"/>
    </row>
    <row r="1785" spans="2:76" ht="14.25">
      <c r="B1785" s="36"/>
      <c r="C1785" s="36"/>
      <c r="D1785" s="36"/>
      <c r="E1785" s="36"/>
      <c r="F1785" s="36"/>
      <c r="G1785" s="36"/>
      <c r="H1785" s="36"/>
      <c r="J1785" s="36"/>
      <c r="L1785" s="1" t="str">
        <f t="shared" si="119"/>
        <v/>
      </c>
      <c r="M1785" s="94"/>
      <c r="N1785" s="36"/>
      <c r="O1785" s="95"/>
      <c r="P1785" s="36"/>
      <c r="AI1785" s="122">
        <v>1473</v>
      </c>
      <c r="AJ1785" s="1" t="s">
        <v>3134</v>
      </c>
      <c r="AK1785" s="1">
        <v>311180</v>
      </c>
      <c r="AL1785" s="1" t="s">
        <v>115</v>
      </c>
      <c r="AN1785" s="270">
        <v>879</v>
      </c>
      <c r="BS1785" s="1">
        <v>11412</v>
      </c>
      <c r="BT1785" s="1" t="s">
        <v>75</v>
      </c>
      <c r="BX1785" s="36"/>
    </row>
    <row r="1786" spans="2:76" ht="14.25">
      <c r="B1786" s="36"/>
      <c r="C1786" s="36"/>
      <c r="D1786" s="36"/>
      <c r="E1786" s="36"/>
      <c r="F1786" s="36"/>
      <c r="G1786" s="36"/>
      <c r="H1786" s="36"/>
      <c r="J1786" s="36"/>
      <c r="L1786" s="1" t="str">
        <f t="shared" si="119"/>
        <v/>
      </c>
      <c r="M1786" s="94"/>
      <c r="N1786" s="36"/>
      <c r="O1786" s="95"/>
      <c r="P1786" s="36"/>
      <c r="AI1786" s="122">
        <v>1474</v>
      </c>
      <c r="AJ1786" s="1" t="s">
        <v>3135</v>
      </c>
      <c r="AK1786" s="1">
        <v>311181</v>
      </c>
      <c r="AL1786" s="1" t="s">
        <v>930</v>
      </c>
      <c r="AN1786" s="270">
        <v>880</v>
      </c>
      <c r="BS1786" s="1">
        <v>11413</v>
      </c>
      <c r="BT1786" s="1" t="s">
        <v>75</v>
      </c>
      <c r="BX1786" s="36"/>
    </row>
    <row r="1787" spans="2:76" ht="14.25">
      <c r="B1787" s="36"/>
      <c r="C1787" s="36"/>
      <c r="D1787" s="36"/>
      <c r="E1787" s="36"/>
      <c r="F1787" s="36"/>
      <c r="G1787" s="36"/>
      <c r="H1787" s="36"/>
      <c r="J1787" s="36"/>
      <c r="L1787" s="1" t="str">
        <f t="shared" si="119"/>
        <v/>
      </c>
      <c r="M1787" s="94"/>
      <c r="N1787" s="36"/>
      <c r="O1787" s="95"/>
      <c r="P1787" s="36"/>
      <c r="AI1787" s="122">
        <v>1475</v>
      </c>
      <c r="AJ1787" s="1" t="s">
        <v>3136</v>
      </c>
      <c r="AK1787" s="1">
        <v>311182</v>
      </c>
      <c r="AL1787" s="1" t="s">
        <v>115</v>
      </c>
      <c r="AN1787" s="270">
        <v>881</v>
      </c>
      <c r="BS1787" s="1">
        <v>11414</v>
      </c>
      <c r="BT1787" s="1" t="s">
        <v>75</v>
      </c>
      <c r="BX1787" s="36"/>
    </row>
    <row r="1788" spans="2:76" ht="14.25">
      <c r="B1788" s="36"/>
      <c r="C1788" s="36"/>
      <c r="D1788" s="36"/>
      <c r="E1788" s="36"/>
      <c r="F1788" s="36"/>
      <c r="G1788" s="36"/>
      <c r="H1788" s="36"/>
      <c r="J1788" s="36"/>
      <c r="L1788" s="1" t="str">
        <f t="shared" si="119"/>
        <v/>
      </c>
      <c r="M1788" s="94"/>
      <c r="N1788" s="36"/>
      <c r="O1788" s="95"/>
      <c r="P1788" s="36"/>
      <c r="AI1788" s="122">
        <v>1476</v>
      </c>
      <c r="AJ1788" s="1" t="s">
        <v>3137</v>
      </c>
      <c r="AK1788" s="1">
        <v>311183</v>
      </c>
      <c r="AL1788" s="1" t="s">
        <v>930</v>
      </c>
      <c r="AN1788" s="270">
        <v>882</v>
      </c>
      <c r="BS1788" s="1">
        <v>11415</v>
      </c>
      <c r="BT1788" s="1" t="s">
        <v>75</v>
      </c>
      <c r="BX1788" s="36"/>
    </row>
    <row r="1789" spans="2:76" ht="14.25">
      <c r="B1789" s="36"/>
      <c r="C1789" s="36"/>
      <c r="D1789" s="36"/>
      <c r="E1789" s="36"/>
      <c r="F1789" s="36"/>
      <c r="G1789" s="36"/>
      <c r="H1789" s="36"/>
      <c r="J1789" s="36"/>
      <c r="L1789" s="1" t="str">
        <f t="shared" si="119"/>
        <v/>
      </c>
      <c r="M1789" s="94"/>
      <c r="N1789" s="36"/>
      <c r="O1789" s="95"/>
      <c r="P1789" s="36"/>
      <c r="AI1789" s="122">
        <v>1477</v>
      </c>
      <c r="AJ1789" s="1" t="s">
        <v>3138</v>
      </c>
      <c r="AK1789" s="1">
        <v>311184</v>
      </c>
      <c r="AL1789" s="1" t="s">
        <v>115</v>
      </c>
      <c r="AN1789" s="270">
        <v>883</v>
      </c>
      <c r="BS1789" s="1">
        <v>11416</v>
      </c>
      <c r="BT1789" s="1" t="s">
        <v>75</v>
      </c>
      <c r="BX1789" s="36"/>
    </row>
    <row r="1790" spans="2:76" ht="14.25">
      <c r="B1790" s="36"/>
      <c r="C1790" s="36"/>
      <c r="D1790" s="36"/>
      <c r="E1790" s="36"/>
      <c r="F1790" s="36"/>
      <c r="G1790" s="36"/>
      <c r="H1790" s="36"/>
      <c r="J1790" s="36"/>
      <c r="L1790" s="1" t="str">
        <f t="shared" si="119"/>
        <v/>
      </c>
      <c r="M1790" s="94"/>
      <c r="N1790" s="36"/>
      <c r="O1790" s="95"/>
      <c r="P1790" s="36"/>
      <c r="AI1790" s="122">
        <v>1478</v>
      </c>
      <c r="AJ1790" s="1" t="s">
        <v>3139</v>
      </c>
      <c r="AK1790" s="1">
        <v>311185</v>
      </c>
      <c r="AL1790" s="1" t="s">
        <v>930</v>
      </c>
      <c r="AN1790" s="270">
        <v>884</v>
      </c>
      <c r="BS1790" s="1">
        <v>11417</v>
      </c>
      <c r="BT1790" s="1" t="s">
        <v>75</v>
      </c>
      <c r="BX1790" s="36"/>
    </row>
    <row r="1791" spans="2:76" ht="14.25">
      <c r="B1791" s="36"/>
      <c r="C1791" s="36"/>
      <c r="D1791" s="36"/>
      <c r="E1791" s="36"/>
      <c r="F1791" s="36"/>
      <c r="G1791" s="36"/>
      <c r="H1791" s="36"/>
      <c r="J1791" s="36"/>
      <c r="L1791" s="1" t="str">
        <f t="shared" si="119"/>
        <v/>
      </c>
      <c r="M1791" s="94"/>
      <c r="N1791" s="36"/>
      <c r="O1791" s="95"/>
      <c r="P1791" s="36"/>
      <c r="AI1791" s="122">
        <v>1479</v>
      </c>
      <c r="AJ1791" s="1" t="s">
        <v>3140</v>
      </c>
      <c r="AK1791" s="1">
        <v>311186</v>
      </c>
      <c r="AL1791" s="1" t="s">
        <v>115</v>
      </c>
      <c r="AN1791" s="270">
        <v>885</v>
      </c>
      <c r="BS1791" s="1">
        <v>11418</v>
      </c>
      <c r="BT1791" s="1" t="s">
        <v>75</v>
      </c>
      <c r="BX1791" s="36"/>
    </row>
    <row r="1792" spans="2:76" ht="14.25">
      <c r="B1792" s="36"/>
      <c r="C1792" s="36"/>
      <c r="D1792" s="36"/>
      <c r="E1792" s="36"/>
      <c r="F1792" s="36"/>
      <c r="G1792" s="36"/>
      <c r="H1792" s="36"/>
      <c r="J1792" s="36"/>
      <c r="L1792" s="1" t="str">
        <f t="shared" si="119"/>
        <v/>
      </c>
      <c r="M1792" s="94"/>
      <c r="N1792" s="36"/>
      <c r="O1792" s="95"/>
      <c r="P1792" s="36"/>
      <c r="AI1792" s="122">
        <v>1480</v>
      </c>
      <c r="AJ1792" s="1" t="s">
        <v>3141</v>
      </c>
      <c r="AK1792" s="1">
        <v>311187</v>
      </c>
      <c r="AL1792" s="1" t="s">
        <v>930</v>
      </c>
      <c r="AN1792" s="270">
        <v>886</v>
      </c>
      <c r="BS1792" s="1">
        <v>11419</v>
      </c>
      <c r="BT1792" s="1" t="s">
        <v>75</v>
      </c>
      <c r="BX1792" s="36"/>
    </row>
    <row r="1793" spans="2:76" ht="14.25">
      <c r="B1793" s="36"/>
      <c r="C1793" s="36"/>
      <c r="D1793" s="36"/>
      <c r="E1793" s="36"/>
      <c r="F1793" s="36"/>
      <c r="G1793" s="36"/>
      <c r="H1793" s="36"/>
      <c r="J1793" s="36"/>
      <c r="L1793" s="1" t="str">
        <f t="shared" si="119"/>
        <v/>
      </c>
      <c r="M1793" s="94"/>
      <c r="N1793" s="36"/>
      <c r="O1793" s="95"/>
      <c r="P1793" s="36"/>
      <c r="AI1793" s="122">
        <v>1481</v>
      </c>
      <c r="AJ1793" s="1" t="s">
        <v>3142</v>
      </c>
      <c r="AK1793" s="1">
        <v>311188</v>
      </c>
      <c r="AL1793" s="1" t="s">
        <v>930</v>
      </c>
      <c r="AN1793" s="270">
        <v>887</v>
      </c>
      <c r="BS1793" s="1">
        <v>11420</v>
      </c>
      <c r="BT1793" s="1" t="s">
        <v>75</v>
      </c>
      <c r="BX1793" s="36"/>
    </row>
    <row r="1794" spans="2:76" ht="14.25">
      <c r="B1794" s="36"/>
      <c r="C1794" s="36"/>
      <c r="D1794" s="36"/>
      <c r="E1794" s="36"/>
      <c r="F1794" s="36"/>
      <c r="G1794" s="36"/>
      <c r="H1794" s="36"/>
      <c r="J1794" s="36"/>
      <c r="L1794" s="1" t="str">
        <f t="shared" si="119"/>
        <v/>
      </c>
      <c r="M1794" s="94"/>
      <c r="N1794" s="36"/>
      <c r="O1794" s="95"/>
      <c r="P1794" s="36"/>
      <c r="AI1794" s="122">
        <v>1482</v>
      </c>
      <c r="AJ1794" s="1" t="s">
        <v>3143</v>
      </c>
      <c r="AK1794" s="1">
        <v>311189</v>
      </c>
      <c r="AL1794" s="1" t="s">
        <v>115</v>
      </c>
      <c r="AN1794" s="270">
        <v>888</v>
      </c>
      <c r="BS1794" s="1">
        <v>11421</v>
      </c>
      <c r="BT1794" s="1" t="s">
        <v>75</v>
      </c>
      <c r="BX1794" s="36"/>
    </row>
    <row r="1795" spans="2:76" ht="14.25">
      <c r="B1795" s="36"/>
      <c r="C1795" s="36"/>
      <c r="D1795" s="36"/>
      <c r="E1795" s="36"/>
      <c r="F1795" s="36"/>
      <c r="G1795" s="36"/>
      <c r="H1795" s="36"/>
      <c r="J1795" s="36"/>
      <c r="L1795" s="1" t="str">
        <f t="shared" si="119"/>
        <v/>
      </c>
      <c r="M1795" s="94"/>
      <c r="N1795" s="36"/>
      <c r="O1795" s="95"/>
      <c r="P1795" s="36"/>
      <c r="AI1795" s="122">
        <v>1483</v>
      </c>
      <c r="AJ1795" s="1" t="s">
        <v>3144</v>
      </c>
      <c r="AK1795" s="1">
        <v>311190</v>
      </c>
      <c r="AL1795" s="1" t="s">
        <v>930</v>
      </c>
      <c r="AN1795" s="270">
        <v>889</v>
      </c>
      <c r="BS1795" s="1">
        <v>11422</v>
      </c>
      <c r="BT1795" s="1" t="s">
        <v>75</v>
      </c>
      <c r="BX1795" s="36"/>
    </row>
    <row r="1796" spans="2:76" ht="14.25">
      <c r="B1796" s="36"/>
      <c r="C1796" s="36"/>
      <c r="D1796" s="36"/>
      <c r="E1796" s="36"/>
      <c r="F1796" s="36"/>
      <c r="G1796" s="36"/>
      <c r="H1796" s="36"/>
      <c r="J1796" s="36"/>
      <c r="L1796" s="1" t="str">
        <f t="shared" ref="L1796:L1859" si="120">IF(AND(MIN(I:I)&lt;20,MAX(I:I)&gt;980,I1796&lt;20),I1796,"")</f>
        <v/>
      </c>
      <c r="M1796" s="94"/>
      <c r="N1796" s="36"/>
      <c r="O1796" s="95"/>
      <c r="P1796" s="36"/>
      <c r="AI1796" s="122">
        <v>1484</v>
      </c>
      <c r="AJ1796" s="1" t="s">
        <v>3145</v>
      </c>
      <c r="AK1796" s="1">
        <v>311191</v>
      </c>
      <c r="AL1796" s="1" t="s">
        <v>115</v>
      </c>
      <c r="AN1796" s="270">
        <v>890</v>
      </c>
      <c r="BS1796" s="1">
        <v>11423</v>
      </c>
      <c r="BT1796" s="1" t="s">
        <v>75</v>
      </c>
      <c r="BX1796" s="36"/>
    </row>
    <row r="1797" spans="2:76" ht="14.25">
      <c r="B1797" s="36"/>
      <c r="C1797" s="36"/>
      <c r="D1797" s="36"/>
      <c r="E1797" s="36"/>
      <c r="F1797" s="36"/>
      <c r="G1797" s="36"/>
      <c r="H1797" s="36"/>
      <c r="J1797" s="36"/>
      <c r="L1797" s="1" t="str">
        <f t="shared" si="120"/>
        <v/>
      </c>
      <c r="M1797" s="94"/>
      <c r="N1797" s="36"/>
      <c r="O1797" s="95"/>
      <c r="P1797" s="36"/>
      <c r="AI1797" s="122">
        <v>1485</v>
      </c>
      <c r="AJ1797" s="1" t="s">
        <v>3146</v>
      </c>
      <c r="AK1797" s="1">
        <v>311192</v>
      </c>
      <c r="AL1797" s="1" t="s">
        <v>930</v>
      </c>
      <c r="AN1797" s="270">
        <v>891</v>
      </c>
      <c r="BS1797" s="1">
        <v>11424</v>
      </c>
      <c r="BT1797" s="1" t="s">
        <v>75</v>
      </c>
      <c r="BX1797" s="36"/>
    </row>
    <row r="1798" spans="2:76" ht="14.25">
      <c r="B1798" s="36"/>
      <c r="C1798" s="36"/>
      <c r="D1798" s="36"/>
      <c r="E1798" s="36"/>
      <c r="F1798" s="36"/>
      <c r="G1798" s="36"/>
      <c r="H1798" s="36"/>
      <c r="J1798" s="36"/>
      <c r="L1798" s="1" t="str">
        <f t="shared" si="120"/>
        <v/>
      </c>
      <c r="M1798" s="94"/>
      <c r="N1798" s="36"/>
      <c r="O1798" s="95"/>
      <c r="P1798" s="36"/>
      <c r="AI1798" s="122">
        <v>1486</v>
      </c>
      <c r="AJ1798" s="1" t="s">
        <v>3147</v>
      </c>
      <c r="AK1798" s="1">
        <v>311193</v>
      </c>
      <c r="AL1798" s="1" t="s">
        <v>115</v>
      </c>
      <c r="AN1798" s="270">
        <v>892</v>
      </c>
      <c r="BS1798" s="1">
        <v>11425</v>
      </c>
      <c r="BT1798" s="1" t="s">
        <v>75</v>
      </c>
      <c r="BX1798" s="36"/>
    </row>
    <row r="1799" spans="2:76" ht="14.25">
      <c r="B1799" s="36"/>
      <c r="C1799" s="36"/>
      <c r="D1799" s="36"/>
      <c r="E1799" s="36"/>
      <c r="F1799" s="36"/>
      <c r="G1799" s="36"/>
      <c r="H1799" s="36"/>
      <c r="J1799" s="36"/>
      <c r="L1799" s="1" t="str">
        <f t="shared" si="120"/>
        <v/>
      </c>
      <c r="M1799" s="94"/>
      <c r="N1799" s="36"/>
      <c r="O1799" s="95"/>
      <c r="P1799" s="36"/>
      <c r="AI1799" s="122">
        <v>1487</v>
      </c>
      <c r="AJ1799" s="1" t="s">
        <v>3148</v>
      </c>
      <c r="AK1799" s="1">
        <v>311194</v>
      </c>
      <c r="AL1799" s="1" t="s">
        <v>930</v>
      </c>
      <c r="AN1799" s="270">
        <v>893</v>
      </c>
      <c r="BS1799" s="1">
        <v>11426</v>
      </c>
      <c r="BT1799" s="1" t="s">
        <v>75</v>
      </c>
      <c r="BX1799" s="36"/>
    </row>
    <row r="1800" spans="2:76" ht="14.25">
      <c r="B1800" s="36"/>
      <c r="C1800" s="36"/>
      <c r="D1800" s="36"/>
      <c r="E1800" s="36"/>
      <c r="F1800" s="36"/>
      <c r="G1800" s="36"/>
      <c r="H1800" s="36"/>
      <c r="J1800" s="36"/>
      <c r="L1800" s="1" t="str">
        <f t="shared" si="120"/>
        <v/>
      </c>
      <c r="M1800" s="94"/>
      <c r="N1800" s="36"/>
      <c r="O1800" s="95"/>
      <c r="P1800" s="36"/>
      <c r="AI1800" s="122">
        <v>1488</v>
      </c>
      <c r="AJ1800" s="1" t="s">
        <v>3149</v>
      </c>
      <c r="AK1800" s="1">
        <v>311195</v>
      </c>
      <c r="AL1800" s="1" t="s">
        <v>930</v>
      </c>
      <c r="AN1800" s="270">
        <v>894</v>
      </c>
      <c r="BS1800" s="1">
        <v>11427</v>
      </c>
      <c r="BT1800" s="1" t="s">
        <v>75</v>
      </c>
      <c r="BX1800" s="36"/>
    </row>
    <row r="1801" spans="2:76" ht="14.25">
      <c r="B1801" s="36"/>
      <c r="C1801" s="36"/>
      <c r="D1801" s="36"/>
      <c r="E1801" s="36"/>
      <c r="F1801" s="36"/>
      <c r="G1801" s="36"/>
      <c r="H1801" s="36"/>
      <c r="J1801" s="36"/>
      <c r="L1801" s="1" t="str">
        <f t="shared" si="120"/>
        <v/>
      </c>
      <c r="M1801" s="94"/>
      <c r="N1801" s="36"/>
      <c r="O1801" s="95"/>
      <c r="P1801" s="36"/>
      <c r="AI1801" s="122">
        <v>1489</v>
      </c>
      <c r="AJ1801" s="1" t="s">
        <v>3150</v>
      </c>
      <c r="AK1801" s="1">
        <v>311196</v>
      </c>
      <c r="AL1801" s="1" t="s">
        <v>115</v>
      </c>
      <c r="AN1801" s="270">
        <v>895</v>
      </c>
      <c r="BS1801" s="1">
        <v>11428</v>
      </c>
      <c r="BT1801" s="1" t="s">
        <v>75</v>
      </c>
      <c r="BX1801" s="36"/>
    </row>
    <row r="1802" spans="2:76" ht="14.25">
      <c r="B1802" s="36"/>
      <c r="C1802" s="36"/>
      <c r="D1802" s="36"/>
      <c r="E1802" s="36"/>
      <c r="F1802" s="36"/>
      <c r="G1802" s="36"/>
      <c r="H1802" s="36"/>
      <c r="J1802" s="36"/>
      <c r="L1802" s="1" t="str">
        <f t="shared" si="120"/>
        <v/>
      </c>
      <c r="M1802" s="94"/>
      <c r="N1802" s="36"/>
      <c r="O1802" s="95"/>
      <c r="P1802" s="36"/>
      <c r="AI1802" s="122">
        <v>1490</v>
      </c>
      <c r="AJ1802" s="1" t="s">
        <v>3151</v>
      </c>
      <c r="AK1802" s="1">
        <v>311197</v>
      </c>
      <c r="AL1802" s="1" t="s">
        <v>930</v>
      </c>
      <c r="AN1802" s="270">
        <v>896</v>
      </c>
      <c r="BS1802" s="1">
        <v>11429</v>
      </c>
      <c r="BT1802" s="1" t="s">
        <v>75</v>
      </c>
      <c r="BX1802" s="36"/>
    </row>
    <row r="1803" spans="2:76" ht="14.25">
      <c r="B1803" s="36"/>
      <c r="C1803" s="36"/>
      <c r="D1803" s="36"/>
      <c r="E1803" s="36"/>
      <c r="F1803" s="36"/>
      <c r="G1803" s="36"/>
      <c r="H1803" s="36"/>
      <c r="J1803" s="36"/>
      <c r="L1803" s="1" t="str">
        <f t="shared" si="120"/>
        <v/>
      </c>
      <c r="M1803" s="94"/>
      <c r="N1803" s="36"/>
      <c r="O1803" s="95"/>
      <c r="P1803" s="36"/>
      <c r="AI1803" s="122">
        <v>1491</v>
      </c>
      <c r="AJ1803" s="1" t="s">
        <v>3152</v>
      </c>
      <c r="AK1803" s="1">
        <v>311198</v>
      </c>
      <c r="AL1803" s="1" t="s">
        <v>115</v>
      </c>
      <c r="AN1803" s="270">
        <v>897</v>
      </c>
      <c r="BS1803" s="1">
        <v>11430</v>
      </c>
      <c r="BT1803" s="1" t="s">
        <v>75</v>
      </c>
      <c r="BX1803" s="36"/>
    </row>
    <row r="1804" spans="2:76" ht="14.25">
      <c r="B1804" s="36"/>
      <c r="C1804" s="36"/>
      <c r="D1804" s="36"/>
      <c r="E1804" s="36"/>
      <c r="F1804" s="36"/>
      <c r="G1804" s="36"/>
      <c r="H1804" s="36"/>
      <c r="J1804" s="36"/>
      <c r="L1804" s="1" t="str">
        <f t="shared" si="120"/>
        <v/>
      </c>
      <c r="M1804" s="94"/>
      <c r="N1804" s="36"/>
      <c r="O1804" s="95"/>
      <c r="P1804" s="36"/>
      <c r="AI1804" s="122">
        <v>1492</v>
      </c>
      <c r="AJ1804" s="1" t="s">
        <v>3153</v>
      </c>
      <c r="AK1804" s="1">
        <v>311199</v>
      </c>
      <c r="AL1804" s="1" t="s">
        <v>930</v>
      </c>
      <c r="AN1804" s="270">
        <v>898</v>
      </c>
      <c r="BS1804" s="1">
        <v>11431</v>
      </c>
      <c r="BT1804" s="1" t="s">
        <v>75</v>
      </c>
      <c r="BX1804" s="36"/>
    </row>
    <row r="1805" spans="2:76" ht="14.25">
      <c r="B1805" s="36"/>
      <c r="C1805" s="36"/>
      <c r="D1805" s="36"/>
      <c r="E1805" s="36"/>
      <c r="F1805" s="36"/>
      <c r="G1805" s="36"/>
      <c r="H1805" s="36"/>
      <c r="J1805" s="36"/>
      <c r="L1805" s="1" t="str">
        <f t="shared" si="120"/>
        <v/>
      </c>
      <c r="M1805" s="94"/>
      <c r="N1805" s="36"/>
      <c r="O1805" s="95"/>
      <c r="P1805" s="36"/>
      <c r="AI1805" s="122">
        <v>1493</v>
      </c>
      <c r="AJ1805" s="1" t="s">
        <v>3154</v>
      </c>
      <c r="AK1805" s="1">
        <v>311200</v>
      </c>
      <c r="AL1805" s="1" t="s">
        <v>115</v>
      </c>
      <c r="AN1805" s="270">
        <v>899</v>
      </c>
      <c r="BS1805" s="1">
        <v>11432</v>
      </c>
      <c r="BT1805" s="1" t="s">
        <v>75</v>
      </c>
      <c r="BX1805" s="36"/>
    </row>
    <row r="1806" spans="2:76" ht="14.25">
      <c r="B1806" s="36"/>
      <c r="C1806" s="36"/>
      <c r="D1806" s="36"/>
      <c r="E1806" s="36"/>
      <c r="F1806" s="36"/>
      <c r="G1806" s="36"/>
      <c r="H1806" s="36"/>
      <c r="J1806" s="36"/>
      <c r="L1806" s="1" t="str">
        <f t="shared" si="120"/>
        <v/>
      </c>
      <c r="M1806" s="94"/>
      <c r="N1806" s="36"/>
      <c r="O1806" s="95"/>
      <c r="P1806" s="36"/>
      <c r="AI1806" s="122">
        <v>1494</v>
      </c>
      <c r="AJ1806" s="1" t="s">
        <v>3155</v>
      </c>
      <c r="AK1806" s="1">
        <v>311201</v>
      </c>
      <c r="AL1806" s="1" t="s">
        <v>930</v>
      </c>
      <c r="AN1806" s="270">
        <v>900</v>
      </c>
      <c r="BS1806" s="1">
        <v>11433</v>
      </c>
      <c r="BT1806" s="1" t="s">
        <v>75</v>
      </c>
      <c r="BX1806" s="36"/>
    </row>
    <row r="1807" spans="2:76" ht="14.25">
      <c r="B1807" s="36"/>
      <c r="C1807" s="36"/>
      <c r="D1807" s="36"/>
      <c r="E1807" s="36"/>
      <c r="F1807" s="36"/>
      <c r="G1807" s="36"/>
      <c r="H1807" s="36"/>
      <c r="J1807" s="36"/>
      <c r="L1807" s="1" t="str">
        <f t="shared" si="120"/>
        <v/>
      </c>
      <c r="M1807" s="94"/>
      <c r="N1807" s="36"/>
      <c r="O1807" s="95"/>
      <c r="P1807" s="36"/>
      <c r="AI1807" s="122">
        <v>1495</v>
      </c>
      <c r="AJ1807" s="1" t="s">
        <v>3156</v>
      </c>
      <c r="AK1807" s="1">
        <v>311202</v>
      </c>
      <c r="AL1807" s="1" t="s">
        <v>115</v>
      </c>
      <c r="AN1807" s="270">
        <v>901</v>
      </c>
      <c r="BS1807" s="1">
        <v>11434</v>
      </c>
      <c r="BT1807" s="1" t="s">
        <v>75</v>
      </c>
      <c r="BX1807" s="36"/>
    </row>
    <row r="1808" spans="2:76" ht="14.25">
      <c r="B1808" s="36"/>
      <c r="C1808" s="36"/>
      <c r="D1808" s="36"/>
      <c r="E1808" s="36"/>
      <c r="F1808" s="36"/>
      <c r="G1808" s="36"/>
      <c r="H1808" s="36"/>
      <c r="J1808" s="36"/>
      <c r="L1808" s="1" t="str">
        <f t="shared" si="120"/>
        <v/>
      </c>
      <c r="M1808" s="94"/>
      <c r="N1808" s="36"/>
      <c r="O1808" s="95"/>
      <c r="P1808" s="36"/>
      <c r="AI1808" s="122">
        <v>1496</v>
      </c>
      <c r="AJ1808" s="1" t="s">
        <v>3157</v>
      </c>
      <c r="AK1808" s="1">
        <v>311203</v>
      </c>
      <c r="AL1808" s="1" t="s">
        <v>930</v>
      </c>
      <c r="AN1808" s="270">
        <v>902</v>
      </c>
      <c r="BS1808" s="1">
        <v>11435</v>
      </c>
      <c r="BT1808" s="1" t="s">
        <v>75</v>
      </c>
      <c r="BX1808" s="36"/>
    </row>
    <row r="1809" spans="2:76" ht="14.25">
      <c r="B1809" s="36"/>
      <c r="C1809" s="36"/>
      <c r="D1809" s="36"/>
      <c r="E1809" s="36"/>
      <c r="F1809" s="36"/>
      <c r="G1809" s="36"/>
      <c r="H1809" s="36"/>
      <c r="J1809" s="36"/>
      <c r="L1809" s="1" t="str">
        <f t="shared" si="120"/>
        <v/>
      </c>
      <c r="M1809" s="94"/>
      <c r="N1809" s="36"/>
      <c r="O1809" s="95"/>
      <c r="P1809" s="36"/>
      <c r="AI1809" s="122">
        <v>1497</v>
      </c>
      <c r="AJ1809" s="1" t="s">
        <v>3158</v>
      </c>
      <c r="AK1809" s="1">
        <v>311204</v>
      </c>
      <c r="AL1809" s="1" t="s">
        <v>930</v>
      </c>
      <c r="AN1809" s="270">
        <v>903</v>
      </c>
      <c r="BS1809" s="1">
        <v>11436</v>
      </c>
      <c r="BT1809" s="1" t="s">
        <v>75</v>
      </c>
      <c r="BX1809" s="36"/>
    </row>
    <row r="1810" spans="2:76" ht="14.25">
      <c r="B1810" s="36"/>
      <c r="C1810" s="36"/>
      <c r="D1810" s="36"/>
      <c r="E1810" s="36"/>
      <c r="F1810" s="36"/>
      <c r="G1810" s="36"/>
      <c r="H1810" s="36"/>
      <c r="J1810" s="36"/>
      <c r="L1810" s="1" t="str">
        <f t="shared" si="120"/>
        <v/>
      </c>
      <c r="M1810" s="94"/>
      <c r="N1810" s="36"/>
      <c r="O1810" s="95"/>
      <c r="P1810" s="36"/>
      <c r="AI1810" s="122">
        <v>1498</v>
      </c>
      <c r="AJ1810" s="1" t="s">
        <v>3159</v>
      </c>
      <c r="AK1810" s="1">
        <v>311205</v>
      </c>
      <c r="AL1810" s="1" t="s">
        <v>115</v>
      </c>
      <c r="AN1810" s="270">
        <v>904</v>
      </c>
      <c r="BS1810" s="1">
        <v>11437</v>
      </c>
      <c r="BT1810" s="1" t="s">
        <v>75</v>
      </c>
      <c r="BX1810" s="36"/>
    </row>
    <row r="1811" spans="2:76" ht="14.25">
      <c r="B1811" s="36"/>
      <c r="C1811" s="36"/>
      <c r="D1811" s="36"/>
      <c r="E1811" s="36"/>
      <c r="F1811" s="36"/>
      <c r="G1811" s="36"/>
      <c r="H1811" s="36"/>
      <c r="J1811" s="36"/>
      <c r="L1811" s="1" t="str">
        <f t="shared" si="120"/>
        <v/>
      </c>
      <c r="M1811" s="94"/>
      <c r="N1811" s="36"/>
      <c r="O1811" s="95"/>
      <c r="P1811" s="36"/>
      <c r="AI1811" s="122">
        <v>1499</v>
      </c>
      <c r="AJ1811" s="1" t="s">
        <v>3160</v>
      </c>
      <c r="AK1811" s="1">
        <v>311206</v>
      </c>
      <c r="AL1811" s="1" t="s">
        <v>930</v>
      </c>
      <c r="AN1811" s="270">
        <v>905</v>
      </c>
      <c r="BS1811" s="1">
        <v>11438</v>
      </c>
      <c r="BT1811" s="1" t="s">
        <v>75</v>
      </c>
      <c r="BX1811" s="36"/>
    </row>
    <row r="1812" spans="2:76" ht="14.25">
      <c r="B1812" s="36"/>
      <c r="C1812" s="36"/>
      <c r="D1812" s="36"/>
      <c r="E1812" s="36"/>
      <c r="F1812" s="36"/>
      <c r="G1812" s="36"/>
      <c r="H1812" s="36"/>
      <c r="J1812" s="36"/>
      <c r="L1812" s="1" t="str">
        <f t="shared" si="120"/>
        <v/>
      </c>
      <c r="M1812" s="94"/>
      <c r="N1812" s="36"/>
      <c r="O1812" s="95"/>
      <c r="P1812" s="36"/>
      <c r="AI1812" s="122">
        <v>1500</v>
      </c>
      <c r="AJ1812" s="1" t="s">
        <v>3161</v>
      </c>
      <c r="AK1812" s="1">
        <v>311207</v>
      </c>
      <c r="AL1812" s="1" t="s">
        <v>115</v>
      </c>
      <c r="AN1812" s="270">
        <v>906</v>
      </c>
      <c r="BS1812" s="1">
        <v>11439</v>
      </c>
      <c r="BT1812" s="1" t="s">
        <v>75</v>
      </c>
      <c r="BX1812" s="36"/>
    </row>
    <row r="1813" spans="2:76" ht="14.25">
      <c r="B1813" s="36"/>
      <c r="C1813" s="36"/>
      <c r="D1813" s="36"/>
      <c r="E1813" s="36"/>
      <c r="F1813" s="36"/>
      <c r="G1813" s="36"/>
      <c r="H1813" s="36"/>
      <c r="J1813" s="36"/>
      <c r="L1813" s="1" t="str">
        <f t="shared" si="120"/>
        <v/>
      </c>
      <c r="M1813" s="94"/>
      <c r="N1813" s="36"/>
      <c r="O1813" s="95"/>
      <c r="P1813" s="36"/>
      <c r="AI1813" s="122">
        <v>1501</v>
      </c>
      <c r="AJ1813" s="1" t="s">
        <v>3162</v>
      </c>
      <c r="AK1813" s="1">
        <v>311208</v>
      </c>
      <c r="AL1813" s="1" t="s">
        <v>930</v>
      </c>
      <c r="AN1813" s="270">
        <v>907</v>
      </c>
      <c r="BS1813" s="1">
        <v>11440</v>
      </c>
      <c r="BT1813" s="1" t="s">
        <v>75</v>
      </c>
      <c r="BX1813" s="36"/>
    </row>
    <row r="1814" spans="2:76" ht="14.25">
      <c r="B1814" s="36"/>
      <c r="C1814" s="36"/>
      <c r="D1814" s="36"/>
      <c r="E1814" s="36"/>
      <c r="F1814" s="36"/>
      <c r="G1814" s="36"/>
      <c r="H1814" s="36"/>
      <c r="J1814" s="36"/>
      <c r="L1814" s="1" t="str">
        <f t="shared" si="120"/>
        <v/>
      </c>
      <c r="M1814" s="94"/>
      <c r="N1814" s="36"/>
      <c r="O1814" s="95"/>
      <c r="P1814" s="36"/>
      <c r="AI1814" s="122">
        <v>1502</v>
      </c>
      <c r="AJ1814" s="1" t="s">
        <v>3163</v>
      </c>
      <c r="AK1814" s="1">
        <v>311209</v>
      </c>
      <c r="AL1814" s="1" t="s">
        <v>115</v>
      </c>
      <c r="AN1814" s="270">
        <v>908</v>
      </c>
      <c r="BS1814" s="1">
        <v>11441</v>
      </c>
      <c r="BT1814" s="1" t="s">
        <v>75</v>
      </c>
      <c r="BX1814" s="36"/>
    </row>
    <row r="1815" spans="2:76" ht="14.25">
      <c r="B1815" s="36"/>
      <c r="C1815" s="36"/>
      <c r="D1815" s="36"/>
      <c r="E1815" s="36"/>
      <c r="F1815" s="36"/>
      <c r="G1815" s="36"/>
      <c r="H1815" s="36"/>
      <c r="J1815" s="36"/>
      <c r="L1815" s="1" t="str">
        <f t="shared" si="120"/>
        <v/>
      </c>
      <c r="M1815" s="94"/>
      <c r="N1815" s="36"/>
      <c r="O1815" s="95"/>
      <c r="P1815" s="36"/>
      <c r="AI1815" s="122">
        <v>1503</v>
      </c>
      <c r="AJ1815" s="1" t="s">
        <v>3164</v>
      </c>
      <c r="AK1815" s="1">
        <v>311210</v>
      </c>
      <c r="AL1815" s="1" t="s">
        <v>930</v>
      </c>
      <c r="AN1815" s="270">
        <v>909</v>
      </c>
      <c r="BS1815" s="1">
        <v>11442</v>
      </c>
      <c r="BT1815" s="1" t="s">
        <v>75</v>
      </c>
      <c r="BX1815" s="36"/>
    </row>
    <row r="1816" spans="2:76" ht="14.25">
      <c r="B1816" s="36"/>
      <c r="C1816" s="36"/>
      <c r="D1816" s="36"/>
      <c r="E1816" s="36"/>
      <c r="F1816" s="36"/>
      <c r="G1816" s="36"/>
      <c r="H1816" s="36"/>
      <c r="J1816" s="36"/>
      <c r="L1816" s="1" t="str">
        <f t="shared" si="120"/>
        <v/>
      </c>
      <c r="M1816" s="94"/>
      <c r="N1816" s="36"/>
      <c r="O1816" s="95"/>
      <c r="P1816" s="36"/>
      <c r="AI1816" s="122">
        <v>1504</v>
      </c>
      <c r="AJ1816" s="1" t="s">
        <v>3165</v>
      </c>
      <c r="AK1816" s="1">
        <v>311211</v>
      </c>
      <c r="AL1816" s="1" t="s">
        <v>930</v>
      </c>
      <c r="AN1816" s="270">
        <v>910</v>
      </c>
      <c r="BS1816" s="1">
        <v>11443</v>
      </c>
      <c r="BT1816" s="1" t="s">
        <v>75</v>
      </c>
      <c r="BX1816" s="36"/>
    </row>
    <row r="1817" spans="2:76" ht="14.25">
      <c r="B1817" s="36"/>
      <c r="C1817" s="36"/>
      <c r="D1817" s="36"/>
      <c r="E1817" s="36"/>
      <c r="F1817" s="36"/>
      <c r="G1817" s="36"/>
      <c r="H1817" s="36"/>
      <c r="J1817" s="36"/>
      <c r="L1817" s="1" t="str">
        <f t="shared" si="120"/>
        <v/>
      </c>
      <c r="M1817" s="94"/>
      <c r="N1817" s="36"/>
      <c r="O1817" s="95"/>
      <c r="P1817" s="36"/>
      <c r="AI1817" s="122">
        <v>1505</v>
      </c>
      <c r="AJ1817" s="1" t="s">
        <v>3166</v>
      </c>
      <c r="AK1817" s="1">
        <v>311212</v>
      </c>
      <c r="AL1817" s="1" t="s">
        <v>115</v>
      </c>
      <c r="AN1817" s="270">
        <v>911</v>
      </c>
      <c r="BS1817" s="1">
        <v>11444</v>
      </c>
      <c r="BT1817" s="1" t="s">
        <v>75</v>
      </c>
      <c r="BX1817" s="36"/>
    </row>
    <row r="1818" spans="2:76" ht="14.25">
      <c r="B1818" s="36"/>
      <c r="C1818" s="36"/>
      <c r="D1818" s="36"/>
      <c r="E1818" s="36"/>
      <c r="F1818" s="36"/>
      <c r="G1818" s="36"/>
      <c r="H1818" s="36"/>
      <c r="J1818" s="36"/>
      <c r="L1818" s="1" t="str">
        <f t="shared" si="120"/>
        <v/>
      </c>
      <c r="M1818" s="94"/>
      <c r="N1818" s="36"/>
      <c r="O1818" s="95"/>
      <c r="P1818" s="36"/>
      <c r="AI1818" s="122">
        <v>1506</v>
      </c>
      <c r="AJ1818" s="1" t="s">
        <v>3167</v>
      </c>
      <c r="AK1818" s="1">
        <v>311213</v>
      </c>
      <c r="AL1818" s="1" t="s">
        <v>930</v>
      </c>
      <c r="AN1818" s="270">
        <v>912</v>
      </c>
      <c r="BS1818" s="1">
        <v>11445</v>
      </c>
      <c r="BT1818" s="1" t="s">
        <v>75</v>
      </c>
      <c r="BX1818" s="36"/>
    </row>
    <row r="1819" spans="2:76" ht="14.25">
      <c r="B1819" s="36"/>
      <c r="C1819" s="36"/>
      <c r="D1819" s="36"/>
      <c r="E1819" s="36"/>
      <c r="F1819" s="36"/>
      <c r="G1819" s="36"/>
      <c r="H1819" s="36"/>
      <c r="J1819" s="36"/>
      <c r="L1819" s="1" t="str">
        <f t="shared" si="120"/>
        <v/>
      </c>
      <c r="M1819" s="94"/>
      <c r="N1819" s="36"/>
      <c r="O1819" s="95"/>
      <c r="P1819" s="36"/>
      <c r="AI1819" s="122">
        <v>1507</v>
      </c>
      <c r="AJ1819" s="1" t="s">
        <v>3168</v>
      </c>
      <c r="AK1819" s="1">
        <v>311214</v>
      </c>
      <c r="AL1819" s="1" t="s">
        <v>115</v>
      </c>
      <c r="AN1819" s="270">
        <v>913</v>
      </c>
      <c r="BS1819" s="1">
        <v>11446</v>
      </c>
      <c r="BT1819" s="1" t="s">
        <v>75</v>
      </c>
      <c r="BX1819" s="36"/>
    </row>
    <row r="1820" spans="2:76" ht="14.25">
      <c r="B1820" s="36"/>
      <c r="C1820" s="36"/>
      <c r="D1820" s="36"/>
      <c r="E1820" s="36"/>
      <c r="F1820" s="36"/>
      <c r="G1820" s="36"/>
      <c r="H1820" s="36"/>
      <c r="J1820" s="36"/>
      <c r="L1820" s="1" t="str">
        <f t="shared" si="120"/>
        <v/>
      </c>
      <c r="M1820" s="94"/>
      <c r="N1820" s="36"/>
      <c r="O1820" s="95"/>
      <c r="P1820" s="36"/>
      <c r="AI1820" s="122">
        <v>1508</v>
      </c>
      <c r="AJ1820" s="1" t="s">
        <v>3169</v>
      </c>
      <c r="AK1820" s="1">
        <v>311215</v>
      </c>
      <c r="AL1820" s="1" t="s">
        <v>930</v>
      </c>
      <c r="AN1820" s="270">
        <v>914</v>
      </c>
      <c r="BS1820" s="1">
        <v>11447</v>
      </c>
      <c r="BT1820" s="1" t="s">
        <v>75</v>
      </c>
      <c r="BX1820" s="36"/>
    </row>
    <row r="1821" spans="2:76" ht="14.25">
      <c r="B1821" s="36"/>
      <c r="C1821" s="36"/>
      <c r="D1821" s="36"/>
      <c r="E1821" s="36"/>
      <c r="F1821" s="36"/>
      <c r="G1821" s="36"/>
      <c r="H1821" s="36"/>
      <c r="J1821" s="36"/>
      <c r="L1821" s="1" t="str">
        <f t="shared" si="120"/>
        <v/>
      </c>
      <c r="M1821" s="94"/>
      <c r="N1821" s="36"/>
      <c r="O1821" s="95"/>
      <c r="P1821" s="36"/>
      <c r="AI1821" s="122">
        <v>1509</v>
      </c>
      <c r="AJ1821" s="1" t="s">
        <v>3170</v>
      </c>
      <c r="AK1821" s="1">
        <v>311216</v>
      </c>
      <c r="AL1821" s="1" t="s">
        <v>115</v>
      </c>
      <c r="AN1821" s="270">
        <v>915</v>
      </c>
      <c r="BS1821" s="1">
        <v>11448</v>
      </c>
      <c r="BT1821" s="1" t="s">
        <v>75</v>
      </c>
      <c r="BX1821" s="36"/>
    </row>
    <row r="1822" spans="2:76" ht="14.25">
      <c r="B1822" s="36"/>
      <c r="C1822" s="36"/>
      <c r="D1822" s="36"/>
      <c r="E1822" s="36"/>
      <c r="F1822" s="36"/>
      <c r="G1822" s="36"/>
      <c r="H1822" s="36"/>
      <c r="J1822" s="36"/>
      <c r="L1822" s="1" t="str">
        <f t="shared" si="120"/>
        <v/>
      </c>
      <c r="M1822" s="94"/>
      <c r="N1822" s="36"/>
      <c r="O1822" s="95"/>
      <c r="P1822" s="36"/>
      <c r="AI1822" s="122">
        <v>1510</v>
      </c>
      <c r="AJ1822" s="1" t="s">
        <v>3171</v>
      </c>
      <c r="AK1822" s="1">
        <v>311217</v>
      </c>
      <c r="AL1822" s="1" t="s">
        <v>930</v>
      </c>
      <c r="AN1822" s="270">
        <v>916</v>
      </c>
      <c r="BS1822" s="1">
        <v>11449</v>
      </c>
      <c r="BT1822" s="1" t="s">
        <v>75</v>
      </c>
      <c r="BX1822" s="36"/>
    </row>
    <row r="1823" spans="2:76" ht="14.25">
      <c r="B1823" s="36"/>
      <c r="C1823" s="36"/>
      <c r="D1823" s="36"/>
      <c r="E1823" s="36"/>
      <c r="F1823" s="36"/>
      <c r="G1823" s="36"/>
      <c r="H1823" s="36"/>
      <c r="J1823" s="36"/>
      <c r="L1823" s="1" t="str">
        <f t="shared" si="120"/>
        <v/>
      </c>
      <c r="M1823" s="94"/>
      <c r="N1823" s="36"/>
      <c r="O1823" s="95"/>
      <c r="P1823" s="36"/>
      <c r="AI1823" s="122">
        <v>1511</v>
      </c>
      <c r="AJ1823" s="1" t="s">
        <v>3172</v>
      </c>
      <c r="AK1823" s="1">
        <v>311218</v>
      </c>
      <c r="AL1823" s="1" t="s">
        <v>115</v>
      </c>
      <c r="AN1823" s="270">
        <v>917</v>
      </c>
      <c r="BS1823" s="1">
        <v>11450</v>
      </c>
      <c r="BT1823" s="1" t="s">
        <v>75</v>
      </c>
      <c r="BX1823" s="36"/>
    </row>
    <row r="1824" spans="2:76" ht="14.25">
      <c r="B1824" s="36"/>
      <c r="C1824" s="36"/>
      <c r="D1824" s="36"/>
      <c r="E1824" s="36"/>
      <c r="F1824" s="36"/>
      <c r="G1824" s="36"/>
      <c r="H1824" s="36"/>
      <c r="J1824" s="36"/>
      <c r="L1824" s="1" t="str">
        <f t="shared" si="120"/>
        <v/>
      </c>
      <c r="M1824" s="94"/>
      <c r="N1824" s="36"/>
      <c r="O1824" s="95"/>
      <c r="P1824" s="36"/>
      <c r="AI1824" s="122">
        <v>1512</v>
      </c>
      <c r="AJ1824" s="1" t="s">
        <v>3173</v>
      </c>
      <c r="AK1824" s="1">
        <v>311219</v>
      </c>
      <c r="AL1824" s="1" t="s">
        <v>930</v>
      </c>
      <c r="AN1824" s="270">
        <v>918</v>
      </c>
      <c r="BS1824" s="1">
        <v>11451</v>
      </c>
      <c r="BT1824" s="1" t="s">
        <v>75</v>
      </c>
      <c r="BX1824" s="36"/>
    </row>
    <row r="1825" spans="2:76" ht="14.25">
      <c r="B1825" s="36"/>
      <c r="C1825" s="36"/>
      <c r="D1825" s="36"/>
      <c r="E1825" s="36"/>
      <c r="F1825" s="36"/>
      <c r="G1825" s="36"/>
      <c r="H1825" s="36"/>
      <c r="J1825" s="36"/>
      <c r="L1825" s="1" t="str">
        <f t="shared" si="120"/>
        <v/>
      </c>
      <c r="M1825" s="94"/>
      <c r="N1825" s="36"/>
      <c r="O1825" s="95"/>
      <c r="P1825" s="36"/>
      <c r="AI1825" s="122">
        <v>1513</v>
      </c>
      <c r="AJ1825" s="1" t="s">
        <v>3174</v>
      </c>
      <c r="AK1825" s="1">
        <v>311220</v>
      </c>
      <c r="AL1825" s="1" t="s">
        <v>930</v>
      </c>
      <c r="AN1825" s="270">
        <v>919</v>
      </c>
      <c r="BS1825" s="1">
        <v>11452</v>
      </c>
      <c r="BT1825" s="1" t="s">
        <v>75</v>
      </c>
      <c r="BX1825" s="36"/>
    </row>
    <row r="1826" spans="2:76" ht="14.25">
      <c r="B1826" s="36"/>
      <c r="C1826" s="36"/>
      <c r="D1826" s="36"/>
      <c r="E1826" s="36"/>
      <c r="F1826" s="36"/>
      <c r="G1826" s="36"/>
      <c r="H1826" s="36"/>
      <c r="J1826" s="36"/>
      <c r="L1826" s="1" t="str">
        <f t="shared" si="120"/>
        <v/>
      </c>
      <c r="M1826" s="94"/>
      <c r="N1826" s="36"/>
      <c r="O1826" s="95"/>
      <c r="P1826" s="36"/>
      <c r="AI1826" s="122">
        <v>1514</v>
      </c>
      <c r="AJ1826" s="1" t="s">
        <v>3175</v>
      </c>
      <c r="AK1826" s="1">
        <v>311221</v>
      </c>
      <c r="AL1826" s="1" t="s">
        <v>115</v>
      </c>
      <c r="AN1826" s="270">
        <v>920</v>
      </c>
      <c r="BS1826" s="1">
        <v>11453</v>
      </c>
      <c r="BT1826" s="1" t="s">
        <v>75</v>
      </c>
      <c r="BX1826" s="36"/>
    </row>
    <row r="1827" spans="2:76" ht="14.25">
      <c r="B1827" s="36"/>
      <c r="C1827" s="36"/>
      <c r="D1827" s="36"/>
      <c r="E1827" s="36"/>
      <c r="F1827" s="36"/>
      <c r="G1827" s="36"/>
      <c r="H1827" s="36"/>
      <c r="J1827" s="36"/>
      <c r="L1827" s="1" t="str">
        <f t="shared" si="120"/>
        <v/>
      </c>
      <c r="M1827" s="94"/>
      <c r="N1827" s="36"/>
      <c r="O1827" s="95"/>
      <c r="P1827" s="36"/>
      <c r="AI1827" s="122">
        <v>1515</v>
      </c>
      <c r="AJ1827" s="1" t="s">
        <v>3176</v>
      </c>
      <c r="AK1827" s="1">
        <v>311222</v>
      </c>
      <c r="AL1827" s="1" t="s">
        <v>930</v>
      </c>
      <c r="AN1827" s="270">
        <v>921</v>
      </c>
      <c r="BS1827" s="1">
        <v>11454</v>
      </c>
      <c r="BT1827" s="1" t="s">
        <v>75</v>
      </c>
      <c r="BX1827" s="36"/>
    </row>
    <row r="1828" spans="2:76" ht="14.25">
      <c r="B1828" s="36"/>
      <c r="C1828" s="36"/>
      <c r="D1828" s="36"/>
      <c r="E1828" s="36"/>
      <c r="F1828" s="36"/>
      <c r="G1828" s="36"/>
      <c r="H1828" s="36"/>
      <c r="J1828" s="36"/>
      <c r="L1828" s="1" t="str">
        <f t="shared" si="120"/>
        <v/>
      </c>
      <c r="M1828" s="94"/>
      <c r="N1828" s="36"/>
      <c r="O1828" s="95"/>
      <c r="P1828" s="36"/>
      <c r="AI1828" s="122">
        <v>1516</v>
      </c>
      <c r="AJ1828" s="1" t="s">
        <v>3177</v>
      </c>
      <c r="AK1828" s="1">
        <v>311223</v>
      </c>
      <c r="AL1828" s="1" t="s">
        <v>115</v>
      </c>
      <c r="AN1828" s="270">
        <v>922</v>
      </c>
      <c r="BS1828" s="1">
        <v>11455</v>
      </c>
      <c r="BT1828" s="1" t="s">
        <v>75</v>
      </c>
      <c r="BX1828" s="36"/>
    </row>
    <row r="1829" spans="2:76" ht="14.25">
      <c r="B1829" s="36"/>
      <c r="C1829" s="36"/>
      <c r="D1829" s="36"/>
      <c r="E1829" s="36"/>
      <c r="F1829" s="36"/>
      <c r="G1829" s="36"/>
      <c r="H1829" s="36"/>
      <c r="J1829" s="36"/>
      <c r="L1829" s="1" t="str">
        <f t="shared" si="120"/>
        <v/>
      </c>
      <c r="M1829" s="94"/>
      <c r="N1829" s="36"/>
      <c r="O1829" s="95"/>
      <c r="P1829" s="36"/>
      <c r="AI1829" s="122">
        <v>1517</v>
      </c>
      <c r="AJ1829" s="1" t="s">
        <v>3178</v>
      </c>
      <c r="AK1829" s="1">
        <v>311224</v>
      </c>
      <c r="AL1829" s="1" t="s">
        <v>930</v>
      </c>
      <c r="AN1829" s="270">
        <v>923</v>
      </c>
      <c r="BS1829" s="1">
        <v>11456</v>
      </c>
      <c r="BT1829" s="1" t="s">
        <v>75</v>
      </c>
      <c r="BX1829" s="36"/>
    </row>
    <row r="1830" spans="2:76" ht="14.25">
      <c r="B1830" s="36"/>
      <c r="C1830" s="36"/>
      <c r="D1830" s="36"/>
      <c r="E1830" s="36"/>
      <c r="F1830" s="36"/>
      <c r="G1830" s="36"/>
      <c r="H1830" s="36"/>
      <c r="J1830" s="36"/>
      <c r="L1830" s="1" t="str">
        <f t="shared" si="120"/>
        <v/>
      </c>
      <c r="M1830" s="94"/>
      <c r="N1830" s="36"/>
      <c r="O1830" s="95"/>
      <c r="P1830" s="36"/>
      <c r="AI1830" s="122">
        <v>1518</v>
      </c>
      <c r="AJ1830" s="1" t="s">
        <v>3179</v>
      </c>
      <c r="AK1830" s="1">
        <v>311225</v>
      </c>
      <c r="AL1830" s="1" t="s">
        <v>115</v>
      </c>
      <c r="AN1830" s="270">
        <v>924</v>
      </c>
      <c r="BS1830" s="1">
        <v>11457</v>
      </c>
      <c r="BT1830" s="1" t="s">
        <v>75</v>
      </c>
      <c r="BX1830" s="36"/>
    </row>
    <row r="1831" spans="2:76" ht="14.25">
      <c r="B1831" s="36"/>
      <c r="C1831" s="36"/>
      <c r="D1831" s="36"/>
      <c r="E1831" s="36"/>
      <c r="F1831" s="36"/>
      <c r="G1831" s="36"/>
      <c r="H1831" s="36"/>
      <c r="J1831" s="36"/>
      <c r="L1831" s="1" t="str">
        <f t="shared" si="120"/>
        <v/>
      </c>
      <c r="M1831" s="94"/>
      <c r="N1831" s="36"/>
      <c r="O1831" s="95"/>
      <c r="P1831" s="36"/>
      <c r="AI1831" s="122">
        <v>1519</v>
      </c>
      <c r="AJ1831" s="1" t="s">
        <v>3180</v>
      </c>
      <c r="AK1831" s="1">
        <v>311226</v>
      </c>
      <c r="AL1831" s="1" t="s">
        <v>930</v>
      </c>
      <c r="AN1831" s="270">
        <v>925</v>
      </c>
      <c r="BS1831" s="1">
        <v>11458</v>
      </c>
      <c r="BT1831" s="1" t="s">
        <v>75</v>
      </c>
      <c r="BX1831" s="36"/>
    </row>
    <row r="1832" spans="2:76" ht="14.25">
      <c r="B1832" s="36"/>
      <c r="C1832" s="36"/>
      <c r="D1832" s="36"/>
      <c r="E1832" s="36"/>
      <c r="F1832" s="36"/>
      <c r="G1832" s="36"/>
      <c r="H1832" s="36"/>
      <c r="J1832" s="36"/>
      <c r="L1832" s="1" t="str">
        <f t="shared" si="120"/>
        <v/>
      </c>
      <c r="M1832" s="94"/>
      <c r="N1832" s="36"/>
      <c r="O1832" s="95"/>
      <c r="P1832" s="36"/>
      <c r="AI1832" s="122">
        <v>1520</v>
      </c>
      <c r="AJ1832" s="1" t="s">
        <v>3181</v>
      </c>
      <c r="AK1832" s="1">
        <v>311227</v>
      </c>
      <c r="AL1832" s="1" t="s">
        <v>930</v>
      </c>
      <c r="AN1832" s="270">
        <v>926</v>
      </c>
      <c r="BS1832" s="1">
        <v>11459</v>
      </c>
      <c r="BT1832" s="1" t="s">
        <v>75</v>
      </c>
      <c r="BX1832" s="36"/>
    </row>
    <row r="1833" spans="2:76" ht="14.25">
      <c r="B1833" s="36"/>
      <c r="C1833" s="36"/>
      <c r="D1833" s="36"/>
      <c r="E1833" s="36"/>
      <c r="F1833" s="36"/>
      <c r="G1833" s="36"/>
      <c r="H1833" s="36"/>
      <c r="J1833" s="36"/>
      <c r="L1833" s="1" t="str">
        <f t="shared" si="120"/>
        <v/>
      </c>
      <c r="M1833" s="94"/>
      <c r="N1833" s="36"/>
      <c r="O1833" s="95"/>
      <c r="P1833" s="36"/>
      <c r="AI1833" s="122">
        <v>1521</v>
      </c>
      <c r="AJ1833" s="1" t="s">
        <v>3182</v>
      </c>
      <c r="AK1833" s="1">
        <v>311228</v>
      </c>
      <c r="AL1833" s="1" t="s">
        <v>115</v>
      </c>
      <c r="AN1833" s="270">
        <v>927</v>
      </c>
      <c r="BS1833" s="1">
        <v>11460</v>
      </c>
      <c r="BT1833" s="1" t="s">
        <v>75</v>
      </c>
      <c r="BX1833" s="36"/>
    </row>
    <row r="1834" spans="2:76" ht="14.25">
      <c r="B1834" s="36"/>
      <c r="C1834" s="36"/>
      <c r="D1834" s="36"/>
      <c r="E1834" s="36"/>
      <c r="F1834" s="36"/>
      <c r="G1834" s="36"/>
      <c r="H1834" s="36"/>
      <c r="J1834" s="36"/>
      <c r="L1834" s="1" t="str">
        <f t="shared" si="120"/>
        <v/>
      </c>
      <c r="M1834" s="94"/>
      <c r="N1834" s="36"/>
      <c r="O1834" s="95"/>
      <c r="P1834" s="36"/>
      <c r="AI1834" s="122">
        <v>1522</v>
      </c>
      <c r="AJ1834" s="1" t="s">
        <v>3183</v>
      </c>
      <c r="AK1834" s="1">
        <v>311229</v>
      </c>
      <c r="AL1834" s="1" t="s">
        <v>930</v>
      </c>
      <c r="AN1834" s="270">
        <v>928</v>
      </c>
      <c r="BS1834" s="1">
        <v>11461</v>
      </c>
      <c r="BT1834" s="1" t="s">
        <v>75</v>
      </c>
      <c r="BX1834" s="36"/>
    </row>
    <row r="1835" spans="2:76" ht="14.25">
      <c r="B1835" s="36"/>
      <c r="C1835" s="36"/>
      <c r="D1835" s="36"/>
      <c r="E1835" s="36"/>
      <c r="F1835" s="36"/>
      <c r="G1835" s="36"/>
      <c r="H1835" s="36"/>
      <c r="J1835" s="36"/>
      <c r="L1835" s="1" t="str">
        <f t="shared" si="120"/>
        <v/>
      </c>
      <c r="M1835" s="94"/>
      <c r="N1835" s="36"/>
      <c r="O1835" s="95"/>
      <c r="P1835" s="36"/>
      <c r="AI1835" s="122">
        <v>1523</v>
      </c>
      <c r="AJ1835" s="1" t="s">
        <v>3184</v>
      </c>
      <c r="AK1835" s="1">
        <v>311230</v>
      </c>
      <c r="AL1835" s="1" t="s">
        <v>115</v>
      </c>
      <c r="AN1835" s="270">
        <v>929</v>
      </c>
      <c r="BS1835" s="1">
        <v>11462</v>
      </c>
      <c r="BT1835" s="1" t="s">
        <v>75</v>
      </c>
      <c r="BX1835" s="36"/>
    </row>
    <row r="1836" spans="2:76" ht="14.25">
      <c r="B1836" s="36"/>
      <c r="C1836" s="36"/>
      <c r="D1836" s="36"/>
      <c r="E1836" s="36"/>
      <c r="F1836" s="36"/>
      <c r="G1836" s="36"/>
      <c r="H1836" s="36"/>
      <c r="J1836" s="36"/>
      <c r="L1836" s="1" t="str">
        <f t="shared" si="120"/>
        <v/>
      </c>
      <c r="M1836" s="94"/>
      <c r="N1836" s="36"/>
      <c r="O1836" s="95"/>
      <c r="P1836" s="36"/>
      <c r="AI1836" s="122">
        <v>1524</v>
      </c>
      <c r="AJ1836" s="1" t="s">
        <v>3185</v>
      </c>
      <c r="AK1836" s="1">
        <v>311231</v>
      </c>
      <c r="AL1836" s="1" t="s">
        <v>930</v>
      </c>
      <c r="AN1836" s="270">
        <v>930</v>
      </c>
      <c r="BS1836" s="1">
        <v>11463</v>
      </c>
      <c r="BT1836" s="1" t="s">
        <v>75</v>
      </c>
      <c r="BX1836" s="36"/>
    </row>
    <row r="1837" spans="2:76" ht="14.25">
      <c r="B1837" s="36"/>
      <c r="C1837" s="36"/>
      <c r="D1837" s="36"/>
      <c r="E1837" s="36"/>
      <c r="F1837" s="36"/>
      <c r="G1837" s="36"/>
      <c r="H1837" s="36"/>
      <c r="J1837" s="36"/>
      <c r="L1837" s="1" t="str">
        <f t="shared" si="120"/>
        <v/>
      </c>
      <c r="M1837" s="94"/>
      <c r="N1837" s="36"/>
      <c r="O1837" s="95"/>
      <c r="P1837" s="36"/>
      <c r="AI1837" s="122">
        <v>1525</v>
      </c>
      <c r="AJ1837" s="1" t="s">
        <v>3186</v>
      </c>
      <c r="AK1837" s="1">
        <v>311232</v>
      </c>
      <c r="AL1837" s="1" t="s">
        <v>115</v>
      </c>
      <c r="AN1837" s="270">
        <v>931</v>
      </c>
      <c r="BS1837" s="1">
        <v>11464</v>
      </c>
      <c r="BT1837" s="1" t="s">
        <v>75</v>
      </c>
      <c r="BX1837" s="36"/>
    </row>
    <row r="1838" spans="2:76" ht="14.25">
      <c r="B1838" s="36"/>
      <c r="C1838" s="36"/>
      <c r="D1838" s="36"/>
      <c r="E1838" s="36"/>
      <c r="F1838" s="36"/>
      <c r="G1838" s="36"/>
      <c r="H1838" s="36"/>
      <c r="J1838" s="36"/>
      <c r="L1838" s="1" t="str">
        <f t="shared" si="120"/>
        <v/>
      </c>
      <c r="M1838" s="94"/>
      <c r="N1838" s="36"/>
      <c r="O1838" s="95"/>
      <c r="P1838" s="36"/>
      <c r="AI1838" s="122">
        <v>1526</v>
      </c>
      <c r="AJ1838" s="1" t="s">
        <v>3187</v>
      </c>
      <c r="AK1838" s="1">
        <v>311233</v>
      </c>
      <c r="AL1838" s="1" t="s">
        <v>930</v>
      </c>
      <c r="AN1838" s="270">
        <v>932</v>
      </c>
      <c r="BS1838" s="1">
        <v>11465</v>
      </c>
      <c r="BT1838" s="1" t="s">
        <v>75</v>
      </c>
      <c r="BX1838" s="36"/>
    </row>
    <row r="1839" spans="2:76" ht="14.25">
      <c r="B1839" s="36"/>
      <c r="C1839" s="36"/>
      <c r="D1839" s="36"/>
      <c r="E1839" s="36"/>
      <c r="F1839" s="36"/>
      <c r="G1839" s="36"/>
      <c r="H1839" s="36"/>
      <c r="J1839" s="36"/>
      <c r="L1839" s="1" t="str">
        <f t="shared" si="120"/>
        <v/>
      </c>
      <c r="M1839" s="94"/>
      <c r="N1839" s="36"/>
      <c r="O1839" s="95"/>
      <c r="P1839" s="36"/>
      <c r="AI1839" s="122">
        <v>1527</v>
      </c>
      <c r="AJ1839" s="1" t="s">
        <v>3188</v>
      </c>
      <c r="AK1839" s="1">
        <v>311234</v>
      </c>
      <c r="AL1839" s="1" t="s">
        <v>115</v>
      </c>
      <c r="AN1839" s="270">
        <v>933</v>
      </c>
      <c r="BS1839" s="1">
        <v>11466</v>
      </c>
      <c r="BT1839" s="1" t="s">
        <v>75</v>
      </c>
      <c r="BX1839" s="36"/>
    </row>
    <row r="1840" spans="2:76" ht="14.25">
      <c r="B1840" s="36"/>
      <c r="C1840" s="36"/>
      <c r="D1840" s="36"/>
      <c r="E1840" s="36"/>
      <c r="F1840" s="36"/>
      <c r="G1840" s="36"/>
      <c r="H1840" s="36"/>
      <c r="J1840" s="36"/>
      <c r="L1840" s="1" t="str">
        <f t="shared" si="120"/>
        <v/>
      </c>
      <c r="M1840" s="94"/>
      <c r="N1840" s="36"/>
      <c r="O1840" s="95"/>
      <c r="P1840" s="36"/>
      <c r="AI1840" s="122">
        <v>1528</v>
      </c>
      <c r="AJ1840" s="1" t="s">
        <v>3189</v>
      </c>
      <c r="AK1840" s="1">
        <v>311235</v>
      </c>
      <c r="AL1840" s="1" t="s">
        <v>930</v>
      </c>
      <c r="AN1840" s="270">
        <v>934</v>
      </c>
      <c r="BS1840" s="1">
        <v>11467</v>
      </c>
      <c r="BT1840" s="1" t="s">
        <v>75</v>
      </c>
      <c r="BX1840" s="36"/>
    </row>
    <row r="1841" spans="2:76" ht="14.25">
      <c r="B1841" s="36"/>
      <c r="C1841" s="36"/>
      <c r="D1841" s="36"/>
      <c r="E1841" s="36"/>
      <c r="F1841" s="36"/>
      <c r="G1841" s="36"/>
      <c r="H1841" s="36"/>
      <c r="J1841" s="36"/>
      <c r="L1841" s="1" t="str">
        <f t="shared" si="120"/>
        <v/>
      </c>
      <c r="M1841" s="94"/>
      <c r="N1841" s="36"/>
      <c r="O1841" s="95"/>
      <c r="P1841" s="36"/>
      <c r="AI1841" s="122">
        <v>1529</v>
      </c>
      <c r="AJ1841" s="1" t="s">
        <v>3190</v>
      </c>
      <c r="AK1841" s="1">
        <v>311236</v>
      </c>
      <c r="AL1841" s="1" t="s">
        <v>930</v>
      </c>
      <c r="AN1841" s="270">
        <v>935</v>
      </c>
      <c r="BS1841" s="1">
        <v>11468</v>
      </c>
      <c r="BT1841" s="1" t="s">
        <v>75</v>
      </c>
      <c r="BX1841" s="36"/>
    </row>
    <row r="1842" spans="2:76" ht="14.25">
      <c r="B1842" s="36"/>
      <c r="C1842" s="36"/>
      <c r="D1842" s="36"/>
      <c r="E1842" s="36"/>
      <c r="F1842" s="36"/>
      <c r="G1842" s="36"/>
      <c r="H1842" s="36"/>
      <c r="J1842" s="36"/>
      <c r="L1842" s="1" t="str">
        <f t="shared" si="120"/>
        <v/>
      </c>
      <c r="M1842" s="94"/>
      <c r="N1842" s="36"/>
      <c r="O1842" s="95"/>
      <c r="P1842" s="36"/>
      <c r="AI1842" s="122">
        <v>1530</v>
      </c>
      <c r="AJ1842" s="1" t="s">
        <v>3191</v>
      </c>
      <c r="AK1842" s="1">
        <v>311237</v>
      </c>
      <c r="AL1842" s="1" t="s">
        <v>115</v>
      </c>
      <c r="AN1842" s="270">
        <v>936</v>
      </c>
      <c r="BS1842" s="1">
        <v>11469</v>
      </c>
      <c r="BT1842" s="1" t="s">
        <v>75</v>
      </c>
      <c r="BX1842" s="36"/>
    </row>
    <row r="1843" spans="2:76" ht="14.25">
      <c r="B1843" s="36"/>
      <c r="C1843" s="36"/>
      <c r="D1843" s="36"/>
      <c r="E1843" s="36"/>
      <c r="F1843" s="36"/>
      <c r="G1843" s="36"/>
      <c r="H1843" s="36"/>
      <c r="J1843" s="36"/>
      <c r="L1843" s="1" t="str">
        <f t="shared" si="120"/>
        <v/>
      </c>
      <c r="M1843" s="94"/>
      <c r="N1843" s="36"/>
      <c r="O1843" s="95"/>
      <c r="P1843" s="36"/>
      <c r="AI1843" s="122">
        <v>1531</v>
      </c>
      <c r="AJ1843" s="1" t="s">
        <v>3192</v>
      </c>
      <c r="AK1843" s="1">
        <v>311238</v>
      </c>
      <c r="AL1843" s="1" t="s">
        <v>930</v>
      </c>
      <c r="AN1843" s="270">
        <v>937</v>
      </c>
      <c r="BS1843" s="1">
        <v>11470</v>
      </c>
      <c r="BT1843" s="1" t="s">
        <v>75</v>
      </c>
      <c r="BX1843" s="36"/>
    </row>
    <row r="1844" spans="2:76" ht="14.25">
      <c r="B1844" s="36"/>
      <c r="C1844" s="36"/>
      <c r="D1844" s="36"/>
      <c r="E1844" s="36"/>
      <c r="F1844" s="36"/>
      <c r="G1844" s="36"/>
      <c r="H1844" s="36"/>
      <c r="J1844" s="36"/>
      <c r="L1844" s="1" t="str">
        <f t="shared" si="120"/>
        <v/>
      </c>
      <c r="M1844" s="94"/>
      <c r="N1844" s="36"/>
      <c r="O1844" s="95"/>
      <c r="P1844" s="36"/>
      <c r="AI1844" s="122">
        <v>1532</v>
      </c>
      <c r="AJ1844" s="1" t="s">
        <v>3193</v>
      </c>
      <c r="AK1844" s="1">
        <v>311239</v>
      </c>
      <c r="AL1844" s="1" t="s">
        <v>115</v>
      </c>
      <c r="AN1844" s="270">
        <v>938</v>
      </c>
      <c r="BS1844" s="1">
        <v>11471</v>
      </c>
      <c r="BT1844" s="1" t="s">
        <v>75</v>
      </c>
      <c r="BX1844" s="36"/>
    </row>
    <row r="1845" spans="2:76" ht="14.25">
      <c r="B1845" s="36"/>
      <c r="C1845" s="36"/>
      <c r="D1845" s="36"/>
      <c r="E1845" s="36"/>
      <c r="F1845" s="36"/>
      <c r="G1845" s="36"/>
      <c r="H1845" s="36"/>
      <c r="J1845" s="36"/>
      <c r="L1845" s="1" t="str">
        <f t="shared" si="120"/>
        <v/>
      </c>
      <c r="M1845" s="94"/>
      <c r="N1845" s="36"/>
      <c r="O1845" s="95"/>
      <c r="P1845" s="36"/>
      <c r="AI1845" s="122">
        <v>1533</v>
      </c>
      <c r="AJ1845" s="1" t="s">
        <v>3194</v>
      </c>
      <c r="AK1845" s="1">
        <v>311240</v>
      </c>
      <c r="AL1845" s="1" t="s">
        <v>930</v>
      </c>
      <c r="AN1845" s="270">
        <v>939</v>
      </c>
      <c r="BS1845" s="1">
        <v>11472</v>
      </c>
      <c r="BT1845" s="1" t="s">
        <v>75</v>
      </c>
      <c r="BX1845" s="36"/>
    </row>
    <row r="1846" spans="2:76" ht="14.25">
      <c r="B1846" s="36"/>
      <c r="C1846" s="36"/>
      <c r="D1846" s="36"/>
      <c r="E1846" s="36"/>
      <c r="F1846" s="36"/>
      <c r="G1846" s="36"/>
      <c r="H1846" s="36"/>
      <c r="J1846" s="36"/>
      <c r="L1846" s="1" t="str">
        <f t="shared" si="120"/>
        <v/>
      </c>
      <c r="M1846" s="94"/>
      <c r="N1846" s="36"/>
      <c r="O1846" s="95"/>
      <c r="P1846" s="36"/>
      <c r="AI1846" s="122">
        <v>1534</v>
      </c>
      <c r="AJ1846" s="1" t="s">
        <v>3195</v>
      </c>
      <c r="AK1846" s="1">
        <v>311241</v>
      </c>
      <c r="AL1846" s="1" t="s">
        <v>115</v>
      </c>
      <c r="AN1846" s="270">
        <v>940</v>
      </c>
      <c r="BS1846" s="1">
        <v>11473</v>
      </c>
      <c r="BT1846" s="1" t="s">
        <v>75</v>
      </c>
      <c r="BX1846" s="36"/>
    </row>
    <row r="1847" spans="2:76" ht="14.25">
      <c r="B1847" s="36"/>
      <c r="C1847" s="36"/>
      <c r="D1847" s="36"/>
      <c r="E1847" s="36"/>
      <c r="F1847" s="36"/>
      <c r="G1847" s="36"/>
      <c r="H1847" s="36"/>
      <c r="J1847" s="36"/>
      <c r="L1847" s="1" t="str">
        <f t="shared" si="120"/>
        <v/>
      </c>
      <c r="M1847" s="94"/>
      <c r="N1847" s="36"/>
      <c r="O1847" s="95"/>
      <c r="P1847" s="36"/>
      <c r="AI1847" s="122">
        <v>1535</v>
      </c>
      <c r="AJ1847" s="1" t="s">
        <v>3196</v>
      </c>
      <c r="AK1847" s="1">
        <v>311242</v>
      </c>
      <c r="AL1847" s="1" t="s">
        <v>930</v>
      </c>
      <c r="AN1847" s="270">
        <v>941</v>
      </c>
      <c r="BS1847" s="1">
        <v>11474</v>
      </c>
      <c r="BT1847" s="1" t="s">
        <v>75</v>
      </c>
      <c r="BX1847" s="36"/>
    </row>
    <row r="1848" spans="2:76" ht="14.25">
      <c r="B1848" s="36"/>
      <c r="C1848" s="36"/>
      <c r="D1848" s="36"/>
      <c r="E1848" s="36"/>
      <c r="F1848" s="36"/>
      <c r="G1848" s="36"/>
      <c r="H1848" s="36"/>
      <c r="J1848" s="36"/>
      <c r="L1848" s="1" t="str">
        <f t="shared" si="120"/>
        <v/>
      </c>
      <c r="M1848" s="94"/>
      <c r="N1848" s="36"/>
      <c r="O1848" s="95"/>
      <c r="P1848" s="36"/>
      <c r="AI1848" s="122">
        <v>1536</v>
      </c>
      <c r="AJ1848" s="1" t="s">
        <v>3197</v>
      </c>
      <c r="AK1848" s="1">
        <v>311243</v>
      </c>
      <c r="AL1848" s="1" t="s">
        <v>115</v>
      </c>
      <c r="AN1848" s="270">
        <v>942</v>
      </c>
      <c r="BS1848" s="1">
        <v>11475</v>
      </c>
      <c r="BT1848" s="1" t="s">
        <v>75</v>
      </c>
      <c r="BX1848" s="36"/>
    </row>
    <row r="1849" spans="2:76" ht="14.25">
      <c r="B1849" s="36"/>
      <c r="C1849" s="36"/>
      <c r="D1849" s="36"/>
      <c r="E1849" s="36"/>
      <c r="F1849" s="36"/>
      <c r="G1849" s="36"/>
      <c r="H1849" s="36"/>
      <c r="J1849" s="36"/>
      <c r="L1849" s="1" t="str">
        <f t="shared" si="120"/>
        <v/>
      </c>
      <c r="M1849" s="94"/>
      <c r="N1849" s="36"/>
      <c r="O1849" s="95"/>
      <c r="P1849" s="36"/>
      <c r="AI1849" s="122">
        <v>1537</v>
      </c>
      <c r="AJ1849" s="1" t="s">
        <v>3198</v>
      </c>
      <c r="AK1849" s="1">
        <v>311244</v>
      </c>
      <c r="AL1849" s="1" t="s">
        <v>930</v>
      </c>
      <c r="AN1849" s="270">
        <v>943</v>
      </c>
      <c r="BS1849" s="1">
        <v>11476</v>
      </c>
      <c r="BT1849" s="1" t="s">
        <v>75</v>
      </c>
      <c r="BX1849" s="36"/>
    </row>
    <row r="1850" spans="2:76" ht="14.25">
      <c r="B1850" s="36"/>
      <c r="C1850" s="36"/>
      <c r="D1850" s="36"/>
      <c r="E1850" s="36"/>
      <c r="F1850" s="36"/>
      <c r="G1850" s="36"/>
      <c r="H1850" s="36"/>
      <c r="J1850" s="36"/>
      <c r="L1850" s="1" t="str">
        <f t="shared" si="120"/>
        <v/>
      </c>
      <c r="M1850" s="94"/>
      <c r="N1850" s="36"/>
      <c r="O1850" s="95"/>
      <c r="P1850" s="36"/>
      <c r="AI1850" s="122">
        <v>1538</v>
      </c>
      <c r="AJ1850" s="1" t="s">
        <v>3199</v>
      </c>
      <c r="AK1850" s="1">
        <v>311245</v>
      </c>
      <c r="AL1850" s="1" t="s">
        <v>930</v>
      </c>
      <c r="AN1850" s="270">
        <v>944</v>
      </c>
      <c r="BS1850" s="1">
        <v>11477</v>
      </c>
      <c r="BT1850" s="1" t="s">
        <v>75</v>
      </c>
      <c r="BX1850" s="36"/>
    </row>
    <row r="1851" spans="2:76" ht="14.25">
      <c r="B1851" s="36"/>
      <c r="C1851" s="36"/>
      <c r="D1851" s="36"/>
      <c r="E1851" s="36"/>
      <c r="F1851" s="36"/>
      <c r="G1851" s="36"/>
      <c r="H1851" s="36"/>
      <c r="J1851" s="36"/>
      <c r="L1851" s="1" t="str">
        <f t="shared" si="120"/>
        <v/>
      </c>
      <c r="M1851" s="94"/>
      <c r="N1851" s="36"/>
      <c r="O1851" s="95"/>
      <c r="P1851" s="36"/>
      <c r="AI1851" s="122">
        <v>1539</v>
      </c>
      <c r="AJ1851" s="1" t="s">
        <v>3200</v>
      </c>
      <c r="AK1851" s="1">
        <v>311246</v>
      </c>
      <c r="AL1851" s="1" t="s">
        <v>115</v>
      </c>
      <c r="AN1851" s="270">
        <v>945</v>
      </c>
      <c r="BS1851" s="1">
        <v>11478</v>
      </c>
      <c r="BT1851" s="1" t="s">
        <v>75</v>
      </c>
      <c r="BX1851" s="36"/>
    </row>
    <row r="1852" spans="2:76" ht="14.25">
      <c r="B1852" s="36"/>
      <c r="C1852" s="36"/>
      <c r="D1852" s="36"/>
      <c r="E1852" s="36"/>
      <c r="F1852" s="36"/>
      <c r="G1852" s="36"/>
      <c r="H1852" s="36"/>
      <c r="J1852" s="36"/>
      <c r="L1852" s="1" t="str">
        <f t="shared" si="120"/>
        <v/>
      </c>
      <c r="M1852" s="94"/>
      <c r="N1852" s="36"/>
      <c r="O1852" s="95"/>
      <c r="P1852" s="36"/>
      <c r="AI1852" s="122">
        <v>1540</v>
      </c>
      <c r="AJ1852" s="1" t="s">
        <v>3201</v>
      </c>
      <c r="AK1852" s="1">
        <v>311247</v>
      </c>
      <c r="AL1852" s="1" t="s">
        <v>930</v>
      </c>
      <c r="AN1852" s="270">
        <v>946</v>
      </c>
      <c r="BS1852" s="1">
        <v>11479</v>
      </c>
      <c r="BT1852" s="1" t="s">
        <v>75</v>
      </c>
      <c r="BX1852" s="36"/>
    </row>
    <row r="1853" spans="2:76" ht="14.25">
      <c r="B1853" s="36"/>
      <c r="C1853" s="36"/>
      <c r="D1853" s="36"/>
      <c r="E1853" s="36"/>
      <c r="F1853" s="36"/>
      <c r="G1853" s="36"/>
      <c r="H1853" s="36"/>
      <c r="J1853" s="36"/>
      <c r="L1853" s="1" t="str">
        <f t="shared" si="120"/>
        <v/>
      </c>
      <c r="M1853" s="94"/>
      <c r="N1853" s="36"/>
      <c r="O1853" s="95"/>
      <c r="P1853" s="36"/>
      <c r="AI1853" s="122">
        <v>1541</v>
      </c>
      <c r="AJ1853" s="1" t="s">
        <v>3202</v>
      </c>
      <c r="AK1853" s="1">
        <v>311248</v>
      </c>
      <c r="AL1853" s="1" t="s">
        <v>115</v>
      </c>
      <c r="AN1853" s="270">
        <v>947</v>
      </c>
      <c r="BS1853" s="1">
        <v>11480</v>
      </c>
      <c r="BT1853" s="1" t="s">
        <v>75</v>
      </c>
      <c r="BX1853" s="36"/>
    </row>
    <row r="1854" spans="2:76" ht="14.25">
      <c r="B1854" s="36"/>
      <c r="C1854" s="36"/>
      <c r="D1854" s="36"/>
      <c r="E1854" s="36"/>
      <c r="F1854" s="36"/>
      <c r="G1854" s="36"/>
      <c r="H1854" s="36"/>
      <c r="J1854" s="36"/>
      <c r="L1854" s="1" t="str">
        <f t="shared" si="120"/>
        <v/>
      </c>
      <c r="M1854" s="94"/>
      <c r="N1854" s="36"/>
      <c r="O1854" s="95"/>
      <c r="P1854" s="36"/>
      <c r="AI1854" s="122">
        <v>1542</v>
      </c>
      <c r="AJ1854" s="1" t="s">
        <v>3203</v>
      </c>
      <c r="AK1854" s="1">
        <v>311249</v>
      </c>
      <c r="AL1854" s="1" t="s">
        <v>930</v>
      </c>
      <c r="AN1854" s="270">
        <v>948</v>
      </c>
      <c r="BS1854" s="1">
        <v>11481</v>
      </c>
      <c r="BT1854" s="1" t="s">
        <v>75</v>
      </c>
      <c r="BX1854" s="36"/>
    </row>
    <row r="1855" spans="2:76" ht="14.25">
      <c r="B1855" s="36"/>
      <c r="C1855" s="36"/>
      <c r="D1855" s="36"/>
      <c r="E1855" s="36"/>
      <c r="F1855" s="36"/>
      <c r="G1855" s="36"/>
      <c r="H1855" s="36"/>
      <c r="J1855" s="36"/>
      <c r="L1855" s="1" t="str">
        <f t="shared" si="120"/>
        <v/>
      </c>
      <c r="M1855" s="94"/>
      <c r="N1855" s="36"/>
      <c r="O1855" s="95"/>
      <c r="P1855" s="36"/>
      <c r="AI1855" s="122">
        <v>1543</v>
      </c>
      <c r="AJ1855" s="1" t="s">
        <v>3204</v>
      </c>
      <c r="AK1855" s="1">
        <v>311250</v>
      </c>
      <c r="AL1855" s="1" t="s">
        <v>115</v>
      </c>
      <c r="AN1855" s="270">
        <v>949</v>
      </c>
      <c r="BS1855" s="1">
        <v>11482</v>
      </c>
      <c r="BT1855" s="1" t="s">
        <v>75</v>
      </c>
      <c r="BX1855" s="36"/>
    </row>
    <row r="1856" spans="2:76" ht="14.25">
      <c r="B1856" s="36"/>
      <c r="C1856" s="36"/>
      <c r="D1856" s="36"/>
      <c r="E1856" s="36"/>
      <c r="F1856" s="36"/>
      <c r="G1856" s="36"/>
      <c r="H1856" s="36"/>
      <c r="J1856" s="36"/>
      <c r="L1856" s="1" t="str">
        <f t="shared" si="120"/>
        <v/>
      </c>
      <c r="M1856" s="94"/>
      <c r="N1856" s="36"/>
      <c r="O1856" s="95"/>
      <c r="P1856" s="36"/>
      <c r="AI1856" s="122">
        <v>1544</v>
      </c>
      <c r="AJ1856" s="1" t="s">
        <v>3205</v>
      </c>
      <c r="AK1856" s="1">
        <v>311251</v>
      </c>
      <c r="AL1856" s="1" t="s">
        <v>930</v>
      </c>
      <c r="AN1856" s="270">
        <v>950</v>
      </c>
      <c r="BS1856" s="1">
        <v>11483</v>
      </c>
      <c r="BT1856" s="1" t="s">
        <v>75</v>
      </c>
      <c r="BX1856" s="36"/>
    </row>
    <row r="1857" spans="2:76" ht="14.25">
      <c r="B1857" s="36"/>
      <c r="C1857" s="36"/>
      <c r="D1857" s="36"/>
      <c r="E1857" s="36"/>
      <c r="F1857" s="36"/>
      <c r="G1857" s="36"/>
      <c r="H1857" s="36"/>
      <c r="J1857" s="36"/>
      <c r="L1857" s="1" t="str">
        <f t="shared" si="120"/>
        <v/>
      </c>
      <c r="M1857" s="94"/>
      <c r="N1857" s="36"/>
      <c r="O1857" s="95"/>
      <c r="P1857" s="36"/>
      <c r="AI1857" s="122">
        <v>1545</v>
      </c>
      <c r="AJ1857" s="1" t="s">
        <v>3206</v>
      </c>
      <c r="AK1857" s="1">
        <v>311252</v>
      </c>
      <c r="AL1857" s="1" t="s">
        <v>930</v>
      </c>
      <c r="AN1857" s="270">
        <v>951</v>
      </c>
      <c r="BS1857" s="1">
        <v>11484</v>
      </c>
      <c r="BT1857" s="1" t="s">
        <v>75</v>
      </c>
      <c r="BX1857" s="36"/>
    </row>
    <row r="1858" spans="2:76" ht="14.25">
      <c r="B1858" s="36"/>
      <c r="C1858" s="36"/>
      <c r="D1858" s="36"/>
      <c r="E1858" s="36"/>
      <c r="F1858" s="36"/>
      <c r="G1858" s="36"/>
      <c r="H1858" s="36"/>
      <c r="J1858" s="36"/>
      <c r="L1858" s="1" t="str">
        <f t="shared" si="120"/>
        <v/>
      </c>
      <c r="M1858" s="94"/>
      <c r="N1858" s="36"/>
      <c r="O1858" s="95"/>
      <c r="P1858" s="36"/>
      <c r="AI1858" s="122">
        <v>1546</v>
      </c>
      <c r="AJ1858" s="1" t="s">
        <v>3207</v>
      </c>
      <c r="AK1858" s="1">
        <v>311253</v>
      </c>
      <c r="AL1858" s="1" t="s">
        <v>115</v>
      </c>
      <c r="AN1858" s="270">
        <v>952</v>
      </c>
      <c r="BS1858" s="1">
        <v>11485</v>
      </c>
      <c r="BT1858" s="1" t="s">
        <v>75</v>
      </c>
      <c r="BX1858" s="36"/>
    </row>
    <row r="1859" spans="2:76" ht="14.25">
      <c r="B1859" s="36"/>
      <c r="C1859" s="36"/>
      <c r="D1859" s="36"/>
      <c r="E1859" s="36"/>
      <c r="F1859" s="36"/>
      <c r="G1859" s="36"/>
      <c r="H1859" s="36"/>
      <c r="J1859" s="36"/>
      <c r="L1859" s="1" t="str">
        <f t="shared" si="120"/>
        <v/>
      </c>
      <c r="M1859" s="94"/>
      <c r="N1859" s="36"/>
      <c r="O1859" s="95"/>
      <c r="P1859" s="36"/>
      <c r="AI1859" s="122">
        <v>1547</v>
      </c>
      <c r="AJ1859" s="1" t="s">
        <v>3208</v>
      </c>
      <c r="AK1859" s="1">
        <v>311254</v>
      </c>
      <c r="AL1859" s="1" t="s">
        <v>930</v>
      </c>
      <c r="AN1859" s="270">
        <v>953</v>
      </c>
      <c r="BS1859" s="1">
        <v>11486</v>
      </c>
      <c r="BT1859" s="1" t="s">
        <v>75</v>
      </c>
      <c r="BX1859" s="36"/>
    </row>
    <row r="1860" spans="2:76" ht="14.25">
      <c r="B1860" s="36"/>
      <c r="C1860" s="36"/>
      <c r="D1860" s="36"/>
      <c r="E1860" s="36"/>
      <c r="F1860" s="36"/>
      <c r="G1860" s="36"/>
      <c r="H1860" s="36"/>
      <c r="J1860" s="36"/>
      <c r="L1860" s="1" t="str">
        <f t="shared" ref="L1860:L1923" si="121">IF(AND(MIN(I:I)&lt;20,MAX(I:I)&gt;980,I1860&lt;20),I1860,"")</f>
        <v/>
      </c>
      <c r="M1860" s="94"/>
      <c r="N1860" s="36"/>
      <c r="O1860" s="95"/>
      <c r="P1860" s="36"/>
      <c r="AI1860" s="122">
        <v>1548</v>
      </c>
      <c r="AJ1860" s="1" t="s">
        <v>3209</v>
      </c>
      <c r="AK1860" s="1">
        <v>311255</v>
      </c>
      <c r="AL1860" s="1" t="s">
        <v>115</v>
      </c>
      <c r="AN1860" s="270">
        <v>954</v>
      </c>
      <c r="BS1860" s="1">
        <v>11487</v>
      </c>
      <c r="BT1860" s="1" t="s">
        <v>75</v>
      </c>
      <c r="BX1860" s="36"/>
    </row>
    <row r="1861" spans="2:76" ht="14.25">
      <c r="B1861" s="36"/>
      <c r="C1861" s="36"/>
      <c r="D1861" s="36"/>
      <c r="E1861" s="36"/>
      <c r="F1861" s="36"/>
      <c r="G1861" s="36"/>
      <c r="H1861" s="36"/>
      <c r="J1861" s="36"/>
      <c r="L1861" s="1" t="str">
        <f t="shared" si="121"/>
        <v/>
      </c>
      <c r="M1861" s="94"/>
      <c r="N1861" s="36"/>
      <c r="O1861" s="95"/>
      <c r="P1861" s="36"/>
      <c r="AI1861" s="122">
        <v>1549</v>
      </c>
      <c r="AJ1861" s="1" t="s">
        <v>3210</v>
      </c>
      <c r="AK1861" s="1">
        <v>311256</v>
      </c>
      <c r="AL1861" s="1" t="s">
        <v>930</v>
      </c>
      <c r="AN1861" s="270">
        <v>955</v>
      </c>
      <c r="BS1861" s="1">
        <v>11488</v>
      </c>
      <c r="BT1861" s="1" t="s">
        <v>75</v>
      </c>
      <c r="BX1861" s="36"/>
    </row>
    <row r="1862" spans="2:76" ht="14.25">
      <c r="B1862" s="36"/>
      <c r="C1862" s="36"/>
      <c r="D1862" s="36"/>
      <c r="E1862" s="36"/>
      <c r="F1862" s="36"/>
      <c r="G1862" s="36"/>
      <c r="H1862" s="36"/>
      <c r="J1862" s="36"/>
      <c r="L1862" s="1" t="str">
        <f t="shared" si="121"/>
        <v/>
      </c>
      <c r="M1862" s="94"/>
      <c r="N1862" s="36"/>
      <c r="O1862" s="95"/>
      <c r="P1862" s="36"/>
      <c r="AI1862" s="122">
        <v>1550</v>
      </c>
      <c r="AJ1862" s="1" t="s">
        <v>3211</v>
      </c>
      <c r="AK1862" s="1">
        <v>311257</v>
      </c>
      <c r="AL1862" s="1" t="s">
        <v>115</v>
      </c>
      <c r="AN1862" s="270">
        <v>956</v>
      </c>
      <c r="BS1862" s="1">
        <v>11489</v>
      </c>
      <c r="BT1862" s="1" t="s">
        <v>75</v>
      </c>
      <c r="BX1862" s="36"/>
    </row>
    <row r="1863" spans="2:76" ht="14.25">
      <c r="B1863" s="36"/>
      <c r="C1863" s="36"/>
      <c r="D1863" s="36"/>
      <c r="E1863" s="36"/>
      <c r="F1863" s="36"/>
      <c r="G1863" s="36"/>
      <c r="H1863" s="36"/>
      <c r="J1863" s="36"/>
      <c r="L1863" s="1" t="str">
        <f t="shared" si="121"/>
        <v/>
      </c>
      <c r="M1863" s="94"/>
      <c r="N1863" s="36"/>
      <c r="O1863" s="95"/>
      <c r="P1863" s="36"/>
      <c r="AI1863" s="122">
        <v>1551</v>
      </c>
      <c r="AJ1863" s="1" t="s">
        <v>3212</v>
      </c>
      <c r="AK1863" s="1">
        <v>311258</v>
      </c>
      <c r="AL1863" s="1" t="s">
        <v>930</v>
      </c>
      <c r="AN1863" s="270">
        <v>957</v>
      </c>
      <c r="BS1863" s="1">
        <v>11490</v>
      </c>
      <c r="BT1863" s="1" t="s">
        <v>75</v>
      </c>
      <c r="BX1863" s="36"/>
    </row>
    <row r="1864" spans="2:76" ht="14.25">
      <c r="B1864" s="36"/>
      <c r="C1864" s="36"/>
      <c r="D1864" s="36"/>
      <c r="E1864" s="36"/>
      <c r="F1864" s="36"/>
      <c r="G1864" s="36"/>
      <c r="H1864" s="36"/>
      <c r="J1864" s="36"/>
      <c r="L1864" s="1" t="str">
        <f t="shared" si="121"/>
        <v/>
      </c>
      <c r="M1864" s="94"/>
      <c r="N1864" s="36"/>
      <c r="O1864" s="95"/>
      <c r="P1864" s="36"/>
      <c r="AI1864" s="122">
        <v>1552</v>
      </c>
      <c r="AJ1864" s="1" t="s">
        <v>3213</v>
      </c>
      <c r="AK1864" s="1">
        <v>311259</v>
      </c>
      <c r="AL1864" s="1" t="s">
        <v>115</v>
      </c>
      <c r="AN1864" s="270">
        <v>958</v>
      </c>
      <c r="BS1864" s="1">
        <v>11491</v>
      </c>
      <c r="BT1864" s="1" t="s">
        <v>75</v>
      </c>
      <c r="BX1864" s="36"/>
    </row>
    <row r="1865" spans="2:76" ht="14.25">
      <c r="B1865" s="36"/>
      <c r="C1865" s="36"/>
      <c r="D1865" s="36"/>
      <c r="E1865" s="36"/>
      <c r="F1865" s="36"/>
      <c r="G1865" s="36"/>
      <c r="H1865" s="36"/>
      <c r="J1865" s="36"/>
      <c r="L1865" s="1" t="str">
        <f t="shared" si="121"/>
        <v/>
      </c>
      <c r="M1865" s="94"/>
      <c r="N1865" s="36"/>
      <c r="O1865" s="95"/>
      <c r="P1865" s="36"/>
      <c r="AI1865" s="122">
        <v>1553</v>
      </c>
      <c r="AJ1865" s="1" t="s">
        <v>3214</v>
      </c>
      <c r="AK1865" s="1">
        <v>311260</v>
      </c>
      <c r="AL1865" s="1" t="s">
        <v>930</v>
      </c>
      <c r="AN1865" s="270">
        <v>959</v>
      </c>
      <c r="BS1865" s="1">
        <v>11492</v>
      </c>
      <c r="BT1865" s="1" t="s">
        <v>75</v>
      </c>
      <c r="BX1865" s="36"/>
    </row>
    <row r="1866" spans="2:76" ht="14.25">
      <c r="B1866" s="36"/>
      <c r="C1866" s="36"/>
      <c r="D1866" s="36"/>
      <c r="E1866" s="36"/>
      <c r="F1866" s="36"/>
      <c r="G1866" s="36"/>
      <c r="H1866" s="36"/>
      <c r="J1866" s="36"/>
      <c r="L1866" s="1" t="str">
        <f t="shared" si="121"/>
        <v/>
      </c>
      <c r="M1866" s="94"/>
      <c r="N1866" s="36"/>
      <c r="O1866" s="95"/>
      <c r="P1866" s="36"/>
      <c r="AI1866" s="122">
        <v>1554</v>
      </c>
      <c r="AJ1866" s="1" t="s">
        <v>3215</v>
      </c>
      <c r="AK1866" s="1">
        <v>311261</v>
      </c>
      <c r="AL1866" s="1" t="s">
        <v>930</v>
      </c>
      <c r="AN1866" s="270">
        <v>960</v>
      </c>
      <c r="BX1866" s="36"/>
    </row>
    <row r="1867" spans="2:76" ht="14.25">
      <c r="B1867" s="36"/>
      <c r="C1867" s="36"/>
      <c r="D1867" s="36"/>
      <c r="E1867" s="36"/>
      <c r="F1867" s="36"/>
      <c r="G1867" s="36"/>
      <c r="H1867" s="36"/>
      <c r="J1867" s="36"/>
      <c r="L1867" s="1" t="str">
        <f t="shared" si="121"/>
        <v/>
      </c>
      <c r="M1867" s="94"/>
      <c r="N1867" s="36"/>
      <c r="O1867" s="95"/>
      <c r="P1867" s="36"/>
      <c r="AI1867" s="122">
        <v>1555</v>
      </c>
      <c r="AJ1867" s="1" t="s">
        <v>3216</v>
      </c>
      <c r="AK1867" s="1">
        <v>311262</v>
      </c>
      <c r="AL1867" s="1" t="s">
        <v>115</v>
      </c>
      <c r="AN1867" s="270">
        <v>961</v>
      </c>
      <c r="BX1867" s="36"/>
    </row>
    <row r="1868" spans="2:76" ht="14.25">
      <c r="B1868" s="36"/>
      <c r="C1868" s="36"/>
      <c r="D1868" s="36"/>
      <c r="E1868" s="36"/>
      <c r="F1868" s="36"/>
      <c r="G1868" s="36"/>
      <c r="H1868" s="36"/>
      <c r="J1868" s="36"/>
      <c r="L1868" s="1" t="str">
        <f t="shared" si="121"/>
        <v/>
      </c>
      <c r="M1868" s="94"/>
      <c r="N1868" s="36"/>
      <c r="O1868" s="95"/>
      <c r="P1868" s="36"/>
      <c r="AI1868" s="122">
        <v>1556</v>
      </c>
      <c r="AJ1868" s="1" t="s">
        <v>3217</v>
      </c>
      <c r="AK1868" s="1">
        <v>311263</v>
      </c>
      <c r="AL1868" s="1" t="s">
        <v>930</v>
      </c>
      <c r="AN1868" s="270">
        <v>962</v>
      </c>
      <c r="BX1868" s="36"/>
    </row>
    <row r="1869" spans="2:76" ht="14.25">
      <c r="B1869" s="36"/>
      <c r="C1869" s="36"/>
      <c r="D1869" s="36"/>
      <c r="E1869" s="36"/>
      <c r="F1869" s="36"/>
      <c r="G1869" s="36"/>
      <c r="H1869" s="36"/>
      <c r="J1869" s="36"/>
      <c r="L1869" s="1" t="str">
        <f t="shared" si="121"/>
        <v/>
      </c>
      <c r="M1869" s="94"/>
      <c r="N1869" s="36"/>
      <c r="O1869" s="95"/>
      <c r="P1869" s="36"/>
      <c r="AI1869" s="122">
        <v>1557</v>
      </c>
      <c r="AJ1869" s="1" t="s">
        <v>3218</v>
      </c>
      <c r="AK1869" s="1">
        <v>311264</v>
      </c>
      <c r="AL1869" s="1" t="s">
        <v>115</v>
      </c>
      <c r="AN1869" s="270">
        <v>963</v>
      </c>
      <c r="BX1869" s="36"/>
    </row>
    <row r="1870" spans="2:76" ht="14.25">
      <c r="B1870" s="36"/>
      <c r="C1870" s="36"/>
      <c r="D1870" s="36"/>
      <c r="E1870" s="36"/>
      <c r="F1870" s="36"/>
      <c r="G1870" s="36"/>
      <c r="H1870" s="36"/>
      <c r="J1870" s="36"/>
      <c r="L1870" s="1" t="str">
        <f t="shared" si="121"/>
        <v/>
      </c>
      <c r="M1870" s="94"/>
      <c r="N1870" s="36"/>
      <c r="O1870" s="95"/>
      <c r="P1870" s="36"/>
      <c r="AI1870" s="122">
        <v>1558</v>
      </c>
      <c r="AJ1870" s="1" t="s">
        <v>3219</v>
      </c>
      <c r="AK1870" s="1">
        <v>311265</v>
      </c>
      <c r="AL1870" s="1" t="s">
        <v>930</v>
      </c>
      <c r="AN1870" s="270">
        <v>964</v>
      </c>
      <c r="BX1870" s="36"/>
    </row>
    <row r="1871" spans="2:76" ht="14.25">
      <c r="B1871" s="36"/>
      <c r="C1871" s="36"/>
      <c r="D1871" s="36"/>
      <c r="E1871" s="36"/>
      <c r="F1871" s="36"/>
      <c r="G1871" s="36"/>
      <c r="H1871" s="36"/>
      <c r="J1871" s="36"/>
      <c r="L1871" s="1" t="str">
        <f t="shared" si="121"/>
        <v/>
      </c>
      <c r="M1871" s="94"/>
      <c r="N1871" s="36"/>
      <c r="O1871" s="95"/>
      <c r="P1871" s="36"/>
      <c r="AI1871" s="122">
        <v>1559</v>
      </c>
      <c r="AJ1871" s="1" t="s">
        <v>3220</v>
      </c>
      <c r="AK1871" s="1">
        <v>311266</v>
      </c>
      <c r="AL1871" s="1" t="s">
        <v>115</v>
      </c>
      <c r="AN1871" s="270">
        <v>965</v>
      </c>
      <c r="BX1871" s="36"/>
    </row>
    <row r="1872" spans="2:76" ht="14.25">
      <c r="B1872" s="36"/>
      <c r="C1872" s="36"/>
      <c r="D1872" s="36"/>
      <c r="E1872" s="36"/>
      <c r="F1872" s="36"/>
      <c r="G1872" s="36"/>
      <c r="H1872" s="36"/>
      <c r="J1872" s="36"/>
      <c r="L1872" s="1" t="str">
        <f t="shared" si="121"/>
        <v/>
      </c>
      <c r="M1872" s="94"/>
      <c r="N1872" s="36"/>
      <c r="O1872" s="95"/>
      <c r="P1872" s="36"/>
      <c r="AI1872" s="122">
        <v>1560</v>
      </c>
      <c r="AJ1872" s="1" t="s">
        <v>3221</v>
      </c>
      <c r="AK1872" s="1">
        <v>311267</v>
      </c>
      <c r="AL1872" s="1" t="s">
        <v>930</v>
      </c>
      <c r="AN1872" s="270">
        <v>966</v>
      </c>
      <c r="BX1872" s="36"/>
    </row>
    <row r="1873" spans="2:76" ht="14.25">
      <c r="B1873" s="36"/>
      <c r="C1873" s="36"/>
      <c r="D1873" s="36"/>
      <c r="E1873" s="36"/>
      <c r="F1873" s="36"/>
      <c r="G1873" s="36"/>
      <c r="H1873" s="36"/>
      <c r="J1873" s="36"/>
      <c r="L1873" s="1" t="str">
        <f t="shared" si="121"/>
        <v/>
      </c>
      <c r="M1873" s="94"/>
      <c r="N1873" s="36"/>
      <c r="O1873" s="95"/>
      <c r="P1873" s="36"/>
      <c r="AI1873" s="122">
        <v>1561</v>
      </c>
      <c r="AJ1873" s="1" t="s">
        <v>3222</v>
      </c>
      <c r="AK1873" s="1">
        <v>311268</v>
      </c>
      <c r="AL1873" s="1" t="s">
        <v>930</v>
      </c>
      <c r="AN1873" s="270">
        <v>967</v>
      </c>
      <c r="BX1873" s="36"/>
    </row>
    <row r="1874" spans="2:76" ht="14.25">
      <c r="B1874" s="36"/>
      <c r="C1874" s="36"/>
      <c r="D1874" s="36"/>
      <c r="E1874" s="36"/>
      <c r="F1874" s="36"/>
      <c r="G1874" s="36"/>
      <c r="H1874" s="36"/>
      <c r="J1874" s="36"/>
      <c r="L1874" s="1" t="str">
        <f t="shared" si="121"/>
        <v/>
      </c>
      <c r="M1874" s="94"/>
      <c r="N1874" s="36"/>
      <c r="O1874" s="95"/>
      <c r="P1874" s="36"/>
      <c r="AI1874" s="122">
        <v>1562</v>
      </c>
      <c r="AJ1874" s="1" t="s">
        <v>3223</v>
      </c>
      <c r="AK1874" s="1">
        <v>311269</v>
      </c>
      <c r="AL1874" s="1" t="s">
        <v>115</v>
      </c>
      <c r="AN1874" s="270">
        <v>968</v>
      </c>
      <c r="BX1874" s="36"/>
    </row>
    <row r="1875" spans="2:76" ht="14.25">
      <c r="B1875" s="36"/>
      <c r="C1875" s="36"/>
      <c r="D1875" s="36"/>
      <c r="E1875" s="36"/>
      <c r="F1875" s="36"/>
      <c r="G1875" s="36"/>
      <c r="H1875" s="36"/>
      <c r="J1875" s="36"/>
      <c r="L1875" s="1" t="str">
        <f t="shared" si="121"/>
        <v/>
      </c>
      <c r="M1875" s="94"/>
      <c r="N1875" s="36"/>
      <c r="O1875" s="95"/>
      <c r="P1875" s="36"/>
      <c r="AI1875" s="122">
        <v>1563</v>
      </c>
      <c r="AJ1875" s="1" t="s">
        <v>3224</v>
      </c>
      <c r="AK1875" s="1">
        <v>311270</v>
      </c>
      <c r="AL1875" s="1" t="s">
        <v>930</v>
      </c>
      <c r="AN1875" s="270">
        <v>969</v>
      </c>
      <c r="BX1875" s="36"/>
    </row>
    <row r="1876" spans="2:76" ht="14.25">
      <c r="B1876" s="36"/>
      <c r="C1876" s="36"/>
      <c r="D1876" s="36"/>
      <c r="E1876" s="36"/>
      <c r="F1876" s="36"/>
      <c r="G1876" s="36"/>
      <c r="H1876" s="36"/>
      <c r="J1876" s="36"/>
      <c r="L1876" s="1" t="str">
        <f t="shared" si="121"/>
        <v/>
      </c>
      <c r="M1876" s="94"/>
      <c r="N1876" s="36"/>
      <c r="O1876" s="95"/>
      <c r="P1876" s="36"/>
      <c r="AI1876" s="122">
        <v>1564</v>
      </c>
      <c r="AJ1876" s="1" t="s">
        <v>3225</v>
      </c>
      <c r="AK1876" s="1">
        <v>311271</v>
      </c>
      <c r="AL1876" s="1" t="s">
        <v>115</v>
      </c>
      <c r="AN1876" s="270">
        <v>970</v>
      </c>
      <c r="BX1876" s="36"/>
    </row>
    <row r="1877" spans="2:76" ht="14.25">
      <c r="B1877" s="36"/>
      <c r="C1877" s="36"/>
      <c r="D1877" s="36"/>
      <c r="E1877" s="36"/>
      <c r="F1877" s="36"/>
      <c r="G1877" s="36"/>
      <c r="H1877" s="36"/>
      <c r="J1877" s="36"/>
      <c r="L1877" s="1" t="str">
        <f t="shared" si="121"/>
        <v/>
      </c>
      <c r="M1877" s="94"/>
      <c r="N1877" s="36"/>
      <c r="O1877" s="95"/>
      <c r="P1877" s="36"/>
      <c r="AI1877" s="122">
        <v>1565</v>
      </c>
      <c r="AJ1877" s="1" t="s">
        <v>3226</v>
      </c>
      <c r="AK1877" s="1">
        <v>311272</v>
      </c>
      <c r="AL1877" s="1" t="s">
        <v>930</v>
      </c>
      <c r="AN1877" s="270">
        <v>971</v>
      </c>
      <c r="BX1877" s="36"/>
    </row>
    <row r="1878" spans="2:76" ht="14.25">
      <c r="B1878" s="36"/>
      <c r="C1878" s="36"/>
      <c r="D1878" s="36"/>
      <c r="E1878" s="36"/>
      <c r="F1878" s="36"/>
      <c r="G1878" s="36"/>
      <c r="H1878" s="36"/>
      <c r="J1878" s="36"/>
      <c r="L1878" s="1" t="str">
        <f t="shared" si="121"/>
        <v/>
      </c>
      <c r="M1878" s="94"/>
      <c r="N1878" s="36"/>
      <c r="O1878" s="95"/>
      <c r="P1878" s="36"/>
      <c r="AI1878" s="122">
        <v>1566</v>
      </c>
      <c r="AJ1878" s="1" t="s">
        <v>3227</v>
      </c>
      <c r="AK1878" s="1">
        <v>311273</v>
      </c>
      <c r="AL1878" s="1" t="s">
        <v>115</v>
      </c>
      <c r="AN1878" s="270">
        <v>972</v>
      </c>
      <c r="BX1878" s="36"/>
    </row>
    <row r="1879" spans="2:76" ht="14.25">
      <c r="B1879" s="36"/>
      <c r="C1879" s="36"/>
      <c r="D1879" s="36"/>
      <c r="E1879" s="36"/>
      <c r="F1879" s="36"/>
      <c r="G1879" s="36"/>
      <c r="H1879" s="36"/>
      <c r="J1879" s="36"/>
      <c r="L1879" s="1" t="str">
        <f t="shared" si="121"/>
        <v/>
      </c>
      <c r="M1879" s="94"/>
      <c r="N1879" s="36"/>
      <c r="O1879" s="95"/>
      <c r="P1879" s="36"/>
      <c r="AI1879" s="122">
        <v>1567</v>
      </c>
      <c r="AJ1879" s="1" t="s">
        <v>3228</v>
      </c>
      <c r="AK1879" s="1">
        <v>311274</v>
      </c>
      <c r="AL1879" s="1" t="s">
        <v>930</v>
      </c>
      <c r="AN1879" s="270">
        <v>973</v>
      </c>
      <c r="BX1879" s="36"/>
    </row>
    <row r="1880" spans="2:76" ht="14.25">
      <c r="B1880" s="36"/>
      <c r="C1880" s="36"/>
      <c r="D1880" s="36"/>
      <c r="E1880" s="36"/>
      <c r="F1880" s="36"/>
      <c r="G1880" s="36"/>
      <c r="H1880" s="36"/>
      <c r="J1880" s="36"/>
      <c r="L1880" s="1" t="str">
        <f t="shared" si="121"/>
        <v/>
      </c>
      <c r="M1880" s="94"/>
      <c r="N1880" s="36"/>
      <c r="O1880" s="95"/>
      <c r="P1880" s="36"/>
      <c r="AI1880" s="122">
        <v>1568</v>
      </c>
      <c r="AJ1880" s="1" t="s">
        <v>3229</v>
      </c>
      <c r="AK1880" s="1">
        <v>311275</v>
      </c>
      <c r="AL1880" s="1" t="s">
        <v>115</v>
      </c>
      <c r="AN1880" s="270">
        <v>974</v>
      </c>
      <c r="BX1880" s="36"/>
    </row>
    <row r="1881" spans="2:76" ht="14.25">
      <c r="B1881" s="36"/>
      <c r="C1881" s="36"/>
      <c r="D1881" s="36"/>
      <c r="E1881" s="36"/>
      <c r="F1881" s="36"/>
      <c r="G1881" s="36"/>
      <c r="H1881" s="36"/>
      <c r="J1881" s="36"/>
      <c r="L1881" s="1" t="str">
        <f t="shared" si="121"/>
        <v/>
      </c>
      <c r="M1881" s="94"/>
      <c r="N1881" s="36"/>
      <c r="O1881" s="95"/>
      <c r="P1881" s="36"/>
      <c r="AI1881" s="122">
        <v>1569</v>
      </c>
      <c r="AJ1881" s="1" t="s">
        <v>3230</v>
      </c>
      <c r="AK1881" s="1">
        <v>311276</v>
      </c>
      <c r="AL1881" s="1" t="s">
        <v>930</v>
      </c>
      <c r="AN1881" s="270">
        <v>975</v>
      </c>
      <c r="BX1881" s="36"/>
    </row>
    <row r="1882" spans="2:76" ht="14.25">
      <c r="B1882" s="36"/>
      <c r="C1882" s="36"/>
      <c r="D1882" s="36"/>
      <c r="E1882" s="36"/>
      <c r="F1882" s="36"/>
      <c r="G1882" s="36"/>
      <c r="H1882" s="36"/>
      <c r="J1882" s="36"/>
      <c r="L1882" s="1" t="str">
        <f t="shared" si="121"/>
        <v/>
      </c>
      <c r="M1882" s="94"/>
      <c r="N1882" s="36"/>
      <c r="O1882" s="95"/>
      <c r="P1882" s="36"/>
      <c r="AI1882" s="122">
        <v>1570</v>
      </c>
      <c r="AJ1882" s="1" t="s">
        <v>3231</v>
      </c>
      <c r="AK1882" s="1">
        <v>311277</v>
      </c>
      <c r="AL1882" s="1" t="s">
        <v>930</v>
      </c>
      <c r="AN1882" s="270">
        <v>976</v>
      </c>
      <c r="BX1882" s="36"/>
    </row>
    <row r="1883" spans="2:76" ht="14.25">
      <c r="B1883" s="36"/>
      <c r="C1883" s="36"/>
      <c r="D1883" s="36"/>
      <c r="E1883" s="36"/>
      <c r="F1883" s="36"/>
      <c r="G1883" s="36"/>
      <c r="H1883" s="36"/>
      <c r="J1883" s="36"/>
      <c r="L1883" s="1" t="str">
        <f t="shared" si="121"/>
        <v/>
      </c>
      <c r="M1883" s="94"/>
      <c r="N1883" s="36"/>
      <c r="O1883" s="95"/>
      <c r="P1883" s="36"/>
      <c r="AI1883" s="122">
        <v>1571</v>
      </c>
      <c r="AJ1883" s="1" t="s">
        <v>3232</v>
      </c>
      <c r="AK1883" s="1">
        <v>311278</v>
      </c>
      <c r="AL1883" s="1" t="s">
        <v>115</v>
      </c>
      <c r="AN1883" s="270">
        <v>977</v>
      </c>
      <c r="BX1883" s="36"/>
    </row>
    <row r="1884" spans="2:76" ht="14.25">
      <c r="B1884" s="36"/>
      <c r="C1884" s="36"/>
      <c r="D1884" s="36"/>
      <c r="E1884" s="36"/>
      <c r="F1884" s="36"/>
      <c r="G1884" s="36"/>
      <c r="H1884" s="36"/>
      <c r="J1884" s="36"/>
      <c r="L1884" s="1" t="str">
        <f t="shared" si="121"/>
        <v/>
      </c>
      <c r="M1884" s="94"/>
      <c r="N1884" s="36"/>
      <c r="O1884" s="95"/>
      <c r="P1884" s="36"/>
      <c r="AI1884" s="122">
        <v>1572</v>
      </c>
      <c r="AJ1884" s="1" t="s">
        <v>3233</v>
      </c>
      <c r="AK1884" s="1">
        <v>311279</v>
      </c>
      <c r="AL1884" s="1" t="s">
        <v>930</v>
      </c>
      <c r="AN1884" s="270">
        <v>978</v>
      </c>
      <c r="BX1884" s="36"/>
    </row>
    <row r="1885" spans="2:76" ht="14.25">
      <c r="B1885" s="36"/>
      <c r="C1885" s="36"/>
      <c r="D1885" s="36"/>
      <c r="E1885" s="36"/>
      <c r="F1885" s="36"/>
      <c r="G1885" s="36"/>
      <c r="H1885" s="36"/>
      <c r="J1885" s="36"/>
      <c r="L1885" s="1" t="str">
        <f t="shared" si="121"/>
        <v/>
      </c>
      <c r="M1885" s="94"/>
      <c r="N1885" s="36"/>
      <c r="O1885" s="95"/>
      <c r="P1885" s="36"/>
      <c r="AI1885" s="122">
        <v>1573</v>
      </c>
      <c r="AJ1885" s="1" t="s">
        <v>3234</v>
      </c>
      <c r="AK1885" s="1">
        <v>311280</v>
      </c>
      <c r="AL1885" s="1" t="s">
        <v>115</v>
      </c>
      <c r="AN1885" s="270">
        <v>979</v>
      </c>
      <c r="BX1885" s="36"/>
    </row>
    <row r="1886" spans="2:76" ht="14.25">
      <c r="B1886" s="36"/>
      <c r="C1886" s="36"/>
      <c r="D1886" s="36"/>
      <c r="E1886" s="36"/>
      <c r="F1886" s="36"/>
      <c r="G1886" s="36"/>
      <c r="H1886" s="36"/>
      <c r="J1886" s="36"/>
      <c r="L1886" s="1" t="str">
        <f t="shared" si="121"/>
        <v/>
      </c>
      <c r="M1886" s="94"/>
      <c r="N1886" s="36"/>
      <c r="O1886" s="95"/>
      <c r="P1886" s="36"/>
      <c r="AI1886" s="122">
        <v>1574</v>
      </c>
      <c r="AJ1886" s="1" t="s">
        <v>3235</v>
      </c>
      <c r="AK1886" s="1">
        <v>311281</v>
      </c>
      <c r="AL1886" s="1" t="s">
        <v>930</v>
      </c>
      <c r="AN1886" s="270">
        <v>980</v>
      </c>
      <c r="BX1886" s="36"/>
    </row>
    <row r="1887" spans="2:76" ht="14.25">
      <c r="B1887" s="36"/>
      <c r="C1887" s="36"/>
      <c r="D1887" s="36"/>
      <c r="E1887" s="36"/>
      <c r="F1887" s="36"/>
      <c r="G1887" s="36"/>
      <c r="H1887" s="36"/>
      <c r="J1887" s="36"/>
      <c r="L1887" s="1" t="str">
        <f t="shared" si="121"/>
        <v/>
      </c>
      <c r="M1887" s="94"/>
      <c r="N1887" s="36"/>
      <c r="O1887" s="95"/>
      <c r="P1887" s="36"/>
      <c r="AI1887" s="122">
        <v>1575</v>
      </c>
      <c r="AJ1887" s="1" t="s">
        <v>3236</v>
      </c>
      <c r="AK1887" s="1">
        <v>311282</v>
      </c>
      <c r="AL1887" s="1" t="s">
        <v>115</v>
      </c>
      <c r="AN1887" s="270">
        <v>981</v>
      </c>
      <c r="BX1887" s="36"/>
    </row>
    <row r="1888" spans="2:76" ht="14.25">
      <c r="B1888" s="36"/>
      <c r="C1888" s="36"/>
      <c r="D1888" s="36"/>
      <c r="E1888" s="36"/>
      <c r="F1888" s="36"/>
      <c r="G1888" s="36"/>
      <c r="H1888" s="36"/>
      <c r="J1888" s="36"/>
      <c r="L1888" s="1" t="str">
        <f t="shared" si="121"/>
        <v/>
      </c>
      <c r="M1888" s="94"/>
      <c r="N1888" s="36"/>
      <c r="O1888" s="95"/>
      <c r="P1888" s="36"/>
      <c r="AI1888" s="122">
        <v>1576</v>
      </c>
      <c r="AJ1888" s="1" t="s">
        <v>3237</v>
      </c>
      <c r="AK1888" s="1">
        <v>311283</v>
      </c>
      <c r="AL1888" s="1" t="s">
        <v>930</v>
      </c>
      <c r="AN1888" s="270">
        <v>982</v>
      </c>
      <c r="BX1888" s="36"/>
    </row>
    <row r="1889" spans="2:76" ht="14.25">
      <c r="B1889" s="36"/>
      <c r="C1889" s="36"/>
      <c r="D1889" s="36"/>
      <c r="E1889" s="36"/>
      <c r="F1889" s="36"/>
      <c r="G1889" s="36"/>
      <c r="H1889" s="36"/>
      <c r="J1889" s="36"/>
      <c r="L1889" s="1" t="str">
        <f t="shared" si="121"/>
        <v/>
      </c>
      <c r="M1889" s="94"/>
      <c r="N1889" s="36"/>
      <c r="O1889" s="95"/>
      <c r="P1889" s="36"/>
      <c r="AI1889" s="122">
        <v>1577</v>
      </c>
      <c r="AJ1889" s="1" t="s">
        <v>3238</v>
      </c>
      <c r="AK1889" s="1">
        <v>311284</v>
      </c>
      <c r="AL1889" s="1" t="s">
        <v>930</v>
      </c>
      <c r="AN1889" s="270">
        <v>983</v>
      </c>
      <c r="BX1889" s="36"/>
    </row>
    <row r="1890" spans="2:76" ht="14.25">
      <c r="B1890" s="36"/>
      <c r="C1890" s="36"/>
      <c r="D1890" s="36"/>
      <c r="E1890" s="36"/>
      <c r="F1890" s="36"/>
      <c r="G1890" s="36"/>
      <c r="H1890" s="36"/>
      <c r="J1890" s="36"/>
      <c r="L1890" s="1" t="str">
        <f t="shared" si="121"/>
        <v/>
      </c>
      <c r="M1890" s="94"/>
      <c r="N1890" s="36"/>
      <c r="O1890" s="95"/>
      <c r="P1890" s="36"/>
      <c r="AI1890" s="122">
        <v>1578</v>
      </c>
      <c r="AJ1890" s="1" t="s">
        <v>3239</v>
      </c>
      <c r="AK1890" s="1">
        <v>311285</v>
      </c>
      <c r="AL1890" s="1" t="s">
        <v>115</v>
      </c>
      <c r="AN1890" s="270">
        <v>984</v>
      </c>
      <c r="BX1890" s="36"/>
    </row>
    <row r="1891" spans="2:76" ht="14.25">
      <c r="B1891" s="36"/>
      <c r="C1891" s="36"/>
      <c r="D1891" s="36"/>
      <c r="E1891" s="36"/>
      <c r="F1891" s="36"/>
      <c r="G1891" s="36"/>
      <c r="H1891" s="36"/>
      <c r="J1891" s="36"/>
      <c r="L1891" s="1" t="str">
        <f t="shared" si="121"/>
        <v/>
      </c>
      <c r="M1891" s="94"/>
      <c r="N1891" s="36"/>
      <c r="O1891" s="95"/>
      <c r="P1891" s="36"/>
      <c r="AI1891" s="122">
        <v>1579</v>
      </c>
      <c r="AJ1891" s="1" t="s">
        <v>3240</v>
      </c>
      <c r="AK1891" s="1">
        <v>311286</v>
      </c>
      <c r="AL1891" s="1" t="s">
        <v>930</v>
      </c>
      <c r="AN1891" s="270">
        <v>985</v>
      </c>
      <c r="BX1891" s="36"/>
    </row>
    <row r="1892" spans="2:76" ht="14.25">
      <c r="B1892" s="36"/>
      <c r="C1892" s="36"/>
      <c r="D1892" s="36"/>
      <c r="E1892" s="36"/>
      <c r="F1892" s="36"/>
      <c r="G1892" s="36"/>
      <c r="H1892" s="36"/>
      <c r="J1892" s="36"/>
      <c r="L1892" s="1" t="str">
        <f t="shared" si="121"/>
        <v/>
      </c>
      <c r="M1892" s="94"/>
      <c r="N1892" s="36"/>
      <c r="O1892" s="95"/>
      <c r="P1892" s="36"/>
      <c r="AI1892" s="122">
        <v>1580</v>
      </c>
      <c r="AJ1892" s="1" t="s">
        <v>3241</v>
      </c>
      <c r="AK1892" s="1">
        <v>311287</v>
      </c>
      <c r="AL1892" s="1" t="s">
        <v>115</v>
      </c>
      <c r="AN1892" s="270">
        <v>986</v>
      </c>
      <c r="BX1892" s="36"/>
    </row>
    <row r="1893" spans="2:76" ht="14.25">
      <c r="B1893" s="36"/>
      <c r="C1893" s="36"/>
      <c r="D1893" s="36"/>
      <c r="E1893" s="36"/>
      <c r="F1893" s="36"/>
      <c r="G1893" s="36"/>
      <c r="H1893" s="36"/>
      <c r="J1893" s="36"/>
      <c r="L1893" s="1" t="str">
        <f t="shared" si="121"/>
        <v/>
      </c>
      <c r="M1893" s="94"/>
      <c r="N1893" s="36"/>
      <c r="O1893" s="95"/>
      <c r="P1893" s="36"/>
      <c r="AI1893" s="122">
        <v>1581</v>
      </c>
      <c r="AJ1893" s="1" t="s">
        <v>3242</v>
      </c>
      <c r="AK1893" s="1">
        <v>311288</v>
      </c>
      <c r="AL1893" s="1" t="s">
        <v>930</v>
      </c>
      <c r="AN1893" s="270">
        <v>987</v>
      </c>
      <c r="BX1893" s="36"/>
    </row>
    <row r="1894" spans="2:76" ht="14.25">
      <c r="B1894" s="36"/>
      <c r="C1894" s="36"/>
      <c r="D1894" s="36"/>
      <c r="E1894" s="36"/>
      <c r="F1894" s="36"/>
      <c r="G1894" s="36"/>
      <c r="H1894" s="36"/>
      <c r="J1894" s="36"/>
      <c r="L1894" s="1" t="str">
        <f t="shared" si="121"/>
        <v/>
      </c>
      <c r="M1894" s="94"/>
      <c r="N1894" s="36"/>
      <c r="O1894" s="95"/>
      <c r="P1894" s="36"/>
      <c r="AI1894" s="122">
        <v>1582</v>
      </c>
      <c r="AJ1894" s="1" t="s">
        <v>3243</v>
      </c>
      <c r="AK1894" s="1">
        <v>311289</v>
      </c>
      <c r="AL1894" s="1" t="s">
        <v>115</v>
      </c>
      <c r="AN1894" s="270">
        <v>988</v>
      </c>
      <c r="BX1894" s="36"/>
    </row>
    <row r="1895" spans="2:76" ht="14.25">
      <c r="B1895" s="36"/>
      <c r="C1895" s="36"/>
      <c r="D1895" s="36"/>
      <c r="E1895" s="36"/>
      <c r="F1895" s="36"/>
      <c r="G1895" s="36"/>
      <c r="H1895" s="36"/>
      <c r="J1895" s="36"/>
      <c r="L1895" s="1" t="str">
        <f t="shared" si="121"/>
        <v/>
      </c>
      <c r="M1895" s="94"/>
      <c r="N1895" s="36"/>
      <c r="O1895" s="95"/>
      <c r="P1895" s="36"/>
      <c r="AI1895" s="122">
        <v>1583</v>
      </c>
      <c r="AJ1895" s="1" t="s">
        <v>3244</v>
      </c>
      <c r="AK1895" s="1">
        <v>311290</v>
      </c>
      <c r="AL1895" s="1" t="s">
        <v>930</v>
      </c>
      <c r="AN1895" s="270">
        <v>989</v>
      </c>
      <c r="BX1895" s="36"/>
    </row>
    <row r="1896" spans="2:76" ht="14.25">
      <c r="B1896" s="36"/>
      <c r="C1896" s="36"/>
      <c r="D1896" s="36"/>
      <c r="E1896" s="36"/>
      <c r="F1896" s="36"/>
      <c r="G1896" s="36"/>
      <c r="H1896" s="36"/>
      <c r="J1896" s="36"/>
      <c r="L1896" s="1" t="str">
        <f t="shared" si="121"/>
        <v/>
      </c>
      <c r="M1896" s="94"/>
      <c r="N1896" s="36"/>
      <c r="O1896" s="95"/>
      <c r="P1896" s="36"/>
      <c r="AI1896" s="122">
        <v>1584</v>
      </c>
      <c r="AJ1896" s="1" t="s">
        <v>3245</v>
      </c>
      <c r="AK1896" s="1">
        <v>311291</v>
      </c>
      <c r="AL1896" s="1" t="s">
        <v>115</v>
      </c>
      <c r="AN1896" s="270">
        <v>990</v>
      </c>
      <c r="BX1896" s="36"/>
    </row>
    <row r="1897" spans="2:76" ht="14.25">
      <c r="B1897" s="36"/>
      <c r="C1897" s="36"/>
      <c r="D1897" s="36"/>
      <c r="E1897" s="36"/>
      <c r="F1897" s="36"/>
      <c r="G1897" s="36"/>
      <c r="H1897" s="36"/>
      <c r="J1897" s="36"/>
      <c r="L1897" s="1" t="str">
        <f t="shared" si="121"/>
        <v/>
      </c>
      <c r="M1897" s="94"/>
      <c r="N1897" s="36"/>
      <c r="O1897" s="95"/>
      <c r="P1897" s="36"/>
      <c r="AI1897" s="122">
        <v>1585</v>
      </c>
      <c r="AJ1897" s="1" t="s">
        <v>3246</v>
      </c>
      <c r="AK1897" s="1">
        <v>311292</v>
      </c>
      <c r="AL1897" s="1" t="s">
        <v>930</v>
      </c>
      <c r="AN1897" s="270">
        <v>991</v>
      </c>
      <c r="BX1897" s="36"/>
    </row>
    <row r="1898" spans="2:76" ht="14.25">
      <c r="B1898" s="36"/>
      <c r="C1898" s="36"/>
      <c r="D1898" s="36"/>
      <c r="E1898" s="36"/>
      <c r="F1898" s="36"/>
      <c r="G1898" s="36"/>
      <c r="H1898" s="36"/>
      <c r="J1898" s="36"/>
      <c r="L1898" s="1" t="str">
        <f t="shared" si="121"/>
        <v/>
      </c>
      <c r="M1898" s="94"/>
      <c r="N1898" s="36"/>
      <c r="O1898" s="95"/>
      <c r="P1898" s="36"/>
      <c r="AI1898" s="122">
        <v>1586</v>
      </c>
      <c r="AJ1898" s="1" t="s">
        <v>3247</v>
      </c>
      <c r="AK1898" s="1">
        <v>311293</v>
      </c>
      <c r="AL1898" s="1" t="s">
        <v>930</v>
      </c>
      <c r="AN1898" s="270">
        <v>992</v>
      </c>
      <c r="BX1898" s="36"/>
    </row>
    <row r="1899" spans="2:76" ht="14.25">
      <c r="B1899" s="36"/>
      <c r="C1899" s="36"/>
      <c r="D1899" s="36"/>
      <c r="E1899" s="36"/>
      <c r="F1899" s="36"/>
      <c r="G1899" s="36"/>
      <c r="H1899" s="36"/>
      <c r="J1899" s="36"/>
      <c r="L1899" s="1" t="str">
        <f t="shared" si="121"/>
        <v/>
      </c>
      <c r="M1899" s="94"/>
      <c r="N1899" s="36"/>
      <c r="O1899" s="95"/>
      <c r="P1899" s="36"/>
      <c r="AI1899" s="122">
        <v>1587</v>
      </c>
      <c r="AJ1899" s="1" t="s">
        <v>3248</v>
      </c>
      <c r="AK1899" s="1">
        <v>311294</v>
      </c>
      <c r="AL1899" s="1" t="s">
        <v>115</v>
      </c>
      <c r="AN1899" s="270">
        <v>993</v>
      </c>
      <c r="BX1899" s="36"/>
    </row>
    <row r="1900" spans="2:76" ht="14.25">
      <c r="B1900" s="36"/>
      <c r="C1900" s="36"/>
      <c r="D1900" s="36"/>
      <c r="E1900" s="36"/>
      <c r="F1900" s="36"/>
      <c r="G1900" s="36"/>
      <c r="H1900" s="36"/>
      <c r="J1900" s="36"/>
      <c r="L1900" s="1" t="str">
        <f t="shared" si="121"/>
        <v/>
      </c>
      <c r="M1900" s="94"/>
      <c r="N1900" s="36"/>
      <c r="O1900" s="95"/>
      <c r="P1900" s="36"/>
      <c r="AI1900" s="122">
        <v>1588</v>
      </c>
      <c r="AJ1900" s="1" t="s">
        <v>3249</v>
      </c>
      <c r="AK1900" s="1">
        <v>311295</v>
      </c>
      <c r="AL1900" s="1" t="s">
        <v>930</v>
      </c>
      <c r="AN1900" s="270">
        <v>994</v>
      </c>
      <c r="BX1900" s="36"/>
    </row>
    <row r="1901" spans="2:76" ht="14.25">
      <c r="B1901" s="36"/>
      <c r="C1901" s="36"/>
      <c r="D1901" s="36"/>
      <c r="E1901" s="36"/>
      <c r="F1901" s="36"/>
      <c r="G1901" s="36"/>
      <c r="H1901" s="36"/>
      <c r="J1901" s="36"/>
      <c r="L1901" s="1" t="str">
        <f t="shared" si="121"/>
        <v/>
      </c>
      <c r="M1901" s="94"/>
      <c r="N1901" s="36"/>
      <c r="O1901" s="95"/>
      <c r="P1901" s="36"/>
      <c r="AI1901" s="122">
        <v>1589</v>
      </c>
      <c r="AJ1901" s="1" t="s">
        <v>3250</v>
      </c>
      <c r="AK1901" s="1">
        <v>311296</v>
      </c>
      <c r="AL1901" s="1" t="s">
        <v>115</v>
      </c>
      <c r="AN1901" s="270">
        <v>995</v>
      </c>
      <c r="BX1901" s="36"/>
    </row>
    <row r="1902" spans="2:76" ht="14.25">
      <c r="B1902" s="36"/>
      <c r="C1902" s="36"/>
      <c r="D1902" s="36"/>
      <c r="E1902" s="36"/>
      <c r="F1902" s="36"/>
      <c r="G1902" s="36"/>
      <c r="H1902" s="36"/>
      <c r="J1902" s="36"/>
      <c r="L1902" s="1" t="str">
        <f t="shared" si="121"/>
        <v/>
      </c>
      <c r="M1902" s="94"/>
      <c r="N1902" s="36"/>
      <c r="O1902" s="95"/>
      <c r="P1902" s="36"/>
      <c r="AI1902" s="122">
        <v>1590</v>
      </c>
      <c r="AJ1902" s="1" t="s">
        <v>3251</v>
      </c>
      <c r="AK1902" s="1">
        <v>311297</v>
      </c>
      <c r="AL1902" s="1" t="s">
        <v>930</v>
      </c>
      <c r="AN1902" s="270">
        <v>996</v>
      </c>
      <c r="BX1902" s="36"/>
    </row>
    <row r="1903" spans="2:76" ht="14.25">
      <c r="B1903" s="36"/>
      <c r="C1903" s="36"/>
      <c r="D1903" s="36"/>
      <c r="E1903" s="36"/>
      <c r="F1903" s="36"/>
      <c r="G1903" s="36"/>
      <c r="H1903" s="36"/>
      <c r="J1903" s="36"/>
      <c r="L1903" s="1" t="str">
        <f t="shared" si="121"/>
        <v/>
      </c>
      <c r="M1903" s="94"/>
      <c r="N1903" s="36"/>
      <c r="O1903" s="95"/>
      <c r="P1903" s="36"/>
      <c r="AI1903" s="122">
        <v>1591</v>
      </c>
      <c r="AJ1903" s="1" t="s">
        <v>3252</v>
      </c>
      <c r="AK1903" s="1">
        <v>311298</v>
      </c>
      <c r="AL1903" s="1" t="s">
        <v>115</v>
      </c>
      <c r="AN1903" s="270">
        <v>997</v>
      </c>
      <c r="BX1903" s="36"/>
    </row>
    <row r="1904" spans="2:76" ht="14.25">
      <c r="B1904" s="36"/>
      <c r="C1904" s="36"/>
      <c r="D1904" s="36"/>
      <c r="E1904" s="36"/>
      <c r="F1904" s="36"/>
      <c r="G1904" s="36"/>
      <c r="H1904" s="36"/>
      <c r="J1904" s="36"/>
      <c r="L1904" s="1" t="str">
        <f t="shared" si="121"/>
        <v/>
      </c>
      <c r="M1904" s="94"/>
      <c r="N1904" s="36"/>
      <c r="O1904" s="95"/>
      <c r="P1904" s="36"/>
      <c r="AI1904" s="122">
        <v>1592</v>
      </c>
      <c r="AJ1904" s="1" t="s">
        <v>3253</v>
      </c>
      <c r="AK1904" s="1">
        <v>311299</v>
      </c>
      <c r="AL1904" s="1" t="s">
        <v>930</v>
      </c>
      <c r="AN1904" s="270">
        <v>998</v>
      </c>
      <c r="BX1904" s="36"/>
    </row>
    <row r="1905" spans="2:76" ht="14.25">
      <c r="B1905" s="36"/>
      <c r="C1905" s="36"/>
      <c r="D1905" s="36"/>
      <c r="E1905" s="36"/>
      <c r="F1905" s="36"/>
      <c r="G1905" s="36"/>
      <c r="H1905" s="36"/>
      <c r="J1905" s="36"/>
      <c r="L1905" s="1" t="str">
        <f t="shared" si="121"/>
        <v/>
      </c>
      <c r="M1905" s="94"/>
      <c r="N1905" s="36"/>
      <c r="O1905" s="95"/>
      <c r="P1905" s="36"/>
      <c r="AI1905" s="122">
        <v>1593</v>
      </c>
      <c r="AJ1905" s="1" t="s">
        <v>3254</v>
      </c>
      <c r="AK1905" s="1">
        <v>311300</v>
      </c>
      <c r="AL1905" s="1" t="s">
        <v>930</v>
      </c>
      <c r="AN1905" s="270">
        <v>999</v>
      </c>
      <c r="BX1905" s="36"/>
    </row>
    <row r="1906" spans="2:76" ht="14.25">
      <c r="B1906" s="36"/>
      <c r="C1906" s="36"/>
      <c r="D1906" s="36"/>
      <c r="E1906" s="36"/>
      <c r="F1906" s="36"/>
      <c r="G1906" s="36"/>
      <c r="H1906" s="36"/>
      <c r="J1906" s="36"/>
      <c r="L1906" s="1" t="str">
        <f t="shared" si="121"/>
        <v/>
      </c>
      <c r="M1906" s="94"/>
      <c r="N1906" s="36"/>
      <c r="O1906" s="95"/>
      <c r="P1906" s="36"/>
      <c r="AI1906" s="122">
        <v>1594</v>
      </c>
      <c r="AJ1906" s="1" t="s">
        <v>3255</v>
      </c>
      <c r="AK1906" s="1">
        <v>311301</v>
      </c>
      <c r="AL1906" s="1" t="s">
        <v>115</v>
      </c>
      <c r="AN1906" s="270">
        <v>0</v>
      </c>
      <c r="BX1906" s="36"/>
    </row>
    <row r="1907" spans="2:76" ht="14.25">
      <c r="B1907" s="36"/>
      <c r="C1907" s="36"/>
      <c r="D1907" s="36"/>
      <c r="E1907" s="36"/>
      <c r="F1907" s="36"/>
      <c r="G1907" s="36"/>
      <c r="H1907" s="36"/>
      <c r="J1907" s="36"/>
      <c r="L1907" s="1" t="str">
        <f t="shared" si="121"/>
        <v/>
      </c>
      <c r="M1907" s="94"/>
      <c r="N1907" s="36"/>
      <c r="O1907" s="95"/>
      <c r="P1907" s="36"/>
      <c r="AI1907" s="122">
        <v>1595</v>
      </c>
      <c r="AJ1907" s="1" t="s">
        <v>3256</v>
      </c>
      <c r="AK1907" s="1">
        <v>311302</v>
      </c>
      <c r="AL1907" s="1" t="s">
        <v>930</v>
      </c>
      <c r="AN1907" s="270">
        <v>1</v>
      </c>
      <c r="BX1907" s="36"/>
    </row>
    <row r="1908" spans="2:76" ht="14.25">
      <c r="B1908" s="36"/>
      <c r="C1908" s="36"/>
      <c r="D1908" s="36"/>
      <c r="E1908" s="36"/>
      <c r="F1908" s="36"/>
      <c r="G1908" s="36"/>
      <c r="H1908" s="36"/>
      <c r="J1908" s="36"/>
      <c r="L1908" s="1" t="str">
        <f t="shared" si="121"/>
        <v/>
      </c>
      <c r="M1908" s="94"/>
      <c r="N1908" s="36"/>
      <c r="O1908" s="95"/>
      <c r="P1908" s="36"/>
      <c r="AI1908" s="122">
        <v>1596</v>
      </c>
      <c r="AJ1908" s="1" t="s">
        <v>3257</v>
      </c>
      <c r="AK1908" s="1">
        <v>311303</v>
      </c>
      <c r="AL1908" s="1" t="s">
        <v>115</v>
      </c>
      <c r="AN1908" s="270">
        <v>2</v>
      </c>
      <c r="BX1908" s="36"/>
    </row>
    <row r="1909" spans="2:76" ht="14.25">
      <c r="B1909" s="36"/>
      <c r="C1909" s="36"/>
      <c r="D1909" s="36"/>
      <c r="E1909" s="36"/>
      <c r="F1909" s="36"/>
      <c r="G1909" s="36"/>
      <c r="H1909" s="36"/>
      <c r="J1909" s="36"/>
      <c r="L1909" s="1" t="str">
        <f t="shared" si="121"/>
        <v/>
      </c>
      <c r="M1909" s="94"/>
      <c r="N1909" s="36"/>
      <c r="O1909" s="95"/>
      <c r="P1909" s="36"/>
      <c r="AI1909" s="122">
        <v>1597</v>
      </c>
      <c r="AJ1909" s="1" t="s">
        <v>3258</v>
      </c>
      <c r="AK1909" s="1">
        <v>311304</v>
      </c>
      <c r="AL1909" s="1" t="s">
        <v>930</v>
      </c>
      <c r="AN1909" s="270">
        <v>3</v>
      </c>
      <c r="BX1909" s="36"/>
    </row>
    <row r="1910" spans="2:76" ht="14.25">
      <c r="B1910" s="36"/>
      <c r="C1910" s="36"/>
      <c r="D1910" s="36"/>
      <c r="E1910" s="36"/>
      <c r="F1910" s="36"/>
      <c r="G1910" s="36"/>
      <c r="H1910" s="36"/>
      <c r="J1910" s="36"/>
      <c r="L1910" s="1" t="str">
        <f t="shared" si="121"/>
        <v/>
      </c>
      <c r="M1910" s="94"/>
      <c r="N1910" s="36"/>
      <c r="O1910" s="95"/>
      <c r="P1910" s="36"/>
      <c r="AI1910" s="122">
        <v>1598</v>
      </c>
      <c r="AJ1910" s="1" t="s">
        <v>3259</v>
      </c>
      <c r="AK1910" s="1">
        <v>311305</v>
      </c>
      <c r="AL1910" s="1" t="s">
        <v>115</v>
      </c>
      <c r="AN1910" s="270">
        <v>4</v>
      </c>
      <c r="BX1910" s="36"/>
    </row>
    <row r="1911" spans="2:76" ht="14.25">
      <c r="B1911" s="36"/>
      <c r="C1911" s="36"/>
      <c r="D1911" s="36"/>
      <c r="E1911" s="36"/>
      <c r="F1911" s="36"/>
      <c r="G1911" s="36"/>
      <c r="H1911" s="36"/>
      <c r="J1911" s="36"/>
      <c r="L1911" s="1" t="str">
        <f t="shared" si="121"/>
        <v/>
      </c>
      <c r="M1911" s="94"/>
      <c r="N1911" s="36"/>
      <c r="O1911" s="95"/>
      <c r="P1911" s="36"/>
      <c r="AI1911" s="122">
        <v>1599</v>
      </c>
      <c r="AJ1911" s="1" t="s">
        <v>3260</v>
      </c>
      <c r="AK1911" s="1">
        <v>311306</v>
      </c>
      <c r="AL1911" s="1" t="s">
        <v>930</v>
      </c>
      <c r="AN1911" s="270">
        <v>5</v>
      </c>
      <c r="BX1911" s="36"/>
    </row>
    <row r="1912" spans="2:76" ht="14.25">
      <c r="B1912" s="36"/>
      <c r="C1912" s="36"/>
      <c r="D1912" s="36"/>
      <c r="E1912" s="36"/>
      <c r="F1912" s="36"/>
      <c r="G1912" s="36"/>
      <c r="H1912" s="36"/>
      <c r="J1912" s="36"/>
      <c r="L1912" s="1" t="str">
        <f t="shared" si="121"/>
        <v/>
      </c>
      <c r="M1912" s="94"/>
      <c r="N1912" s="36"/>
      <c r="O1912" s="95"/>
      <c r="P1912" s="36"/>
      <c r="AI1912" s="122">
        <v>1600</v>
      </c>
      <c r="AJ1912" s="1" t="s">
        <v>3261</v>
      </c>
      <c r="AK1912" s="1">
        <v>311307</v>
      </c>
      <c r="AL1912" s="1" t="s">
        <v>115</v>
      </c>
      <c r="AN1912" s="270">
        <v>6</v>
      </c>
      <c r="BX1912" s="36"/>
    </row>
    <row r="1913" spans="2:76" ht="14.25">
      <c r="B1913" s="36"/>
      <c r="C1913" s="36"/>
      <c r="D1913" s="36"/>
      <c r="E1913" s="36"/>
      <c r="F1913" s="36"/>
      <c r="G1913" s="36"/>
      <c r="H1913" s="36"/>
      <c r="J1913" s="36"/>
      <c r="L1913" s="1" t="str">
        <f t="shared" si="121"/>
        <v/>
      </c>
      <c r="M1913" s="94"/>
      <c r="N1913" s="36"/>
      <c r="O1913" s="95"/>
      <c r="P1913" s="36"/>
      <c r="AI1913" s="122">
        <v>1601</v>
      </c>
      <c r="AJ1913" s="1" t="s">
        <v>3262</v>
      </c>
      <c r="AK1913" s="1">
        <v>311308</v>
      </c>
      <c r="AL1913" s="1" t="s">
        <v>930</v>
      </c>
      <c r="AN1913" s="270">
        <v>7</v>
      </c>
      <c r="BX1913" s="36"/>
    </row>
    <row r="1914" spans="2:76" ht="14.25">
      <c r="B1914" s="36"/>
      <c r="C1914" s="36"/>
      <c r="D1914" s="36"/>
      <c r="E1914" s="36"/>
      <c r="F1914" s="36"/>
      <c r="G1914" s="36"/>
      <c r="H1914" s="36"/>
      <c r="J1914" s="36"/>
      <c r="L1914" s="1" t="str">
        <f t="shared" si="121"/>
        <v/>
      </c>
      <c r="M1914" s="94"/>
      <c r="N1914" s="36"/>
      <c r="O1914" s="95"/>
      <c r="P1914" s="36"/>
      <c r="AI1914" s="122">
        <v>1602</v>
      </c>
      <c r="AJ1914" s="1" t="s">
        <v>1141</v>
      </c>
      <c r="AK1914" s="1" t="s">
        <v>1141</v>
      </c>
      <c r="AL1914" s="1" t="s">
        <v>1141</v>
      </c>
      <c r="AN1914" s="270">
        <v>8</v>
      </c>
      <c r="BX1914" s="36"/>
    </row>
    <row r="1915" spans="2:76" ht="14.25">
      <c r="B1915" s="36"/>
      <c r="C1915" s="36"/>
      <c r="D1915" s="36"/>
      <c r="E1915" s="36"/>
      <c r="F1915" s="36"/>
      <c r="G1915" s="36"/>
      <c r="H1915" s="36"/>
      <c r="J1915" s="36"/>
      <c r="L1915" s="1" t="str">
        <f t="shared" si="121"/>
        <v/>
      </c>
      <c r="M1915" s="94"/>
      <c r="N1915" s="36"/>
      <c r="O1915" s="95"/>
      <c r="P1915" s="36"/>
      <c r="AI1915" s="122">
        <v>1603</v>
      </c>
      <c r="AJ1915" s="1" t="s">
        <v>1141</v>
      </c>
      <c r="AK1915" s="1" t="s">
        <v>1141</v>
      </c>
      <c r="AL1915" s="1" t="s">
        <v>1141</v>
      </c>
      <c r="AN1915" s="270">
        <v>9</v>
      </c>
      <c r="BX1915" s="36"/>
    </row>
    <row r="1916" spans="2:76" ht="14.25">
      <c r="B1916" s="36"/>
      <c r="C1916" s="36"/>
      <c r="D1916" s="36"/>
      <c r="E1916" s="36"/>
      <c r="F1916" s="36"/>
      <c r="G1916" s="36"/>
      <c r="H1916" s="36"/>
      <c r="J1916" s="36"/>
      <c r="L1916" s="1" t="str">
        <f t="shared" si="121"/>
        <v/>
      </c>
      <c r="M1916" s="94"/>
      <c r="N1916" s="36"/>
      <c r="O1916" s="95"/>
      <c r="P1916" s="36"/>
      <c r="AI1916" s="122">
        <v>1604</v>
      </c>
      <c r="AJ1916" s="1" t="s">
        <v>1141</v>
      </c>
      <c r="AK1916" s="1" t="s">
        <v>1141</v>
      </c>
      <c r="AL1916" s="1" t="s">
        <v>1141</v>
      </c>
      <c r="AN1916" s="270">
        <v>10</v>
      </c>
      <c r="BX1916" s="36"/>
    </row>
    <row r="1917" spans="2:76" ht="14.25">
      <c r="B1917" s="36"/>
      <c r="C1917" s="36"/>
      <c r="D1917" s="36"/>
      <c r="E1917" s="36"/>
      <c r="F1917" s="36"/>
      <c r="G1917" s="36"/>
      <c r="H1917" s="36"/>
      <c r="J1917" s="36"/>
      <c r="L1917" s="1" t="str">
        <f t="shared" si="121"/>
        <v/>
      </c>
      <c r="M1917" s="94"/>
      <c r="N1917" s="36"/>
      <c r="O1917" s="95"/>
      <c r="P1917" s="36"/>
      <c r="AI1917" s="122">
        <v>1605</v>
      </c>
      <c r="AJ1917" s="1" t="s">
        <v>1141</v>
      </c>
      <c r="AK1917" s="1" t="s">
        <v>1141</v>
      </c>
      <c r="AL1917" s="1" t="s">
        <v>1141</v>
      </c>
      <c r="AN1917" s="270">
        <v>11</v>
      </c>
      <c r="BX1917" s="36"/>
    </row>
    <row r="1918" spans="2:76" ht="14.25">
      <c r="B1918" s="36"/>
      <c r="C1918" s="36"/>
      <c r="D1918" s="36"/>
      <c r="E1918" s="36"/>
      <c r="F1918" s="36"/>
      <c r="G1918" s="36"/>
      <c r="H1918" s="36"/>
      <c r="J1918" s="36"/>
      <c r="L1918" s="1" t="str">
        <f t="shared" si="121"/>
        <v/>
      </c>
      <c r="M1918" s="94"/>
      <c r="N1918" s="36"/>
      <c r="O1918" s="95"/>
      <c r="P1918" s="36"/>
      <c r="AI1918" s="122">
        <v>1606</v>
      </c>
      <c r="AJ1918" s="1" t="s">
        <v>1141</v>
      </c>
      <c r="AK1918" s="1" t="s">
        <v>1141</v>
      </c>
      <c r="AL1918" s="1" t="s">
        <v>1141</v>
      </c>
      <c r="AN1918" s="270">
        <v>12</v>
      </c>
      <c r="BX1918" s="36"/>
    </row>
    <row r="1919" spans="2:76" ht="14.25">
      <c r="B1919" s="36"/>
      <c r="C1919" s="36"/>
      <c r="D1919" s="36"/>
      <c r="E1919" s="36"/>
      <c r="F1919" s="36"/>
      <c r="G1919" s="36"/>
      <c r="H1919" s="36"/>
      <c r="J1919" s="36"/>
      <c r="L1919" s="1" t="str">
        <f t="shared" si="121"/>
        <v/>
      </c>
      <c r="M1919" s="94"/>
      <c r="N1919" s="36"/>
      <c r="O1919" s="95"/>
      <c r="P1919" s="36"/>
      <c r="AI1919" s="122">
        <v>1607</v>
      </c>
      <c r="AJ1919" s="1" t="s">
        <v>1141</v>
      </c>
      <c r="AK1919" s="1" t="s">
        <v>1141</v>
      </c>
      <c r="AL1919" s="1" t="s">
        <v>1141</v>
      </c>
      <c r="AN1919" s="270">
        <v>13</v>
      </c>
      <c r="BX1919" s="36"/>
    </row>
    <row r="1920" spans="2:76" ht="14.25">
      <c r="B1920" s="36"/>
      <c r="C1920" s="36"/>
      <c r="D1920" s="36"/>
      <c r="E1920" s="36"/>
      <c r="F1920" s="36"/>
      <c r="G1920" s="36"/>
      <c r="H1920" s="36"/>
      <c r="J1920" s="36"/>
      <c r="L1920" s="1" t="str">
        <f t="shared" si="121"/>
        <v/>
      </c>
      <c r="M1920" s="94"/>
      <c r="N1920" s="36"/>
      <c r="O1920" s="95"/>
      <c r="P1920" s="36"/>
      <c r="AI1920" s="122">
        <v>1608</v>
      </c>
      <c r="AJ1920" s="1" t="s">
        <v>1141</v>
      </c>
      <c r="AK1920" s="1" t="s">
        <v>1141</v>
      </c>
      <c r="AL1920" s="1" t="s">
        <v>1141</v>
      </c>
      <c r="AN1920" s="270">
        <v>14</v>
      </c>
      <c r="BX1920" s="36"/>
    </row>
    <row r="1921" spans="2:76" ht="14.25">
      <c r="B1921" s="36"/>
      <c r="C1921" s="36"/>
      <c r="D1921" s="36"/>
      <c r="E1921" s="36"/>
      <c r="F1921" s="36"/>
      <c r="G1921" s="36"/>
      <c r="H1921" s="36"/>
      <c r="J1921" s="36"/>
      <c r="L1921" s="1" t="str">
        <f t="shared" si="121"/>
        <v/>
      </c>
      <c r="M1921" s="94"/>
      <c r="N1921" s="36"/>
      <c r="O1921" s="95"/>
      <c r="P1921" s="36"/>
      <c r="AI1921" s="122">
        <v>1609</v>
      </c>
      <c r="AJ1921" s="1" t="s">
        <v>1141</v>
      </c>
      <c r="AK1921" s="1" t="s">
        <v>1141</v>
      </c>
      <c r="AL1921" s="1" t="s">
        <v>1141</v>
      </c>
      <c r="AN1921" s="270">
        <v>15</v>
      </c>
      <c r="BX1921" s="36"/>
    </row>
    <row r="1922" spans="2:76" ht="14.25">
      <c r="B1922" s="36"/>
      <c r="C1922" s="36"/>
      <c r="D1922" s="36"/>
      <c r="E1922" s="36"/>
      <c r="F1922" s="36"/>
      <c r="G1922" s="36"/>
      <c r="H1922" s="36"/>
      <c r="J1922" s="36"/>
      <c r="L1922" s="1" t="str">
        <f t="shared" si="121"/>
        <v/>
      </c>
      <c r="M1922" s="94"/>
      <c r="N1922" s="36"/>
      <c r="O1922" s="95"/>
      <c r="P1922" s="36"/>
      <c r="AI1922" s="122">
        <v>1610</v>
      </c>
      <c r="AJ1922" s="1" t="s">
        <v>1141</v>
      </c>
      <c r="AK1922" s="1" t="s">
        <v>1141</v>
      </c>
      <c r="AL1922" s="1" t="s">
        <v>1141</v>
      </c>
      <c r="AN1922" s="270">
        <v>16</v>
      </c>
      <c r="BX1922" s="36"/>
    </row>
    <row r="1923" spans="2:76" ht="14.25">
      <c r="B1923" s="36"/>
      <c r="C1923" s="36"/>
      <c r="D1923" s="36"/>
      <c r="E1923" s="36"/>
      <c r="F1923" s="36"/>
      <c r="G1923" s="36"/>
      <c r="H1923" s="36"/>
      <c r="J1923" s="36"/>
      <c r="L1923" s="1" t="str">
        <f t="shared" si="121"/>
        <v/>
      </c>
      <c r="M1923" s="94"/>
      <c r="N1923" s="36"/>
      <c r="O1923" s="95"/>
      <c r="P1923" s="36"/>
      <c r="AI1923" s="122">
        <v>1611</v>
      </c>
      <c r="AJ1923" s="1" t="s">
        <v>1141</v>
      </c>
      <c r="AK1923" s="1" t="s">
        <v>1141</v>
      </c>
      <c r="AL1923" s="1" t="s">
        <v>1141</v>
      </c>
      <c r="AN1923" s="270">
        <v>17</v>
      </c>
      <c r="BX1923" s="36"/>
    </row>
    <row r="1924" spans="2:76" ht="14.25">
      <c r="B1924" s="36"/>
      <c r="C1924" s="36"/>
      <c r="D1924" s="36"/>
      <c r="E1924" s="36"/>
      <c r="F1924" s="36"/>
      <c r="G1924" s="36"/>
      <c r="H1924" s="36"/>
      <c r="J1924" s="36"/>
      <c r="L1924" s="1" t="str">
        <f t="shared" ref="L1924:L1987" si="122">IF(AND(MIN(I:I)&lt;20,MAX(I:I)&gt;980,I1924&lt;20),I1924,"")</f>
        <v/>
      </c>
      <c r="M1924" s="94"/>
      <c r="N1924" s="36"/>
      <c r="O1924" s="95"/>
      <c r="P1924" s="36"/>
      <c r="AI1924" s="122">
        <v>1612</v>
      </c>
      <c r="AJ1924" s="1" t="s">
        <v>1141</v>
      </c>
      <c r="AK1924" s="1" t="s">
        <v>1141</v>
      </c>
      <c r="AL1924" s="1" t="s">
        <v>1141</v>
      </c>
      <c r="AN1924" s="270">
        <v>18</v>
      </c>
      <c r="BX1924" s="36"/>
    </row>
    <row r="1925" spans="2:76" ht="14.25">
      <c r="B1925" s="36"/>
      <c r="C1925" s="36"/>
      <c r="D1925" s="36"/>
      <c r="E1925" s="36"/>
      <c r="F1925" s="36"/>
      <c r="G1925" s="36"/>
      <c r="H1925" s="36"/>
      <c r="J1925" s="36"/>
      <c r="L1925" s="1" t="str">
        <f t="shared" si="122"/>
        <v/>
      </c>
      <c r="M1925" s="94"/>
      <c r="N1925" s="36"/>
      <c r="O1925" s="95"/>
      <c r="P1925" s="36"/>
      <c r="AI1925" s="122">
        <v>1613</v>
      </c>
      <c r="AJ1925" s="1" t="s">
        <v>1141</v>
      </c>
      <c r="AK1925" s="1" t="s">
        <v>1141</v>
      </c>
      <c r="AL1925" s="1" t="s">
        <v>1141</v>
      </c>
      <c r="AN1925" s="270">
        <v>19</v>
      </c>
      <c r="BX1925" s="36"/>
    </row>
    <row r="1926" spans="2:76" ht="14.25">
      <c r="B1926" s="36"/>
      <c r="C1926" s="36"/>
      <c r="D1926" s="36"/>
      <c r="E1926" s="36"/>
      <c r="F1926" s="36"/>
      <c r="G1926" s="36"/>
      <c r="H1926" s="36"/>
      <c r="J1926" s="36"/>
      <c r="L1926" s="1" t="str">
        <f t="shared" si="122"/>
        <v/>
      </c>
      <c r="M1926" s="94"/>
      <c r="N1926" s="36"/>
      <c r="O1926" s="95"/>
      <c r="P1926" s="36"/>
      <c r="AI1926" s="122">
        <v>1614</v>
      </c>
      <c r="AJ1926" s="1" t="s">
        <v>1141</v>
      </c>
      <c r="AK1926" s="1" t="s">
        <v>1141</v>
      </c>
      <c r="AL1926" s="1" t="s">
        <v>1141</v>
      </c>
      <c r="AN1926" s="270">
        <v>20</v>
      </c>
      <c r="BX1926" s="36"/>
    </row>
    <row r="1927" spans="2:76" ht="14.25">
      <c r="B1927" s="36"/>
      <c r="C1927" s="36"/>
      <c r="D1927" s="36"/>
      <c r="E1927" s="36"/>
      <c r="F1927" s="36"/>
      <c r="G1927" s="36"/>
      <c r="H1927" s="36"/>
      <c r="J1927" s="36"/>
      <c r="L1927" s="1" t="str">
        <f t="shared" si="122"/>
        <v/>
      </c>
      <c r="M1927" s="94"/>
      <c r="N1927" s="36"/>
      <c r="O1927" s="95"/>
      <c r="P1927" s="36"/>
      <c r="AI1927" s="122">
        <v>1615</v>
      </c>
      <c r="AJ1927" s="1" t="s">
        <v>1141</v>
      </c>
      <c r="AK1927" s="1" t="s">
        <v>1141</v>
      </c>
      <c r="AL1927" s="1" t="s">
        <v>1141</v>
      </c>
      <c r="AN1927" s="270">
        <v>21</v>
      </c>
      <c r="BX1927" s="36"/>
    </row>
    <row r="1928" spans="2:76" ht="14.25">
      <c r="B1928" s="36"/>
      <c r="C1928" s="36"/>
      <c r="D1928" s="36"/>
      <c r="E1928" s="36"/>
      <c r="F1928" s="36"/>
      <c r="G1928" s="36"/>
      <c r="H1928" s="36"/>
      <c r="J1928" s="36"/>
      <c r="L1928" s="1" t="str">
        <f t="shared" si="122"/>
        <v/>
      </c>
      <c r="M1928" s="94"/>
      <c r="N1928" s="36"/>
      <c r="O1928" s="95"/>
      <c r="P1928" s="36"/>
      <c r="AI1928" s="122">
        <v>1616</v>
      </c>
      <c r="AJ1928" s="1" t="s">
        <v>1141</v>
      </c>
      <c r="AK1928" s="1" t="s">
        <v>1141</v>
      </c>
      <c r="AL1928" s="1" t="s">
        <v>1141</v>
      </c>
      <c r="AN1928" s="270">
        <v>22</v>
      </c>
      <c r="BX1928" s="36"/>
    </row>
    <row r="1929" spans="2:76" ht="14.25">
      <c r="B1929" s="36"/>
      <c r="C1929" s="36"/>
      <c r="D1929" s="36"/>
      <c r="E1929" s="36"/>
      <c r="F1929" s="36"/>
      <c r="G1929" s="36"/>
      <c r="H1929" s="36"/>
      <c r="J1929" s="36"/>
      <c r="L1929" s="1" t="str">
        <f t="shared" si="122"/>
        <v/>
      </c>
      <c r="M1929" s="94"/>
      <c r="N1929" s="36"/>
      <c r="O1929" s="95"/>
      <c r="P1929" s="36"/>
      <c r="AI1929" s="122">
        <v>1617</v>
      </c>
      <c r="AJ1929" s="1" t="s">
        <v>1141</v>
      </c>
      <c r="AK1929" s="1" t="s">
        <v>1141</v>
      </c>
      <c r="AL1929" s="1" t="s">
        <v>1141</v>
      </c>
      <c r="AN1929" s="270">
        <v>23</v>
      </c>
      <c r="BX1929" s="36"/>
    </row>
    <row r="1930" spans="2:76" ht="14.25">
      <c r="B1930" s="36"/>
      <c r="C1930" s="36"/>
      <c r="D1930" s="36"/>
      <c r="E1930" s="36"/>
      <c r="F1930" s="36"/>
      <c r="G1930" s="36"/>
      <c r="H1930" s="36"/>
      <c r="J1930" s="36"/>
      <c r="L1930" s="1" t="str">
        <f t="shared" si="122"/>
        <v/>
      </c>
      <c r="M1930" s="94"/>
      <c r="N1930" s="36"/>
      <c r="O1930" s="95"/>
      <c r="P1930" s="36"/>
      <c r="AI1930" s="122">
        <v>1618</v>
      </c>
      <c r="AJ1930" s="1" t="s">
        <v>1141</v>
      </c>
      <c r="AK1930" s="1" t="s">
        <v>1141</v>
      </c>
      <c r="AL1930" s="1" t="s">
        <v>1141</v>
      </c>
      <c r="AN1930" s="270">
        <v>24</v>
      </c>
      <c r="BX1930" s="36"/>
    </row>
    <row r="1931" spans="2:76" ht="14.25">
      <c r="B1931" s="36"/>
      <c r="C1931" s="36"/>
      <c r="D1931" s="36"/>
      <c r="E1931" s="36"/>
      <c r="F1931" s="36"/>
      <c r="G1931" s="36"/>
      <c r="H1931" s="36"/>
      <c r="J1931" s="36"/>
      <c r="L1931" s="1" t="str">
        <f t="shared" si="122"/>
        <v/>
      </c>
      <c r="M1931" s="94"/>
      <c r="N1931" s="36"/>
      <c r="O1931" s="95"/>
      <c r="P1931" s="36"/>
      <c r="AI1931" s="122">
        <v>1619</v>
      </c>
      <c r="AJ1931" s="1" t="s">
        <v>1141</v>
      </c>
      <c r="AK1931" s="1" t="s">
        <v>1141</v>
      </c>
      <c r="AL1931" s="1" t="s">
        <v>1141</v>
      </c>
      <c r="AN1931" s="270">
        <v>25</v>
      </c>
      <c r="BX1931" s="36"/>
    </row>
    <row r="1932" spans="2:76" ht="14.25">
      <c r="B1932" s="36"/>
      <c r="C1932" s="36"/>
      <c r="D1932" s="36"/>
      <c r="E1932" s="36"/>
      <c r="F1932" s="36"/>
      <c r="G1932" s="36"/>
      <c r="H1932" s="36"/>
      <c r="J1932" s="36"/>
      <c r="L1932" s="1" t="str">
        <f t="shared" si="122"/>
        <v/>
      </c>
      <c r="M1932" s="94"/>
      <c r="N1932" s="36"/>
      <c r="O1932" s="95"/>
      <c r="P1932" s="36"/>
      <c r="AI1932" s="122">
        <v>1620</v>
      </c>
      <c r="AJ1932" s="1" t="s">
        <v>1141</v>
      </c>
      <c r="AK1932" s="1" t="s">
        <v>1141</v>
      </c>
      <c r="AL1932" s="1" t="s">
        <v>1141</v>
      </c>
      <c r="AN1932" s="270">
        <v>26</v>
      </c>
      <c r="BX1932" s="36"/>
    </row>
    <row r="1933" spans="2:76" ht="14.25">
      <c r="B1933" s="36"/>
      <c r="C1933" s="36"/>
      <c r="D1933" s="36"/>
      <c r="E1933" s="36"/>
      <c r="F1933" s="36"/>
      <c r="G1933" s="36"/>
      <c r="H1933" s="36"/>
      <c r="J1933" s="36"/>
      <c r="L1933" s="1" t="str">
        <f t="shared" si="122"/>
        <v/>
      </c>
      <c r="M1933" s="94"/>
      <c r="N1933" s="36"/>
      <c r="O1933" s="95"/>
      <c r="P1933" s="36"/>
      <c r="AI1933" s="122">
        <v>1621</v>
      </c>
      <c r="AJ1933" s="1" t="s">
        <v>1141</v>
      </c>
      <c r="AK1933" s="1" t="s">
        <v>1141</v>
      </c>
      <c r="AL1933" s="1" t="s">
        <v>1141</v>
      </c>
      <c r="AN1933" s="270">
        <v>27</v>
      </c>
      <c r="BX1933" s="36"/>
    </row>
    <row r="1934" spans="2:76" ht="14.25">
      <c r="B1934" s="36"/>
      <c r="C1934" s="36"/>
      <c r="D1934" s="36"/>
      <c r="E1934" s="36"/>
      <c r="F1934" s="36"/>
      <c r="G1934" s="36"/>
      <c r="H1934" s="36"/>
      <c r="J1934" s="36"/>
      <c r="L1934" s="1" t="str">
        <f t="shared" si="122"/>
        <v/>
      </c>
      <c r="M1934" s="94"/>
      <c r="N1934" s="36"/>
      <c r="O1934" s="95"/>
      <c r="P1934" s="36"/>
      <c r="AI1934" s="122">
        <v>1622</v>
      </c>
      <c r="AJ1934" s="1" t="s">
        <v>1141</v>
      </c>
      <c r="AK1934" s="1" t="s">
        <v>1141</v>
      </c>
      <c r="AL1934" s="1" t="s">
        <v>1141</v>
      </c>
      <c r="AN1934" s="270">
        <v>28</v>
      </c>
      <c r="BX1934" s="36"/>
    </row>
    <row r="1935" spans="2:76" ht="14.25">
      <c r="B1935" s="36"/>
      <c r="C1935" s="36"/>
      <c r="D1935" s="36"/>
      <c r="E1935" s="36"/>
      <c r="F1935" s="36"/>
      <c r="G1935" s="36"/>
      <c r="H1935" s="36"/>
      <c r="J1935" s="36"/>
      <c r="L1935" s="1" t="str">
        <f t="shared" si="122"/>
        <v/>
      </c>
      <c r="M1935" s="94"/>
      <c r="N1935" s="36"/>
      <c r="O1935" s="95"/>
      <c r="P1935" s="36"/>
      <c r="AI1935" s="122">
        <v>1623</v>
      </c>
      <c r="AJ1935" s="1" t="s">
        <v>1141</v>
      </c>
      <c r="AK1935" s="1" t="s">
        <v>1141</v>
      </c>
      <c r="AL1935" s="1" t="s">
        <v>1141</v>
      </c>
      <c r="AN1935" s="270">
        <v>29</v>
      </c>
      <c r="BX1935" s="36"/>
    </row>
    <row r="1936" spans="2:76" ht="14.25">
      <c r="B1936" s="36"/>
      <c r="C1936" s="36"/>
      <c r="D1936" s="36"/>
      <c r="E1936" s="36"/>
      <c r="F1936" s="36"/>
      <c r="G1936" s="36"/>
      <c r="H1936" s="36"/>
      <c r="J1936" s="36"/>
      <c r="L1936" s="1" t="str">
        <f t="shared" si="122"/>
        <v/>
      </c>
      <c r="M1936" s="94"/>
      <c r="N1936" s="36"/>
      <c r="O1936" s="95"/>
      <c r="P1936" s="36"/>
      <c r="AI1936" s="122">
        <v>1624</v>
      </c>
      <c r="AJ1936" s="1" t="s">
        <v>1141</v>
      </c>
      <c r="AK1936" s="1" t="s">
        <v>1141</v>
      </c>
      <c r="AL1936" s="1" t="s">
        <v>1141</v>
      </c>
      <c r="AN1936" s="270">
        <v>30</v>
      </c>
      <c r="BX1936" s="36"/>
    </row>
    <row r="1937" spans="2:76" ht="14.25">
      <c r="B1937" s="36"/>
      <c r="C1937" s="36"/>
      <c r="D1937" s="36"/>
      <c r="E1937" s="36"/>
      <c r="F1937" s="36"/>
      <c r="G1937" s="36"/>
      <c r="H1937" s="36"/>
      <c r="J1937" s="36"/>
      <c r="L1937" s="1" t="str">
        <f t="shared" si="122"/>
        <v/>
      </c>
      <c r="M1937" s="94"/>
      <c r="N1937" s="36"/>
      <c r="O1937" s="95"/>
      <c r="P1937" s="36"/>
      <c r="AI1937" s="122">
        <v>1625</v>
      </c>
      <c r="AJ1937" s="1" t="s">
        <v>1141</v>
      </c>
      <c r="AK1937" s="1" t="s">
        <v>1141</v>
      </c>
      <c r="AL1937" s="1" t="s">
        <v>1141</v>
      </c>
      <c r="AN1937" s="270">
        <v>31</v>
      </c>
      <c r="BX1937" s="36"/>
    </row>
    <row r="1938" spans="2:76" ht="14.25">
      <c r="B1938" s="36"/>
      <c r="C1938" s="36"/>
      <c r="D1938" s="36"/>
      <c r="E1938" s="36"/>
      <c r="F1938" s="36"/>
      <c r="G1938" s="36"/>
      <c r="H1938" s="36"/>
      <c r="J1938" s="36"/>
      <c r="L1938" s="1" t="str">
        <f t="shared" si="122"/>
        <v/>
      </c>
      <c r="M1938" s="94"/>
      <c r="N1938" s="36"/>
      <c r="O1938" s="95"/>
      <c r="P1938" s="36"/>
      <c r="AI1938" s="122">
        <v>1626</v>
      </c>
      <c r="AJ1938" s="1" t="s">
        <v>1141</v>
      </c>
      <c r="AK1938" s="1" t="s">
        <v>1141</v>
      </c>
      <c r="AL1938" s="1" t="s">
        <v>1141</v>
      </c>
      <c r="AN1938" s="270">
        <v>32</v>
      </c>
      <c r="BX1938" s="36"/>
    </row>
    <row r="1939" spans="2:76" ht="14.25">
      <c r="B1939" s="36"/>
      <c r="C1939" s="36"/>
      <c r="D1939" s="36"/>
      <c r="E1939" s="36"/>
      <c r="F1939" s="36"/>
      <c r="G1939" s="36"/>
      <c r="H1939" s="36"/>
      <c r="J1939" s="36"/>
      <c r="L1939" s="1" t="str">
        <f t="shared" si="122"/>
        <v/>
      </c>
      <c r="M1939" s="94"/>
      <c r="N1939" s="36"/>
      <c r="O1939" s="95"/>
      <c r="P1939" s="36"/>
      <c r="AI1939" s="122">
        <v>1627</v>
      </c>
      <c r="AJ1939" s="1" t="s">
        <v>1141</v>
      </c>
      <c r="AK1939" s="1" t="s">
        <v>1141</v>
      </c>
      <c r="AL1939" s="1" t="s">
        <v>1141</v>
      </c>
      <c r="AN1939" s="270">
        <v>33</v>
      </c>
      <c r="BX1939" s="36"/>
    </row>
    <row r="1940" spans="2:76" ht="14.25">
      <c r="B1940" s="36"/>
      <c r="C1940" s="36"/>
      <c r="D1940" s="36"/>
      <c r="E1940" s="36"/>
      <c r="F1940" s="36"/>
      <c r="G1940" s="36"/>
      <c r="H1940" s="36"/>
      <c r="J1940" s="36"/>
      <c r="L1940" s="1" t="str">
        <f t="shared" si="122"/>
        <v/>
      </c>
      <c r="M1940" s="94"/>
      <c r="N1940" s="36"/>
      <c r="O1940" s="95"/>
      <c r="P1940" s="36"/>
      <c r="AI1940" s="122">
        <v>1628</v>
      </c>
      <c r="AJ1940" s="1" t="s">
        <v>1141</v>
      </c>
      <c r="AK1940" s="1" t="s">
        <v>1141</v>
      </c>
      <c r="AL1940" s="1" t="s">
        <v>1141</v>
      </c>
      <c r="AN1940" s="270">
        <v>34</v>
      </c>
      <c r="BX1940" s="36"/>
    </row>
    <row r="1941" spans="2:76" ht="14.25">
      <c r="B1941" s="36"/>
      <c r="C1941" s="36"/>
      <c r="D1941" s="36"/>
      <c r="E1941" s="36"/>
      <c r="F1941" s="36"/>
      <c r="G1941" s="36"/>
      <c r="H1941" s="36"/>
      <c r="J1941" s="36"/>
      <c r="L1941" s="1" t="str">
        <f t="shared" si="122"/>
        <v/>
      </c>
      <c r="M1941" s="94"/>
      <c r="N1941" s="36"/>
      <c r="O1941" s="95"/>
      <c r="P1941" s="36"/>
      <c r="AI1941" s="122">
        <v>1629</v>
      </c>
      <c r="AJ1941" s="1" t="s">
        <v>1141</v>
      </c>
      <c r="AK1941" s="1" t="s">
        <v>1141</v>
      </c>
      <c r="AL1941" s="1" t="s">
        <v>1141</v>
      </c>
      <c r="AN1941" s="270">
        <v>35</v>
      </c>
      <c r="BX1941" s="36"/>
    </row>
    <row r="1942" spans="2:76" ht="14.25">
      <c r="B1942" s="36"/>
      <c r="C1942" s="36"/>
      <c r="D1942" s="36"/>
      <c r="E1942" s="36"/>
      <c r="F1942" s="36"/>
      <c r="G1942" s="36"/>
      <c r="H1942" s="36"/>
      <c r="J1942" s="36"/>
      <c r="L1942" s="1" t="str">
        <f t="shared" si="122"/>
        <v/>
      </c>
      <c r="M1942" s="94"/>
      <c r="N1942" s="36"/>
      <c r="O1942" s="95"/>
      <c r="P1942" s="36"/>
      <c r="AI1942" s="122">
        <v>1630</v>
      </c>
      <c r="AJ1942" s="1" t="s">
        <v>1141</v>
      </c>
      <c r="AK1942" s="1" t="s">
        <v>1141</v>
      </c>
      <c r="AL1942" s="1" t="s">
        <v>1141</v>
      </c>
      <c r="AN1942" s="270">
        <v>36</v>
      </c>
      <c r="BX1942" s="36"/>
    </row>
    <row r="1943" spans="2:76" ht="14.25">
      <c r="B1943" s="36"/>
      <c r="C1943" s="36"/>
      <c r="D1943" s="36"/>
      <c r="E1943" s="36"/>
      <c r="F1943" s="36"/>
      <c r="G1943" s="36"/>
      <c r="H1943" s="36"/>
      <c r="J1943" s="36"/>
      <c r="L1943" s="1" t="str">
        <f t="shared" si="122"/>
        <v/>
      </c>
      <c r="M1943" s="94"/>
      <c r="N1943" s="36"/>
      <c r="O1943" s="95"/>
      <c r="P1943" s="36"/>
      <c r="AI1943" s="122">
        <v>1631</v>
      </c>
      <c r="AJ1943" s="1" t="s">
        <v>1141</v>
      </c>
      <c r="AK1943" s="1" t="s">
        <v>1141</v>
      </c>
      <c r="AL1943" s="1" t="s">
        <v>1141</v>
      </c>
      <c r="AN1943" s="270">
        <v>37</v>
      </c>
      <c r="BX1943" s="36"/>
    </row>
    <row r="1944" spans="2:76" ht="14.25">
      <c r="B1944" s="36"/>
      <c r="C1944" s="36"/>
      <c r="D1944" s="36"/>
      <c r="E1944" s="36"/>
      <c r="F1944" s="36"/>
      <c r="G1944" s="36"/>
      <c r="H1944" s="36"/>
      <c r="J1944" s="36"/>
      <c r="L1944" s="1" t="str">
        <f t="shared" si="122"/>
        <v/>
      </c>
      <c r="M1944" s="94"/>
      <c r="N1944" s="36"/>
      <c r="O1944" s="95"/>
      <c r="P1944" s="36"/>
      <c r="AI1944" s="122">
        <v>1632</v>
      </c>
      <c r="AJ1944" s="1" t="s">
        <v>1141</v>
      </c>
      <c r="AK1944" s="1" t="s">
        <v>1141</v>
      </c>
      <c r="AL1944" s="1" t="s">
        <v>1141</v>
      </c>
      <c r="AN1944" s="270">
        <v>38</v>
      </c>
      <c r="BX1944" s="36"/>
    </row>
    <row r="1945" spans="2:76" ht="14.25">
      <c r="B1945" s="36"/>
      <c r="C1945" s="36"/>
      <c r="D1945" s="36"/>
      <c r="E1945" s="36"/>
      <c r="F1945" s="36"/>
      <c r="G1945" s="36"/>
      <c r="H1945" s="36"/>
      <c r="J1945" s="36"/>
      <c r="L1945" s="1" t="str">
        <f t="shared" si="122"/>
        <v/>
      </c>
      <c r="M1945" s="94"/>
      <c r="N1945" s="36"/>
      <c r="O1945" s="95"/>
      <c r="P1945" s="36"/>
      <c r="AI1945" s="122">
        <v>1633</v>
      </c>
      <c r="AJ1945" s="1" t="s">
        <v>1141</v>
      </c>
      <c r="AK1945" s="1" t="s">
        <v>1141</v>
      </c>
      <c r="AL1945" s="1" t="s">
        <v>1141</v>
      </c>
      <c r="AN1945" s="270">
        <v>39</v>
      </c>
      <c r="BX1945" s="36"/>
    </row>
    <row r="1946" spans="2:76" ht="14.25">
      <c r="B1946" s="36"/>
      <c r="C1946" s="36"/>
      <c r="D1946" s="36"/>
      <c r="E1946" s="36"/>
      <c r="F1946" s="36"/>
      <c r="G1946" s="36"/>
      <c r="H1946" s="36"/>
      <c r="J1946" s="36"/>
      <c r="L1946" s="1" t="str">
        <f t="shared" si="122"/>
        <v/>
      </c>
      <c r="M1946" s="94"/>
      <c r="N1946" s="36"/>
      <c r="O1946" s="95"/>
      <c r="P1946" s="36"/>
      <c r="AI1946" s="122">
        <v>1634</v>
      </c>
      <c r="AJ1946" s="1" t="s">
        <v>1141</v>
      </c>
      <c r="AK1946" s="1" t="s">
        <v>1141</v>
      </c>
      <c r="AL1946" s="1" t="s">
        <v>1141</v>
      </c>
      <c r="AN1946" s="270">
        <v>40</v>
      </c>
      <c r="BX1946" s="36"/>
    </row>
    <row r="1947" spans="2:76" ht="14.25">
      <c r="B1947" s="36"/>
      <c r="C1947" s="36"/>
      <c r="D1947" s="36"/>
      <c r="E1947" s="36"/>
      <c r="F1947" s="36"/>
      <c r="G1947" s="36"/>
      <c r="H1947" s="36"/>
      <c r="J1947" s="36"/>
      <c r="L1947" s="1" t="str">
        <f t="shared" si="122"/>
        <v/>
      </c>
      <c r="M1947" s="94"/>
      <c r="N1947" s="36"/>
      <c r="O1947" s="95"/>
      <c r="P1947" s="36"/>
      <c r="AI1947" s="122">
        <v>1635</v>
      </c>
      <c r="AJ1947" s="1" t="s">
        <v>1141</v>
      </c>
      <c r="AK1947" s="1" t="s">
        <v>1141</v>
      </c>
      <c r="AL1947" s="1" t="s">
        <v>1141</v>
      </c>
      <c r="AN1947" s="270">
        <v>41</v>
      </c>
      <c r="BX1947" s="36"/>
    </row>
    <row r="1948" spans="2:76" ht="14.25">
      <c r="B1948" s="36"/>
      <c r="C1948" s="36"/>
      <c r="D1948" s="36"/>
      <c r="E1948" s="36"/>
      <c r="F1948" s="36"/>
      <c r="G1948" s="36"/>
      <c r="H1948" s="36"/>
      <c r="J1948" s="36"/>
      <c r="L1948" s="1" t="str">
        <f t="shared" si="122"/>
        <v/>
      </c>
      <c r="M1948" s="94"/>
      <c r="N1948" s="36"/>
      <c r="O1948" s="95"/>
      <c r="P1948" s="36"/>
      <c r="AI1948" s="122">
        <v>1636</v>
      </c>
      <c r="AJ1948" s="1" t="s">
        <v>1141</v>
      </c>
      <c r="AK1948" s="1" t="s">
        <v>1141</v>
      </c>
      <c r="AL1948" s="1" t="s">
        <v>1141</v>
      </c>
      <c r="AN1948" s="270">
        <v>42</v>
      </c>
      <c r="BX1948" s="36"/>
    </row>
    <row r="1949" spans="2:76" ht="14.25">
      <c r="B1949" s="36"/>
      <c r="C1949" s="36"/>
      <c r="D1949" s="36"/>
      <c r="E1949" s="36"/>
      <c r="F1949" s="36"/>
      <c r="G1949" s="36"/>
      <c r="H1949" s="36"/>
      <c r="J1949" s="36"/>
      <c r="L1949" s="1" t="str">
        <f t="shared" si="122"/>
        <v/>
      </c>
      <c r="M1949" s="94"/>
      <c r="N1949" s="36"/>
      <c r="O1949" s="95"/>
      <c r="P1949" s="36"/>
      <c r="AI1949" s="122">
        <v>1637</v>
      </c>
      <c r="AJ1949" s="1" t="s">
        <v>1141</v>
      </c>
      <c r="AK1949" s="1" t="s">
        <v>1141</v>
      </c>
      <c r="AL1949" s="1" t="s">
        <v>1141</v>
      </c>
      <c r="AN1949" s="270">
        <v>43</v>
      </c>
      <c r="BX1949" s="36"/>
    </row>
    <row r="1950" spans="2:76" ht="14.25">
      <c r="B1950" s="36"/>
      <c r="C1950" s="36"/>
      <c r="D1950" s="36"/>
      <c r="E1950" s="36"/>
      <c r="F1950" s="36"/>
      <c r="G1950" s="36"/>
      <c r="H1950" s="36"/>
      <c r="J1950" s="36"/>
      <c r="L1950" s="1" t="str">
        <f t="shared" si="122"/>
        <v/>
      </c>
      <c r="M1950" s="94"/>
      <c r="N1950" s="36"/>
      <c r="O1950" s="95"/>
      <c r="P1950" s="36"/>
      <c r="AI1950" s="122">
        <v>1638</v>
      </c>
      <c r="AJ1950" s="1" t="s">
        <v>1141</v>
      </c>
      <c r="AK1950" s="1" t="s">
        <v>1141</v>
      </c>
      <c r="AL1950" s="1" t="s">
        <v>1141</v>
      </c>
      <c r="AN1950" s="270">
        <v>44</v>
      </c>
      <c r="BX1950" s="36"/>
    </row>
    <row r="1951" spans="2:76" ht="14.25">
      <c r="B1951" s="36"/>
      <c r="C1951" s="36"/>
      <c r="D1951" s="36"/>
      <c r="E1951" s="36"/>
      <c r="F1951" s="36"/>
      <c r="G1951" s="36"/>
      <c r="H1951" s="36"/>
      <c r="J1951" s="36"/>
      <c r="L1951" s="1" t="str">
        <f t="shared" si="122"/>
        <v/>
      </c>
      <c r="M1951" s="94"/>
      <c r="N1951" s="36"/>
      <c r="O1951" s="95"/>
      <c r="P1951" s="36"/>
      <c r="AI1951" s="122">
        <v>1639</v>
      </c>
      <c r="AJ1951" s="1" t="s">
        <v>1141</v>
      </c>
      <c r="AK1951" s="1" t="s">
        <v>1141</v>
      </c>
      <c r="AL1951" s="1" t="s">
        <v>1141</v>
      </c>
      <c r="AN1951" s="270">
        <v>45</v>
      </c>
      <c r="BX1951" s="36"/>
    </row>
    <row r="1952" spans="2:76" ht="14.25">
      <c r="B1952" s="36"/>
      <c r="C1952" s="36"/>
      <c r="D1952" s="36"/>
      <c r="E1952" s="36"/>
      <c r="F1952" s="36"/>
      <c r="G1952" s="36"/>
      <c r="H1952" s="36"/>
      <c r="J1952" s="36"/>
      <c r="L1952" s="1" t="str">
        <f t="shared" si="122"/>
        <v/>
      </c>
      <c r="M1952" s="94"/>
      <c r="N1952" s="36"/>
      <c r="O1952" s="95"/>
      <c r="P1952" s="36"/>
      <c r="AI1952" s="122">
        <v>1640</v>
      </c>
      <c r="AJ1952" s="1" t="s">
        <v>1141</v>
      </c>
      <c r="AK1952" s="1" t="s">
        <v>1141</v>
      </c>
      <c r="AL1952" s="1" t="s">
        <v>1141</v>
      </c>
      <c r="AN1952" s="270">
        <v>46</v>
      </c>
      <c r="BX1952" s="36"/>
    </row>
    <row r="1953" spans="2:76" ht="14.25">
      <c r="B1953" s="36"/>
      <c r="C1953" s="36"/>
      <c r="D1953" s="36"/>
      <c r="E1953" s="36"/>
      <c r="F1953" s="36"/>
      <c r="G1953" s="36"/>
      <c r="H1953" s="36"/>
      <c r="J1953" s="36"/>
      <c r="L1953" s="1" t="str">
        <f t="shared" si="122"/>
        <v/>
      </c>
      <c r="M1953" s="94"/>
      <c r="N1953" s="36"/>
      <c r="O1953" s="95"/>
      <c r="P1953" s="36"/>
      <c r="AI1953" s="122">
        <v>1641</v>
      </c>
      <c r="AJ1953" s="1" t="s">
        <v>1141</v>
      </c>
      <c r="AK1953" s="1" t="s">
        <v>1141</v>
      </c>
      <c r="AL1953" s="1" t="s">
        <v>1141</v>
      </c>
      <c r="AN1953" s="270">
        <v>47</v>
      </c>
      <c r="BX1953" s="36"/>
    </row>
    <row r="1954" spans="2:76" ht="14.25">
      <c r="B1954" s="36"/>
      <c r="C1954" s="36"/>
      <c r="D1954" s="36"/>
      <c r="E1954" s="36"/>
      <c r="F1954" s="36"/>
      <c r="G1954" s="36"/>
      <c r="H1954" s="36"/>
      <c r="J1954" s="36"/>
      <c r="L1954" s="1" t="str">
        <f t="shared" si="122"/>
        <v/>
      </c>
      <c r="M1954" s="94"/>
      <c r="N1954" s="36"/>
      <c r="O1954" s="95"/>
      <c r="P1954" s="36"/>
      <c r="AI1954" s="122">
        <v>1642</v>
      </c>
      <c r="AJ1954" s="1" t="s">
        <v>1141</v>
      </c>
      <c r="AK1954" s="1" t="s">
        <v>1141</v>
      </c>
      <c r="AL1954" s="1" t="s">
        <v>1141</v>
      </c>
      <c r="AN1954" s="270">
        <v>48</v>
      </c>
      <c r="BX1954" s="36"/>
    </row>
    <row r="1955" spans="2:76" ht="14.25">
      <c r="B1955" s="36"/>
      <c r="C1955" s="36"/>
      <c r="D1955" s="36"/>
      <c r="E1955" s="36"/>
      <c r="F1955" s="36"/>
      <c r="G1955" s="36"/>
      <c r="H1955" s="36"/>
      <c r="J1955" s="36"/>
      <c r="L1955" s="1" t="str">
        <f t="shared" si="122"/>
        <v/>
      </c>
      <c r="M1955" s="94"/>
      <c r="N1955" s="36"/>
      <c r="O1955" s="95"/>
      <c r="P1955" s="36"/>
      <c r="AI1955" s="122">
        <v>1643</v>
      </c>
      <c r="AJ1955" s="1" t="s">
        <v>1141</v>
      </c>
      <c r="AK1955" s="1" t="s">
        <v>1141</v>
      </c>
      <c r="AL1955" s="1" t="s">
        <v>1141</v>
      </c>
      <c r="AN1955" s="270">
        <v>49</v>
      </c>
      <c r="BX1955" s="36"/>
    </row>
    <row r="1956" spans="2:76" ht="14.25">
      <c r="B1956" s="36"/>
      <c r="C1956" s="36"/>
      <c r="D1956" s="36"/>
      <c r="E1956" s="36"/>
      <c r="F1956" s="36"/>
      <c r="G1956" s="36"/>
      <c r="H1956" s="36"/>
      <c r="J1956" s="36"/>
      <c r="L1956" s="1" t="str">
        <f t="shared" si="122"/>
        <v/>
      </c>
      <c r="M1956" s="94"/>
      <c r="N1956" s="36"/>
      <c r="O1956" s="95"/>
      <c r="P1956" s="36"/>
      <c r="AI1956" s="122">
        <v>1644</v>
      </c>
      <c r="AJ1956" s="1" t="s">
        <v>1141</v>
      </c>
      <c r="AK1956" s="1" t="s">
        <v>1141</v>
      </c>
      <c r="AL1956" s="1" t="s">
        <v>1141</v>
      </c>
      <c r="AN1956" s="270">
        <v>50</v>
      </c>
      <c r="BX1956" s="36"/>
    </row>
    <row r="1957" spans="2:76" ht="14.25">
      <c r="B1957" s="36"/>
      <c r="C1957" s="36"/>
      <c r="D1957" s="36"/>
      <c r="E1957" s="36"/>
      <c r="F1957" s="36"/>
      <c r="G1957" s="36"/>
      <c r="H1957" s="36"/>
      <c r="J1957" s="36"/>
      <c r="L1957" s="1" t="str">
        <f t="shared" si="122"/>
        <v/>
      </c>
      <c r="M1957" s="94"/>
      <c r="N1957" s="36"/>
      <c r="O1957" s="95"/>
      <c r="P1957" s="36"/>
      <c r="AI1957" s="122">
        <v>1645</v>
      </c>
      <c r="AJ1957" s="1" t="s">
        <v>1141</v>
      </c>
      <c r="AK1957" s="1" t="s">
        <v>1141</v>
      </c>
      <c r="AL1957" s="1" t="s">
        <v>1141</v>
      </c>
      <c r="AN1957" s="270">
        <v>51</v>
      </c>
      <c r="BX1957" s="36"/>
    </row>
    <row r="1958" spans="2:76" ht="14.25">
      <c r="B1958" s="36"/>
      <c r="C1958" s="36"/>
      <c r="D1958" s="36"/>
      <c r="E1958" s="36"/>
      <c r="F1958" s="36"/>
      <c r="G1958" s="36"/>
      <c r="H1958" s="36"/>
      <c r="J1958" s="36"/>
      <c r="L1958" s="1" t="str">
        <f t="shared" si="122"/>
        <v/>
      </c>
      <c r="M1958" s="94"/>
      <c r="N1958" s="36"/>
      <c r="O1958" s="95"/>
      <c r="P1958" s="36"/>
      <c r="AI1958" s="122">
        <v>1646</v>
      </c>
      <c r="AJ1958" s="1" t="s">
        <v>1141</v>
      </c>
      <c r="AK1958" s="1" t="s">
        <v>1141</v>
      </c>
      <c r="AL1958" s="1" t="s">
        <v>1141</v>
      </c>
      <c r="AN1958" s="270">
        <v>52</v>
      </c>
      <c r="BX1958" s="36"/>
    </row>
    <row r="1959" spans="2:76" ht="14.25">
      <c r="B1959" s="36"/>
      <c r="C1959" s="36"/>
      <c r="D1959" s="36"/>
      <c r="E1959" s="36"/>
      <c r="F1959" s="36"/>
      <c r="G1959" s="36"/>
      <c r="H1959" s="36"/>
      <c r="J1959" s="36"/>
      <c r="L1959" s="1" t="str">
        <f t="shared" si="122"/>
        <v/>
      </c>
      <c r="M1959" s="94"/>
      <c r="N1959" s="36"/>
      <c r="O1959" s="95"/>
      <c r="P1959" s="36"/>
      <c r="AI1959" s="122">
        <v>1647</v>
      </c>
      <c r="AJ1959" s="1" t="s">
        <v>1141</v>
      </c>
      <c r="AK1959" s="1" t="s">
        <v>1141</v>
      </c>
      <c r="AL1959" s="1" t="s">
        <v>1141</v>
      </c>
      <c r="AN1959" s="270">
        <v>53</v>
      </c>
      <c r="BX1959" s="36"/>
    </row>
    <row r="1960" spans="2:76" ht="14.25">
      <c r="B1960" s="36"/>
      <c r="C1960" s="36"/>
      <c r="D1960" s="36"/>
      <c r="E1960" s="36"/>
      <c r="F1960" s="36"/>
      <c r="G1960" s="36"/>
      <c r="H1960" s="36"/>
      <c r="J1960" s="36"/>
      <c r="L1960" s="1" t="str">
        <f t="shared" si="122"/>
        <v/>
      </c>
      <c r="M1960" s="94"/>
      <c r="N1960" s="36"/>
      <c r="O1960" s="95"/>
      <c r="P1960" s="36"/>
      <c r="AI1960" s="122">
        <v>1648</v>
      </c>
      <c r="AJ1960" s="1" t="s">
        <v>1141</v>
      </c>
      <c r="AK1960" s="1" t="s">
        <v>1141</v>
      </c>
      <c r="AL1960" s="1" t="s">
        <v>1141</v>
      </c>
      <c r="AN1960" s="270">
        <v>54</v>
      </c>
      <c r="BX1960" s="36"/>
    </row>
    <row r="1961" spans="2:76" ht="14.25">
      <c r="B1961" s="36"/>
      <c r="C1961" s="36"/>
      <c r="D1961" s="36"/>
      <c r="E1961" s="36"/>
      <c r="F1961" s="36"/>
      <c r="G1961" s="36"/>
      <c r="H1961" s="36"/>
      <c r="J1961" s="36"/>
      <c r="L1961" s="1" t="str">
        <f t="shared" si="122"/>
        <v/>
      </c>
      <c r="M1961" s="94"/>
      <c r="N1961" s="36"/>
      <c r="O1961" s="95"/>
      <c r="P1961" s="36"/>
      <c r="AI1961" s="122">
        <v>1649</v>
      </c>
      <c r="AJ1961" s="1" t="s">
        <v>1141</v>
      </c>
      <c r="AK1961" s="1" t="s">
        <v>1141</v>
      </c>
      <c r="AL1961" s="1" t="s">
        <v>1141</v>
      </c>
      <c r="AN1961" s="270">
        <v>55</v>
      </c>
      <c r="BX1961" s="36"/>
    </row>
    <row r="1962" spans="2:76" ht="14.25">
      <c r="B1962" s="36"/>
      <c r="C1962" s="36"/>
      <c r="D1962" s="36"/>
      <c r="E1962" s="36"/>
      <c r="F1962" s="36"/>
      <c r="G1962" s="36"/>
      <c r="H1962" s="36"/>
      <c r="J1962" s="36"/>
      <c r="L1962" s="1" t="str">
        <f t="shared" si="122"/>
        <v/>
      </c>
      <c r="M1962" s="94"/>
      <c r="N1962" s="36"/>
      <c r="O1962" s="95"/>
      <c r="P1962" s="36"/>
      <c r="AI1962" s="122">
        <v>1650</v>
      </c>
      <c r="AJ1962" s="1" t="s">
        <v>1141</v>
      </c>
      <c r="AK1962" s="1" t="s">
        <v>1141</v>
      </c>
      <c r="AL1962" s="1" t="s">
        <v>1141</v>
      </c>
      <c r="AN1962" s="270">
        <v>56</v>
      </c>
      <c r="BX1962" s="36"/>
    </row>
    <row r="1963" spans="2:76" ht="14.25">
      <c r="B1963" s="36"/>
      <c r="C1963" s="36"/>
      <c r="D1963" s="36"/>
      <c r="E1963" s="36"/>
      <c r="F1963" s="36"/>
      <c r="G1963" s="36"/>
      <c r="H1963" s="36"/>
      <c r="J1963" s="36"/>
      <c r="L1963" s="1" t="str">
        <f t="shared" si="122"/>
        <v/>
      </c>
      <c r="M1963" s="94"/>
      <c r="N1963" s="36"/>
      <c r="O1963" s="95"/>
      <c r="P1963" s="36"/>
      <c r="AI1963" s="122">
        <v>1651</v>
      </c>
      <c r="AJ1963" s="1" t="s">
        <v>1141</v>
      </c>
      <c r="AK1963" s="1" t="s">
        <v>1141</v>
      </c>
      <c r="AL1963" s="1" t="s">
        <v>1141</v>
      </c>
      <c r="AN1963" s="270">
        <v>57</v>
      </c>
      <c r="BX1963" s="36"/>
    </row>
    <row r="1964" spans="2:76" ht="14.25">
      <c r="B1964" s="36"/>
      <c r="C1964" s="36"/>
      <c r="D1964" s="36"/>
      <c r="E1964" s="36"/>
      <c r="F1964" s="36"/>
      <c r="G1964" s="36"/>
      <c r="H1964" s="36"/>
      <c r="J1964" s="36"/>
      <c r="L1964" s="1" t="str">
        <f t="shared" si="122"/>
        <v/>
      </c>
      <c r="M1964" s="94"/>
      <c r="N1964" s="36"/>
      <c r="O1964" s="95"/>
      <c r="P1964" s="36"/>
      <c r="AI1964" s="122">
        <v>1652</v>
      </c>
      <c r="AJ1964" s="1" t="s">
        <v>1141</v>
      </c>
      <c r="AK1964" s="1" t="s">
        <v>1141</v>
      </c>
      <c r="AL1964" s="1" t="s">
        <v>1141</v>
      </c>
      <c r="AN1964" s="270">
        <v>58</v>
      </c>
      <c r="BX1964" s="36"/>
    </row>
    <row r="1965" spans="2:76" ht="14.25">
      <c r="B1965" s="36"/>
      <c r="C1965" s="36"/>
      <c r="D1965" s="36"/>
      <c r="E1965" s="36"/>
      <c r="F1965" s="36"/>
      <c r="G1965" s="36"/>
      <c r="H1965" s="36"/>
      <c r="J1965" s="36"/>
      <c r="L1965" s="1" t="str">
        <f t="shared" si="122"/>
        <v/>
      </c>
      <c r="M1965" s="94"/>
      <c r="N1965" s="36"/>
      <c r="O1965" s="95"/>
      <c r="P1965" s="36"/>
      <c r="AI1965" s="122">
        <v>1653</v>
      </c>
      <c r="AJ1965" s="1" t="s">
        <v>1141</v>
      </c>
      <c r="AK1965" s="1" t="s">
        <v>1141</v>
      </c>
      <c r="AL1965" s="1" t="s">
        <v>1141</v>
      </c>
      <c r="AN1965" s="270">
        <v>59</v>
      </c>
      <c r="BX1965" s="36"/>
    </row>
    <row r="1966" spans="2:76" ht="14.25">
      <c r="B1966" s="36"/>
      <c r="C1966" s="36"/>
      <c r="D1966" s="36"/>
      <c r="E1966" s="36"/>
      <c r="F1966" s="36"/>
      <c r="G1966" s="36"/>
      <c r="H1966" s="36"/>
      <c r="J1966" s="36"/>
      <c r="L1966" s="1" t="str">
        <f t="shared" si="122"/>
        <v/>
      </c>
      <c r="M1966" s="94"/>
      <c r="N1966" s="36"/>
      <c r="O1966" s="95"/>
      <c r="P1966" s="36"/>
      <c r="AI1966" s="122">
        <v>1654</v>
      </c>
      <c r="AJ1966" s="1" t="s">
        <v>1141</v>
      </c>
      <c r="AK1966" s="1" t="s">
        <v>1141</v>
      </c>
      <c r="AL1966" s="1" t="s">
        <v>1141</v>
      </c>
      <c r="AN1966" s="270">
        <v>60</v>
      </c>
      <c r="BX1966" s="36"/>
    </row>
    <row r="1967" spans="2:76" ht="14.25">
      <c r="B1967" s="36"/>
      <c r="C1967" s="36"/>
      <c r="D1967" s="36"/>
      <c r="E1967" s="36"/>
      <c r="F1967" s="36"/>
      <c r="G1967" s="36"/>
      <c r="H1967" s="36"/>
      <c r="J1967" s="36"/>
      <c r="L1967" s="1" t="str">
        <f t="shared" si="122"/>
        <v/>
      </c>
      <c r="M1967" s="94"/>
      <c r="N1967" s="36"/>
      <c r="O1967" s="95"/>
      <c r="P1967" s="36"/>
      <c r="AI1967" s="122">
        <v>1655</v>
      </c>
      <c r="AJ1967" s="1" t="s">
        <v>1141</v>
      </c>
      <c r="AK1967" s="1" t="s">
        <v>1141</v>
      </c>
      <c r="AL1967" s="1" t="s">
        <v>1141</v>
      </c>
      <c r="AN1967" s="270">
        <v>61</v>
      </c>
      <c r="BX1967" s="36"/>
    </row>
    <row r="1968" spans="2:76" ht="14.25">
      <c r="B1968" s="36"/>
      <c r="C1968" s="36"/>
      <c r="D1968" s="36"/>
      <c r="E1968" s="36"/>
      <c r="F1968" s="36"/>
      <c r="G1968" s="36"/>
      <c r="H1968" s="36"/>
      <c r="J1968" s="36"/>
      <c r="L1968" s="1" t="str">
        <f t="shared" si="122"/>
        <v/>
      </c>
      <c r="M1968" s="94"/>
      <c r="N1968" s="36"/>
      <c r="O1968" s="95"/>
      <c r="P1968" s="36"/>
      <c r="AI1968" s="122">
        <v>1656</v>
      </c>
      <c r="AJ1968" s="1" t="s">
        <v>1141</v>
      </c>
      <c r="AK1968" s="1" t="s">
        <v>1141</v>
      </c>
      <c r="AL1968" s="1" t="s">
        <v>1141</v>
      </c>
      <c r="AN1968" s="270">
        <v>62</v>
      </c>
      <c r="BX1968" s="36"/>
    </row>
    <row r="1969" spans="2:76" ht="14.25">
      <c r="B1969" s="36"/>
      <c r="C1969" s="36"/>
      <c r="D1969" s="36"/>
      <c r="E1969" s="36"/>
      <c r="F1969" s="36"/>
      <c r="G1969" s="36"/>
      <c r="H1969" s="36"/>
      <c r="J1969" s="36"/>
      <c r="L1969" s="1" t="str">
        <f t="shared" si="122"/>
        <v/>
      </c>
      <c r="M1969" s="94"/>
      <c r="N1969" s="36"/>
      <c r="O1969" s="95"/>
      <c r="P1969" s="36"/>
      <c r="AI1969" s="122">
        <v>1657</v>
      </c>
      <c r="AJ1969" s="1" t="s">
        <v>1141</v>
      </c>
      <c r="AK1969" s="1" t="s">
        <v>1141</v>
      </c>
      <c r="AL1969" s="1" t="s">
        <v>1141</v>
      </c>
      <c r="AN1969" s="270">
        <v>63</v>
      </c>
      <c r="BX1969" s="36"/>
    </row>
    <row r="1970" spans="2:76" ht="14.25">
      <c r="B1970" s="36"/>
      <c r="C1970" s="36"/>
      <c r="D1970" s="36"/>
      <c r="E1970" s="36"/>
      <c r="F1970" s="36"/>
      <c r="G1970" s="36"/>
      <c r="H1970" s="36"/>
      <c r="J1970" s="36"/>
      <c r="L1970" s="1" t="str">
        <f t="shared" si="122"/>
        <v/>
      </c>
      <c r="M1970" s="94"/>
      <c r="N1970" s="36"/>
      <c r="O1970" s="95"/>
      <c r="P1970" s="36"/>
      <c r="AI1970" s="122">
        <v>1658</v>
      </c>
      <c r="AJ1970" s="1" t="s">
        <v>1141</v>
      </c>
      <c r="AK1970" s="1" t="s">
        <v>1141</v>
      </c>
      <c r="AL1970" s="1" t="s">
        <v>1141</v>
      </c>
      <c r="AN1970" s="270">
        <v>64</v>
      </c>
      <c r="BX1970" s="36"/>
    </row>
    <row r="1971" spans="2:76" ht="14.25">
      <c r="B1971" s="36"/>
      <c r="C1971" s="36"/>
      <c r="D1971" s="36"/>
      <c r="E1971" s="36"/>
      <c r="F1971" s="36"/>
      <c r="G1971" s="36"/>
      <c r="H1971" s="36"/>
      <c r="J1971" s="36"/>
      <c r="L1971" s="1" t="str">
        <f t="shared" si="122"/>
        <v/>
      </c>
      <c r="M1971" s="94"/>
      <c r="N1971" s="36"/>
      <c r="O1971" s="95"/>
      <c r="P1971" s="36"/>
      <c r="AI1971" s="122">
        <v>1659</v>
      </c>
      <c r="AJ1971" s="1" t="s">
        <v>1141</v>
      </c>
      <c r="AK1971" s="1" t="s">
        <v>1141</v>
      </c>
      <c r="AL1971" s="1" t="s">
        <v>1141</v>
      </c>
      <c r="AN1971" s="270">
        <v>65</v>
      </c>
      <c r="BX1971" s="36"/>
    </row>
    <row r="1972" spans="2:76" ht="14.25">
      <c r="B1972" s="36"/>
      <c r="C1972" s="36"/>
      <c r="D1972" s="36"/>
      <c r="E1972" s="36"/>
      <c r="F1972" s="36"/>
      <c r="G1972" s="36"/>
      <c r="H1972" s="36"/>
      <c r="J1972" s="36"/>
      <c r="L1972" s="1" t="str">
        <f t="shared" si="122"/>
        <v/>
      </c>
      <c r="M1972" s="94"/>
      <c r="N1972" s="36"/>
      <c r="O1972" s="95"/>
      <c r="P1972" s="36"/>
      <c r="AI1972" s="122">
        <v>1660</v>
      </c>
      <c r="AJ1972" s="1" t="s">
        <v>1141</v>
      </c>
      <c r="AK1972" s="1" t="s">
        <v>1141</v>
      </c>
      <c r="AL1972" s="1" t="s">
        <v>1141</v>
      </c>
      <c r="AN1972" s="270">
        <v>66</v>
      </c>
      <c r="BX1972" s="36"/>
    </row>
    <row r="1973" spans="2:76" ht="14.25">
      <c r="B1973" s="36"/>
      <c r="C1973" s="36"/>
      <c r="D1973" s="36"/>
      <c r="E1973" s="36"/>
      <c r="F1973" s="36"/>
      <c r="G1973" s="36"/>
      <c r="H1973" s="36"/>
      <c r="J1973" s="36"/>
      <c r="L1973" s="1" t="str">
        <f t="shared" si="122"/>
        <v/>
      </c>
      <c r="M1973" s="94"/>
      <c r="N1973" s="36"/>
      <c r="O1973" s="95"/>
      <c r="P1973" s="36"/>
      <c r="AI1973" s="122">
        <v>1661</v>
      </c>
      <c r="AJ1973" s="1" t="s">
        <v>1141</v>
      </c>
      <c r="AK1973" s="1" t="s">
        <v>1141</v>
      </c>
      <c r="AL1973" s="1" t="s">
        <v>1141</v>
      </c>
      <c r="AN1973" s="270">
        <v>67</v>
      </c>
      <c r="BX1973" s="36"/>
    </row>
    <row r="1974" spans="2:76" ht="14.25">
      <c r="B1974" s="36"/>
      <c r="C1974" s="36"/>
      <c r="D1974" s="36"/>
      <c r="E1974" s="36"/>
      <c r="F1974" s="36"/>
      <c r="G1974" s="36"/>
      <c r="H1974" s="36"/>
      <c r="J1974" s="36"/>
      <c r="L1974" s="1" t="str">
        <f t="shared" si="122"/>
        <v/>
      </c>
      <c r="M1974" s="94"/>
      <c r="N1974" s="36"/>
      <c r="O1974" s="95"/>
      <c r="P1974" s="36"/>
      <c r="AI1974" s="122">
        <v>1662</v>
      </c>
      <c r="AJ1974" s="1" t="s">
        <v>1141</v>
      </c>
      <c r="AK1974" s="1" t="s">
        <v>1141</v>
      </c>
      <c r="AL1974" s="1" t="s">
        <v>1141</v>
      </c>
      <c r="AN1974" s="270">
        <v>68</v>
      </c>
      <c r="BX1974" s="36"/>
    </row>
    <row r="1975" spans="2:76" ht="14.25">
      <c r="B1975" s="36"/>
      <c r="C1975" s="36"/>
      <c r="D1975" s="36"/>
      <c r="E1975" s="36"/>
      <c r="F1975" s="36"/>
      <c r="G1975" s="36"/>
      <c r="H1975" s="36"/>
      <c r="J1975" s="36"/>
      <c r="L1975" s="1" t="str">
        <f t="shared" si="122"/>
        <v/>
      </c>
      <c r="M1975" s="94"/>
      <c r="N1975" s="36"/>
      <c r="O1975" s="95"/>
      <c r="P1975" s="36"/>
      <c r="AI1975" s="122">
        <v>1663</v>
      </c>
      <c r="AJ1975" s="1" t="s">
        <v>1141</v>
      </c>
      <c r="AK1975" s="1" t="s">
        <v>1141</v>
      </c>
      <c r="AL1975" s="1" t="s">
        <v>1141</v>
      </c>
      <c r="AN1975" s="270">
        <v>69</v>
      </c>
      <c r="BX1975" s="36"/>
    </row>
    <row r="1976" spans="2:76" ht="14.25">
      <c r="B1976" s="36"/>
      <c r="C1976" s="36"/>
      <c r="D1976" s="36"/>
      <c r="E1976" s="36"/>
      <c r="F1976" s="36"/>
      <c r="G1976" s="36"/>
      <c r="H1976" s="36"/>
      <c r="J1976" s="36"/>
      <c r="L1976" s="1" t="str">
        <f t="shared" si="122"/>
        <v/>
      </c>
      <c r="M1976" s="94"/>
      <c r="N1976" s="36"/>
      <c r="O1976" s="95"/>
      <c r="P1976" s="36"/>
      <c r="AI1976" s="122">
        <v>1664</v>
      </c>
      <c r="AJ1976" s="1" t="s">
        <v>1141</v>
      </c>
      <c r="AK1976" s="1" t="s">
        <v>1141</v>
      </c>
      <c r="AL1976" s="1" t="s">
        <v>1141</v>
      </c>
      <c r="AN1976" s="270">
        <v>70</v>
      </c>
      <c r="BX1976" s="36"/>
    </row>
    <row r="1977" spans="2:76" ht="14.25">
      <c r="B1977" s="36"/>
      <c r="C1977" s="36"/>
      <c r="D1977" s="36"/>
      <c r="E1977" s="36"/>
      <c r="F1977" s="36"/>
      <c r="G1977" s="36"/>
      <c r="H1977" s="36"/>
      <c r="J1977" s="36"/>
      <c r="L1977" s="1" t="str">
        <f t="shared" si="122"/>
        <v/>
      </c>
      <c r="M1977" s="94"/>
      <c r="N1977" s="36"/>
      <c r="O1977" s="95"/>
      <c r="P1977" s="36"/>
      <c r="AI1977" s="122">
        <v>1665</v>
      </c>
      <c r="AJ1977" s="1" t="s">
        <v>1141</v>
      </c>
      <c r="AK1977" s="1" t="s">
        <v>1141</v>
      </c>
      <c r="AL1977" s="1" t="s">
        <v>1141</v>
      </c>
      <c r="AN1977" s="270">
        <v>71</v>
      </c>
      <c r="BX1977" s="36"/>
    </row>
    <row r="1978" spans="2:76" ht="14.25">
      <c r="B1978" s="36"/>
      <c r="C1978" s="36"/>
      <c r="D1978" s="36"/>
      <c r="E1978" s="36"/>
      <c r="F1978" s="36"/>
      <c r="G1978" s="36"/>
      <c r="H1978" s="36"/>
      <c r="J1978" s="36"/>
      <c r="L1978" s="1" t="str">
        <f t="shared" si="122"/>
        <v/>
      </c>
      <c r="M1978" s="94"/>
      <c r="N1978" s="36"/>
      <c r="O1978" s="95"/>
      <c r="P1978" s="36"/>
      <c r="AI1978" s="122">
        <v>1666</v>
      </c>
      <c r="AJ1978" s="1" t="s">
        <v>1141</v>
      </c>
      <c r="AK1978" s="1" t="s">
        <v>1141</v>
      </c>
      <c r="AL1978" s="1" t="s">
        <v>1141</v>
      </c>
      <c r="AN1978" s="270">
        <v>72</v>
      </c>
      <c r="BX1978" s="36"/>
    </row>
    <row r="1979" spans="2:76" ht="14.25">
      <c r="B1979" s="36"/>
      <c r="C1979" s="36"/>
      <c r="D1979" s="36"/>
      <c r="E1979" s="36"/>
      <c r="F1979" s="36"/>
      <c r="G1979" s="36"/>
      <c r="H1979" s="36"/>
      <c r="J1979" s="36"/>
      <c r="L1979" s="1" t="str">
        <f t="shared" si="122"/>
        <v/>
      </c>
      <c r="M1979" s="94"/>
      <c r="N1979" s="36"/>
      <c r="O1979" s="95"/>
      <c r="P1979" s="36"/>
      <c r="AI1979" s="122">
        <v>1667</v>
      </c>
      <c r="AJ1979" s="1" t="s">
        <v>1141</v>
      </c>
      <c r="AK1979" s="1" t="s">
        <v>1141</v>
      </c>
      <c r="AL1979" s="1" t="s">
        <v>1141</v>
      </c>
      <c r="AN1979" s="270">
        <v>73</v>
      </c>
      <c r="BX1979" s="36"/>
    </row>
    <row r="1980" spans="2:76" ht="14.25">
      <c r="B1980" s="36"/>
      <c r="C1980" s="36"/>
      <c r="D1980" s="36"/>
      <c r="E1980" s="36"/>
      <c r="F1980" s="36"/>
      <c r="G1980" s="36"/>
      <c r="H1980" s="36"/>
      <c r="J1980" s="36"/>
      <c r="L1980" s="1" t="str">
        <f t="shared" si="122"/>
        <v/>
      </c>
      <c r="M1980" s="94"/>
      <c r="N1980" s="36"/>
      <c r="O1980" s="95"/>
      <c r="P1980" s="36"/>
      <c r="AI1980" s="122">
        <v>1668</v>
      </c>
      <c r="AJ1980" s="1" t="s">
        <v>1141</v>
      </c>
      <c r="AK1980" s="1" t="s">
        <v>1141</v>
      </c>
      <c r="AL1980" s="1" t="s">
        <v>1141</v>
      </c>
      <c r="AN1980" s="270">
        <v>74</v>
      </c>
      <c r="BX1980" s="36"/>
    </row>
    <row r="1981" spans="2:76" ht="14.25">
      <c r="B1981" s="36"/>
      <c r="C1981" s="36"/>
      <c r="D1981" s="36"/>
      <c r="E1981" s="36"/>
      <c r="F1981" s="36"/>
      <c r="G1981" s="36"/>
      <c r="H1981" s="36"/>
      <c r="J1981" s="36"/>
      <c r="L1981" s="1" t="str">
        <f t="shared" si="122"/>
        <v/>
      </c>
      <c r="M1981" s="94"/>
      <c r="N1981" s="36"/>
      <c r="O1981" s="95"/>
      <c r="P1981" s="36"/>
      <c r="AI1981" s="122">
        <v>1669</v>
      </c>
      <c r="AJ1981" s="1" t="s">
        <v>1141</v>
      </c>
      <c r="AK1981" s="1" t="s">
        <v>1141</v>
      </c>
      <c r="AL1981" s="1" t="s">
        <v>1141</v>
      </c>
      <c r="AN1981" s="270">
        <v>75</v>
      </c>
      <c r="BX1981" s="36"/>
    </row>
    <row r="1982" spans="2:76" ht="14.25">
      <c r="B1982" s="36"/>
      <c r="C1982" s="36"/>
      <c r="D1982" s="36"/>
      <c r="E1982" s="36"/>
      <c r="F1982" s="36"/>
      <c r="G1982" s="36"/>
      <c r="H1982" s="36"/>
      <c r="J1982" s="36"/>
      <c r="L1982" s="1" t="str">
        <f t="shared" si="122"/>
        <v/>
      </c>
      <c r="M1982" s="94"/>
      <c r="N1982" s="36"/>
      <c r="O1982" s="95"/>
      <c r="P1982" s="36"/>
      <c r="AI1982" s="122">
        <v>1670</v>
      </c>
      <c r="AJ1982" s="1" t="s">
        <v>1141</v>
      </c>
      <c r="AK1982" s="1" t="s">
        <v>1141</v>
      </c>
      <c r="AL1982" s="1" t="s">
        <v>1141</v>
      </c>
      <c r="AN1982" s="270">
        <v>76</v>
      </c>
      <c r="BX1982" s="36"/>
    </row>
    <row r="1983" spans="2:76" ht="14.25">
      <c r="B1983" s="36"/>
      <c r="C1983" s="36"/>
      <c r="D1983" s="36"/>
      <c r="E1983" s="36"/>
      <c r="F1983" s="36"/>
      <c r="G1983" s="36"/>
      <c r="H1983" s="36"/>
      <c r="J1983" s="36"/>
      <c r="L1983" s="1" t="str">
        <f t="shared" si="122"/>
        <v/>
      </c>
      <c r="M1983" s="94"/>
      <c r="N1983" s="36"/>
      <c r="O1983" s="95"/>
      <c r="P1983" s="36"/>
      <c r="AI1983" s="122">
        <v>1671</v>
      </c>
      <c r="AJ1983" s="1" t="s">
        <v>1141</v>
      </c>
      <c r="AK1983" s="1" t="s">
        <v>1141</v>
      </c>
      <c r="AL1983" s="1" t="s">
        <v>1141</v>
      </c>
      <c r="AN1983" s="270">
        <v>77</v>
      </c>
      <c r="BX1983" s="36"/>
    </row>
    <row r="1984" spans="2:76" ht="14.25">
      <c r="B1984" s="36"/>
      <c r="C1984" s="36"/>
      <c r="D1984" s="36"/>
      <c r="E1984" s="36"/>
      <c r="F1984" s="36"/>
      <c r="G1984" s="36"/>
      <c r="H1984" s="36"/>
      <c r="J1984" s="36"/>
      <c r="L1984" s="1" t="str">
        <f t="shared" si="122"/>
        <v/>
      </c>
      <c r="M1984" s="94"/>
      <c r="N1984" s="36"/>
      <c r="O1984" s="95"/>
      <c r="P1984" s="36"/>
      <c r="AI1984" s="122">
        <v>1672</v>
      </c>
      <c r="AJ1984" s="1" t="s">
        <v>1141</v>
      </c>
      <c r="AK1984" s="1" t="s">
        <v>1141</v>
      </c>
      <c r="AL1984" s="1" t="s">
        <v>1141</v>
      </c>
      <c r="AN1984" s="270">
        <v>78</v>
      </c>
      <c r="BX1984" s="36"/>
    </row>
    <row r="1985" spans="2:76" ht="14.25">
      <c r="B1985" s="36"/>
      <c r="C1985" s="36"/>
      <c r="D1985" s="36"/>
      <c r="E1985" s="36"/>
      <c r="F1985" s="36"/>
      <c r="G1985" s="36"/>
      <c r="H1985" s="36"/>
      <c r="J1985" s="36"/>
      <c r="L1985" s="1" t="str">
        <f t="shared" si="122"/>
        <v/>
      </c>
      <c r="M1985" s="94"/>
      <c r="N1985" s="36"/>
      <c r="O1985" s="95"/>
      <c r="P1985" s="36"/>
      <c r="AI1985" s="122">
        <v>1673</v>
      </c>
      <c r="AJ1985" s="1" t="s">
        <v>1141</v>
      </c>
      <c r="AK1985" s="1" t="s">
        <v>1141</v>
      </c>
      <c r="AL1985" s="1" t="s">
        <v>1141</v>
      </c>
      <c r="AN1985" s="270">
        <v>79</v>
      </c>
      <c r="BX1985" s="36"/>
    </row>
    <row r="1986" spans="2:76" ht="14.25">
      <c r="B1986" s="36"/>
      <c r="C1986" s="36"/>
      <c r="D1986" s="36"/>
      <c r="E1986" s="36"/>
      <c r="F1986" s="36"/>
      <c r="G1986" s="36"/>
      <c r="H1986" s="36"/>
      <c r="J1986" s="36"/>
      <c r="L1986" s="1" t="str">
        <f t="shared" si="122"/>
        <v/>
      </c>
      <c r="M1986" s="94"/>
      <c r="N1986" s="36"/>
      <c r="O1986" s="95"/>
      <c r="P1986" s="36"/>
      <c r="AI1986" s="122">
        <v>1674</v>
      </c>
      <c r="AJ1986" s="1" t="s">
        <v>1141</v>
      </c>
      <c r="AK1986" s="1" t="s">
        <v>1141</v>
      </c>
      <c r="AL1986" s="1" t="s">
        <v>1141</v>
      </c>
      <c r="AN1986" s="270">
        <v>80</v>
      </c>
      <c r="BX1986" s="36"/>
    </row>
    <row r="1987" spans="2:76" ht="14.25">
      <c r="B1987" s="36"/>
      <c r="C1987" s="36"/>
      <c r="D1987" s="36"/>
      <c r="E1987" s="36"/>
      <c r="F1987" s="36"/>
      <c r="G1987" s="36"/>
      <c r="H1987" s="36"/>
      <c r="J1987" s="36"/>
      <c r="L1987" s="1" t="str">
        <f t="shared" si="122"/>
        <v/>
      </c>
      <c r="M1987" s="94"/>
      <c r="N1987" s="36"/>
      <c r="O1987" s="95"/>
      <c r="P1987" s="36"/>
      <c r="AI1987" s="122">
        <v>1675</v>
      </c>
      <c r="AJ1987" s="1" t="s">
        <v>1141</v>
      </c>
      <c r="AK1987" s="1" t="s">
        <v>1141</v>
      </c>
      <c r="AL1987" s="1" t="s">
        <v>1141</v>
      </c>
      <c r="AN1987" s="270">
        <v>81</v>
      </c>
      <c r="BX1987" s="36"/>
    </row>
    <row r="1988" spans="2:76" ht="14.25">
      <c r="B1988" s="36"/>
      <c r="C1988" s="36"/>
      <c r="D1988" s="36"/>
      <c r="E1988" s="36"/>
      <c r="F1988" s="36"/>
      <c r="G1988" s="36"/>
      <c r="H1988" s="36"/>
      <c r="J1988" s="36"/>
      <c r="L1988" s="1" t="str">
        <f t="shared" ref="L1988:L2051" si="123">IF(AND(MIN(I:I)&lt;20,MAX(I:I)&gt;980,I1988&lt;20),I1988,"")</f>
        <v/>
      </c>
      <c r="M1988" s="94"/>
      <c r="N1988" s="36"/>
      <c r="O1988" s="95"/>
      <c r="P1988" s="36"/>
      <c r="AI1988" s="122">
        <v>1676</v>
      </c>
      <c r="AJ1988" s="1" t="s">
        <v>1141</v>
      </c>
      <c r="AK1988" s="1" t="s">
        <v>1141</v>
      </c>
      <c r="AL1988" s="1" t="s">
        <v>1141</v>
      </c>
      <c r="AN1988" s="270">
        <v>82</v>
      </c>
      <c r="BX1988" s="36"/>
    </row>
    <row r="1989" spans="2:76" ht="14.25">
      <c r="B1989" s="36"/>
      <c r="C1989" s="36"/>
      <c r="D1989" s="36"/>
      <c r="E1989" s="36"/>
      <c r="F1989" s="36"/>
      <c r="G1989" s="36"/>
      <c r="H1989" s="36"/>
      <c r="J1989" s="36"/>
      <c r="L1989" s="1" t="str">
        <f t="shared" si="123"/>
        <v/>
      </c>
      <c r="M1989" s="94"/>
      <c r="N1989" s="36"/>
      <c r="O1989" s="95"/>
      <c r="P1989" s="36"/>
      <c r="AI1989" s="122">
        <v>1677</v>
      </c>
      <c r="AJ1989" s="1" t="s">
        <v>1141</v>
      </c>
      <c r="AK1989" s="1" t="s">
        <v>1141</v>
      </c>
      <c r="AL1989" s="1" t="s">
        <v>1141</v>
      </c>
      <c r="AN1989" s="270">
        <v>83</v>
      </c>
      <c r="BX1989" s="36"/>
    </row>
    <row r="1990" spans="2:76" ht="14.25">
      <c r="B1990" s="36"/>
      <c r="C1990" s="36"/>
      <c r="D1990" s="36"/>
      <c r="E1990" s="36"/>
      <c r="F1990" s="36"/>
      <c r="G1990" s="36"/>
      <c r="H1990" s="36"/>
      <c r="J1990" s="36"/>
      <c r="L1990" s="1" t="str">
        <f t="shared" si="123"/>
        <v/>
      </c>
      <c r="M1990" s="94"/>
      <c r="N1990" s="36"/>
      <c r="O1990" s="95"/>
      <c r="P1990" s="36"/>
      <c r="AI1990" s="122">
        <v>1678</v>
      </c>
      <c r="AJ1990" s="1" t="s">
        <v>1141</v>
      </c>
      <c r="AK1990" s="1" t="s">
        <v>1141</v>
      </c>
      <c r="AL1990" s="1" t="s">
        <v>1141</v>
      </c>
      <c r="AN1990" s="270">
        <v>84</v>
      </c>
      <c r="BX1990" s="36"/>
    </row>
    <row r="1991" spans="2:76" ht="14.25">
      <c r="B1991" s="36"/>
      <c r="C1991" s="36"/>
      <c r="D1991" s="36"/>
      <c r="E1991" s="36"/>
      <c r="F1991" s="36"/>
      <c r="G1991" s="36"/>
      <c r="H1991" s="36"/>
      <c r="J1991" s="36"/>
      <c r="L1991" s="1" t="str">
        <f t="shared" si="123"/>
        <v/>
      </c>
      <c r="M1991" s="94"/>
      <c r="N1991" s="36"/>
      <c r="O1991" s="95"/>
      <c r="P1991" s="36"/>
      <c r="AI1991" s="122">
        <v>1679</v>
      </c>
      <c r="AJ1991" s="1" t="s">
        <v>1141</v>
      </c>
      <c r="AK1991" s="1" t="s">
        <v>1141</v>
      </c>
      <c r="AL1991" s="1" t="s">
        <v>1141</v>
      </c>
      <c r="AN1991" s="270">
        <v>85</v>
      </c>
      <c r="BX1991" s="36"/>
    </row>
    <row r="1992" spans="2:76" ht="14.25">
      <c r="B1992" s="36"/>
      <c r="C1992" s="36"/>
      <c r="D1992" s="36"/>
      <c r="E1992" s="36"/>
      <c r="F1992" s="36"/>
      <c r="G1992" s="36"/>
      <c r="H1992" s="36"/>
      <c r="J1992" s="36"/>
      <c r="L1992" s="1" t="str">
        <f t="shared" si="123"/>
        <v/>
      </c>
      <c r="M1992" s="94"/>
      <c r="N1992" s="36"/>
      <c r="O1992" s="95"/>
      <c r="P1992" s="36"/>
      <c r="AI1992" s="122">
        <v>1680</v>
      </c>
      <c r="AJ1992" s="1" t="s">
        <v>1141</v>
      </c>
      <c r="AK1992" s="1" t="s">
        <v>1141</v>
      </c>
      <c r="AL1992" s="1" t="s">
        <v>1141</v>
      </c>
      <c r="AN1992" s="270">
        <v>86</v>
      </c>
      <c r="BX1992" s="36"/>
    </row>
    <row r="1993" spans="2:76" ht="14.25">
      <c r="B1993" s="36"/>
      <c r="C1993" s="36"/>
      <c r="D1993" s="36"/>
      <c r="E1993" s="36"/>
      <c r="F1993" s="36"/>
      <c r="G1993" s="36"/>
      <c r="H1993" s="36"/>
      <c r="J1993" s="36"/>
      <c r="L1993" s="1" t="str">
        <f t="shared" si="123"/>
        <v/>
      </c>
      <c r="M1993" s="94"/>
      <c r="N1993" s="36"/>
      <c r="O1993" s="95"/>
      <c r="P1993" s="36"/>
      <c r="AI1993" s="122">
        <v>1681</v>
      </c>
      <c r="AJ1993" s="1" t="s">
        <v>1141</v>
      </c>
      <c r="AK1993" s="1" t="s">
        <v>1141</v>
      </c>
      <c r="AL1993" s="1" t="s">
        <v>1141</v>
      </c>
      <c r="AN1993" s="270">
        <v>87</v>
      </c>
      <c r="BX1993" s="36"/>
    </row>
    <row r="1994" spans="2:76" ht="14.25">
      <c r="B1994" s="36"/>
      <c r="C1994" s="36"/>
      <c r="D1994" s="36"/>
      <c r="E1994" s="36"/>
      <c r="F1994" s="36"/>
      <c r="G1994" s="36"/>
      <c r="H1994" s="36"/>
      <c r="J1994" s="36"/>
      <c r="L1994" s="1" t="str">
        <f t="shared" si="123"/>
        <v/>
      </c>
      <c r="M1994" s="94"/>
      <c r="N1994" s="36"/>
      <c r="O1994" s="95"/>
      <c r="P1994" s="36"/>
      <c r="AI1994" s="122">
        <v>1682</v>
      </c>
      <c r="AJ1994" s="1" t="s">
        <v>1141</v>
      </c>
      <c r="AK1994" s="1" t="s">
        <v>1141</v>
      </c>
      <c r="AL1994" s="1" t="s">
        <v>1141</v>
      </c>
      <c r="AN1994" s="270">
        <v>88</v>
      </c>
      <c r="BX1994" s="36"/>
    </row>
    <row r="1995" spans="2:76" ht="14.25">
      <c r="B1995" s="36"/>
      <c r="C1995" s="36"/>
      <c r="D1995" s="36"/>
      <c r="E1995" s="36"/>
      <c r="F1995" s="36"/>
      <c r="G1995" s="36"/>
      <c r="H1995" s="36"/>
      <c r="J1995" s="36"/>
      <c r="L1995" s="1" t="str">
        <f t="shared" si="123"/>
        <v/>
      </c>
      <c r="M1995" s="94"/>
      <c r="N1995" s="36"/>
      <c r="O1995" s="95"/>
      <c r="P1995" s="36"/>
      <c r="AI1995" s="122">
        <v>1683</v>
      </c>
      <c r="AJ1995" s="1" t="s">
        <v>1141</v>
      </c>
      <c r="AK1995" s="1" t="s">
        <v>1141</v>
      </c>
      <c r="AL1995" s="1" t="s">
        <v>1141</v>
      </c>
      <c r="AN1995" s="270">
        <v>89</v>
      </c>
      <c r="BX1995" s="36"/>
    </row>
    <row r="1996" spans="2:76" ht="14.25">
      <c r="B1996" s="36"/>
      <c r="C1996" s="36"/>
      <c r="D1996" s="36"/>
      <c r="E1996" s="36"/>
      <c r="F1996" s="36"/>
      <c r="G1996" s="36"/>
      <c r="H1996" s="36"/>
      <c r="J1996" s="36"/>
      <c r="L1996" s="1" t="str">
        <f t="shared" si="123"/>
        <v/>
      </c>
      <c r="M1996" s="94"/>
      <c r="N1996" s="36"/>
      <c r="O1996" s="95"/>
      <c r="P1996" s="36"/>
      <c r="AI1996" s="122">
        <v>1684</v>
      </c>
      <c r="AJ1996" s="1" t="s">
        <v>1141</v>
      </c>
      <c r="AK1996" s="1" t="s">
        <v>1141</v>
      </c>
      <c r="AL1996" s="1" t="s">
        <v>1141</v>
      </c>
      <c r="AN1996" s="270">
        <v>90</v>
      </c>
      <c r="BX1996" s="36"/>
    </row>
    <row r="1997" spans="2:76" ht="14.25">
      <c r="B1997" s="36"/>
      <c r="C1997" s="36"/>
      <c r="D1997" s="36"/>
      <c r="E1997" s="36"/>
      <c r="F1997" s="36"/>
      <c r="G1997" s="36"/>
      <c r="H1997" s="36"/>
      <c r="J1997" s="36"/>
      <c r="L1997" s="1" t="str">
        <f t="shared" si="123"/>
        <v/>
      </c>
      <c r="M1997" s="94"/>
      <c r="N1997" s="36"/>
      <c r="O1997" s="95"/>
      <c r="P1997" s="36"/>
      <c r="AI1997" s="122">
        <v>1685</v>
      </c>
      <c r="AJ1997" s="1" t="s">
        <v>1141</v>
      </c>
      <c r="AK1997" s="1" t="s">
        <v>1141</v>
      </c>
      <c r="AL1997" s="1" t="s">
        <v>1141</v>
      </c>
      <c r="AN1997" s="270">
        <v>91</v>
      </c>
      <c r="BX1997" s="36"/>
    </row>
    <row r="1998" spans="2:76" ht="14.25">
      <c r="B1998" s="36"/>
      <c r="C1998" s="36"/>
      <c r="D1998" s="36"/>
      <c r="E1998" s="36"/>
      <c r="F1998" s="36"/>
      <c r="G1998" s="36"/>
      <c r="H1998" s="36"/>
      <c r="J1998" s="36"/>
      <c r="L1998" s="1" t="str">
        <f t="shared" si="123"/>
        <v/>
      </c>
      <c r="M1998" s="94"/>
      <c r="N1998" s="36"/>
      <c r="O1998" s="95"/>
      <c r="P1998" s="36"/>
      <c r="AI1998" s="122">
        <v>1686</v>
      </c>
      <c r="AJ1998" s="1" t="s">
        <v>1141</v>
      </c>
      <c r="AK1998" s="1" t="s">
        <v>1141</v>
      </c>
      <c r="AL1998" s="1" t="s">
        <v>1141</v>
      </c>
      <c r="AN1998" s="270">
        <v>92</v>
      </c>
      <c r="BX1998" s="36"/>
    </row>
    <row r="1999" spans="2:76" ht="14.25">
      <c r="B1999" s="36"/>
      <c r="C1999" s="36"/>
      <c r="D1999" s="36"/>
      <c r="E1999" s="36"/>
      <c r="F1999" s="36"/>
      <c r="G1999" s="36"/>
      <c r="H1999" s="36"/>
      <c r="J1999" s="36"/>
      <c r="L1999" s="1" t="str">
        <f t="shared" si="123"/>
        <v/>
      </c>
      <c r="M1999" s="94"/>
      <c r="N1999" s="36"/>
      <c r="O1999" s="95"/>
      <c r="P1999" s="36"/>
      <c r="AI1999" s="122">
        <v>1687</v>
      </c>
      <c r="AJ1999" s="1" t="s">
        <v>1141</v>
      </c>
      <c r="AK1999" s="1" t="s">
        <v>1141</v>
      </c>
      <c r="AL1999" s="1" t="s">
        <v>1141</v>
      </c>
      <c r="AN1999" s="270">
        <v>93</v>
      </c>
      <c r="BX1999" s="36"/>
    </row>
    <row r="2000" spans="2:76" ht="14.25">
      <c r="B2000" s="36"/>
      <c r="C2000" s="36"/>
      <c r="D2000" s="36"/>
      <c r="E2000" s="36"/>
      <c r="F2000" s="36"/>
      <c r="G2000" s="36"/>
      <c r="H2000" s="36"/>
      <c r="J2000" s="36"/>
      <c r="L2000" s="1" t="str">
        <f t="shared" si="123"/>
        <v/>
      </c>
      <c r="M2000" s="94"/>
      <c r="N2000" s="36"/>
      <c r="O2000" s="95"/>
      <c r="P2000" s="36"/>
      <c r="AI2000" s="122">
        <v>1688</v>
      </c>
      <c r="AJ2000" s="1" t="s">
        <v>1141</v>
      </c>
      <c r="AK2000" s="1" t="s">
        <v>1141</v>
      </c>
      <c r="AL2000" s="1" t="s">
        <v>1141</v>
      </c>
      <c r="AN2000" s="270">
        <v>94</v>
      </c>
      <c r="BX2000" s="36"/>
    </row>
    <row r="2001" spans="2:76" ht="14.25">
      <c r="B2001" s="36"/>
      <c r="C2001" s="36"/>
      <c r="D2001" s="36"/>
      <c r="E2001" s="36"/>
      <c r="F2001" s="36"/>
      <c r="G2001" s="36"/>
      <c r="H2001" s="36"/>
      <c r="J2001" s="36"/>
      <c r="L2001" s="1" t="str">
        <f t="shared" si="123"/>
        <v/>
      </c>
      <c r="M2001" s="94"/>
      <c r="N2001" s="36"/>
      <c r="O2001" s="95"/>
      <c r="P2001" s="36"/>
      <c r="AI2001" s="122">
        <v>1689</v>
      </c>
      <c r="AJ2001" s="1" t="s">
        <v>1141</v>
      </c>
      <c r="AK2001" s="1" t="s">
        <v>1141</v>
      </c>
      <c r="BX2001" s="36"/>
    </row>
    <row r="2002" spans="2:76" ht="14.25">
      <c r="B2002" s="36"/>
      <c r="C2002" s="36"/>
      <c r="D2002" s="36"/>
      <c r="E2002" s="36"/>
      <c r="F2002" s="36"/>
      <c r="G2002" s="36"/>
      <c r="H2002" s="36"/>
      <c r="J2002" s="36"/>
      <c r="L2002" s="1" t="str">
        <f t="shared" si="123"/>
        <v/>
      </c>
      <c r="M2002" s="94"/>
      <c r="N2002" s="36"/>
      <c r="O2002" s="95"/>
      <c r="P2002" s="36"/>
      <c r="AI2002" s="122">
        <v>1690</v>
      </c>
      <c r="AJ2002" s="1" t="s">
        <v>1141</v>
      </c>
      <c r="AK2002" s="1" t="s">
        <v>1141</v>
      </c>
      <c r="BX2002" s="36"/>
    </row>
    <row r="2003" spans="2:76" ht="14.25">
      <c r="B2003" s="36"/>
      <c r="C2003" s="36"/>
      <c r="D2003" s="36"/>
      <c r="E2003" s="36"/>
      <c r="F2003" s="36"/>
      <c r="G2003" s="36"/>
      <c r="H2003" s="36"/>
      <c r="J2003" s="36"/>
      <c r="L2003" s="1" t="str">
        <f t="shared" si="123"/>
        <v/>
      </c>
      <c r="M2003" s="94"/>
      <c r="N2003" s="36"/>
      <c r="O2003" s="95"/>
      <c r="P2003" s="36"/>
      <c r="AI2003" s="122">
        <v>1691</v>
      </c>
      <c r="AJ2003" s="1" t="s">
        <v>1141</v>
      </c>
      <c r="AK2003" s="1" t="s">
        <v>1141</v>
      </c>
      <c r="BX2003" s="36"/>
    </row>
    <row r="2004" spans="2:76" ht="14.25">
      <c r="B2004" s="36"/>
      <c r="C2004" s="36"/>
      <c r="D2004" s="36"/>
      <c r="E2004" s="36"/>
      <c r="F2004" s="36"/>
      <c r="G2004" s="36"/>
      <c r="H2004" s="36"/>
      <c r="J2004" s="36"/>
      <c r="L2004" s="1" t="str">
        <f t="shared" si="123"/>
        <v/>
      </c>
      <c r="M2004" s="94"/>
      <c r="N2004" s="36"/>
      <c r="O2004" s="95"/>
      <c r="P2004" s="36"/>
      <c r="AI2004" s="122">
        <v>1692</v>
      </c>
      <c r="AJ2004" s="1" t="s">
        <v>1141</v>
      </c>
      <c r="AK2004" s="1" t="s">
        <v>1141</v>
      </c>
      <c r="BX2004" s="36"/>
    </row>
    <row r="2005" spans="2:76" ht="14.25">
      <c r="B2005" s="36"/>
      <c r="C2005" s="36"/>
      <c r="D2005" s="36"/>
      <c r="E2005" s="36"/>
      <c r="F2005" s="36"/>
      <c r="G2005" s="36"/>
      <c r="H2005" s="36"/>
      <c r="J2005" s="36"/>
      <c r="L2005" s="1" t="str">
        <f t="shared" si="123"/>
        <v/>
      </c>
      <c r="M2005" s="94"/>
      <c r="N2005" s="36"/>
      <c r="O2005" s="95"/>
      <c r="P2005" s="36"/>
      <c r="AI2005" s="122">
        <v>1693</v>
      </c>
      <c r="AJ2005" s="1" t="s">
        <v>1141</v>
      </c>
      <c r="AK2005" s="1" t="s">
        <v>1141</v>
      </c>
      <c r="BX2005" s="36"/>
    </row>
    <row r="2006" spans="2:76" ht="14.25">
      <c r="B2006" s="36"/>
      <c r="C2006" s="36"/>
      <c r="D2006" s="36"/>
      <c r="E2006" s="36"/>
      <c r="F2006" s="36"/>
      <c r="G2006" s="36"/>
      <c r="H2006" s="36"/>
      <c r="J2006" s="36"/>
      <c r="L2006" s="1" t="str">
        <f t="shared" si="123"/>
        <v/>
      </c>
      <c r="M2006" s="94"/>
      <c r="N2006" s="36"/>
      <c r="O2006" s="95"/>
      <c r="P2006" s="36"/>
      <c r="AI2006" s="122">
        <v>1694</v>
      </c>
      <c r="AJ2006" s="1" t="s">
        <v>1141</v>
      </c>
      <c r="AK2006" s="1" t="s">
        <v>1141</v>
      </c>
      <c r="BX2006" s="36"/>
    </row>
    <row r="2007" spans="2:76" ht="14.25">
      <c r="B2007" s="36"/>
      <c r="C2007" s="36"/>
      <c r="D2007" s="36"/>
      <c r="E2007" s="36"/>
      <c r="F2007" s="36"/>
      <c r="G2007" s="36"/>
      <c r="H2007" s="36"/>
      <c r="J2007" s="36"/>
      <c r="L2007" s="1" t="str">
        <f t="shared" si="123"/>
        <v/>
      </c>
      <c r="M2007" s="94"/>
      <c r="N2007" s="36"/>
      <c r="O2007" s="95"/>
      <c r="P2007" s="36"/>
      <c r="AI2007" s="122">
        <v>1695</v>
      </c>
      <c r="AJ2007" s="1" t="s">
        <v>1141</v>
      </c>
      <c r="AK2007" s="1" t="s">
        <v>1141</v>
      </c>
      <c r="BX2007" s="36"/>
    </row>
    <row r="2008" spans="2:76" ht="14.25">
      <c r="B2008" s="36"/>
      <c r="C2008" s="36"/>
      <c r="D2008" s="36"/>
      <c r="E2008" s="36"/>
      <c r="F2008" s="36"/>
      <c r="G2008" s="36"/>
      <c r="H2008" s="36"/>
      <c r="J2008" s="36"/>
      <c r="L2008" s="1" t="str">
        <f t="shared" si="123"/>
        <v/>
      </c>
      <c r="M2008" s="94"/>
      <c r="N2008" s="36"/>
      <c r="O2008" s="95"/>
      <c r="P2008" s="36"/>
      <c r="AI2008" s="122">
        <v>1696</v>
      </c>
      <c r="AJ2008" s="1" t="s">
        <v>1141</v>
      </c>
      <c r="AK2008" s="1" t="s">
        <v>1141</v>
      </c>
      <c r="BX2008" s="36"/>
    </row>
    <row r="2009" spans="2:76" ht="14.25">
      <c r="B2009" s="36"/>
      <c r="C2009" s="36"/>
      <c r="D2009" s="36"/>
      <c r="E2009" s="36"/>
      <c r="F2009" s="36"/>
      <c r="G2009" s="36"/>
      <c r="H2009" s="36"/>
      <c r="J2009" s="36"/>
      <c r="L2009" s="1" t="str">
        <f t="shared" si="123"/>
        <v/>
      </c>
      <c r="M2009" s="94"/>
      <c r="N2009" s="36"/>
      <c r="O2009" s="95"/>
      <c r="P2009" s="36"/>
      <c r="AI2009" s="122">
        <v>1697</v>
      </c>
      <c r="AJ2009" s="1" t="s">
        <v>1141</v>
      </c>
      <c r="AK2009" s="1" t="s">
        <v>1141</v>
      </c>
      <c r="BX2009" s="36"/>
    </row>
    <row r="2010" spans="2:76" ht="14.25">
      <c r="B2010" s="36"/>
      <c r="C2010" s="36"/>
      <c r="D2010" s="36"/>
      <c r="E2010" s="36"/>
      <c r="F2010" s="36"/>
      <c r="G2010" s="36"/>
      <c r="H2010" s="36"/>
      <c r="J2010" s="36"/>
      <c r="L2010" s="1" t="str">
        <f t="shared" si="123"/>
        <v/>
      </c>
      <c r="M2010" s="94"/>
      <c r="N2010" s="36"/>
      <c r="O2010" s="95"/>
      <c r="P2010" s="36"/>
      <c r="AI2010" s="122">
        <v>1698</v>
      </c>
      <c r="AJ2010" s="1" t="s">
        <v>1141</v>
      </c>
      <c r="AK2010" s="1" t="s">
        <v>1141</v>
      </c>
      <c r="BX2010" s="36"/>
    </row>
    <row r="2011" spans="2:76" ht="14.25">
      <c r="B2011" s="36"/>
      <c r="C2011" s="36"/>
      <c r="D2011" s="36"/>
      <c r="E2011" s="36"/>
      <c r="F2011" s="36"/>
      <c r="G2011" s="36"/>
      <c r="H2011" s="36"/>
      <c r="J2011" s="36"/>
      <c r="L2011" s="1" t="str">
        <f t="shared" si="123"/>
        <v/>
      </c>
      <c r="M2011" s="94"/>
      <c r="N2011" s="36"/>
      <c r="O2011" s="95"/>
      <c r="P2011" s="36"/>
      <c r="AI2011" s="122">
        <v>1699</v>
      </c>
      <c r="AJ2011" s="1" t="s">
        <v>1141</v>
      </c>
      <c r="AK2011" s="1" t="s">
        <v>1141</v>
      </c>
      <c r="BX2011" s="36"/>
    </row>
    <row r="2012" spans="2:76" ht="14.25">
      <c r="B2012" s="36"/>
      <c r="C2012" s="36"/>
      <c r="D2012" s="36"/>
      <c r="E2012" s="36"/>
      <c r="F2012" s="36"/>
      <c r="G2012" s="36"/>
      <c r="H2012" s="36"/>
      <c r="J2012" s="36"/>
      <c r="L2012" s="1" t="str">
        <f t="shared" si="123"/>
        <v/>
      </c>
      <c r="M2012" s="94"/>
      <c r="N2012" s="36"/>
      <c r="O2012" s="95"/>
      <c r="P2012" s="36"/>
      <c r="AI2012" s="122">
        <v>1700</v>
      </c>
      <c r="AJ2012" s="1" t="s">
        <v>1141</v>
      </c>
      <c r="AK2012" s="1" t="s">
        <v>1141</v>
      </c>
      <c r="BX2012" s="36"/>
    </row>
    <row r="2013" spans="2:76" ht="14.25">
      <c r="B2013" s="36"/>
      <c r="C2013" s="36"/>
      <c r="D2013" s="36"/>
      <c r="E2013" s="36"/>
      <c r="F2013" s="36"/>
      <c r="G2013" s="36"/>
      <c r="H2013" s="36"/>
      <c r="J2013" s="36"/>
      <c r="L2013" s="1" t="str">
        <f t="shared" si="123"/>
        <v/>
      </c>
      <c r="M2013" s="94"/>
      <c r="N2013" s="36"/>
      <c r="O2013" s="95"/>
      <c r="P2013" s="36"/>
      <c r="AI2013" s="122">
        <v>1701</v>
      </c>
      <c r="AJ2013" s="1" t="s">
        <v>1141</v>
      </c>
      <c r="AK2013" s="1" t="s">
        <v>1141</v>
      </c>
      <c r="BX2013" s="36"/>
    </row>
    <row r="2014" spans="2:76" ht="14.25">
      <c r="B2014" s="36"/>
      <c r="C2014" s="36"/>
      <c r="D2014" s="36"/>
      <c r="E2014" s="36"/>
      <c r="F2014" s="36"/>
      <c r="G2014" s="36"/>
      <c r="H2014" s="36"/>
      <c r="J2014" s="36"/>
      <c r="L2014" s="1" t="str">
        <f t="shared" si="123"/>
        <v/>
      </c>
      <c r="M2014" s="94"/>
      <c r="N2014" s="36"/>
      <c r="O2014" s="95"/>
      <c r="P2014" s="36"/>
      <c r="AI2014" s="122">
        <v>1702</v>
      </c>
      <c r="AJ2014" s="1" t="s">
        <v>1141</v>
      </c>
      <c r="AK2014" s="1" t="s">
        <v>1141</v>
      </c>
      <c r="BX2014" s="36"/>
    </row>
    <row r="2015" spans="2:76" ht="14.25">
      <c r="B2015" s="36"/>
      <c r="C2015" s="36"/>
      <c r="D2015" s="36"/>
      <c r="E2015" s="36"/>
      <c r="F2015" s="36"/>
      <c r="G2015" s="36"/>
      <c r="H2015" s="36"/>
      <c r="J2015" s="36"/>
      <c r="L2015" s="1" t="str">
        <f t="shared" si="123"/>
        <v/>
      </c>
      <c r="M2015" s="94"/>
      <c r="N2015" s="36"/>
      <c r="O2015" s="95"/>
      <c r="P2015" s="36"/>
      <c r="AI2015" s="122">
        <v>1703</v>
      </c>
      <c r="AJ2015" s="1" t="s">
        <v>1141</v>
      </c>
      <c r="AK2015" s="1" t="s">
        <v>1141</v>
      </c>
      <c r="BX2015" s="36"/>
    </row>
    <row r="2016" spans="2:76" ht="14.25">
      <c r="B2016" s="36"/>
      <c r="C2016" s="36"/>
      <c r="D2016" s="36"/>
      <c r="E2016" s="36"/>
      <c r="F2016" s="36"/>
      <c r="G2016" s="36"/>
      <c r="H2016" s="36"/>
      <c r="J2016" s="36"/>
      <c r="L2016" s="1" t="str">
        <f t="shared" si="123"/>
        <v/>
      </c>
      <c r="M2016" s="94"/>
      <c r="N2016" s="36"/>
      <c r="O2016" s="95"/>
      <c r="P2016" s="36"/>
      <c r="AI2016" s="122">
        <v>1704</v>
      </c>
      <c r="AJ2016" s="1" t="s">
        <v>1141</v>
      </c>
      <c r="AK2016" s="1" t="s">
        <v>1141</v>
      </c>
      <c r="BX2016" s="36"/>
    </row>
    <row r="2017" spans="2:76" ht="14.25">
      <c r="B2017" s="36"/>
      <c r="C2017" s="36"/>
      <c r="D2017" s="36"/>
      <c r="E2017" s="36"/>
      <c r="F2017" s="36"/>
      <c r="G2017" s="36"/>
      <c r="H2017" s="36"/>
      <c r="J2017" s="36"/>
      <c r="L2017" s="1" t="str">
        <f t="shared" si="123"/>
        <v/>
      </c>
      <c r="M2017" s="94"/>
      <c r="N2017" s="36"/>
      <c r="O2017" s="95"/>
      <c r="P2017" s="36"/>
      <c r="AI2017" s="122">
        <v>1705</v>
      </c>
      <c r="AJ2017" s="1" t="s">
        <v>1141</v>
      </c>
      <c r="AK2017" s="1" t="s">
        <v>1141</v>
      </c>
      <c r="BX2017" s="36"/>
    </row>
    <row r="2018" spans="2:76" ht="14.25">
      <c r="B2018" s="36"/>
      <c r="C2018" s="36"/>
      <c r="D2018" s="36"/>
      <c r="E2018" s="36"/>
      <c r="F2018" s="36"/>
      <c r="G2018" s="36"/>
      <c r="H2018" s="36"/>
      <c r="J2018" s="36"/>
      <c r="L2018" s="1" t="str">
        <f t="shared" si="123"/>
        <v/>
      </c>
      <c r="M2018" s="94"/>
      <c r="N2018" s="36"/>
      <c r="O2018" s="95"/>
      <c r="P2018" s="36"/>
      <c r="AI2018" s="122">
        <v>1706</v>
      </c>
      <c r="AJ2018" s="1" t="s">
        <v>1141</v>
      </c>
      <c r="AK2018" s="1" t="s">
        <v>1141</v>
      </c>
      <c r="BX2018" s="36"/>
    </row>
    <row r="2019" spans="2:76" ht="14.25">
      <c r="B2019" s="36"/>
      <c r="C2019" s="36"/>
      <c r="D2019" s="36"/>
      <c r="E2019" s="36"/>
      <c r="F2019" s="36"/>
      <c r="G2019" s="36"/>
      <c r="H2019" s="36"/>
      <c r="J2019" s="36"/>
      <c r="L2019" s="1" t="str">
        <f t="shared" si="123"/>
        <v/>
      </c>
      <c r="M2019" s="94"/>
      <c r="N2019" s="36"/>
      <c r="O2019" s="95"/>
      <c r="P2019" s="36"/>
      <c r="AI2019" s="122">
        <v>1707</v>
      </c>
      <c r="AJ2019" s="1" t="s">
        <v>1141</v>
      </c>
      <c r="AK2019" s="1" t="s">
        <v>1141</v>
      </c>
      <c r="BX2019" s="36"/>
    </row>
    <row r="2020" spans="2:76" ht="14.25">
      <c r="B2020" s="36"/>
      <c r="C2020" s="36"/>
      <c r="D2020" s="36"/>
      <c r="E2020" s="36"/>
      <c r="F2020" s="36"/>
      <c r="G2020" s="36"/>
      <c r="H2020" s="36"/>
      <c r="J2020" s="36"/>
      <c r="L2020" s="1" t="str">
        <f t="shared" si="123"/>
        <v/>
      </c>
      <c r="M2020" s="94"/>
      <c r="N2020" s="36"/>
      <c r="O2020" s="95"/>
      <c r="P2020" s="36"/>
      <c r="AI2020" s="122">
        <v>1708</v>
      </c>
      <c r="AJ2020" s="1" t="s">
        <v>1141</v>
      </c>
      <c r="AK2020" s="1" t="s">
        <v>1141</v>
      </c>
      <c r="BX2020" s="36"/>
    </row>
    <row r="2021" spans="2:76" ht="14.25">
      <c r="B2021" s="36"/>
      <c r="C2021" s="36"/>
      <c r="D2021" s="36"/>
      <c r="E2021" s="36"/>
      <c r="F2021" s="36"/>
      <c r="G2021" s="36"/>
      <c r="H2021" s="36"/>
      <c r="J2021" s="36"/>
      <c r="L2021" s="1" t="str">
        <f t="shared" si="123"/>
        <v/>
      </c>
      <c r="M2021" s="94"/>
      <c r="N2021" s="36"/>
      <c r="O2021" s="95"/>
      <c r="P2021" s="36"/>
      <c r="AI2021" s="122">
        <v>1709</v>
      </c>
      <c r="AJ2021" s="1" t="s">
        <v>1141</v>
      </c>
      <c r="AK2021" s="1" t="s">
        <v>1141</v>
      </c>
      <c r="BX2021" s="36"/>
    </row>
    <row r="2022" spans="2:76" ht="14.25">
      <c r="B2022" s="36"/>
      <c r="C2022" s="36"/>
      <c r="D2022" s="36"/>
      <c r="E2022" s="36"/>
      <c r="F2022" s="36"/>
      <c r="G2022" s="36"/>
      <c r="H2022" s="36"/>
      <c r="J2022" s="36"/>
      <c r="L2022" s="1" t="str">
        <f t="shared" si="123"/>
        <v/>
      </c>
      <c r="M2022" s="94"/>
      <c r="N2022" s="36"/>
      <c r="O2022" s="95"/>
      <c r="P2022" s="36"/>
      <c r="AI2022" s="122">
        <v>1710</v>
      </c>
      <c r="AJ2022" s="1" t="s">
        <v>1141</v>
      </c>
      <c r="AK2022" s="1" t="s">
        <v>1141</v>
      </c>
      <c r="BX2022" s="36"/>
    </row>
    <row r="2023" spans="2:76" ht="14.25">
      <c r="B2023" s="36"/>
      <c r="C2023" s="36"/>
      <c r="D2023" s="36"/>
      <c r="E2023" s="36"/>
      <c r="F2023" s="36"/>
      <c r="G2023" s="36"/>
      <c r="H2023" s="36"/>
      <c r="J2023" s="36"/>
      <c r="L2023" s="1" t="str">
        <f t="shared" si="123"/>
        <v/>
      </c>
      <c r="M2023" s="94"/>
      <c r="N2023" s="36"/>
      <c r="O2023" s="95"/>
      <c r="P2023" s="36"/>
      <c r="AI2023" s="122">
        <v>1711</v>
      </c>
      <c r="AJ2023" s="1" t="s">
        <v>1141</v>
      </c>
      <c r="AK2023" s="1" t="s">
        <v>1141</v>
      </c>
      <c r="BX2023" s="36"/>
    </row>
    <row r="2024" spans="2:76" ht="14.25">
      <c r="B2024" s="36"/>
      <c r="C2024" s="36"/>
      <c r="D2024" s="36"/>
      <c r="E2024" s="36"/>
      <c r="F2024" s="36"/>
      <c r="G2024" s="36"/>
      <c r="H2024" s="36"/>
      <c r="J2024" s="36"/>
      <c r="L2024" s="1" t="str">
        <f t="shared" si="123"/>
        <v/>
      </c>
      <c r="M2024" s="94"/>
      <c r="N2024" s="36"/>
      <c r="O2024" s="95"/>
      <c r="P2024" s="36"/>
      <c r="AI2024" s="122">
        <v>1712</v>
      </c>
      <c r="AJ2024" s="1" t="s">
        <v>1141</v>
      </c>
      <c r="AK2024" s="1" t="s">
        <v>1141</v>
      </c>
      <c r="BX2024" s="36"/>
    </row>
    <row r="2025" spans="2:76" ht="14.25">
      <c r="B2025" s="36"/>
      <c r="C2025" s="36"/>
      <c r="D2025" s="36"/>
      <c r="E2025" s="36"/>
      <c r="F2025" s="36"/>
      <c r="G2025" s="36"/>
      <c r="H2025" s="36"/>
      <c r="J2025" s="36"/>
      <c r="L2025" s="1" t="str">
        <f t="shared" si="123"/>
        <v/>
      </c>
      <c r="M2025" s="94"/>
      <c r="N2025" s="36"/>
      <c r="O2025" s="95"/>
      <c r="P2025" s="36"/>
      <c r="AI2025" s="122">
        <v>1713</v>
      </c>
      <c r="AJ2025" s="1" t="s">
        <v>1141</v>
      </c>
      <c r="AK2025" s="1" t="s">
        <v>1141</v>
      </c>
      <c r="BX2025" s="36"/>
    </row>
    <row r="2026" spans="2:76" ht="14.25">
      <c r="B2026" s="36"/>
      <c r="C2026" s="36"/>
      <c r="D2026" s="36"/>
      <c r="E2026" s="36"/>
      <c r="F2026" s="36"/>
      <c r="G2026" s="36"/>
      <c r="H2026" s="36"/>
      <c r="J2026" s="36"/>
      <c r="L2026" s="1" t="str">
        <f t="shared" si="123"/>
        <v/>
      </c>
      <c r="M2026" s="94"/>
      <c r="N2026" s="36"/>
      <c r="O2026" s="95"/>
      <c r="P2026" s="36"/>
      <c r="AI2026" s="122">
        <v>1714</v>
      </c>
      <c r="AJ2026" s="1" t="s">
        <v>1141</v>
      </c>
      <c r="AK2026" s="1" t="s">
        <v>1141</v>
      </c>
      <c r="BX2026" s="36"/>
    </row>
    <row r="2027" spans="2:76" ht="14.25">
      <c r="B2027" s="36"/>
      <c r="C2027" s="36"/>
      <c r="D2027" s="36"/>
      <c r="E2027" s="36"/>
      <c r="F2027" s="36"/>
      <c r="G2027" s="36"/>
      <c r="H2027" s="36"/>
      <c r="J2027" s="36"/>
      <c r="L2027" s="1" t="str">
        <f t="shared" si="123"/>
        <v/>
      </c>
      <c r="M2027" s="94"/>
      <c r="N2027" s="36"/>
      <c r="O2027" s="95"/>
      <c r="P2027" s="36"/>
      <c r="AI2027" s="122">
        <v>1715</v>
      </c>
      <c r="AJ2027" s="1" t="s">
        <v>1141</v>
      </c>
      <c r="AK2027" s="1" t="s">
        <v>1141</v>
      </c>
      <c r="BX2027" s="36"/>
    </row>
    <row r="2028" spans="2:76" ht="14.25">
      <c r="B2028" s="36"/>
      <c r="C2028" s="36"/>
      <c r="D2028" s="36"/>
      <c r="E2028" s="36"/>
      <c r="F2028" s="36"/>
      <c r="G2028" s="36"/>
      <c r="H2028" s="36"/>
      <c r="J2028" s="36"/>
      <c r="L2028" s="1" t="str">
        <f t="shared" si="123"/>
        <v/>
      </c>
      <c r="M2028" s="94"/>
      <c r="N2028" s="36"/>
      <c r="O2028" s="95"/>
      <c r="P2028" s="36"/>
      <c r="AI2028" s="122">
        <v>1716</v>
      </c>
      <c r="AJ2028" s="1" t="s">
        <v>1141</v>
      </c>
      <c r="AK2028" s="1" t="s">
        <v>1141</v>
      </c>
      <c r="BX2028" s="36"/>
    </row>
    <row r="2029" spans="2:76" ht="14.25">
      <c r="B2029" s="36"/>
      <c r="C2029" s="36"/>
      <c r="D2029" s="36"/>
      <c r="E2029" s="36"/>
      <c r="F2029" s="36"/>
      <c r="G2029" s="36"/>
      <c r="H2029" s="36"/>
      <c r="J2029" s="36"/>
      <c r="L2029" s="1" t="str">
        <f t="shared" si="123"/>
        <v/>
      </c>
      <c r="M2029" s="94"/>
      <c r="N2029" s="36"/>
      <c r="O2029" s="95"/>
      <c r="P2029" s="36"/>
      <c r="AI2029" s="122">
        <v>1717</v>
      </c>
      <c r="AJ2029" s="1" t="s">
        <v>1141</v>
      </c>
      <c r="AK2029" s="1" t="s">
        <v>1141</v>
      </c>
      <c r="BX2029" s="36"/>
    </row>
    <row r="2030" spans="2:76" ht="14.25">
      <c r="B2030" s="36"/>
      <c r="C2030" s="36"/>
      <c r="D2030" s="36"/>
      <c r="E2030" s="36"/>
      <c r="F2030" s="36"/>
      <c r="G2030" s="36"/>
      <c r="H2030" s="36"/>
      <c r="J2030" s="36"/>
      <c r="L2030" s="1" t="str">
        <f t="shared" si="123"/>
        <v/>
      </c>
      <c r="M2030" s="94"/>
      <c r="N2030" s="36"/>
      <c r="O2030" s="95"/>
      <c r="P2030" s="36"/>
      <c r="AI2030" s="122">
        <v>1718</v>
      </c>
      <c r="AJ2030" s="1" t="s">
        <v>1141</v>
      </c>
      <c r="AK2030" s="1" t="s">
        <v>1141</v>
      </c>
      <c r="BX2030" s="36"/>
    </row>
    <row r="2031" spans="2:76" ht="14.25">
      <c r="B2031" s="36"/>
      <c r="C2031" s="36"/>
      <c r="D2031" s="36"/>
      <c r="E2031" s="36"/>
      <c r="F2031" s="36"/>
      <c r="G2031" s="36"/>
      <c r="H2031" s="36"/>
      <c r="J2031" s="36"/>
      <c r="L2031" s="1" t="str">
        <f t="shared" si="123"/>
        <v/>
      </c>
      <c r="M2031" s="94"/>
      <c r="N2031" s="36"/>
      <c r="O2031" s="95"/>
      <c r="P2031" s="36"/>
      <c r="AI2031" s="122">
        <v>1719</v>
      </c>
      <c r="AJ2031" s="1" t="s">
        <v>1141</v>
      </c>
      <c r="AK2031" s="1" t="s">
        <v>1141</v>
      </c>
      <c r="BX2031" s="36"/>
    </row>
    <row r="2032" spans="2:76" ht="14.25">
      <c r="B2032" s="36"/>
      <c r="C2032" s="36"/>
      <c r="D2032" s="36"/>
      <c r="E2032" s="36"/>
      <c r="F2032" s="36"/>
      <c r="G2032" s="36"/>
      <c r="H2032" s="36"/>
      <c r="J2032" s="36"/>
      <c r="L2032" s="1" t="str">
        <f t="shared" si="123"/>
        <v/>
      </c>
      <c r="M2032" s="94"/>
      <c r="N2032" s="36"/>
      <c r="O2032" s="95"/>
      <c r="P2032" s="36"/>
      <c r="AI2032" s="122">
        <v>1720</v>
      </c>
      <c r="AJ2032" s="1" t="s">
        <v>1141</v>
      </c>
      <c r="AK2032" s="1" t="s">
        <v>1141</v>
      </c>
      <c r="BX2032" s="36"/>
    </row>
    <row r="2033" spans="2:76" ht="14.25">
      <c r="B2033" s="36"/>
      <c r="C2033" s="36"/>
      <c r="D2033" s="36"/>
      <c r="E2033" s="36"/>
      <c r="F2033" s="36"/>
      <c r="G2033" s="36"/>
      <c r="H2033" s="36"/>
      <c r="J2033" s="36"/>
      <c r="L2033" s="1" t="str">
        <f t="shared" si="123"/>
        <v/>
      </c>
      <c r="M2033" s="94"/>
      <c r="N2033" s="36"/>
      <c r="O2033" s="95"/>
      <c r="P2033" s="36"/>
      <c r="AI2033" s="122">
        <v>1721</v>
      </c>
      <c r="AJ2033" s="1" t="s">
        <v>1141</v>
      </c>
      <c r="AK2033" s="1" t="s">
        <v>1141</v>
      </c>
      <c r="BX2033" s="36"/>
    </row>
    <row r="2034" spans="2:76" ht="14.25">
      <c r="B2034" s="36"/>
      <c r="C2034" s="36"/>
      <c r="D2034" s="36"/>
      <c r="E2034" s="36"/>
      <c r="F2034" s="36"/>
      <c r="G2034" s="36"/>
      <c r="H2034" s="36"/>
      <c r="J2034" s="36"/>
      <c r="L2034" s="1" t="str">
        <f t="shared" si="123"/>
        <v/>
      </c>
      <c r="M2034" s="94"/>
      <c r="N2034" s="36"/>
      <c r="O2034" s="95"/>
      <c r="P2034" s="36"/>
      <c r="AI2034" s="122">
        <v>1722</v>
      </c>
      <c r="AJ2034" s="1" t="s">
        <v>1141</v>
      </c>
      <c r="AK2034" s="1" t="s">
        <v>1141</v>
      </c>
      <c r="BX2034" s="36"/>
    </row>
    <row r="2035" spans="2:76" ht="14.25">
      <c r="B2035" s="36"/>
      <c r="C2035" s="36"/>
      <c r="D2035" s="36"/>
      <c r="E2035" s="36"/>
      <c r="F2035" s="36"/>
      <c r="G2035" s="36"/>
      <c r="H2035" s="36"/>
      <c r="J2035" s="36"/>
      <c r="L2035" s="1" t="str">
        <f t="shared" si="123"/>
        <v/>
      </c>
      <c r="M2035" s="94"/>
      <c r="N2035" s="36"/>
      <c r="O2035" s="95"/>
      <c r="P2035" s="36"/>
      <c r="AI2035" s="122">
        <v>1723</v>
      </c>
      <c r="AJ2035" s="1" t="s">
        <v>1141</v>
      </c>
      <c r="AK2035" s="1" t="s">
        <v>1141</v>
      </c>
      <c r="BX2035" s="36"/>
    </row>
    <row r="2036" spans="2:76" ht="14.25">
      <c r="B2036" s="36"/>
      <c r="C2036" s="36"/>
      <c r="D2036" s="36"/>
      <c r="E2036" s="36"/>
      <c r="F2036" s="36"/>
      <c r="G2036" s="36"/>
      <c r="H2036" s="36"/>
      <c r="J2036" s="36"/>
      <c r="L2036" s="1" t="str">
        <f t="shared" si="123"/>
        <v/>
      </c>
      <c r="M2036" s="94"/>
      <c r="N2036" s="36"/>
      <c r="O2036" s="95"/>
      <c r="P2036" s="36"/>
      <c r="AI2036" s="122">
        <v>1724</v>
      </c>
      <c r="AJ2036" s="1" t="s">
        <v>1141</v>
      </c>
      <c r="AK2036" s="1" t="s">
        <v>1141</v>
      </c>
      <c r="BX2036" s="36"/>
    </row>
    <row r="2037" spans="2:76" ht="14.25">
      <c r="B2037" s="36"/>
      <c r="C2037" s="36"/>
      <c r="D2037" s="36"/>
      <c r="E2037" s="36"/>
      <c r="F2037" s="36"/>
      <c r="G2037" s="36"/>
      <c r="H2037" s="36"/>
      <c r="J2037" s="36"/>
      <c r="L2037" s="1" t="str">
        <f t="shared" si="123"/>
        <v/>
      </c>
      <c r="M2037" s="94"/>
      <c r="N2037" s="36"/>
      <c r="O2037" s="95"/>
      <c r="P2037" s="36"/>
      <c r="AI2037" s="122">
        <v>1725</v>
      </c>
      <c r="AJ2037" s="1" t="s">
        <v>1141</v>
      </c>
      <c r="AK2037" s="1" t="s">
        <v>1141</v>
      </c>
      <c r="BX2037" s="36"/>
    </row>
    <row r="2038" spans="2:76" ht="14.25">
      <c r="B2038" s="36"/>
      <c r="C2038" s="36"/>
      <c r="D2038" s="36"/>
      <c r="E2038" s="36"/>
      <c r="F2038" s="36"/>
      <c r="G2038" s="36"/>
      <c r="H2038" s="36"/>
      <c r="J2038" s="36"/>
      <c r="L2038" s="1" t="str">
        <f t="shared" si="123"/>
        <v/>
      </c>
      <c r="M2038" s="94"/>
      <c r="N2038" s="36"/>
      <c r="O2038" s="95"/>
      <c r="P2038" s="36"/>
      <c r="AI2038" s="122">
        <v>1726</v>
      </c>
      <c r="AJ2038" s="1" t="s">
        <v>1141</v>
      </c>
      <c r="AK2038" s="1" t="s">
        <v>1141</v>
      </c>
    </row>
    <row r="2039" spans="2:76" ht="14.25">
      <c r="B2039" s="36"/>
      <c r="C2039" s="36"/>
      <c r="D2039" s="36"/>
      <c r="E2039" s="36"/>
      <c r="F2039" s="36"/>
      <c r="G2039" s="36"/>
      <c r="H2039" s="36"/>
      <c r="J2039" s="36"/>
      <c r="L2039" s="1" t="str">
        <f t="shared" si="123"/>
        <v/>
      </c>
      <c r="M2039" s="94"/>
      <c r="N2039" s="36"/>
      <c r="O2039" s="95"/>
      <c r="P2039" s="36"/>
      <c r="AI2039" s="122">
        <v>1727</v>
      </c>
      <c r="AJ2039" s="1" t="s">
        <v>1141</v>
      </c>
      <c r="AK2039" s="1" t="s">
        <v>1141</v>
      </c>
    </row>
    <row r="2040" spans="2:76" ht="14.25">
      <c r="B2040" s="36"/>
      <c r="C2040" s="36"/>
      <c r="D2040" s="36"/>
      <c r="E2040" s="36"/>
      <c r="F2040" s="36"/>
      <c r="G2040" s="36"/>
      <c r="H2040" s="36"/>
      <c r="J2040" s="36"/>
      <c r="L2040" s="1" t="str">
        <f t="shared" si="123"/>
        <v/>
      </c>
      <c r="M2040" s="94"/>
      <c r="N2040" s="36"/>
      <c r="O2040" s="95"/>
      <c r="P2040" s="36"/>
      <c r="AI2040" s="122">
        <v>1728</v>
      </c>
      <c r="AJ2040" s="1" t="s">
        <v>1141</v>
      </c>
      <c r="AK2040" s="1" t="s">
        <v>1141</v>
      </c>
    </row>
    <row r="2041" spans="2:76" ht="14.25">
      <c r="B2041" s="36"/>
      <c r="C2041" s="36"/>
      <c r="D2041" s="36"/>
      <c r="E2041" s="36"/>
      <c r="F2041" s="36"/>
      <c r="G2041" s="36"/>
      <c r="H2041" s="36"/>
      <c r="J2041" s="36"/>
      <c r="L2041" s="1" t="str">
        <f t="shared" si="123"/>
        <v/>
      </c>
      <c r="M2041" s="94"/>
      <c r="N2041" s="36"/>
      <c r="O2041" s="95"/>
      <c r="P2041" s="36"/>
      <c r="AI2041" s="122">
        <v>1729</v>
      </c>
      <c r="AJ2041" s="1" t="s">
        <v>1141</v>
      </c>
      <c r="AK2041" s="1" t="s">
        <v>1141</v>
      </c>
    </row>
    <row r="2042" spans="2:76" ht="14.25">
      <c r="B2042" s="36"/>
      <c r="C2042" s="36"/>
      <c r="D2042" s="36"/>
      <c r="E2042" s="36"/>
      <c r="F2042" s="36"/>
      <c r="G2042" s="36"/>
      <c r="H2042" s="36"/>
      <c r="J2042" s="36"/>
      <c r="L2042" s="1" t="str">
        <f t="shared" si="123"/>
        <v/>
      </c>
      <c r="M2042" s="94"/>
      <c r="N2042" s="36"/>
      <c r="O2042" s="95"/>
      <c r="P2042" s="36"/>
      <c r="AI2042" s="122">
        <v>1730</v>
      </c>
      <c r="AJ2042" s="1" t="s">
        <v>1141</v>
      </c>
      <c r="AK2042" s="1" t="s">
        <v>1141</v>
      </c>
    </row>
    <row r="2043" spans="2:76" ht="14.25">
      <c r="B2043" s="36"/>
      <c r="C2043" s="36"/>
      <c r="D2043" s="36"/>
      <c r="E2043" s="36"/>
      <c r="F2043" s="36"/>
      <c r="G2043" s="36"/>
      <c r="H2043" s="36"/>
      <c r="J2043" s="36"/>
      <c r="L2043" s="1" t="str">
        <f t="shared" si="123"/>
        <v/>
      </c>
      <c r="M2043" s="94"/>
      <c r="N2043" s="36"/>
      <c r="O2043" s="95"/>
      <c r="P2043" s="36"/>
      <c r="AI2043" s="122">
        <v>1731</v>
      </c>
      <c r="AJ2043" s="1" t="s">
        <v>1141</v>
      </c>
      <c r="AK2043" s="1" t="s">
        <v>1141</v>
      </c>
    </row>
    <row r="2044" spans="2:76" ht="14.25">
      <c r="B2044" s="36"/>
      <c r="C2044" s="36"/>
      <c r="D2044" s="36"/>
      <c r="E2044" s="36"/>
      <c r="F2044" s="36"/>
      <c r="G2044" s="36"/>
      <c r="H2044" s="36"/>
      <c r="J2044" s="36"/>
      <c r="L2044" s="1" t="str">
        <f t="shared" si="123"/>
        <v/>
      </c>
      <c r="M2044" s="94"/>
      <c r="N2044" s="36"/>
      <c r="O2044" s="95"/>
      <c r="P2044" s="36"/>
      <c r="AI2044" s="122">
        <v>1732</v>
      </c>
      <c r="AJ2044" s="1" t="s">
        <v>1141</v>
      </c>
      <c r="AK2044" s="1" t="s">
        <v>1141</v>
      </c>
    </row>
    <row r="2045" spans="2:76" ht="14.25">
      <c r="B2045" s="36"/>
      <c r="C2045" s="36"/>
      <c r="D2045" s="36"/>
      <c r="E2045" s="36"/>
      <c r="F2045" s="36"/>
      <c r="G2045" s="36"/>
      <c r="H2045" s="36"/>
      <c r="J2045" s="36"/>
      <c r="L2045" s="1" t="str">
        <f t="shared" si="123"/>
        <v/>
      </c>
      <c r="M2045" s="94"/>
      <c r="N2045" s="36"/>
      <c r="O2045" s="95"/>
      <c r="P2045" s="36"/>
      <c r="AI2045" s="122">
        <v>1733</v>
      </c>
      <c r="AJ2045" s="1" t="s">
        <v>1141</v>
      </c>
      <c r="AK2045" s="1" t="s">
        <v>1141</v>
      </c>
    </row>
    <row r="2046" spans="2:76" ht="14.25">
      <c r="B2046" s="36"/>
      <c r="C2046" s="36"/>
      <c r="D2046" s="36"/>
      <c r="E2046" s="36"/>
      <c r="F2046" s="36"/>
      <c r="G2046" s="36"/>
      <c r="H2046" s="36"/>
      <c r="J2046" s="36"/>
      <c r="L2046" s="1" t="str">
        <f t="shared" si="123"/>
        <v/>
      </c>
      <c r="M2046" s="94"/>
      <c r="N2046" s="36"/>
      <c r="O2046" s="95"/>
      <c r="P2046" s="36"/>
      <c r="AI2046" s="122">
        <v>1734</v>
      </c>
      <c r="AJ2046" s="1" t="s">
        <v>1141</v>
      </c>
      <c r="AK2046" s="1" t="s">
        <v>1141</v>
      </c>
    </row>
    <row r="2047" spans="2:76" ht="14.25">
      <c r="B2047" s="36"/>
      <c r="C2047" s="36"/>
      <c r="D2047" s="36"/>
      <c r="E2047" s="36"/>
      <c r="F2047" s="36"/>
      <c r="G2047" s="36"/>
      <c r="H2047" s="36"/>
      <c r="J2047" s="36"/>
      <c r="L2047" s="1" t="str">
        <f t="shared" si="123"/>
        <v/>
      </c>
      <c r="M2047" s="94"/>
      <c r="N2047" s="36"/>
      <c r="O2047" s="95"/>
      <c r="P2047" s="36"/>
      <c r="AI2047" s="122">
        <v>1735</v>
      </c>
      <c r="AJ2047" s="1" t="s">
        <v>1141</v>
      </c>
      <c r="AK2047" s="1" t="s">
        <v>1141</v>
      </c>
    </row>
    <row r="2048" spans="2:76" ht="14.25">
      <c r="B2048" s="36"/>
      <c r="C2048" s="36"/>
      <c r="D2048" s="36"/>
      <c r="E2048" s="36"/>
      <c r="F2048" s="36"/>
      <c r="G2048" s="36"/>
      <c r="H2048" s="36"/>
      <c r="J2048" s="36"/>
      <c r="L2048" s="1" t="str">
        <f t="shared" si="123"/>
        <v/>
      </c>
      <c r="M2048" s="94"/>
      <c r="N2048" s="36"/>
      <c r="O2048" s="95"/>
      <c r="P2048" s="36"/>
      <c r="AI2048" s="122">
        <v>1736</v>
      </c>
      <c r="AJ2048" s="1" t="s">
        <v>1141</v>
      </c>
      <c r="AK2048" s="1" t="s">
        <v>1141</v>
      </c>
    </row>
    <row r="2049" spans="2:37" ht="14.25">
      <c r="B2049" s="36"/>
      <c r="C2049" s="36"/>
      <c r="D2049" s="36"/>
      <c r="E2049" s="36"/>
      <c r="F2049" s="36"/>
      <c r="G2049" s="36"/>
      <c r="H2049" s="36"/>
      <c r="J2049" s="36"/>
      <c r="L2049" s="1" t="str">
        <f t="shared" si="123"/>
        <v/>
      </c>
      <c r="M2049" s="94"/>
      <c r="N2049" s="36"/>
      <c r="O2049" s="95"/>
      <c r="P2049" s="36"/>
      <c r="AI2049" s="122">
        <v>1737</v>
      </c>
      <c r="AJ2049" s="1" t="s">
        <v>1141</v>
      </c>
      <c r="AK2049" s="1" t="s">
        <v>1141</v>
      </c>
    </row>
    <row r="2050" spans="2:37" ht="14.25">
      <c r="B2050" s="36"/>
      <c r="C2050" s="36"/>
      <c r="D2050" s="36"/>
      <c r="E2050" s="36"/>
      <c r="F2050" s="36"/>
      <c r="G2050" s="36"/>
      <c r="H2050" s="36"/>
      <c r="J2050" s="36"/>
      <c r="L2050" s="1" t="str">
        <f t="shared" si="123"/>
        <v/>
      </c>
      <c r="M2050" s="94"/>
      <c r="N2050" s="36"/>
      <c r="O2050" s="95"/>
      <c r="P2050" s="36"/>
      <c r="AI2050" s="122">
        <v>1738</v>
      </c>
      <c r="AJ2050" s="1" t="s">
        <v>1141</v>
      </c>
      <c r="AK2050" s="1" t="s">
        <v>1141</v>
      </c>
    </row>
    <row r="2051" spans="2:37" ht="14.25">
      <c r="B2051" s="36"/>
      <c r="C2051" s="36"/>
      <c r="D2051" s="36"/>
      <c r="E2051" s="36"/>
      <c r="F2051" s="36"/>
      <c r="G2051" s="36"/>
      <c r="H2051" s="36"/>
      <c r="J2051" s="36"/>
      <c r="L2051" s="1" t="str">
        <f t="shared" si="123"/>
        <v/>
      </c>
      <c r="M2051" s="94"/>
      <c r="N2051" s="36"/>
      <c r="O2051" s="95"/>
      <c r="P2051" s="36"/>
      <c r="AI2051" s="122">
        <v>1739</v>
      </c>
      <c r="AJ2051" s="1" t="s">
        <v>1141</v>
      </c>
      <c r="AK2051" s="1" t="s">
        <v>1141</v>
      </c>
    </row>
    <row r="2052" spans="2:37" ht="14.25">
      <c r="B2052" s="36"/>
      <c r="C2052" s="36"/>
      <c r="D2052" s="36"/>
      <c r="E2052" s="36"/>
      <c r="F2052" s="36"/>
      <c r="G2052" s="36"/>
      <c r="H2052" s="36"/>
      <c r="J2052" s="36"/>
      <c r="L2052" s="1" t="str">
        <f t="shared" ref="L2052:L2115" si="124">IF(AND(MIN(I:I)&lt;20,MAX(I:I)&gt;980,I2052&lt;20),I2052,"")</f>
        <v/>
      </c>
      <c r="M2052" s="94"/>
      <c r="N2052" s="36"/>
      <c r="O2052" s="95"/>
      <c r="P2052" s="36"/>
      <c r="AI2052" s="122">
        <v>1740</v>
      </c>
      <c r="AJ2052" s="1" t="s">
        <v>1141</v>
      </c>
      <c r="AK2052" s="1" t="s">
        <v>1141</v>
      </c>
    </row>
    <row r="2053" spans="2:37" ht="14.25">
      <c r="B2053" s="36"/>
      <c r="C2053" s="36"/>
      <c r="D2053" s="36"/>
      <c r="E2053" s="36"/>
      <c r="F2053" s="36"/>
      <c r="G2053" s="36"/>
      <c r="H2053" s="36"/>
      <c r="J2053" s="36"/>
      <c r="L2053" s="1" t="str">
        <f t="shared" si="124"/>
        <v/>
      </c>
      <c r="M2053" s="94"/>
      <c r="N2053" s="36"/>
      <c r="O2053" s="95"/>
      <c r="P2053" s="36"/>
      <c r="AI2053" s="122">
        <v>1741</v>
      </c>
      <c r="AJ2053" s="1" t="s">
        <v>1141</v>
      </c>
      <c r="AK2053" s="1" t="s">
        <v>1141</v>
      </c>
    </row>
    <row r="2054" spans="2:37" ht="14.25">
      <c r="B2054" s="36"/>
      <c r="C2054" s="36"/>
      <c r="D2054" s="36"/>
      <c r="E2054" s="36"/>
      <c r="F2054" s="36"/>
      <c r="G2054" s="36"/>
      <c r="H2054" s="36"/>
      <c r="J2054" s="36"/>
      <c r="L2054" s="1" t="str">
        <f t="shared" si="124"/>
        <v/>
      </c>
      <c r="M2054" s="94"/>
      <c r="N2054" s="36"/>
      <c r="O2054" s="95"/>
      <c r="P2054" s="36"/>
      <c r="AI2054" s="122">
        <v>1742</v>
      </c>
      <c r="AJ2054" s="1" t="s">
        <v>1141</v>
      </c>
      <c r="AK2054" s="1" t="s">
        <v>1141</v>
      </c>
    </row>
    <row r="2055" spans="2:37" ht="14.25">
      <c r="B2055" s="36"/>
      <c r="C2055" s="36"/>
      <c r="D2055" s="36"/>
      <c r="E2055" s="36"/>
      <c r="F2055" s="36"/>
      <c r="G2055" s="36"/>
      <c r="H2055" s="36"/>
      <c r="J2055" s="36"/>
      <c r="L2055" s="1" t="str">
        <f t="shared" si="124"/>
        <v/>
      </c>
      <c r="M2055" s="94"/>
      <c r="N2055" s="36"/>
      <c r="O2055" s="95"/>
      <c r="P2055" s="36"/>
      <c r="AI2055" s="122">
        <v>1743</v>
      </c>
      <c r="AJ2055" s="1" t="s">
        <v>1141</v>
      </c>
      <c r="AK2055" s="1" t="s">
        <v>1141</v>
      </c>
    </row>
    <row r="2056" spans="2:37" ht="14.25">
      <c r="B2056" s="36"/>
      <c r="C2056" s="36"/>
      <c r="D2056" s="36"/>
      <c r="E2056" s="36"/>
      <c r="F2056" s="36"/>
      <c r="G2056" s="36"/>
      <c r="H2056" s="36"/>
      <c r="J2056" s="36"/>
      <c r="L2056" s="1" t="str">
        <f t="shared" si="124"/>
        <v/>
      </c>
      <c r="M2056" s="94"/>
      <c r="N2056" s="36"/>
      <c r="O2056" s="95"/>
      <c r="P2056" s="36"/>
      <c r="AI2056" s="122">
        <v>1744</v>
      </c>
      <c r="AJ2056" s="1" t="s">
        <v>1141</v>
      </c>
      <c r="AK2056" s="1" t="s">
        <v>1141</v>
      </c>
    </row>
    <row r="2057" spans="2:37" ht="14.25">
      <c r="B2057" s="36"/>
      <c r="C2057" s="36"/>
      <c r="D2057" s="36"/>
      <c r="E2057" s="36"/>
      <c r="F2057" s="36"/>
      <c r="G2057" s="36"/>
      <c r="H2057" s="36"/>
      <c r="J2057" s="36"/>
      <c r="L2057" s="1" t="str">
        <f t="shared" si="124"/>
        <v/>
      </c>
      <c r="M2057" s="94"/>
      <c r="N2057" s="36"/>
      <c r="O2057" s="95"/>
      <c r="P2057" s="36"/>
      <c r="AI2057" s="122">
        <v>1745</v>
      </c>
      <c r="AJ2057" s="1" t="s">
        <v>1141</v>
      </c>
      <c r="AK2057" s="1" t="s">
        <v>1141</v>
      </c>
    </row>
    <row r="2058" spans="2:37" ht="14.25">
      <c r="B2058" s="36"/>
      <c r="C2058" s="36"/>
      <c r="D2058" s="36"/>
      <c r="E2058" s="36"/>
      <c r="F2058" s="36"/>
      <c r="G2058" s="36"/>
      <c r="H2058" s="36"/>
      <c r="J2058" s="36"/>
      <c r="L2058" s="1" t="str">
        <f t="shared" si="124"/>
        <v/>
      </c>
      <c r="M2058" s="94"/>
      <c r="N2058" s="36"/>
      <c r="O2058" s="95"/>
      <c r="P2058" s="36"/>
      <c r="AI2058" s="122">
        <v>1746</v>
      </c>
      <c r="AJ2058" s="1" t="s">
        <v>1141</v>
      </c>
      <c r="AK2058" s="1" t="s">
        <v>1141</v>
      </c>
    </row>
    <row r="2059" spans="2:37" ht="14.25">
      <c r="B2059" s="36"/>
      <c r="C2059" s="36"/>
      <c r="D2059" s="36"/>
      <c r="E2059" s="36"/>
      <c r="F2059" s="36"/>
      <c r="G2059" s="36"/>
      <c r="H2059" s="36"/>
      <c r="J2059" s="36"/>
      <c r="L2059" s="1" t="str">
        <f t="shared" si="124"/>
        <v/>
      </c>
      <c r="M2059" s="94"/>
      <c r="N2059" s="36"/>
      <c r="O2059" s="95"/>
      <c r="P2059" s="36"/>
      <c r="AI2059" s="122">
        <v>1747</v>
      </c>
      <c r="AJ2059" s="1" t="s">
        <v>1141</v>
      </c>
      <c r="AK2059" s="1" t="s">
        <v>1141</v>
      </c>
    </row>
    <row r="2060" spans="2:37" ht="14.25">
      <c r="B2060" s="36"/>
      <c r="C2060" s="36"/>
      <c r="D2060" s="36"/>
      <c r="E2060" s="36"/>
      <c r="F2060" s="36"/>
      <c r="G2060" s="36"/>
      <c r="H2060" s="36"/>
      <c r="J2060" s="36"/>
      <c r="L2060" s="1" t="str">
        <f t="shared" si="124"/>
        <v/>
      </c>
      <c r="M2060" s="94"/>
      <c r="N2060" s="36"/>
      <c r="O2060" s="95"/>
      <c r="P2060" s="36"/>
      <c r="AI2060" s="122">
        <v>1748</v>
      </c>
      <c r="AJ2060" s="1" t="s">
        <v>1141</v>
      </c>
      <c r="AK2060" s="1" t="s">
        <v>1141</v>
      </c>
    </row>
    <row r="2061" spans="2:37" ht="14.25">
      <c r="B2061" s="36"/>
      <c r="C2061" s="36"/>
      <c r="D2061" s="36"/>
      <c r="E2061" s="36"/>
      <c r="F2061" s="36"/>
      <c r="G2061" s="36"/>
      <c r="H2061" s="36"/>
      <c r="J2061" s="36"/>
      <c r="L2061" s="1" t="str">
        <f t="shared" si="124"/>
        <v/>
      </c>
      <c r="M2061" s="94"/>
      <c r="N2061" s="36"/>
      <c r="O2061" s="95"/>
      <c r="P2061" s="36"/>
      <c r="AI2061" s="122">
        <v>1749</v>
      </c>
      <c r="AJ2061" s="1" t="s">
        <v>1141</v>
      </c>
      <c r="AK2061" s="1" t="s">
        <v>1141</v>
      </c>
    </row>
    <row r="2062" spans="2:37" ht="14.25">
      <c r="B2062" s="36"/>
      <c r="C2062" s="36"/>
      <c r="D2062" s="36"/>
      <c r="E2062" s="36"/>
      <c r="F2062" s="36"/>
      <c r="G2062" s="36"/>
      <c r="H2062" s="36"/>
      <c r="J2062" s="36"/>
      <c r="L2062" s="1" t="str">
        <f t="shared" si="124"/>
        <v/>
      </c>
      <c r="M2062" s="94"/>
      <c r="N2062" s="36"/>
      <c r="O2062" s="95"/>
      <c r="P2062" s="36"/>
      <c r="AI2062" s="122">
        <v>1750</v>
      </c>
      <c r="AJ2062" s="1" t="s">
        <v>1141</v>
      </c>
      <c r="AK2062" s="1" t="s">
        <v>1141</v>
      </c>
    </row>
    <row r="2063" spans="2:37" ht="14.25">
      <c r="B2063" s="36"/>
      <c r="C2063" s="36"/>
      <c r="D2063" s="36"/>
      <c r="E2063" s="36"/>
      <c r="F2063" s="36"/>
      <c r="G2063" s="36"/>
      <c r="H2063" s="36"/>
      <c r="J2063" s="36"/>
      <c r="L2063" s="1" t="str">
        <f t="shared" si="124"/>
        <v/>
      </c>
      <c r="M2063" s="94"/>
      <c r="N2063" s="36"/>
      <c r="O2063" s="95"/>
      <c r="P2063" s="36"/>
      <c r="AI2063" s="122">
        <v>1751</v>
      </c>
      <c r="AJ2063" s="1" t="s">
        <v>1141</v>
      </c>
      <c r="AK2063" s="1" t="s">
        <v>1141</v>
      </c>
    </row>
    <row r="2064" spans="2:37" ht="14.25">
      <c r="B2064" s="36"/>
      <c r="C2064" s="36"/>
      <c r="D2064" s="36"/>
      <c r="E2064" s="36"/>
      <c r="F2064" s="36"/>
      <c r="G2064" s="36"/>
      <c r="H2064" s="36"/>
      <c r="J2064" s="36"/>
      <c r="L2064" s="1" t="str">
        <f t="shared" si="124"/>
        <v/>
      </c>
      <c r="M2064" s="94"/>
      <c r="N2064" s="36"/>
      <c r="O2064" s="95"/>
      <c r="P2064" s="36"/>
      <c r="AI2064" s="122">
        <v>1752</v>
      </c>
      <c r="AJ2064" s="1" t="s">
        <v>1141</v>
      </c>
      <c r="AK2064" s="1" t="s">
        <v>1141</v>
      </c>
    </row>
    <row r="2065" spans="2:37" ht="14.25">
      <c r="B2065" s="36"/>
      <c r="C2065" s="36"/>
      <c r="D2065" s="36"/>
      <c r="E2065" s="36"/>
      <c r="F2065" s="36"/>
      <c r="G2065" s="36"/>
      <c r="H2065" s="36"/>
      <c r="J2065" s="36"/>
      <c r="L2065" s="1" t="str">
        <f t="shared" si="124"/>
        <v/>
      </c>
      <c r="M2065" s="94"/>
      <c r="N2065" s="36"/>
      <c r="O2065" s="95"/>
      <c r="P2065" s="36"/>
      <c r="AI2065" s="122">
        <v>1753</v>
      </c>
      <c r="AJ2065" s="1" t="s">
        <v>1141</v>
      </c>
      <c r="AK2065" s="1" t="s">
        <v>1141</v>
      </c>
    </row>
    <row r="2066" spans="2:37" ht="14.25">
      <c r="B2066" s="36"/>
      <c r="C2066" s="36"/>
      <c r="D2066" s="36"/>
      <c r="E2066" s="36"/>
      <c r="F2066" s="36"/>
      <c r="G2066" s="36"/>
      <c r="H2066" s="36"/>
      <c r="J2066" s="36"/>
      <c r="L2066" s="1" t="str">
        <f t="shared" si="124"/>
        <v/>
      </c>
      <c r="M2066" s="94"/>
      <c r="N2066" s="36"/>
      <c r="O2066" s="95"/>
      <c r="P2066" s="36"/>
      <c r="AI2066" s="122">
        <v>1754</v>
      </c>
      <c r="AJ2066" s="1" t="s">
        <v>1141</v>
      </c>
      <c r="AK2066" s="1" t="s">
        <v>1141</v>
      </c>
    </row>
    <row r="2067" spans="2:37" ht="14.25">
      <c r="B2067" s="36"/>
      <c r="C2067" s="36"/>
      <c r="D2067" s="36"/>
      <c r="E2067" s="36"/>
      <c r="F2067" s="36"/>
      <c r="G2067" s="36"/>
      <c r="H2067" s="36"/>
      <c r="J2067" s="36"/>
      <c r="L2067" s="1" t="str">
        <f t="shared" si="124"/>
        <v/>
      </c>
      <c r="M2067" s="94"/>
      <c r="N2067" s="36"/>
      <c r="O2067" s="95"/>
      <c r="P2067" s="36"/>
      <c r="AI2067" s="122">
        <v>1755</v>
      </c>
      <c r="AJ2067" s="1" t="s">
        <v>1141</v>
      </c>
      <c r="AK2067" s="1" t="s">
        <v>1141</v>
      </c>
    </row>
    <row r="2068" spans="2:37" ht="14.25">
      <c r="B2068" s="36"/>
      <c r="C2068" s="36"/>
      <c r="D2068" s="36"/>
      <c r="E2068" s="36"/>
      <c r="F2068" s="36"/>
      <c r="G2068" s="36"/>
      <c r="H2068" s="36"/>
      <c r="J2068" s="36"/>
      <c r="L2068" s="1" t="str">
        <f t="shared" si="124"/>
        <v/>
      </c>
      <c r="M2068" s="94"/>
      <c r="N2068" s="36"/>
      <c r="O2068" s="95"/>
      <c r="P2068" s="36"/>
      <c r="AI2068" s="122">
        <v>1756</v>
      </c>
      <c r="AJ2068" s="1" t="s">
        <v>1141</v>
      </c>
      <c r="AK2068" s="1" t="s">
        <v>1141</v>
      </c>
    </row>
    <row r="2069" spans="2:37" ht="14.25">
      <c r="B2069" s="36"/>
      <c r="C2069" s="36"/>
      <c r="D2069" s="36"/>
      <c r="E2069" s="36"/>
      <c r="F2069" s="36"/>
      <c r="G2069" s="36"/>
      <c r="H2069" s="36"/>
      <c r="J2069" s="36"/>
      <c r="L2069" s="1" t="str">
        <f t="shared" si="124"/>
        <v/>
      </c>
      <c r="M2069" s="94"/>
      <c r="N2069" s="36"/>
      <c r="O2069" s="95"/>
      <c r="P2069" s="36"/>
      <c r="AI2069" s="122">
        <v>1757</v>
      </c>
      <c r="AJ2069" s="1" t="s">
        <v>1141</v>
      </c>
      <c r="AK2069" s="1" t="s">
        <v>1141</v>
      </c>
    </row>
    <row r="2070" spans="2:37" ht="14.25">
      <c r="B2070" s="36"/>
      <c r="C2070" s="36"/>
      <c r="D2070" s="36"/>
      <c r="E2070" s="36"/>
      <c r="F2070" s="36"/>
      <c r="G2070" s="36"/>
      <c r="H2070" s="36"/>
      <c r="J2070" s="36"/>
      <c r="L2070" s="1" t="str">
        <f t="shared" si="124"/>
        <v/>
      </c>
      <c r="M2070" s="94"/>
      <c r="N2070" s="36"/>
      <c r="O2070" s="95"/>
      <c r="P2070" s="36"/>
      <c r="AI2070" s="122">
        <v>1758</v>
      </c>
      <c r="AJ2070" s="1" t="s">
        <v>1141</v>
      </c>
      <c r="AK2070" s="1" t="s">
        <v>1141</v>
      </c>
    </row>
    <row r="2071" spans="2:37" ht="14.25">
      <c r="B2071" s="36"/>
      <c r="C2071" s="36"/>
      <c r="D2071" s="36"/>
      <c r="E2071" s="36"/>
      <c r="F2071" s="36"/>
      <c r="G2071" s="36"/>
      <c r="H2071" s="36"/>
      <c r="J2071" s="36"/>
      <c r="L2071" s="1" t="str">
        <f t="shared" si="124"/>
        <v/>
      </c>
      <c r="M2071" s="94"/>
      <c r="N2071" s="36"/>
      <c r="O2071" s="95"/>
      <c r="P2071" s="36"/>
      <c r="AI2071" s="122">
        <v>1759</v>
      </c>
      <c r="AJ2071" s="1" t="s">
        <v>1141</v>
      </c>
      <c r="AK2071" s="1" t="s">
        <v>1141</v>
      </c>
    </row>
    <row r="2072" spans="2:37" ht="14.25">
      <c r="B2072" s="36"/>
      <c r="C2072" s="36"/>
      <c r="D2072" s="36"/>
      <c r="E2072" s="36"/>
      <c r="F2072" s="36"/>
      <c r="G2072" s="36"/>
      <c r="H2072" s="36"/>
      <c r="J2072" s="36"/>
      <c r="L2072" s="1" t="str">
        <f t="shared" si="124"/>
        <v/>
      </c>
      <c r="M2072" s="94"/>
      <c r="N2072" s="36"/>
      <c r="O2072" s="95"/>
      <c r="P2072" s="36"/>
      <c r="AI2072" s="122">
        <v>1760</v>
      </c>
      <c r="AJ2072" s="1" t="s">
        <v>1141</v>
      </c>
      <c r="AK2072" s="1" t="s">
        <v>1141</v>
      </c>
    </row>
    <row r="2073" spans="2:37" ht="14.25">
      <c r="B2073" s="36"/>
      <c r="C2073" s="36"/>
      <c r="D2073" s="36"/>
      <c r="E2073" s="36"/>
      <c r="F2073" s="36"/>
      <c r="G2073" s="36"/>
      <c r="H2073" s="36"/>
      <c r="J2073" s="36"/>
      <c r="L2073" s="1" t="str">
        <f t="shared" si="124"/>
        <v/>
      </c>
      <c r="M2073" s="94"/>
      <c r="N2073" s="36"/>
      <c r="O2073" s="95"/>
      <c r="P2073" s="36"/>
      <c r="AI2073" s="122">
        <v>1761</v>
      </c>
      <c r="AJ2073" s="1" t="s">
        <v>1141</v>
      </c>
      <c r="AK2073" s="1" t="s">
        <v>1141</v>
      </c>
    </row>
    <row r="2074" spans="2:37" ht="14.25">
      <c r="B2074" s="36"/>
      <c r="C2074" s="36"/>
      <c r="D2074" s="36"/>
      <c r="E2074" s="36"/>
      <c r="F2074" s="36"/>
      <c r="G2074" s="36"/>
      <c r="H2074" s="36"/>
      <c r="J2074" s="36"/>
      <c r="L2074" s="1" t="str">
        <f t="shared" si="124"/>
        <v/>
      </c>
      <c r="M2074" s="94"/>
      <c r="N2074" s="36"/>
      <c r="O2074" s="95"/>
      <c r="P2074" s="36"/>
      <c r="AI2074" s="122">
        <v>1762</v>
      </c>
      <c r="AJ2074" s="1" t="s">
        <v>1141</v>
      </c>
      <c r="AK2074" s="1" t="s">
        <v>1141</v>
      </c>
    </row>
    <row r="2075" spans="2:37" ht="14.25">
      <c r="B2075" s="36"/>
      <c r="C2075" s="36"/>
      <c r="D2075" s="36"/>
      <c r="E2075" s="36"/>
      <c r="F2075" s="36"/>
      <c r="G2075" s="36"/>
      <c r="H2075" s="36"/>
      <c r="J2075" s="36"/>
      <c r="L2075" s="1" t="str">
        <f t="shared" si="124"/>
        <v/>
      </c>
      <c r="M2075" s="94"/>
      <c r="N2075" s="36"/>
      <c r="O2075" s="95"/>
      <c r="P2075" s="36"/>
      <c r="AI2075" s="122">
        <v>1763</v>
      </c>
      <c r="AJ2075" s="1" t="s">
        <v>1141</v>
      </c>
      <c r="AK2075" s="1" t="s">
        <v>1141</v>
      </c>
    </row>
    <row r="2076" spans="2:37" ht="14.25">
      <c r="B2076" s="36"/>
      <c r="C2076" s="36"/>
      <c r="D2076" s="36"/>
      <c r="E2076" s="36"/>
      <c r="F2076" s="36"/>
      <c r="G2076" s="36"/>
      <c r="H2076" s="36"/>
      <c r="J2076" s="36"/>
      <c r="L2076" s="1" t="str">
        <f t="shared" si="124"/>
        <v/>
      </c>
      <c r="M2076" s="94"/>
      <c r="N2076" s="36"/>
      <c r="O2076" s="95"/>
      <c r="P2076" s="36"/>
      <c r="AI2076" s="122">
        <v>1764</v>
      </c>
      <c r="AJ2076" s="1" t="s">
        <v>1141</v>
      </c>
      <c r="AK2076" s="1" t="s">
        <v>1141</v>
      </c>
    </row>
    <row r="2077" spans="2:37" ht="14.25">
      <c r="B2077" s="36"/>
      <c r="C2077" s="36"/>
      <c r="D2077" s="36"/>
      <c r="E2077" s="36"/>
      <c r="F2077" s="36"/>
      <c r="G2077" s="36"/>
      <c r="H2077" s="36"/>
      <c r="J2077" s="36"/>
      <c r="L2077" s="1" t="str">
        <f t="shared" si="124"/>
        <v/>
      </c>
      <c r="M2077" s="94"/>
      <c r="N2077" s="36"/>
      <c r="O2077" s="95"/>
      <c r="P2077" s="36"/>
      <c r="AI2077" s="122">
        <v>1765</v>
      </c>
      <c r="AJ2077" s="1" t="s">
        <v>1141</v>
      </c>
      <c r="AK2077" s="1" t="s">
        <v>1141</v>
      </c>
    </row>
    <row r="2078" spans="2:37" ht="14.25">
      <c r="B2078" s="36"/>
      <c r="C2078" s="36"/>
      <c r="D2078" s="36"/>
      <c r="E2078" s="36"/>
      <c r="F2078" s="36"/>
      <c r="G2078" s="36"/>
      <c r="H2078" s="36"/>
      <c r="J2078" s="36"/>
      <c r="L2078" s="1" t="str">
        <f t="shared" si="124"/>
        <v/>
      </c>
      <c r="M2078" s="94"/>
      <c r="N2078" s="36"/>
      <c r="O2078" s="95"/>
      <c r="P2078" s="36"/>
      <c r="AI2078" s="122">
        <v>1766</v>
      </c>
      <c r="AJ2078" s="1" t="s">
        <v>1141</v>
      </c>
      <c r="AK2078" s="1" t="s">
        <v>1141</v>
      </c>
    </row>
    <row r="2079" spans="2:37" ht="14.25">
      <c r="B2079" s="36"/>
      <c r="C2079" s="36"/>
      <c r="D2079" s="36"/>
      <c r="E2079" s="36"/>
      <c r="F2079" s="36"/>
      <c r="G2079" s="36"/>
      <c r="H2079" s="36"/>
      <c r="J2079" s="36"/>
      <c r="L2079" s="1" t="str">
        <f t="shared" si="124"/>
        <v/>
      </c>
      <c r="M2079" s="94"/>
      <c r="N2079" s="36"/>
      <c r="O2079" s="95"/>
      <c r="P2079" s="36"/>
      <c r="AI2079" s="122">
        <v>1767</v>
      </c>
      <c r="AJ2079" s="1" t="s">
        <v>1141</v>
      </c>
      <c r="AK2079" s="1" t="s">
        <v>1141</v>
      </c>
    </row>
    <row r="2080" spans="2:37" ht="14.25">
      <c r="B2080" s="36"/>
      <c r="C2080" s="36"/>
      <c r="D2080" s="36"/>
      <c r="E2080" s="36"/>
      <c r="F2080" s="36"/>
      <c r="G2080" s="36"/>
      <c r="H2080" s="36"/>
      <c r="J2080" s="36"/>
      <c r="L2080" s="1" t="str">
        <f t="shared" si="124"/>
        <v/>
      </c>
      <c r="M2080" s="94"/>
      <c r="N2080" s="36"/>
      <c r="O2080" s="95"/>
      <c r="P2080" s="36"/>
      <c r="AI2080" s="122">
        <v>1768</v>
      </c>
      <c r="AJ2080" s="1" t="s">
        <v>1141</v>
      </c>
      <c r="AK2080" s="1" t="s">
        <v>1141</v>
      </c>
    </row>
    <row r="2081" spans="2:37" ht="14.25">
      <c r="B2081" s="36"/>
      <c r="C2081" s="36"/>
      <c r="D2081" s="36"/>
      <c r="E2081" s="36"/>
      <c r="F2081" s="36"/>
      <c r="G2081" s="36"/>
      <c r="H2081" s="36"/>
      <c r="J2081" s="36"/>
      <c r="L2081" s="1" t="str">
        <f t="shared" si="124"/>
        <v/>
      </c>
      <c r="M2081" s="94"/>
      <c r="N2081" s="36"/>
      <c r="O2081" s="95"/>
      <c r="P2081" s="36"/>
      <c r="AI2081" s="122">
        <v>1769</v>
      </c>
      <c r="AJ2081" s="1" t="s">
        <v>1141</v>
      </c>
      <c r="AK2081" s="1" t="s">
        <v>1141</v>
      </c>
    </row>
    <row r="2082" spans="2:37" ht="14.25">
      <c r="B2082" s="36"/>
      <c r="C2082" s="36"/>
      <c r="D2082" s="36"/>
      <c r="E2082" s="36"/>
      <c r="F2082" s="36"/>
      <c r="G2082" s="36"/>
      <c r="H2082" s="36"/>
      <c r="J2082" s="36"/>
      <c r="L2082" s="1" t="str">
        <f t="shared" si="124"/>
        <v/>
      </c>
      <c r="M2082" s="94"/>
      <c r="N2082" s="36"/>
      <c r="O2082" s="95"/>
      <c r="P2082" s="36"/>
      <c r="AI2082" s="122">
        <v>1770</v>
      </c>
      <c r="AJ2082" s="1" t="s">
        <v>1141</v>
      </c>
      <c r="AK2082" s="1" t="s">
        <v>1141</v>
      </c>
    </row>
    <row r="2083" spans="2:37" ht="14.25">
      <c r="B2083" s="36"/>
      <c r="C2083" s="36"/>
      <c r="D2083" s="36"/>
      <c r="E2083" s="36"/>
      <c r="F2083" s="36"/>
      <c r="G2083" s="36"/>
      <c r="H2083" s="36"/>
      <c r="J2083" s="36"/>
      <c r="L2083" s="1" t="str">
        <f t="shared" si="124"/>
        <v/>
      </c>
      <c r="M2083" s="94"/>
      <c r="N2083" s="36"/>
      <c r="O2083" s="95"/>
      <c r="P2083" s="36"/>
      <c r="AI2083" s="122">
        <v>1771</v>
      </c>
      <c r="AJ2083" s="1" t="s">
        <v>1141</v>
      </c>
      <c r="AK2083" s="1" t="s">
        <v>1141</v>
      </c>
    </row>
    <row r="2084" spans="2:37" ht="14.25">
      <c r="B2084" s="36"/>
      <c r="C2084" s="36"/>
      <c r="D2084" s="36"/>
      <c r="E2084" s="36"/>
      <c r="F2084" s="36"/>
      <c r="G2084" s="36"/>
      <c r="H2084" s="36"/>
      <c r="J2084" s="36"/>
      <c r="L2084" s="1" t="str">
        <f t="shared" si="124"/>
        <v/>
      </c>
      <c r="M2084" s="94"/>
      <c r="N2084" s="36"/>
      <c r="O2084" s="95"/>
      <c r="P2084" s="36"/>
      <c r="AI2084" s="122">
        <v>1772</v>
      </c>
      <c r="AJ2084" s="1" t="s">
        <v>1141</v>
      </c>
      <c r="AK2084" s="1" t="s">
        <v>1141</v>
      </c>
    </row>
    <row r="2085" spans="2:37" ht="14.25">
      <c r="B2085" s="36"/>
      <c r="C2085" s="36"/>
      <c r="D2085" s="36"/>
      <c r="E2085" s="36"/>
      <c r="F2085" s="36"/>
      <c r="G2085" s="36"/>
      <c r="H2085" s="36"/>
      <c r="J2085" s="36"/>
      <c r="L2085" s="1" t="str">
        <f t="shared" si="124"/>
        <v/>
      </c>
      <c r="M2085" s="94"/>
      <c r="N2085" s="36"/>
      <c r="O2085" s="95"/>
      <c r="P2085" s="36"/>
      <c r="AI2085" s="122">
        <v>1773</v>
      </c>
      <c r="AJ2085" s="1" t="s">
        <v>1141</v>
      </c>
      <c r="AK2085" s="1" t="s">
        <v>1141</v>
      </c>
    </row>
    <row r="2086" spans="2:37" ht="14.25">
      <c r="B2086" s="36"/>
      <c r="C2086" s="36"/>
      <c r="D2086" s="36"/>
      <c r="E2086" s="36"/>
      <c r="F2086" s="36"/>
      <c r="G2086" s="36"/>
      <c r="H2086" s="36"/>
      <c r="J2086" s="36"/>
      <c r="L2086" s="1" t="str">
        <f t="shared" si="124"/>
        <v/>
      </c>
      <c r="M2086" s="94"/>
      <c r="N2086" s="36"/>
      <c r="O2086" s="95"/>
      <c r="P2086" s="36"/>
      <c r="AI2086" s="122">
        <v>1774</v>
      </c>
      <c r="AJ2086" s="1" t="s">
        <v>1141</v>
      </c>
      <c r="AK2086" s="1" t="s">
        <v>1141</v>
      </c>
    </row>
    <row r="2087" spans="2:37" ht="14.25">
      <c r="B2087" s="36"/>
      <c r="C2087" s="36"/>
      <c r="D2087" s="36"/>
      <c r="E2087" s="36"/>
      <c r="F2087" s="36"/>
      <c r="G2087" s="36"/>
      <c r="H2087" s="36"/>
      <c r="J2087" s="36"/>
      <c r="L2087" s="1" t="str">
        <f t="shared" si="124"/>
        <v/>
      </c>
      <c r="M2087" s="94"/>
      <c r="N2087" s="36"/>
      <c r="O2087" s="95"/>
      <c r="P2087" s="36"/>
      <c r="AI2087" s="122">
        <v>1775</v>
      </c>
      <c r="AJ2087" s="1" t="s">
        <v>1141</v>
      </c>
      <c r="AK2087" s="1" t="s">
        <v>1141</v>
      </c>
    </row>
    <row r="2088" spans="2:37" ht="14.25">
      <c r="B2088" s="36"/>
      <c r="C2088" s="36"/>
      <c r="D2088" s="36"/>
      <c r="E2088" s="36"/>
      <c r="F2088" s="36"/>
      <c r="G2088" s="36"/>
      <c r="H2088" s="36"/>
      <c r="J2088" s="36"/>
      <c r="L2088" s="1" t="str">
        <f t="shared" si="124"/>
        <v/>
      </c>
      <c r="M2088" s="94"/>
      <c r="N2088" s="36"/>
      <c r="O2088" s="95"/>
      <c r="P2088" s="36"/>
      <c r="AI2088" s="122">
        <v>1776</v>
      </c>
      <c r="AJ2088" s="1" t="s">
        <v>1141</v>
      </c>
      <c r="AK2088" s="1" t="s">
        <v>1141</v>
      </c>
    </row>
    <row r="2089" spans="2:37" ht="14.25">
      <c r="B2089" s="36"/>
      <c r="C2089" s="36"/>
      <c r="D2089" s="36"/>
      <c r="E2089" s="36"/>
      <c r="F2089" s="36"/>
      <c r="G2089" s="36"/>
      <c r="H2089" s="36"/>
      <c r="J2089" s="36"/>
      <c r="L2089" s="1" t="str">
        <f t="shared" si="124"/>
        <v/>
      </c>
      <c r="M2089" s="94"/>
      <c r="N2089" s="36"/>
      <c r="O2089" s="95"/>
      <c r="P2089" s="36"/>
      <c r="AI2089" s="122">
        <v>1777</v>
      </c>
      <c r="AJ2089" s="1" t="s">
        <v>1141</v>
      </c>
      <c r="AK2089" s="1" t="s">
        <v>1141</v>
      </c>
    </row>
    <row r="2090" spans="2:37" ht="14.25">
      <c r="B2090" s="36"/>
      <c r="C2090" s="36"/>
      <c r="D2090" s="36"/>
      <c r="E2090" s="36"/>
      <c r="F2090" s="36"/>
      <c r="G2090" s="36"/>
      <c r="H2090" s="36"/>
      <c r="J2090" s="36"/>
      <c r="L2090" s="1" t="str">
        <f t="shared" si="124"/>
        <v/>
      </c>
      <c r="M2090" s="94"/>
      <c r="N2090" s="36"/>
      <c r="O2090" s="95"/>
      <c r="P2090" s="36"/>
      <c r="AI2090" s="122">
        <v>1778</v>
      </c>
      <c r="AJ2090" s="1" t="s">
        <v>1141</v>
      </c>
      <c r="AK2090" s="1" t="s">
        <v>1141</v>
      </c>
    </row>
    <row r="2091" spans="2:37" ht="14.25">
      <c r="B2091" s="36"/>
      <c r="C2091" s="36"/>
      <c r="D2091" s="36"/>
      <c r="E2091" s="36"/>
      <c r="F2091" s="36"/>
      <c r="G2091" s="36"/>
      <c r="H2091" s="36"/>
      <c r="J2091" s="36"/>
      <c r="L2091" s="1" t="str">
        <f t="shared" si="124"/>
        <v/>
      </c>
      <c r="M2091" s="94"/>
      <c r="N2091" s="36"/>
      <c r="O2091" s="95"/>
      <c r="P2091" s="36"/>
      <c r="AI2091" s="122">
        <v>1779</v>
      </c>
      <c r="AJ2091" s="1" t="s">
        <v>1141</v>
      </c>
      <c r="AK2091" s="1" t="s">
        <v>1141</v>
      </c>
    </row>
    <row r="2092" spans="2:37" ht="14.25">
      <c r="B2092" s="36"/>
      <c r="C2092" s="36"/>
      <c r="D2092" s="36"/>
      <c r="E2092" s="36"/>
      <c r="F2092" s="36"/>
      <c r="G2092" s="36"/>
      <c r="H2092" s="36"/>
      <c r="J2092" s="36"/>
      <c r="L2092" s="1" t="str">
        <f t="shared" si="124"/>
        <v/>
      </c>
      <c r="M2092" s="94"/>
      <c r="N2092" s="36"/>
      <c r="O2092" s="95"/>
      <c r="P2092" s="36"/>
      <c r="AI2092" s="122">
        <v>1780</v>
      </c>
      <c r="AJ2092" s="1" t="s">
        <v>1141</v>
      </c>
      <c r="AK2092" s="1" t="s">
        <v>1141</v>
      </c>
    </row>
    <row r="2093" spans="2:37" ht="14.25">
      <c r="B2093" s="36"/>
      <c r="C2093" s="36"/>
      <c r="D2093" s="36"/>
      <c r="E2093" s="36"/>
      <c r="F2093" s="36"/>
      <c r="G2093" s="36"/>
      <c r="H2093" s="36"/>
      <c r="J2093" s="36"/>
      <c r="L2093" s="1" t="str">
        <f t="shared" si="124"/>
        <v/>
      </c>
      <c r="M2093" s="94"/>
      <c r="N2093" s="36"/>
      <c r="O2093" s="95"/>
      <c r="P2093" s="36"/>
      <c r="AI2093" s="122">
        <v>1781</v>
      </c>
      <c r="AJ2093" s="1" t="s">
        <v>1141</v>
      </c>
      <c r="AK2093" s="1" t="s">
        <v>1141</v>
      </c>
    </row>
    <row r="2094" spans="2:37" ht="14.25">
      <c r="B2094" s="36"/>
      <c r="C2094" s="36"/>
      <c r="D2094" s="36"/>
      <c r="E2094" s="36"/>
      <c r="F2094" s="36"/>
      <c r="G2094" s="36"/>
      <c r="H2094" s="36"/>
      <c r="J2094" s="36"/>
      <c r="L2094" s="1" t="str">
        <f t="shared" si="124"/>
        <v/>
      </c>
      <c r="M2094" s="94"/>
      <c r="N2094" s="36"/>
      <c r="O2094" s="95"/>
      <c r="P2094" s="36"/>
      <c r="AI2094" s="122">
        <v>1782</v>
      </c>
      <c r="AJ2094" s="1" t="s">
        <v>1141</v>
      </c>
      <c r="AK2094" s="1" t="s">
        <v>1141</v>
      </c>
    </row>
    <row r="2095" spans="2:37" ht="14.25">
      <c r="B2095" s="36"/>
      <c r="C2095" s="36"/>
      <c r="D2095" s="36"/>
      <c r="E2095" s="36"/>
      <c r="F2095" s="36"/>
      <c r="G2095" s="36"/>
      <c r="H2095" s="36"/>
      <c r="J2095" s="36"/>
      <c r="L2095" s="1" t="str">
        <f t="shared" si="124"/>
        <v/>
      </c>
      <c r="M2095" s="94"/>
      <c r="N2095" s="36"/>
      <c r="O2095" s="95"/>
      <c r="P2095" s="36"/>
      <c r="AI2095" s="122">
        <v>1783</v>
      </c>
      <c r="AJ2095" s="1" t="s">
        <v>1141</v>
      </c>
      <c r="AK2095" s="1" t="s">
        <v>1141</v>
      </c>
    </row>
    <row r="2096" spans="2:37" ht="14.25">
      <c r="B2096" s="36"/>
      <c r="C2096" s="36"/>
      <c r="D2096" s="36"/>
      <c r="E2096" s="36"/>
      <c r="F2096" s="36"/>
      <c r="G2096" s="36"/>
      <c r="H2096" s="36"/>
      <c r="J2096" s="36"/>
      <c r="L2096" s="1" t="str">
        <f t="shared" si="124"/>
        <v/>
      </c>
      <c r="M2096" s="94"/>
      <c r="N2096" s="36"/>
      <c r="O2096" s="95"/>
      <c r="P2096" s="36"/>
      <c r="AI2096" s="122">
        <v>1784</v>
      </c>
      <c r="AJ2096" s="1" t="s">
        <v>1141</v>
      </c>
      <c r="AK2096" s="1" t="s">
        <v>1141</v>
      </c>
    </row>
    <row r="2097" spans="2:37" ht="14.25">
      <c r="B2097" s="36"/>
      <c r="C2097" s="36"/>
      <c r="D2097" s="36"/>
      <c r="E2097" s="36"/>
      <c r="F2097" s="36"/>
      <c r="G2097" s="36"/>
      <c r="H2097" s="36"/>
      <c r="J2097" s="36"/>
      <c r="L2097" s="1" t="str">
        <f t="shared" si="124"/>
        <v/>
      </c>
      <c r="M2097" s="94"/>
      <c r="N2097" s="36"/>
      <c r="O2097" s="95"/>
      <c r="P2097" s="36"/>
      <c r="AI2097" s="122">
        <v>1785</v>
      </c>
      <c r="AJ2097" s="1" t="s">
        <v>1141</v>
      </c>
      <c r="AK2097" s="1" t="s">
        <v>1141</v>
      </c>
    </row>
    <row r="2098" spans="2:37" ht="14.25">
      <c r="B2098" s="36"/>
      <c r="C2098" s="36"/>
      <c r="D2098" s="36"/>
      <c r="E2098" s="36"/>
      <c r="F2098" s="36"/>
      <c r="G2098" s="36"/>
      <c r="H2098" s="36"/>
      <c r="J2098" s="36"/>
      <c r="L2098" s="1" t="str">
        <f t="shared" si="124"/>
        <v/>
      </c>
      <c r="M2098" s="94"/>
      <c r="N2098" s="36"/>
      <c r="O2098" s="95"/>
      <c r="P2098" s="36"/>
      <c r="AI2098" s="122">
        <v>1786</v>
      </c>
      <c r="AJ2098" s="1" t="s">
        <v>1141</v>
      </c>
      <c r="AK2098" s="1" t="s">
        <v>1141</v>
      </c>
    </row>
    <row r="2099" spans="2:37" ht="14.25">
      <c r="B2099" s="36"/>
      <c r="C2099" s="36"/>
      <c r="D2099" s="36"/>
      <c r="E2099" s="36"/>
      <c r="F2099" s="36"/>
      <c r="G2099" s="36"/>
      <c r="H2099" s="36"/>
      <c r="J2099" s="36"/>
      <c r="L2099" s="1" t="str">
        <f t="shared" si="124"/>
        <v/>
      </c>
      <c r="M2099" s="94"/>
      <c r="N2099" s="36"/>
      <c r="O2099" s="95"/>
      <c r="P2099" s="36"/>
      <c r="AI2099" s="122">
        <v>1787</v>
      </c>
      <c r="AJ2099" s="1" t="s">
        <v>1141</v>
      </c>
      <c r="AK2099" s="1" t="s">
        <v>1141</v>
      </c>
    </row>
    <row r="2100" spans="2:37" ht="14.25">
      <c r="B2100" s="36"/>
      <c r="C2100" s="36"/>
      <c r="D2100" s="36"/>
      <c r="E2100" s="36"/>
      <c r="F2100" s="36"/>
      <c r="G2100" s="36"/>
      <c r="H2100" s="36"/>
      <c r="J2100" s="36"/>
      <c r="L2100" s="1" t="str">
        <f t="shared" si="124"/>
        <v/>
      </c>
      <c r="M2100" s="94"/>
      <c r="N2100" s="36"/>
      <c r="O2100" s="95"/>
      <c r="P2100" s="36"/>
      <c r="AI2100" s="122">
        <v>1788</v>
      </c>
      <c r="AJ2100" s="1" t="s">
        <v>1141</v>
      </c>
      <c r="AK2100" s="1" t="s">
        <v>1141</v>
      </c>
    </row>
    <row r="2101" spans="2:37" ht="14.25">
      <c r="B2101" s="36"/>
      <c r="C2101" s="36"/>
      <c r="D2101" s="36"/>
      <c r="E2101" s="36"/>
      <c r="F2101" s="36"/>
      <c r="G2101" s="36"/>
      <c r="H2101" s="36"/>
      <c r="J2101" s="36"/>
      <c r="L2101" s="1" t="str">
        <f t="shared" si="124"/>
        <v/>
      </c>
      <c r="M2101" s="94"/>
      <c r="N2101" s="36"/>
      <c r="O2101" s="95"/>
      <c r="P2101" s="36"/>
      <c r="AI2101" s="122">
        <v>1789</v>
      </c>
      <c r="AJ2101" s="1" t="s">
        <v>1141</v>
      </c>
      <c r="AK2101" s="1" t="s">
        <v>1141</v>
      </c>
    </row>
    <row r="2102" spans="2:37" ht="14.25">
      <c r="B2102" s="36"/>
      <c r="C2102" s="36"/>
      <c r="D2102" s="36"/>
      <c r="E2102" s="36"/>
      <c r="F2102" s="36"/>
      <c r="G2102" s="36"/>
      <c r="H2102" s="36"/>
      <c r="J2102" s="36"/>
      <c r="L2102" s="1" t="str">
        <f t="shared" si="124"/>
        <v/>
      </c>
      <c r="M2102" s="94"/>
      <c r="N2102" s="36"/>
      <c r="O2102" s="95"/>
      <c r="P2102" s="36"/>
      <c r="AI2102" s="122">
        <v>1790</v>
      </c>
      <c r="AJ2102" s="1" t="s">
        <v>1141</v>
      </c>
      <c r="AK2102" s="1" t="s">
        <v>1141</v>
      </c>
    </row>
    <row r="2103" spans="2:37" ht="14.25">
      <c r="B2103" s="36"/>
      <c r="C2103" s="36"/>
      <c r="D2103" s="36"/>
      <c r="E2103" s="36"/>
      <c r="F2103" s="36"/>
      <c r="G2103" s="36"/>
      <c r="H2103" s="36"/>
      <c r="J2103" s="36"/>
      <c r="L2103" s="1" t="str">
        <f t="shared" si="124"/>
        <v/>
      </c>
      <c r="M2103" s="94"/>
      <c r="N2103" s="36"/>
      <c r="O2103" s="95"/>
      <c r="P2103" s="36"/>
      <c r="AI2103" s="122">
        <v>1791</v>
      </c>
      <c r="AJ2103" s="1" t="s">
        <v>1141</v>
      </c>
      <c r="AK2103" s="1" t="s">
        <v>1141</v>
      </c>
    </row>
    <row r="2104" spans="2:37" ht="14.25">
      <c r="B2104" s="36"/>
      <c r="C2104" s="36"/>
      <c r="D2104" s="36"/>
      <c r="E2104" s="36"/>
      <c r="F2104" s="36"/>
      <c r="G2104" s="36"/>
      <c r="H2104" s="36"/>
      <c r="J2104" s="36"/>
      <c r="L2104" s="1" t="str">
        <f t="shared" si="124"/>
        <v/>
      </c>
      <c r="M2104" s="94"/>
      <c r="N2104" s="36"/>
      <c r="O2104" s="95"/>
      <c r="P2104" s="36"/>
      <c r="AI2104" s="122">
        <v>1792</v>
      </c>
      <c r="AJ2104" s="1" t="s">
        <v>1141</v>
      </c>
      <c r="AK2104" s="1" t="s">
        <v>1141</v>
      </c>
    </row>
    <row r="2105" spans="2:37" ht="14.25">
      <c r="B2105" s="36"/>
      <c r="C2105" s="36"/>
      <c r="D2105" s="36"/>
      <c r="E2105" s="36"/>
      <c r="F2105" s="36"/>
      <c r="G2105" s="36"/>
      <c r="H2105" s="36"/>
      <c r="J2105" s="36"/>
      <c r="L2105" s="1" t="str">
        <f t="shared" si="124"/>
        <v/>
      </c>
      <c r="M2105" s="94"/>
      <c r="N2105" s="36"/>
      <c r="O2105" s="95"/>
      <c r="P2105" s="36"/>
      <c r="AI2105" s="122">
        <v>1793</v>
      </c>
      <c r="AJ2105" s="1" t="s">
        <v>1141</v>
      </c>
      <c r="AK2105" s="1" t="s">
        <v>1141</v>
      </c>
    </row>
    <row r="2106" spans="2:37" ht="14.25">
      <c r="B2106" s="36"/>
      <c r="C2106" s="36"/>
      <c r="D2106" s="36"/>
      <c r="E2106" s="36"/>
      <c r="F2106" s="36"/>
      <c r="G2106" s="36"/>
      <c r="H2106" s="36"/>
      <c r="J2106" s="36"/>
      <c r="L2106" s="1" t="str">
        <f t="shared" si="124"/>
        <v/>
      </c>
      <c r="M2106" s="94"/>
      <c r="N2106" s="36"/>
      <c r="O2106" s="95"/>
      <c r="P2106" s="36"/>
      <c r="AI2106" s="122">
        <v>1794</v>
      </c>
      <c r="AJ2106" s="1" t="s">
        <v>1141</v>
      </c>
      <c r="AK2106" s="1" t="s">
        <v>1141</v>
      </c>
    </row>
    <row r="2107" spans="2:37" ht="14.25">
      <c r="B2107" s="36"/>
      <c r="C2107" s="36"/>
      <c r="D2107" s="36"/>
      <c r="E2107" s="36"/>
      <c r="F2107" s="36"/>
      <c r="G2107" s="36"/>
      <c r="H2107" s="36"/>
      <c r="J2107" s="36"/>
      <c r="L2107" s="1" t="str">
        <f t="shared" si="124"/>
        <v/>
      </c>
      <c r="M2107" s="94"/>
      <c r="N2107" s="36"/>
      <c r="O2107" s="95"/>
      <c r="P2107" s="36"/>
      <c r="AI2107" s="122">
        <v>1795</v>
      </c>
      <c r="AJ2107" s="1" t="s">
        <v>1141</v>
      </c>
      <c r="AK2107" s="1" t="s">
        <v>1141</v>
      </c>
    </row>
    <row r="2108" spans="2:37" ht="14.25">
      <c r="B2108" s="36"/>
      <c r="C2108" s="36"/>
      <c r="D2108" s="36"/>
      <c r="E2108" s="36"/>
      <c r="F2108" s="36"/>
      <c r="G2108" s="36"/>
      <c r="H2108" s="36"/>
      <c r="J2108" s="36"/>
      <c r="L2108" s="1" t="str">
        <f t="shared" si="124"/>
        <v/>
      </c>
      <c r="M2108" s="94"/>
      <c r="N2108" s="36"/>
      <c r="O2108" s="95"/>
      <c r="P2108" s="36"/>
      <c r="AI2108" s="122">
        <v>1796</v>
      </c>
      <c r="AJ2108" s="1" t="s">
        <v>1141</v>
      </c>
      <c r="AK2108" s="1" t="s">
        <v>1141</v>
      </c>
    </row>
    <row r="2109" spans="2:37" ht="14.25">
      <c r="B2109" s="36"/>
      <c r="C2109" s="36"/>
      <c r="D2109" s="36"/>
      <c r="E2109" s="36"/>
      <c r="F2109" s="36"/>
      <c r="G2109" s="36"/>
      <c r="H2109" s="36"/>
      <c r="J2109" s="36"/>
      <c r="L2109" s="1" t="str">
        <f t="shared" si="124"/>
        <v/>
      </c>
      <c r="M2109" s="94"/>
      <c r="N2109" s="36"/>
      <c r="O2109" s="95"/>
      <c r="P2109" s="36"/>
      <c r="AI2109" s="122">
        <v>1797</v>
      </c>
      <c r="AJ2109" s="1" t="s">
        <v>1141</v>
      </c>
      <c r="AK2109" s="1" t="s">
        <v>1141</v>
      </c>
    </row>
    <row r="2110" spans="2:37" ht="14.25">
      <c r="B2110" s="36"/>
      <c r="C2110" s="36"/>
      <c r="D2110" s="36"/>
      <c r="E2110" s="36"/>
      <c r="F2110" s="36"/>
      <c r="G2110" s="36"/>
      <c r="H2110" s="36"/>
      <c r="J2110" s="36"/>
      <c r="L2110" s="1" t="str">
        <f t="shared" si="124"/>
        <v/>
      </c>
      <c r="M2110" s="94"/>
      <c r="N2110" s="36"/>
      <c r="O2110" s="95"/>
      <c r="P2110" s="36"/>
      <c r="AI2110" s="122">
        <v>1798</v>
      </c>
      <c r="AJ2110" s="1" t="s">
        <v>1141</v>
      </c>
      <c r="AK2110" s="1" t="s">
        <v>1141</v>
      </c>
    </row>
    <row r="2111" spans="2:37" ht="14.25">
      <c r="B2111" s="36"/>
      <c r="C2111" s="36"/>
      <c r="D2111" s="36"/>
      <c r="E2111" s="36"/>
      <c r="F2111" s="36"/>
      <c r="G2111" s="36"/>
      <c r="H2111" s="36"/>
      <c r="J2111" s="36"/>
      <c r="L2111" s="1" t="str">
        <f t="shared" si="124"/>
        <v/>
      </c>
      <c r="M2111" s="94"/>
      <c r="N2111" s="36"/>
      <c r="O2111" s="95"/>
      <c r="P2111" s="36"/>
      <c r="AI2111" s="122">
        <v>1799</v>
      </c>
      <c r="AJ2111" s="1" t="s">
        <v>1141</v>
      </c>
      <c r="AK2111" s="1" t="s">
        <v>1141</v>
      </c>
    </row>
    <row r="2112" spans="2:37" ht="14.25">
      <c r="B2112" s="36"/>
      <c r="C2112" s="36"/>
      <c r="D2112" s="36"/>
      <c r="E2112" s="36"/>
      <c r="F2112" s="36"/>
      <c r="G2112" s="36"/>
      <c r="H2112" s="36"/>
      <c r="J2112" s="36"/>
      <c r="L2112" s="1" t="str">
        <f t="shared" si="124"/>
        <v/>
      </c>
      <c r="M2112" s="94"/>
      <c r="N2112" s="36"/>
      <c r="O2112" s="95"/>
      <c r="P2112" s="36"/>
      <c r="AI2112" s="122">
        <v>1800</v>
      </c>
      <c r="AJ2112" s="1" t="s">
        <v>1141</v>
      </c>
      <c r="AK2112" s="1" t="s">
        <v>1141</v>
      </c>
    </row>
    <row r="2113" spans="2:37" ht="14.25">
      <c r="B2113" s="36"/>
      <c r="C2113" s="36"/>
      <c r="D2113" s="36"/>
      <c r="E2113" s="36"/>
      <c r="F2113" s="36"/>
      <c r="G2113" s="36"/>
      <c r="H2113" s="36"/>
      <c r="J2113" s="36"/>
      <c r="L2113" s="1" t="str">
        <f t="shared" si="124"/>
        <v/>
      </c>
      <c r="M2113" s="94"/>
      <c r="N2113" s="36"/>
      <c r="O2113" s="95"/>
      <c r="P2113" s="36"/>
      <c r="AI2113" s="122">
        <v>1801</v>
      </c>
      <c r="AJ2113" s="1" t="s">
        <v>1141</v>
      </c>
      <c r="AK2113" s="1" t="s">
        <v>1141</v>
      </c>
    </row>
    <row r="2114" spans="2:37" ht="14.25">
      <c r="B2114" s="36"/>
      <c r="C2114" s="36"/>
      <c r="D2114" s="36"/>
      <c r="E2114" s="36"/>
      <c r="F2114" s="36"/>
      <c r="G2114" s="36"/>
      <c r="H2114" s="36"/>
      <c r="J2114" s="36"/>
      <c r="L2114" s="1" t="str">
        <f t="shared" si="124"/>
        <v/>
      </c>
      <c r="M2114" s="94"/>
      <c r="N2114" s="36"/>
      <c r="O2114" s="95"/>
      <c r="P2114" s="36"/>
      <c r="AI2114" s="122">
        <v>1802</v>
      </c>
      <c r="AJ2114" s="1" t="s">
        <v>1141</v>
      </c>
      <c r="AK2114" s="1" t="s">
        <v>1141</v>
      </c>
    </row>
    <row r="2115" spans="2:37" ht="14.25">
      <c r="B2115" s="36"/>
      <c r="C2115" s="36"/>
      <c r="D2115" s="36"/>
      <c r="E2115" s="36"/>
      <c r="F2115" s="36"/>
      <c r="G2115" s="36"/>
      <c r="H2115" s="36"/>
      <c r="J2115" s="36"/>
      <c r="L2115" s="1" t="str">
        <f t="shared" si="124"/>
        <v/>
      </c>
      <c r="M2115" s="94"/>
      <c r="N2115" s="36"/>
      <c r="O2115" s="95"/>
      <c r="P2115" s="36"/>
      <c r="AI2115" s="122">
        <v>1803</v>
      </c>
      <c r="AJ2115" s="1" t="s">
        <v>1141</v>
      </c>
      <c r="AK2115" s="1" t="s">
        <v>1141</v>
      </c>
    </row>
    <row r="2116" spans="2:37" ht="14.25">
      <c r="B2116" s="36"/>
      <c r="C2116" s="36"/>
      <c r="D2116" s="36"/>
      <c r="E2116" s="36"/>
      <c r="F2116" s="36"/>
      <c r="G2116" s="36"/>
      <c r="H2116" s="36"/>
      <c r="J2116" s="36"/>
      <c r="L2116" s="1" t="str">
        <f t="shared" ref="L2116:L2179" si="125">IF(AND(MIN(I:I)&lt;20,MAX(I:I)&gt;980,I2116&lt;20),I2116,"")</f>
        <v/>
      </c>
      <c r="M2116" s="94"/>
      <c r="N2116" s="36"/>
      <c r="O2116" s="95"/>
      <c r="P2116" s="36"/>
      <c r="AI2116" s="122">
        <v>1804</v>
      </c>
      <c r="AJ2116" s="1" t="s">
        <v>1141</v>
      </c>
      <c r="AK2116" s="1" t="s">
        <v>1141</v>
      </c>
    </row>
    <row r="2117" spans="2:37" ht="14.25">
      <c r="B2117" s="36"/>
      <c r="C2117" s="36"/>
      <c r="D2117" s="36"/>
      <c r="E2117" s="36"/>
      <c r="F2117" s="36"/>
      <c r="G2117" s="36"/>
      <c r="H2117" s="36"/>
      <c r="J2117" s="36"/>
      <c r="L2117" s="1" t="str">
        <f t="shared" si="125"/>
        <v/>
      </c>
      <c r="M2117" s="94"/>
      <c r="N2117" s="36"/>
      <c r="O2117" s="95"/>
      <c r="P2117" s="36"/>
      <c r="AI2117" s="122">
        <v>1805</v>
      </c>
      <c r="AJ2117" s="1" t="s">
        <v>1141</v>
      </c>
      <c r="AK2117" s="1" t="s">
        <v>1141</v>
      </c>
    </row>
    <row r="2118" spans="2:37" ht="14.25">
      <c r="B2118" s="36"/>
      <c r="C2118" s="36"/>
      <c r="D2118" s="36"/>
      <c r="E2118" s="36"/>
      <c r="F2118" s="36"/>
      <c r="G2118" s="36"/>
      <c r="H2118" s="36"/>
      <c r="J2118" s="36"/>
      <c r="L2118" s="1" t="str">
        <f t="shared" si="125"/>
        <v/>
      </c>
      <c r="M2118" s="94"/>
      <c r="N2118" s="36"/>
      <c r="O2118" s="95"/>
      <c r="P2118" s="36"/>
      <c r="AI2118" s="122">
        <v>1806</v>
      </c>
      <c r="AJ2118" s="1" t="s">
        <v>1141</v>
      </c>
      <c r="AK2118" s="1" t="s">
        <v>1141</v>
      </c>
    </row>
    <row r="2119" spans="2:37" ht="14.25">
      <c r="B2119" s="36"/>
      <c r="C2119" s="36"/>
      <c r="D2119" s="36"/>
      <c r="E2119" s="36"/>
      <c r="F2119" s="36"/>
      <c r="G2119" s="36"/>
      <c r="H2119" s="36"/>
      <c r="J2119" s="36"/>
      <c r="L2119" s="1" t="str">
        <f t="shared" si="125"/>
        <v/>
      </c>
      <c r="M2119" s="94"/>
      <c r="N2119" s="36"/>
      <c r="O2119" s="95"/>
      <c r="P2119" s="36"/>
      <c r="AI2119" s="122">
        <v>1807</v>
      </c>
      <c r="AJ2119" s="1" t="s">
        <v>1141</v>
      </c>
      <c r="AK2119" s="1" t="s">
        <v>1141</v>
      </c>
    </row>
    <row r="2120" spans="2:37" ht="14.25">
      <c r="B2120" s="36"/>
      <c r="C2120" s="36"/>
      <c r="D2120" s="36"/>
      <c r="E2120" s="36"/>
      <c r="F2120" s="36"/>
      <c r="G2120" s="36"/>
      <c r="H2120" s="36"/>
      <c r="J2120" s="36"/>
      <c r="L2120" s="1" t="str">
        <f t="shared" si="125"/>
        <v/>
      </c>
      <c r="M2120" s="94"/>
      <c r="N2120" s="36"/>
      <c r="O2120" s="95"/>
      <c r="P2120" s="36"/>
      <c r="AI2120" s="122">
        <v>1808</v>
      </c>
      <c r="AJ2120" s="1" t="s">
        <v>1141</v>
      </c>
      <c r="AK2120" s="1" t="s">
        <v>1141</v>
      </c>
    </row>
    <row r="2121" spans="2:37" ht="14.25">
      <c r="B2121" s="36"/>
      <c r="C2121" s="36"/>
      <c r="D2121" s="36"/>
      <c r="E2121" s="36"/>
      <c r="F2121" s="36"/>
      <c r="G2121" s="36"/>
      <c r="H2121" s="36"/>
      <c r="J2121" s="36"/>
      <c r="L2121" s="1" t="str">
        <f t="shared" si="125"/>
        <v/>
      </c>
      <c r="M2121" s="94"/>
      <c r="N2121" s="36"/>
      <c r="O2121" s="95"/>
      <c r="P2121" s="36"/>
      <c r="AI2121" s="122">
        <v>1809</v>
      </c>
      <c r="AJ2121" s="1" t="s">
        <v>1141</v>
      </c>
      <c r="AK2121" s="1" t="s">
        <v>1141</v>
      </c>
    </row>
    <row r="2122" spans="2:37" ht="14.25">
      <c r="B2122" s="36"/>
      <c r="C2122" s="36"/>
      <c r="D2122" s="36"/>
      <c r="E2122" s="36"/>
      <c r="F2122" s="36"/>
      <c r="G2122" s="36"/>
      <c r="H2122" s="36"/>
      <c r="J2122" s="36"/>
      <c r="L2122" s="1" t="str">
        <f t="shared" si="125"/>
        <v/>
      </c>
      <c r="M2122" s="94"/>
      <c r="N2122" s="36"/>
      <c r="O2122" s="95"/>
      <c r="P2122" s="36"/>
      <c r="AI2122" s="122">
        <v>1810</v>
      </c>
      <c r="AJ2122" s="1" t="s">
        <v>1141</v>
      </c>
      <c r="AK2122" s="1" t="s">
        <v>1141</v>
      </c>
    </row>
    <row r="2123" spans="2:37" ht="14.25">
      <c r="B2123" s="36"/>
      <c r="C2123" s="36"/>
      <c r="D2123" s="36"/>
      <c r="E2123" s="36"/>
      <c r="F2123" s="36"/>
      <c r="G2123" s="36"/>
      <c r="H2123" s="36"/>
      <c r="J2123" s="36"/>
      <c r="L2123" s="1" t="str">
        <f t="shared" si="125"/>
        <v/>
      </c>
      <c r="M2123" s="94"/>
      <c r="N2123" s="36"/>
      <c r="O2123" s="95"/>
      <c r="P2123" s="36"/>
      <c r="AI2123" s="122">
        <v>1811</v>
      </c>
      <c r="AJ2123" s="1" t="s">
        <v>1141</v>
      </c>
      <c r="AK2123" s="1" t="s">
        <v>1141</v>
      </c>
    </row>
    <row r="2124" spans="2:37" ht="14.25">
      <c r="B2124" s="36"/>
      <c r="C2124" s="36"/>
      <c r="D2124" s="36"/>
      <c r="E2124" s="36"/>
      <c r="F2124" s="36"/>
      <c r="G2124" s="36"/>
      <c r="H2124" s="36"/>
      <c r="J2124" s="36"/>
      <c r="L2124" s="1" t="str">
        <f t="shared" si="125"/>
        <v/>
      </c>
      <c r="M2124" s="94"/>
      <c r="N2124" s="36"/>
      <c r="O2124" s="95"/>
      <c r="P2124" s="36"/>
      <c r="AI2124" s="122">
        <v>1812</v>
      </c>
      <c r="AJ2124" s="1" t="s">
        <v>1141</v>
      </c>
      <c r="AK2124" s="1" t="s">
        <v>1141</v>
      </c>
    </row>
    <row r="2125" spans="2:37" ht="14.25">
      <c r="B2125" s="36"/>
      <c r="C2125" s="36"/>
      <c r="D2125" s="36"/>
      <c r="E2125" s="36"/>
      <c r="F2125" s="36"/>
      <c r="G2125" s="36"/>
      <c r="H2125" s="36"/>
      <c r="J2125" s="36"/>
      <c r="L2125" s="1" t="str">
        <f t="shared" si="125"/>
        <v/>
      </c>
      <c r="M2125" s="94"/>
      <c r="N2125" s="36"/>
      <c r="O2125" s="95"/>
      <c r="P2125" s="36"/>
      <c r="AI2125" s="122">
        <v>1813</v>
      </c>
      <c r="AJ2125" s="1" t="s">
        <v>1141</v>
      </c>
      <c r="AK2125" s="1" t="s">
        <v>1141</v>
      </c>
    </row>
    <row r="2126" spans="2:37" ht="14.25">
      <c r="B2126" s="36"/>
      <c r="C2126" s="36"/>
      <c r="D2126" s="36"/>
      <c r="E2126" s="36"/>
      <c r="F2126" s="36"/>
      <c r="G2126" s="36"/>
      <c r="H2126" s="36"/>
      <c r="J2126" s="36"/>
      <c r="L2126" s="1" t="str">
        <f t="shared" si="125"/>
        <v/>
      </c>
      <c r="M2126" s="94"/>
      <c r="N2126" s="36"/>
      <c r="O2126" s="95"/>
      <c r="P2126" s="36"/>
      <c r="AI2126" s="122">
        <v>1814</v>
      </c>
      <c r="AJ2126" s="1" t="s">
        <v>1141</v>
      </c>
      <c r="AK2126" s="1" t="s">
        <v>1141</v>
      </c>
    </row>
    <row r="2127" spans="2:37" ht="14.25">
      <c r="B2127" s="36"/>
      <c r="C2127" s="36"/>
      <c r="D2127" s="36"/>
      <c r="E2127" s="36"/>
      <c r="F2127" s="36"/>
      <c r="G2127" s="36"/>
      <c r="H2127" s="36"/>
      <c r="J2127" s="36"/>
      <c r="L2127" s="1" t="str">
        <f t="shared" si="125"/>
        <v/>
      </c>
      <c r="M2127" s="94"/>
      <c r="N2127" s="36"/>
      <c r="O2127" s="95"/>
      <c r="P2127" s="36"/>
      <c r="AI2127" s="122">
        <v>1815</v>
      </c>
      <c r="AJ2127" s="1" t="s">
        <v>1141</v>
      </c>
      <c r="AK2127" s="1" t="s">
        <v>1141</v>
      </c>
    </row>
    <row r="2128" spans="2:37" ht="14.25">
      <c r="B2128" s="36"/>
      <c r="C2128" s="36"/>
      <c r="D2128" s="36"/>
      <c r="E2128" s="36"/>
      <c r="F2128" s="36"/>
      <c r="G2128" s="36"/>
      <c r="H2128" s="36"/>
      <c r="J2128" s="36"/>
      <c r="L2128" s="1" t="str">
        <f t="shared" si="125"/>
        <v/>
      </c>
      <c r="M2128" s="94"/>
      <c r="N2128" s="36"/>
      <c r="O2128" s="95"/>
      <c r="P2128" s="36"/>
      <c r="AI2128" s="122">
        <v>1816</v>
      </c>
      <c r="AJ2128" s="1" t="s">
        <v>1141</v>
      </c>
      <c r="AK2128" s="1" t="s">
        <v>1141</v>
      </c>
    </row>
    <row r="2129" spans="2:37" ht="14.25">
      <c r="B2129" s="36"/>
      <c r="C2129" s="36"/>
      <c r="D2129" s="36"/>
      <c r="E2129" s="36"/>
      <c r="F2129" s="36"/>
      <c r="G2129" s="36"/>
      <c r="H2129" s="36"/>
      <c r="J2129" s="36"/>
      <c r="L2129" s="1" t="str">
        <f t="shared" si="125"/>
        <v/>
      </c>
      <c r="M2129" s="94"/>
      <c r="N2129" s="36"/>
      <c r="O2129" s="95"/>
      <c r="P2129" s="36"/>
      <c r="AI2129" s="122">
        <v>1817</v>
      </c>
      <c r="AJ2129" s="1" t="s">
        <v>1141</v>
      </c>
      <c r="AK2129" s="1" t="s">
        <v>1141</v>
      </c>
    </row>
    <row r="2130" spans="2:37" ht="14.25">
      <c r="B2130" s="36"/>
      <c r="C2130" s="36"/>
      <c r="D2130" s="36"/>
      <c r="E2130" s="36"/>
      <c r="F2130" s="36"/>
      <c r="G2130" s="36"/>
      <c r="H2130" s="36"/>
      <c r="J2130" s="36"/>
      <c r="L2130" s="1" t="str">
        <f t="shared" si="125"/>
        <v/>
      </c>
      <c r="M2130" s="94"/>
      <c r="N2130" s="36"/>
      <c r="O2130" s="95"/>
      <c r="P2130" s="36"/>
      <c r="AI2130" s="122">
        <v>1818</v>
      </c>
      <c r="AJ2130" s="1" t="s">
        <v>1141</v>
      </c>
      <c r="AK2130" s="1" t="s">
        <v>1141</v>
      </c>
    </row>
    <row r="2131" spans="2:37" ht="14.25">
      <c r="B2131" s="36"/>
      <c r="C2131" s="36"/>
      <c r="D2131" s="36"/>
      <c r="E2131" s="36"/>
      <c r="F2131" s="36"/>
      <c r="G2131" s="36"/>
      <c r="H2131" s="36"/>
      <c r="J2131" s="36"/>
      <c r="L2131" s="1" t="str">
        <f t="shared" si="125"/>
        <v/>
      </c>
      <c r="M2131" s="94"/>
      <c r="N2131" s="36"/>
      <c r="O2131" s="95"/>
      <c r="P2131" s="36"/>
      <c r="AI2131" s="122">
        <v>1819</v>
      </c>
      <c r="AJ2131" s="1" t="s">
        <v>1141</v>
      </c>
      <c r="AK2131" s="1" t="s">
        <v>1141</v>
      </c>
    </row>
    <row r="2132" spans="2:37" ht="14.25">
      <c r="B2132" s="36"/>
      <c r="C2132" s="36"/>
      <c r="D2132" s="36"/>
      <c r="E2132" s="36"/>
      <c r="F2132" s="36"/>
      <c r="G2132" s="36"/>
      <c r="H2132" s="36"/>
      <c r="J2132" s="36"/>
      <c r="L2132" s="1" t="str">
        <f t="shared" si="125"/>
        <v/>
      </c>
      <c r="M2132" s="94"/>
      <c r="N2132" s="36"/>
      <c r="O2132" s="95"/>
      <c r="P2132" s="36"/>
      <c r="AI2132" s="122">
        <v>1820</v>
      </c>
      <c r="AJ2132" s="1" t="s">
        <v>1141</v>
      </c>
      <c r="AK2132" s="1" t="s">
        <v>1141</v>
      </c>
    </row>
    <row r="2133" spans="2:37" ht="14.25">
      <c r="B2133" s="36"/>
      <c r="C2133" s="36"/>
      <c r="D2133" s="36"/>
      <c r="E2133" s="36"/>
      <c r="F2133" s="36"/>
      <c r="G2133" s="36"/>
      <c r="H2133" s="36"/>
      <c r="J2133" s="36"/>
      <c r="L2133" s="1" t="str">
        <f t="shared" si="125"/>
        <v/>
      </c>
      <c r="M2133" s="94"/>
      <c r="N2133" s="36"/>
      <c r="O2133" s="95"/>
      <c r="P2133" s="36"/>
      <c r="AI2133" s="122">
        <v>1821</v>
      </c>
      <c r="AJ2133" s="1" t="s">
        <v>1141</v>
      </c>
      <c r="AK2133" s="1" t="s">
        <v>1141</v>
      </c>
    </row>
    <row r="2134" spans="2:37" ht="14.25">
      <c r="B2134" s="36"/>
      <c r="C2134" s="36"/>
      <c r="D2134" s="36"/>
      <c r="E2134" s="36"/>
      <c r="F2134" s="36"/>
      <c r="G2134" s="36"/>
      <c r="H2134" s="36"/>
      <c r="J2134" s="36"/>
      <c r="L2134" s="1" t="str">
        <f t="shared" si="125"/>
        <v/>
      </c>
      <c r="M2134" s="94"/>
      <c r="N2134" s="36"/>
      <c r="O2134" s="95"/>
      <c r="P2134" s="36"/>
      <c r="AI2134" s="122">
        <v>1822</v>
      </c>
      <c r="AJ2134" s="1" t="s">
        <v>1141</v>
      </c>
      <c r="AK2134" s="1" t="s">
        <v>1141</v>
      </c>
    </row>
    <row r="2135" spans="2:37" ht="14.25">
      <c r="B2135" s="36"/>
      <c r="C2135" s="36"/>
      <c r="D2135" s="36"/>
      <c r="E2135" s="36"/>
      <c r="F2135" s="36"/>
      <c r="G2135" s="36"/>
      <c r="H2135" s="36"/>
      <c r="J2135" s="36"/>
      <c r="L2135" s="1" t="str">
        <f t="shared" si="125"/>
        <v/>
      </c>
      <c r="M2135" s="94"/>
      <c r="N2135" s="36"/>
      <c r="O2135" s="95"/>
      <c r="P2135" s="36"/>
      <c r="AI2135" s="122">
        <v>1823</v>
      </c>
      <c r="AJ2135" s="1" t="s">
        <v>1141</v>
      </c>
      <c r="AK2135" s="1" t="s">
        <v>1141</v>
      </c>
    </row>
    <row r="2136" spans="2:37" ht="14.25">
      <c r="B2136" s="36"/>
      <c r="C2136" s="36"/>
      <c r="D2136" s="36"/>
      <c r="E2136" s="36"/>
      <c r="F2136" s="36"/>
      <c r="G2136" s="36"/>
      <c r="H2136" s="36"/>
      <c r="J2136" s="36"/>
      <c r="L2136" s="1" t="str">
        <f t="shared" si="125"/>
        <v/>
      </c>
      <c r="M2136" s="94"/>
      <c r="N2136" s="36"/>
      <c r="O2136" s="95"/>
      <c r="P2136" s="36"/>
      <c r="AI2136" s="122">
        <v>1824</v>
      </c>
      <c r="AJ2136" s="1" t="s">
        <v>1141</v>
      </c>
      <c r="AK2136" s="1" t="s">
        <v>1141</v>
      </c>
    </row>
    <row r="2137" spans="2:37" ht="14.25">
      <c r="B2137" s="36"/>
      <c r="C2137" s="36"/>
      <c r="D2137" s="36"/>
      <c r="E2137" s="36"/>
      <c r="F2137" s="36"/>
      <c r="G2137" s="36"/>
      <c r="H2137" s="36"/>
      <c r="J2137" s="36"/>
      <c r="L2137" s="1" t="str">
        <f t="shared" si="125"/>
        <v/>
      </c>
      <c r="M2137" s="94"/>
      <c r="N2137" s="36"/>
      <c r="O2137" s="95"/>
      <c r="P2137" s="36"/>
      <c r="AI2137" s="122">
        <v>1825</v>
      </c>
      <c r="AJ2137" s="1" t="s">
        <v>1141</v>
      </c>
      <c r="AK2137" s="1" t="s">
        <v>1141</v>
      </c>
    </row>
    <row r="2138" spans="2:37" ht="14.25">
      <c r="B2138" s="36"/>
      <c r="C2138" s="36"/>
      <c r="D2138" s="36"/>
      <c r="E2138" s="36"/>
      <c r="F2138" s="36"/>
      <c r="G2138" s="36"/>
      <c r="H2138" s="36"/>
      <c r="J2138" s="36"/>
      <c r="L2138" s="1" t="str">
        <f t="shared" si="125"/>
        <v/>
      </c>
      <c r="M2138" s="94"/>
      <c r="N2138" s="36"/>
      <c r="O2138" s="95"/>
      <c r="P2138" s="36"/>
      <c r="AI2138" s="122">
        <v>1826</v>
      </c>
      <c r="AJ2138" s="1" t="s">
        <v>1141</v>
      </c>
      <c r="AK2138" s="1" t="s">
        <v>1141</v>
      </c>
    </row>
    <row r="2139" spans="2:37" ht="14.25">
      <c r="B2139" s="36"/>
      <c r="C2139" s="36"/>
      <c r="D2139" s="36"/>
      <c r="E2139" s="36"/>
      <c r="F2139" s="36"/>
      <c r="G2139" s="36"/>
      <c r="H2139" s="36"/>
      <c r="J2139" s="36"/>
      <c r="L2139" s="1" t="str">
        <f t="shared" si="125"/>
        <v/>
      </c>
      <c r="M2139" s="94"/>
      <c r="N2139" s="36"/>
      <c r="O2139" s="95"/>
      <c r="P2139" s="36"/>
      <c r="AI2139" s="122">
        <v>1827</v>
      </c>
      <c r="AJ2139" s="1" t="s">
        <v>1141</v>
      </c>
      <c r="AK2139" s="1" t="s">
        <v>1141</v>
      </c>
    </row>
    <row r="2140" spans="2:37" ht="14.25">
      <c r="B2140" s="36"/>
      <c r="C2140" s="36"/>
      <c r="D2140" s="36"/>
      <c r="E2140" s="36"/>
      <c r="F2140" s="36"/>
      <c r="G2140" s="36"/>
      <c r="H2140" s="36"/>
      <c r="J2140" s="36"/>
      <c r="L2140" s="1" t="str">
        <f t="shared" si="125"/>
        <v/>
      </c>
      <c r="M2140" s="94"/>
      <c r="N2140" s="36"/>
      <c r="O2140" s="95"/>
      <c r="P2140" s="36"/>
      <c r="AI2140" s="122">
        <v>1828</v>
      </c>
      <c r="AJ2140" s="1" t="s">
        <v>1141</v>
      </c>
      <c r="AK2140" s="1" t="s">
        <v>1141</v>
      </c>
    </row>
    <row r="2141" spans="2:37" ht="14.25">
      <c r="B2141" s="36"/>
      <c r="C2141" s="36"/>
      <c r="D2141" s="36"/>
      <c r="E2141" s="36"/>
      <c r="F2141" s="36"/>
      <c r="G2141" s="36"/>
      <c r="H2141" s="36"/>
      <c r="J2141" s="36"/>
      <c r="L2141" s="1" t="str">
        <f t="shared" si="125"/>
        <v/>
      </c>
      <c r="M2141" s="94"/>
      <c r="N2141" s="36"/>
      <c r="O2141" s="95"/>
      <c r="P2141" s="36"/>
      <c r="AI2141" s="122">
        <v>1829</v>
      </c>
      <c r="AJ2141" s="1" t="s">
        <v>1141</v>
      </c>
      <c r="AK2141" s="1" t="s">
        <v>1141</v>
      </c>
    </row>
    <row r="2142" spans="2:37" ht="14.25">
      <c r="B2142" s="36"/>
      <c r="C2142" s="36"/>
      <c r="D2142" s="36"/>
      <c r="E2142" s="36"/>
      <c r="F2142" s="36"/>
      <c r="G2142" s="36"/>
      <c r="H2142" s="36"/>
      <c r="J2142" s="36"/>
      <c r="L2142" s="1" t="str">
        <f t="shared" si="125"/>
        <v/>
      </c>
      <c r="M2142" s="94"/>
      <c r="N2142" s="36"/>
      <c r="O2142" s="95"/>
      <c r="P2142" s="36"/>
      <c r="AI2142" s="122">
        <v>1830</v>
      </c>
      <c r="AJ2142" s="1" t="s">
        <v>1141</v>
      </c>
      <c r="AK2142" s="1" t="s">
        <v>1141</v>
      </c>
    </row>
    <row r="2143" spans="2:37" ht="14.25">
      <c r="B2143" s="36"/>
      <c r="C2143" s="36"/>
      <c r="D2143" s="36"/>
      <c r="E2143" s="36"/>
      <c r="F2143" s="36"/>
      <c r="G2143" s="36"/>
      <c r="H2143" s="36"/>
      <c r="J2143" s="36"/>
      <c r="L2143" s="1" t="str">
        <f t="shared" si="125"/>
        <v/>
      </c>
      <c r="M2143" s="94"/>
      <c r="N2143" s="36"/>
      <c r="O2143" s="95"/>
      <c r="P2143" s="36"/>
      <c r="AI2143" s="122">
        <v>1831</v>
      </c>
      <c r="AJ2143" s="1" t="s">
        <v>1141</v>
      </c>
      <c r="AK2143" s="1" t="s">
        <v>1141</v>
      </c>
    </row>
    <row r="2144" spans="2:37" ht="14.25">
      <c r="B2144" s="36"/>
      <c r="C2144" s="36"/>
      <c r="D2144" s="36"/>
      <c r="E2144" s="36"/>
      <c r="F2144" s="36"/>
      <c r="G2144" s="36"/>
      <c r="H2144" s="36"/>
      <c r="J2144" s="36"/>
      <c r="L2144" s="1" t="str">
        <f t="shared" si="125"/>
        <v/>
      </c>
      <c r="M2144" s="94"/>
      <c r="N2144" s="36"/>
      <c r="O2144" s="95"/>
      <c r="P2144" s="36"/>
      <c r="AI2144" s="122">
        <v>1832</v>
      </c>
      <c r="AJ2144" s="1" t="s">
        <v>1141</v>
      </c>
      <c r="AK2144" s="1" t="s">
        <v>1141</v>
      </c>
    </row>
    <row r="2145" spans="2:37" ht="14.25">
      <c r="B2145" s="36"/>
      <c r="C2145" s="36"/>
      <c r="D2145" s="36"/>
      <c r="E2145" s="36"/>
      <c r="F2145" s="36"/>
      <c r="G2145" s="36"/>
      <c r="H2145" s="36"/>
      <c r="J2145" s="36"/>
      <c r="L2145" s="1" t="str">
        <f t="shared" si="125"/>
        <v/>
      </c>
      <c r="M2145" s="94"/>
      <c r="N2145" s="36"/>
      <c r="O2145" s="95"/>
      <c r="P2145" s="36"/>
      <c r="AI2145" s="122">
        <v>1833</v>
      </c>
      <c r="AJ2145" s="1" t="s">
        <v>1141</v>
      </c>
      <c r="AK2145" s="1" t="s">
        <v>1141</v>
      </c>
    </row>
    <row r="2146" spans="2:37" ht="14.25">
      <c r="B2146" s="36"/>
      <c r="C2146" s="36"/>
      <c r="D2146" s="36"/>
      <c r="E2146" s="36"/>
      <c r="F2146" s="36"/>
      <c r="G2146" s="36"/>
      <c r="H2146" s="36"/>
      <c r="J2146" s="36"/>
      <c r="L2146" s="1" t="str">
        <f t="shared" si="125"/>
        <v/>
      </c>
      <c r="M2146" s="94"/>
      <c r="N2146" s="36"/>
      <c r="O2146" s="95"/>
      <c r="P2146" s="36"/>
      <c r="AI2146" s="122">
        <v>1834</v>
      </c>
      <c r="AJ2146" s="1" t="s">
        <v>1141</v>
      </c>
      <c r="AK2146" s="1" t="s">
        <v>1141</v>
      </c>
    </row>
    <row r="2147" spans="2:37" ht="14.25">
      <c r="B2147" s="36"/>
      <c r="C2147" s="36"/>
      <c r="D2147" s="36"/>
      <c r="E2147" s="36"/>
      <c r="F2147" s="36"/>
      <c r="G2147" s="36"/>
      <c r="H2147" s="36"/>
      <c r="J2147" s="36"/>
      <c r="L2147" s="1" t="str">
        <f t="shared" si="125"/>
        <v/>
      </c>
      <c r="M2147" s="94"/>
      <c r="N2147" s="36"/>
      <c r="O2147" s="95"/>
      <c r="P2147" s="36"/>
      <c r="AI2147" s="122">
        <v>1835</v>
      </c>
      <c r="AJ2147" s="1" t="s">
        <v>1141</v>
      </c>
      <c r="AK2147" s="1" t="s">
        <v>1141</v>
      </c>
    </row>
    <row r="2148" spans="2:37" ht="14.25">
      <c r="B2148" s="36"/>
      <c r="C2148" s="36"/>
      <c r="D2148" s="36"/>
      <c r="E2148" s="36"/>
      <c r="F2148" s="36"/>
      <c r="G2148" s="36"/>
      <c r="H2148" s="36"/>
      <c r="J2148" s="36"/>
      <c r="L2148" s="1" t="str">
        <f t="shared" si="125"/>
        <v/>
      </c>
      <c r="M2148" s="94"/>
      <c r="N2148" s="36"/>
      <c r="O2148" s="95"/>
      <c r="P2148" s="36"/>
      <c r="AI2148" s="122">
        <v>1836</v>
      </c>
      <c r="AJ2148" s="1" t="s">
        <v>1141</v>
      </c>
      <c r="AK2148" s="1" t="s">
        <v>1141</v>
      </c>
    </row>
    <row r="2149" spans="2:37" ht="14.25">
      <c r="B2149" s="36"/>
      <c r="C2149" s="36"/>
      <c r="D2149" s="36"/>
      <c r="E2149" s="36"/>
      <c r="F2149" s="36"/>
      <c r="G2149" s="36"/>
      <c r="H2149" s="36"/>
      <c r="J2149" s="36"/>
      <c r="L2149" s="1" t="str">
        <f t="shared" si="125"/>
        <v/>
      </c>
      <c r="M2149" s="94"/>
      <c r="N2149" s="36"/>
      <c r="O2149" s="95"/>
      <c r="P2149" s="36"/>
      <c r="AI2149" s="122">
        <v>1837</v>
      </c>
      <c r="AJ2149" s="1" t="s">
        <v>1141</v>
      </c>
      <c r="AK2149" s="1" t="s">
        <v>1141</v>
      </c>
    </row>
    <row r="2150" spans="2:37" ht="14.25">
      <c r="B2150" s="36"/>
      <c r="C2150" s="36"/>
      <c r="D2150" s="36"/>
      <c r="E2150" s="36"/>
      <c r="F2150" s="36"/>
      <c r="G2150" s="36"/>
      <c r="H2150" s="36"/>
      <c r="J2150" s="36"/>
      <c r="L2150" s="1" t="str">
        <f t="shared" si="125"/>
        <v/>
      </c>
      <c r="M2150" s="94"/>
      <c r="N2150" s="36"/>
      <c r="O2150" s="95"/>
      <c r="P2150" s="36"/>
      <c r="AI2150" s="122">
        <v>1838</v>
      </c>
      <c r="AJ2150" s="1" t="s">
        <v>1141</v>
      </c>
      <c r="AK2150" s="1" t="s">
        <v>1141</v>
      </c>
    </row>
    <row r="2151" spans="2:37" ht="14.25">
      <c r="B2151" s="36"/>
      <c r="C2151" s="36"/>
      <c r="D2151" s="36"/>
      <c r="E2151" s="36"/>
      <c r="F2151" s="36"/>
      <c r="G2151" s="36"/>
      <c r="H2151" s="36"/>
      <c r="J2151" s="36"/>
      <c r="L2151" s="1" t="str">
        <f t="shared" si="125"/>
        <v/>
      </c>
      <c r="M2151" s="94"/>
      <c r="N2151" s="36"/>
      <c r="O2151" s="95"/>
      <c r="P2151" s="36"/>
      <c r="AI2151" s="122">
        <v>1839</v>
      </c>
      <c r="AJ2151" s="1" t="s">
        <v>1141</v>
      </c>
      <c r="AK2151" s="1" t="s">
        <v>1141</v>
      </c>
    </row>
    <row r="2152" spans="2:37" ht="14.25">
      <c r="B2152" s="36"/>
      <c r="C2152" s="36"/>
      <c r="D2152" s="36"/>
      <c r="E2152" s="36"/>
      <c r="F2152" s="36"/>
      <c r="G2152" s="36"/>
      <c r="H2152" s="36"/>
      <c r="J2152" s="36"/>
      <c r="L2152" s="1" t="str">
        <f t="shared" si="125"/>
        <v/>
      </c>
      <c r="M2152" s="94"/>
      <c r="N2152" s="36"/>
      <c r="O2152" s="95"/>
      <c r="P2152" s="36"/>
      <c r="AI2152" s="122">
        <v>1840</v>
      </c>
      <c r="AJ2152" s="1" t="s">
        <v>1141</v>
      </c>
      <c r="AK2152" s="1" t="s">
        <v>1141</v>
      </c>
    </row>
    <row r="2153" spans="2:37" ht="14.25">
      <c r="B2153" s="36"/>
      <c r="C2153" s="36"/>
      <c r="D2153" s="36"/>
      <c r="E2153" s="36"/>
      <c r="F2153" s="36"/>
      <c r="G2153" s="36"/>
      <c r="H2153" s="36"/>
      <c r="J2153" s="36"/>
      <c r="L2153" s="1" t="str">
        <f t="shared" si="125"/>
        <v/>
      </c>
      <c r="M2153" s="94"/>
      <c r="N2153" s="36"/>
      <c r="O2153" s="95"/>
      <c r="P2153" s="36"/>
      <c r="AI2153" s="122">
        <v>1841</v>
      </c>
      <c r="AJ2153" s="1" t="s">
        <v>1141</v>
      </c>
      <c r="AK2153" s="1" t="s">
        <v>1141</v>
      </c>
    </row>
    <row r="2154" spans="2:37" ht="14.25">
      <c r="B2154" s="36"/>
      <c r="C2154" s="36"/>
      <c r="D2154" s="36"/>
      <c r="E2154" s="36"/>
      <c r="F2154" s="36"/>
      <c r="G2154" s="36"/>
      <c r="H2154" s="36"/>
      <c r="J2154" s="36"/>
      <c r="L2154" s="1" t="str">
        <f t="shared" si="125"/>
        <v/>
      </c>
      <c r="M2154" s="94"/>
      <c r="N2154" s="36"/>
      <c r="O2154" s="95"/>
      <c r="P2154" s="36"/>
      <c r="AI2154" s="122">
        <v>1842</v>
      </c>
      <c r="AJ2154" s="1" t="s">
        <v>1141</v>
      </c>
      <c r="AK2154" s="1" t="s">
        <v>1141</v>
      </c>
    </row>
    <row r="2155" spans="2:37" ht="14.25">
      <c r="B2155" s="36"/>
      <c r="C2155" s="36"/>
      <c r="D2155" s="36"/>
      <c r="E2155" s="36"/>
      <c r="F2155" s="36"/>
      <c r="G2155" s="36"/>
      <c r="H2155" s="36"/>
      <c r="J2155" s="36"/>
      <c r="L2155" s="1" t="str">
        <f t="shared" si="125"/>
        <v/>
      </c>
      <c r="M2155" s="94"/>
      <c r="N2155" s="36"/>
      <c r="O2155" s="95"/>
      <c r="P2155" s="36"/>
      <c r="AI2155" s="122">
        <v>1843</v>
      </c>
      <c r="AJ2155" s="1" t="s">
        <v>1141</v>
      </c>
      <c r="AK2155" s="1" t="s">
        <v>1141</v>
      </c>
    </row>
    <row r="2156" spans="2:37" ht="14.25">
      <c r="B2156" s="36"/>
      <c r="C2156" s="36"/>
      <c r="D2156" s="36"/>
      <c r="E2156" s="36"/>
      <c r="F2156" s="36"/>
      <c r="G2156" s="36"/>
      <c r="H2156" s="36"/>
      <c r="J2156" s="36"/>
      <c r="L2156" s="1" t="str">
        <f t="shared" si="125"/>
        <v/>
      </c>
      <c r="M2156" s="94"/>
      <c r="N2156" s="36"/>
      <c r="O2156" s="95"/>
      <c r="P2156" s="36"/>
      <c r="AI2156" s="122">
        <v>1844</v>
      </c>
      <c r="AJ2156" s="1" t="s">
        <v>1141</v>
      </c>
      <c r="AK2156" s="1" t="s">
        <v>1141</v>
      </c>
    </row>
    <row r="2157" spans="2:37" ht="14.25">
      <c r="B2157" s="36"/>
      <c r="C2157" s="36"/>
      <c r="D2157" s="36"/>
      <c r="E2157" s="36"/>
      <c r="F2157" s="36"/>
      <c r="G2157" s="36"/>
      <c r="H2157" s="36"/>
      <c r="J2157" s="36"/>
      <c r="L2157" s="1" t="str">
        <f t="shared" si="125"/>
        <v/>
      </c>
      <c r="M2157" s="94"/>
      <c r="N2157" s="36"/>
      <c r="O2157" s="95"/>
      <c r="P2157" s="36"/>
      <c r="AI2157" s="122">
        <v>1845</v>
      </c>
      <c r="AJ2157" s="1" t="s">
        <v>1141</v>
      </c>
      <c r="AK2157" s="1" t="s">
        <v>1141</v>
      </c>
    </row>
    <row r="2158" spans="2:37" ht="14.25">
      <c r="B2158" s="36"/>
      <c r="C2158" s="36"/>
      <c r="D2158" s="36"/>
      <c r="E2158" s="36"/>
      <c r="F2158" s="36"/>
      <c r="G2158" s="36"/>
      <c r="H2158" s="36"/>
      <c r="J2158" s="36"/>
      <c r="L2158" s="1" t="str">
        <f t="shared" si="125"/>
        <v/>
      </c>
      <c r="M2158" s="94"/>
      <c r="N2158" s="36"/>
      <c r="O2158" s="95"/>
      <c r="P2158" s="36"/>
      <c r="AI2158" s="122">
        <v>1846</v>
      </c>
      <c r="AJ2158" s="1" t="s">
        <v>1141</v>
      </c>
      <c r="AK2158" s="1" t="s">
        <v>1141</v>
      </c>
    </row>
    <row r="2159" spans="2:37" ht="14.25">
      <c r="B2159" s="36"/>
      <c r="C2159" s="36"/>
      <c r="D2159" s="36"/>
      <c r="E2159" s="36"/>
      <c r="F2159" s="36"/>
      <c r="G2159" s="36"/>
      <c r="H2159" s="36"/>
      <c r="J2159" s="36"/>
      <c r="L2159" s="1" t="str">
        <f t="shared" si="125"/>
        <v/>
      </c>
      <c r="M2159" s="94"/>
      <c r="N2159" s="36"/>
      <c r="O2159" s="95"/>
      <c r="P2159" s="36"/>
      <c r="AI2159" s="122">
        <v>1847</v>
      </c>
      <c r="AJ2159" s="1" t="s">
        <v>1141</v>
      </c>
      <c r="AK2159" s="1" t="s">
        <v>1141</v>
      </c>
    </row>
    <row r="2160" spans="2:37" ht="14.25">
      <c r="B2160" s="36"/>
      <c r="C2160" s="36"/>
      <c r="D2160" s="36"/>
      <c r="E2160" s="36"/>
      <c r="F2160" s="36"/>
      <c r="G2160" s="36"/>
      <c r="H2160" s="36"/>
      <c r="J2160" s="36"/>
      <c r="L2160" s="1" t="str">
        <f t="shared" si="125"/>
        <v/>
      </c>
      <c r="M2160" s="94"/>
      <c r="N2160" s="36"/>
      <c r="O2160" s="95"/>
      <c r="P2160" s="36"/>
      <c r="AI2160" s="122">
        <v>1848</v>
      </c>
      <c r="AJ2160" s="1" t="s">
        <v>1141</v>
      </c>
      <c r="AK2160" s="1" t="s">
        <v>1141</v>
      </c>
    </row>
    <row r="2161" spans="2:37" ht="14.25">
      <c r="B2161" s="36"/>
      <c r="C2161" s="36"/>
      <c r="D2161" s="36"/>
      <c r="E2161" s="36"/>
      <c r="F2161" s="36"/>
      <c r="G2161" s="36"/>
      <c r="H2161" s="36"/>
      <c r="J2161" s="36"/>
      <c r="L2161" s="1" t="str">
        <f t="shared" si="125"/>
        <v/>
      </c>
      <c r="M2161" s="94"/>
      <c r="N2161" s="36"/>
      <c r="O2161" s="95"/>
      <c r="P2161" s="36"/>
      <c r="AI2161" s="122">
        <v>1849</v>
      </c>
      <c r="AJ2161" s="1" t="s">
        <v>1141</v>
      </c>
      <c r="AK2161" s="1" t="s">
        <v>1141</v>
      </c>
    </row>
    <row r="2162" spans="2:37" ht="14.25">
      <c r="B2162" s="36"/>
      <c r="C2162" s="36"/>
      <c r="D2162" s="36"/>
      <c r="E2162" s="36"/>
      <c r="F2162" s="36"/>
      <c r="G2162" s="36"/>
      <c r="H2162" s="36"/>
      <c r="J2162" s="36"/>
      <c r="L2162" s="1" t="str">
        <f t="shared" si="125"/>
        <v/>
      </c>
      <c r="M2162" s="94"/>
      <c r="N2162" s="36"/>
      <c r="O2162" s="95"/>
      <c r="P2162" s="36"/>
      <c r="AI2162" s="122">
        <v>1850</v>
      </c>
      <c r="AJ2162" s="1" t="s">
        <v>1141</v>
      </c>
      <c r="AK2162" s="1" t="s">
        <v>1141</v>
      </c>
    </row>
    <row r="2163" spans="2:37" ht="14.25">
      <c r="B2163" s="36"/>
      <c r="C2163" s="36"/>
      <c r="D2163" s="36"/>
      <c r="E2163" s="36"/>
      <c r="F2163" s="36"/>
      <c r="G2163" s="36"/>
      <c r="H2163" s="36"/>
      <c r="J2163" s="36"/>
      <c r="L2163" s="1" t="str">
        <f t="shared" si="125"/>
        <v/>
      </c>
      <c r="M2163" s="94"/>
      <c r="N2163" s="36"/>
      <c r="O2163" s="95"/>
      <c r="P2163" s="36"/>
      <c r="AI2163" s="122">
        <v>1851</v>
      </c>
      <c r="AJ2163" s="1" t="s">
        <v>1141</v>
      </c>
      <c r="AK2163" s="1" t="s">
        <v>1141</v>
      </c>
    </row>
    <row r="2164" spans="2:37" ht="14.25">
      <c r="B2164" s="36"/>
      <c r="C2164" s="36"/>
      <c r="D2164" s="36"/>
      <c r="E2164" s="36"/>
      <c r="F2164" s="36"/>
      <c r="G2164" s="36"/>
      <c r="H2164" s="36"/>
      <c r="J2164" s="36"/>
      <c r="L2164" s="1" t="str">
        <f t="shared" si="125"/>
        <v/>
      </c>
      <c r="M2164" s="94"/>
      <c r="N2164" s="36"/>
      <c r="O2164" s="95"/>
      <c r="P2164" s="36"/>
      <c r="AI2164" s="122">
        <v>1852</v>
      </c>
      <c r="AJ2164" s="1" t="s">
        <v>1141</v>
      </c>
      <c r="AK2164" s="1" t="s">
        <v>1141</v>
      </c>
    </row>
    <row r="2165" spans="2:37" ht="14.25">
      <c r="B2165" s="36"/>
      <c r="C2165" s="36"/>
      <c r="D2165" s="36"/>
      <c r="E2165" s="36"/>
      <c r="F2165" s="36"/>
      <c r="G2165" s="36"/>
      <c r="H2165" s="36"/>
      <c r="J2165" s="36"/>
      <c r="L2165" s="1" t="str">
        <f t="shared" si="125"/>
        <v/>
      </c>
      <c r="M2165" s="94"/>
      <c r="N2165" s="36"/>
      <c r="O2165" s="95"/>
      <c r="P2165" s="36"/>
      <c r="AI2165" s="122">
        <v>1853</v>
      </c>
      <c r="AJ2165" s="1" t="s">
        <v>1141</v>
      </c>
      <c r="AK2165" s="1" t="s">
        <v>1141</v>
      </c>
    </row>
    <row r="2166" spans="2:37" ht="14.25">
      <c r="B2166" s="36"/>
      <c r="C2166" s="36"/>
      <c r="D2166" s="36"/>
      <c r="E2166" s="36"/>
      <c r="F2166" s="36"/>
      <c r="G2166" s="36"/>
      <c r="H2166" s="36"/>
      <c r="J2166" s="36"/>
      <c r="L2166" s="1" t="str">
        <f t="shared" si="125"/>
        <v/>
      </c>
      <c r="M2166" s="94"/>
      <c r="N2166" s="36"/>
      <c r="O2166" s="95"/>
      <c r="P2166" s="36"/>
      <c r="AI2166" s="122">
        <v>1854</v>
      </c>
      <c r="AJ2166" s="1" t="s">
        <v>1141</v>
      </c>
      <c r="AK2166" s="1" t="s">
        <v>1141</v>
      </c>
    </row>
    <row r="2167" spans="2:37" ht="14.25">
      <c r="B2167" s="36"/>
      <c r="C2167" s="36"/>
      <c r="D2167" s="36"/>
      <c r="E2167" s="36"/>
      <c r="F2167" s="36"/>
      <c r="G2167" s="36"/>
      <c r="H2167" s="36"/>
      <c r="J2167" s="36"/>
      <c r="L2167" s="1" t="str">
        <f t="shared" si="125"/>
        <v/>
      </c>
      <c r="M2167" s="94"/>
      <c r="N2167" s="36"/>
      <c r="O2167" s="95"/>
      <c r="P2167" s="36"/>
      <c r="AI2167" s="122">
        <v>1855</v>
      </c>
      <c r="AJ2167" s="1" t="s">
        <v>1141</v>
      </c>
      <c r="AK2167" s="1" t="s">
        <v>1141</v>
      </c>
    </row>
    <row r="2168" spans="2:37" ht="14.25">
      <c r="B2168" s="36"/>
      <c r="C2168" s="36"/>
      <c r="D2168" s="36"/>
      <c r="E2168" s="36"/>
      <c r="F2168" s="36"/>
      <c r="G2168" s="36"/>
      <c r="H2168" s="36"/>
      <c r="J2168" s="36"/>
      <c r="L2168" s="1" t="str">
        <f t="shared" si="125"/>
        <v/>
      </c>
      <c r="M2168" s="94"/>
      <c r="N2168" s="36"/>
      <c r="O2168" s="95"/>
      <c r="P2168" s="36"/>
      <c r="AI2168" s="122">
        <v>1856</v>
      </c>
      <c r="AJ2168" s="1" t="s">
        <v>1141</v>
      </c>
      <c r="AK2168" s="1" t="s">
        <v>1141</v>
      </c>
    </row>
    <row r="2169" spans="2:37" ht="14.25">
      <c r="B2169" s="36"/>
      <c r="C2169" s="36"/>
      <c r="D2169" s="36"/>
      <c r="E2169" s="36"/>
      <c r="F2169" s="36"/>
      <c r="G2169" s="36"/>
      <c r="H2169" s="36"/>
      <c r="J2169" s="36"/>
      <c r="L2169" s="1" t="str">
        <f t="shared" si="125"/>
        <v/>
      </c>
      <c r="M2169" s="94"/>
      <c r="N2169" s="36"/>
      <c r="O2169" s="95"/>
      <c r="P2169" s="36"/>
      <c r="AI2169" s="122">
        <v>1857</v>
      </c>
      <c r="AJ2169" s="1" t="s">
        <v>1141</v>
      </c>
      <c r="AK2169" s="1" t="s">
        <v>1141</v>
      </c>
    </row>
    <row r="2170" spans="2:37" ht="14.25">
      <c r="B2170" s="36"/>
      <c r="C2170" s="36"/>
      <c r="D2170" s="36"/>
      <c r="E2170" s="36"/>
      <c r="F2170" s="36"/>
      <c r="G2170" s="36"/>
      <c r="H2170" s="36"/>
      <c r="J2170" s="36"/>
      <c r="L2170" s="1" t="str">
        <f t="shared" si="125"/>
        <v/>
      </c>
      <c r="M2170" s="94"/>
      <c r="N2170" s="36"/>
      <c r="O2170" s="95"/>
      <c r="P2170" s="36"/>
      <c r="AI2170" s="122">
        <v>1858</v>
      </c>
      <c r="AJ2170" s="1" t="s">
        <v>1141</v>
      </c>
      <c r="AK2170" s="1" t="s">
        <v>1141</v>
      </c>
    </row>
    <row r="2171" spans="2:37" ht="14.25">
      <c r="B2171" s="36"/>
      <c r="C2171" s="36"/>
      <c r="D2171" s="36"/>
      <c r="E2171" s="36"/>
      <c r="F2171" s="36"/>
      <c r="G2171" s="36"/>
      <c r="H2171" s="36"/>
      <c r="J2171" s="36"/>
      <c r="L2171" s="1" t="str">
        <f t="shared" si="125"/>
        <v/>
      </c>
      <c r="M2171" s="94"/>
      <c r="N2171" s="36"/>
      <c r="O2171" s="95"/>
      <c r="P2171" s="36"/>
      <c r="AI2171" s="122">
        <v>1859</v>
      </c>
      <c r="AJ2171" s="1" t="s">
        <v>1141</v>
      </c>
      <c r="AK2171" s="1" t="s">
        <v>1141</v>
      </c>
    </row>
    <row r="2172" spans="2:37" ht="14.25">
      <c r="B2172" s="36"/>
      <c r="C2172" s="36"/>
      <c r="D2172" s="36"/>
      <c r="E2172" s="36"/>
      <c r="F2172" s="36"/>
      <c r="G2172" s="36"/>
      <c r="H2172" s="36"/>
      <c r="J2172" s="36"/>
      <c r="L2172" s="1" t="str">
        <f t="shared" si="125"/>
        <v/>
      </c>
      <c r="M2172" s="94"/>
      <c r="N2172" s="36"/>
      <c r="O2172" s="95"/>
      <c r="P2172" s="36"/>
      <c r="AI2172" s="122">
        <v>1860</v>
      </c>
      <c r="AJ2172" s="1" t="s">
        <v>1141</v>
      </c>
      <c r="AK2172" s="1" t="s">
        <v>1141</v>
      </c>
    </row>
    <row r="2173" spans="2:37" ht="14.25">
      <c r="B2173" s="36"/>
      <c r="C2173" s="36"/>
      <c r="D2173" s="36"/>
      <c r="E2173" s="36"/>
      <c r="F2173" s="36"/>
      <c r="G2173" s="36"/>
      <c r="H2173" s="36"/>
      <c r="J2173" s="36"/>
      <c r="L2173" s="1" t="str">
        <f t="shared" si="125"/>
        <v/>
      </c>
      <c r="M2173" s="94"/>
      <c r="N2173" s="36"/>
      <c r="O2173" s="95"/>
      <c r="P2173" s="36"/>
      <c r="AI2173" s="122">
        <v>1861</v>
      </c>
      <c r="AJ2173" s="1" t="s">
        <v>1141</v>
      </c>
      <c r="AK2173" s="1" t="s">
        <v>1141</v>
      </c>
    </row>
    <row r="2174" spans="2:37" ht="14.25">
      <c r="B2174" s="36"/>
      <c r="C2174" s="36"/>
      <c r="D2174" s="36"/>
      <c r="E2174" s="36"/>
      <c r="F2174" s="36"/>
      <c r="G2174" s="36"/>
      <c r="H2174" s="36"/>
      <c r="J2174" s="36"/>
      <c r="L2174" s="1" t="str">
        <f t="shared" si="125"/>
        <v/>
      </c>
      <c r="M2174" s="94"/>
      <c r="N2174" s="36"/>
      <c r="O2174" s="95"/>
      <c r="P2174" s="36"/>
      <c r="AI2174" s="122">
        <v>1862</v>
      </c>
      <c r="AJ2174" s="1" t="s">
        <v>1141</v>
      </c>
      <c r="AK2174" s="1" t="s">
        <v>1141</v>
      </c>
    </row>
    <row r="2175" spans="2:37" ht="14.25">
      <c r="B2175" s="36"/>
      <c r="C2175" s="36"/>
      <c r="D2175" s="36"/>
      <c r="E2175" s="36"/>
      <c r="F2175" s="36"/>
      <c r="G2175" s="36"/>
      <c r="H2175" s="36"/>
      <c r="J2175" s="36"/>
      <c r="L2175" s="1" t="str">
        <f t="shared" si="125"/>
        <v/>
      </c>
      <c r="M2175" s="94"/>
      <c r="N2175" s="36"/>
      <c r="O2175" s="95"/>
      <c r="P2175" s="36"/>
      <c r="AI2175" s="122">
        <v>1863</v>
      </c>
      <c r="AJ2175" s="1" t="s">
        <v>1141</v>
      </c>
      <c r="AK2175" s="1" t="s">
        <v>1141</v>
      </c>
    </row>
    <row r="2176" spans="2:37" ht="14.25">
      <c r="B2176" s="36"/>
      <c r="C2176" s="36"/>
      <c r="D2176" s="36"/>
      <c r="E2176" s="36"/>
      <c r="F2176" s="36"/>
      <c r="G2176" s="36"/>
      <c r="H2176" s="36"/>
      <c r="J2176" s="36"/>
      <c r="L2176" s="1" t="str">
        <f t="shared" si="125"/>
        <v/>
      </c>
      <c r="M2176" s="94"/>
      <c r="N2176" s="36"/>
      <c r="O2176" s="95"/>
      <c r="P2176" s="36"/>
      <c r="AI2176" s="122">
        <v>1864</v>
      </c>
      <c r="AJ2176" s="1" t="s">
        <v>1141</v>
      </c>
      <c r="AK2176" s="1" t="s">
        <v>1141</v>
      </c>
    </row>
    <row r="2177" spans="2:37" ht="14.25">
      <c r="B2177" s="36"/>
      <c r="C2177" s="36"/>
      <c r="D2177" s="36"/>
      <c r="E2177" s="36"/>
      <c r="F2177" s="36"/>
      <c r="G2177" s="36"/>
      <c r="H2177" s="36"/>
      <c r="J2177" s="36"/>
      <c r="L2177" s="1" t="str">
        <f t="shared" si="125"/>
        <v/>
      </c>
      <c r="M2177" s="94"/>
      <c r="N2177" s="36"/>
      <c r="O2177" s="95"/>
      <c r="P2177" s="36"/>
      <c r="AI2177" s="122">
        <v>1865</v>
      </c>
      <c r="AJ2177" s="1" t="s">
        <v>1141</v>
      </c>
      <c r="AK2177" s="1" t="s">
        <v>1141</v>
      </c>
    </row>
    <row r="2178" spans="2:37" ht="14.25">
      <c r="B2178" s="36"/>
      <c r="C2178" s="36"/>
      <c r="D2178" s="36"/>
      <c r="E2178" s="36"/>
      <c r="F2178" s="36"/>
      <c r="G2178" s="36"/>
      <c r="H2178" s="36"/>
      <c r="J2178" s="36"/>
      <c r="L2178" s="1" t="str">
        <f t="shared" si="125"/>
        <v/>
      </c>
      <c r="M2178" s="94"/>
      <c r="N2178" s="36"/>
      <c r="O2178" s="95"/>
      <c r="P2178" s="36"/>
      <c r="AI2178" s="122">
        <v>1866</v>
      </c>
      <c r="AJ2178" s="1" t="s">
        <v>1141</v>
      </c>
      <c r="AK2178" s="1" t="s">
        <v>1141</v>
      </c>
    </row>
    <row r="2179" spans="2:37" ht="14.25">
      <c r="B2179" s="36"/>
      <c r="C2179" s="36"/>
      <c r="D2179" s="36"/>
      <c r="E2179" s="36"/>
      <c r="F2179" s="36"/>
      <c r="G2179" s="36"/>
      <c r="H2179" s="36"/>
      <c r="J2179" s="36"/>
      <c r="L2179" s="1" t="str">
        <f t="shared" si="125"/>
        <v/>
      </c>
      <c r="M2179" s="94"/>
      <c r="N2179" s="36"/>
      <c r="O2179" s="95"/>
      <c r="P2179" s="36"/>
      <c r="AI2179" s="122">
        <v>1867</v>
      </c>
      <c r="AJ2179" s="1" t="s">
        <v>1141</v>
      </c>
      <c r="AK2179" s="1" t="s">
        <v>1141</v>
      </c>
    </row>
    <row r="2180" spans="2:37" ht="14.25">
      <c r="B2180" s="36"/>
      <c r="C2180" s="36"/>
      <c r="D2180" s="36"/>
      <c r="E2180" s="36"/>
      <c r="F2180" s="36"/>
      <c r="G2180" s="36"/>
      <c r="H2180" s="36"/>
      <c r="J2180" s="36"/>
      <c r="L2180" s="1" t="str">
        <f t="shared" ref="L2180:L2243" si="126">IF(AND(MIN(I:I)&lt;20,MAX(I:I)&gt;980,I2180&lt;20),I2180,"")</f>
        <v/>
      </c>
      <c r="M2180" s="94"/>
      <c r="N2180" s="36"/>
      <c r="O2180" s="95"/>
      <c r="P2180" s="36"/>
      <c r="AI2180" s="122">
        <v>1868</v>
      </c>
      <c r="AJ2180" s="1" t="s">
        <v>1141</v>
      </c>
      <c r="AK2180" s="1" t="s">
        <v>1141</v>
      </c>
    </row>
    <row r="2181" spans="2:37" ht="14.25">
      <c r="B2181" s="36"/>
      <c r="C2181" s="36"/>
      <c r="D2181" s="36"/>
      <c r="E2181" s="36"/>
      <c r="F2181" s="36"/>
      <c r="G2181" s="36"/>
      <c r="H2181" s="36"/>
      <c r="J2181" s="36"/>
      <c r="L2181" s="1" t="str">
        <f t="shared" si="126"/>
        <v/>
      </c>
      <c r="M2181" s="94"/>
      <c r="N2181" s="36"/>
      <c r="O2181" s="95"/>
      <c r="P2181" s="36"/>
      <c r="AI2181" s="122">
        <v>1869</v>
      </c>
      <c r="AJ2181" s="1" t="s">
        <v>1141</v>
      </c>
      <c r="AK2181" s="1" t="s">
        <v>1141</v>
      </c>
    </row>
    <row r="2182" spans="2:37" ht="14.25">
      <c r="B2182" s="36"/>
      <c r="C2182" s="36"/>
      <c r="D2182" s="36"/>
      <c r="E2182" s="36"/>
      <c r="F2182" s="36"/>
      <c r="G2182" s="36"/>
      <c r="H2182" s="36"/>
      <c r="J2182" s="36"/>
      <c r="L2182" s="1" t="str">
        <f t="shared" si="126"/>
        <v/>
      </c>
      <c r="M2182" s="94"/>
      <c r="N2182" s="36"/>
      <c r="O2182" s="95"/>
      <c r="P2182" s="36"/>
      <c r="AI2182" s="122">
        <v>1870</v>
      </c>
      <c r="AJ2182" s="1" t="s">
        <v>1141</v>
      </c>
      <c r="AK2182" s="1" t="s">
        <v>1141</v>
      </c>
    </row>
    <row r="2183" spans="2:37" ht="14.25">
      <c r="B2183" s="36"/>
      <c r="C2183" s="36"/>
      <c r="D2183" s="36"/>
      <c r="E2183" s="36"/>
      <c r="F2183" s="36"/>
      <c r="G2183" s="36"/>
      <c r="H2183" s="36"/>
      <c r="J2183" s="36"/>
      <c r="L2183" s="1" t="str">
        <f t="shared" si="126"/>
        <v/>
      </c>
      <c r="M2183" s="94"/>
      <c r="N2183" s="36"/>
      <c r="O2183" s="95"/>
      <c r="P2183" s="36"/>
      <c r="AI2183" s="122">
        <v>1871</v>
      </c>
      <c r="AJ2183" s="1" t="s">
        <v>1141</v>
      </c>
      <c r="AK2183" s="1" t="s">
        <v>1141</v>
      </c>
    </row>
    <row r="2184" spans="2:37" ht="14.25">
      <c r="B2184" s="36"/>
      <c r="C2184" s="36"/>
      <c r="D2184" s="36"/>
      <c r="E2184" s="36"/>
      <c r="F2184" s="36"/>
      <c r="G2184" s="36"/>
      <c r="H2184" s="36"/>
      <c r="J2184" s="36"/>
      <c r="L2184" s="1" t="str">
        <f t="shared" si="126"/>
        <v/>
      </c>
      <c r="M2184" s="94"/>
      <c r="N2184" s="36"/>
      <c r="O2184" s="95"/>
      <c r="P2184" s="36"/>
      <c r="AI2184" s="122">
        <v>1872</v>
      </c>
      <c r="AJ2184" s="1" t="s">
        <v>1141</v>
      </c>
      <c r="AK2184" s="1" t="s">
        <v>1141</v>
      </c>
    </row>
    <row r="2185" spans="2:37" ht="14.25">
      <c r="B2185" s="36"/>
      <c r="C2185" s="36"/>
      <c r="D2185" s="36"/>
      <c r="E2185" s="36"/>
      <c r="F2185" s="36"/>
      <c r="G2185" s="36"/>
      <c r="H2185" s="36"/>
      <c r="J2185" s="36"/>
      <c r="L2185" s="1" t="str">
        <f t="shared" si="126"/>
        <v/>
      </c>
      <c r="M2185" s="94"/>
      <c r="N2185" s="36"/>
      <c r="O2185" s="95"/>
      <c r="P2185" s="36"/>
      <c r="AI2185" s="122">
        <v>1873</v>
      </c>
      <c r="AJ2185" s="1" t="s">
        <v>1141</v>
      </c>
      <c r="AK2185" s="1" t="s">
        <v>1141</v>
      </c>
    </row>
    <row r="2186" spans="2:37" ht="14.25">
      <c r="B2186" s="36"/>
      <c r="C2186" s="36"/>
      <c r="D2186" s="36"/>
      <c r="E2186" s="36"/>
      <c r="F2186" s="36"/>
      <c r="G2186" s="36"/>
      <c r="H2186" s="36"/>
      <c r="J2186" s="36"/>
      <c r="L2186" s="1" t="str">
        <f t="shared" si="126"/>
        <v/>
      </c>
      <c r="M2186" s="94"/>
      <c r="N2186" s="36"/>
      <c r="O2186" s="95"/>
      <c r="P2186" s="36"/>
      <c r="AI2186" s="122">
        <v>1874</v>
      </c>
      <c r="AJ2186" s="1" t="s">
        <v>1141</v>
      </c>
      <c r="AK2186" s="1" t="s">
        <v>1141</v>
      </c>
    </row>
    <row r="2187" spans="2:37" ht="14.25">
      <c r="B2187" s="36"/>
      <c r="C2187" s="36"/>
      <c r="D2187" s="36"/>
      <c r="E2187" s="36"/>
      <c r="F2187" s="36"/>
      <c r="G2187" s="36"/>
      <c r="H2187" s="36"/>
      <c r="J2187" s="36"/>
      <c r="L2187" s="1" t="str">
        <f t="shared" si="126"/>
        <v/>
      </c>
      <c r="M2187" s="94"/>
      <c r="N2187" s="36"/>
      <c r="O2187" s="95"/>
      <c r="P2187" s="36"/>
      <c r="AI2187" s="122">
        <v>1875</v>
      </c>
      <c r="AJ2187" s="1" t="s">
        <v>1141</v>
      </c>
      <c r="AK2187" s="1" t="s">
        <v>1141</v>
      </c>
    </row>
    <row r="2188" spans="2:37" ht="14.25">
      <c r="B2188" s="36"/>
      <c r="C2188" s="36"/>
      <c r="D2188" s="36"/>
      <c r="E2188" s="36"/>
      <c r="F2188" s="36"/>
      <c r="G2188" s="36"/>
      <c r="H2188" s="36"/>
      <c r="J2188" s="36"/>
      <c r="L2188" s="1" t="str">
        <f t="shared" si="126"/>
        <v/>
      </c>
      <c r="M2188" s="94"/>
      <c r="N2188" s="36"/>
      <c r="O2188" s="95"/>
      <c r="P2188" s="36"/>
      <c r="AI2188" s="122">
        <v>1876</v>
      </c>
      <c r="AJ2188" s="1" t="s">
        <v>1141</v>
      </c>
      <c r="AK2188" s="1" t="s">
        <v>1141</v>
      </c>
    </row>
    <row r="2189" spans="2:37" ht="14.25">
      <c r="B2189" s="36"/>
      <c r="C2189" s="36"/>
      <c r="D2189" s="36"/>
      <c r="E2189" s="36"/>
      <c r="F2189" s="36"/>
      <c r="G2189" s="36"/>
      <c r="H2189" s="36"/>
      <c r="J2189" s="36"/>
      <c r="L2189" s="1" t="str">
        <f t="shared" si="126"/>
        <v/>
      </c>
      <c r="M2189" s="94"/>
      <c r="N2189" s="36"/>
      <c r="O2189" s="95"/>
      <c r="P2189" s="36"/>
      <c r="AI2189" s="122">
        <v>1877</v>
      </c>
      <c r="AJ2189" s="1" t="s">
        <v>1141</v>
      </c>
      <c r="AK2189" s="1" t="s">
        <v>1141</v>
      </c>
    </row>
    <row r="2190" spans="2:37" ht="14.25">
      <c r="B2190" s="36"/>
      <c r="C2190" s="36"/>
      <c r="D2190" s="36"/>
      <c r="E2190" s="36"/>
      <c r="F2190" s="36"/>
      <c r="G2190" s="36"/>
      <c r="H2190" s="36"/>
      <c r="J2190" s="36"/>
      <c r="L2190" s="1" t="str">
        <f t="shared" si="126"/>
        <v/>
      </c>
      <c r="M2190" s="94"/>
      <c r="N2190" s="36"/>
      <c r="O2190" s="95"/>
      <c r="P2190" s="36"/>
      <c r="AI2190" s="122">
        <v>1878</v>
      </c>
      <c r="AJ2190" s="1" t="s">
        <v>1141</v>
      </c>
      <c r="AK2190" s="1" t="s">
        <v>1141</v>
      </c>
    </row>
    <row r="2191" spans="2:37" ht="14.25">
      <c r="B2191" s="36"/>
      <c r="C2191" s="36"/>
      <c r="D2191" s="36"/>
      <c r="E2191" s="36"/>
      <c r="F2191" s="36"/>
      <c r="G2191" s="36"/>
      <c r="H2191" s="36"/>
      <c r="J2191" s="36"/>
      <c r="L2191" s="1" t="str">
        <f t="shared" si="126"/>
        <v/>
      </c>
      <c r="M2191" s="94"/>
      <c r="N2191" s="36"/>
      <c r="O2191" s="95"/>
      <c r="P2191" s="36"/>
      <c r="AI2191" s="122">
        <v>1879</v>
      </c>
      <c r="AJ2191" s="1" t="s">
        <v>1141</v>
      </c>
      <c r="AK2191" s="1" t="s">
        <v>1141</v>
      </c>
    </row>
    <row r="2192" spans="2:37" ht="14.25">
      <c r="B2192" s="36"/>
      <c r="C2192" s="36"/>
      <c r="D2192" s="36"/>
      <c r="E2192" s="36"/>
      <c r="F2192" s="36"/>
      <c r="G2192" s="36"/>
      <c r="H2192" s="36"/>
      <c r="J2192" s="36"/>
      <c r="L2192" s="1" t="str">
        <f t="shared" si="126"/>
        <v/>
      </c>
      <c r="M2192" s="94"/>
      <c r="N2192" s="36"/>
      <c r="O2192" s="95"/>
      <c r="P2192" s="36"/>
      <c r="AI2192" s="122">
        <v>1880</v>
      </c>
      <c r="AJ2192" s="1" t="s">
        <v>1141</v>
      </c>
      <c r="AK2192" s="1" t="s">
        <v>1141</v>
      </c>
    </row>
    <row r="2193" spans="2:37" ht="14.25">
      <c r="B2193" s="36"/>
      <c r="C2193" s="36"/>
      <c r="D2193" s="36"/>
      <c r="E2193" s="36"/>
      <c r="F2193" s="36"/>
      <c r="G2193" s="36"/>
      <c r="H2193" s="36"/>
      <c r="J2193" s="36"/>
      <c r="L2193" s="1" t="str">
        <f t="shared" si="126"/>
        <v/>
      </c>
      <c r="M2193" s="94"/>
      <c r="N2193" s="36"/>
      <c r="O2193" s="95"/>
      <c r="P2193" s="36"/>
      <c r="AI2193" s="122">
        <v>1881</v>
      </c>
      <c r="AJ2193" s="1" t="s">
        <v>1141</v>
      </c>
      <c r="AK2193" s="1" t="s">
        <v>1141</v>
      </c>
    </row>
    <row r="2194" spans="2:37" ht="14.25">
      <c r="B2194" s="36"/>
      <c r="C2194" s="36"/>
      <c r="D2194" s="36"/>
      <c r="E2194" s="36"/>
      <c r="F2194" s="36"/>
      <c r="G2194" s="36"/>
      <c r="H2194" s="36"/>
      <c r="J2194" s="36"/>
      <c r="L2194" s="1" t="str">
        <f t="shared" si="126"/>
        <v/>
      </c>
      <c r="M2194" s="94"/>
      <c r="N2194" s="36"/>
      <c r="O2194" s="95"/>
      <c r="P2194" s="36"/>
      <c r="AI2194" s="122">
        <v>1882</v>
      </c>
      <c r="AJ2194" s="1" t="s">
        <v>1141</v>
      </c>
      <c r="AK2194" s="1" t="s">
        <v>1141</v>
      </c>
    </row>
    <row r="2195" spans="2:37" ht="14.25">
      <c r="B2195" s="36"/>
      <c r="C2195" s="36"/>
      <c r="D2195" s="36"/>
      <c r="E2195" s="36"/>
      <c r="F2195" s="36"/>
      <c r="G2195" s="36"/>
      <c r="H2195" s="36"/>
      <c r="J2195" s="36"/>
      <c r="L2195" s="1" t="str">
        <f t="shared" si="126"/>
        <v/>
      </c>
      <c r="M2195" s="94"/>
      <c r="N2195" s="36"/>
      <c r="O2195" s="95"/>
      <c r="P2195" s="36"/>
      <c r="AI2195" s="122">
        <v>1883</v>
      </c>
      <c r="AJ2195" s="1" t="s">
        <v>1141</v>
      </c>
      <c r="AK2195" s="1" t="s">
        <v>1141</v>
      </c>
    </row>
    <row r="2196" spans="2:37" ht="14.25">
      <c r="B2196" s="36"/>
      <c r="C2196" s="36"/>
      <c r="D2196" s="36"/>
      <c r="E2196" s="36"/>
      <c r="F2196" s="36"/>
      <c r="G2196" s="36"/>
      <c r="H2196" s="36"/>
      <c r="J2196" s="36"/>
      <c r="L2196" s="1" t="str">
        <f t="shared" si="126"/>
        <v/>
      </c>
      <c r="M2196" s="94"/>
      <c r="N2196" s="36"/>
      <c r="O2196" s="95"/>
      <c r="P2196" s="36"/>
      <c r="AI2196" s="122">
        <v>1884</v>
      </c>
      <c r="AJ2196" s="1" t="s">
        <v>1141</v>
      </c>
      <c r="AK2196" s="1" t="s">
        <v>1141</v>
      </c>
    </row>
    <row r="2197" spans="2:37" ht="14.25">
      <c r="B2197" s="36"/>
      <c r="C2197" s="36"/>
      <c r="D2197" s="36"/>
      <c r="E2197" s="36"/>
      <c r="F2197" s="36"/>
      <c r="G2197" s="36"/>
      <c r="H2197" s="36"/>
      <c r="J2197" s="36"/>
      <c r="L2197" s="1" t="str">
        <f t="shared" si="126"/>
        <v/>
      </c>
      <c r="M2197" s="94"/>
      <c r="N2197" s="36"/>
      <c r="O2197" s="95"/>
      <c r="P2197" s="36"/>
      <c r="AI2197" s="122">
        <v>1885</v>
      </c>
      <c r="AJ2197" s="1" t="s">
        <v>1141</v>
      </c>
      <c r="AK2197" s="1" t="s">
        <v>1141</v>
      </c>
    </row>
    <row r="2198" spans="2:37" ht="14.25">
      <c r="B2198" s="36"/>
      <c r="C2198" s="36"/>
      <c r="D2198" s="36"/>
      <c r="E2198" s="36"/>
      <c r="F2198" s="36"/>
      <c r="G2198" s="36"/>
      <c r="H2198" s="36"/>
      <c r="J2198" s="36"/>
      <c r="L2198" s="1" t="str">
        <f t="shared" si="126"/>
        <v/>
      </c>
      <c r="M2198" s="94"/>
      <c r="N2198" s="36"/>
      <c r="O2198" s="95"/>
      <c r="P2198" s="36"/>
      <c r="AI2198" s="122">
        <v>1886</v>
      </c>
      <c r="AJ2198" s="1" t="s">
        <v>1141</v>
      </c>
      <c r="AK2198" s="1" t="s">
        <v>1141</v>
      </c>
    </row>
    <row r="2199" spans="2:37" ht="14.25">
      <c r="B2199" s="36"/>
      <c r="C2199" s="36"/>
      <c r="D2199" s="36"/>
      <c r="E2199" s="36"/>
      <c r="F2199" s="36"/>
      <c r="G2199" s="36"/>
      <c r="H2199" s="36"/>
      <c r="J2199" s="36"/>
      <c r="L2199" s="1" t="str">
        <f t="shared" si="126"/>
        <v/>
      </c>
      <c r="M2199" s="94"/>
      <c r="N2199" s="36"/>
      <c r="O2199" s="95"/>
      <c r="P2199" s="36"/>
      <c r="AI2199" s="122">
        <v>1887</v>
      </c>
      <c r="AJ2199" s="1" t="s">
        <v>1141</v>
      </c>
      <c r="AK2199" s="1" t="s">
        <v>1141</v>
      </c>
    </row>
    <row r="2200" spans="2:37" ht="14.25">
      <c r="B2200" s="36"/>
      <c r="C2200" s="36"/>
      <c r="D2200" s="36"/>
      <c r="E2200" s="36"/>
      <c r="F2200" s="36"/>
      <c r="G2200" s="36"/>
      <c r="H2200" s="36"/>
      <c r="J2200" s="36"/>
      <c r="L2200" s="1" t="str">
        <f t="shared" si="126"/>
        <v/>
      </c>
      <c r="M2200" s="94"/>
      <c r="N2200" s="36"/>
      <c r="O2200" s="95"/>
      <c r="P2200" s="36"/>
      <c r="AI2200" s="122">
        <v>1888</v>
      </c>
      <c r="AJ2200" s="1" t="s">
        <v>1141</v>
      </c>
      <c r="AK2200" s="1" t="s">
        <v>1141</v>
      </c>
    </row>
    <row r="2201" spans="2:37" ht="14.25">
      <c r="B2201" s="36"/>
      <c r="C2201" s="36"/>
      <c r="D2201" s="36"/>
      <c r="E2201" s="36"/>
      <c r="F2201" s="36"/>
      <c r="G2201" s="36"/>
      <c r="H2201" s="36"/>
      <c r="J2201" s="36"/>
      <c r="L2201" s="1" t="str">
        <f t="shared" si="126"/>
        <v/>
      </c>
      <c r="M2201" s="94"/>
      <c r="N2201" s="36"/>
      <c r="O2201" s="95"/>
      <c r="P2201" s="36"/>
      <c r="AI2201" s="122">
        <v>1889</v>
      </c>
      <c r="AJ2201" s="1" t="s">
        <v>1141</v>
      </c>
      <c r="AK2201" s="1" t="s">
        <v>1141</v>
      </c>
    </row>
    <row r="2202" spans="2:37" ht="14.25">
      <c r="B2202" s="36"/>
      <c r="C2202" s="36"/>
      <c r="D2202" s="36"/>
      <c r="E2202" s="36"/>
      <c r="F2202" s="36"/>
      <c r="G2202" s="36"/>
      <c r="H2202" s="36"/>
      <c r="J2202" s="36"/>
      <c r="L2202" s="1" t="str">
        <f t="shared" si="126"/>
        <v/>
      </c>
      <c r="M2202" s="94"/>
      <c r="N2202" s="36"/>
      <c r="O2202" s="95"/>
      <c r="P2202" s="36"/>
      <c r="AI2202" s="122">
        <v>1890</v>
      </c>
      <c r="AJ2202" s="1" t="s">
        <v>1141</v>
      </c>
      <c r="AK2202" s="1" t="s">
        <v>1141</v>
      </c>
    </row>
    <row r="2203" spans="2:37" ht="14.25">
      <c r="B2203" s="36"/>
      <c r="C2203" s="36"/>
      <c r="D2203" s="36"/>
      <c r="E2203" s="36"/>
      <c r="F2203" s="36"/>
      <c r="G2203" s="36"/>
      <c r="H2203" s="36"/>
      <c r="J2203" s="36"/>
      <c r="L2203" s="1" t="str">
        <f t="shared" si="126"/>
        <v/>
      </c>
      <c r="M2203" s="94"/>
      <c r="N2203" s="36"/>
      <c r="O2203" s="95"/>
      <c r="P2203" s="36"/>
      <c r="AI2203" s="122">
        <v>1891</v>
      </c>
      <c r="AJ2203" s="1" t="s">
        <v>1141</v>
      </c>
      <c r="AK2203" s="1" t="s">
        <v>1141</v>
      </c>
    </row>
    <row r="2204" spans="2:37" ht="14.25">
      <c r="B2204" s="36"/>
      <c r="C2204" s="36"/>
      <c r="D2204" s="36"/>
      <c r="E2204" s="36"/>
      <c r="F2204" s="36"/>
      <c r="G2204" s="36"/>
      <c r="H2204" s="36"/>
      <c r="J2204" s="36"/>
      <c r="L2204" s="1" t="str">
        <f t="shared" si="126"/>
        <v/>
      </c>
      <c r="M2204" s="94"/>
      <c r="N2204" s="36"/>
      <c r="O2204" s="95"/>
      <c r="P2204" s="36"/>
      <c r="AI2204" s="122">
        <v>1892</v>
      </c>
      <c r="AJ2204" s="1" t="s">
        <v>1141</v>
      </c>
      <c r="AK2204" s="1" t="s">
        <v>1141</v>
      </c>
    </row>
    <row r="2205" spans="2:37" ht="14.25">
      <c r="B2205" s="36"/>
      <c r="C2205" s="36"/>
      <c r="D2205" s="36"/>
      <c r="E2205" s="36"/>
      <c r="F2205" s="36"/>
      <c r="G2205" s="36"/>
      <c r="H2205" s="36"/>
      <c r="J2205" s="36"/>
      <c r="L2205" s="1" t="str">
        <f t="shared" si="126"/>
        <v/>
      </c>
      <c r="M2205" s="94"/>
      <c r="N2205" s="36"/>
      <c r="O2205" s="95"/>
      <c r="P2205" s="36"/>
      <c r="AI2205" s="122">
        <v>1893</v>
      </c>
      <c r="AJ2205" s="1" t="s">
        <v>1141</v>
      </c>
      <c r="AK2205" s="1" t="s">
        <v>1141</v>
      </c>
    </row>
    <row r="2206" spans="2:37" ht="14.25">
      <c r="B2206" s="36"/>
      <c r="C2206" s="36"/>
      <c r="D2206" s="36"/>
      <c r="E2206" s="36"/>
      <c r="F2206" s="36"/>
      <c r="G2206" s="36"/>
      <c r="H2206" s="36"/>
      <c r="J2206" s="36"/>
      <c r="L2206" s="1" t="str">
        <f t="shared" si="126"/>
        <v/>
      </c>
      <c r="M2206" s="94"/>
      <c r="N2206" s="36"/>
      <c r="O2206" s="95"/>
      <c r="P2206" s="36"/>
      <c r="AI2206" s="122">
        <v>1894</v>
      </c>
      <c r="AJ2206" s="1" t="s">
        <v>1141</v>
      </c>
      <c r="AK2206" s="1" t="s">
        <v>1141</v>
      </c>
    </row>
    <row r="2207" spans="2:37" ht="14.25">
      <c r="B2207" s="36"/>
      <c r="C2207" s="36"/>
      <c r="D2207" s="36"/>
      <c r="E2207" s="36"/>
      <c r="F2207" s="36"/>
      <c r="G2207" s="36"/>
      <c r="H2207" s="36"/>
      <c r="J2207" s="36"/>
      <c r="L2207" s="1" t="str">
        <f t="shared" si="126"/>
        <v/>
      </c>
      <c r="M2207" s="94"/>
      <c r="N2207" s="36"/>
      <c r="O2207" s="95"/>
      <c r="P2207" s="36"/>
      <c r="AI2207" s="122">
        <v>1895</v>
      </c>
      <c r="AJ2207" s="1" t="s">
        <v>1141</v>
      </c>
      <c r="AK2207" s="1" t="s">
        <v>1141</v>
      </c>
    </row>
    <row r="2208" spans="2:37" ht="14.25">
      <c r="B2208" s="36"/>
      <c r="C2208" s="36"/>
      <c r="D2208" s="36"/>
      <c r="E2208" s="36"/>
      <c r="F2208" s="36"/>
      <c r="G2208" s="36"/>
      <c r="H2208" s="36"/>
      <c r="J2208" s="36"/>
      <c r="L2208" s="1" t="str">
        <f t="shared" si="126"/>
        <v/>
      </c>
      <c r="M2208" s="94"/>
      <c r="N2208" s="36"/>
      <c r="O2208" s="95"/>
      <c r="P2208" s="36"/>
      <c r="AI2208" s="122">
        <v>1896</v>
      </c>
      <c r="AJ2208" s="1" t="s">
        <v>1141</v>
      </c>
      <c r="AK2208" s="1" t="s">
        <v>1141</v>
      </c>
    </row>
    <row r="2209" spans="2:37" ht="14.25">
      <c r="B2209" s="36"/>
      <c r="C2209" s="36"/>
      <c r="D2209" s="36"/>
      <c r="E2209" s="36"/>
      <c r="F2209" s="36"/>
      <c r="G2209" s="36"/>
      <c r="H2209" s="36"/>
      <c r="J2209" s="36"/>
      <c r="L2209" s="1" t="str">
        <f t="shared" si="126"/>
        <v/>
      </c>
      <c r="M2209" s="94"/>
      <c r="N2209" s="36"/>
      <c r="O2209" s="95"/>
      <c r="P2209" s="36"/>
      <c r="AI2209" s="122">
        <v>1897</v>
      </c>
      <c r="AJ2209" s="1" t="s">
        <v>1141</v>
      </c>
      <c r="AK2209" s="1" t="s">
        <v>1141</v>
      </c>
    </row>
    <row r="2210" spans="2:37" ht="14.25">
      <c r="B2210" s="36"/>
      <c r="C2210" s="36"/>
      <c r="D2210" s="36"/>
      <c r="E2210" s="36"/>
      <c r="F2210" s="36"/>
      <c r="G2210" s="36"/>
      <c r="H2210" s="36"/>
      <c r="J2210" s="36"/>
      <c r="L2210" s="1" t="str">
        <f t="shared" si="126"/>
        <v/>
      </c>
      <c r="M2210" s="94"/>
      <c r="N2210" s="36"/>
      <c r="O2210" s="95"/>
      <c r="P2210" s="36"/>
      <c r="AI2210" s="122">
        <v>1898</v>
      </c>
      <c r="AJ2210" s="1" t="s">
        <v>1141</v>
      </c>
      <c r="AK2210" s="1" t="s">
        <v>1141</v>
      </c>
    </row>
    <row r="2211" spans="2:37" ht="14.25">
      <c r="B2211" s="36"/>
      <c r="C2211" s="36"/>
      <c r="D2211" s="36"/>
      <c r="E2211" s="36"/>
      <c r="F2211" s="36"/>
      <c r="G2211" s="36"/>
      <c r="H2211" s="36"/>
      <c r="J2211" s="36"/>
      <c r="L2211" s="1" t="str">
        <f t="shared" si="126"/>
        <v/>
      </c>
      <c r="M2211" s="94"/>
      <c r="N2211" s="36"/>
      <c r="O2211" s="95"/>
      <c r="P2211" s="36"/>
      <c r="AI2211" s="122">
        <v>1899</v>
      </c>
      <c r="AJ2211" s="1" t="s">
        <v>1141</v>
      </c>
      <c r="AK2211" s="1" t="s">
        <v>1141</v>
      </c>
    </row>
    <row r="2212" spans="2:37" ht="14.25">
      <c r="B2212" s="36"/>
      <c r="C2212" s="36"/>
      <c r="D2212" s="36"/>
      <c r="E2212" s="36"/>
      <c r="F2212" s="36"/>
      <c r="G2212" s="36"/>
      <c r="H2212" s="36"/>
      <c r="J2212" s="36"/>
      <c r="L2212" s="1" t="str">
        <f t="shared" si="126"/>
        <v/>
      </c>
      <c r="M2212" s="94"/>
      <c r="N2212" s="36"/>
      <c r="O2212" s="95"/>
      <c r="P2212" s="36"/>
      <c r="AI2212" s="122">
        <v>1900</v>
      </c>
      <c r="AJ2212" s="1" t="s">
        <v>1141</v>
      </c>
      <c r="AK2212" s="1" t="s">
        <v>1141</v>
      </c>
    </row>
    <row r="2213" spans="2:37" ht="14.25">
      <c r="B2213" s="36"/>
      <c r="C2213" s="36"/>
      <c r="D2213" s="36"/>
      <c r="E2213" s="36"/>
      <c r="F2213" s="36"/>
      <c r="G2213" s="36"/>
      <c r="H2213" s="36"/>
      <c r="J2213" s="36"/>
      <c r="L2213" s="1" t="str">
        <f t="shared" si="126"/>
        <v/>
      </c>
      <c r="M2213" s="94"/>
      <c r="N2213" s="36"/>
      <c r="O2213" s="95"/>
      <c r="P2213" s="36"/>
      <c r="AI2213" s="122">
        <v>1901</v>
      </c>
      <c r="AJ2213" s="1" t="s">
        <v>1141</v>
      </c>
      <c r="AK2213" s="1" t="s">
        <v>1141</v>
      </c>
    </row>
    <row r="2214" spans="2:37" ht="14.25">
      <c r="B2214" s="36"/>
      <c r="C2214" s="36"/>
      <c r="D2214" s="36"/>
      <c r="E2214" s="36"/>
      <c r="F2214" s="36"/>
      <c r="G2214" s="36"/>
      <c r="H2214" s="36"/>
      <c r="J2214" s="36"/>
      <c r="L2214" s="1" t="str">
        <f t="shared" si="126"/>
        <v/>
      </c>
      <c r="M2214" s="94"/>
      <c r="N2214" s="36"/>
      <c r="O2214" s="95"/>
      <c r="P2214" s="36"/>
      <c r="AI2214" s="122">
        <v>1902</v>
      </c>
      <c r="AJ2214" s="1" t="s">
        <v>1141</v>
      </c>
      <c r="AK2214" s="1" t="s">
        <v>1141</v>
      </c>
    </row>
    <row r="2215" spans="2:37" ht="14.25">
      <c r="B2215" s="36"/>
      <c r="C2215" s="36"/>
      <c r="D2215" s="36"/>
      <c r="E2215" s="36"/>
      <c r="F2215" s="36"/>
      <c r="G2215" s="36"/>
      <c r="H2215" s="36"/>
      <c r="J2215" s="36"/>
      <c r="L2215" s="1" t="str">
        <f t="shared" si="126"/>
        <v/>
      </c>
      <c r="M2215" s="94"/>
      <c r="N2215" s="36"/>
      <c r="O2215" s="95"/>
      <c r="P2215" s="36"/>
      <c r="AI2215" s="122">
        <v>1903</v>
      </c>
      <c r="AJ2215" s="1" t="s">
        <v>1141</v>
      </c>
      <c r="AK2215" s="1" t="s">
        <v>1141</v>
      </c>
    </row>
    <row r="2216" spans="2:37" ht="14.25">
      <c r="B2216" s="36"/>
      <c r="C2216" s="36"/>
      <c r="D2216" s="36"/>
      <c r="E2216" s="36"/>
      <c r="F2216" s="36"/>
      <c r="G2216" s="36"/>
      <c r="H2216" s="36"/>
      <c r="J2216" s="36"/>
      <c r="L2216" s="1" t="str">
        <f t="shared" si="126"/>
        <v/>
      </c>
      <c r="M2216" s="94"/>
      <c r="N2216" s="36"/>
      <c r="O2216" s="95"/>
      <c r="P2216" s="36"/>
      <c r="AI2216" s="122">
        <v>1904</v>
      </c>
      <c r="AJ2216" s="1" t="s">
        <v>1141</v>
      </c>
      <c r="AK2216" s="1" t="s">
        <v>1141</v>
      </c>
    </row>
    <row r="2217" spans="2:37" ht="14.25">
      <c r="B2217" s="36"/>
      <c r="C2217" s="36"/>
      <c r="D2217" s="36"/>
      <c r="E2217" s="36"/>
      <c r="F2217" s="36"/>
      <c r="G2217" s="36"/>
      <c r="H2217" s="36"/>
      <c r="J2217" s="36"/>
      <c r="L2217" s="1" t="str">
        <f t="shared" si="126"/>
        <v/>
      </c>
      <c r="M2217" s="94"/>
      <c r="N2217" s="36"/>
      <c r="O2217" s="95"/>
      <c r="P2217" s="36"/>
      <c r="AI2217" s="122">
        <v>1905</v>
      </c>
      <c r="AJ2217" s="1" t="s">
        <v>1141</v>
      </c>
      <c r="AK2217" s="1" t="s">
        <v>1141</v>
      </c>
    </row>
    <row r="2218" spans="2:37" ht="14.25">
      <c r="B2218" s="36"/>
      <c r="C2218" s="36"/>
      <c r="D2218" s="36"/>
      <c r="E2218" s="36"/>
      <c r="F2218" s="36"/>
      <c r="G2218" s="36"/>
      <c r="H2218" s="36"/>
      <c r="J2218" s="36"/>
      <c r="L2218" s="1" t="str">
        <f t="shared" si="126"/>
        <v/>
      </c>
      <c r="M2218" s="94"/>
      <c r="N2218" s="36"/>
      <c r="O2218" s="95"/>
      <c r="P2218" s="36"/>
      <c r="AI2218" s="122">
        <v>1906</v>
      </c>
      <c r="AJ2218" s="1" t="s">
        <v>1141</v>
      </c>
      <c r="AK2218" s="1" t="s">
        <v>1141</v>
      </c>
    </row>
    <row r="2219" spans="2:37" ht="14.25">
      <c r="B2219" s="36"/>
      <c r="C2219" s="36"/>
      <c r="D2219" s="36"/>
      <c r="E2219" s="36"/>
      <c r="F2219" s="36"/>
      <c r="G2219" s="36"/>
      <c r="H2219" s="36"/>
      <c r="J2219" s="36"/>
      <c r="L2219" s="1" t="str">
        <f t="shared" si="126"/>
        <v/>
      </c>
      <c r="M2219" s="94"/>
      <c r="N2219" s="36"/>
      <c r="O2219" s="95"/>
      <c r="P2219" s="36"/>
      <c r="AI2219" s="122">
        <v>1907</v>
      </c>
      <c r="AJ2219" s="1" t="s">
        <v>1141</v>
      </c>
      <c r="AK2219" s="1" t="s">
        <v>1141</v>
      </c>
    </row>
    <row r="2220" spans="2:37" ht="14.25">
      <c r="B2220" s="36"/>
      <c r="C2220" s="36"/>
      <c r="D2220" s="36"/>
      <c r="E2220" s="36"/>
      <c r="F2220" s="36"/>
      <c r="G2220" s="36"/>
      <c r="H2220" s="36"/>
      <c r="J2220" s="36"/>
      <c r="L2220" s="1" t="str">
        <f t="shared" si="126"/>
        <v/>
      </c>
      <c r="M2220" s="94"/>
      <c r="N2220" s="36"/>
      <c r="O2220" s="95"/>
      <c r="P2220" s="36"/>
      <c r="AI2220" s="122">
        <v>1908</v>
      </c>
      <c r="AJ2220" s="1" t="s">
        <v>1141</v>
      </c>
      <c r="AK2220" s="1" t="s">
        <v>1141</v>
      </c>
    </row>
    <row r="2221" spans="2:37" ht="14.25">
      <c r="B2221" s="36"/>
      <c r="C2221" s="36"/>
      <c r="D2221" s="36"/>
      <c r="E2221" s="36"/>
      <c r="F2221" s="36"/>
      <c r="G2221" s="36"/>
      <c r="H2221" s="36"/>
      <c r="J2221" s="36"/>
      <c r="L2221" s="1" t="str">
        <f t="shared" si="126"/>
        <v/>
      </c>
      <c r="M2221" s="94"/>
      <c r="N2221" s="36"/>
      <c r="O2221" s="95"/>
      <c r="P2221" s="36"/>
      <c r="AI2221" s="122">
        <v>1909</v>
      </c>
      <c r="AJ2221" s="1" t="s">
        <v>1141</v>
      </c>
      <c r="AK2221" s="1" t="s">
        <v>1141</v>
      </c>
    </row>
    <row r="2222" spans="2:37" ht="14.25">
      <c r="B2222" s="36"/>
      <c r="C2222" s="36"/>
      <c r="D2222" s="36"/>
      <c r="E2222" s="36"/>
      <c r="F2222" s="36"/>
      <c r="G2222" s="36"/>
      <c r="H2222" s="36"/>
      <c r="J2222" s="36"/>
      <c r="L2222" s="1" t="str">
        <f t="shared" si="126"/>
        <v/>
      </c>
      <c r="M2222" s="94"/>
      <c r="N2222" s="36"/>
      <c r="O2222" s="95"/>
      <c r="P2222" s="36"/>
      <c r="AI2222" s="122">
        <v>1910</v>
      </c>
      <c r="AJ2222" s="1" t="s">
        <v>1141</v>
      </c>
      <c r="AK2222" s="1" t="s">
        <v>1141</v>
      </c>
    </row>
    <row r="2223" spans="2:37" ht="14.25">
      <c r="B2223" s="36"/>
      <c r="C2223" s="36"/>
      <c r="D2223" s="36"/>
      <c r="E2223" s="36"/>
      <c r="F2223" s="36"/>
      <c r="G2223" s="36"/>
      <c r="H2223" s="36"/>
      <c r="J2223" s="36"/>
      <c r="L2223" s="1" t="str">
        <f t="shared" si="126"/>
        <v/>
      </c>
      <c r="M2223" s="94"/>
      <c r="N2223" s="36"/>
      <c r="O2223" s="95"/>
      <c r="P2223" s="36"/>
      <c r="AI2223" s="122">
        <v>1911</v>
      </c>
      <c r="AJ2223" s="1" t="s">
        <v>1141</v>
      </c>
      <c r="AK2223" s="1" t="s">
        <v>1141</v>
      </c>
    </row>
    <row r="2224" spans="2:37" ht="14.25">
      <c r="B2224" s="36"/>
      <c r="C2224" s="36"/>
      <c r="D2224" s="36"/>
      <c r="E2224" s="36"/>
      <c r="F2224" s="36"/>
      <c r="G2224" s="36"/>
      <c r="H2224" s="36"/>
      <c r="J2224" s="36"/>
      <c r="L2224" s="1" t="str">
        <f t="shared" si="126"/>
        <v/>
      </c>
      <c r="M2224" s="94"/>
      <c r="N2224" s="36"/>
      <c r="O2224" s="95"/>
      <c r="P2224" s="36"/>
      <c r="AI2224" s="122">
        <v>1912</v>
      </c>
      <c r="AJ2224" s="1" t="s">
        <v>1141</v>
      </c>
      <c r="AK2224" s="1" t="s">
        <v>1141</v>
      </c>
    </row>
    <row r="2225" spans="2:37" ht="14.25">
      <c r="B2225" s="36"/>
      <c r="C2225" s="36"/>
      <c r="D2225" s="36"/>
      <c r="E2225" s="36"/>
      <c r="F2225" s="36"/>
      <c r="G2225" s="36"/>
      <c r="H2225" s="36"/>
      <c r="J2225" s="36"/>
      <c r="L2225" s="1" t="str">
        <f t="shared" si="126"/>
        <v/>
      </c>
      <c r="M2225" s="94"/>
      <c r="N2225" s="36"/>
      <c r="O2225" s="95"/>
      <c r="P2225" s="36"/>
      <c r="AI2225" s="122">
        <v>1913</v>
      </c>
      <c r="AJ2225" s="1" t="s">
        <v>1141</v>
      </c>
      <c r="AK2225" s="1" t="s">
        <v>1141</v>
      </c>
    </row>
    <row r="2226" spans="2:37" ht="14.25">
      <c r="B2226" s="36"/>
      <c r="C2226" s="36"/>
      <c r="D2226" s="36"/>
      <c r="E2226" s="36"/>
      <c r="F2226" s="36"/>
      <c r="G2226" s="36"/>
      <c r="H2226" s="36"/>
      <c r="J2226" s="36"/>
      <c r="L2226" s="1" t="str">
        <f t="shared" si="126"/>
        <v/>
      </c>
      <c r="M2226" s="94"/>
      <c r="N2226" s="36"/>
      <c r="O2226" s="95"/>
      <c r="P2226" s="36"/>
      <c r="AI2226" s="122">
        <v>1914</v>
      </c>
      <c r="AJ2226" s="1" t="s">
        <v>1141</v>
      </c>
      <c r="AK2226" s="1" t="s">
        <v>1141</v>
      </c>
    </row>
    <row r="2227" spans="2:37" ht="14.25">
      <c r="B2227" s="36"/>
      <c r="C2227" s="36"/>
      <c r="D2227" s="36"/>
      <c r="E2227" s="36"/>
      <c r="F2227" s="36"/>
      <c r="G2227" s="36"/>
      <c r="H2227" s="36"/>
      <c r="J2227" s="36"/>
      <c r="L2227" s="1" t="str">
        <f t="shared" si="126"/>
        <v/>
      </c>
      <c r="M2227" s="94"/>
      <c r="N2227" s="36"/>
      <c r="O2227" s="95"/>
      <c r="P2227" s="36"/>
      <c r="AI2227" s="122">
        <v>1915</v>
      </c>
      <c r="AJ2227" s="1" t="s">
        <v>1141</v>
      </c>
      <c r="AK2227" s="1" t="s">
        <v>1141</v>
      </c>
    </row>
    <row r="2228" spans="2:37" ht="14.25">
      <c r="B2228" s="36"/>
      <c r="C2228" s="36"/>
      <c r="D2228" s="36"/>
      <c r="E2228" s="36"/>
      <c r="F2228" s="36"/>
      <c r="G2228" s="36"/>
      <c r="H2228" s="36"/>
      <c r="J2228" s="36"/>
      <c r="L2228" s="1" t="str">
        <f t="shared" si="126"/>
        <v/>
      </c>
      <c r="M2228" s="94"/>
      <c r="N2228" s="36"/>
      <c r="O2228" s="95"/>
      <c r="P2228" s="36"/>
      <c r="AI2228" s="122">
        <v>1916</v>
      </c>
      <c r="AJ2228" s="1" t="s">
        <v>1141</v>
      </c>
      <c r="AK2228" s="1" t="s">
        <v>1141</v>
      </c>
    </row>
    <row r="2229" spans="2:37" ht="14.25">
      <c r="B2229" s="36"/>
      <c r="C2229" s="36"/>
      <c r="D2229" s="36"/>
      <c r="E2229" s="36"/>
      <c r="F2229" s="36"/>
      <c r="G2229" s="36"/>
      <c r="H2229" s="36"/>
      <c r="J2229" s="36"/>
      <c r="L2229" s="1" t="str">
        <f t="shared" si="126"/>
        <v/>
      </c>
      <c r="M2229" s="94"/>
      <c r="N2229" s="36"/>
      <c r="O2229" s="95"/>
      <c r="P2229" s="36"/>
      <c r="AI2229" s="122">
        <v>1917</v>
      </c>
      <c r="AJ2229" s="1" t="s">
        <v>1141</v>
      </c>
      <c r="AK2229" s="1" t="s">
        <v>1141</v>
      </c>
    </row>
    <row r="2230" spans="2:37" ht="14.25">
      <c r="B2230" s="36"/>
      <c r="C2230" s="36"/>
      <c r="D2230" s="36"/>
      <c r="E2230" s="36"/>
      <c r="F2230" s="36"/>
      <c r="G2230" s="36"/>
      <c r="H2230" s="36"/>
      <c r="J2230" s="36"/>
      <c r="L2230" s="1" t="str">
        <f t="shared" si="126"/>
        <v/>
      </c>
      <c r="M2230" s="94"/>
      <c r="N2230" s="36"/>
      <c r="O2230" s="95"/>
      <c r="P2230" s="36"/>
      <c r="AI2230" s="122">
        <v>1918</v>
      </c>
      <c r="AJ2230" s="1" t="s">
        <v>1141</v>
      </c>
      <c r="AK2230" s="1" t="s">
        <v>1141</v>
      </c>
    </row>
    <row r="2231" spans="2:37" ht="14.25">
      <c r="B2231" s="36"/>
      <c r="C2231" s="36"/>
      <c r="D2231" s="36"/>
      <c r="E2231" s="36"/>
      <c r="F2231" s="36"/>
      <c r="G2231" s="36"/>
      <c r="H2231" s="36"/>
      <c r="J2231" s="36"/>
      <c r="L2231" s="1" t="str">
        <f t="shared" si="126"/>
        <v/>
      </c>
      <c r="M2231" s="94"/>
      <c r="N2231" s="36"/>
      <c r="O2231" s="95"/>
      <c r="P2231" s="36"/>
      <c r="AI2231" s="122">
        <v>1919</v>
      </c>
      <c r="AJ2231" s="1" t="s">
        <v>1141</v>
      </c>
      <c r="AK2231" s="1" t="s">
        <v>1141</v>
      </c>
    </row>
    <row r="2232" spans="2:37" ht="14.25">
      <c r="B2232" s="36"/>
      <c r="C2232" s="36"/>
      <c r="D2232" s="36"/>
      <c r="E2232" s="36"/>
      <c r="F2232" s="36"/>
      <c r="G2232" s="36"/>
      <c r="H2232" s="36"/>
      <c r="J2232" s="36"/>
      <c r="L2232" s="1" t="str">
        <f t="shared" si="126"/>
        <v/>
      </c>
      <c r="M2232" s="94"/>
      <c r="N2232" s="36"/>
      <c r="O2232" s="95"/>
      <c r="P2232" s="36"/>
      <c r="AI2232" s="122">
        <v>1920</v>
      </c>
      <c r="AJ2232" s="1" t="s">
        <v>1141</v>
      </c>
      <c r="AK2232" s="1" t="s">
        <v>1141</v>
      </c>
    </row>
    <row r="2233" spans="2:37" ht="14.25">
      <c r="B2233" s="36"/>
      <c r="C2233" s="36"/>
      <c r="D2233" s="36"/>
      <c r="E2233" s="36"/>
      <c r="F2233" s="36"/>
      <c r="G2233" s="36"/>
      <c r="H2233" s="36"/>
      <c r="J2233" s="36"/>
      <c r="L2233" s="1" t="str">
        <f t="shared" si="126"/>
        <v/>
      </c>
      <c r="M2233" s="94"/>
      <c r="N2233" s="36"/>
      <c r="O2233" s="95"/>
      <c r="P2233" s="36"/>
      <c r="AI2233" s="122">
        <v>1921</v>
      </c>
      <c r="AJ2233" s="1" t="s">
        <v>1141</v>
      </c>
      <c r="AK2233" s="1" t="s">
        <v>1141</v>
      </c>
    </row>
    <row r="2234" spans="2:37" ht="14.25">
      <c r="B2234" s="36"/>
      <c r="C2234" s="36"/>
      <c r="D2234" s="36"/>
      <c r="E2234" s="36"/>
      <c r="F2234" s="36"/>
      <c r="G2234" s="36"/>
      <c r="H2234" s="36"/>
      <c r="J2234" s="36"/>
      <c r="L2234" s="1" t="str">
        <f t="shared" si="126"/>
        <v/>
      </c>
      <c r="M2234" s="94"/>
      <c r="N2234" s="36"/>
      <c r="O2234" s="95"/>
      <c r="P2234" s="36"/>
      <c r="AI2234" s="122">
        <v>1922</v>
      </c>
      <c r="AJ2234" s="1" t="s">
        <v>1141</v>
      </c>
      <c r="AK2234" s="1" t="s">
        <v>1141</v>
      </c>
    </row>
    <row r="2235" spans="2:37" ht="14.25">
      <c r="B2235" s="36"/>
      <c r="C2235" s="36"/>
      <c r="D2235" s="36"/>
      <c r="E2235" s="36"/>
      <c r="F2235" s="36"/>
      <c r="G2235" s="36"/>
      <c r="H2235" s="36"/>
      <c r="J2235" s="36"/>
      <c r="L2235" s="1" t="str">
        <f t="shared" si="126"/>
        <v/>
      </c>
      <c r="M2235" s="94"/>
      <c r="N2235" s="36"/>
      <c r="O2235" s="95"/>
      <c r="P2235" s="36"/>
      <c r="AI2235" s="122">
        <v>1923</v>
      </c>
      <c r="AJ2235" s="1" t="s">
        <v>1141</v>
      </c>
      <c r="AK2235" s="1" t="s">
        <v>1141</v>
      </c>
    </row>
    <row r="2236" spans="2:37" ht="14.25">
      <c r="B2236" s="36"/>
      <c r="C2236" s="36"/>
      <c r="D2236" s="36"/>
      <c r="E2236" s="36"/>
      <c r="F2236" s="36"/>
      <c r="G2236" s="36"/>
      <c r="H2236" s="36"/>
      <c r="J2236" s="36"/>
      <c r="L2236" s="1" t="str">
        <f t="shared" si="126"/>
        <v/>
      </c>
      <c r="M2236" s="94"/>
      <c r="N2236" s="36"/>
      <c r="O2236" s="95"/>
      <c r="P2236" s="36"/>
      <c r="AI2236" s="122">
        <v>1924</v>
      </c>
      <c r="AJ2236" s="1" t="s">
        <v>1141</v>
      </c>
      <c r="AK2236" s="1" t="s">
        <v>1141</v>
      </c>
    </row>
    <row r="2237" spans="2:37" ht="14.25">
      <c r="B2237" s="36"/>
      <c r="C2237" s="36"/>
      <c r="D2237" s="36"/>
      <c r="E2237" s="36"/>
      <c r="F2237" s="36"/>
      <c r="G2237" s="36"/>
      <c r="H2237" s="36"/>
      <c r="J2237" s="36"/>
      <c r="L2237" s="1" t="str">
        <f t="shared" si="126"/>
        <v/>
      </c>
      <c r="M2237" s="94"/>
      <c r="N2237" s="36"/>
      <c r="O2237" s="95"/>
      <c r="P2237" s="36"/>
      <c r="AI2237" s="122">
        <v>1925</v>
      </c>
      <c r="AJ2237" s="1" t="s">
        <v>1141</v>
      </c>
      <c r="AK2237" s="1" t="s">
        <v>1141</v>
      </c>
    </row>
    <row r="2238" spans="2:37" ht="14.25">
      <c r="B2238" s="36"/>
      <c r="C2238" s="36"/>
      <c r="D2238" s="36"/>
      <c r="E2238" s="36"/>
      <c r="F2238" s="36"/>
      <c r="G2238" s="36"/>
      <c r="H2238" s="36"/>
      <c r="J2238" s="36"/>
      <c r="L2238" s="1" t="str">
        <f t="shared" si="126"/>
        <v/>
      </c>
      <c r="M2238" s="94"/>
      <c r="N2238" s="36"/>
      <c r="O2238" s="95"/>
      <c r="P2238" s="36"/>
      <c r="AI2238" s="122">
        <v>1926</v>
      </c>
      <c r="AJ2238" s="1" t="s">
        <v>1141</v>
      </c>
      <c r="AK2238" s="1" t="s">
        <v>1141</v>
      </c>
    </row>
    <row r="2239" spans="2:37" ht="14.25">
      <c r="B2239" s="36"/>
      <c r="C2239" s="36"/>
      <c r="D2239" s="36"/>
      <c r="E2239" s="36"/>
      <c r="F2239" s="36"/>
      <c r="G2239" s="36"/>
      <c r="H2239" s="36"/>
      <c r="J2239" s="36"/>
      <c r="L2239" s="1" t="str">
        <f t="shared" si="126"/>
        <v/>
      </c>
      <c r="M2239" s="94"/>
      <c r="N2239" s="36"/>
      <c r="O2239" s="95"/>
      <c r="P2239" s="36"/>
      <c r="AI2239" s="122">
        <v>1927</v>
      </c>
      <c r="AJ2239" s="1" t="s">
        <v>1141</v>
      </c>
      <c r="AK2239" s="1" t="s">
        <v>1141</v>
      </c>
    </row>
    <row r="2240" spans="2:37" ht="14.25">
      <c r="B2240" s="36"/>
      <c r="C2240" s="36"/>
      <c r="D2240" s="36"/>
      <c r="E2240" s="36"/>
      <c r="F2240" s="36"/>
      <c r="G2240" s="36"/>
      <c r="H2240" s="36"/>
      <c r="J2240" s="36"/>
      <c r="L2240" s="1" t="str">
        <f t="shared" si="126"/>
        <v/>
      </c>
      <c r="M2240" s="94"/>
      <c r="N2240" s="36"/>
      <c r="O2240" s="95"/>
      <c r="P2240" s="36"/>
      <c r="AI2240" s="122">
        <v>1928</v>
      </c>
      <c r="AJ2240" s="1" t="s">
        <v>1141</v>
      </c>
      <c r="AK2240" s="1" t="s">
        <v>1141</v>
      </c>
    </row>
    <row r="2241" spans="2:37" ht="14.25">
      <c r="B2241" s="36"/>
      <c r="C2241" s="36"/>
      <c r="D2241" s="36"/>
      <c r="E2241" s="36"/>
      <c r="F2241" s="36"/>
      <c r="G2241" s="36"/>
      <c r="H2241" s="36"/>
      <c r="J2241" s="36"/>
      <c r="L2241" s="1" t="str">
        <f t="shared" si="126"/>
        <v/>
      </c>
      <c r="M2241" s="94"/>
      <c r="N2241" s="36"/>
      <c r="O2241" s="95"/>
      <c r="P2241" s="36"/>
      <c r="AI2241" s="122">
        <v>1929</v>
      </c>
      <c r="AJ2241" s="1" t="s">
        <v>1141</v>
      </c>
      <c r="AK2241" s="1" t="s">
        <v>1141</v>
      </c>
    </row>
    <row r="2242" spans="2:37" ht="14.25">
      <c r="B2242" s="36"/>
      <c r="C2242" s="36"/>
      <c r="D2242" s="36"/>
      <c r="E2242" s="36"/>
      <c r="F2242" s="36"/>
      <c r="G2242" s="36"/>
      <c r="H2242" s="36"/>
      <c r="J2242" s="36"/>
      <c r="L2242" s="1" t="str">
        <f t="shared" si="126"/>
        <v/>
      </c>
      <c r="M2242" s="94"/>
      <c r="N2242" s="36"/>
      <c r="O2242" s="95"/>
      <c r="P2242" s="36"/>
      <c r="AI2242" s="122">
        <v>1930</v>
      </c>
      <c r="AJ2242" s="1" t="s">
        <v>1141</v>
      </c>
      <c r="AK2242" s="1" t="s">
        <v>1141</v>
      </c>
    </row>
    <row r="2243" spans="2:37" ht="14.25">
      <c r="B2243" s="36"/>
      <c r="C2243" s="36"/>
      <c r="D2243" s="36"/>
      <c r="E2243" s="36"/>
      <c r="F2243" s="36"/>
      <c r="G2243" s="36"/>
      <c r="H2243" s="36"/>
      <c r="J2243" s="36"/>
      <c r="L2243" s="1" t="str">
        <f t="shared" si="126"/>
        <v/>
      </c>
      <c r="M2243" s="94"/>
      <c r="N2243" s="36"/>
      <c r="O2243" s="95"/>
      <c r="P2243" s="36"/>
      <c r="AI2243" s="122">
        <v>1931</v>
      </c>
      <c r="AJ2243" s="1" t="s">
        <v>1141</v>
      </c>
      <c r="AK2243" s="1" t="s">
        <v>1141</v>
      </c>
    </row>
    <row r="2244" spans="2:37" ht="14.25">
      <c r="B2244" s="36"/>
      <c r="C2244" s="36"/>
      <c r="D2244" s="36"/>
      <c r="E2244" s="36"/>
      <c r="F2244" s="36"/>
      <c r="G2244" s="36"/>
      <c r="H2244" s="36"/>
      <c r="J2244" s="36"/>
      <c r="L2244" s="1" t="str">
        <f t="shared" ref="L2244:L2307" si="127">IF(AND(MIN(I:I)&lt;20,MAX(I:I)&gt;980,I2244&lt;20),I2244,"")</f>
        <v/>
      </c>
      <c r="M2244" s="94"/>
      <c r="N2244" s="36"/>
      <c r="O2244" s="95"/>
      <c r="P2244" s="36"/>
      <c r="AI2244" s="122">
        <v>1932</v>
      </c>
      <c r="AJ2244" s="1" t="s">
        <v>1141</v>
      </c>
      <c r="AK2244" s="1" t="s">
        <v>1141</v>
      </c>
    </row>
    <row r="2245" spans="2:37" ht="14.25">
      <c r="B2245" s="36"/>
      <c r="C2245" s="36"/>
      <c r="D2245" s="36"/>
      <c r="E2245" s="36"/>
      <c r="F2245" s="36"/>
      <c r="G2245" s="36"/>
      <c r="H2245" s="36"/>
      <c r="J2245" s="36"/>
      <c r="L2245" s="1" t="str">
        <f t="shared" si="127"/>
        <v/>
      </c>
      <c r="M2245" s="94"/>
      <c r="N2245" s="36"/>
      <c r="O2245" s="95"/>
      <c r="P2245" s="36"/>
      <c r="AI2245" s="122">
        <v>1933</v>
      </c>
      <c r="AJ2245" s="1" t="s">
        <v>1141</v>
      </c>
      <c r="AK2245" s="1" t="s">
        <v>1141</v>
      </c>
    </row>
    <row r="2246" spans="2:37" ht="14.25">
      <c r="B2246" s="36"/>
      <c r="C2246" s="36"/>
      <c r="D2246" s="36"/>
      <c r="E2246" s="36"/>
      <c r="F2246" s="36"/>
      <c r="G2246" s="36"/>
      <c r="H2246" s="36"/>
      <c r="J2246" s="36"/>
      <c r="L2246" s="1" t="str">
        <f t="shared" si="127"/>
        <v/>
      </c>
      <c r="M2246" s="94"/>
      <c r="N2246" s="36"/>
      <c r="O2246" s="95"/>
      <c r="P2246" s="36"/>
      <c r="AI2246" s="122">
        <v>1934</v>
      </c>
      <c r="AJ2246" s="1" t="s">
        <v>1141</v>
      </c>
      <c r="AK2246" s="1" t="s">
        <v>1141</v>
      </c>
    </row>
    <row r="2247" spans="2:37" ht="14.25">
      <c r="B2247" s="36"/>
      <c r="C2247" s="36"/>
      <c r="D2247" s="36"/>
      <c r="E2247" s="36"/>
      <c r="F2247" s="36"/>
      <c r="G2247" s="36"/>
      <c r="H2247" s="36"/>
      <c r="J2247" s="36"/>
      <c r="L2247" s="1" t="str">
        <f t="shared" si="127"/>
        <v/>
      </c>
      <c r="M2247" s="94"/>
      <c r="N2247" s="36"/>
      <c r="O2247" s="95"/>
      <c r="P2247" s="36"/>
      <c r="AI2247" s="122">
        <v>1935</v>
      </c>
      <c r="AJ2247" s="1" t="s">
        <v>1141</v>
      </c>
      <c r="AK2247" s="1" t="s">
        <v>1141</v>
      </c>
    </row>
    <row r="2248" spans="2:37" ht="14.25">
      <c r="B2248" s="36"/>
      <c r="C2248" s="36"/>
      <c r="D2248" s="36"/>
      <c r="E2248" s="36"/>
      <c r="F2248" s="36"/>
      <c r="G2248" s="36"/>
      <c r="H2248" s="36"/>
      <c r="J2248" s="36"/>
      <c r="L2248" s="1" t="str">
        <f t="shared" si="127"/>
        <v/>
      </c>
      <c r="M2248" s="94"/>
      <c r="N2248" s="36"/>
      <c r="O2248" s="95"/>
      <c r="P2248" s="36"/>
      <c r="AI2248" s="122">
        <v>1936</v>
      </c>
      <c r="AJ2248" s="1" t="s">
        <v>1141</v>
      </c>
      <c r="AK2248" s="1" t="s">
        <v>1141</v>
      </c>
    </row>
    <row r="2249" spans="2:37" ht="14.25">
      <c r="B2249" s="36"/>
      <c r="C2249" s="36"/>
      <c r="D2249" s="36"/>
      <c r="E2249" s="36"/>
      <c r="F2249" s="36"/>
      <c r="G2249" s="36"/>
      <c r="H2249" s="36"/>
      <c r="J2249" s="36"/>
      <c r="L2249" s="1" t="str">
        <f t="shared" si="127"/>
        <v/>
      </c>
      <c r="M2249" s="94"/>
      <c r="N2249" s="36"/>
      <c r="O2249" s="95"/>
      <c r="P2249" s="36"/>
      <c r="AI2249" s="122">
        <v>1937</v>
      </c>
      <c r="AJ2249" s="1" t="s">
        <v>1141</v>
      </c>
      <c r="AK2249" s="1" t="s">
        <v>1141</v>
      </c>
    </row>
    <row r="2250" spans="2:37" ht="14.25">
      <c r="B2250" s="36"/>
      <c r="C2250" s="36"/>
      <c r="D2250" s="36"/>
      <c r="E2250" s="36"/>
      <c r="F2250" s="36"/>
      <c r="G2250" s="36"/>
      <c r="H2250" s="36"/>
      <c r="J2250" s="36"/>
      <c r="L2250" s="1" t="str">
        <f t="shared" si="127"/>
        <v/>
      </c>
      <c r="M2250" s="94"/>
      <c r="N2250" s="36"/>
      <c r="O2250" s="95"/>
      <c r="P2250" s="36"/>
      <c r="AI2250" s="122">
        <v>1938</v>
      </c>
      <c r="AJ2250" s="1" t="s">
        <v>1141</v>
      </c>
      <c r="AK2250" s="1" t="s">
        <v>1141</v>
      </c>
    </row>
    <row r="2251" spans="2:37" ht="14.25">
      <c r="B2251" s="36"/>
      <c r="C2251" s="36"/>
      <c r="D2251" s="36"/>
      <c r="E2251" s="36"/>
      <c r="F2251" s="36"/>
      <c r="G2251" s="36"/>
      <c r="H2251" s="36"/>
      <c r="J2251" s="36"/>
      <c r="L2251" s="1" t="str">
        <f t="shared" si="127"/>
        <v/>
      </c>
      <c r="M2251" s="94"/>
      <c r="N2251" s="36"/>
      <c r="O2251" s="95"/>
      <c r="P2251" s="36"/>
      <c r="AI2251" s="122">
        <v>1939</v>
      </c>
      <c r="AJ2251" s="1" t="s">
        <v>1141</v>
      </c>
      <c r="AK2251" s="1" t="s">
        <v>1141</v>
      </c>
    </row>
    <row r="2252" spans="2:37" ht="14.25">
      <c r="B2252" s="36"/>
      <c r="C2252" s="36"/>
      <c r="D2252" s="36"/>
      <c r="E2252" s="36"/>
      <c r="F2252" s="36"/>
      <c r="G2252" s="36"/>
      <c r="H2252" s="36"/>
      <c r="J2252" s="36"/>
      <c r="L2252" s="1" t="str">
        <f t="shared" si="127"/>
        <v/>
      </c>
      <c r="M2252" s="94"/>
      <c r="N2252" s="36"/>
      <c r="O2252" s="95"/>
      <c r="P2252" s="36"/>
      <c r="AI2252" s="122">
        <v>1940</v>
      </c>
      <c r="AJ2252" s="1" t="s">
        <v>1141</v>
      </c>
      <c r="AK2252" s="1" t="s">
        <v>1141</v>
      </c>
    </row>
    <row r="2253" spans="2:37" ht="14.25">
      <c r="B2253" s="36"/>
      <c r="C2253" s="36"/>
      <c r="D2253" s="36"/>
      <c r="E2253" s="36"/>
      <c r="F2253" s="36"/>
      <c r="G2253" s="36"/>
      <c r="H2253" s="36"/>
      <c r="J2253" s="36"/>
      <c r="L2253" s="1" t="str">
        <f t="shared" si="127"/>
        <v/>
      </c>
      <c r="M2253" s="94"/>
      <c r="N2253" s="36"/>
      <c r="O2253" s="95"/>
      <c r="P2253" s="36"/>
      <c r="AI2253" s="122">
        <v>1941</v>
      </c>
      <c r="AJ2253" s="1" t="s">
        <v>1141</v>
      </c>
      <c r="AK2253" s="1" t="s">
        <v>1141</v>
      </c>
    </row>
    <row r="2254" spans="2:37" ht="14.25">
      <c r="B2254" s="36"/>
      <c r="C2254" s="36"/>
      <c r="D2254" s="36"/>
      <c r="E2254" s="36"/>
      <c r="F2254" s="36"/>
      <c r="G2254" s="36"/>
      <c r="H2254" s="36"/>
      <c r="J2254" s="36"/>
      <c r="L2254" s="1" t="str">
        <f t="shared" si="127"/>
        <v/>
      </c>
      <c r="M2254" s="94"/>
      <c r="N2254" s="36"/>
      <c r="O2254" s="95"/>
      <c r="P2254" s="36"/>
      <c r="AI2254" s="122">
        <v>1942</v>
      </c>
      <c r="AJ2254" s="1" t="s">
        <v>1141</v>
      </c>
      <c r="AK2254" s="1" t="s">
        <v>1141</v>
      </c>
    </row>
    <row r="2255" spans="2:37" ht="14.25">
      <c r="B2255" s="36"/>
      <c r="C2255" s="36"/>
      <c r="D2255" s="36"/>
      <c r="E2255" s="36"/>
      <c r="F2255" s="36"/>
      <c r="G2255" s="36"/>
      <c r="H2255" s="36"/>
      <c r="J2255" s="36"/>
      <c r="L2255" s="1" t="str">
        <f t="shared" si="127"/>
        <v/>
      </c>
      <c r="M2255" s="94"/>
      <c r="N2255" s="36"/>
      <c r="O2255" s="95"/>
      <c r="P2255" s="36"/>
      <c r="AI2255" s="122">
        <v>1943</v>
      </c>
      <c r="AJ2255" s="1" t="s">
        <v>1141</v>
      </c>
      <c r="AK2255" s="1" t="s">
        <v>1141</v>
      </c>
    </row>
    <row r="2256" spans="2:37" ht="14.25">
      <c r="B2256" s="36"/>
      <c r="C2256" s="36"/>
      <c r="D2256" s="36"/>
      <c r="E2256" s="36"/>
      <c r="F2256" s="36"/>
      <c r="G2256" s="36"/>
      <c r="H2256" s="36"/>
      <c r="J2256" s="36"/>
      <c r="L2256" s="1" t="str">
        <f t="shared" si="127"/>
        <v/>
      </c>
      <c r="M2256" s="94"/>
      <c r="N2256" s="36"/>
      <c r="O2256" s="95"/>
      <c r="P2256" s="36"/>
      <c r="AI2256" s="122">
        <v>1944</v>
      </c>
      <c r="AJ2256" s="1" t="s">
        <v>1141</v>
      </c>
      <c r="AK2256" s="1" t="s">
        <v>1141</v>
      </c>
    </row>
    <row r="2257" spans="2:37" ht="14.25">
      <c r="B2257" s="36"/>
      <c r="C2257" s="36"/>
      <c r="D2257" s="36"/>
      <c r="E2257" s="36"/>
      <c r="F2257" s="36"/>
      <c r="G2257" s="36"/>
      <c r="H2257" s="36"/>
      <c r="J2257" s="36"/>
      <c r="L2257" s="1" t="str">
        <f t="shared" si="127"/>
        <v/>
      </c>
      <c r="M2257" s="94"/>
      <c r="N2257" s="36"/>
      <c r="O2257" s="95"/>
      <c r="P2257" s="36"/>
      <c r="AI2257" s="122">
        <v>1945</v>
      </c>
      <c r="AJ2257" s="1" t="s">
        <v>1141</v>
      </c>
      <c r="AK2257" s="1" t="s">
        <v>1141</v>
      </c>
    </row>
    <row r="2258" spans="2:37" ht="14.25">
      <c r="B2258" s="36"/>
      <c r="C2258" s="36"/>
      <c r="D2258" s="36"/>
      <c r="E2258" s="36"/>
      <c r="F2258" s="36"/>
      <c r="G2258" s="36"/>
      <c r="H2258" s="36"/>
      <c r="J2258" s="36"/>
      <c r="L2258" s="1" t="str">
        <f t="shared" si="127"/>
        <v/>
      </c>
      <c r="M2258" s="94"/>
      <c r="N2258" s="36"/>
      <c r="O2258" s="95"/>
      <c r="P2258" s="36"/>
      <c r="AI2258" s="122">
        <v>1946</v>
      </c>
      <c r="AJ2258" s="1" t="s">
        <v>1141</v>
      </c>
      <c r="AK2258" s="1" t="s">
        <v>1141</v>
      </c>
    </row>
    <row r="2259" spans="2:37" ht="14.25">
      <c r="B2259" s="36"/>
      <c r="C2259" s="36"/>
      <c r="D2259" s="36"/>
      <c r="E2259" s="36"/>
      <c r="F2259" s="36"/>
      <c r="G2259" s="36"/>
      <c r="H2259" s="36"/>
      <c r="J2259" s="36"/>
      <c r="L2259" s="1" t="str">
        <f t="shared" si="127"/>
        <v/>
      </c>
      <c r="M2259" s="94"/>
      <c r="N2259" s="36"/>
      <c r="O2259" s="95"/>
      <c r="P2259" s="36"/>
      <c r="AI2259" s="122">
        <v>1947</v>
      </c>
      <c r="AJ2259" s="1" t="s">
        <v>1141</v>
      </c>
      <c r="AK2259" s="1" t="s">
        <v>1141</v>
      </c>
    </row>
    <row r="2260" spans="2:37" ht="14.25">
      <c r="B2260" s="36"/>
      <c r="C2260" s="36"/>
      <c r="D2260" s="36"/>
      <c r="E2260" s="36"/>
      <c r="F2260" s="36"/>
      <c r="G2260" s="36"/>
      <c r="H2260" s="36"/>
      <c r="J2260" s="36"/>
      <c r="L2260" s="1" t="str">
        <f t="shared" si="127"/>
        <v/>
      </c>
      <c r="M2260" s="94"/>
      <c r="N2260" s="36"/>
      <c r="O2260" s="95"/>
      <c r="P2260" s="36"/>
      <c r="AI2260" s="122">
        <v>1948</v>
      </c>
      <c r="AJ2260" s="1" t="s">
        <v>1141</v>
      </c>
      <c r="AK2260" s="1" t="s">
        <v>1141</v>
      </c>
    </row>
    <row r="2261" spans="2:37" ht="14.25">
      <c r="B2261" s="36"/>
      <c r="C2261" s="36"/>
      <c r="D2261" s="36"/>
      <c r="E2261" s="36"/>
      <c r="F2261" s="36"/>
      <c r="G2261" s="36"/>
      <c r="H2261" s="36"/>
      <c r="J2261" s="36"/>
      <c r="L2261" s="1" t="str">
        <f t="shared" si="127"/>
        <v/>
      </c>
      <c r="M2261" s="94"/>
      <c r="N2261" s="36"/>
      <c r="O2261" s="95"/>
      <c r="P2261" s="36"/>
      <c r="AI2261" s="122">
        <v>1949</v>
      </c>
      <c r="AJ2261" s="1" t="s">
        <v>1141</v>
      </c>
      <c r="AK2261" s="1" t="s">
        <v>1141</v>
      </c>
    </row>
    <row r="2262" spans="2:37" ht="14.25">
      <c r="B2262" s="36"/>
      <c r="C2262" s="36"/>
      <c r="D2262" s="36"/>
      <c r="E2262" s="36"/>
      <c r="F2262" s="36"/>
      <c r="G2262" s="36"/>
      <c r="H2262" s="36"/>
      <c r="J2262" s="36"/>
      <c r="L2262" s="1" t="str">
        <f t="shared" si="127"/>
        <v/>
      </c>
      <c r="M2262" s="94"/>
      <c r="N2262" s="36"/>
      <c r="O2262" s="95"/>
      <c r="P2262" s="36"/>
      <c r="AI2262" s="122">
        <v>1950</v>
      </c>
      <c r="AJ2262" s="1" t="s">
        <v>1141</v>
      </c>
      <c r="AK2262" s="1" t="s">
        <v>1141</v>
      </c>
    </row>
    <row r="2263" spans="2:37" ht="14.25">
      <c r="B2263" s="36"/>
      <c r="C2263" s="36"/>
      <c r="D2263" s="36"/>
      <c r="E2263" s="36"/>
      <c r="F2263" s="36"/>
      <c r="G2263" s="36"/>
      <c r="H2263" s="36"/>
      <c r="J2263" s="36"/>
      <c r="L2263" s="1" t="str">
        <f t="shared" si="127"/>
        <v/>
      </c>
      <c r="M2263" s="94"/>
      <c r="N2263" s="36"/>
      <c r="O2263" s="95"/>
      <c r="P2263" s="36"/>
      <c r="AI2263" s="122">
        <v>1951</v>
      </c>
      <c r="AJ2263" s="1" t="s">
        <v>1141</v>
      </c>
      <c r="AK2263" s="1" t="s">
        <v>1141</v>
      </c>
    </row>
    <row r="2264" spans="2:37" ht="14.25">
      <c r="B2264" s="36"/>
      <c r="C2264" s="36"/>
      <c r="D2264" s="36"/>
      <c r="E2264" s="36"/>
      <c r="F2264" s="36"/>
      <c r="G2264" s="36"/>
      <c r="H2264" s="36"/>
      <c r="J2264" s="36"/>
      <c r="L2264" s="1" t="str">
        <f t="shared" si="127"/>
        <v/>
      </c>
      <c r="M2264" s="94"/>
      <c r="N2264" s="36"/>
      <c r="O2264" s="95"/>
      <c r="P2264" s="36"/>
      <c r="AI2264" s="122">
        <v>1952</v>
      </c>
      <c r="AJ2264" s="1" t="s">
        <v>1141</v>
      </c>
      <c r="AK2264" s="1" t="s">
        <v>1141</v>
      </c>
    </row>
    <row r="2265" spans="2:37" ht="14.25">
      <c r="B2265" s="36"/>
      <c r="C2265" s="36"/>
      <c r="D2265" s="36"/>
      <c r="E2265" s="36"/>
      <c r="F2265" s="36"/>
      <c r="G2265" s="36"/>
      <c r="H2265" s="36"/>
      <c r="J2265" s="36"/>
      <c r="L2265" s="1" t="str">
        <f t="shared" si="127"/>
        <v/>
      </c>
      <c r="M2265" s="94"/>
      <c r="N2265" s="36"/>
      <c r="O2265" s="95"/>
      <c r="P2265" s="36"/>
      <c r="AI2265" s="122">
        <v>1953</v>
      </c>
      <c r="AJ2265" s="1" t="s">
        <v>1141</v>
      </c>
      <c r="AK2265" s="1" t="s">
        <v>1141</v>
      </c>
    </row>
    <row r="2266" spans="2:37" ht="14.25">
      <c r="B2266" s="36"/>
      <c r="C2266" s="36"/>
      <c r="D2266" s="36"/>
      <c r="E2266" s="36"/>
      <c r="F2266" s="36"/>
      <c r="G2266" s="36"/>
      <c r="H2266" s="36"/>
      <c r="J2266" s="36"/>
      <c r="L2266" s="1" t="str">
        <f t="shared" si="127"/>
        <v/>
      </c>
      <c r="M2266" s="94"/>
      <c r="N2266" s="36"/>
      <c r="O2266" s="95"/>
      <c r="P2266" s="36"/>
      <c r="AI2266" s="122">
        <v>1954</v>
      </c>
      <c r="AJ2266" s="1" t="s">
        <v>1141</v>
      </c>
      <c r="AK2266" s="1" t="s">
        <v>1141</v>
      </c>
    </row>
    <row r="2267" spans="2:37" ht="14.25">
      <c r="B2267" s="36"/>
      <c r="C2267" s="36"/>
      <c r="D2267" s="36"/>
      <c r="E2267" s="36"/>
      <c r="F2267" s="36"/>
      <c r="G2267" s="36"/>
      <c r="H2267" s="36"/>
      <c r="J2267" s="36"/>
      <c r="L2267" s="1" t="str">
        <f t="shared" si="127"/>
        <v/>
      </c>
      <c r="M2267" s="94"/>
      <c r="N2267" s="36"/>
      <c r="O2267" s="95"/>
      <c r="P2267" s="36"/>
      <c r="AI2267" s="122">
        <v>1955</v>
      </c>
      <c r="AJ2267" s="1" t="s">
        <v>1141</v>
      </c>
      <c r="AK2267" s="1" t="s">
        <v>1141</v>
      </c>
    </row>
    <row r="2268" spans="2:37" ht="14.25">
      <c r="B2268" s="36"/>
      <c r="C2268" s="36"/>
      <c r="D2268" s="36"/>
      <c r="E2268" s="36"/>
      <c r="F2268" s="36"/>
      <c r="G2268" s="36"/>
      <c r="H2268" s="36"/>
      <c r="J2268" s="36"/>
      <c r="L2268" s="1" t="str">
        <f t="shared" si="127"/>
        <v/>
      </c>
      <c r="M2268" s="94"/>
      <c r="N2268" s="36"/>
      <c r="O2268" s="95"/>
      <c r="P2268" s="36"/>
      <c r="AI2268" s="122">
        <v>1956</v>
      </c>
      <c r="AJ2268" s="1" t="s">
        <v>1141</v>
      </c>
      <c r="AK2268" s="1" t="s">
        <v>1141</v>
      </c>
    </row>
    <row r="2269" spans="2:37" ht="14.25">
      <c r="B2269" s="36"/>
      <c r="C2269" s="36"/>
      <c r="D2269" s="36"/>
      <c r="E2269" s="36"/>
      <c r="F2269" s="36"/>
      <c r="G2269" s="36"/>
      <c r="H2269" s="36"/>
      <c r="J2269" s="36"/>
      <c r="L2269" s="1" t="str">
        <f t="shared" si="127"/>
        <v/>
      </c>
      <c r="M2269" s="94"/>
      <c r="N2269" s="36"/>
      <c r="O2269" s="95"/>
      <c r="P2269" s="36"/>
      <c r="AI2269" s="122">
        <v>1957</v>
      </c>
      <c r="AJ2269" s="1" t="s">
        <v>1141</v>
      </c>
      <c r="AK2269" s="1" t="s">
        <v>1141</v>
      </c>
    </row>
    <row r="2270" spans="2:37" ht="14.25">
      <c r="B2270" s="36"/>
      <c r="C2270" s="36"/>
      <c r="D2270" s="36"/>
      <c r="E2270" s="36"/>
      <c r="F2270" s="36"/>
      <c r="G2270" s="36"/>
      <c r="H2270" s="36"/>
      <c r="J2270" s="36"/>
      <c r="L2270" s="1" t="str">
        <f t="shared" si="127"/>
        <v/>
      </c>
      <c r="M2270" s="94"/>
      <c r="N2270" s="36"/>
      <c r="O2270" s="95"/>
      <c r="P2270" s="36"/>
      <c r="AI2270" s="122">
        <v>1958</v>
      </c>
      <c r="AJ2270" s="1" t="s">
        <v>1141</v>
      </c>
      <c r="AK2270" s="1" t="s">
        <v>1141</v>
      </c>
    </row>
    <row r="2271" spans="2:37" ht="14.25">
      <c r="B2271" s="36"/>
      <c r="C2271" s="36"/>
      <c r="D2271" s="36"/>
      <c r="E2271" s="36"/>
      <c r="F2271" s="36"/>
      <c r="G2271" s="36"/>
      <c r="H2271" s="36"/>
      <c r="J2271" s="36"/>
      <c r="L2271" s="1" t="str">
        <f t="shared" si="127"/>
        <v/>
      </c>
      <c r="M2271" s="94"/>
      <c r="N2271" s="36"/>
      <c r="O2271" s="95"/>
      <c r="P2271" s="36"/>
      <c r="AI2271" s="122">
        <v>1959</v>
      </c>
      <c r="AJ2271" s="1" t="s">
        <v>1141</v>
      </c>
      <c r="AK2271" s="1" t="s">
        <v>1141</v>
      </c>
    </row>
    <row r="2272" spans="2:37" ht="14.25">
      <c r="B2272" s="36"/>
      <c r="C2272" s="36"/>
      <c r="D2272" s="36"/>
      <c r="E2272" s="36"/>
      <c r="F2272" s="36"/>
      <c r="G2272" s="36"/>
      <c r="H2272" s="36"/>
      <c r="J2272" s="36"/>
      <c r="L2272" s="1" t="str">
        <f t="shared" si="127"/>
        <v/>
      </c>
      <c r="M2272" s="94"/>
      <c r="N2272" s="36"/>
      <c r="O2272" s="95"/>
      <c r="P2272" s="36"/>
      <c r="AI2272" s="122">
        <v>1960</v>
      </c>
      <c r="AJ2272" s="1" t="s">
        <v>1141</v>
      </c>
      <c r="AK2272" s="1" t="s">
        <v>1141</v>
      </c>
    </row>
    <row r="2273" spans="2:37" ht="14.25">
      <c r="B2273" s="36"/>
      <c r="C2273" s="36"/>
      <c r="D2273" s="36"/>
      <c r="E2273" s="36"/>
      <c r="F2273" s="36"/>
      <c r="G2273" s="36"/>
      <c r="H2273" s="36"/>
      <c r="J2273" s="36"/>
      <c r="L2273" s="1" t="str">
        <f t="shared" si="127"/>
        <v/>
      </c>
      <c r="M2273" s="94"/>
      <c r="N2273" s="36"/>
      <c r="O2273" s="95"/>
      <c r="P2273" s="36"/>
      <c r="AI2273" s="122">
        <v>1961</v>
      </c>
      <c r="AJ2273" s="1" t="s">
        <v>1141</v>
      </c>
      <c r="AK2273" s="1" t="s">
        <v>1141</v>
      </c>
    </row>
    <row r="2274" spans="2:37" ht="14.25">
      <c r="B2274" s="36"/>
      <c r="C2274" s="36"/>
      <c r="D2274" s="36"/>
      <c r="E2274" s="36"/>
      <c r="F2274" s="36"/>
      <c r="G2274" s="36"/>
      <c r="H2274" s="36"/>
      <c r="J2274" s="36"/>
      <c r="L2274" s="1" t="str">
        <f t="shared" si="127"/>
        <v/>
      </c>
      <c r="M2274" s="94"/>
      <c r="N2274" s="36"/>
      <c r="O2274" s="95"/>
      <c r="P2274" s="36"/>
      <c r="AI2274" s="122">
        <v>1962</v>
      </c>
      <c r="AJ2274" s="1" t="s">
        <v>1141</v>
      </c>
      <c r="AK2274" s="1" t="s">
        <v>1141</v>
      </c>
    </row>
    <row r="2275" spans="2:37" ht="14.25">
      <c r="B2275" s="36"/>
      <c r="C2275" s="36"/>
      <c r="D2275" s="36"/>
      <c r="E2275" s="36"/>
      <c r="F2275" s="36"/>
      <c r="G2275" s="36"/>
      <c r="H2275" s="36"/>
      <c r="J2275" s="36"/>
      <c r="L2275" s="1" t="str">
        <f t="shared" si="127"/>
        <v/>
      </c>
      <c r="M2275" s="94"/>
      <c r="N2275" s="36"/>
      <c r="O2275" s="95"/>
      <c r="P2275" s="36"/>
      <c r="AI2275" s="122">
        <v>1963</v>
      </c>
      <c r="AJ2275" s="1" t="s">
        <v>1141</v>
      </c>
      <c r="AK2275" s="1" t="s">
        <v>1141</v>
      </c>
    </row>
    <row r="2276" spans="2:37" ht="14.25">
      <c r="B2276" s="36"/>
      <c r="C2276" s="36"/>
      <c r="D2276" s="36"/>
      <c r="E2276" s="36"/>
      <c r="F2276" s="36"/>
      <c r="G2276" s="36"/>
      <c r="H2276" s="36"/>
      <c r="J2276" s="36"/>
      <c r="L2276" s="1" t="str">
        <f t="shared" si="127"/>
        <v/>
      </c>
      <c r="M2276" s="94"/>
      <c r="N2276" s="36"/>
      <c r="O2276" s="95"/>
      <c r="P2276" s="36"/>
      <c r="AI2276" s="122">
        <v>1964</v>
      </c>
      <c r="AJ2276" s="1" t="s">
        <v>1141</v>
      </c>
      <c r="AK2276" s="1" t="s">
        <v>1141</v>
      </c>
    </row>
    <row r="2277" spans="2:37" ht="14.25">
      <c r="B2277" s="36"/>
      <c r="C2277" s="36"/>
      <c r="D2277" s="36"/>
      <c r="E2277" s="36"/>
      <c r="F2277" s="36"/>
      <c r="G2277" s="36"/>
      <c r="H2277" s="36"/>
      <c r="J2277" s="36"/>
      <c r="L2277" s="1" t="str">
        <f t="shared" si="127"/>
        <v/>
      </c>
      <c r="M2277" s="94"/>
      <c r="N2277" s="36"/>
      <c r="O2277" s="95"/>
      <c r="P2277" s="36"/>
      <c r="AI2277" s="122">
        <v>1965</v>
      </c>
      <c r="AJ2277" s="1" t="s">
        <v>1141</v>
      </c>
      <c r="AK2277" s="1" t="s">
        <v>1141</v>
      </c>
    </row>
    <row r="2278" spans="2:37" ht="14.25">
      <c r="B2278" s="36"/>
      <c r="C2278" s="36"/>
      <c r="D2278" s="36"/>
      <c r="E2278" s="36"/>
      <c r="F2278" s="36"/>
      <c r="G2278" s="36"/>
      <c r="H2278" s="36"/>
      <c r="J2278" s="36"/>
      <c r="L2278" s="1" t="str">
        <f t="shared" si="127"/>
        <v/>
      </c>
      <c r="M2278" s="94"/>
      <c r="N2278" s="36"/>
      <c r="O2278" s="95"/>
      <c r="P2278" s="36"/>
      <c r="AI2278" s="122">
        <v>1966</v>
      </c>
      <c r="AJ2278" s="1" t="s">
        <v>1141</v>
      </c>
      <c r="AK2278" s="1" t="s">
        <v>1141</v>
      </c>
    </row>
    <row r="2279" spans="2:37" ht="14.25">
      <c r="B2279" s="36"/>
      <c r="C2279" s="36"/>
      <c r="D2279" s="36"/>
      <c r="E2279" s="36"/>
      <c r="F2279" s="36"/>
      <c r="G2279" s="36"/>
      <c r="H2279" s="36"/>
      <c r="J2279" s="36"/>
      <c r="L2279" s="1" t="str">
        <f t="shared" si="127"/>
        <v/>
      </c>
      <c r="M2279" s="94"/>
      <c r="N2279" s="36"/>
      <c r="O2279" s="95"/>
      <c r="P2279" s="36"/>
      <c r="AI2279" s="122">
        <v>1967</v>
      </c>
      <c r="AJ2279" s="1" t="s">
        <v>1141</v>
      </c>
      <c r="AK2279" s="1" t="s">
        <v>1141</v>
      </c>
    </row>
    <row r="2280" spans="2:37" ht="14.25">
      <c r="B2280" s="36"/>
      <c r="C2280" s="36"/>
      <c r="D2280" s="36"/>
      <c r="E2280" s="36"/>
      <c r="F2280" s="36"/>
      <c r="G2280" s="36"/>
      <c r="H2280" s="36"/>
      <c r="J2280" s="36"/>
      <c r="L2280" s="1" t="str">
        <f t="shared" si="127"/>
        <v/>
      </c>
      <c r="M2280" s="94"/>
      <c r="N2280" s="36"/>
      <c r="O2280" s="95"/>
      <c r="P2280" s="36"/>
      <c r="AI2280" s="122">
        <v>1968</v>
      </c>
      <c r="AJ2280" s="1" t="s">
        <v>1141</v>
      </c>
      <c r="AK2280" s="1" t="s">
        <v>1141</v>
      </c>
    </row>
    <row r="2281" spans="2:37" ht="14.25">
      <c r="B2281" s="36"/>
      <c r="C2281" s="36"/>
      <c r="D2281" s="36"/>
      <c r="E2281" s="36"/>
      <c r="F2281" s="36"/>
      <c r="G2281" s="36"/>
      <c r="H2281" s="36"/>
      <c r="J2281" s="36"/>
      <c r="L2281" s="1" t="str">
        <f t="shared" si="127"/>
        <v/>
      </c>
      <c r="M2281" s="94"/>
      <c r="N2281" s="36"/>
      <c r="O2281" s="95"/>
      <c r="P2281" s="36"/>
      <c r="AI2281" s="122">
        <v>1969</v>
      </c>
      <c r="AJ2281" s="1" t="s">
        <v>1141</v>
      </c>
      <c r="AK2281" s="1" t="s">
        <v>1141</v>
      </c>
    </row>
    <row r="2282" spans="2:37" ht="14.25">
      <c r="B2282" s="36"/>
      <c r="C2282" s="36"/>
      <c r="D2282" s="36"/>
      <c r="E2282" s="36"/>
      <c r="F2282" s="36"/>
      <c r="G2282" s="36"/>
      <c r="H2282" s="36"/>
      <c r="J2282" s="36"/>
      <c r="L2282" s="1" t="str">
        <f t="shared" si="127"/>
        <v/>
      </c>
      <c r="M2282" s="94"/>
      <c r="N2282" s="36"/>
      <c r="O2282" s="95"/>
      <c r="P2282" s="36"/>
      <c r="AI2282" s="122">
        <v>1970</v>
      </c>
      <c r="AJ2282" s="1" t="s">
        <v>1141</v>
      </c>
      <c r="AK2282" s="1" t="s">
        <v>1141</v>
      </c>
    </row>
    <row r="2283" spans="2:37" ht="14.25">
      <c r="B2283" s="36"/>
      <c r="C2283" s="36"/>
      <c r="D2283" s="36"/>
      <c r="E2283" s="36"/>
      <c r="F2283" s="36"/>
      <c r="G2283" s="36"/>
      <c r="H2283" s="36"/>
      <c r="J2283" s="36"/>
      <c r="L2283" s="1" t="str">
        <f t="shared" si="127"/>
        <v/>
      </c>
      <c r="M2283" s="94"/>
      <c r="N2283" s="36"/>
      <c r="O2283" s="95"/>
      <c r="P2283" s="36"/>
      <c r="AI2283" s="122">
        <v>1971</v>
      </c>
      <c r="AJ2283" s="1" t="s">
        <v>1141</v>
      </c>
      <c r="AK2283" s="1" t="s">
        <v>1141</v>
      </c>
    </row>
    <row r="2284" spans="2:37" ht="14.25">
      <c r="B2284" s="36"/>
      <c r="C2284" s="36"/>
      <c r="D2284" s="36"/>
      <c r="E2284" s="36"/>
      <c r="F2284" s="36"/>
      <c r="G2284" s="36"/>
      <c r="H2284" s="36"/>
      <c r="J2284" s="36"/>
      <c r="L2284" s="1" t="str">
        <f t="shared" si="127"/>
        <v/>
      </c>
      <c r="M2284" s="94"/>
      <c r="N2284" s="36"/>
      <c r="O2284" s="95"/>
      <c r="P2284" s="36"/>
      <c r="AI2284" s="122">
        <v>1972</v>
      </c>
      <c r="AJ2284" s="1" t="s">
        <v>1141</v>
      </c>
      <c r="AK2284" s="1" t="s">
        <v>1141</v>
      </c>
    </row>
    <row r="2285" spans="2:37" ht="14.25">
      <c r="B2285" s="36"/>
      <c r="C2285" s="36"/>
      <c r="D2285" s="36"/>
      <c r="E2285" s="36"/>
      <c r="F2285" s="36"/>
      <c r="G2285" s="36"/>
      <c r="H2285" s="36"/>
      <c r="J2285" s="36"/>
      <c r="L2285" s="1" t="str">
        <f t="shared" si="127"/>
        <v/>
      </c>
      <c r="M2285" s="94"/>
      <c r="N2285" s="36"/>
      <c r="O2285" s="95"/>
      <c r="P2285" s="36"/>
      <c r="AI2285" s="122">
        <v>1973</v>
      </c>
      <c r="AJ2285" s="1" t="s">
        <v>1141</v>
      </c>
      <c r="AK2285" s="1" t="s">
        <v>1141</v>
      </c>
    </row>
    <row r="2286" spans="2:37" ht="14.25">
      <c r="B2286" s="36"/>
      <c r="C2286" s="36"/>
      <c r="D2286" s="36"/>
      <c r="E2286" s="36"/>
      <c r="F2286" s="36"/>
      <c r="G2286" s="36"/>
      <c r="H2286" s="36"/>
      <c r="J2286" s="36"/>
      <c r="L2286" s="1" t="str">
        <f t="shared" si="127"/>
        <v/>
      </c>
      <c r="M2286" s="94"/>
      <c r="N2286" s="36"/>
      <c r="O2286" s="95"/>
      <c r="P2286" s="36"/>
      <c r="AI2286" s="122">
        <v>1974</v>
      </c>
      <c r="AJ2286" s="1" t="s">
        <v>1141</v>
      </c>
      <c r="AK2286" s="1" t="s">
        <v>1141</v>
      </c>
    </row>
    <row r="2287" spans="2:37" ht="14.25">
      <c r="B2287" s="36"/>
      <c r="C2287" s="36"/>
      <c r="D2287" s="36"/>
      <c r="E2287" s="36"/>
      <c r="F2287" s="36"/>
      <c r="G2287" s="36"/>
      <c r="H2287" s="36"/>
      <c r="J2287" s="36"/>
      <c r="L2287" s="1" t="str">
        <f t="shared" si="127"/>
        <v/>
      </c>
      <c r="M2287" s="94"/>
      <c r="N2287" s="36"/>
      <c r="O2287" s="95"/>
      <c r="P2287" s="36"/>
      <c r="AI2287" s="122">
        <v>1975</v>
      </c>
      <c r="AJ2287" s="1" t="s">
        <v>1141</v>
      </c>
      <c r="AK2287" s="1" t="s">
        <v>1141</v>
      </c>
    </row>
    <row r="2288" spans="2:37" ht="14.25">
      <c r="B2288" s="36"/>
      <c r="C2288" s="36"/>
      <c r="D2288" s="36"/>
      <c r="E2288" s="36"/>
      <c r="F2288" s="36"/>
      <c r="G2288" s="36"/>
      <c r="H2288" s="36"/>
      <c r="J2288" s="36"/>
      <c r="L2288" s="1" t="str">
        <f t="shared" si="127"/>
        <v/>
      </c>
      <c r="M2288" s="94"/>
      <c r="N2288" s="36"/>
      <c r="O2288" s="95"/>
      <c r="P2288" s="36"/>
      <c r="AI2288" s="122">
        <v>1976</v>
      </c>
      <c r="AJ2288" s="1" t="s">
        <v>1141</v>
      </c>
      <c r="AK2288" s="1" t="s">
        <v>1141</v>
      </c>
    </row>
    <row r="2289" spans="2:37" ht="14.25">
      <c r="B2289" s="36"/>
      <c r="C2289" s="36"/>
      <c r="D2289" s="36"/>
      <c r="E2289" s="36"/>
      <c r="F2289" s="36"/>
      <c r="G2289" s="36"/>
      <c r="H2289" s="36"/>
      <c r="J2289" s="36"/>
      <c r="L2289" s="1" t="str">
        <f t="shared" si="127"/>
        <v/>
      </c>
      <c r="M2289" s="94"/>
      <c r="N2289" s="36"/>
      <c r="O2289" s="95"/>
      <c r="P2289" s="36"/>
      <c r="AI2289" s="122">
        <v>1977</v>
      </c>
      <c r="AJ2289" s="1" t="s">
        <v>1141</v>
      </c>
      <c r="AK2289" s="1" t="s">
        <v>1141</v>
      </c>
    </row>
    <row r="2290" spans="2:37" ht="14.25">
      <c r="B2290" s="36"/>
      <c r="C2290" s="36"/>
      <c r="D2290" s="36"/>
      <c r="E2290" s="36"/>
      <c r="F2290" s="36"/>
      <c r="G2290" s="36"/>
      <c r="H2290" s="36"/>
      <c r="J2290" s="36"/>
      <c r="L2290" s="1" t="str">
        <f t="shared" si="127"/>
        <v/>
      </c>
      <c r="M2290" s="94"/>
      <c r="N2290" s="36"/>
      <c r="O2290" s="95"/>
      <c r="P2290" s="36"/>
      <c r="AI2290" s="122">
        <v>1978</v>
      </c>
      <c r="AJ2290" s="1" t="s">
        <v>1141</v>
      </c>
      <c r="AK2290" s="1" t="s">
        <v>1141</v>
      </c>
    </row>
    <row r="2291" spans="2:37" ht="14.25">
      <c r="B2291" s="36"/>
      <c r="C2291" s="36"/>
      <c r="D2291" s="36"/>
      <c r="E2291" s="36"/>
      <c r="F2291" s="36"/>
      <c r="G2291" s="36"/>
      <c r="H2291" s="36"/>
      <c r="J2291" s="36"/>
      <c r="L2291" s="1" t="str">
        <f t="shared" si="127"/>
        <v/>
      </c>
      <c r="M2291" s="94"/>
      <c r="N2291" s="36"/>
      <c r="O2291" s="95"/>
      <c r="P2291" s="36"/>
      <c r="AI2291" s="122">
        <v>1979</v>
      </c>
      <c r="AJ2291" s="1" t="s">
        <v>1141</v>
      </c>
      <c r="AK2291" s="1" t="s">
        <v>1141</v>
      </c>
    </row>
    <row r="2292" spans="2:37" ht="14.25">
      <c r="B2292" s="36"/>
      <c r="C2292" s="36"/>
      <c r="D2292" s="36"/>
      <c r="E2292" s="36"/>
      <c r="F2292" s="36"/>
      <c r="G2292" s="36"/>
      <c r="H2292" s="36"/>
      <c r="J2292" s="36"/>
      <c r="L2292" s="1" t="str">
        <f t="shared" si="127"/>
        <v/>
      </c>
      <c r="M2292" s="94"/>
      <c r="N2292" s="36"/>
      <c r="O2292" s="95"/>
      <c r="P2292" s="36"/>
      <c r="AI2292" s="122">
        <v>1980</v>
      </c>
      <c r="AJ2292" s="1" t="s">
        <v>1141</v>
      </c>
      <c r="AK2292" s="1" t="s">
        <v>1141</v>
      </c>
    </row>
    <row r="2293" spans="2:37" ht="14.25">
      <c r="B2293" s="36"/>
      <c r="C2293" s="36"/>
      <c r="D2293" s="36"/>
      <c r="E2293" s="36"/>
      <c r="F2293" s="36"/>
      <c r="G2293" s="36"/>
      <c r="H2293" s="36"/>
      <c r="J2293" s="36"/>
      <c r="L2293" s="1" t="str">
        <f t="shared" si="127"/>
        <v/>
      </c>
      <c r="M2293" s="94"/>
      <c r="N2293" s="36"/>
      <c r="O2293" s="95"/>
      <c r="P2293" s="36"/>
      <c r="AI2293" s="122">
        <v>1981</v>
      </c>
      <c r="AJ2293" s="1" t="s">
        <v>1141</v>
      </c>
      <c r="AK2293" s="1" t="s">
        <v>1141</v>
      </c>
    </row>
    <row r="2294" spans="2:37" ht="14.25">
      <c r="B2294" s="36"/>
      <c r="C2294" s="36"/>
      <c r="D2294" s="36"/>
      <c r="E2294" s="36"/>
      <c r="F2294" s="36"/>
      <c r="G2294" s="36"/>
      <c r="H2294" s="36"/>
      <c r="J2294" s="36"/>
      <c r="L2294" s="1" t="str">
        <f t="shared" si="127"/>
        <v/>
      </c>
      <c r="M2294" s="94"/>
      <c r="N2294" s="36"/>
      <c r="O2294" s="95"/>
      <c r="P2294" s="36"/>
      <c r="AI2294" s="122">
        <v>1982</v>
      </c>
      <c r="AJ2294" s="1" t="s">
        <v>1141</v>
      </c>
      <c r="AK2294" s="1" t="s">
        <v>1141</v>
      </c>
    </row>
    <row r="2295" spans="2:37" ht="14.25">
      <c r="B2295" s="36"/>
      <c r="C2295" s="36"/>
      <c r="D2295" s="36"/>
      <c r="E2295" s="36"/>
      <c r="F2295" s="36"/>
      <c r="G2295" s="36"/>
      <c r="H2295" s="36"/>
      <c r="J2295" s="36"/>
      <c r="L2295" s="1" t="str">
        <f t="shared" si="127"/>
        <v/>
      </c>
      <c r="M2295" s="94"/>
      <c r="N2295" s="36"/>
      <c r="O2295" s="95"/>
      <c r="P2295" s="36"/>
      <c r="AI2295" s="122">
        <v>1983</v>
      </c>
      <c r="AJ2295" s="1" t="s">
        <v>1141</v>
      </c>
      <c r="AK2295" s="1" t="s">
        <v>1141</v>
      </c>
    </row>
    <row r="2296" spans="2:37" ht="14.25">
      <c r="B2296" s="36"/>
      <c r="C2296" s="36"/>
      <c r="D2296" s="36"/>
      <c r="E2296" s="36"/>
      <c r="F2296" s="36"/>
      <c r="G2296" s="36"/>
      <c r="H2296" s="36"/>
      <c r="J2296" s="36"/>
      <c r="L2296" s="1" t="str">
        <f t="shared" si="127"/>
        <v/>
      </c>
      <c r="M2296" s="94"/>
      <c r="N2296" s="36"/>
      <c r="O2296" s="95"/>
      <c r="P2296" s="36"/>
      <c r="AI2296" s="122">
        <v>1984</v>
      </c>
      <c r="AJ2296" s="1" t="s">
        <v>1141</v>
      </c>
      <c r="AK2296" s="1" t="s">
        <v>1141</v>
      </c>
    </row>
    <row r="2297" spans="2:37" ht="14.25">
      <c r="B2297" s="36"/>
      <c r="C2297" s="36"/>
      <c r="D2297" s="36"/>
      <c r="E2297" s="36"/>
      <c r="F2297" s="36"/>
      <c r="G2297" s="36"/>
      <c r="H2297" s="36"/>
      <c r="J2297" s="36"/>
      <c r="L2297" s="1" t="str">
        <f t="shared" si="127"/>
        <v/>
      </c>
      <c r="M2297" s="94"/>
      <c r="N2297" s="36"/>
      <c r="O2297" s="95"/>
      <c r="P2297" s="36"/>
      <c r="AI2297" s="122">
        <v>1985</v>
      </c>
      <c r="AJ2297" s="1" t="s">
        <v>1141</v>
      </c>
      <c r="AK2297" s="1" t="s">
        <v>1141</v>
      </c>
    </row>
    <row r="2298" spans="2:37" ht="14.25">
      <c r="B2298" s="36"/>
      <c r="C2298" s="36"/>
      <c r="D2298" s="36"/>
      <c r="E2298" s="36"/>
      <c r="F2298" s="36"/>
      <c r="G2298" s="36"/>
      <c r="H2298" s="36"/>
      <c r="J2298" s="36"/>
      <c r="L2298" s="1" t="str">
        <f t="shared" si="127"/>
        <v/>
      </c>
      <c r="M2298" s="94"/>
      <c r="N2298" s="36"/>
      <c r="O2298" s="95"/>
      <c r="P2298" s="36"/>
      <c r="AI2298" s="122">
        <v>1986</v>
      </c>
      <c r="AJ2298" s="1" t="s">
        <v>1141</v>
      </c>
      <c r="AK2298" s="1" t="s">
        <v>1141</v>
      </c>
    </row>
    <row r="2299" spans="2:37" ht="14.25">
      <c r="B2299" s="36"/>
      <c r="C2299" s="36"/>
      <c r="D2299" s="36"/>
      <c r="E2299" s="36"/>
      <c r="F2299" s="36"/>
      <c r="G2299" s="36"/>
      <c r="H2299" s="36"/>
      <c r="J2299" s="36"/>
      <c r="L2299" s="1" t="str">
        <f t="shared" si="127"/>
        <v/>
      </c>
      <c r="M2299" s="94"/>
      <c r="N2299" s="36"/>
      <c r="O2299" s="95"/>
      <c r="P2299" s="36"/>
      <c r="AI2299" s="122">
        <v>1987</v>
      </c>
      <c r="AJ2299" s="1" t="s">
        <v>1141</v>
      </c>
      <c r="AK2299" s="1" t="s">
        <v>1141</v>
      </c>
    </row>
    <row r="2300" spans="2:37" ht="14.25">
      <c r="B2300" s="36"/>
      <c r="C2300" s="36"/>
      <c r="D2300" s="36"/>
      <c r="E2300" s="36"/>
      <c r="F2300" s="36"/>
      <c r="G2300" s="36"/>
      <c r="H2300" s="36"/>
      <c r="J2300" s="36"/>
      <c r="L2300" s="1" t="str">
        <f t="shared" si="127"/>
        <v/>
      </c>
      <c r="M2300" s="94"/>
      <c r="N2300" s="36"/>
      <c r="O2300" s="95"/>
      <c r="P2300" s="36"/>
      <c r="AI2300" s="122">
        <v>1988</v>
      </c>
      <c r="AJ2300" s="1" t="s">
        <v>1141</v>
      </c>
      <c r="AK2300" s="1" t="s">
        <v>1141</v>
      </c>
    </row>
    <row r="2301" spans="2:37" ht="14.25">
      <c r="B2301" s="36"/>
      <c r="C2301" s="36"/>
      <c r="D2301" s="36"/>
      <c r="E2301" s="36"/>
      <c r="F2301" s="36"/>
      <c r="G2301" s="36"/>
      <c r="H2301" s="36"/>
      <c r="J2301" s="36"/>
      <c r="L2301" s="1" t="str">
        <f t="shared" si="127"/>
        <v/>
      </c>
      <c r="M2301" s="94"/>
      <c r="N2301" s="36"/>
      <c r="O2301" s="95"/>
      <c r="P2301" s="36"/>
      <c r="AI2301" s="122">
        <v>1989</v>
      </c>
      <c r="AJ2301" s="1" t="s">
        <v>1141</v>
      </c>
      <c r="AK2301" s="1" t="s">
        <v>1141</v>
      </c>
    </row>
    <row r="2302" spans="2:37" ht="14.25">
      <c r="B2302" s="36"/>
      <c r="C2302" s="36"/>
      <c r="D2302" s="36"/>
      <c r="E2302" s="36"/>
      <c r="F2302" s="36"/>
      <c r="G2302" s="36"/>
      <c r="H2302" s="36"/>
      <c r="J2302" s="36"/>
      <c r="L2302" s="1" t="str">
        <f t="shared" si="127"/>
        <v/>
      </c>
      <c r="M2302" s="94"/>
      <c r="N2302" s="36"/>
      <c r="O2302" s="95"/>
      <c r="P2302" s="36"/>
      <c r="AI2302" s="122">
        <v>1990</v>
      </c>
      <c r="AJ2302" s="1" t="s">
        <v>1141</v>
      </c>
      <c r="AK2302" s="1" t="s">
        <v>1141</v>
      </c>
    </row>
    <row r="2303" spans="2:37" ht="14.25">
      <c r="B2303" s="36"/>
      <c r="C2303" s="36"/>
      <c r="D2303" s="36"/>
      <c r="E2303" s="36"/>
      <c r="F2303" s="36"/>
      <c r="G2303" s="36"/>
      <c r="H2303" s="36"/>
      <c r="J2303" s="36"/>
      <c r="L2303" s="1" t="str">
        <f t="shared" si="127"/>
        <v/>
      </c>
      <c r="M2303" s="94"/>
      <c r="N2303" s="36"/>
      <c r="O2303" s="95"/>
      <c r="P2303" s="36"/>
      <c r="AI2303" s="122">
        <v>1991</v>
      </c>
      <c r="AJ2303" s="1" t="s">
        <v>1141</v>
      </c>
      <c r="AK2303" s="1" t="s">
        <v>1141</v>
      </c>
    </row>
    <row r="2304" spans="2:37" ht="14.25">
      <c r="B2304" s="36"/>
      <c r="C2304" s="36"/>
      <c r="D2304" s="36"/>
      <c r="E2304" s="36"/>
      <c r="F2304" s="36"/>
      <c r="G2304" s="36"/>
      <c r="H2304" s="36"/>
      <c r="J2304" s="36"/>
      <c r="L2304" s="1" t="str">
        <f t="shared" si="127"/>
        <v/>
      </c>
      <c r="M2304" s="94"/>
      <c r="N2304" s="36"/>
      <c r="O2304" s="95"/>
      <c r="P2304" s="36"/>
      <c r="AI2304" s="122">
        <v>1992</v>
      </c>
      <c r="AJ2304" s="1" t="s">
        <v>1141</v>
      </c>
      <c r="AK2304" s="1" t="s">
        <v>1141</v>
      </c>
    </row>
    <row r="2305" spans="2:37" ht="14.25">
      <c r="B2305" s="36"/>
      <c r="C2305" s="36"/>
      <c r="D2305" s="36"/>
      <c r="E2305" s="36"/>
      <c r="F2305" s="36"/>
      <c r="G2305" s="36"/>
      <c r="H2305" s="36"/>
      <c r="J2305" s="36"/>
      <c r="L2305" s="1" t="str">
        <f t="shared" si="127"/>
        <v/>
      </c>
      <c r="M2305" s="94"/>
      <c r="N2305" s="36"/>
      <c r="O2305" s="95"/>
      <c r="P2305" s="36"/>
      <c r="AI2305" s="122">
        <v>1993</v>
      </c>
      <c r="AJ2305" s="1" t="s">
        <v>1141</v>
      </c>
      <c r="AK2305" s="1" t="s">
        <v>1141</v>
      </c>
    </row>
    <row r="2306" spans="2:37" ht="14.25">
      <c r="B2306" s="36"/>
      <c r="C2306" s="36"/>
      <c r="D2306" s="36"/>
      <c r="E2306" s="36"/>
      <c r="F2306" s="36"/>
      <c r="G2306" s="36"/>
      <c r="H2306" s="36"/>
      <c r="J2306" s="36"/>
      <c r="L2306" s="1" t="str">
        <f t="shared" si="127"/>
        <v/>
      </c>
      <c r="M2306" s="94"/>
      <c r="N2306" s="36"/>
      <c r="O2306" s="95"/>
      <c r="P2306" s="36"/>
      <c r="AI2306" s="122">
        <v>1994</v>
      </c>
      <c r="AJ2306" s="1" t="s">
        <v>1141</v>
      </c>
      <c r="AK2306" s="1" t="s">
        <v>1141</v>
      </c>
    </row>
    <row r="2307" spans="2:37" ht="14.25">
      <c r="B2307" s="36"/>
      <c r="C2307" s="36"/>
      <c r="D2307" s="36"/>
      <c r="E2307" s="36"/>
      <c r="F2307" s="36"/>
      <c r="G2307" s="36"/>
      <c r="H2307" s="36"/>
      <c r="J2307" s="36"/>
      <c r="L2307" s="1" t="str">
        <f t="shared" si="127"/>
        <v/>
      </c>
      <c r="M2307" s="94"/>
      <c r="N2307" s="36"/>
      <c r="O2307" s="95"/>
      <c r="P2307" s="36"/>
      <c r="AI2307" s="122">
        <v>1995</v>
      </c>
      <c r="AJ2307" s="1" t="s">
        <v>1141</v>
      </c>
      <c r="AK2307" s="1" t="s">
        <v>1141</v>
      </c>
    </row>
    <row r="2308" spans="2:37" ht="14.25">
      <c r="B2308" s="36"/>
      <c r="C2308" s="36"/>
      <c r="D2308" s="36"/>
      <c r="E2308" s="36"/>
      <c r="F2308" s="36"/>
      <c r="G2308" s="36"/>
      <c r="H2308" s="36"/>
      <c r="J2308" s="36"/>
      <c r="L2308" s="1" t="str">
        <f t="shared" ref="L2308:L2371" si="128">IF(AND(MIN(I:I)&lt;20,MAX(I:I)&gt;980,I2308&lt;20),I2308,"")</f>
        <v/>
      </c>
      <c r="M2308" s="94"/>
      <c r="N2308" s="36"/>
      <c r="O2308" s="95"/>
      <c r="P2308" s="36"/>
      <c r="AI2308" s="122">
        <v>1996</v>
      </c>
      <c r="AJ2308" s="1" t="s">
        <v>1141</v>
      </c>
      <c r="AK2308" s="1" t="s">
        <v>1141</v>
      </c>
    </row>
    <row r="2309" spans="2:37" ht="14.25">
      <c r="B2309" s="36"/>
      <c r="C2309" s="36"/>
      <c r="D2309" s="36"/>
      <c r="E2309" s="36"/>
      <c r="F2309" s="36"/>
      <c r="G2309" s="36"/>
      <c r="H2309" s="36"/>
      <c r="J2309" s="36"/>
      <c r="L2309" s="1" t="str">
        <f t="shared" si="128"/>
        <v/>
      </c>
      <c r="M2309" s="94"/>
      <c r="N2309" s="36"/>
      <c r="O2309" s="95"/>
      <c r="P2309" s="36"/>
      <c r="AI2309" s="122">
        <v>1997</v>
      </c>
      <c r="AJ2309" s="1" t="s">
        <v>1141</v>
      </c>
      <c r="AK2309" s="1" t="s">
        <v>1141</v>
      </c>
    </row>
    <row r="2310" spans="2:37" ht="14.25">
      <c r="B2310" s="36"/>
      <c r="C2310" s="36"/>
      <c r="D2310" s="36"/>
      <c r="E2310" s="36"/>
      <c r="F2310" s="36"/>
      <c r="G2310" s="36"/>
      <c r="H2310" s="36"/>
      <c r="J2310" s="36"/>
      <c r="L2310" s="1" t="str">
        <f t="shared" si="128"/>
        <v/>
      </c>
      <c r="M2310" s="94"/>
      <c r="N2310" s="36"/>
      <c r="O2310" s="95"/>
      <c r="P2310" s="36"/>
      <c r="AI2310" s="122">
        <v>1998</v>
      </c>
      <c r="AJ2310" s="1" t="s">
        <v>1141</v>
      </c>
      <c r="AK2310" s="1" t="s">
        <v>1141</v>
      </c>
    </row>
    <row r="2311" spans="2:37" ht="14.25">
      <c r="B2311" s="36"/>
      <c r="C2311" s="36"/>
      <c r="D2311" s="36"/>
      <c r="E2311" s="36"/>
      <c r="F2311" s="36"/>
      <c r="G2311" s="36"/>
      <c r="H2311" s="36"/>
      <c r="J2311" s="36"/>
      <c r="L2311" s="1" t="str">
        <f t="shared" si="128"/>
        <v/>
      </c>
      <c r="M2311" s="94"/>
      <c r="N2311" s="36"/>
      <c r="O2311" s="95"/>
      <c r="P2311" s="36"/>
      <c r="AI2311" s="122">
        <v>1999</v>
      </c>
      <c r="AJ2311" s="1" t="s">
        <v>1141</v>
      </c>
      <c r="AK2311" s="1" t="s">
        <v>1141</v>
      </c>
    </row>
    <row r="2312" spans="2:37" ht="14.25">
      <c r="B2312" s="36"/>
      <c r="C2312" s="36"/>
      <c r="D2312" s="36"/>
      <c r="E2312" s="36"/>
      <c r="F2312" s="36"/>
      <c r="G2312" s="36"/>
      <c r="H2312" s="36"/>
      <c r="J2312" s="36"/>
      <c r="L2312" s="1" t="str">
        <f t="shared" si="128"/>
        <v/>
      </c>
      <c r="M2312" s="94"/>
      <c r="N2312" s="36"/>
      <c r="O2312" s="95"/>
      <c r="P2312" s="36"/>
      <c r="AI2312" s="122">
        <v>2000</v>
      </c>
      <c r="AJ2312" s="1" t="s">
        <v>1141</v>
      </c>
      <c r="AK2312" s="1" t="s">
        <v>1141</v>
      </c>
    </row>
    <row r="2313" spans="2:37" ht="14.25">
      <c r="B2313" s="36"/>
      <c r="C2313" s="36"/>
      <c r="D2313" s="36"/>
      <c r="E2313" s="36"/>
      <c r="F2313" s="36"/>
      <c r="G2313" s="36"/>
      <c r="H2313" s="36"/>
      <c r="J2313" s="36"/>
      <c r="L2313" s="1" t="str">
        <f t="shared" si="128"/>
        <v/>
      </c>
      <c r="M2313" s="94"/>
      <c r="N2313" s="36"/>
      <c r="O2313" s="95"/>
      <c r="P2313" s="36"/>
      <c r="AI2313" s="122">
        <v>2001</v>
      </c>
      <c r="AJ2313" s="1" t="s">
        <v>1141</v>
      </c>
      <c r="AK2313" s="1" t="s">
        <v>1141</v>
      </c>
    </row>
    <row r="2314" spans="2:37" ht="14.25">
      <c r="B2314" s="36"/>
      <c r="C2314" s="36"/>
      <c r="D2314" s="36"/>
      <c r="E2314" s="36"/>
      <c r="F2314" s="36"/>
      <c r="G2314" s="36"/>
      <c r="H2314" s="36"/>
      <c r="J2314" s="36"/>
      <c r="L2314" s="1" t="str">
        <f t="shared" si="128"/>
        <v/>
      </c>
      <c r="M2314" s="94"/>
      <c r="N2314" s="36"/>
      <c r="O2314" s="95"/>
      <c r="P2314" s="36"/>
      <c r="AI2314" s="122">
        <v>2002</v>
      </c>
      <c r="AJ2314" s="1" t="s">
        <v>1141</v>
      </c>
      <c r="AK2314" s="1" t="s">
        <v>1141</v>
      </c>
    </row>
    <row r="2315" spans="2:37" ht="14.25">
      <c r="B2315" s="36"/>
      <c r="C2315" s="36"/>
      <c r="D2315" s="36"/>
      <c r="E2315" s="36"/>
      <c r="F2315" s="36"/>
      <c r="G2315" s="36"/>
      <c r="H2315" s="36"/>
      <c r="J2315" s="36"/>
      <c r="L2315" s="1" t="str">
        <f t="shared" si="128"/>
        <v/>
      </c>
      <c r="M2315" s="94"/>
      <c r="N2315" s="36"/>
      <c r="O2315" s="95"/>
      <c r="P2315" s="36"/>
      <c r="AI2315" s="122">
        <v>2003</v>
      </c>
      <c r="AJ2315" s="1" t="s">
        <v>1141</v>
      </c>
      <c r="AK2315" s="1" t="s">
        <v>1141</v>
      </c>
    </row>
    <row r="2316" spans="2:37" ht="14.25">
      <c r="B2316" s="36"/>
      <c r="C2316" s="36"/>
      <c r="D2316" s="36"/>
      <c r="E2316" s="36"/>
      <c r="F2316" s="36"/>
      <c r="G2316" s="36"/>
      <c r="H2316" s="36"/>
      <c r="J2316" s="36"/>
      <c r="L2316" s="1" t="str">
        <f t="shared" si="128"/>
        <v/>
      </c>
      <c r="M2316" s="94"/>
      <c r="N2316" s="36"/>
      <c r="O2316" s="95"/>
      <c r="P2316" s="36"/>
      <c r="AI2316" s="122">
        <v>2004</v>
      </c>
      <c r="AJ2316" s="1" t="s">
        <v>1141</v>
      </c>
      <c r="AK2316" s="1" t="s">
        <v>1141</v>
      </c>
    </row>
    <row r="2317" spans="2:37" ht="14.25">
      <c r="B2317" s="36"/>
      <c r="C2317" s="36"/>
      <c r="D2317" s="36"/>
      <c r="E2317" s="36"/>
      <c r="F2317" s="36"/>
      <c r="G2317" s="36"/>
      <c r="H2317" s="36"/>
      <c r="J2317" s="36"/>
      <c r="L2317" s="1" t="str">
        <f t="shared" si="128"/>
        <v/>
      </c>
      <c r="M2317" s="94"/>
      <c r="N2317" s="36"/>
      <c r="O2317" s="95"/>
      <c r="P2317" s="36"/>
      <c r="AI2317" s="122">
        <v>2005</v>
      </c>
      <c r="AJ2317" s="1" t="s">
        <v>1141</v>
      </c>
      <c r="AK2317" s="1" t="s">
        <v>1141</v>
      </c>
    </row>
    <row r="2318" spans="2:37" ht="14.25">
      <c r="B2318" s="36"/>
      <c r="C2318" s="36"/>
      <c r="D2318" s="36"/>
      <c r="E2318" s="36"/>
      <c r="F2318" s="36"/>
      <c r="G2318" s="36"/>
      <c r="H2318" s="36"/>
      <c r="J2318" s="36"/>
      <c r="L2318" s="1" t="str">
        <f t="shared" si="128"/>
        <v/>
      </c>
      <c r="M2318" s="94"/>
      <c r="N2318" s="36"/>
      <c r="O2318" s="95"/>
      <c r="P2318" s="36"/>
      <c r="AI2318" s="122">
        <v>2006</v>
      </c>
      <c r="AJ2318" s="1" t="s">
        <v>1141</v>
      </c>
      <c r="AK2318" s="1" t="s">
        <v>1141</v>
      </c>
    </row>
    <row r="2319" spans="2:37" ht="14.25">
      <c r="B2319" s="36"/>
      <c r="C2319" s="36"/>
      <c r="D2319" s="36"/>
      <c r="E2319" s="36"/>
      <c r="F2319" s="36"/>
      <c r="G2319" s="36"/>
      <c r="H2319" s="36"/>
      <c r="J2319" s="36"/>
      <c r="L2319" s="1" t="str">
        <f t="shared" si="128"/>
        <v/>
      </c>
      <c r="M2319" s="94"/>
      <c r="N2319" s="36"/>
      <c r="O2319" s="95"/>
      <c r="P2319" s="36"/>
      <c r="AI2319" s="122">
        <v>2007</v>
      </c>
      <c r="AJ2319" s="1" t="s">
        <v>1141</v>
      </c>
      <c r="AK2319" s="1" t="s">
        <v>1141</v>
      </c>
    </row>
    <row r="2320" spans="2:37" ht="14.25">
      <c r="B2320" s="36"/>
      <c r="C2320" s="36"/>
      <c r="D2320" s="36"/>
      <c r="E2320" s="36"/>
      <c r="F2320" s="36"/>
      <c r="G2320" s="36"/>
      <c r="H2320" s="36"/>
      <c r="J2320" s="36"/>
      <c r="L2320" s="1" t="str">
        <f t="shared" si="128"/>
        <v/>
      </c>
      <c r="M2320" s="94"/>
      <c r="N2320" s="36"/>
      <c r="O2320" s="95"/>
      <c r="P2320" s="36"/>
      <c r="AI2320" s="122">
        <v>2008</v>
      </c>
      <c r="AJ2320" s="1" t="s">
        <v>1141</v>
      </c>
      <c r="AK2320" s="1" t="s">
        <v>1141</v>
      </c>
    </row>
    <row r="2321" spans="2:37" ht="14.25">
      <c r="B2321" s="36"/>
      <c r="C2321" s="36"/>
      <c r="D2321" s="36"/>
      <c r="E2321" s="36"/>
      <c r="F2321" s="36"/>
      <c r="G2321" s="36"/>
      <c r="H2321" s="36"/>
      <c r="J2321" s="36"/>
      <c r="L2321" s="1" t="str">
        <f t="shared" si="128"/>
        <v/>
      </c>
      <c r="M2321" s="94"/>
      <c r="N2321" s="36"/>
      <c r="O2321" s="95"/>
      <c r="P2321" s="36"/>
      <c r="AI2321" s="122">
        <v>2009</v>
      </c>
      <c r="AJ2321" s="1" t="s">
        <v>1141</v>
      </c>
      <c r="AK2321" s="1" t="s">
        <v>1141</v>
      </c>
    </row>
    <row r="2322" spans="2:37" ht="14.25">
      <c r="B2322" s="36"/>
      <c r="C2322" s="36"/>
      <c r="D2322" s="36"/>
      <c r="E2322" s="36"/>
      <c r="F2322" s="36"/>
      <c r="G2322" s="36"/>
      <c r="H2322" s="36"/>
      <c r="J2322" s="36"/>
      <c r="L2322" s="1" t="str">
        <f t="shared" si="128"/>
        <v/>
      </c>
      <c r="M2322" s="94"/>
      <c r="N2322" s="36"/>
      <c r="O2322" s="95"/>
      <c r="P2322" s="36"/>
      <c r="AI2322" s="122">
        <v>2010</v>
      </c>
      <c r="AJ2322" s="1" t="s">
        <v>1141</v>
      </c>
      <c r="AK2322" s="1" t="s">
        <v>1141</v>
      </c>
    </row>
    <row r="2323" spans="2:37" ht="14.25">
      <c r="B2323" s="36"/>
      <c r="C2323" s="36"/>
      <c r="D2323" s="36"/>
      <c r="E2323" s="36"/>
      <c r="F2323" s="36"/>
      <c r="G2323" s="36"/>
      <c r="H2323" s="36"/>
      <c r="J2323" s="36"/>
      <c r="L2323" s="1" t="str">
        <f t="shared" si="128"/>
        <v/>
      </c>
      <c r="M2323" s="94"/>
      <c r="N2323" s="36"/>
      <c r="O2323" s="95"/>
      <c r="P2323" s="36"/>
      <c r="AI2323" s="122">
        <v>2011</v>
      </c>
      <c r="AJ2323" s="1" t="s">
        <v>1141</v>
      </c>
      <c r="AK2323" s="1" t="s">
        <v>1141</v>
      </c>
    </row>
    <row r="2324" spans="2:37" ht="14.25">
      <c r="B2324" s="36"/>
      <c r="C2324" s="36"/>
      <c r="D2324" s="36"/>
      <c r="E2324" s="36"/>
      <c r="F2324" s="36"/>
      <c r="G2324" s="36"/>
      <c r="H2324" s="36"/>
      <c r="J2324" s="36"/>
      <c r="L2324" s="1" t="str">
        <f t="shared" si="128"/>
        <v/>
      </c>
      <c r="M2324" s="94"/>
      <c r="N2324" s="36"/>
      <c r="O2324" s="95"/>
      <c r="P2324" s="36"/>
      <c r="AI2324" s="122">
        <v>2012</v>
      </c>
      <c r="AJ2324" s="1" t="s">
        <v>1141</v>
      </c>
      <c r="AK2324" s="1" t="s">
        <v>1141</v>
      </c>
    </row>
    <row r="2325" spans="2:37" ht="14.25">
      <c r="B2325" s="36"/>
      <c r="C2325" s="36"/>
      <c r="D2325" s="36"/>
      <c r="E2325" s="36"/>
      <c r="F2325" s="36"/>
      <c r="G2325" s="36"/>
      <c r="H2325" s="36"/>
      <c r="J2325" s="36"/>
      <c r="L2325" s="1" t="str">
        <f t="shared" si="128"/>
        <v/>
      </c>
      <c r="M2325" s="94"/>
      <c r="N2325" s="36"/>
      <c r="O2325" s="95"/>
      <c r="P2325" s="36"/>
      <c r="AI2325" s="122">
        <v>2013</v>
      </c>
      <c r="AJ2325" s="1" t="s">
        <v>1141</v>
      </c>
      <c r="AK2325" s="1" t="s">
        <v>1141</v>
      </c>
    </row>
    <row r="2326" spans="2:37" ht="14.25">
      <c r="B2326" s="36"/>
      <c r="C2326" s="36"/>
      <c r="D2326" s="36"/>
      <c r="E2326" s="36"/>
      <c r="F2326" s="36"/>
      <c r="G2326" s="36"/>
      <c r="H2326" s="36"/>
      <c r="J2326" s="36"/>
      <c r="L2326" s="1" t="str">
        <f t="shared" si="128"/>
        <v/>
      </c>
      <c r="M2326" s="94"/>
      <c r="N2326" s="36"/>
      <c r="O2326" s="95"/>
      <c r="P2326" s="36"/>
      <c r="AI2326" s="122">
        <v>2014</v>
      </c>
      <c r="AJ2326" s="1" t="s">
        <v>1141</v>
      </c>
      <c r="AK2326" s="1" t="s">
        <v>1141</v>
      </c>
    </row>
    <row r="2327" spans="2:37" ht="14.25">
      <c r="B2327" s="36"/>
      <c r="C2327" s="36"/>
      <c r="D2327" s="36"/>
      <c r="E2327" s="36"/>
      <c r="F2327" s="36"/>
      <c r="G2327" s="36"/>
      <c r="H2327" s="36"/>
      <c r="J2327" s="36"/>
      <c r="L2327" s="1" t="str">
        <f t="shared" si="128"/>
        <v/>
      </c>
      <c r="M2327" s="94"/>
      <c r="N2327" s="36"/>
      <c r="O2327" s="95"/>
      <c r="P2327" s="36"/>
      <c r="AI2327" s="122">
        <v>2015</v>
      </c>
      <c r="AJ2327" s="1" t="s">
        <v>1141</v>
      </c>
      <c r="AK2327" s="1" t="s">
        <v>1141</v>
      </c>
    </row>
    <row r="2328" spans="2:37" ht="14.25">
      <c r="B2328" s="36"/>
      <c r="C2328" s="36"/>
      <c r="D2328" s="36"/>
      <c r="E2328" s="36"/>
      <c r="F2328" s="36"/>
      <c r="G2328" s="36"/>
      <c r="H2328" s="36"/>
      <c r="J2328" s="36"/>
      <c r="L2328" s="1" t="str">
        <f t="shared" si="128"/>
        <v/>
      </c>
      <c r="M2328" s="94"/>
      <c r="N2328" s="36"/>
      <c r="O2328" s="95"/>
      <c r="P2328" s="36"/>
      <c r="AI2328" s="122">
        <v>2016</v>
      </c>
      <c r="AJ2328" s="1" t="s">
        <v>1141</v>
      </c>
      <c r="AK2328" s="1" t="s">
        <v>1141</v>
      </c>
    </row>
    <row r="2329" spans="2:37" ht="14.25">
      <c r="B2329" s="36"/>
      <c r="C2329" s="36"/>
      <c r="D2329" s="36"/>
      <c r="E2329" s="36"/>
      <c r="F2329" s="36"/>
      <c r="G2329" s="36"/>
      <c r="H2329" s="36"/>
      <c r="J2329" s="36"/>
      <c r="L2329" s="1" t="str">
        <f t="shared" si="128"/>
        <v/>
      </c>
      <c r="M2329" s="94"/>
      <c r="N2329" s="36"/>
      <c r="O2329" s="95"/>
      <c r="P2329" s="36"/>
      <c r="AI2329" s="122">
        <v>2017</v>
      </c>
      <c r="AJ2329" s="1" t="s">
        <v>1141</v>
      </c>
      <c r="AK2329" s="1" t="s">
        <v>1141</v>
      </c>
    </row>
    <row r="2330" spans="2:37" ht="14.25">
      <c r="B2330" s="36"/>
      <c r="C2330" s="36"/>
      <c r="D2330" s="36"/>
      <c r="E2330" s="36"/>
      <c r="F2330" s="36"/>
      <c r="G2330" s="36"/>
      <c r="H2330" s="36"/>
      <c r="J2330" s="36"/>
      <c r="L2330" s="1" t="str">
        <f t="shared" si="128"/>
        <v/>
      </c>
      <c r="M2330" s="94"/>
      <c r="N2330" s="36"/>
      <c r="O2330" s="95"/>
      <c r="P2330" s="36"/>
      <c r="AI2330" s="122">
        <v>2018</v>
      </c>
      <c r="AJ2330" s="1" t="s">
        <v>1141</v>
      </c>
      <c r="AK2330" s="1" t="s">
        <v>1141</v>
      </c>
    </row>
    <row r="2331" spans="2:37" ht="14.25">
      <c r="B2331" s="36"/>
      <c r="C2331" s="36"/>
      <c r="D2331" s="36"/>
      <c r="E2331" s="36"/>
      <c r="F2331" s="36"/>
      <c r="G2331" s="36"/>
      <c r="H2331" s="36"/>
      <c r="J2331" s="36"/>
      <c r="L2331" s="1" t="str">
        <f t="shared" si="128"/>
        <v/>
      </c>
      <c r="M2331" s="94"/>
      <c r="N2331" s="36"/>
      <c r="O2331" s="95"/>
      <c r="P2331" s="36"/>
      <c r="AI2331" s="122">
        <v>2019</v>
      </c>
      <c r="AJ2331" s="1" t="s">
        <v>1141</v>
      </c>
      <c r="AK2331" s="1" t="s">
        <v>1141</v>
      </c>
    </row>
    <row r="2332" spans="2:37" ht="14.25">
      <c r="B2332" s="36"/>
      <c r="C2332" s="36"/>
      <c r="D2332" s="36"/>
      <c r="E2332" s="36"/>
      <c r="F2332" s="36"/>
      <c r="G2332" s="36"/>
      <c r="H2332" s="36"/>
      <c r="J2332" s="36"/>
      <c r="L2332" s="1" t="str">
        <f t="shared" si="128"/>
        <v/>
      </c>
      <c r="M2332" s="94"/>
      <c r="N2332" s="36"/>
      <c r="O2332" s="95"/>
      <c r="P2332" s="36"/>
      <c r="AI2332" s="122">
        <v>2020</v>
      </c>
      <c r="AJ2332" s="1" t="s">
        <v>1141</v>
      </c>
      <c r="AK2332" s="1" t="s">
        <v>1141</v>
      </c>
    </row>
    <row r="2333" spans="2:37" ht="14.25">
      <c r="B2333" s="36"/>
      <c r="C2333" s="36"/>
      <c r="D2333" s="36"/>
      <c r="E2333" s="36"/>
      <c r="F2333" s="36"/>
      <c r="G2333" s="36"/>
      <c r="H2333" s="36"/>
      <c r="J2333" s="36"/>
      <c r="L2333" s="1" t="str">
        <f t="shared" si="128"/>
        <v/>
      </c>
      <c r="M2333" s="94"/>
      <c r="N2333" s="36"/>
      <c r="O2333" s="95"/>
      <c r="P2333" s="36"/>
      <c r="AI2333" s="122">
        <v>2021</v>
      </c>
      <c r="AJ2333" s="1" t="s">
        <v>1141</v>
      </c>
      <c r="AK2333" s="1" t="s">
        <v>1141</v>
      </c>
    </row>
    <row r="2334" spans="2:37" ht="14.25">
      <c r="B2334" s="36"/>
      <c r="C2334" s="36"/>
      <c r="D2334" s="36"/>
      <c r="E2334" s="36"/>
      <c r="F2334" s="36"/>
      <c r="G2334" s="36"/>
      <c r="H2334" s="36"/>
      <c r="J2334" s="36"/>
      <c r="L2334" s="1" t="str">
        <f t="shared" si="128"/>
        <v/>
      </c>
      <c r="M2334" s="94"/>
      <c r="N2334" s="36"/>
      <c r="O2334" s="95"/>
      <c r="P2334" s="36"/>
      <c r="AI2334" s="122">
        <v>2022</v>
      </c>
      <c r="AJ2334" s="1" t="s">
        <v>1141</v>
      </c>
      <c r="AK2334" s="1" t="s">
        <v>1141</v>
      </c>
    </row>
    <row r="2335" spans="2:37" ht="14.25">
      <c r="B2335" s="36"/>
      <c r="C2335" s="36"/>
      <c r="D2335" s="36"/>
      <c r="E2335" s="36"/>
      <c r="F2335" s="36"/>
      <c r="G2335" s="36"/>
      <c r="H2335" s="36"/>
      <c r="J2335" s="36"/>
      <c r="L2335" s="1" t="str">
        <f t="shared" si="128"/>
        <v/>
      </c>
      <c r="M2335" s="94"/>
      <c r="N2335" s="36"/>
      <c r="O2335" s="95"/>
      <c r="P2335" s="36"/>
      <c r="AI2335" s="122">
        <v>2023</v>
      </c>
      <c r="AJ2335" s="1" t="s">
        <v>1141</v>
      </c>
      <c r="AK2335" s="1" t="s">
        <v>1141</v>
      </c>
    </row>
    <row r="2336" spans="2:37" ht="14.25">
      <c r="B2336" s="36"/>
      <c r="C2336" s="36"/>
      <c r="D2336" s="36"/>
      <c r="E2336" s="36"/>
      <c r="F2336" s="36"/>
      <c r="G2336" s="36"/>
      <c r="H2336" s="36"/>
      <c r="J2336" s="36"/>
      <c r="L2336" s="1" t="str">
        <f t="shared" si="128"/>
        <v/>
      </c>
      <c r="M2336" s="94"/>
      <c r="N2336" s="36"/>
      <c r="O2336" s="95"/>
      <c r="P2336" s="36"/>
      <c r="AI2336" s="122">
        <v>2024</v>
      </c>
      <c r="AJ2336" s="1" t="s">
        <v>1141</v>
      </c>
      <c r="AK2336" s="1" t="s">
        <v>1141</v>
      </c>
    </row>
    <row r="2337" spans="2:37" ht="14.25">
      <c r="B2337" s="36"/>
      <c r="C2337" s="36"/>
      <c r="D2337" s="36"/>
      <c r="E2337" s="36"/>
      <c r="F2337" s="36"/>
      <c r="G2337" s="36"/>
      <c r="H2337" s="36"/>
      <c r="J2337" s="36"/>
      <c r="L2337" s="1" t="str">
        <f t="shared" si="128"/>
        <v/>
      </c>
      <c r="M2337" s="94"/>
      <c r="N2337" s="36"/>
      <c r="O2337" s="95"/>
      <c r="P2337" s="36"/>
      <c r="AI2337" s="122">
        <v>2025</v>
      </c>
      <c r="AJ2337" s="1" t="s">
        <v>1141</v>
      </c>
      <c r="AK2337" s="1" t="s">
        <v>1141</v>
      </c>
    </row>
    <row r="2338" spans="2:37" ht="14.25">
      <c r="B2338" s="36"/>
      <c r="C2338" s="36"/>
      <c r="D2338" s="36"/>
      <c r="E2338" s="36"/>
      <c r="F2338" s="36"/>
      <c r="G2338" s="36"/>
      <c r="H2338" s="36"/>
      <c r="J2338" s="36"/>
      <c r="L2338" s="1" t="str">
        <f t="shared" si="128"/>
        <v/>
      </c>
      <c r="M2338" s="94"/>
      <c r="N2338" s="36"/>
      <c r="O2338" s="95"/>
      <c r="P2338" s="36"/>
      <c r="AI2338" s="122">
        <v>2026</v>
      </c>
      <c r="AJ2338" s="1" t="s">
        <v>1141</v>
      </c>
      <c r="AK2338" s="1" t="s">
        <v>1141</v>
      </c>
    </row>
    <row r="2339" spans="2:37" ht="14.25">
      <c r="B2339" s="36"/>
      <c r="C2339" s="36"/>
      <c r="D2339" s="36"/>
      <c r="E2339" s="36"/>
      <c r="F2339" s="36"/>
      <c r="G2339" s="36"/>
      <c r="H2339" s="36"/>
      <c r="J2339" s="36"/>
      <c r="L2339" s="1" t="str">
        <f t="shared" si="128"/>
        <v/>
      </c>
      <c r="M2339" s="94"/>
      <c r="N2339" s="36"/>
      <c r="O2339" s="95"/>
      <c r="P2339" s="36"/>
      <c r="AI2339" s="122">
        <v>2027</v>
      </c>
      <c r="AJ2339" s="1" t="s">
        <v>1141</v>
      </c>
      <c r="AK2339" s="1" t="s">
        <v>1141</v>
      </c>
    </row>
    <row r="2340" spans="2:37" ht="14.25">
      <c r="B2340" s="36"/>
      <c r="C2340" s="36"/>
      <c r="D2340" s="36"/>
      <c r="E2340" s="36"/>
      <c r="F2340" s="36"/>
      <c r="G2340" s="36"/>
      <c r="H2340" s="36"/>
      <c r="J2340" s="36"/>
      <c r="L2340" s="1" t="str">
        <f t="shared" si="128"/>
        <v/>
      </c>
      <c r="M2340" s="94"/>
      <c r="N2340" s="36"/>
      <c r="O2340" s="95"/>
      <c r="P2340" s="36"/>
      <c r="AI2340" s="122">
        <v>2028</v>
      </c>
      <c r="AJ2340" s="1" t="s">
        <v>1141</v>
      </c>
      <c r="AK2340" s="1" t="s">
        <v>1141</v>
      </c>
    </row>
    <row r="2341" spans="2:37" ht="14.25">
      <c r="B2341" s="36"/>
      <c r="C2341" s="36"/>
      <c r="D2341" s="36"/>
      <c r="E2341" s="36"/>
      <c r="F2341" s="36"/>
      <c r="G2341" s="36"/>
      <c r="H2341" s="36"/>
      <c r="J2341" s="36"/>
      <c r="L2341" s="1" t="str">
        <f t="shared" si="128"/>
        <v/>
      </c>
      <c r="M2341" s="94"/>
      <c r="N2341" s="36"/>
      <c r="O2341" s="95"/>
      <c r="P2341" s="36"/>
      <c r="AI2341" s="122">
        <v>2029</v>
      </c>
      <c r="AJ2341" s="1" t="s">
        <v>1141</v>
      </c>
      <c r="AK2341" s="1" t="s">
        <v>1141</v>
      </c>
    </row>
    <row r="2342" spans="2:37" ht="14.25">
      <c r="B2342" s="36"/>
      <c r="C2342" s="36"/>
      <c r="D2342" s="36"/>
      <c r="E2342" s="36"/>
      <c r="F2342" s="36"/>
      <c r="G2342" s="36"/>
      <c r="H2342" s="36"/>
      <c r="J2342" s="36"/>
      <c r="L2342" s="1" t="str">
        <f t="shared" si="128"/>
        <v/>
      </c>
      <c r="M2342" s="94"/>
      <c r="N2342" s="36"/>
      <c r="O2342" s="95"/>
      <c r="P2342" s="36"/>
      <c r="AI2342" s="122">
        <v>2030</v>
      </c>
      <c r="AJ2342" s="1" t="s">
        <v>1141</v>
      </c>
      <c r="AK2342" s="1" t="s">
        <v>1141</v>
      </c>
    </row>
    <row r="2343" spans="2:37" ht="14.25">
      <c r="B2343" s="36"/>
      <c r="C2343" s="36"/>
      <c r="D2343" s="36"/>
      <c r="E2343" s="36"/>
      <c r="F2343" s="36"/>
      <c r="G2343" s="36"/>
      <c r="H2343" s="36"/>
      <c r="J2343" s="36"/>
      <c r="L2343" s="1" t="str">
        <f t="shared" si="128"/>
        <v/>
      </c>
      <c r="M2343" s="94"/>
      <c r="N2343" s="36"/>
      <c r="O2343" s="95"/>
      <c r="P2343" s="36"/>
      <c r="AI2343" s="122">
        <v>2031</v>
      </c>
      <c r="AJ2343" s="1" t="s">
        <v>1141</v>
      </c>
      <c r="AK2343" s="1" t="s">
        <v>1141</v>
      </c>
    </row>
    <row r="2344" spans="2:37" ht="14.25">
      <c r="B2344" s="36"/>
      <c r="C2344" s="36"/>
      <c r="D2344" s="36"/>
      <c r="E2344" s="36"/>
      <c r="F2344" s="36"/>
      <c r="G2344" s="36"/>
      <c r="H2344" s="36"/>
      <c r="J2344" s="36"/>
      <c r="L2344" s="1" t="str">
        <f t="shared" si="128"/>
        <v/>
      </c>
      <c r="M2344" s="94"/>
      <c r="N2344" s="36"/>
      <c r="O2344" s="95"/>
      <c r="P2344" s="36"/>
      <c r="AI2344" s="122">
        <v>2032</v>
      </c>
      <c r="AJ2344" s="1" t="s">
        <v>1141</v>
      </c>
      <c r="AK2344" s="1" t="s">
        <v>1141</v>
      </c>
    </row>
    <row r="2345" spans="2:37" ht="14.25">
      <c r="B2345" s="36"/>
      <c r="C2345" s="36"/>
      <c r="D2345" s="36"/>
      <c r="E2345" s="36"/>
      <c r="F2345" s="36"/>
      <c r="G2345" s="36"/>
      <c r="H2345" s="36"/>
      <c r="J2345" s="36"/>
      <c r="L2345" s="1" t="str">
        <f t="shared" si="128"/>
        <v/>
      </c>
      <c r="M2345" s="94"/>
      <c r="N2345" s="36"/>
      <c r="O2345" s="95"/>
      <c r="P2345" s="36"/>
      <c r="AI2345" s="122">
        <v>2033</v>
      </c>
      <c r="AJ2345" s="1" t="s">
        <v>1141</v>
      </c>
      <c r="AK2345" s="1" t="s">
        <v>1141</v>
      </c>
    </row>
    <row r="2346" spans="2:37" ht="14.25">
      <c r="B2346" s="36"/>
      <c r="C2346" s="36"/>
      <c r="D2346" s="36"/>
      <c r="E2346" s="36"/>
      <c r="F2346" s="36"/>
      <c r="G2346" s="36"/>
      <c r="H2346" s="36"/>
      <c r="J2346" s="36"/>
      <c r="L2346" s="1" t="str">
        <f t="shared" si="128"/>
        <v/>
      </c>
      <c r="M2346" s="94"/>
      <c r="N2346" s="36"/>
      <c r="O2346" s="95"/>
      <c r="P2346" s="36"/>
      <c r="AI2346" s="122">
        <v>2034</v>
      </c>
      <c r="AJ2346" s="1" t="s">
        <v>1141</v>
      </c>
      <c r="AK2346" s="1" t="s">
        <v>1141</v>
      </c>
    </row>
    <row r="2347" spans="2:37" ht="14.25">
      <c r="B2347" s="36"/>
      <c r="C2347" s="36"/>
      <c r="D2347" s="36"/>
      <c r="E2347" s="36"/>
      <c r="F2347" s="36"/>
      <c r="G2347" s="36"/>
      <c r="H2347" s="36"/>
      <c r="J2347" s="36"/>
      <c r="L2347" s="1" t="str">
        <f t="shared" si="128"/>
        <v/>
      </c>
      <c r="M2347" s="94"/>
      <c r="N2347" s="36"/>
      <c r="O2347" s="95"/>
      <c r="P2347" s="36"/>
      <c r="AI2347" s="122">
        <v>2035</v>
      </c>
      <c r="AJ2347" s="1" t="s">
        <v>1141</v>
      </c>
      <c r="AK2347" s="1" t="s">
        <v>1141</v>
      </c>
    </row>
    <row r="2348" spans="2:37" ht="14.25">
      <c r="B2348" s="36"/>
      <c r="C2348" s="36"/>
      <c r="D2348" s="36"/>
      <c r="E2348" s="36"/>
      <c r="F2348" s="36"/>
      <c r="G2348" s="36"/>
      <c r="H2348" s="36"/>
      <c r="J2348" s="36"/>
      <c r="L2348" s="1" t="str">
        <f t="shared" si="128"/>
        <v/>
      </c>
      <c r="M2348" s="94"/>
      <c r="N2348" s="36"/>
      <c r="O2348" s="95"/>
      <c r="P2348" s="36"/>
      <c r="AI2348" s="122">
        <v>2036</v>
      </c>
      <c r="AJ2348" s="1" t="s">
        <v>1141</v>
      </c>
      <c r="AK2348" s="1" t="s">
        <v>1141</v>
      </c>
    </row>
    <row r="2349" spans="2:37" ht="14.25">
      <c r="B2349" s="36"/>
      <c r="C2349" s="36"/>
      <c r="D2349" s="36"/>
      <c r="E2349" s="36"/>
      <c r="F2349" s="36"/>
      <c r="G2349" s="36"/>
      <c r="H2349" s="36"/>
      <c r="J2349" s="36"/>
      <c r="L2349" s="1" t="str">
        <f t="shared" si="128"/>
        <v/>
      </c>
      <c r="M2349" s="94"/>
      <c r="N2349" s="36"/>
      <c r="O2349" s="95"/>
      <c r="P2349" s="36"/>
      <c r="AI2349" s="122">
        <v>2037</v>
      </c>
      <c r="AJ2349" s="1" t="s">
        <v>1141</v>
      </c>
      <c r="AK2349" s="1" t="s">
        <v>1141</v>
      </c>
    </row>
    <row r="2350" spans="2:37" ht="14.25">
      <c r="B2350" s="36"/>
      <c r="C2350" s="36"/>
      <c r="D2350" s="36"/>
      <c r="E2350" s="36"/>
      <c r="F2350" s="36"/>
      <c r="G2350" s="36"/>
      <c r="H2350" s="36"/>
      <c r="J2350" s="36"/>
      <c r="L2350" s="1" t="str">
        <f t="shared" si="128"/>
        <v/>
      </c>
      <c r="M2350" s="94"/>
      <c r="N2350" s="36"/>
      <c r="O2350" s="95"/>
      <c r="P2350" s="36"/>
      <c r="AI2350" s="122">
        <v>2038</v>
      </c>
      <c r="AJ2350" s="1" t="s">
        <v>1141</v>
      </c>
      <c r="AK2350" s="1" t="s">
        <v>1141</v>
      </c>
    </row>
    <row r="2351" spans="2:37" ht="14.25">
      <c r="B2351" s="36"/>
      <c r="C2351" s="36"/>
      <c r="D2351" s="36"/>
      <c r="E2351" s="36"/>
      <c r="F2351" s="36"/>
      <c r="G2351" s="36"/>
      <c r="H2351" s="36"/>
      <c r="J2351" s="36"/>
      <c r="L2351" s="1" t="str">
        <f t="shared" si="128"/>
        <v/>
      </c>
      <c r="M2351" s="94"/>
      <c r="N2351" s="36"/>
      <c r="O2351" s="95"/>
      <c r="P2351" s="36"/>
      <c r="AI2351" s="122">
        <v>2039</v>
      </c>
      <c r="AJ2351" s="1" t="s">
        <v>1141</v>
      </c>
      <c r="AK2351" s="1" t="s">
        <v>1141</v>
      </c>
    </row>
    <row r="2352" spans="2:37" ht="14.25">
      <c r="B2352" s="36"/>
      <c r="C2352" s="36"/>
      <c r="D2352" s="36"/>
      <c r="E2352" s="36"/>
      <c r="F2352" s="36"/>
      <c r="G2352" s="36"/>
      <c r="H2352" s="36"/>
      <c r="J2352" s="36"/>
      <c r="L2352" s="1" t="str">
        <f t="shared" si="128"/>
        <v/>
      </c>
      <c r="M2352" s="94"/>
      <c r="N2352" s="36"/>
      <c r="O2352" s="95"/>
      <c r="P2352" s="36"/>
      <c r="AI2352" s="122">
        <v>2040</v>
      </c>
      <c r="AJ2352" s="1" t="s">
        <v>1141</v>
      </c>
      <c r="AK2352" s="1" t="s">
        <v>1141</v>
      </c>
    </row>
    <row r="2353" spans="2:37" ht="14.25">
      <c r="B2353" s="36"/>
      <c r="C2353" s="36"/>
      <c r="D2353" s="36"/>
      <c r="E2353" s="36"/>
      <c r="F2353" s="36"/>
      <c r="G2353" s="36"/>
      <c r="H2353" s="36"/>
      <c r="J2353" s="36"/>
      <c r="L2353" s="1" t="str">
        <f t="shared" si="128"/>
        <v/>
      </c>
      <c r="M2353" s="94"/>
      <c r="N2353" s="36"/>
      <c r="O2353" s="95"/>
      <c r="P2353" s="36"/>
      <c r="AI2353" s="122">
        <v>2041</v>
      </c>
      <c r="AJ2353" s="1" t="s">
        <v>1141</v>
      </c>
      <c r="AK2353" s="1" t="s">
        <v>1141</v>
      </c>
    </row>
    <row r="2354" spans="2:37" ht="14.25">
      <c r="B2354" s="36"/>
      <c r="C2354" s="36"/>
      <c r="D2354" s="36"/>
      <c r="E2354" s="36"/>
      <c r="F2354" s="36"/>
      <c r="G2354" s="36"/>
      <c r="H2354" s="36"/>
      <c r="J2354" s="36"/>
      <c r="L2354" s="1" t="str">
        <f t="shared" si="128"/>
        <v/>
      </c>
      <c r="M2354" s="94"/>
      <c r="N2354" s="36"/>
      <c r="O2354" s="95"/>
      <c r="P2354" s="36"/>
      <c r="AI2354" s="122">
        <v>2042</v>
      </c>
      <c r="AJ2354" s="1" t="s">
        <v>1141</v>
      </c>
      <c r="AK2354" s="1" t="s">
        <v>1141</v>
      </c>
    </row>
    <row r="2355" spans="2:37" ht="14.25">
      <c r="B2355" s="36"/>
      <c r="C2355" s="36"/>
      <c r="D2355" s="36"/>
      <c r="E2355" s="36"/>
      <c r="F2355" s="36"/>
      <c r="G2355" s="36"/>
      <c r="H2355" s="36"/>
      <c r="J2355" s="36"/>
      <c r="L2355" s="1" t="str">
        <f t="shared" si="128"/>
        <v/>
      </c>
      <c r="M2355" s="94"/>
      <c r="N2355" s="36"/>
      <c r="O2355" s="95"/>
      <c r="P2355" s="36"/>
      <c r="AI2355" s="122">
        <v>2043</v>
      </c>
      <c r="AJ2355" s="1" t="s">
        <v>1141</v>
      </c>
      <c r="AK2355" s="1" t="s">
        <v>1141</v>
      </c>
    </row>
    <row r="2356" spans="2:37" ht="14.25">
      <c r="B2356" s="36"/>
      <c r="C2356" s="36"/>
      <c r="D2356" s="36"/>
      <c r="E2356" s="36"/>
      <c r="F2356" s="36"/>
      <c r="G2356" s="36"/>
      <c r="H2356" s="36"/>
      <c r="J2356" s="36"/>
      <c r="L2356" s="1" t="str">
        <f t="shared" si="128"/>
        <v/>
      </c>
      <c r="M2356" s="94"/>
      <c r="N2356" s="36"/>
      <c r="O2356" s="95"/>
      <c r="P2356" s="36"/>
      <c r="AI2356" s="122">
        <v>2044</v>
      </c>
      <c r="AJ2356" s="1" t="s">
        <v>1141</v>
      </c>
      <c r="AK2356" s="1" t="s">
        <v>1141</v>
      </c>
    </row>
    <row r="2357" spans="2:37" ht="14.25">
      <c r="B2357" s="36"/>
      <c r="C2357" s="36"/>
      <c r="D2357" s="36"/>
      <c r="E2357" s="36"/>
      <c r="F2357" s="36"/>
      <c r="G2357" s="36"/>
      <c r="H2357" s="36"/>
      <c r="J2357" s="36"/>
      <c r="L2357" s="1" t="str">
        <f t="shared" si="128"/>
        <v/>
      </c>
      <c r="M2357" s="94"/>
      <c r="N2357" s="36"/>
      <c r="O2357" s="95"/>
      <c r="P2357" s="36"/>
      <c r="AI2357" s="122">
        <v>2045</v>
      </c>
      <c r="AJ2357" s="1" t="s">
        <v>1141</v>
      </c>
      <c r="AK2357" s="1" t="s">
        <v>1141</v>
      </c>
    </row>
    <row r="2358" spans="2:37" ht="14.25">
      <c r="B2358" s="36"/>
      <c r="C2358" s="36"/>
      <c r="D2358" s="36"/>
      <c r="E2358" s="36"/>
      <c r="F2358" s="36"/>
      <c r="G2358" s="36"/>
      <c r="H2358" s="36"/>
      <c r="J2358" s="36"/>
      <c r="L2358" s="1" t="str">
        <f t="shared" si="128"/>
        <v/>
      </c>
      <c r="M2358" s="94"/>
      <c r="N2358" s="36"/>
      <c r="O2358" s="95"/>
      <c r="P2358" s="36"/>
      <c r="AI2358" s="122">
        <v>2046</v>
      </c>
      <c r="AJ2358" s="1" t="s">
        <v>1141</v>
      </c>
      <c r="AK2358" s="1" t="s">
        <v>1141</v>
      </c>
    </row>
    <row r="2359" spans="2:37" ht="14.25">
      <c r="B2359" s="36"/>
      <c r="C2359" s="36"/>
      <c r="D2359" s="36"/>
      <c r="E2359" s="36"/>
      <c r="F2359" s="36"/>
      <c r="G2359" s="36"/>
      <c r="H2359" s="36"/>
      <c r="J2359" s="36"/>
      <c r="L2359" s="1" t="str">
        <f t="shared" si="128"/>
        <v/>
      </c>
      <c r="M2359" s="94"/>
      <c r="N2359" s="36"/>
      <c r="O2359" s="95"/>
      <c r="P2359" s="36"/>
      <c r="AI2359" s="122">
        <v>2047</v>
      </c>
      <c r="AJ2359" s="1" t="s">
        <v>1141</v>
      </c>
      <c r="AK2359" s="1" t="s">
        <v>1141</v>
      </c>
    </row>
    <row r="2360" spans="2:37" ht="14.25">
      <c r="B2360" s="36"/>
      <c r="C2360" s="36"/>
      <c r="D2360" s="36"/>
      <c r="E2360" s="36"/>
      <c r="F2360" s="36"/>
      <c r="G2360" s="36"/>
      <c r="H2360" s="36"/>
      <c r="J2360" s="36"/>
      <c r="L2360" s="1" t="str">
        <f t="shared" si="128"/>
        <v/>
      </c>
      <c r="M2360" s="94"/>
      <c r="N2360" s="36"/>
      <c r="O2360" s="95"/>
      <c r="P2360" s="36"/>
      <c r="AI2360" s="122">
        <v>2048</v>
      </c>
      <c r="AJ2360" s="1" t="s">
        <v>1141</v>
      </c>
      <c r="AK2360" s="1" t="s">
        <v>1141</v>
      </c>
    </row>
    <row r="2361" spans="2:37" ht="14.25">
      <c r="B2361" s="36"/>
      <c r="C2361" s="36"/>
      <c r="D2361" s="36"/>
      <c r="E2361" s="36"/>
      <c r="F2361" s="36"/>
      <c r="G2361" s="36"/>
      <c r="H2361" s="36"/>
      <c r="J2361" s="36"/>
      <c r="L2361" s="1" t="str">
        <f t="shared" si="128"/>
        <v/>
      </c>
      <c r="M2361" s="94"/>
      <c r="N2361" s="36"/>
      <c r="O2361" s="95"/>
      <c r="P2361" s="36"/>
      <c r="AI2361" s="122">
        <v>2049</v>
      </c>
      <c r="AJ2361" s="1" t="s">
        <v>1141</v>
      </c>
      <c r="AK2361" s="1" t="s">
        <v>1141</v>
      </c>
    </row>
    <row r="2362" spans="2:37" ht="14.25">
      <c r="B2362" s="36"/>
      <c r="C2362" s="36"/>
      <c r="D2362" s="36"/>
      <c r="E2362" s="36"/>
      <c r="F2362" s="36"/>
      <c r="G2362" s="36"/>
      <c r="H2362" s="36"/>
      <c r="J2362" s="36"/>
      <c r="L2362" s="1" t="str">
        <f t="shared" si="128"/>
        <v/>
      </c>
      <c r="M2362" s="94"/>
      <c r="N2362" s="36"/>
      <c r="O2362" s="95"/>
      <c r="P2362" s="36"/>
      <c r="AI2362" s="122">
        <v>2050</v>
      </c>
      <c r="AJ2362" s="1" t="s">
        <v>1141</v>
      </c>
      <c r="AK2362" s="1" t="s">
        <v>1141</v>
      </c>
    </row>
    <row r="2363" spans="2:37" ht="14.25">
      <c r="B2363" s="36"/>
      <c r="C2363" s="36"/>
      <c r="D2363" s="36"/>
      <c r="E2363" s="36"/>
      <c r="F2363" s="36"/>
      <c r="G2363" s="36"/>
      <c r="H2363" s="36"/>
      <c r="J2363" s="36"/>
      <c r="L2363" s="1" t="str">
        <f t="shared" si="128"/>
        <v/>
      </c>
      <c r="M2363" s="94"/>
      <c r="N2363" s="36"/>
      <c r="O2363" s="95"/>
      <c r="P2363" s="36"/>
      <c r="AI2363" s="122">
        <v>2051</v>
      </c>
      <c r="AJ2363" s="1" t="s">
        <v>1141</v>
      </c>
      <c r="AK2363" s="1" t="s">
        <v>1141</v>
      </c>
    </row>
    <row r="2364" spans="2:37" ht="14.25">
      <c r="B2364" s="36"/>
      <c r="C2364" s="36"/>
      <c r="D2364" s="36"/>
      <c r="E2364" s="36"/>
      <c r="F2364" s="36"/>
      <c r="G2364" s="36"/>
      <c r="H2364" s="36"/>
      <c r="J2364" s="36"/>
      <c r="L2364" s="1" t="str">
        <f t="shared" si="128"/>
        <v/>
      </c>
      <c r="M2364" s="94"/>
      <c r="N2364" s="36"/>
      <c r="O2364" s="95"/>
      <c r="P2364" s="36"/>
      <c r="AI2364" s="122">
        <v>2052</v>
      </c>
      <c r="AJ2364" s="1" t="s">
        <v>1141</v>
      </c>
      <c r="AK2364" s="1" t="s">
        <v>1141</v>
      </c>
    </row>
    <row r="2365" spans="2:37" ht="14.25">
      <c r="B2365" s="36"/>
      <c r="C2365" s="36"/>
      <c r="D2365" s="36"/>
      <c r="E2365" s="36"/>
      <c r="F2365" s="36"/>
      <c r="G2365" s="36"/>
      <c r="H2365" s="36"/>
      <c r="J2365" s="36"/>
      <c r="L2365" s="1" t="str">
        <f t="shared" si="128"/>
        <v/>
      </c>
      <c r="M2365" s="94"/>
      <c r="N2365" s="36"/>
      <c r="O2365" s="95"/>
      <c r="P2365" s="36"/>
      <c r="AI2365" s="122">
        <v>2053</v>
      </c>
      <c r="AJ2365" s="1" t="s">
        <v>1141</v>
      </c>
      <c r="AK2365" s="1" t="s">
        <v>1141</v>
      </c>
    </row>
    <row r="2366" spans="2:37" ht="14.25">
      <c r="B2366" s="36"/>
      <c r="C2366" s="36"/>
      <c r="D2366" s="36"/>
      <c r="E2366" s="36"/>
      <c r="F2366" s="36"/>
      <c r="G2366" s="36"/>
      <c r="H2366" s="36"/>
      <c r="J2366" s="36"/>
      <c r="L2366" s="1" t="str">
        <f t="shared" si="128"/>
        <v/>
      </c>
      <c r="M2366" s="94"/>
      <c r="N2366" s="36"/>
      <c r="O2366" s="95"/>
      <c r="P2366" s="36"/>
      <c r="AI2366" s="122">
        <v>2054</v>
      </c>
      <c r="AJ2366" s="1" t="s">
        <v>1141</v>
      </c>
      <c r="AK2366" s="1" t="s">
        <v>1141</v>
      </c>
    </row>
    <row r="2367" spans="2:37" ht="14.25">
      <c r="B2367" s="36"/>
      <c r="C2367" s="36"/>
      <c r="D2367" s="36"/>
      <c r="E2367" s="36"/>
      <c r="F2367" s="36"/>
      <c r="G2367" s="36"/>
      <c r="H2367" s="36"/>
      <c r="J2367" s="36"/>
      <c r="L2367" s="1" t="str">
        <f t="shared" si="128"/>
        <v/>
      </c>
      <c r="M2367" s="94"/>
      <c r="N2367" s="36"/>
      <c r="O2367" s="95"/>
      <c r="P2367" s="36"/>
      <c r="AI2367" s="122">
        <v>2055</v>
      </c>
      <c r="AJ2367" s="1" t="s">
        <v>1141</v>
      </c>
      <c r="AK2367" s="1" t="s">
        <v>1141</v>
      </c>
    </row>
    <row r="2368" spans="2:37" ht="14.25">
      <c r="B2368" s="36"/>
      <c r="C2368" s="36"/>
      <c r="D2368" s="36"/>
      <c r="E2368" s="36"/>
      <c r="F2368" s="36"/>
      <c r="G2368" s="36"/>
      <c r="H2368" s="36"/>
      <c r="J2368" s="36"/>
      <c r="L2368" s="1" t="str">
        <f t="shared" si="128"/>
        <v/>
      </c>
      <c r="M2368" s="94"/>
      <c r="N2368" s="36"/>
      <c r="O2368" s="95"/>
      <c r="P2368" s="36"/>
      <c r="AI2368" s="122">
        <v>2056</v>
      </c>
      <c r="AJ2368" s="1" t="s">
        <v>1141</v>
      </c>
      <c r="AK2368" s="1" t="s">
        <v>1141</v>
      </c>
    </row>
    <row r="2369" spans="2:37" ht="14.25">
      <c r="B2369" s="36"/>
      <c r="C2369" s="36"/>
      <c r="D2369" s="36"/>
      <c r="E2369" s="36"/>
      <c r="F2369" s="36"/>
      <c r="G2369" s="36"/>
      <c r="H2369" s="36"/>
      <c r="J2369" s="36"/>
      <c r="L2369" s="1" t="str">
        <f t="shared" si="128"/>
        <v/>
      </c>
      <c r="M2369" s="94"/>
      <c r="N2369" s="36"/>
      <c r="O2369" s="95"/>
      <c r="P2369" s="36"/>
      <c r="AI2369" s="122">
        <v>2057</v>
      </c>
      <c r="AJ2369" s="1" t="s">
        <v>1141</v>
      </c>
      <c r="AK2369" s="1" t="s">
        <v>1141</v>
      </c>
    </row>
    <row r="2370" spans="2:37" ht="14.25">
      <c r="B2370" s="36"/>
      <c r="C2370" s="36"/>
      <c r="D2370" s="36"/>
      <c r="E2370" s="36"/>
      <c r="F2370" s="36"/>
      <c r="G2370" s="36"/>
      <c r="H2370" s="36"/>
      <c r="J2370" s="36"/>
      <c r="L2370" s="1" t="str">
        <f t="shared" si="128"/>
        <v/>
      </c>
      <c r="M2370" s="94"/>
      <c r="N2370" s="36"/>
      <c r="O2370" s="95"/>
      <c r="P2370" s="36"/>
      <c r="AI2370" s="122">
        <v>2058</v>
      </c>
      <c r="AJ2370" s="1" t="s">
        <v>1141</v>
      </c>
      <c r="AK2370" s="1" t="s">
        <v>1141</v>
      </c>
    </row>
    <row r="2371" spans="2:37" ht="14.25">
      <c r="B2371" s="36"/>
      <c r="C2371" s="36"/>
      <c r="D2371" s="36"/>
      <c r="E2371" s="36"/>
      <c r="F2371" s="36"/>
      <c r="G2371" s="36"/>
      <c r="H2371" s="36"/>
      <c r="J2371" s="36"/>
      <c r="L2371" s="1" t="str">
        <f t="shared" si="128"/>
        <v/>
      </c>
      <c r="M2371" s="94"/>
      <c r="N2371" s="36"/>
      <c r="O2371" s="95"/>
      <c r="P2371" s="36"/>
      <c r="AI2371" s="122">
        <v>2059</v>
      </c>
      <c r="AJ2371" s="1" t="s">
        <v>1141</v>
      </c>
      <c r="AK2371" s="1" t="s">
        <v>1141</v>
      </c>
    </row>
    <row r="2372" spans="2:37" ht="14.25">
      <c r="B2372" s="36"/>
      <c r="C2372" s="36"/>
      <c r="D2372" s="36"/>
      <c r="E2372" s="36"/>
      <c r="F2372" s="36"/>
      <c r="G2372" s="36"/>
      <c r="H2372" s="36"/>
      <c r="J2372" s="36"/>
      <c r="L2372" s="1" t="str">
        <f t="shared" ref="L2372:L2435" si="129">IF(AND(MIN(I:I)&lt;20,MAX(I:I)&gt;980,I2372&lt;20),I2372,"")</f>
        <v/>
      </c>
      <c r="M2372" s="94"/>
      <c r="N2372" s="36"/>
      <c r="O2372" s="95"/>
      <c r="P2372" s="36"/>
      <c r="AI2372" s="122">
        <v>2060</v>
      </c>
      <c r="AJ2372" s="1" t="s">
        <v>1141</v>
      </c>
      <c r="AK2372" s="1" t="s">
        <v>1141</v>
      </c>
    </row>
    <row r="2373" spans="2:37" ht="14.25">
      <c r="B2373" s="36"/>
      <c r="C2373" s="36"/>
      <c r="D2373" s="36"/>
      <c r="E2373" s="36"/>
      <c r="F2373" s="36"/>
      <c r="G2373" s="36"/>
      <c r="H2373" s="36"/>
      <c r="J2373" s="36"/>
      <c r="L2373" s="1" t="str">
        <f t="shared" si="129"/>
        <v/>
      </c>
      <c r="M2373" s="94"/>
      <c r="N2373" s="36"/>
      <c r="O2373" s="95"/>
      <c r="P2373" s="36"/>
      <c r="AI2373" s="122">
        <v>2061</v>
      </c>
      <c r="AJ2373" s="1" t="s">
        <v>1141</v>
      </c>
      <c r="AK2373" s="1" t="s">
        <v>1141</v>
      </c>
    </row>
    <row r="2374" spans="2:37" ht="14.25">
      <c r="B2374" s="36"/>
      <c r="C2374" s="36"/>
      <c r="D2374" s="36"/>
      <c r="E2374" s="36"/>
      <c r="F2374" s="36"/>
      <c r="G2374" s="36"/>
      <c r="H2374" s="36"/>
      <c r="J2374" s="36"/>
      <c r="L2374" s="1" t="str">
        <f t="shared" si="129"/>
        <v/>
      </c>
      <c r="M2374" s="94"/>
      <c r="N2374" s="36"/>
      <c r="O2374" s="95"/>
      <c r="P2374" s="36"/>
      <c r="AI2374" s="122">
        <v>2062</v>
      </c>
      <c r="AJ2374" s="1" t="s">
        <v>1141</v>
      </c>
      <c r="AK2374" s="1" t="s">
        <v>1141</v>
      </c>
    </row>
    <row r="2375" spans="2:37" ht="14.25">
      <c r="B2375" s="36"/>
      <c r="C2375" s="36"/>
      <c r="D2375" s="36"/>
      <c r="E2375" s="36"/>
      <c r="F2375" s="36"/>
      <c r="G2375" s="36"/>
      <c r="H2375" s="36"/>
      <c r="J2375" s="36"/>
      <c r="L2375" s="1" t="str">
        <f t="shared" si="129"/>
        <v/>
      </c>
      <c r="M2375" s="94"/>
      <c r="N2375" s="36"/>
      <c r="O2375" s="95"/>
      <c r="P2375" s="36"/>
      <c r="AI2375" s="122">
        <v>2063</v>
      </c>
      <c r="AJ2375" s="1" t="s">
        <v>1141</v>
      </c>
      <c r="AK2375" s="1" t="s">
        <v>1141</v>
      </c>
    </row>
    <row r="2376" spans="2:37" ht="14.25">
      <c r="B2376" s="36"/>
      <c r="C2376" s="36"/>
      <c r="D2376" s="36"/>
      <c r="E2376" s="36"/>
      <c r="F2376" s="36"/>
      <c r="G2376" s="36"/>
      <c r="H2376" s="36"/>
      <c r="J2376" s="36"/>
      <c r="L2376" s="1" t="str">
        <f t="shared" si="129"/>
        <v/>
      </c>
      <c r="M2376" s="94"/>
      <c r="N2376" s="36"/>
      <c r="O2376" s="95"/>
      <c r="P2376" s="36"/>
      <c r="AI2376" s="122">
        <v>2064</v>
      </c>
      <c r="AJ2376" s="1" t="s">
        <v>1141</v>
      </c>
      <c r="AK2376" s="1" t="s">
        <v>1141</v>
      </c>
    </row>
    <row r="2377" spans="2:37" ht="14.25">
      <c r="B2377" s="36"/>
      <c r="C2377" s="36"/>
      <c r="D2377" s="36"/>
      <c r="E2377" s="36"/>
      <c r="F2377" s="36"/>
      <c r="G2377" s="36"/>
      <c r="H2377" s="36"/>
      <c r="J2377" s="36"/>
      <c r="L2377" s="1" t="str">
        <f t="shared" si="129"/>
        <v/>
      </c>
      <c r="M2377" s="94"/>
      <c r="N2377" s="36"/>
      <c r="O2377" s="95"/>
      <c r="P2377" s="36"/>
      <c r="AI2377" s="122">
        <v>2065</v>
      </c>
      <c r="AJ2377" s="1" t="s">
        <v>1141</v>
      </c>
      <c r="AK2377" s="1" t="s">
        <v>1141</v>
      </c>
    </row>
    <row r="2378" spans="2:37" ht="14.25">
      <c r="B2378" s="36"/>
      <c r="C2378" s="36"/>
      <c r="D2378" s="36"/>
      <c r="E2378" s="36"/>
      <c r="F2378" s="36"/>
      <c r="G2378" s="36"/>
      <c r="H2378" s="36"/>
      <c r="J2378" s="36"/>
      <c r="L2378" s="1" t="str">
        <f t="shared" si="129"/>
        <v/>
      </c>
      <c r="M2378" s="94"/>
      <c r="N2378" s="36"/>
      <c r="O2378" s="95"/>
      <c r="P2378" s="36"/>
      <c r="AI2378" s="122">
        <v>2066</v>
      </c>
      <c r="AJ2378" s="1" t="s">
        <v>1141</v>
      </c>
      <c r="AK2378" s="1" t="s">
        <v>1141</v>
      </c>
    </row>
    <row r="2379" spans="2:37" ht="14.25">
      <c r="B2379" s="36"/>
      <c r="C2379" s="36"/>
      <c r="D2379" s="36"/>
      <c r="E2379" s="36"/>
      <c r="F2379" s="36"/>
      <c r="G2379" s="36"/>
      <c r="H2379" s="36"/>
      <c r="J2379" s="36"/>
      <c r="L2379" s="1" t="str">
        <f t="shared" si="129"/>
        <v/>
      </c>
      <c r="M2379" s="94"/>
      <c r="N2379" s="36"/>
      <c r="O2379" s="95"/>
      <c r="P2379" s="36"/>
      <c r="AI2379" s="122">
        <v>2067</v>
      </c>
      <c r="AJ2379" s="1" t="s">
        <v>1141</v>
      </c>
      <c r="AK2379" s="1" t="s">
        <v>1141</v>
      </c>
    </row>
    <row r="2380" spans="2:37" ht="14.25">
      <c r="B2380" s="36"/>
      <c r="C2380" s="36"/>
      <c r="D2380" s="36"/>
      <c r="E2380" s="36"/>
      <c r="F2380" s="36"/>
      <c r="G2380" s="36"/>
      <c r="H2380" s="36"/>
      <c r="J2380" s="36"/>
      <c r="L2380" s="1" t="str">
        <f t="shared" si="129"/>
        <v/>
      </c>
      <c r="M2380" s="94"/>
      <c r="N2380" s="36"/>
      <c r="O2380" s="95"/>
      <c r="P2380" s="36"/>
      <c r="AI2380" s="122">
        <v>2068</v>
      </c>
      <c r="AJ2380" s="1" t="s">
        <v>1141</v>
      </c>
      <c r="AK2380" s="1" t="s">
        <v>1141</v>
      </c>
    </row>
    <row r="2381" spans="2:37" ht="14.25">
      <c r="B2381" s="36"/>
      <c r="C2381" s="36"/>
      <c r="D2381" s="36"/>
      <c r="E2381" s="36"/>
      <c r="F2381" s="36"/>
      <c r="G2381" s="36"/>
      <c r="H2381" s="36"/>
      <c r="J2381" s="36"/>
      <c r="L2381" s="1" t="str">
        <f t="shared" si="129"/>
        <v/>
      </c>
      <c r="M2381" s="94"/>
      <c r="N2381" s="36"/>
      <c r="O2381" s="95"/>
      <c r="P2381" s="36"/>
      <c r="AI2381" s="122">
        <v>2069</v>
      </c>
      <c r="AJ2381" s="1" t="s">
        <v>1141</v>
      </c>
      <c r="AK2381" s="1" t="s">
        <v>1141</v>
      </c>
    </row>
    <row r="2382" spans="2:37" ht="14.25">
      <c r="B2382" s="36"/>
      <c r="C2382" s="36"/>
      <c r="D2382" s="36"/>
      <c r="E2382" s="36"/>
      <c r="F2382" s="36"/>
      <c r="G2382" s="36"/>
      <c r="H2382" s="36"/>
      <c r="J2382" s="36"/>
      <c r="L2382" s="1" t="str">
        <f t="shared" si="129"/>
        <v/>
      </c>
      <c r="M2382" s="94"/>
      <c r="N2382" s="36"/>
      <c r="O2382" s="95"/>
      <c r="P2382" s="36"/>
      <c r="AI2382" s="122">
        <v>2070</v>
      </c>
      <c r="AJ2382" s="1" t="s">
        <v>1141</v>
      </c>
      <c r="AK2382" s="1" t="s">
        <v>1141</v>
      </c>
    </row>
    <row r="2383" spans="2:37" ht="14.25">
      <c r="B2383" s="36"/>
      <c r="C2383" s="36"/>
      <c r="D2383" s="36"/>
      <c r="E2383" s="36"/>
      <c r="F2383" s="36"/>
      <c r="G2383" s="36"/>
      <c r="H2383" s="36"/>
      <c r="J2383" s="36"/>
      <c r="L2383" s="1" t="str">
        <f t="shared" si="129"/>
        <v/>
      </c>
      <c r="M2383" s="94"/>
      <c r="N2383" s="36"/>
      <c r="O2383" s="95"/>
      <c r="P2383" s="36"/>
      <c r="AI2383" s="122">
        <v>2071</v>
      </c>
      <c r="AJ2383" s="1" t="s">
        <v>1141</v>
      </c>
      <c r="AK2383" s="1" t="s">
        <v>1141</v>
      </c>
    </row>
    <row r="2384" spans="2:37" ht="14.25">
      <c r="B2384" s="36"/>
      <c r="C2384" s="36"/>
      <c r="D2384" s="36"/>
      <c r="E2384" s="36"/>
      <c r="F2384" s="36"/>
      <c r="G2384" s="36"/>
      <c r="H2384" s="36"/>
      <c r="J2384" s="36"/>
      <c r="L2384" s="1" t="str">
        <f t="shared" si="129"/>
        <v/>
      </c>
      <c r="M2384" s="94"/>
      <c r="N2384" s="36"/>
      <c r="O2384" s="95"/>
      <c r="P2384" s="36"/>
      <c r="AI2384" s="122">
        <v>2072</v>
      </c>
      <c r="AJ2384" s="1" t="s">
        <v>1141</v>
      </c>
      <c r="AK2384" s="1" t="s">
        <v>1141</v>
      </c>
    </row>
    <row r="2385" spans="2:37" ht="14.25">
      <c r="B2385" s="36"/>
      <c r="C2385" s="36"/>
      <c r="D2385" s="36"/>
      <c r="E2385" s="36"/>
      <c r="F2385" s="36"/>
      <c r="G2385" s="36"/>
      <c r="H2385" s="36"/>
      <c r="J2385" s="36"/>
      <c r="L2385" s="1" t="str">
        <f t="shared" si="129"/>
        <v/>
      </c>
      <c r="M2385" s="94"/>
      <c r="N2385" s="36"/>
      <c r="O2385" s="95"/>
      <c r="P2385" s="36"/>
      <c r="AI2385" s="122">
        <v>2073</v>
      </c>
      <c r="AJ2385" s="1" t="s">
        <v>1141</v>
      </c>
      <c r="AK2385" s="1" t="s">
        <v>1141</v>
      </c>
    </row>
    <row r="2386" spans="2:37" ht="14.25">
      <c r="B2386" s="36"/>
      <c r="C2386" s="36"/>
      <c r="D2386" s="36"/>
      <c r="E2386" s="36"/>
      <c r="F2386" s="36"/>
      <c r="G2386" s="36"/>
      <c r="H2386" s="36"/>
      <c r="J2386" s="36"/>
      <c r="L2386" s="1" t="str">
        <f t="shared" si="129"/>
        <v/>
      </c>
      <c r="M2386" s="94"/>
      <c r="N2386" s="36"/>
      <c r="O2386" s="95"/>
      <c r="P2386" s="36"/>
      <c r="AI2386" s="122">
        <v>2074</v>
      </c>
      <c r="AJ2386" s="1" t="s">
        <v>1141</v>
      </c>
      <c r="AK2386" s="1" t="s">
        <v>1141</v>
      </c>
    </row>
    <row r="2387" spans="2:37" ht="14.25">
      <c r="B2387" s="36"/>
      <c r="C2387" s="36"/>
      <c r="D2387" s="36"/>
      <c r="E2387" s="36"/>
      <c r="F2387" s="36"/>
      <c r="G2387" s="36"/>
      <c r="H2387" s="36"/>
      <c r="J2387" s="36"/>
      <c r="L2387" s="1" t="str">
        <f t="shared" si="129"/>
        <v/>
      </c>
      <c r="M2387" s="94"/>
      <c r="N2387" s="36"/>
      <c r="O2387" s="95"/>
      <c r="P2387" s="36"/>
      <c r="AI2387" s="122">
        <v>2075</v>
      </c>
      <c r="AJ2387" s="1" t="s">
        <v>1141</v>
      </c>
      <c r="AK2387" s="1" t="s">
        <v>1141</v>
      </c>
    </row>
    <row r="2388" spans="2:37" ht="14.25">
      <c r="B2388" s="36"/>
      <c r="C2388" s="36"/>
      <c r="D2388" s="36"/>
      <c r="E2388" s="36"/>
      <c r="F2388" s="36"/>
      <c r="G2388" s="36"/>
      <c r="H2388" s="36"/>
      <c r="J2388" s="36"/>
      <c r="L2388" s="1" t="str">
        <f t="shared" si="129"/>
        <v/>
      </c>
      <c r="M2388" s="94"/>
      <c r="N2388" s="36"/>
      <c r="O2388" s="95"/>
      <c r="P2388" s="36"/>
      <c r="AI2388" s="122">
        <v>2076</v>
      </c>
      <c r="AJ2388" s="1" t="s">
        <v>1141</v>
      </c>
      <c r="AK2388" s="1" t="s">
        <v>1141</v>
      </c>
    </row>
    <row r="2389" spans="2:37" ht="14.25">
      <c r="B2389" s="36"/>
      <c r="C2389" s="36"/>
      <c r="D2389" s="36"/>
      <c r="E2389" s="36"/>
      <c r="F2389" s="36"/>
      <c r="G2389" s="36"/>
      <c r="H2389" s="36"/>
      <c r="J2389" s="36"/>
      <c r="L2389" s="1" t="str">
        <f t="shared" si="129"/>
        <v/>
      </c>
      <c r="M2389" s="94"/>
      <c r="N2389" s="36"/>
      <c r="O2389" s="95"/>
      <c r="P2389" s="36"/>
      <c r="AI2389" s="122">
        <v>2077</v>
      </c>
      <c r="AJ2389" s="1" t="s">
        <v>1141</v>
      </c>
      <c r="AK2389" s="1" t="s">
        <v>1141</v>
      </c>
    </row>
    <row r="2390" spans="2:37" ht="14.25">
      <c r="B2390" s="36"/>
      <c r="C2390" s="36"/>
      <c r="D2390" s="36"/>
      <c r="E2390" s="36"/>
      <c r="F2390" s="36"/>
      <c r="G2390" s="36"/>
      <c r="H2390" s="36"/>
      <c r="J2390" s="36"/>
      <c r="L2390" s="1" t="str">
        <f t="shared" si="129"/>
        <v/>
      </c>
      <c r="M2390" s="94"/>
      <c r="N2390" s="36"/>
      <c r="O2390" s="95"/>
      <c r="P2390" s="36"/>
      <c r="AI2390" s="122">
        <v>2078</v>
      </c>
      <c r="AJ2390" s="1" t="s">
        <v>1141</v>
      </c>
      <c r="AK2390" s="1" t="s">
        <v>1141</v>
      </c>
    </row>
    <row r="2391" spans="2:37" ht="14.25">
      <c r="B2391" s="36"/>
      <c r="C2391" s="36"/>
      <c r="D2391" s="36"/>
      <c r="E2391" s="36"/>
      <c r="F2391" s="36"/>
      <c r="G2391" s="36"/>
      <c r="H2391" s="36"/>
      <c r="J2391" s="36"/>
      <c r="L2391" s="1" t="str">
        <f t="shared" si="129"/>
        <v/>
      </c>
      <c r="M2391" s="94"/>
      <c r="N2391" s="36"/>
      <c r="O2391" s="95"/>
      <c r="P2391" s="36"/>
      <c r="AI2391" s="122">
        <v>2079</v>
      </c>
      <c r="AJ2391" s="1" t="s">
        <v>1141</v>
      </c>
      <c r="AK2391" s="1" t="s">
        <v>1141</v>
      </c>
    </row>
    <row r="2392" spans="2:37" ht="14.25">
      <c r="B2392" s="36"/>
      <c r="C2392" s="36"/>
      <c r="D2392" s="36"/>
      <c r="E2392" s="36"/>
      <c r="F2392" s="36"/>
      <c r="G2392" s="36"/>
      <c r="H2392" s="36"/>
      <c r="J2392" s="36"/>
      <c r="L2392" s="1" t="str">
        <f t="shared" si="129"/>
        <v/>
      </c>
      <c r="M2392" s="94"/>
      <c r="N2392" s="36"/>
      <c r="O2392" s="95"/>
      <c r="P2392" s="36"/>
      <c r="AI2392" s="122">
        <v>2080</v>
      </c>
      <c r="AJ2392" s="1" t="s">
        <v>1141</v>
      </c>
      <c r="AK2392" s="1" t="s">
        <v>1141</v>
      </c>
    </row>
    <row r="2393" spans="2:37" ht="14.25">
      <c r="B2393" s="36"/>
      <c r="C2393" s="36"/>
      <c r="D2393" s="36"/>
      <c r="E2393" s="36"/>
      <c r="F2393" s="36"/>
      <c r="G2393" s="36"/>
      <c r="H2393" s="36"/>
      <c r="J2393" s="36"/>
      <c r="L2393" s="1" t="str">
        <f t="shared" si="129"/>
        <v/>
      </c>
      <c r="M2393" s="94"/>
      <c r="N2393" s="36"/>
      <c r="O2393" s="95"/>
      <c r="P2393" s="36"/>
      <c r="AI2393" s="122">
        <v>2081</v>
      </c>
      <c r="AJ2393" s="1" t="s">
        <v>1141</v>
      </c>
      <c r="AK2393" s="1" t="s">
        <v>1141</v>
      </c>
    </row>
    <row r="2394" spans="2:37" ht="14.25">
      <c r="B2394" s="36"/>
      <c r="C2394" s="36"/>
      <c r="D2394" s="36"/>
      <c r="E2394" s="36"/>
      <c r="F2394" s="36"/>
      <c r="G2394" s="36"/>
      <c r="H2394" s="36"/>
      <c r="J2394" s="36"/>
      <c r="L2394" s="1" t="str">
        <f t="shared" si="129"/>
        <v/>
      </c>
      <c r="M2394" s="94"/>
      <c r="N2394" s="36"/>
      <c r="O2394" s="95"/>
      <c r="P2394" s="36"/>
      <c r="AI2394" s="122">
        <v>2082</v>
      </c>
      <c r="AJ2394" s="1" t="s">
        <v>1141</v>
      </c>
      <c r="AK2394" s="1" t="s">
        <v>1141</v>
      </c>
    </row>
    <row r="2395" spans="2:37" ht="14.25">
      <c r="B2395" s="36"/>
      <c r="C2395" s="36"/>
      <c r="D2395" s="36"/>
      <c r="E2395" s="36"/>
      <c r="F2395" s="36"/>
      <c r="G2395" s="36"/>
      <c r="H2395" s="36"/>
      <c r="J2395" s="36"/>
      <c r="L2395" s="1" t="str">
        <f t="shared" si="129"/>
        <v/>
      </c>
      <c r="M2395" s="94"/>
      <c r="N2395" s="36"/>
      <c r="O2395" s="95"/>
      <c r="P2395" s="36"/>
      <c r="AI2395" s="122">
        <v>2083</v>
      </c>
      <c r="AJ2395" s="1" t="s">
        <v>1141</v>
      </c>
      <c r="AK2395" s="1" t="s">
        <v>1141</v>
      </c>
    </row>
    <row r="2396" spans="2:37" ht="14.25">
      <c r="B2396" s="36"/>
      <c r="C2396" s="36"/>
      <c r="D2396" s="36"/>
      <c r="E2396" s="36"/>
      <c r="F2396" s="36"/>
      <c r="G2396" s="36"/>
      <c r="H2396" s="36"/>
      <c r="J2396" s="36"/>
      <c r="L2396" s="1" t="str">
        <f t="shared" si="129"/>
        <v/>
      </c>
      <c r="M2396" s="94"/>
      <c r="N2396" s="36"/>
      <c r="O2396" s="95"/>
      <c r="P2396" s="36"/>
      <c r="AI2396" s="122">
        <v>2084</v>
      </c>
      <c r="AJ2396" s="1" t="s">
        <v>1141</v>
      </c>
      <c r="AK2396" s="1" t="s">
        <v>1141</v>
      </c>
    </row>
    <row r="2397" spans="2:37" ht="14.25">
      <c r="B2397" s="36"/>
      <c r="C2397" s="36"/>
      <c r="D2397" s="36"/>
      <c r="E2397" s="36"/>
      <c r="F2397" s="36"/>
      <c r="G2397" s="36"/>
      <c r="H2397" s="36"/>
      <c r="J2397" s="36"/>
      <c r="L2397" s="1" t="str">
        <f t="shared" si="129"/>
        <v/>
      </c>
      <c r="M2397" s="94"/>
      <c r="N2397" s="36"/>
      <c r="O2397" s="95"/>
      <c r="P2397" s="36"/>
      <c r="AI2397" s="122">
        <v>2085</v>
      </c>
      <c r="AJ2397" s="1" t="s">
        <v>1141</v>
      </c>
      <c r="AK2397" s="1" t="s">
        <v>1141</v>
      </c>
    </row>
    <row r="2398" spans="2:37" ht="14.25">
      <c r="B2398" s="36"/>
      <c r="C2398" s="36"/>
      <c r="D2398" s="36"/>
      <c r="E2398" s="36"/>
      <c r="F2398" s="36"/>
      <c r="G2398" s="36"/>
      <c r="H2398" s="36"/>
      <c r="J2398" s="36"/>
      <c r="L2398" s="1" t="str">
        <f t="shared" si="129"/>
        <v/>
      </c>
      <c r="M2398" s="94"/>
      <c r="N2398" s="36"/>
      <c r="O2398" s="95"/>
      <c r="P2398" s="36"/>
      <c r="AI2398" s="122">
        <v>2086</v>
      </c>
      <c r="AJ2398" s="1" t="s">
        <v>1141</v>
      </c>
      <c r="AK2398" s="1" t="s">
        <v>1141</v>
      </c>
    </row>
    <row r="2399" spans="2:37" ht="14.25">
      <c r="B2399" s="36"/>
      <c r="C2399" s="36"/>
      <c r="D2399" s="36"/>
      <c r="E2399" s="36"/>
      <c r="F2399" s="36"/>
      <c r="G2399" s="36"/>
      <c r="H2399" s="36"/>
      <c r="J2399" s="36"/>
      <c r="L2399" s="1" t="str">
        <f t="shared" si="129"/>
        <v/>
      </c>
      <c r="M2399" s="94"/>
      <c r="N2399" s="36"/>
      <c r="O2399" s="95"/>
      <c r="P2399" s="36"/>
      <c r="AI2399" s="122">
        <v>2087</v>
      </c>
      <c r="AJ2399" s="1" t="s">
        <v>1141</v>
      </c>
      <c r="AK2399" s="1" t="s">
        <v>1141</v>
      </c>
    </row>
    <row r="2400" spans="2:37" ht="14.25">
      <c r="B2400" s="36"/>
      <c r="C2400" s="36"/>
      <c r="D2400" s="36"/>
      <c r="E2400" s="36"/>
      <c r="F2400" s="36"/>
      <c r="G2400" s="36"/>
      <c r="H2400" s="36"/>
      <c r="J2400" s="36"/>
      <c r="L2400" s="1" t="str">
        <f t="shared" si="129"/>
        <v/>
      </c>
      <c r="M2400" s="94"/>
      <c r="N2400" s="36"/>
      <c r="O2400" s="95"/>
      <c r="P2400" s="36"/>
      <c r="AI2400" s="122">
        <v>2088</v>
      </c>
      <c r="AJ2400" s="1" t="s">
        <v>1141</v>
      </c>
      <c r="AK2400" s="1" t="s">
        <v>1141</v>
      </c>
    </row>
    <row r="2401" spans="2:37" ht="14.25">
      <c r="B2401" s="36"/>
      <c r="C2401" s="36"/>
      <c r="D2401" s="36"/>
      <c r="E2401" s="36"/>
      <c r="F2401" s="36"/>
      <c r="G2401" s="36"/>
      <c r="H2401" s="36"/>
      <c r="J2401" s="36"/>
      <c r="L2401" s="1" t="str">
        <f t="shared" si="129"/>
        <v/>
      </c>
      <c r="M2401" s="94"/>
      <c r="N2401" s="36"/>
      <c r="O2401" s="95"/>
      <c r="P2401" s="36"/>
      <c r="AI2401" s="122">
        <v>2089</v>
      </c>
      <c r="AJ2401" s="1" t="s">
        <v>1141</v>
      </c>
      <c r="AK2401" s="1" t="s">
        <v>1141</v>
      </c>
    </row>
    <row r="2402" spans="2:37" ht="14.25">
      <c r="B2402" s="36"/>
      <c r="C2402" s="36"/>
      <c r="D2402" s="36"/>
      <c r="E2402" s="36"/>
      <c r="F2402" s="36"/>
      <c r="G2402" s="36"/>
      <c r="H2402" s="36"/>
      <c r="J2402" s="36"/>
      <c r="L2402" s="1" t="str">
        <f t="shared" si="129"/>
        <v/>
      </c>
      <c r="M2402" s="94"/>
      <c r="N2402" s="36"/>
      <c r="O2402" s="95"/>
      <c r="P2402" s="36"/>
      <c r="AI2402" s="122">
        <v>2090</v>
      </c>
      <c r="AJ2402" s="1" t="s">
        <v>1141</v>
      </c>
      <c r="AK2402" s="1" t="s">
        <v>1141</v>
      </c>
    </row>
    <row r="2403" spans="2:37" ht="14.25">
      <c r="B2403" s="36"/>
      <c r="C2403" s="36"/>
      <c r="D2403" s="36"/>
      <c r="E2403" s="36"/>
      <c r="F2403" s="36"/>
      <c r="G2403" s="36"/>
      <c r="H2403" s="36"/>
      <c r="J2403" s="36"/>
      <c r="L2403" s="1" t="str">
        <f t="shared" si="129"/>
        <v/>
      </c>
      <c r="M2403" s="94"/>
      <c r="N2403" s="36"/>
      <c r="O2403" s="95"/>
      <c r="P2403" s="36"/>
      <c r="AI2403" s="122">
        <v>2091</v>
      </c>
      <c r="AJ2403" s="1" t="s">
        <v>1141</v>
      </c>
      <c r="AK2403" s="1" t="s">
        <v>1141</v>
      </c>
    </row>
    <row r="2404" spans="2:37" ht="14.25">
      <c r="B2404" s="36"/>
      <c r="C2404" s="36"/>
      <c r="D2404" s="36"/>
      <c r="E2404" s="36"/>
      <c r="F2404" s="36"/>
      <c r="G2404" s="36"/>
      <c r="H2404" s="36"/>
      <c r="J2404" s="36"/>
      <c r="L2404" s="1" t="str">
        <f t="shared" si="129"/>
        <v/>
      </c>
      <c r="M2404" s="94"/>
      <c r="N2404" s="36"/>
      <c r="O2404" s="95"/>
      <c r="P2404" s="36"/>
      <c r="AI2404" s="122">
        <v>2092</v>
      </c>
      <c r="AJ2404" s="1" t="s">
        <v>1141</v>
      </c>
      <c r="AK2404" s="1" t="s">
        <v>1141</v>
      </c>
    </row>
    <row r="2405" spans="2:37" ht="14.25">
      <c r="B2405" s="36"/>
      <c r="C2405" s="36"/>
      <c r="D2405" s="36"/>
      <c r="E2405" s="36"/>
      <c r="F2405" s="36"/>
      <c r="G2405" s="36"/>
      <c r="H2405" s="36"/>
      <c r="J2405" s="36"/>
      <c r="L2405" s="1" t="str">
        <f t="shared" si="129"/>
        <v/>
      </c>
      <c r="M2405" s="94"/>
      <c r="N2405" s="36"/>
      <c r="O2405" s="95"/>
      <c r="P2405" s="36"/>
      <c r="AI2405" s="122">
        <v>2093</v>
      </c>
      <c r="AJ2405" s="1" t="s">
        <v>1141</v>
      </c>
      <c r="AK2405" s="1" t="s">
        <v>1141</v>
      </c>
    </row>
    <row r="2406" spans="2:37" ht="14.25">
      <c r="B2406" s="36"/>
      <c r="C2406" s="36"/>
      <c r="D2406" s="36"/>
      <c r="E2406" s="36"/>
      <c r="F2406" s="36"/>
      <c r="G2406" s="36"/>
      <c r="H2406" s="36"/>
      <c r="J2406" s="36"/>
      <c r="L2406" s="1" t="str">
        <f t="shared" si="129"/>
        <v/>
      </c>
      <c r="M2406" s="94"/>
      <c r="N2406" s="36"/>
      <c r="O2406" s="95"/>
      <c r="P2406" s="36"/>
      <c r="AI2406" s="122">
        <v>2094</v>
      </c>
      <c r="AJ2406" s="1" t="s">
        <v>1141</v>
      </c>
      <c r="AK2406" s="1" t="s">
        <v>1141</v>
      </c>
    </row>
    <row r="2407" spans="2:37" ht="14.25">
      <c r="B2407" s="36"/>
      <c r="C2407" s="36"/>
      <c r="D2407" s="36"/>
      <c r="E2407" s="36"/>
      <c r="F2407" s="36"/>
      <c r="G2407" s="36"/>
      <c r="H2407" s="36"/>
      <c r="J2407" s="36"/>
      <c r="L2407" s="1" t="str">
        <f t="shared" si="129"/>
        <v/>
      </c>
      <c r="M2407" s="94"/>
      <c r="N2407" s="36"/>
      <c r="O2407" s="95"/>
      <c r="P2407" s="36"/>
      <c r="AI2407" s="122">
        <v>2095</v>
      </c>
      <c r="AJ2407" s="1" t="s">
        <v>1141</v>
      </c>
      <c r="AK2407" s="1" t="s">
        <v>1141</v>
      </c>
    </row>
    <row r="2408" spans="2:37" ht="14.25">
      <c r="B2408" s="36"/>
      <c r="C2408" s="36"/>
      <c r="D2408" s="36"/>
      <c r="E2408" s="36"/>
      <c r="F2408" s="36"/>
      <c r="G2408" s="36"/>
      <c r="H2408" s="36"/>
      <c r="J2408" s="36"/>
      <c r="L2408" s="1" t="str">
        <f t="shared" si="129"/>
        <v/>
      </c>
      <c r="M2408" s="94"/>
      <c r="N2408" s="36"/>
      <c r="O2408" s="95"/>
      <c r="P2408" s="36"/>
      <c r="AI2408" s="122">
        <v>2096</v>
      </c>
      <c r="AJ2408" s="1" t="s">
        <v>1141</v>
      </c>
      <c r="AK2408" s="1" t="s">
        <v>1141</v>
      </c>
    </row>
    <row r="2409" spans="2:37" ht="14.25">
      <c r="B2409" s="36"/>
      <c r="C2409" s="36"/>
      <c r="D2409" s="36"/>
      <c r="E2409" s="36"/>
      <c r="F2409" s="36"/>
      <c r="G2409" s="36"/>
      <c r="H2409" s="36"/>
      <c r="J2409" s="36"/>
      <c r="L2409" s="1" t="str">
        <f t="shared" si="129"/>
        <v/>
      </c>
      <c r="M2409" s="94"/>
      <c r="N2409" s="36"/>
      <c r="O2409" s="95"/>
      <c r="P2409" s="36"/>
      <c r="AI2409" s="122">
        <v>2097</v>
      </c>
      <c r="AJ2409" s="1" t="s">
        <v>1141</v>
      </c>
      <c r="AK2409" s="1" t="s">
        <v>1141</v>
      </c>
    </row>
    <row r="2410" spans="2:37" ht="14.25">
      <c r="B2410" s="36"/>
      <c r="C2410" s="36"/>
      <c r="D2410" s="36"/>
      <c r="E2410" s="36"/>
      <c r="F2410" s="36"/>
      <c r="G2410" s="36"/>
      <c r="H2410" s="36"/>
      <c r="J2410" s="36"/>
      <c r="L2410" s="1" t="str">
        <f t="shared" si="129"/>
        <v/>
      </c>
      <c r="M2410" s="94"/>
      <c r="N2410" s="36"/>
      <c r="O2410" s="95"/>
      <c r="P2410" s="36"/>
      <c r="AI2410" s="122">
        <v>2098</v>
      </c>
      <c r="AJ2410" s="1" t="s">
        <v>1141</v>
      </c>
      <c r="AK2410" s="1" t="s">
        <v>1141</v>
      </c>
    </row>
    <row r="2411" spans="2:37" ht="14.25">
      <c r="B2411" s="36"/>
      <c r="C2411" s="36"/>
      <c r="D2411" s="36"/>
      <c r="E2411" s="36"/>
      <c r="F2411" s="36"/>
      <c r="G2411" s="36"/>
      <c r="H2411" s="36"/>
      <c r="J2411" s="36"/>
      <c r="L2411" s="1" t="str">
        <f t="shared" si="129"/>
        <v/>
      </c>
      <c r="M2411" s="94"/>
      <c r="N2411" s="36"/>
      <c r="O2411" s="95"/>
      <c r="P2411" s="36"/>
      <c r="AI2411" s="122">
        <v>2099</v>
      </c>
      <c r="AJ2411" s="1" t="s">
        <v>1141</v>
      </c>
      <c r="AK2411" s="1" t="s">
        <v>1141</v>
      </c>
    </row>
    <row r="2412" spans="2:37" ht="14.25">
      <c r="B2412" s="36"/>
      <c r="C2412" s="36"/>
      <c r="D2412" s="36"/>
      <c r="E2412" s="36"/>
      <c r="F2412" s="36"/>
      <c r="G2412" s="36"/>
      <c r="H2412" s="36"/>
      <c r="J2412" s="36"/>
      <c r="L2412" s="1" t="str">
        <f t="shared" si="129"/>
        <v/>
      </c>
      <c r="M2412" s="94"/>
      <c r="N2412" s="36"/>
      <c r="O2412" s="95"/>
      <c r="P2412" s="36"/>
      <c r="AI2412" s="122">
        <v>2100</v>
      </c>
      <c r="AJ2412" s="1" t="s">
        <v>1141</v>
      </c>
      <c r="AK2412" s="1" t="s">
        <v>1141</v>
      </c>
    </row>
    <row r="2413" spans="2:37" ht="14.25">
      <c r="B2413" s="36"/>
      <c r="C2413" s="36"/>
      <c r="D2413" s="36"/>
      <c r="E2413" s="36"/>
      <c r="F2413" s="36"/>
      <c r="G2413" s="36"/>
      <c r="H2413" s="36"/>
      <c r="J2413" s="36"/>
      <c r="L2413" s="1" t="str">
        <f t="shared" si="129"/>
        <v/>
      </c>
      <c r="M2413" s="94"/>
      <c r="N2413" s="36"/>
      <c r="O2413" s="95"/>
      <c r="P2413" s="36"/>
      <c r="AI2413" s="122">
        <v>2101</v>
      </c>
      <c r="AJ2413" s="1" t="s">
        <v>1141</v>
      </c>
      <c r="AK2413" s="1" t="s">
        <v>1141</v>
      </c>
    </row>
    <row r="2414" spans="2:37" ht="14.25">
      <c r="B2414" s="36"/>
      <c r="C2414" s="36"/>
      <c r="D2414" s="36"/>
      <c r="E2414" s="36"/>
      <c r="F2414" s="36"/>
      <c r="G2414" s="36"/>
      <c r="H2414" s="36"/>
      <c r="J2414" s="36"/>
      <c r="L2414" s="1" t="str">
        <f t="shared" si="129"/>
        <v/>
      </c>
      <c r="M2414" s="94"/>
      <c r="N2414" s="36"/>
      <c r="O2414" s="95"/>
      <c r="P2414" s="36"/>
      <c r="AI2414" s="122">
        <v>2102</v>
      </c>
      <c r="AJ2414" s="1" t="s">
        <v>1141</v>
      </c>
      <c r="AK2414" s="1" t="s">
        <v>1141</v>
      </c>
    </row>
    <row r="2415" spans="2:37" ht="14.25">
      <c r="B2415" s="36"/>
      <c r="C2415" s="36"/>
      <c r="D2415" s="36"/>
      <c r="E2415" s="36"/>
      <c r="F2415" s="36"/>
      <c r="G2415" s="36"/>
      <c r="H2415" s="36"/>
      <c r="J2415" s="36"/>
      <c r="L2415" s="1" t="str">
        <f t="shared" si="129"/>
        <v/>
      </c>
      <c r="M2415" s="94"/>
      <c r="N2415" s="36"/>
      <c r="O2415" s="95"/>
      <c r="P2415" s="36"/>
      <c r="AI2415" s="122">
        <v>2103</v>
      </c>
      <c r="AJ2415" s="1" t="s">
        <v>1141</v>
      </c>
      <c r="AK2415" s="1" t="s">
        <v>1141</v>
      </c>
    </row>
    <row r="2416" spans="2:37" ht="14.25">
      <c r="B2416" s="36"/>
      <c r="C2416" s="36"/>
      <c r="D2416" s="36"/>
      <c r="E2416" s="36"/>
      <c r="F2416" s="36"/>
      <c r="G2416" s="36"/>
      <c r="H2416" s="36"/>
      <c r="J2416" s="36"/>
      <c r="L2416" s="1" t="str">
        <f t="shared" si="129"/>
        <v/>
      </c>
      <c r="M2416" s="94"/>
      <c r="N2416" s="36"/>
      <c r="O2416" s="95"/>
      <c r="P2416" s="36"/>
      <c r="AI2416" s="122">
        <v>2104</v>
      </c>
      <c r="AJ2416" s="1" t="s">
        <v>1141</v>
      </c>
      <c r="AK2416" s="1" t="s">
        <v>1141</v>
      </c>
    </row>
    <row r="2417" spans="2:37" ht="14.25">
      <c r="B2417" s="36"/>
      <c r="C2417" s="36"/>
      <c r="D2417" s="36"/>
      <c r="E2417" s="36"/>
      <c r="F2417" s="36"/>
      <c r="G2417" s="36"/>
      <c r="H2417" s="36"/>
      <c r="J2417" s="36"/>
      <c r="L2417" s="1" t="str">
        <f t="shared" si="129"/>
        <v/>
      </c>
      <c r="M2417" s="94"/>
      <c r="N2417" s="36"/>
      <c r="O2417" s="95"/>
      <c r="P2417" s="36"/>
      <c r="AI2417" s="122">
        <v>2105</v>
      </c>
      <c r="AJ2417" s="1" t="s">
        <v>1141</v>
      </c>
      <c r="AK2417" s="1" t="s">
        <v>1141</v>
      </c>
    </row>
    <row r="2418" spans="2:37" ht="14.25">
      <c r="B2418" s="36"/>
      <c r="C2418" s="36"/>
      <c r="D2418" s="36"/>
      <c r="E2418" s="36"/>
      <c r="F2418" s="36"/>
      <c r="G2418" s="36"/>
      <c r="H2418" s="36"/>
      <c r="J2418" s="36"/>
      <c r="L2418" s="1" t="str">
        <f t="shared" si="129"/>
        <v/>
      </c>
      <c r="M2418" s="94"/>
      <c r="N2418" s="36"/>
      <c r="O2418" s="95"/>
      <c r="P2418" s="36"/>
      <c r="AI2418" s="122">
        <v>2106</v>
      </c>
      <c r="AJ2418" s="1" t="s">
        <v>1141</v>
      </c>
      <c r="AK2418" s="1" t="s">
        <v>1141</v>
      </c>
    </row>
    <row r="2419" spans="2:37" ht="14.25">
      <c r="B2419" s="36"/>
      <c r="C2419" s="36"/>
      <c r="D2419" s="36"/>
      <c r="E2419" s="36"/>
      <c r="F2419" s="36"/>
      <c r="G2419" s="36"/>
      <c r="H2419" s="36"/>
      <c r="J2419" s="36"/>
      <c r="L2419" s="1" t="str">
        <f t="shared" si="129"/>
        <v/>
      </c>
      <c r="M2419" s="94"/>
      <c r="N2419" s="36"/>
      <c r="O2419" s="95"/>
      <c r="P2419" s="36"/>
      <c r="AI2419" s="122">
        <v>2107</v>
      </c>
      <c r="AJ2419" s="1" t="s">
        <v>1141</v>
      </c>
      <c r="AK2419" s="1" t="s">
        <v>1141</v>
      </c>
    </row>
    <row r="2420" spans="2:37" ht="14.25">
      <c r="B2420" s="36"/>
      <c r="C2420" s="36"/>
      <c r="D2420" s="36"/>
      <c r="E2420" s="36"/>
      <c r="F2420" s="36"/>
      <c r="G2420" s="36"/>
      <c r="H2420" s="36"/>
      <c r="J2420" s="36"/>
      <c r="L2420" s="1" t="str">
        <f t="shared" si="129"/>
        <v/>
      </c>
      <c r="M2420" s="94"/>
      <c r="N2420" s="36"/>
      <c r="O2420" s="95"/>
      <c r="P2420" s="36"/>
      <c r="AI2420" s="122">
        <v>2108</v>
      </c>
      <c r="AJ2420" s="1" t="s">
        <v>1141</v>
      </c>
      <c r="AK2420" s="1" t="s">
        <v>1141</v>
      </c>
    </row>
    <row r="2421" spans="2:37" ht="14.25">
      <c r="B2421" s="36"/>
      <c r="C2421" s="36"/>
      <c r="D2421" s="36"/>
      <c r="E2421" s="36"/>
      <c r="F2421" s="36"/>
      <c r="G2421" s="36"/>
      <c r="H2421" s="36"/>
      <c r="J2421" s="36"/>
      <c r="L2421" s="1" t="str">
        <f t="shared" si="129"/>
        <v/>
      </c>
      <c r="M2421" s="94"/>
      <c r="N2421" s="36"/>
      <c r="O2421" s="95"/>
      <c r="P2421" s="36"/>
      <c r="AI2421" s="122">
        <v>2109</v>
      </c>
      <c r="AJ2421" s="1" t="s">
        <v>1141</v>
      </c>
      <c r="AK2421" s="1" t="s">
        <v>1141</v>
      </c>
    </row>
    <row r="2422" spans="2:37" ht="14.25">
      <c r="B2422" s="36"/>
      <c r="C2422" s="36"/>
      <c r="D2422" s="36"/>
      <c r="E2422" s="36"/>
      <c r="F2422" s="36"/>
      <c r="G2422" s="36"/>
      <c r="H2422" s="36"/>
      <c r="J2422" s="36"/>
      <c r="L2422" s="1" t="str">
        <f t="shared" si="129"/>
        <v/>
      </c>
      <c r="M2422" s="94"/>
      <c r="N2422" s="36"/>
      <c r="O2422" s="95"/>
      <c r="P2422" s="36"/>
      <c r="AI2422" s="122">
        <v>2110</v>
      </c>
      <c r="AJ2422" s="1" t="s">
        <v>1141</v>
      </c>
      <c r="AK2422" s="1" t="s">
        <v>1141</v>
      </c>
    </row>
    <row r="2423" spans="2:37" ht="14.25">
      <c r="B2423" s="36"/>
      <c r="C2423" s="36"/>
      <c r="D2423" s="36"/>
      <c r="E2423" s="36"/>
      <c r="F2423" s="36"/>
      <c r="G2423" s="36"/>
      <c r="H2423" s="36"/>
      <c r="J2423" s="36"/>
      <c r="L2423" s="1" t="str">
        <f t="shared" si="129"/>
        <v/>
      </c>
      <c r="M2423" s="94"/>
      <c r="N2423" s="36"/>
      <c r="O2423" s="95"/>
      <c r="P2423" s="36"/>
      <c r="AI2423" s="122">
        <v>2111</v>
      </c>
      <c r="AJ2423" s="1" t="s">
        <v>1141</v>
      </c>
      <c r="AK2423" s="1" t="s">
        <v>1141</v>
      </c>
    </row>
    <row r="2424" spans="2:37" ht="14.25">
      <c r="B2424" s="36"/>
      <c r="C2424" s="36"/>
      <c r="D2424" s="36"/>
      <c r="E2424" s="36"/>
      <c r="F2424" s="36"/>
      <c r="G2424" s="36"/>
      <c r="H2424" s="36"/>
      <c r="J2424" s="36"/>
      <c r="L2424" s="1" t="str">
        <f t="shared" si="129"/>
        <v/>
      </c>
      <c r="M2424" s="94"/>
      <c r="N2424" s="36"/>
      <c r="O2424" s="95"/>
      <c r="P2424" s="36"/>
      <c r="AI2424" s="122">
        <v>2112</v>
      </c>
      <c r="AJ2424" s="1" t="s">
        <v>1141</v>
      </c>
      <c r="AK2424" s="1" t="s">
        <v>1141</v>
      </c>
    </row>
    <row r="2425" spans="2:37" ht="14.25">
      <c r="B2425" s="36"/>
      <c r="C2425" s="36"/>
      <c r="D2425" s="36"/>
      <c r="E2425" s="36"/>
      <c r="F2425" s="36"/>
      <c r="G2425" s="36"/>
      <c r="H2425" s="36"/>
      <c r="J2425" s="36"/>
      <c r="L2425" s="1" t="str">
        <f t="shared" si="129"/>
        <v/>
      </c>
      <c r="M2425" s="94"/>
      <c r="N2425" s="36"/>
      <c r="O2425" s="95"/>
      <c r="P2425" s="36"/>
      <c r="AI2425" s="122">
        <v>2113</v>
      </c>
      <c r="AJ2425" s="1" t="s">
        <v>1141</v>
      </c>
      <c r="AK2425" s="1" t="s">
        <v>1141</v>
      </c>
    </row>
    <row r="2426" spans="2:37" ht="14.25">
      <c r="B2426" s="36"/>
      <c r="C2426" s="36"/>
      <c r="D2426" s="36"/>
      <c r="E2426" s="36"/>
      <c r="F2426" s="36"/>
      <c r="G2426" s="36"/>
      <c r="H2426" s="36"/>
      <c r="J2426" s="36"/>
      <c r="L2426" s="1" t="str">
        <f t="shared" si="129"/>
        <v/>
      </c>
      <c r="M2426" s="94"/>
      <c r="N2426" s="36"/>
      <c r="O2426" s="95"/>
      <c r="P2426" s="36"/>
      <c r="AI2426" s="122">
        <v>2114</v>
      </c>
      <c r="AJ2426" s="1" t="s">
        <v>1141</v>
      </c>
      <c r="AK2426" s="1" t="s">
        <v>1141</v>
      </c>
    </row>
    <row r="2427" spans="2:37" ht="14.25">
      <c r="B2427" s="36"/>
      <c r="C2427" s="36"/>
      <c r="D2427" s="36"/>
      <c r="E2427" s="36"/>
      <c r="F2427" s="36"/>
      <c r="G2427" s="36"/>
      <c r="H2427" s="36"/>
      <c r="J2427" s="36"/>
      <c r="L2427" s="1" t="str">
        <f t="shared" si="129"/>
        <v/>
      </c>
      <c r="M2427" s="94"/>
      <c r="N2427" s="36"/>
      <c r="O2427" s="95"/>
      <c r="P2427" s="36"/>
      <c r="AI2427" s="122">
        <v>2115</v>
      </c>
      <c r="AJ2427" s="1" t="s">
        <v>1141</v>
      </c>
      <c r="AK2427" s="1" t="s">
        <v>1141</v>
      </c>
    </row>
    <row r="2428" spans="2:37" ht="14.25">
      <c r="B2428" s="36"/>
      <c r="C2428" s="36"/>
      <c r="D2428" s="36"/>
      <c r="E2428" s="36"/>
      <c r="F2428" s="36"/>
      <c r="G2428" s="36"/>
      <c r="H2428" s="36"/>
      <c r="J2428" s="36"/>
      <c r="L2428" s="1" t="str">
        <f t="shared" si="129"/>
        <v/>
      </c>
      <c r="M2428" s="94"/>
      <c r="N2428" s="36"/>
      <c r="O2428" s="95"/>
      <c r="P2428" s="36"/>
      <c r="AI2428" s="122">
        <v>2116</v>
      </c>
      <c r="AJ2428" s="1" t="s">
        <v>1141</v>
      </c>
      <c r="AK2428" s="1" t="s">
        <v>1141</v>
      </c>
    </row>
    <row r="2429" spans="2:37" ht="14.25">
      <c r="B2429" s="36"/>
      <c r="C2429" s="36"/>
      <c r="D2429" s="36"/>
      <c r="E2429" s="36"/>
      <c r="F2429" s="36"/>
      <c r="G2429" s="36"/>
      <c r="H2429" s="36"/>
      <c r="J2429" s="36"/>
      <c r="L2429" s="1" t="str">
        <f t="shared" si="129"/>
        <v/>
      </c>
      <c r="M2429" s="94"/>
      <c r="N2429" s="36"/>
      <c r="O2429" s="95"/>
      <c r="P2429" s="36"/>
      <c r="AI2429" s="122">
        <v>2117</v>
      </c>
      <c r="AJ2429" s="1" t="s">
        <v>1141</v>
      </c>
      <c r="AK2429" s="1" t="s">
        <v>1141</v>
      </c>
    </row>
    <row r="2430" spans="2:37" ht="14.25">
      <c r="B2430" s="36"/>
      <c r="C2430" s="36"/>
      <c r="D2430" s="36"/>
      <c r="E2430" s="36"/>
      <c r="F2430" s="36"/>
      <c r="G2430" s="36"/>
      <c r="H2430" s="36"/>
      <c r="J2430" s="36"/>
      <c r="L2430" s="1" t="str">
        <f t="shared" si="129"/>
        <v/>
      </c>
      <c r="M2430" s="94"/>
      <c r="N2430" s="36"/>
      <c r="O2430" s="95"/>
      <c r="P2430" s="36"/>
      <c r="AI2430" s="122">
        <v>2118</v>
      </c>
      <c r="AJ2430" s="1" t="s">
        <v>1141</v>
      </c>
      <c r="AK2430" s="1" t="s">
        <v>1141</v>
      </c>
    </row>
    <row r="2431" spans="2:37" ht="14.25">
      <c r="B2431" s="36"/>
      <c r="C2431" s="36"/>
      <c r="D2431" s="36"/>
      <c r="E2431" s="36"/>
      <c r="F2431" s="36"/>
      <c r="G2431" s="36"/>
      <c r="H2431" s="36"/>
      <c r="J2431" s="36"/>
      <c r="L2431" s="1" t="str">
        <f t="shared" si="129"/>
        <v/>
      </c>
      <c r="M2431" s="94"/>
      <c r="N2431" s="36"/>
      <c r="O2431" s="95"/>
      <c r="P2431" s="36"/>
      <c r="AI2431" s="122">
        <v>2119</v>
      </c>
      <c r="AJ2431" s="1" t="s">
        <v>1141</v>
      </c>
      <c r="AK2431" s="1" t="s">
        <v>1141</v>
      </c>
    </row>
    <row r="2432" spans="2:37" ht="14.25">
      <c r="B2432" s="36"/>
      <c r="C2432" s="36"/>
      <c r="D2432" s="36"/>
      <c r="E2432" s="36"/>
      <c r="F2432" s="36"/>
      <c r="G2432" s="36"/>
      <c r="H2432" s="36"/>
      <c r="J2432" s="36"/>
      <c r="L2432" s="1" t="str">
        <f t="shared" si="129"/>
        <v/>
      </c>
      <c r="M2432" s="94"/>
      <c r="N2432" s="36"/>
      <c r="O2432" s="95"/>
      <c r="P2432" s="36"/>
      <c r="AI2432" s="122">
        <v>2120</v>
      </c>
      <c r="AJ2432" s="1" t="s">
        <v>1141</v>
      </c>
      <c r="AK2432" s="1" t="s">
        <v>1141</v>
      </c>
    </row>
    <row r="2433" spans="2:37" ht="14.25">
      <c r="B2433" s="36"/>
      <c r="C2433" s="36"/>
      <c r="D2433" s="36"/>
      <c r="E2433" s="36"/>
      <c r="F2433" s="36"/>
      <c r="G2433" s="36"/>
      <c r="H2433" s="36"/>
      <c r="J2433" s="36"/>
      <c r="L2433" s="1" t="str">
        <f t="shared" si="129"/>
        <v/>
      </c>
      <c r="M2433" s="94"/>
      <c r="N2433" s="36"/>
      <c r="O2433" s="95"/>
      <c r="P2433" s="36"/>
      <c r="AI2433" s="122">
        <v>2121</v>
      </c>
      <c r="AJ2433" s="1" t="s">
        <v>1141</v>
      </c>
      <c r="AK2433" s="1" t="s">
        <v>1141</v>
      </c>
    </row>
    <row r="2434" spans="2:37" ht="14.25">
      <c r="B2434" s="36"/>
      <c r="C2434" s="36"/>
      <c r="D2434" s="36"/>
      <c r="E2434" s="36"/>
      <c r="F2434" s="36"/>
      <c r="G2434" s="36"/>
      <c r="H2434" s="36"/>
      <c r="J2434" s="36"/>
      <c r="L2434" s="1" t="str">
        <f t="shared" si="129"/>
        <v/>
      </c>
      <c r="M2434" s="94"/>
      <c r="N2434" s="36"/>
      <c r="O2434" s="95"/>
      <c r="P2434" s="36"/>
      <c r="AI2434" s="122">
        <v>2122</v>
      </c>
      <c r="AJ2434" s="1" t="s">
        <v>1141</v>
      </c>
      <c r="AK2434" s="1" t="s">
        <v>1141</v>
      </c>
    </row>
    <row r="2435" spans="2:37" ht="14.25">
      <c r="B2435" s="36"/>
      <c r="C2435" s="36"/>
      <c r="D2435" s="36"/>
      <c r="E2435" s="36"/>
      <c r="F2435" s="36"/>
      <c r="G2435" s="36"/>
      <c r="H2435" s="36"/>
      <c r="J2435" s="36"/>
      <c r="L2435" s="1" t="str">
        <f t="shared" si="129"/>
        <v/>
      </c>
      <c r="M2435" s="94"/>
      <c r="N2435" s="36"/>
      <c r="O2435" s="95"/>
      <c r="P2435" s="36"/>
      <c r="AI2435" s="122">
        <v>2123</v>
      </c>
      <c r="AJ2435" s="1" t="s">
        <v>1141</v>
      </c>
      <c r="AK2435" s="1" t="s">
        <v>1141</v>
      </c>
    </row>
    <row r="2436" spans="2:37" ht="14.25">
      <c r="B2436" s="36"/>
      <c r="C2436" s="36"/>
      <c r="D2436" s="36"/>
      <c r="E2436" s="36"/>
      <c r="F2436" s="36"/>
      <c r="G2436" s="36"/>
      <c r="H2436" s="36"/>
      <c r="J2436" s="36"/>
      <c r="L2436" s="1" t="str">
        <f>IF(AND(MIN(I:I)&lt;20,MAX(I:I)&gt;980,I2436&lt;20),I2436,"")</f>
        <v/>
      </c>
      <c r="M2436" s="94"/>
      <c r="N2436" s="36"/>
      <c r="O2436" s="95"/>
      <c r="P2436" s="36"/>
      <c r="AI2436" s="122">
        <v>2124</v>
      </c>
      <c r="AJ2436" s="1" t="s">
        <v>1141</v>
      </c>
      <c r="AK2436" s="1" t="s">
        <v>1141</v>
      </c>
    </row>
    <row r="2437" spans="2:37" ht="14.25">
      <c r="B2437" s="36"/>
      <c r="C2437" s="36"/>
      <c r="D2437" s="36"/>
      <c r="E2437" s="36"/>
      <c r="F2437" s="36"/>
      <c r="G2437" s="36"/>
      <c r="H2437" s="36"/>
      <c r="J2437" s="36"/>
      <c r="L2437" s="1" t="str">
        <f>IF(AND(MIN(I:I)&lt;20,MAX(I:I)&gt;980,I2437&lt;20),I2437,"")</f>
        <v/>
      </c>
      <c r="M2437" s="94"/>
      <c r="N2437" s="36"/>
      <c r="O2437" s="95"/>
      <c r="P2437" s="36"/>
      <c r="AI2437" s="122">
        <v>2125</v>
      </c>
      <c r="AJ2437" s="1" t="s">
        <v>1141</v>
      </c>
      <c r="AK2437" s="1" t="s">
        <v>1141</v>
      </c>
    </row>
    <row r="2438" spans="2:37" ht="14.25">
      <c r="B2438" s="36"/>
      <c r="C2438" s="36"/>
      <c r="D2438" s="36"/>
      <c r="E2438" s="36"/>
      <c r="F2438" s="36"/>
      <c r="G2438" s="36"/>
      <c r="H2438" s="36"/>
      <c r="J2438" s="36"/>
      <c r="L2438" s="1" t="str">
        <f>IF(AND(MIN(I:I)&lt;20,MAX(I:I)&gt;980,I2438&lt;20),I2438,"")</f>
        <v/>
      </c>
      <c r="M2438" s="94"/>
      <c r="N2438" s="36"/>
      <c r="O2438" s="95"/>
      <c r="P2438" s="36"/>
      <c r="AI2438" s="122">
        <v>2126</v>
      </c>
      <c r="AJ2438" s="1" t="s">
        <v>1141</v>
      </c>
      <c r="AK2438" s="1" t="s">
        <v>1141</v>
      </c>
    </row>
    <row r="2439" spans="2:37" ht="14.25">
      <c r="B2439" s="36"/>
      <c r="C2439" s="36"/>
      <c r="D2439" s="36"/>
      <c r="E2439" s="36"/>
      <c r="F2439" s="36"/>
      <c r="G2439" s="36"/>
      <c r="H2439" s="36"/>
      <c r="J2439" s="36"/>
      <c r="L2439" s="36"/>
      <c r="M2439" s="94"/>
      <c r="N2439" s="36"/>
      <c r="O2439" s="95"/>
      <c r="P2439" s="36"/>
      <c r="AI2439" s="122">
        <v>2127</v>
      </c>
      <c r="AJ2439" s="1" t="s">
        <v>1141</v>
      </c>
      <c r="AK2439" s="1" t="s">
        <v>1141</v>
      </c>
    </row>
    <row r="2440" spans="2:37" ht="14.25">
      <c r="B2440" s="36"/>
      <c r="C2440" s="36"/>
      <c r="D2440" s="36"/>
      <c r="E2440" s="36"/>
      <c r="F2440" s="36"/>
      <c r="G2440" s="36"/>
      <c r="H2440" s="36"/>
      <c r="J2440" s="36"/>
      <c r="L2440" s="36"/>
      <c r="M2440" s="94"/>
      <c r="N2440" s="36"/>
      <c r="O2440" s="95"/>
      <c r="P2440" s="36"/>
      <c r="AI2440" s="122">
        <v>2128</v>
      </c>
      <c r="AJ2440" s="1" t="s">
        <v>1141</v>
      </c>
      <c r="AK2440" s="1" t="s">
        <v>1141</v>
      </c>
    </row>
    <row r="2441" spans="2:37" ht="14.25">
      <c r="B2441" s="36"/>
      <c r="C2441" s="36"/>
      <c r="D2441" s="36"/>
      <c r="E2441" s="36"/>
      <c r="F2441" s="36"/>
      <c r="G2441" s="36"/>
      <c r="H2441" s="36"/>
      <c r="J2441" s="36"/>
      <c r="L2441" s="36"/>
      <c r="M2441" s="94"/>
      <c r="N2441" s="36"/>
      <c r="O2441" s="95"/>
      <c r="P2441" s="36"/>
      <c r="AI2441" s="122">
        <v>2129</v>
      </c>
      <c r="AJ2441" s="1" t="s">
        <v>1141</v>
      </c>
      <c r="AK2441" s="1" t="s">
        <v>1141</v>
      </c>
    </row>
    <row r="2442" spans="2:37" ht="14.25">
      <c r="B2442" s="36"/>
      <c r="C2442" s="36"/>
      <c r="D2442" s="36"/>
      <c r="E2442" s="36"/>
      <c r="F2442" s="36"/>
      <c r="G2442" s="36"/>
      <c r="H2442" s="36"/>
      <c r="J2442" s="36"/>
      <c r="L2442" s="36"/>
      <c r="M2442" s="94"/>
      <c r="N2442" s="36"/>
      <c r="O2442" s="95"/>
      <c r="P2442" s="36"/>
      <c r="AI2442" s="122">
        <v>2130</v>
      </c>
      <c r="AJ2442" s="1" t="s">
        <v>1141</v>
      </c>
      <c r="AK2442" s="1" t="s">
        <v>1141</v>
      </c>
    </row>
    <row r="2443" spans="2:37" ht="14.25">
      <c r="B2443" s="36"/>
      <c r="C2443" s="36"/>
      <c r="D2443" s="36"/>
      <c r="E2443" s="36"/>
      <c r="F2443" s="36"/>
      <c r="G2443" s="36"/>
      <c r="H2443" s="36"/>
      <c r="J2443" s="36"/>
      <c r="L2443" s="36"/>
      <c r="M2443" s="94"/>
      <c r="N2443" s="36"/>
      <c r="O2443" s="95"/>
      <c r="P2443" s="36"/>
      <c r="AI2443" s="122">
        <v>2131</v>
      </c>
      <c r="AJ2443" s="1" t="s">
        <v>1141</v>
      </c>
      <c r="AK2443" s="1" t="s">
        <v>1141</v>
      </c>
    </row>
    <row r="2444" spans="2:37" ht="14.25">
      <c r="B2444" s="36"/>
      <c r="C2444" s="36"/>
      <c r="D2444" s="36"/>
      <c r="E2444" s="36"/>
      <c r="F2444" s="36"/>
      <c r="G2444" s="36"/>
      <c r="H2444" s="36"/>
      <c r="J2444" s="36"/>
      <c r="L2444" s="36"/>
      <c r="M2444" s="94"/>
      <c r="N2444" s="36"/>
      <c r="O2444" s="95"/>
      <c r="P2444" s="36"/>
      <c r="AI2444" s="122">
        <v>2132</v>
      </c>
      <c r="AJ2444" s="1" t="s">
        <v>1141</v>
      </c>
      <c r="AK2444" s="1" t="s">
        <v>1141</v>
      </c>
    </row>
    <row r="2445" spans="2:37" ht="14.25">
      <c r="B2445" s="36"/>
      <c r="C2445" s="36"/>
      <c r="D2445" s="36"/>
      <c r="E2445" s="36"/>
      <c r="F2445" s="36"/>
      <c r="G2445" s="36"/>
      <c r="H2445" s="36"/>
      <c r="J2445" s="36"/>
      <c r="L2445" s="36"/>
      <c r="M2445" s="94"/>
      <c r="N2445" s="36"/>
      <c r="O2445" s="95"/>
      <c r="P2445" s="36"/>
      <c r="AI2445" s="122">
        <v>2133</v>
      </c>
      <c r="AJ2445" s="1" t="s">
        <v>1141</v>
      </c>
      <c r="AK2445" s="1" t="s">
        <v>1141</v>
      </c>
    </row>
    <row r="2446" spans="2:37" ht="14.25">
      <c r="B2446" s="36"/>
      <c r="C2446" s="36"/>
      <c r="D2446" s="36"/>
      <c r="E2446" s="36"/>
      <c r="F2446" s="36"/>
      <c r="G2446" s="36"/>
      <c r="H2446" s="36"/>
      <c r="J2446" s="36"/>
      <c r="L2446" s="36"/>
      <c r="M2446" s="94"/>
      <c r="N2446" s="36"/>
      <c r="O2446" s="95"/>
      <c r="P2446" s="36"/>
      <c r="AI2446" s="122">
        <v>2134</v>
      </c>
      <c r="AJ2446" s="1" t="s">
        <v>1141</v>
      </c>
      <c r="AK2446" s="1" t="s">
        <v>1141</v>
      </c>
    </row>
    <row r="2447" spans="2:37" ht="14.25">
      <c r="B2447" s="36"/>
      <c r="C2447" s="36"/>
      <c r="D2447" s="36"/>
      <c r="E2447" s="36"/>
      <c r="F2447" s="36"/>
      <c r="G2447" s="36"/>
      <c r="H2447" s="36"/>
      <c r="J2447" s="36"/>
      <c r="L2447" s="36"/>
      <c r="M2447" s="94"/>
      <c r="N2447" s="36"/>
      <c r="O2447" s="95"/>
      <c r="P2447" s="36"/>
      <c r="AI2447" s="122">
        <v>2135</v>
      </c>
      <c r="AJ2447" s="1" t="s">
        <v>1141</v>
      </c>
      <c r="AK2447" s="1" t="s">
        <v>1141</v>
      </c>
    </row>
    <row r="2448" spans="2:37" ht="14.25">
      <c r="B2448" s="36"/>
      <c r="C2448" s="36"/>
      <c r="D2448" s="36"/>
      <c r="E2448" s="36"/>
      <c r="F2448" s="36"/>
      <c r="G2448" s="36"/>
      <c r="H2448" s="36"/>
      <c r="J2448" s="36"/>
      <c r="L2448" s="36"/>
      <c r="M2448" s="94"/>
      <c r="N2448" s="36"/>
      <c r="O2448" s="95"/>
      <c r="P2448" s="36"/>
      <c r="AI2448" s="122">
        <v>2136</v>
      </c>
      <c r="AJ2448" s="1" t="s">
        <v>1141</v>
      </c>
      <c r="AK2448" s="1" t="s">
        <v>1141</v>
      </c>
    </row>
    <row r="2449" spans="2:37" ht="14.25">
      <c r="B2449" s="36"/>
      <c r="C2449" s="36"/>
      <c r="D2449" s="36"/>
      <c r="E2449" s="36"/>
      <c r="F2449" s="36"/>
      <c r="G2449" s="36"/>
      <c r="H2449" s="36"/>
      <c r="J2449" s="36"/>
      <c r="L2449" s="36"/>
      <c r="M2449" s="94"/>
      <c r="N2449" s="36"/>
      <c r="O2449" s="95"/>
      <c r="P2449" s="36"/>
      <c r="AI2449" s="122">
        <v>2137</v>
      </c>
      <c r="AJ2449" s="1" t="s">
        <v>1141</v>
      </c>
      <c r="AK2449" s="1" t="s">
        <v>1141</v>
      </c>
    </row>
    <row r="2450" spans="2:37" ht="14.25">
      <c r="B2450" s="36"/>
      <c r="C2450" s="36"/>
      <c r="D2450" s="36"/>
      <c r="E2450" s="36"/>
      <c r="F2450" s="36"/>
      <c r="G2450" s="36"/>
      <c r="H2450" s="36"/>
      <c r="J2450" s="36"/>
      <c r="L2450" s="36"/>
      <c r="M2450" s="94"/>
      <c r="N2450" s="36"/>
      <c r="O2450" s="95"/>
      <c r="P2450" s="36"/>
      <c r="AI2450" s="122">
        <v>2138</v>
      </c>
      <c r="AJ2450" s="1" t="s">
        <v>1141</v>
      </c>
      <c r="AK2450" s="1" t="s">
        <v>1141</v>
      </c>
    </row>
    <row r="2451" spans="2:37" ht="14.25">
      <c r="B2451" s="36"/>
      <c r="C2451" s="36"/>
      <c r="D2451" s="36"/>
      <c r="E2451" s="36"/>
      <c r="F2451" s="36"/>
      <c r="G2451" s="36"/>
      <c r="H2451" s="36"/>
      <c r="J2451" s="36"/>
      <c r="L2451" s="36"/>
      <c r="M2451" s="94"/>
      <c r="N2451" s="36"/>
      <c r="O2451" s="95"/>
      <c r="P2451" s="36"/>
      <c r="AI2451" s="122">
        <v>2139</v>
      </c>
      <c r="AJ2451" s="1" t="s">
        <v>1141</v>
      </c>
      <c r="AK2451" s="1" t="s">
        <v>1141</v>
      </c>
    </row>
    <row r="2452" spans="2:37" ht="14.25">
      <c r="B2452" s="36"/>
      <c r="C2452" s="36"/>
      <c r="D2452" s="36"/>
      <c r="E2452" s="36"/>
      <c r="F2452" s="36"/>
      <c r="G2452" s="36"/>
      <c r="H2452" s="36"/>
      <c r="J2452" s="36"/>
      <c r="L2452" s="36"/>
      <c r="M2452" s="94"/>
      <c r="N2452" s="36"/>
      <c r="O2452" s="95"/>
      <c r="P2452" s="36"/>
      <c r="AI2452" s="122">
        <v>2140</v>
      </c>
      <c r="AJ2452" s="1" t="s">
        <v>1141</v>
      </c>
      <c r="AK2452" s="1" t="s">
        <v>1141</v>
      </c>
    </row>
    <row r="2453" spans="2:37" ht="14.25">
      <c r="B2453" s="36"/>
      <c r="C2453" s="36"/>
      <c r="D2453" s="36"/>
      <c r="E2453" s="36"/>
      <c r="F2453" s="36"/>
      <c r="G2453" s="36"/>
      <c r="H2453" s="36"/>
      <c r="J2453" s="36"/>
      <c r="L2453" s="36"/>
      <c r="M2453" s="94"/>
      <c r="N2453" s="36"/>
      <c r="O2453" s="95"/>
      <c r="P2453" s="36"/>
      <c r="AI2453" s="122">
        <v>2141</v>
      </c>
      <c r="AJ2453" s="1" t="s">
        <v>1141</v>
      </c>
      <c r="AK2453" s="1" t="s">
        <v>1141</v>
      </c>
    </row>
    <row r="2454" spans="2:37" ht="14.25">
      <c r="B2454" s="36"/>
      <c r="C2454" s="36"/>
      <c r="D2454" s="36"/>
      <c r="E2454" s="36"/>
      <c r="F2454" s="36"/>
      <c r="G2454" s="36"/>
      <c r="H2454" s="36"/>
      <c r="J2454" s="36"/>
      <c r="L2454" s="36"/>
      <c r="M2454" s="94"/>
      <c r="N2454" s="36"/>
      <c r="O2454" s="95"/>
      <c r="P2454" s="36"/>
      <c r="AI2454" s="122">
        <v>2142</v>
      </c>
      <c r="AJ2454" s="1" t="s">
        <v>1141</v>
      </c>
      <c r="AK2454" s="1" t="s">
        <v>1141</v>
      </c>
    </row>
    <row r="2455" spans="2:37" ht="14.25">
      <c r="B2455" s="36"/>
      <c r="C2455" s="36"/>
      <c r="D2455" s="36"/>
      <c r="E2455" s="36"/>
      <c r="F2455" s="36"/>
      <c r="G2455" s="36"/>
      <c r="H2455" s="36"/>
      <c r="J2455" s="36"/>
      <c r="L2455" s="36"/>
      <c r="M2455" s="94"/>
      <c r="N2455" s="36"/>
      <c r="O2455" s="95"/>
      <c r="P2455" s="36"/>
      <c r="AI2455" s="122">
        <v>2143</v>
      </c>
      <c r="AJ2455" s="1" t="s">
        <v>1141</v>
      </c>
      <c r="AK2455" s="1" t="s">
        <v>1141</v>
      </c>
    </row>
    <row r="2456" spans="2:37" ht="14.25">
      <c r="B2456" s="36"/>
      <c r="C2456" s="36"/>
      <c r="D2456" s="36"/>
      <c r="E2456" s="36"/>
      <c r="F2456" s="36"/>
      <c r="G2456" s="36"/>
      <c r="H2456" s="36"/>
      <c r="J2456" s="36"/>
      <c r="L2456" s="36"/>
      <c r="M2456" s="94"/>
      <c r="N2456" s="36"/>
      <c r="O2456" s="95"/>
      <c r="P2456" s="36"/>
      <c r="AI2456" s="122">
        <v>2144</v>
      </c>
      <c r="AJ2456" s="1" t="s">
        <v>1141</v>
      </c>
      <c r="AK2456" s="1" t="s">
        <v>1141</v>
      </c>
    </row>
    <row r="2457" spans="2:37" ht="14.25">
      <c r="B2457" s="36"/>
      <c r="C2457" s="36"/>
      <c r="D2457" s="36"/>
      <c r="E2457" s="36"/>
      <c r="F2457" s="36"/>
      <c r="G2457" s="36"/>
      <c r="H2457" s="36"/>
      <c r="J2457" s="36"/>
      <c r="L2457" s="36"/>
      <c r="M2457" s="94"/>
      <c r="N2457" s="36"/>
      <c r="O2457" s="95"/>
      <c r="P2457" s="36"/>
      <c r="AI2457" s="122">
        <v>2145</v>
      </c>
      <c r="AJ2457" s="1" t="s">
        <v>1141</v>
      </c>
      <c r="AK2457" s="1" t="s">
        <v>1141</v>
      </c>
    </row>
    <row r="2458" spans="2:37" ht="14.25">
      <c r="B2458" s="36"/>
      <c r="C2458" s="36"/>
      <c r="D2458" s="36"/>
      <c r="E2458" s="36"/>
      <c r="F2458" s="36"/>
      <c r="G2458" s="36"/>
      <c r="H2458" s="36"/>
      <c r="J2458" s="36"/>
      <c r="L2458" s="36"/>
      <c r="M2458" s="94"/>
      <c r="N2458" s="36"/>
      <c r="O2458" s="95"/>
      <c r="P2458" s="36"/>
      <c r="AI2458" s="122">
        <v>2146</v>
      </c>
      <c r="AJ2458" s="1" t="s">
        <v>1141</v>
      </c>
      <c r="AK2458" s="1" t="s">
        <v>1141</v>
      </c>
    </row>
    <row r="2459" spans="2:37" ht="14.25">
      <c r="B2459" s="36"/>
      <c r="C2459" s="36"/>
      <c r="D2459" s="36"/>
      <c r="E2459" s="36"/>
      <c r="F2459" s="36"/>
      <c r="G2459" s="36"/>
      <c r="H2459" s="36"/>
      <c r="J2459" s="36"/>
      <c r="L2459" s="36"/>
      <c r="M2459" s="94"/>
      <c r="N2459" s="36"/>
      <c r="O2459" s="95"/>
      <c r="P2459" s="36"/>
      <c r="AI2459" s="122">
        <v>2147</v>
      </c>
      <c r="AJ2459" s="1" t="s">
        <v>1141</v>
      </c>
      <c r="AK2459" s="1" t="s">
        <v>1141</v>
      </c>
    </row>
    <row r="2460" spans="2:37" ht="14.25">
      <c r="B2460" s="36"/>
      <c r="C2460" s="36"/>
      <c r="D2460" s="36"/>
      <c r="E2460" s="36"/>
      <c r="F2460" s="36"/>
      <c r="G2460" s="36"/>
      <c r="H2460" s="36"/>
      <c r="J2460" s="36"/>
      <c r="L2460" s="36"/>
      <c r="M2460" s="94"/>
      <c r="N2460" s="36"/>
      <c r="O2460" s="95"/>
      <c r="P2460" s="36"/>
      <c r="AI2460" s="122">
        <v>2148</v>
      </c>
      <c r="AJ2460" s="1" t="s">
        <v>1141</v>
      </c>
      <c r="AK2460" s="1" t="s">
        <v>1141</v>
      </c>
    </row>
    <row r="2461" spans="2:37" ht="14.25">
      <c r="B2461" s="36"/>
      <c r="C2461" s="36"/>
      <c r="D2461" s="36"/>
      <c r="E2461" s="36"/>
      <c r="F2461" s="36"/>
      <c r="G2461" s="36"/>
      <c r="H2461" s="36"/>
      <c r="J2461" s="36"/>
      <c r="L2461" s="36"/>
      <c r="M2461" s="94"/>
      <c r="N2461" s="36"/>
      <c r="O2461" s="95"/>
      <c r="P2461" s="36"/>
      <c r="AI2461" s="122">
        <v>2149</v>
      </c>
      <c r="AJ2461" s="1" t="s">
        <v>1141</v>
      </c>
      <c r="AK2461" s="1" t="s">
        <v>1141</v>
      </c>
    </row>
    <row r="2462" spans="2:37" ht="14.25">
      <c r="B2462" s="36"/>
      <c r="C2462" s="36"/>
      <c r="D2462" s="36"/>
      <c r="E2462" s="36"/>
      <c r="F2462" s="36"/>
      <c r="G2462" s="36"/>
      <c r="H2462" s="36"/>
      <c r="J2462" s="36"/>
      <c r="L2462" s="36"/>
      <c r="M2462" s="94"/>
      <c r="N2462" s="36"/>
      <c r="O2462" s="95"/>
      <c r="P2462" s="36"/>
      <c r="AI2462" s="122">
        <v>2150</v>
      </c>
      <c r="AJ2462" s="1" t="s">
        <v>1141</v>
      </c>
      <c r="AK2462" s="1" t="s">
        <v>1141</v>
      </c>
    </row>
    <row r="2463" spans="2:37" ht="14.25">
      <c r="B2463" s="36"/>
      <c r="C2463" s="36"/>
      <c r="D2463" s="36"/>
      <c r="E2463" s="36"/>
      <c r="F2463" s="36"/>
      <c r="G2463" s="36"/>
      <c r="H2463" s="36"/>
      <c r="J2463" s="36"/>
      <c r="L2463" s="36"/>
      <c r="M2463" s="94"/>
      <c r="N2463" s="36"/>
      <c r="O2463" s="95"/>
      <c r="P2463" s="36"/>
      <c r="AI2463" s="122">
        <v>2151</v>
      </c>
      <c r="AJ2463" s="1" t="s">
        <v>1141</v>
      </c>
      <c r="AK2463" s="1" t="s">
        <v>1141</v>
      </c>
    </row>
    <row r="2464" spans="2:37" ht="14.25">
      <c r="B2464" s="36"/>
      <c r="C2464" s="36"/>
      <c r="D2464" s="36"/>
      <c r="E2464" s="36"/>
      <c r="F2464" s="36"/>
      <c r="G2464" s="36"/>
      <c r="H2464" s="36"/>
      <c r="J2464" s="36"/>
      <c r="L2464" s="36"/>
      <c r="M2464" s="94"/>
      <c r="N2464" s="36"/>
      <c r="O2464" s="95"/>
      <c r="P2464" s="36"/>
      <c r="AI2464" s="122">
        <v>2152</v>
      </c>
      <c r="AJ2464" s="1" t="s">
        <v>1141</v>
      </c>
      <c r="AK2464" s="1" t="s">
        <v>1141</v>
      </c>
    </row>
    <row r="2465" spans="2:37" ht="14.25">
      <c r="B2465" s="36"/>
      <c r="C2465" s="36"/>
      <c r="D2465" s="36"/>
      <c r="E2465" s="36"/>
      <c r="F2465" s="36"/>
      <c r="G2465" s="36"/>
      <c r="H2465" s="36"/>
      <c r="J2465" s="36"/>
      <c r="L2465" s="36"/>
      <c r="M2465" s="94"/>
      <c r="N2465" s="36"/>
      <c r="O2465" s="95"/>
      <c r="P2465" s="36"/>
      <c r="AI2465" s="122">
        <v>2153</v>
      </c>
      <c r="AJ2465" s="1" t="s">
        <v>1141</v>
      </c>
      <c r="AK2465" s="1" t="s">
        <v>1141</v>
      </c>
    </row>
    <row r="2466" spans="2:37" ht="14.25">
      <c r="B2466" s="36"/>
      <c r="C2466" s="36"/>
      <c r="D2466" s="36"/>
      <c r="E2466" s="36"/>
      <c r="F2466" s="36"/>
      <c r="G2466" s="36"/>
      <c r="H2466" s="36"/>
      <c r="J2466" s="36"/>
      <c r="L2466" s="36"/>
      <c r="M2466" s="94"/>
      <c r="N2466" s="36"/>
      <c r="O2466" s="95"/>
      <c r="P2466" s="36"/>
      <c r="AI2466" s="122">
        <v>2154</v>
      </c>
      <c r="AJ2466" s="1" t="s">
        <v>1141</v>
      </c>
      <c r="AK2466" s="1" t="s">
        <v>1141</v>
      </c>
    </row>
    <row r="2467" spans="2:37" ht="14.25">
      <c r="B2467" s="36"/>
      <c r="C2467" s="36"/>
      <c r="D2467" s="36"/>
      <c r="E2467" s="36"/>
      <c r="F2467" s="36"/>
      <c r="G2467" s="36"/>
      <c r="H2467" s="36"/>
      <c r="J2467" s="36"/>
      <c r="L2467" s="36"/>
      <c r="M2467" s="94"/>
      <c r="N2467" s="36"/>
      <c r="O2467" s="95"/>
      <c r="P2467" s="36"/>
      <c r="AI2467" s="122">
        <v>2155</v>
      </c>
      <c r="AJ2467" s="1" t="s">
        <v>1141</v>
      </c>
      <c r="AK2467" s="1" t="s">
        <v>1141</v>
      </c>
    </row>
    <row r="2468" spans="2:37" ht="14.25">
      <c r="B2468" s="36"/>
      <c r="C2468" s="36"/>
      <c r="D2468" s="36"/>
      <c r="E2468" s="36"/>
      <c r="F2468" s="36"/>
      <c r="G2468" s="36"/>
      <c r="H2468" s="36"/>
      <c r="J2468" s="36"/>
      <c r="L2468" s="36"/>
      <c r="M2468" s="94"/>
      <c r="N2468" s="36"/>
      <c r="O2468" s="95"/>
      <c r="P2468" s="36"/>
      <c r="AI2468" s="122">
        <v>2156</v>
      </c>
      <c r="AJ2468" s="1" t="s">
        <v>1141</v>
      </c>
      <c r="AK2468" s="1" t="s">
        <v>1141</v>
      </c>
    </row>
    <row r="2469" spans="2:37" ht="14.25">
      <c r="B2469" s="36"/>
      <c r="C2469" s="36"/>
      <c r="D2469" s="36"/>
      <c r="E2469" s="36"/>
      <c r="F2469" s="36"/>
      <c r="G2469" s="36"/>
      <c r="H2469" s="36"/>
      <c r="J2469" s="36"/>
      <c r="L2469" s="36"/>
      <c r="M2469" s="94"/>
      <c r="N2469" s="36"/>
      <c r="O2469" s="95"/>
      <c r="P2469" s="36"/>
      <c r="AI2469" s="122">
        <v>2157</v>
      </c>
      <c r="AJ2469" s="1" t="s">
        <v>1141</v>
      </c>
      <c r="AK2469" s="1" t="s">
        <v>1141</v>
      </c>
    </row>
    <row r="2470" spans="2:37" ht="14.25">
      <c r="B2470" s="36"/>
      <c r="C2470" s="36"/>
      <c r="D2470" s="36"/>
      <c r="E2470" s="36"/>
      <c r="F2470" s="36"/>
      <c r="G2470" s="36"/>
      <c r="H2470" s="36"/>
      <c r="J2470" s="36"/>
      <c r="L2470" s="36"/>
      <c r="M2470" s="94"/>
      <c r="N2470" s="36"/>
      <c r="O2470" s="95"/>
      <c r="P2470" s="36"/>
      <c r="AI2470" s="122">
        <v>2158</v>
      </c>
      <c r="AJ2470" s="1" t="s">
        <v>1141</v>
      </c>
      <c r="AK2470" s="1" t="s">
        <v>1141</v>
      </c>
    </row>
    <row r="2471" spans="2:37" ht="14.25">
      <c r="B2471" s="36"/>
      <c r="C2471" s="36"/>
      <c r="D2471" s="36"/>
      <c r="E2471" s="36"/>
      <c r="F2471" s="36"/>
      <c r="G2471" s="36"/>
      <c r="H2471" s="36"/>
      <c r="J2471" s="36"/>
      <c r="L2471" s="36"/>
      <c r="M2471" s="94"/>
      <c r="N2471" s="36"/>
      <c r="O2471" s="95"/>
      <c r="P2471" s="36"/>
      <c r="AI2471" s="122">
        <v>2159</v>
      </c>
      <c r="AJ2471" s="1" t="s">
        <v>1141</v>
      </c>
      <c r="AK2471" s="1" t="s">
        <v>1141</v>
      </c>
    </row>
    <row r="2472" spans="2:37" ht="14.25">
      <c r="B2472" s="36"/>
      <c r="C2472" s="36"/>
      <c r="D2472" s="36"/>
      <c r="E2472" s="36"/>
      <c r="F2472" s="36"/>
      <c r="G2472" s="36"/>
      <c r="H2472" s="36"/>
      <c r="J2472" s="36"/>
      <c r="L2472" s="36"/>
      <c r="M2472" s="94"/>
      <c r="N2472" s="36"/>
      <c r="O2472" s="95"/>
      <c r="P2472" s="36"/>
      <c r="AI2472" s="122">
        <v>2160</v>
      </c>
      <c r="AJ2472" s="1" t="s">
        <v>1141</v>
      </c>
      <c r="AK2472" s="1" t="s">
        <v>1141</v>
      </c>
    </row>
    <row r="2473" spans="2:37" ht="14.25">
      <c r="B2473" s="36"/>
      <c r="C2473" s="36"/>
      <c r="D2473" s="36"/>
      <c r="E2473" s="36"/>
      <c r="F2473" s="36"/>
      <c r="G2473" s="36"/>
      <c r="H2473" s="36"/>
      <c r="J2473" s="36"/>
      <c r="L2473" s="36"/>
      <c r="M2473" s="94"/>
      <c r="N2473" s="36"/>
      <c r="O2473" s="95"/>
      <c r="P2473" s="36"/>
      <c r="AI2473" s="122">
        <v>2161</v>
      </c>
      <c r="AJ2473" s="1" t="s">
        <v>1141</v>
      </c>
      <c r="AK2473" s="1" t="s">
        <v>1141</v>
      </c>
    </row>
    <row r="2474" spans="2:37" ht="14.25">
      <c r="B2474" s="36"/>
      <c r="C2474" s="36"/>
      <c r="D2474" s="36"/>
      <c r="E2474" s="36"/>
      <c r="F2474" s="36"/>
      <c r="G2474" s="36"/>
      <c r="H2474" s="36"/>
      <c r="J2474" s="36"/>
      <c r="L2474" s="36"/>
      <c r="M2474" s="94"/>
      <c r="N2474" s="36"/>
      <c r="O2474" s="95"/>
      <c r="P2474" s="36"/>
      <c r="AI2474" s="122">
        <v>2162</v>
      </c>
      <c r="AJ2474" s="1" t="s">
        <v>1141</v>
      </c>
      <c r="AK2474" s="1" t="s">
        <v>1141</v>
      </c>
    </row>
    <row r="2475" spans="2:37" ht="14.25">
      <c r="B2475" s="36"/>
      <c r="C2475" s="36"/>
      <c r="D2475" s="36"/>
      <c r="E2475" s="36"/>
      <c r="F2475" s="36"/>
      <c r="G2475" s="36"/>
      <c r="H2475" s="36"/>
      <c r="J2475" s="36"/>
      <c r="L2475" s="36"/>
      <c r="M2475" s="94"/>
      <c r="N2475" s="36"/>
      <c r="O2475" s="95"/>
      <c r="P2475" s="36"/>
      <c r="AI2475" s="122">
        <v>2163</v>
      </c>
      <c r="AJ2475" s="1" t="s">
        <v>1141</v>
      </c>
      <c r="AK2475" s="1" t="s">
        <v>1141</v>
      </c>
    </row>
    <row r="2476" spans="2:37" ht="14.25">
      <c r="B2476" s="36"/>
      <c r="C2476" s="36"/>
      <c r="D2476" s="36"/>
      <c r="E2476" s="36"/>
      <c r="F2476" s="36"/>
      <c r="G2476" s="36"/>
      <c r="H2476" s="36"/>
      <c r="J2476" s="36"/>
      <c r="L2476" s="36"/>
      <c r="M2476" s="94"/>
      <c r="N2476" s="36"/>
      <c r="O2476" s="95"/>
      <c r="P2476" s="36"/>
      <c r="AI2476" s="122">
        <v>2164</v>
      </c>
      <c r="AJ2476" s="1" t="s">
        <v>1141</v>
      </c>
      <c r="AK2476" s="1" t="s">
        <v>1141</v>
      </c>
    </row>
    <row r="2477" spans="2:37" ht="14.25">
      <c r="B2477" s="36"/>
      <c r="C2477" s="36"/>
      <c r="D2477" s="36"/>
      <c r="E2477" s="36"/>
      <c r="F2477" s="36"/>
      <c r="G2477" s="36"/>
      <c r="H2477" s="36"/>
      <c r="J2477" s="36"/>
      <c r="L2477" s="36"/>
      <c r="M2477" s="94"/>
      <c r="N2477" s="36"/>
      <c r="O2477" s="95"/>
      <c r="P2477" s="36"/>
      <c r="AI2477" s="122">
        <v>2165</v>
      </c>
      <c r="AJ2477" s="1" t="s">
        <v>1141</v>
      </c>
      <c r="AK2477" s="1" t="s">
        <v>1141</v>
      </c>
    </row>
    <row r="2478" spans="2:37" ht="14.25">
      <c r="B2478" s="36"/>
      <c r="C2478" s="36"/>
      <c r="D2478" s="36"/>
      <c r="E2478" s="36"/>
      <c r="F2478" s="36"/>
      <c r="G2478" s="36"/>
      <c r="H2478" s="36"/>
      <c r="J2478" s="36"/>
      <c r="L2478" s="36"/>
      <c r="M2478" s="94"/>
      <c r="N2478" s="36"/>
      <c r="O2478" s="95"/>
      <c r="P2478" s="36"/>
      <c r="AI2478" s="122">
        <v>2166</v>
      </c>
      <c r="AJ2478" s="1" t="s">
        <v>1141</v>
      </c>
      <c r="AK2478" s="1" t="s">
        <v>1141</v>
      </c>
    </row>
    <row r="2479" spans="2:37" ht="14.25">
      <c r="B2479" s="36"/>
      <c r="C2479" s="36"/>
      <c r="D2479" s="36"/>
      <c r="E2479" s="36"/>
      <c r="F2479" s="36"/>
      <c r="G2479" s="36"/>
      <c r="H2479" s="36"/>
      <c r="J2479" s="36"/>
      <c r="L2479" s="36"/>
      <c r="M2479" s="94"/>
      <c r="N2479" s="36"/>
      <c r="O2479" s="95"/>
      <c r="P2479" s="36"/>
      <c r="AI2479" s="122">
        <v>2167</v>
      </c>
      <c r="AJ2479" s="1" t="s">
        <v>1141</v>
      </c>
      <c r="AK2479" s="1" t="s">
        <v>1141</v>
      </c>
    </row>
    <row r="2480" spans="2:37" ht="14.25">
      <c r="B2480" s="36"/>
      <c r="C2480" s="36"/>
      <c r="D2480" s="36"/>
      <c r="E2480" s="36"/>
      <c r="F2480" s="36"/>
      <c r="G2480" s="36"/>
      <c r="H2480" s="36"/>
      <c r="J2480" s="36"/>
      <c r="L2480" s="36"/>
      <c r="M2480" s="94"/>
      <c r="N2480" s="36"/>
      <c r="O2480" s="95"/>
      <c r="P2480" s="36"/>
      <c r="AI2480" s="122">
        <v>2168</v>
      </c>
      <c r="AJ2480" s="1" t="s">
        <v>1141</v>
      </c>
      <c r="AK2480" s="1" t="s">
        <v>1141</v>
      </c>
    </row>
    <row r="2481" spans="2:37" ht="14.25">
      <c r="B2481" s="36"/>
      <c r="C2481" s="36"/>
      <c r="D2481" s="36"/>
      <c r="E2481" s="36"/>
      <c r="F2481" s="36"/>
      <c r="G2481" s="36"/>
      <c r="H2481" s="36"/>
      <c r="J2481" s="36"/>
      <c r="L2481" s="36"/>
      <c r="M2481" s="94"/>
      <c r="N2481" s="36"/>
      <c r="O2481" s="95"/>
      <c r="P2481" s="36"/>
      <c r="AI2481" s="122">
        <v>2169</v>
      </c>
      <c r="AJ2481" s="1" t="s">
        <v>1141</v>
      </c>
      <c r="AK2481" s="1" t="s">
        <v>1141</v>
      </c>
    </row>
    <row r="2482" spans="2:37" ht="14.25">
      <c r="B2482" s="36"/>
      <c r="C2482" s="36"/>
      <c r="D2482" s="36"/>
      <c r="E2482" s="36"/>
      <c r="F2482" s="36"/>
      <c r="G2482" s="36"/>
      <c r="H2482" s="36"/>
      <c r="J2482" s="36"/>
      <c r="L2482" s="36"/>
      <c r="M2482" s="94"/>
      <c r="N2482" s="36"/>
      <c r="O2482" s="95"/>
      <c r="P2482" s="36"/>
      <c r="AI2482" s="122">
        <v>2170</v>
      </c>
      <c r="AJ2482" s="1" t="s">
        <v>1141</v>
      </c>
      <c r="AK2482" s="1" t="s">
        <v>1141</v>
      </c>
    </row>
    <row r="2483" spans="2:37" ht="14.25">
      <c r="B2483" s="36"/>
      <c r="C2483" s="36"/>
      <c r="D2483" s="36"/>
      <c r="E2483" s="36"/>
      <c r="F2483" s="36"/>
      <c r="G2483" s="36"/>
      <c r="H2483" s="36"/>
      <c r="J2483" s="36"/>
      <c r="L2483" s="36"/>
      <c r="M2483" s="94"/>
      <c r="N2483" s="36"/>
      <c r="O2483" s="95"/>
      <c r="P2483" s="36"/>
      <c r="AI2483" s="122">
        <v>2171</v>
      </c>
      <c r="AJ2483" s="1" t="s">
        <v>1141</v>
      </c>
      <c r="AK2483" s="1" t="s">
        <v>1141</v>
      </c>
    </row>
    <row r="2484" spans="2:37" ht="14.25">
      <c r="B2484" s="36"/>
      <c r="C2484" s="36"/>
      <c r="D2484" s="36"/>
      <c r="E2484" s="36"/>
      <c r="F2484" s="36"/>
      <c r="G2484" s="36"/>
      <c r="H2484" s="36"/>
      <c r="J2484" s="36"/>
      <c r="L2484" s="36"/>
      <c r="M2484" s="94"/>
      <c r="N2484" s="36"/>
      <c r="O2484" s="95"/>
      <c r="P2484" s="36"/>
      <c r="AI2484" s="122">
        <v>2172</v>
      </c>
      <c r="AJ2484" s="1" t="s">
        <v>1141</v>
      </c>
      <c r="AK2484" s="1" t="s">
        <v>1141</v>
      </c>
    </row>
    <row r="2485" spans="2:37" ht="14.25">
      <c r="B2485" s="36"/>
      <c r="C2485" s="36"/>
      <c r="D2485" s="36"/>
      <c r="E2485" s="36"/>
      <c r="F2485" s="36"/>
      <c r="G2485" s="36"/>
      <c r="H2485" s="36"/>
      <c r="J2485" s="36"/>
      <c r="L2485" s="36"/>
      <c r="M2485" s="94"/>
      <c r="N2485" s="36"/>
      <c r="O2485" s="95"/>
      <c r="P2485" s="36"/>
      <c r="AI2485" s="122">
        <v>2173</v>
      </c>
      <c r="AJ2485" s="1" t="s">
        <v>1141</v>
      </c>
      <c r="AK2485" s="1" t="s">
        <v>1141</v>
      </c>
    </row>
    <row r="2486" spans="2:37" ht="14.25">
      <c r="B2486" s="36"/>
      <c r="C2486" s="36"/>
      <c r="D2486" s="36"/>
      <c r="E2486" s="36"/>
      <c r="F2486" s="36"/>
      <c r="G2486" s="36"/>
      <c r="H2486" s="36"/>
      <c r="J2486" s="36"/>
      <c r="L2486" s="36"/>
      <c r="M2486" s="94"/>
      <c r="N2486" s="36"/>
      <c r="O2486" s="95"/>
      <c r="P2486" s="36"/>
      <c r="AI2486" s="122">
        <v>2174</v>
      </c>
      <c r="AJ2486" s="1" t="s">
        <v>1141</v>
      </c>
      <c r="AK2486" s="1" t="s">
        <v>1141</v>
      </c>
    </row>
    <row r="2487" spans="2:37" ht="14.25">
      <c r="B2487" s="36"/>
      <c r="C2487" s="36"/>
      <c r="D2487" s="36"/>
      <c r="E2487" s="36"/>
      <c r="F2487" s="36"/>
      <c r="G2487" s="36"/>
      <c r="H2487" s="36"/>
      <c r="J2487" s="36"/>
      <c r="L2487" s="36"/>
      <c r="M2487" s="94"/>
      <c r="N2487" s="36"/>
      <c r="O2487" s="95"/>
      <c r="P2487" s="36"/>
      <c r="AI2487" s="122">
        <v>2175</v>
      </c>
      <c r="AJ2487" s="1" t="s">
        <v>1141</v>
      </c>
      <c r="AK2487" s="1" t="s">
        <v>1141</v>
      </c>
    </row>
    <row r="2488" spans="2:37" ht="14.25">
      <c r="B2488" s="36"/>
      <c r="C2488" s="36"/>
      <c r="D2488" s="36"/>
      <c r="E2488" s="36"/>
      <c r="F2488" s="36"/>
      <c r="G2488" s="36"/>
      <c r="H2488" s="36"/>
      <c r="J2488" s="36"/>
      <c r="L2488" s="36"/>
      <c r="M2488" s="94"/>
      <c r="N2488" s="36"/>
      <c r="O2488" s="95"/>
      <c r="P2488" s="36"/>
      <c r="AI2488" s="122">
        <v>2176</v>
      </c>
      <c r="AJ2488" s="1" t="s">
        <v>1141</v>
      </c>
      <c r="AK2488" s="1" t="s">
        <v>1141</v>
      </c>
    </row>
    <row r="2489" spans="2:37" ht="14.25">
      <c r="B2489" s="36"/>
      <c r="C2489" s="36"/>
      <c r="D2489" s="36"/>
      <c r="E2489" s="36"/>
      <c r="F2489" s="36"/>
      <c r="G2489" s="36"/>
      <c r="H2489" s="36"/>
      <c r="J2489" s="36"/>
      <c r="L2489" s="36"/>
      <c r="M2489" s="94"/>
      <c r="N2489" s="36"/>
      <c r="O2489" s="95"/>
      <c r="P2489" s="36"/>
      <c r="AI2489" s="122">
        <v>2177</v>
      </c>
      <c r="AJ2489" s="1" t="s">
        <v>1141</v>
      </c>
      <c r="AK2489" s="1" t="s">
        <v>1141</v>
      </c>
    </row>
    <row r="2490" spans="2:37" ht="14.25">
      <c r="B2490" s="36"/>
      <c r="C2490" s="36"/>
      <c r="D2490" s="36"/>
      <c r="E2490" s="36"/>
      <c r="F2490" s="36"/>
      <c r="G2490" s="36"/>
      <c r="H2490" s="36"/>
      <c r="J2490" s="36"/>
      <c r="L2490" s="36"/>
      <c r="M2490" s="94"/>
      <c r="N2490" s="36"/>
      <c r="O2490" s="95"/>
      <c r="P2490" s="36"/>
      <c r="AI2490" s="122">
        <v>2178</v>
      </c>
      <c r="AJ2490" s="1" t="s">
        <v>1141</v>
      </c>
      <c r="AK2490" s="1" t="s">
        <v>1141</v>
      </c>
    </row>
    <row r="2491" spans="2:37" ht="14.25">
      <c r="B2491" s="36"/>
      <c r="C2491" s="36"/>
      <c r="D2491" s="36"/>
      <c r="E2491" s="36"/>
      <c r="F2491" s="36"/>
      <c r="G2491" s="36"/>
      <c r="H2491" s="36"/>
      <c r="J2491" s="36"/>
      <c r="L2491" s="36"/>
      <c r="M2491" s="94"/>
      <c r="N2491" s="36"/>
      <c r="O2491" s="95"/>
      <c r="P2491" s="36"/>
      <c r="AI2491" s="122">
        <v>2179</v>
      </c>
      <c r="AJ2491" s="1" t="s">
        <v>1141</v>
      </c>
      <c r="AK2491" s="1" t="s">
        <v>1141</v>
      </c>
    </row>
    <row r="2492" spans="2:37" ht="14.25">
      <c r="B2492" s="36"/>
      <c r="C2492" s="36"/>
      <c r="D2492" s="36"/>
      <c r="E2492" s="36"/>
      <c r="F2492" s="36"/>
      <c r="G2492" s="36"/>
      <c r="H2492" s="36"/>
      <c r="J2492" s="36"/>
      <c r="L2492" s="36"/>
      <c r="M2492" s="94"/>
      <c r="N2492" s="36"/>
      <c r="O2492" s="95"/>
      <c r="P2492" s="36"/>
      <c r="AI2492" s="122">
        <v>2180</v>
      </c>
      <c r="AJ2492" s="1" t="s">
        <v>1141</v>
      </c>
      <c r="AK2492" s="1" t="s">
        <v>1141</v>
      </c>
    </row>
    <row r="2493" spans="2:37" ht="14.25">
      <c r="B2493" s="36"/>
      <c r="C2493" s="36"/>
      <c r="D2493" s="36"/>
      <c r="E2493" s="36"/>
      <c r="F2493" s="36"/>
      <c r="G2493" s="36"/>
      <c r="H2493" s="36"/>
      <c r="J2493" s="36"/>
      <c r="L2493" s="36"/>
      <c r="M2493" s="94"/>
      <c r="N2493" s="36"/>
      <c r="O2493" s="95"/>
      <c r="P2493" s="36"/>
      <c r="AI2493" s="122">
        <v>2181</v>
      </c>
      <c r="AJ2493" s="1" t="s">
        <v>1141</v>
      </c>
      <c r="AK2493" s="1" t="s">
        <v>1141</v>
      </c>
    </row>
    <row r="2494" spans="2:37" ht="14.25">
      <c r="B2494" s="36"/>
      <c r="C2494" s="36"/>
      <c r="D2494" s="36"/>
      <c r="E2494" s="36"/>
      <c r="F2494" s="36"/>
      <c r="G2494" s="36"/>
      <c r="H2494" s="36"/>
      <c r="J2494" s="36"/>
      <c r="L2494" s="36"/>
      <c r="M2494" s="94"/>
      <c r="N2494" s="36"/>
      <c r="O2494" s="95"/>
      <c r="P2494" s="36"/>
      <c r="AI2494" s="122">
        <v>2182</v>
      </c>
      <c r="AJ2494" s="1" t="s">
        <v>1141</v>
      </c>
      <c r="AK2494" s="1" t="s">
        <v>1141</v>
      </c>
    </row>
    <row r="2495" spans="2:37" ht="14.25">
      <c r="B2495" s="36"/>
      <c r="C2495" s="36"/>
      <c r="D2495" s="36"/>
      <c r="E2495" s="36"/>
      <c r="F2495" s="36"/>
      <c r="G2495" s="36"/>
      <c r="H2495" s="36"/>
      <c r="J2495" s="36"/>
      <c r="L2495" s="36"/>
      <c r="M2495" s="94"/>
      <c r="N2495" s="36"/>
      <c r="O2495" s="95"/>
      <c r="P2495" s="36"/>
      <c r="AI2495" s="122">
        <v>2183</v>
      </c>
      <c r="AJ2495" s="1" t="s">
        <v>1141</v>
      </c>
      <c r="AK2495" s="1" t="s">
        <v>1141</v>
      </c>
    </row>
    <row r="2496" spans="2:37" ht="14.25">
      <c r="B2496" s="36"/>
      <c r="C2496" s="36"/>
      <c r="D2496" s="36"/>
      <c r="E2496" s="36"/>
      <c r="F2496" s="36"/>
      <c r="G2496" s="36"/>
      <c r="H2496" s="36"/>
      <c r="J2496" s="36"/>
      <c r="L2496" s="36"/>
      <c r="M2496" s="94"/>
      <c r="N2496" s="36"/>
      <c r="O2496" s="95"/>
      <c r="P2496" s="36"/>
      <c r="AI2496" s="122">
        <v>2184</v>
      </c>
      <c r="AJ2496" s="1" t="s">
        <v>1141</v>
      </c>
      <c r="AK2496" s="1" t="s">
        <v>1141</v>
      </c>
    </row>
    <row r="2497" spans="2:37" ht="14.25">
      <c r="B2497" s="36"/>
      <c r="C2497" s="36"/>
      <c r="D2497" s="36"/>
      <c r="E2497" s="36"/>
      <c r="F2497" s="36"/>
      <c r="G2497" s="36"/>
      <c r="H2497" s="36"/>
      <c r="J2497" s="36"/>
      <c r="L2497" s="36"/>
      <c r="M2497" s="94"/>
      <c r="N2497" s="36"/>
      <c r="O2497" s="95"/>
      <c r="P2497" s="36"/>
      <c r="AI2497" s="122">
        <v>2185</v>
      </c>
      <c r="AJ2497" s="1" t="s">
        <v>1141</v>
      </c>
      <c r="AK2497" s="1" t="s">
        <v>1141</v>
      </c>
    </row>
    <row r="2498" spans="2:37" ht="14.25">
      <c r="B2498" s="36"/>
      <c r="C2498" s="36"/>
      <c r="D2498" s="36"/>
      <c r="E2498" s="36"/>
      <c r="F2498" s="36"/>
      <c r="G2498" s="36"/>
      <c r="H2498" s="36"/>
      <c r="J2498" s="36"/>
      <c r="L2498" s="36"/>
      <c r="M2498" s="94"/>
      <c r="N2498" s="36"/>
      <c r="O2498" s="95"/>
      <c r="P2498" s="36"/>
      <c r="AI2498" s="122">
        <v>2186</v>
      </c>
      <c r="AJ2498" s="1" t="s">
        <v>1141</v>
      </c>
      <c r="AK2498" s="1" t="s">
        <v>1141</v>
      </c>
    </row>
    <row r="2499" spans="2:37" ht="14.25">
      <c r="B2499" s="36"/>
      <c r="C2499" s="36"/>
      <c r="D2499" s="36"/>
      <c r="E2499" s="36"/>
      <c r="F2499" s="36"/>
      <c r="G2499" s="36"/>
      <c r="H2499" s="36"/>
      <c r="J2499" s="36"/>
      <c r="L2499" s="36"/>
      <c r="M2499" s="94"/>
      <c r="N2499" s="36"/>
      <c r="O2499" s="95"/>
      <c r="P2499" s="36"/>
      <c r="AI2499" s="122">
        <v>2187</v>
      </c>
      <c r="AJ2499" s="1" t="s">
        <v>1141</v>
      </c>
      <c r="AK2499" s="1" t="s">
        <v>1141</v>
      </c>
    </row>
    <row r="2500" spans="2:37" ht="14.25">
      <c r="B2500" s="36"/>
      <c r="C2500" s="36"/>
      <c r="D2500" s="36"/>
      <c r="E2500" s="36"/>
      <c r="F2500" s="36"/>
      <c r="G2500" s="36"/>
      <c r="H2500" s="36"/>
      <c r="J2500" s="36"/>
      <c r="L2500" s="36"/>
      <c r="M2500" s="94"/>
      <c r="N2500" s="36"/>
      <c r="O2500" s="95"/>
      <c r="P2500" s="36"/>
      <c r="AI2500" s="122">
        <v>2188</v>
      </c>
      <c r="AJ2500" s="1" t="s">
        <v>1141</v>
      </c>
      <c r="AK2500" s="1" t="s">
        <v>1141</v>
      </c>
    </row>
    <row r="2501" spans="2:37" ht="14.25">
      <c r="B2501" s="36"/>
      <c r="C2501" s="36"/>
      <c r="D2501" s="36"/>
      <c r="E2501" s="36"/>
      <c r="F2501" s="36"/>
      <c r="G2501" s="36"/>
      <c r="H2501" s="36"/>
      <c r="J2501" s="36"/>
      <c r="L2501" s="36"/>
      <c r="M2501" s="94"/>
      <c r="N2501" s="36"/>
      <c r="O2501" s="95"/>
      <c r="P2501" s="36"/>
      <c r="AI2501" s="122">
        <v>2189</v>
      </c>
      <c r="AJ2501" s="1" t="s">
        <v>1141</v>
      </c>
      <c r="AK2501" s="1" t="s">
        <v>1141</v>
      </c>
    </row>
    <row r="2502" spans="2:37" ht="14.25">
      <c r="B2502" s="36"/>
      <c r="C2502" s="36"/>
      <c r="D2502" s="36"/>
      <c r="E2502" s="36"/>
      <c r="F2502" s="36"/>
      <c r="G2502" s="36"/>
      <c r="H2502" s="36"/>
      <c r="J2502" s="36"/>
      <c r="L2502" s="36"/>
      <c r="M2502" s="94"/>
      <c r="N2502" s="36"/>
      <c r="O2502" s="95"/>
      <c r="P2502" s="36"/>
      <c r="AI2502" s="122">
        <v>2190</v>
      </c>
      <c r="AJ2502" s="1" t="s">
        <v>1141</v>
      </c>
      <c r="AK2502" s="1" t="s">
        <v>1141</v>
      </c>
    </row>
    <row r="2503" spans="2:37" ht="14.25">
      <c r="B2503" s="36"/>
      <c r="C2503" s="36"/>
      <c r="D2503" s="36"/>
      <c r="E2503" s="36"/>
      <c r="F2503" s="36"/>
      <c r="G2503" s="36"/>
      <c r="H2503" s="36"/>
      <c r="J2503" s="36"/>
      <c r="L2503" s="36"/>
      <c r="M2503" s="94"/>
      <c r="N2503" s="36"/>
      <c r="O2503" s="95"/>
      <c r="P2503" s="36"/>
      <c r="AI2503" s="122">
        <v>2191</v>
      </c>
      <c r="AJ2503" s="1" t="s">
        <v>1141</v>
      </c>
      <c r="AK2503" s="1" t="s">
        <v>1141</v>
      </c>
    </row>
    <row r="2504" spans="2:37" ht="14.25">
      <c r="B2504" s="36"/>
      <c r="C2504" s="36"/>
      <c r="D2504" s="36"/>
      <c r="E2504" s="36"/>
      <c r="F2504" s="36"/>
      <c r="G2504" s="36"/>
      <c r="H2504" s="36"/>
      <c r="J2504" s="36"/>
      <c r="L2504" s="36"/>
      <c r="M2504" s="94"/>
      <c r="N2504" s="36"/>
      <c r="O2504" s="95"/>
      <c r="P2504" s="36"/>
      <c r="AI2504" s="122">
        <v>2192</v>
      </c>
      <c r="AJ2504" s="1" t="s">
        <v>1141</v>
      </c>
      <c r="AK2504" s="1" t="s">
        <v>1141</v>
      </c>
    </row>
    <row r="2505" spans="2:37" ht="14.25">
      <c r="B2505" s="36"/>
      <c r="C2505" s="36"/>
      <c r="D2505" s="36"/>
      <c r="E2505" s="36"/>
      <c r="F2505" s="36"/>
      <c r="G2505" s="36"/>
      <c r="H2505" s="36"/>
      <c r="J2505" s="36"/>
      <c r="L2505" s="36"/>
      <c r="M2505" s="94"/>
      <c r="N2505" s="36"/>
      <c r="O2505" s="95"/>
      <c r="P2505" s="36"/>
      <c r="AI2505" s="122">
        <v>2193</v>
      </c>
      <c r="AJ2505" s="1" t="s">
        <v>1141</v>
      </c>
      <c r="AK2505" s="1" t="s">
        <v>1141</v>
      </c>
    </row>
    <row r="2506" spans="2:37" ht="14.25">
      <c r="B2506" s="36"/>
      <c r="C2506" s="36"/>
      <c r="D2506" s="36"/>
      <c r="E2506" s="36"/>
      <c r="F2506" s="36"/>
      <c r="G2506" s="36"/>
      <c r="H2506" s="36"/>
      <c r="J2506" s="36"/>
      <c r="L2506" s="36"/>
      <c r="M2506" s="94"/>
      <c r="N2506" s="36"/>
      <c r="O2506" s="95"/>
      <c r="P2506" s="36"/>
      <c r="AI2506" s="122">
        <v>2194</v>
      </c>
      <c r="AJ2506" s="1" t="s">
        <v>1141</v>
      </c>
      <c r="AK2506" s="1" t="s">
        <v>1141</v>
      </c>
    </row>
    <row r="2507" spans="2:37" ht="14.25">
      <c r="B2507" s="36"/>
      <c r="C2507" s="36"/>
      <c r="D2507" s="36"/>
      <c r="E2507" s="36"/>
      <c r="F2507" s="36"/>
      <c r="G2507" s="36"/>
      <c r="H2507" s="36"/>
      <c r="J2507" s="36"/>
      <c r="L2507" s="36"/>
      <c r="M2507" s="94"/>
      <c r="N2507" s="36"/>
      <c r="O2507" s="95"/>
      <c r="P2507" s="36"/>
      <c r="AI2507" s="122">
        <v>2195</v>
      </c>
      <c r="AJ2507" s="1" t="s">
        <v>1141</v>
      </c>
      <c r="AK2507" s="1" t="s">
        <v>1141</v>
      </c>
    </row>
    <row r="2508" spans="2:37" ht="14.25">
      <c r="B2508" s="36"/>
      <c r="C2508" s="36"/>
      <c r="D2508" s="36"/>
      <c r="E2508" s="36"/>
      <c r="F2508" s="36"/>
      <c r="G2508" s="36"/>
      <c r="H2508" s="36"/>
      <c r="J2508" s="36"/>
      <c r="L2508" s="36"/>
      <c r="M2508" s="94"/>
      <c r="N2508" s="36"/>
      <c r="O2508" s="95"/>
      <c r="P2508" s="36"/>
      <c r="AI2508" s="122">
        <v>2196</v>
      </c>
      <c r="AJ2508" s="1" t="s">
        <v>1141</v>
      </c>
      <c r="AK2508" s="1" t="s">
        <v>1141</v>
      </c>
    </row>
    <row r="2509" spans="2:37" ht="14.25">
      <c r="B2509" s="36"/>
      <c r="C2509" s="36"/>
      <c r="D2509" s="36"/>
      <c r="E2509" s="36"/>
      <c r="F2509" s="36"/>
      <c r="G2509" s="36"/>
      <c r="H2509" s="36"/>
      <c r="J2509" s="36"/>
      <c r="L2509" s="36"/>
      <c r="M2509" s="94"/>
      <c r="N2509" s="36"/>
      <c r="O2509" s="95"/>
      <c r="P2509" s="36"/>
      <c r="AI2509" s="122">
        <v>2197</v>
      </c>
      <c r="AJ2509" s="1" t="s">
        <v>1141</v>
      </c>
      <c r="AK2509" s="1" t="s">
        <v>1141</v>
      </c>
    </row>
    <row r="2510" spans="2:37" ht="14.25">
      <c r="B2510" s="36"/>
      <c r="C2510" s="36"/>
      <c r="D2510" s="36"/>
      <c r="E2510" s="36"/>
      <c r="F2510" s="36"/>
      <c r="G2510" s="36"/>
      <c r="H2510" s="36"/>
      <c r="J2510" s="36"/>
      <c r="L2510" s="36"/>
      <c r="M2510" s="94"/>
      <c r="N2510" s="36"/>
      <c r="O2510" s="95"/>
      <c r="P2510" s="36"/>
      <c r="AI2510" s="122">
        <v>2198</v>
      </c>
      <c r="AJ2510" s="1" t="s">
        <v>1141</v>
      </c>
      <c r="AK2510" s="1" t="s">
        <v>1141</v>
      </c>
    </row>
    <row r="2511" spans="2:37" ht="14.25">
      <c r="B2511" s="36"/>
      <c r="C2511" s="36"/>
      <c r="D2511" s="36"/>
      <c r="E2511" s="36"/>
      <c r="F2511" s="36"/>
      <c r="G2511" s="36"/>
      <c r="H2511" s="36"/>
      <c r="J2511" s="36"/>
      <c r="L2511" s="36"/>
      <c r="M2511" s="94"/>
      <c r="N2511" s="36"/>
      <c r="O2511" s="95"/>
      <c r="P2511" s="36"/>
      <c r="AI2511" s="122">
        <v>2199</v>
      </c>
      <c r="AJ2511" s="1" t="s">
        <v>1141</v>
      </c>
      <c r="AK2511" s="1" t="s">
        <v>1141</v>
      </c>
    </row>
    <row r="2512" spans="2:37" ht="14.25">
      <c r="B2512" s="36"/>
      <c r="C2512" s="36"/>
      <c r="D2512" s="36"/>
      <c r="E2512" s="36"/>
      <c r="F2512" s="36"/>
      <c r="G2512" s="36"/>
      <c r="H2512" s="36"/>
      <c r="J2512" s="36"/>
      <c r="L2512" s="36"/>
      <c r="M2512" s="94"/>
      <c r="N2512" s="36"/>
      <c r="O2512" s="95"/>
      <c r="P2512" s="36"/>
      <c r="AI2512" s="122">
        <v>2200</v>
      </c>
      <c r="AJ2512" s="1" t="s">
        <v>1141</v>
      </c>
      <c r="AK2512" s="1" t="s">
        <v>1141</v>
      </c>
    </row>
    <row r="2513" spans="2:37" ht="14.25">
      <c r="B2513" s="36"/>
      <c r="C2513" s="36"/>
      <c r="D2513" s="36"/>
      <c r="E2513" s="36"/>
      <c r="F2513" s="36"/>
      <c r="G2513" s="36"/>
      <c r="H2513" s="36"/>
      <c r="J2513" s="36"/>
      <c r="L2513" s="36"/>
      <c r="M2513" s="94"/>
      <c r="N2513" s="36"/>
      <c r="O2513" s="95"/>
      <c r="P2513" s="36"/>
      <c r="AI2513" s="122">
        <v>2201</v>
      </c>
      <c r="AJ2513" s="1" t="s">
        <v>1141</v>
      </c>
      <c r="AK2513" s="1" t="s">
        <v>1141</v>
      </c>
    </row>
    <row r="2514" spans="2:37" ht="14.25">
      <c r="B2514" s="36"/>
      <c r="C2514" s="36"/>
      <c r="D2514" s="36"/>
      <c r="E2514" s="36"/>
      <c r="F2514" s="36"/>
      <c r="G2514" s="36"/>
      <c r="H2514" s="36"/>
      <c r="J2514" s="36"/>
      <c r="L2514" s="36"/>
      <c r="M2514" s="94"/>
      <c r="N2514" s="36"/>
      <c r="O2514" s="95"/>
      <c r="P2514" s="36"/>
      <c r="AI2514" s="122">
        <v>2202</v>
      </c>
      <c r="AJ2514" s="1" t="s">
        <v>1141</v>
      </c>
      <c r="AK2514" s="1" t="s">
        <v>1141</v>
      </c>
    </row>
    <row r="2515" spans="2:37" ht="14.25">
      <c r="B2515" s="36"/>
      <c r="C2515" s="36"/>
      <c r="D2515" s="36"/>
      <c r="E2515" s="36"/>
      <c r="F2515" s="36"/>
      <c r="G2515" s="36"/>
      <c r="H2515" s="36"/>
      <c r="J2515" s="36"/>
      <c r="L2515" s="36"/>
      <c r="M2515" s="94"/>
      <c r="N2515" s="36"/>
      <c r="O2515" s="95"/>
      <c r="P2515" s="36"/>
      <c r="AI2515" s="122">
        <v>2203</v>
      </c>
      <c r="AJ2515" s="1" t="s">
        <v>1141</v>
      </c>
      <c r="AK2515" s="1" t="s">
        <v>1141</v>
      </c>
    </row>
    <row r="2516" spans="2:37" ht="14.25">
      <c r="B2516" s="36"/>
      <c r="C2516" s="36"/>
      <c r="D2516" s="36"/>
      <c r="E2516" s="36"/>
      <c r="F2516" s="36"/>
      <c r="G2516" s="36"/>
      <c r="H2516" s="36"/>
      <c r="J2516" s="36"/>
      <c r="L2516" s="36"/>
      <c r="M2516" s="94"/>
      <c r="N2516" s="36"/>
      <c r="O2516" s="95"/>
      <c r="P2516" s="36"/>
      <c r="AI2516" s="122">
        <v>2204</v>
      </c>
      <c r="AJ2516" s="1" t="s">
        <v>1141</v>
      </c>
      <c r="AK2516" s="1" t="s">
        <v>1141</v>
      </c>
    </row>
    <row r="2517" spans="2:37" ht="14.25">
      <c r="B2517" s="36"/>
      <c r="C2517" s="36"/>
      <c r="D2517" s="36"/>
      <c r="E2517" s="36"/>
      <c r="F2517" s="36"/>
      <c r="G2517" s="36"/>
      <c r="H2517" s="36"/>
      <c r="J2517" s="36"/>
      <c r="L2517" s="36"/>
      <c r="M2517" s="94"/>
      <c r="N2517" s="36"/>
      <c r="O2517" s="95"/>
      <c r="P2517" s="36"/>
      <c r="AI2517" s="122">
        <v>2205</v>
      </c>
      <c r="AJ2517" s="1" t="s">
        <v>1141</v>
      </c>
      <c r="AK2517" s="1" t="s">
        <v>1141</v>
      </c>
    </row>
    <row r="2518" spans="2:37" ht="14.25">
      <c r="B2518" s="36"/>
      <c r="C2518" s="36"/>
      <c r="D2518" s="36"/>
      <c r="E2518" s="36"/>
      <c r="F2518" s="36"/>
      <c r="G2518" s="36"/>
      <c r="H2518" s="36"/>
      <c r="J2518" s="36"/>
      <c r="L2518" s="36"/>
      <c r="M2518" s="94"/>
      <c r="N2518" s="36"/>
      <c r="O2518" s="95"/>
      <c r="P2518" s="36"/>
      <c r="AI2518" s="122">
        <v>2206</v>
      </c>
      <c r="AJ2518" s="1" t="s">
        <v>1141</v>
      </c>
      <c r="AK2518" s="1" t="s">
        <v>1141</v>
      </c>
    </row>
    <row r="2519" spans="2:37" ht="14.25">
      <c r="B2519" s="36"/>
      <c r="C2519" s="36"/>
      <c r="D2519" s="36"/>
      <c r="E2519" s="36"/>
      <c r="F2519" s="36"/>
      <c r="G2519" s="36"/>
      <c r="H2519" s="36"/>
      <c r="J2519" s="36"/>
      <c r="L2519" s="36"/>
      <c r="M2519" s="94"/>
      <c r="N2519" s="36"/>
      <c r="O2519" s="95"/>
      <c r="P2519" s="36"/>
      <c r="AI2519" s="122">
        <v>2207</v>
      </c>
      <c r="AJ2519" s="1" t="s">
        <v>1141</v>
      </c>
      <c r="AK2519" s="1" t="s">
        <v>1141</v>
      </c>
    </row>
    <row r="2520" spans="2:37" ht="14.25">
      <c r="B2520" s="36"/>
      <c r="C2520" s="36"/>
      <c r="D2520" s="36"/>
      <c r="E2520" s="36"/>
      <c r="F2520" s="36"/>
      <c r="G2520" s="36"/>
      <c r="H2520" s="36"/>
      <c r="J2520" s="36"/>
      <c r="L2520" s="36"/>
      <c r="M2520" s="94"/>
      <c r="N2520" s="36"/>
      <c r="O2520" s="95"/>
      <c r="P2520" s="36"/>
      <c r="AI2520" s="122">
        <v>2208</v>
      </c>
      <c r="AJ2520" s="1" t="s">
        <v>1141</v>
      </c>
      <c r="AK2520" s="1" t="s">
        <v>1141</v>
      </c>
    </row>
    <row r="2521" spans="2:37" ht="14.25">
      <c r="B2521" s="36"/>
      <c r="C2521" s="36"/>
      <c r="D2521" s="36"/>
      <c r="E2521" s="36"/>
      <c r="F2521" s="36"/>
      <c r="G2521" s="36"/>
      <c r="H2521" s="36"/>
      <c r="J2521" s="36"/>
      <c r="L2521" s="36"/>
      <c r="M2521" s="94"/>
      <c r="N2521" s="36"/>
      <c r="O2521" s="95"/>
      <c r="P2521" s="36"/>
      <c r="AI2521" s="122">
        <v>2209</v>
      </c>
      <c r="AJ2521" s="1" t="s">
        <v>1141</v>
      </c>
      <c r="AK2521" s="1" t="s">
        <v>1141</v>
      </c>
    </row>
    <row r="2522" spans="2:37" ht="14.25">
      <c r="B2522" s="36"/>
      <c r="C2522" s="36"/>
      <c r="D2522" s="36"/>
      <c r="E2522" s="36"/>
      <c r="F2522" s="36"/>
      <c r="G2522" s="36"/>
      <c r="H2522" s="36"/>
      <c r="J2522" s="36"/>
      <c r="L2522" s="36"/>
      <c r="M2522" s="94"/>
      <c r="N2522" s="36"/>
      <c r="O2522" s="95"/>
      <c r="P2522" s="36"/>
      <c r="AI2522" s="122">
        <v>2210</v>
      </c>
      <c r="AJ2522" s="1" t="s">
        <v>1141</v>
      </c>
      <c r="AK2522" s="1" t="s">
        <v>1141</v>
      </c>
    </row>
    <row r="2523" spans="2:37" ht="14.25">
      <c r="B2523" s="36"/>
      <c r="C2523" s="36"/>
      <c r="D2523" s="36"/>
      <c r="E2523" s="36"/>
      <c r="F2523" s="36"/>
      <c r="G2523" s="36"/>
      <c r="H2523" s="36"/>
      <c r="J2523" s="36"/>
      <c r="L2523" s="36"/>
      <c r="M2523" s="94"/>
      <c r="N2523" s="36"/>
      <c r="O2523" s="95"/>
      <c r="P2523" s="36"/>
      <c r="AI2523" s="122">
        <v>2211</v>
      </c>
      <c r="AJ2523" s="1" t="s">
        <v>1141</v>
      </c>
      <c r="AK2523" s="1" t="s">
        <v>1141</v>
      </c>
    </row>
    <row r="2524" spans="2:37" ht="14.25">
      <c r="B2524" s="36"/>
      <c r="C2524" s="36"/>
      <c r="D2524" s="36"/>
      <c r="E2524" s="36"/>
      <c r="F2524" s="36"/>
      <c r="G2524" s="36"/>
      <c r="H2524" s="36"/>
      <c r="J2524" s="36"/>
      <c r="L2524" s="36"/>
      <c r="M2524" s="94"/>
      <c r="N2524" s="36"/>
      <c r="O2524" s="95"/>
      <c r="P2524" s="36"/>
      <c r="AI2524" s="122">
        <v>2212</v>
      </c>
      <c r="AJ2524" s="1" t="s">
        <v>1141</v>
      </c>
      <c r="AK2524" s="1" t="s">
        <v>1141</v>
      </c>
    </row>
    <row r="2525" spans="2:37" ht="14.25">
      <c r="B2525" s="36"/>
      <c r="C2525" s="36"/>
      <c r="D2525" s="36"/>
      <c r="E2525" s="36"/>
      <c r="F2525" s="36"/>
      <c r="G2525" s="36"/>
      <c r="H2525" s="36"/>
      <c r="J2525" s="36"/>
      <c r="L2525" s="36"/>
      <c r="M2525" s="94"/>
      <c r="N2525" s="36"/>
      <c r="O2525" s="95"/>
      <c r="P2525" s="36"/>
      <c r="AI2525" s="122">
        <v>2213</v>
      </c>
      <c r="AJ2525" s="1" t="s">
        <v>1141</v>
      </c>
      <c r="AK2525" s="1" t="s">
        <v>1141</v>
      </c>
    </row>
    <row r="2526" spans="2:37" ht="14.25">
      <c r="B2526" s="36"/>
      <c r="C2526" s="36"/>
      <c r="D2526" s="36"/>
      <c r="E2526" s="36"/>
      <c r="F2526" s="36"/>
      <c r="G2526" s="36"/>
      <c r="H2526" s="36"/>
      <c r="J2526" s="36"/>
      <c r="L2526" s="36"/>
      <c r="M2526" s="94"/>
      <c r="N2526" s="36"/>
      <c r="O2526" s="95"/>
      <c r="P2526" s="36"/>
      <c r="AI2526" s="122">
        <v>2214</v>
      </c>
      <c r="AJ2526" s="1" t="s">
        <v>1141</v>
      </c>
      <c r="AK2526" s="1" t="s">
        <v>1141</v>
      </c>
    </row>
    <row r="2527" spans="2:37" ht="14.25">
      <c r="B2527" s="36"/>
      <c r="C2527" s="36"/>
      <c r="D2527" s="36"/>
      <c r="E2527" s="36"/>
      <c r="F2527" s="36"/>
      <c r="G2527" s="36"/>
      <c r="H2527" s="36"/>
      <c r="J2527" s="36"/>
      <c r="L2527" s="36"/>
      <c r="M2527" s="94"/>
      <c r="N2527" s="36"/>
      <c r="O2527" s="95"/>
      <c r="P2527" s="36"/>
      <c r="AI2527" s="122">
        <v>2215</v>
      </c>
      <c r="AJ2527" s="1" t="s">
        <v>1141</v>
      </c>
      <c r="AK2527" s="1" t="s">
        <v>1141</v>
      </c>
    </row>
    <row r="2528" spans="2:37" ht="14.25">
      <c r="B2528" s="36"/>
      <c r="C2528" s="36"/>
      <c r="D2528" s="36"/>
      <c r="E2528" s="36"/>
      <c r="F2528" s="36"/>
      <c r="G2528" s="36"/>
      <c r="H2528" s="36"/>
      <c r="J2528" s="36"/>
      <c r="L2528" s="36"/>
      <c r="M2528" s="94"/>
      <c r="N2528" s="36"/>
      <c r="O2528" s="95"/>
      <c r="P2528" s="36"/>
      <c r="AI2528" s="122">
        <v>2216</v>
      </c>
      <c r="AJ2528" s="1" t="s">
        <v>1141</v>
      </c>
      <c r="AK2528" s="1" t="s">
        <v>1141</v>
      </c>
    </row>
    <row r="2529" spans="2:37" ht="14.25">
      <c r="B2529" s="36"/>
      <c r="C2529" s="36"/>
      <c r="D2529" s="36"/>
      <c r="E2529" s="36"/>
      <c r="F2529" s="36"/>
      <c r="G2529" s="36"/>
      <c r="H2529" s="36"/>
      <c r="J2529" s="36"/>
      <c r="L2529" s="36"/>
      <c r="M2529" s="94"/>
      <c r="N2529" s="36"/>
      <c r="O2529" s="95"/>
      <c r="P2529" s="36"/>
      <c r="AI2529" s="122">
        <v>2217</v>
      </c>
      <c r="AJ2529" s="1" t="s">
        <v>1141</v>
      </c>
      <c r="AK2529" s="1" t="s">
        <v>1141</v>
      </c>
    </row>
    <row r="2530" spans="2:37" ht="14.25">
      <c r="B2530" s="36"/>
      <c r="C2530" s="36"/>
      <c r="D2530" s="36"/>
      <c r="E2530" s="36"/>
      <c r="F2530" s="36"/>
      <c r="G2530" s="36"/>
      <c r="H2530" s="36"/>
      <c r="J2530" s="36"/>
      <c r="L2530" s="36"/>
      <c r="M2530" s="94"/>
      <c r="N2530" s="36"/>
      <c r="O2530" s="95"/>
      <c r="P2530" s="36"/>
      <c r="AI2530" s="122">
        <v>2218</v>
      </c>
      <c r="AJ2530" s="1" t="s">
        <v>1141</v>
      </c>
      <c r="AK2530" s="1" t="s">
        <v>1141</v>
      </c>
    </row>
    <row r="2531" spans="2:37" ht="14.25">
      <c r="B2531" s="36"/>
      <c r="C2531" s="36"/>
      <c r="D2531" s="36"/>
      <c r="E2531" s="36"/>
      <c r="F2531" s="36"/>
      <c r="G2531" s="36"/>
      <c r="H2531" s="36"/>
      <c r="J2531" s="36"/>
      <c r="L2531" s="36"/>
      <c r="M2531" s="94"/>
      <c r="N2531" s="36"/>
      <c r="O2531" s="95"/>
      <c r="P2531" s="36"/>
      <c r="AI2531" s="122">
        <v>2219</v>
      </c>
      <c r="AJ2531" s="1" t="s">
        <v>1141</v>
      </c>
      <c r="AK2531" s="1" t="s">
        <v>1141</v>
      </c>
    </row>
    <row r="2532" spans="2:37" ht="14.25">
      <c r="B2532" s="36"/>
      <c r="C2532" s="36"/>
      <c r="D2532" s="36"/>
      <c r="E2532" s="36"/>
      <c r="F2532" s="36"/>
      <c r="G2532" s="36"/>
      <c r="H2532" s="36"/>
      <c r="J2532" s="36"/>
      <c r="L2532" s="36"/>
      <c r="M2532" s="94"/>
      <c r="N2532" s="36"/>
      <c r="O2532" s="95"/>
      <c r="P2532" s="36"/>
      <c r="AI2532" s="122">
        <v>2220</v>
      </c>
      <c r="AJ2532" s="1" t="s">
        <v>1141</v>
      </c>
      <c r="AK2532" s="1" t="s">
        <v>1141</v>
      </c>
    </row>
    <row r="2533" spans="2:37" ht="14.25">
      <c r="B2533" s="36"/>
      <c r="C2533" s="36"/>
      <c r="D2533" s="36"/>
      <c r="E2533" s="36"/>
      <c r="F2533" s="36"/>
      <c r="G2533" s="36"/>
      <c r="H2533" s="36"/>
      <c r="J2533" s="36"/>
      <c r="L2533" s="36"/>
      <c r="M2533" s="94"/>
      <c r="N2533" s="36"/>
      <c r="O2533" s="95"/>
      <c r="P2533" s="36"/>
      <c r="AI2533" s="122">
        <v>2221</v>
      </c>
      <c r="AJ2533" s="1" t="s">
        <v>1141</v>
      </c>
      <c r="AK2533" s="1" t="s">
        <v>1141</v>
      </c>
    </row>
    <row r="2534" spans="2:37" ht="14.25">
      <c r="B2534" s="36"/>
      <c r="C2534" s="36"/>
      <c r="D2534" s="36"/>
      <c r="E2534" s="36"/>
      <c r="F2534" s="36"/>
      <c r="G2534" s="36"/>
      <c r="H2534" s="36"/>
      <c r="J2534" s="36"/>
      <c r="L2534" s="36"/>
      <c r="M2534" s="94"/>
      <c r="N2534" s="36"/>
      <c r="O2534" s="95"/>
      <c r="P2534" s="36"/>
      <c r="AI2534" s="122">
        <v>2222</v>
      </c>
      <c r="AJ2534" s="1" t="s">
        <v>1141</v>
      </c>
      <c r="AK2534" s="1" t="s">
        <v>1141</v>
      </c>
    </row>
    <row r="2535" spans="2:37" ht="14.25">
      <c r="B2535" s="36"/>
      <c r="C2535" s="36"/>
      <c r="D2535" s="36"/>
      <c r="E2535" s="36"/>
      <c r="F2535" s="36"/>
      <c r="G2535" s="36"/>
      <c r="H2535" s="36"/>
      <c r="J2535" s="36"/>
      <c r="L2535" s="36"/>
      <c r="M2535" s="94"/>
      <c r="N2535" s="36"/>
      <c r="O2535" s="95"/>
      <c r="P2535" s="36"/>
      <c r="AI2535" s="122">
        <v>2223</v>
      </c>
      <c r="AJ2535" s="1" t="s">
        <v>1141</v>
      </c>
      <c r="AK2535" s="1" t="s">
        <v>1141</v>
      </c>
    </row>
    <row r="2536" spans="2:37" ht="14.25">
      <c r="B2536" s="36"/>
      <c r="C2536" s="36"/>
      <c r="D2536" s="36"/>
      <c r="E2536" s="36"/>
      <c r="F2536" s="36"/>
      <c r="G2536" s="36"/>
      <c r="H2536" s="36"/>
      <c r="J2536" s="36"/>
      <c r="L2536" s="36"/>
      <c r="M2536" s="94"/>
      <c r="N2536" s="36"/>
      <c r="O2536" s="95"/>
      <c r="P2536" s="36"/>
      <c r="AI2536" s="122">
        <v>2224</v>
      </c>
      <c r="AJ2536" s="1" t="s">
        <v>1141</v>
      </c>
      <c r="AK2536" s="1" t="s">
        <v>1141</v>
      </c>
    </row>
    <row r="2537" spans="2:37" ht="14.25">
      <c r="B2537" s="36"/>
      <c r="C2537" s="36"/>
      <c r="D2537" s="36"/>
      <c r="E2537" s="36"/>
      <c r="F2537" s="36"/>
      <c r="G2537" s="36"/>
      <c r="H2537" s="36"/>
      <c r="J2537" s="36"/>
      <c r="L2537" s="36"/>
      <c r="M2537" s="94"/>
      <c r="N2537" s="36"/>
      <c r="O2537" s="95"/>
      <c r="P2537" s="36"/>
      <c r="AI2537" s="122">
        <v>2225</v>
      </c>
      <c r="AJ2537" s="1" t="s">
        <v>1141</v>
      </c>
      <c r="AK2537" s="1" t="s">
        <v>1141</v>
      </c>
    </row>
    <row r="2538" spans="2:37" ht="14.25">
      <c r="B2538" s="36"/>
      <c r="C2538" s="36"/>
      <c r="D2538" s="36"/>
      <c r="E2538" s="36"/>
      <c r="F2538" s="36"/>
      <c r="G2538" s="36"/>
      <c r="H2538" s="36"/>
      <c r="J2538" s="36"/>
      <c r="L2538" s="36"/>
      <c r="M2538" s="94"/>
      <c r="N2538" s="36"/>
      <c r="O2538" s="95"/>
      <c r="P2538" s="36"/>
      <c r="AI2538" s="122">
        <v>2226</v>
      </c>
      <c r="AJ2538" s="1" t="s">
        <v>1141</v>
      </c>
      <c r="AK2538" s="1" t="s">
        <v>1141</v>
      </c>
    </row>
    <row r="2539" spans="2:37" ht="14.25">
      <c r="B2539" s="36"/>
      <c r="C2539" s="36"/>
      <c r="D2539" s="36"/>
      <c r="E2539" s="36"/>
      <c r="F2539" s="36"/>
      <c r="G2539" s="36"/>
      <c r="H2539" s="36"/>
      <c r="J2539" s="36"/>
      <c r="L2539" s="36"/>
      <c r="M2539" s="94"/>
      <c r="N2539" s="36"/>
      <c r="O2539" s="95"/>
      <c r="P2539" s="36"/>
      <c r="AI2539" s="122">
        <v>2227</v>
      </c>
      <c r="AJ2539" s="1" t="s">
        <v>1141</v>
      </c>
      <c r="AK2539" s="1" t="s">
        <v>1141</v>
      </c>
    </row>
    <row r="2540" spans="2:37" ht="14.25">
      <c r="B2540" s="36"/>
      <c r="C2540" s="36"/>
      <c r="D2540" s="36"/>
      <c r="E2540" s="36"/>
      <c r="F2540" s="36"/>
      <c r="G2540" s="36"/>
      <c r="H2540" s="36"/>
      <c r="J2540" s="36"/>
      <c r="L2540" s="36"/>
      <c r="M2540" s="94"/>
      <c r="N2540" s="36"/>
      <c r="O2540" s="95"/>
      <c r="P2540" s="36"/>
      <c r="AI2540" s="122">
        <v>2228</v>
      </c>
      <c r="AJ2540" s="1" t="s">
        <v>1141</v>
      </c>
      <c r="AK2540" s="1" t="s">
        <v>1141</v>
      </c>
    </row>
    <row r="2541" spans="2:37" ht="14.25">
      <c r="B2541" s="36"/>
      <c r="C2541" s="36"/>
      <c r="D2541" s="36"/>
      <c r="E2541" s="36"/>
      <c r="F2541" s="36"/>
      <c r="G2541" s="36"/>
      <c r="H2541" s="36"/>
      <c r="J2541" s="36"/>
      <c r="L2541" s="36"/>
      <c r="M2541" s="94"/>
      <c r="N2541" s="36"/>
      <c r="O2541" s="95"/>
      <c r="P2541" s="36"/>
      <c r="AI2541" s="122">
        <v>2229</v>
      </c>
      <c r="AJ2541" s="1" t="s">
        <v>1141</v>
      </c>
      <c r="AK2541" s="1" t="s">
        <v>1141</v>
      </c>
    </row>
    <row r="2542" spans="2:37" ht="14.25">
      <c r="B2542" s="36"/>
      <c r="C2542" s="36"/>
      <c r="D2542" s="36"/>
      <c r="E2542" s="36"/>
      <c r="F2542" s="36"/>
      <c r="G2542" s="36"/>
      <c r="H2542" s="36"/>
      <c r="J2542" s="36"/>
      <c r="L2542" s="36"/>
      <c r="M2542" s="94"/>
      <c r="N2542" s="36"/>
      <c r="O2542" s="95"/>
      <c r="P2542" s="36"/>
      <c r="AI2542" s="122">
        <v>2230</v>
      </c>
      <c r="AJ2542" s="1" t="s">
        <v>1141</v>
      </c>
      <c r="AK2542" s="1" t="s">
        <v>1141</v>
      </c>
    </row>
    <row r="2543" spans="2:37" ht="14.25">
      <c r="B2543" s="36"/>
      <c r="C2543" s="36"/>
      <c r="D2543" s="36"/>
      <c r="E2543" s="36"/>
      <c r="F2543" s="36"/>
      <c r="G2543" s="36"/>
      <c r="H2543" s="36"/>
      <c r="J2543" s="36"/>
      <c r="L2543" s="36"/>
      <c r="M2543" s="94"/>
      <c r="N2543" s="36"/>
      <c r="O2543" s="95"/>
      <c r="P2543" s="36"/>
      <c r="AI2543" s="122">
        <v>2231</v>
      </c>
      <c r="AJ2543" s="1" t="s">
        <v>1141</v>
      </c>
      <c r="AK2543" s="1" t="s">
        <v>1141</v>
      </c>
    </row>
    <row r="2544" spans="2:37" ht="14.25">
      <c r="B2544" s="36"/>
      <c r="C2544" s="36"/>
      <c r="D2544" s="36"/>
      <c r="E2544" s="36"/>
      <c r="F2544" s="36"/>
      <c r="G2544" s="36"/>
      <c r="H2544" s="36"/>
      <c r="J2544" s="36"/>
      <c r="L2544" s="36"/>
      <c r="M2544" s="94"/>
      <c r="N2544" s="36"/>
      <c r="O2544" s="95"/>
      <c r="P2544" s="36"/>
      <c r="AI2544" s="122">
        <v>2232</v>
      </c>
      <c r="AJ2544" s="1" t="s">
        <v>1141</v>
      </c>
      <c r="AK2544" s="1" t="s">
        <v>1141</v>
      </c>
    </row>
    <row r="2545" spans="2:37" ht="14.25">
      <c r="B2545" s="36"/>
      <c r="C2545" s="36"/>
      <c r="D2545" s="36"/>
      <c r="E2545" s="36"/>
      <c r="F2545" s="36"/>
      <c r="G2545" s="36"/>
      <c r="H2545" s="36"/>
      <c r="J2545" s="36"/>
      <c r="L2545" s="36"/>
      <c r="M2545" s="94"/>
      <c r="N2545" s="36"/>
      <c r="O2545" s="95"/>
      <c r="P2545" s="36"/>
      <c r="AI2545" s="122">
        <v>2233</v>
      </c>
      <c r="AJ2545" s="1" t="s">
        <v>1141</v>
      </c>
      <c r="AK2545" s="1" t="s">
        <v>1141</v>
      </c>
    </row>
    <row r="2546" spans="2:37" ht="14.25">
      <c r="B2546" s="36"/>
      <c r="C2546" s="36"/>
      <c r="D2546" s="36"/>
      <c r="E2546" s="36"/>
      <c r="F2546" s="36"/>
      <c r="G2546" s="36"/>
      <c r="H2546" s="36"/>
      <c r="J2546" s="36"/>
      <c r="L2546" s="36"/>
      <c r="M2546" s="94"/>
      <c r="N2546" s="36"/>
      <c r="O2546" s="95"/>
      <c r="P2546" s="36"/>
      <c r="AI2546" s="122">
        <v>2234</v>
      </c>
      <c r="AJ2546" s="1" t="s">
        <v>1141</v>
      </c>
      <c r="AK2546" s="1" t="s">
        <v>1141</v>
      </c>
    </row>
    <row r="2547" spans="2:37" ht="14.25">
      <c r="B2547" s="36"/>
      <c r="C2547" s="36"/>
      <c r="D2547" s="36"/>
      <c r="E2547" s="36"/>
      <c r="F2547" s="36"/>
      <c r="G2547" s="36"/>
      <c r="H2547" s="36"/>
      <c r="J2547" s="36"/>
      <c r="L2547" s="36"/>
      <c r="M2547" s="94"/>
      <c r="N2547" s="36"/>
      <c r="O2547" s="95"/>
      <c r="P2547" s="36"/>
      <c r="AI2547" s="122">
        <v>2235</v>
      </c>
      <c r="AJ2547" s="1" t="s">
        <v>1141</v>
      </c>
      <c r="AK2547" s="1" t="s">
        <v>1141</v>
      </c>
    </row>
    <row r="2548" spans="2:37" ht="14.25">
      <c r="B2548" s="36"/>
      <c r="C2548" s="36"/>
      <c r="D2548" s="36"/>
      <c r="E2548" s="36"/>
      <c r="F2548" s="36"/>
      <c r="G2548" s="36"/>
      <c r="H2548" s="36"/>
      <c r="J2548" s="36"/>
      <c r="L2548" s="36"/>
      <c r="M2548" s="94"/>
      <c r="N2548" s="36"/>
      <c r="O2548" s="95"/>
      <c r="P2548" s="36"/>
      <c r="AI2548" s="122">
        <v>2236</v>
      </c>
      <c r="AJ2548" s="1" t="s">
        <v>1141</v>
      </c>
      <c r="AK2548" s="1" t="s">
        <v>1141</v>
      </c>
    </row>
    <row r="2549" spans="2:37" ht="14.25">
      <c r="B2549" s="36"/>
      <c r="C2549" s="36"/>
      <c r="D2549" s="36"/>
      <c r="E2549" s="36"/>
      <c r="F2549" s="36"/>
      <c r="G2549" s="36"/>
      <c r="H2549" s="36"/>
      <c r="J2549" s="36"/>
      <c r="L2549" s="36"/>
      <c r="M2549" s="94"/>
      <c r="N2549" s="36"/>
      <c r="O2549" s="95"/>
      <c r="P2549" s="36"/>
      <c r="AI2549" s="122">
        <v>2237</v>
      </c>
      <c r="AJ2549" s="1" t="s">
        <v>1141</v>
      </c>
      <c r="AK2549" s="1" t="s">
        <v>1141</v>
      </c>
    </row>
    <row r="2550" spans="2:37" ht="14.25">
      <c r="B2550" s="36"/>
      <c r="C2550" s="36"/>
      <c r="D2550" s="36"/>
      <c r="E2550" s="36"/>
      <c r="F2550" s="36"/>
      <c r="G2550" s="36"/>
      <c r="H2550" s="36"/>
      <c r="J2550" s="36"/>
      <c r="L2550" s="36"/>
      <c r="M2550" s="94"/>
      <c r="N2550" s="36"/>
      <c r="O2550" s="95"/>
      <c r="P2550" s="36"/>
      <c r="AI2550" s="122">
        <v>2238</v>
      </c>
      <c r="AJ2550" s="1" t="s">
        <v>1141</v>
      </c>
      <c r="AK2550" s="1" t="s">
        <v>1141</v>
      </c>
    </row>
    <row r="2551" spans="2:37" ht="14.25">
      <c r="B2551" s="36"/>
      <c r="C2551" s="36"/>
      <c r="D2551" s="36"/>
      <c r="E2551" s="36"/>
      <c r="F2551" s="36"/>
      <c r="G2551" s="36"/>
      <c r="H2551" s="36"/>
      <c r="J2551" s="36"/>
      <c r="L2551" s="36"/>
      <c r="M2551" s="94"/>
      <c r="N2551" s="36"/>
      <c r="O2551" s="95"/>
      <c r="P2551" s="36"/>
      <c r="AI2551" s="122">
        <v>2239</v>
      </c>
      <c r="AJ2551" s="1" t="s">
        <v>1141</v>
      </c>
      <c r="AK2551" s="1" t="s">
        <v>1141</v>
      </c>
    </row>
    <row r="2552" spans="2:37" ht="14.25">
      <c r="B2552" s="36"/>
      <c r="C2552" s="36"/>
      <c r="D2552" s="36"/>
      <c r="E2552" s="36"/>
      <c r="F2552" s="36"/>
      <c r="G2552" s="36"/>
      <c r="H2552" s="36"/>
      <c r="J2552" s="36"/>
      <c r="L2552" s="36"/>
      <c r="M2552" s="94"/>
      <c r="N2552" s="36"/>
      <c r="O2552" s="95"/>
      <c r="P2552" s="36"/>
      <c r="AI2552" s="122">
        <v>2240</v>
      </c>
      <c r="AJ2552" s="1" t="s">
        <v>1141</v>
      </c>
      <c r="AK2552" s="1" t="s">
        <v>1141</v>
      </c>
    </row>
    <row r="2553" spans="2:37" ht="14.25">
      <c r="B2553" s="36"/>
      <c r="C2553" s="36"/>
      <c r="D2553" s="36"/>
      <c r="E2553" s="36"/>
      <c r="F2553" s="36"/>
      <c r="G2553" s="36"/>
      <c r="H2553" s="36"/>
      <c r="J2553" s="36"/>
      <c r="L2553" s="36"/>
      <c r="M2553" s="94"/>
      <c r="N2553" s="36"/>
      <c r="O2553" s="95"/>
      <c r="P2553" s="36"/>
      <c r="AI2553" s="122">
        <v>2241</v>
      </c>
      <c r="AJ2553" s="1" t="s">
        <v>1141</v>
      </c>
      <c r="AK2553" s="1" t="s">
        <v>1141</v>
      </c>
    </row>
    <row r="2554" spans="2:37" ht="14.25">
      <c r="B2554" s="36"/>
      <c r="C2554" s="36"/>
      <c r="D2554" s="36"/>
      <c r="E2554" s="36"/>
      <c r="F2554" s="36"/>
      <c r="G2554" s="36"/>
      <c r="H2554" s="36"/>
      <c r="J2554" s="36"/>
      <c r="L2554" s="36"/>
      <c r="M2554" s="94"/>
      <c r="N2554" s="36"/>
      <c r="O2554" s="95"/>
      <c r="P2554" s="36"/>
      <c r="AI2554" s="122">
        <v>2242</v>
      </c>
      <c r="AJ2554" s="1" t="s">
        <v>1141</v>
      </c>
      <c r="AK2554" s="1" t="s">
        <v>1141</v>
      </c>
    </row>
    <row r="2555" spans="2:37" ht="14.25">
      <c r="B2555" s="36"/>
      <c r="C2555" s="36"/>
      <c r="D2555" s="36"/>
      <c r="E2555" s="36"/>
      <c r="F2555" s="36"/>
      <c r="G2555" s="36"/>
      <c r="H2555" s="36"/>
      <c r="J2555" s="36"/>
      <c r="L2555" s="36"/>
      <c r="M2555" s="94"/>
      <c r="N2555" s="36"/>
      <c r="O2555" s="95"/>
      <c r="P2555" s="36"/>
      <c r="AI2555" s="122">
        <v>2243</v>
      </c>
      <c r="AJ2555" s="1" t="s">
        <v>1141</v>
      </c>
      <c r="AK2555" s="1" t="s">
        <v>1141</v>
      </c>
    </row>
    <row r="2556" spans="2:37" ht="14.25">
      <c r="B2556" s="36"/>
      <c r="C2556" s="36"/>
      <c r="D2556" s="36"/>
      <c r="E2556" s="36"/>
      <c r="F2556" s="36"/>
      <c r="G2556" s="36"/>
      <c r="H2556" s="36"/>
      <c r="J2556" s="36"/>
      <c r="L2556" s="36"/>
      <c r="M2556" s="94"/>
      <c r="N2556" s="36"/>
      <c r="O2556" s="95"/>
      <c r="P2556" s="36"/>
      <c r="AI2556" s="122">
        <v>2244</v>
      </c>
      <c r="AJ2556" s="1" t="s">
        <v>1141</v>
      </c>
      <c r="AK2556" s="1" t="s">
        <v>1141</v>
      </c>
    </row>
    <row r="2557" spans="2:37" ht="14.25">
      <c r="B2557" s="36"/>
      <c r="C2557" s="36"/>
      <c r="D2557" s="36"/>
      <c r="E2557" s="36"/>
      <c r="F2557" s="36"/>
      <c r="G2557" s="36"/>
      <c r="H2557" s="36"/>
      <c r="J2557" s="36"/>
      <c r="L2557" s="36"/>
      <c r="M2557" s="94"/>
      <c r="N2557" s="36"/>
      <c r="O2557" s="95"/>
      <c r="P2557" s="36"/>
      <c r="AI2557" s="122">
        <v>2245</v>
      </c>
      <c r="AJ2557" s="1" t="s">
        <v>1141</v>
      </c>
      <c r="AK2557" s="1" t="s">
        <v>1141</v>
      </c>
    </row>
    <row r="2558" spans="2:37" ht="14.25">
      <c r="B2558" s="36"/>
      <c r="C2558" s="36"/>
      <c r="D2558" s="36"/>
      <c r="E2558" s="36"/>
      <c r="F2558" s="36"/>
      <c r="G2558" s="36"/>
      <c r="H2558" s="36"/>
      <c r="J2558" s="36"/>
      <c r="L2558" s="36"/>
      <c r="M2558" s="94"/>
      <c r="N2558" s="36"/>
      <c r="O2558" s="95"/>
      <c r="P2558" s="36"/>
      <c r="AI2558" s="122">
        <v>2246</v>
      </c>
      <c r="AJ2558" s="1" t="s">
        <v>1141</v>
      </c>
      <c r="AK2558" s="1" t="s">
        <v>1141</v>
      </c>
    </row>
    <row r="2559" spans="2:37" ht="14.25">
      <c r="B2559" s="36"/>
      <c r="C2559" s="36"/>
      <c r="D2559" s="36"/>
      <c r="E2559" s="36"/>
      <c r="F2559" s="36"/>
      <c r="G2559" s="36"/>
      <c r="H2559" s="36"/>
      <c r="J2559" s="36"/>
      <c r="L2559" s="36"/>
      <c r="M2559" s="94"/>
      <c r="N2559" s="36"/>
      <c r="O2559" s="95"/>
      <c r="P2559" s="36"/>
      <c r="AI2559" s="122">
        <v>2247</v>
      </c>
      <c r="AJ2559" s="1" t="s">
        <v>1141</v>
      </c>
      <c r="AK2559" s="1" t="s">
        <v>1141</v>
      </c>
    </row>
    <row r="2560" spans="2:37" ht="14.25">
      <c r="B2560" s="36"/>
      <c r="C2560" s="36"/>
      <c r="D2560" s="36"/>
      <c r="E2560" s="36"/>
      <c r="F2560" s="36"/>
      <c r="G2560" s="36"/>
      <c r="H2560" s="36"/>
      <c r="J2560" s="36"/>
      <c r="L2560" s="36"/>
      <c r="M2560" s="94"/>
      <c r="N2560" s="36"/>
      <c r="O2560" s="95"/>
      <c r="P2560" s="36"/>
      <c r="AI2560" s="122">
        <v>2248</v>
      </c>
      <c r="AJ2560" s="1" t="s">
        <v>1141</v>
      </c>
      <c r="AK2560" s="1" t="s">
        <v>1141</v>
      </c>
    </row>
    <row r="2561" spans="2:37" ht="14.25">
      <c r="B2561" s="36"/>
      <c r="C2561" s="36"/>
      <c r="D2561" s="36"/>
      <c r="E2561" s="36"/>
      <c r="F2561" s="36"/>
      <c r="G2561" s="36"/>
      <c r="H2561" s="36"/>
      <c r="J2561" s="36"/>
      <c r="L2561" s="36"/>
      <c r="M2561" s="94"/>
      <c r="N2561" s="36"/>
      <c r="O2561" s="95"/>
      <c r="P2561" s="36"/>
      <c r="AI2561" s="122">
        <v>2249</v>
      </c>
      <c r="AJ2561" s="1" t="s">
        <v>1141</v>
      </c>
      <c r="AK2561" s="1" t="s">
        <v>1141</v>
      </c>
    </row>
    <row r="2562" spans="2:37" ht="14.25">
      <c r="B2562" s="36"/>
      <c r="C2562" s="36"/>
      <c r="D2562" s="36"/>
      <c r="E2562" s="36"/>
      <c r="F2562" s="36"/>
      <c r="G2562" s="36"/>
      <c r="H2562" s="36"/>
      <c r="J2562" s="36"/>
      <c r="L2562" s="36"/>
      <c r="M2562" s="94"/>
      <c r="N2562" s="36"/>
      <c r="O2562" s="95"/>
      <c r="P2562" s="36"/>
      <c r="AI2562" s="122">
        <v>2250</v>
      </c>
      <c r="AJ2562" s="1" t="s">
        <v>1141</v>
      </c>
      <c r="AK2562" s="1" t="s">
        <v>1141</v>
      </c>
    </row>
    <row r="2563" spans="2:37" ht="14.25">
      <c r="B2563" s="36"/>
      <c r="C2563" s="36"/>
      <c r="D2563" s="36"/>
      <c r="E2563" s="36"/>
      <c r="F2563" s="36"/>
      <c r="G2563" s="36"/>
      <c r="H2563" s="36"/>
      <c r="J2563" s="36"/>
      <c r="L2563" s="36"/>
      <c r="M2563" s="94"/>
      <c r="N2563" s="36"/>
      <c r="O2563" s="95"/>
      <c r="P2563" s="36"/>
      <c r="AI2563" s="122">
        <v>2251</v>
      </c>
      <c r="AJ2563" s="1" t="s">
        <v>1141</v>
      </c>
      <c r="AK2563" s="1" t="s">
        <v>1141</v>
      </c>
    </row>
    <row r="2564" spans="2:37" ht="14.25">
      <c r="B2564" s="36"/>
      <c r="C2564" s="36"/>
      <c r="D2564" s="36"/>
      <c r="E2564" s="36"/>
      <c r="F2564" s="36"/>
      <c r="G2564" s="36"/>
      <c r="H2564" s="36"/>
      <c r="J2564" s="36"/>
      <c r="L2564" s="36"/>
      <c r="M2564" s="94"/>
      <c r="N2564" s="36"/>
      <c r="O2564" s="95"/>
      <c r="P2564" s="36"/>
      <c r="AI2564" s="122">
        <v>2252</v>
      </c>
      <c r="AJ2564" s="1" t="s">
        <v>1141</v>
      </c>
      <c r="AK2564" s="1" t="s">
        <v>1141</v>
      </c>
    </row>
    <row r="2565" spans="2:37" ht="14.25">
      <c r="B2565" s="36"/>
      <c r="C2565" s="36"/>
      <c r="D2565" s="36"/>
      <c r="E2565" s="36"/>
      <c r="F2565" s="36"/>
      <c r="G2565" s="36"/>
      <c r="H2565" s="36"/>
      <c r="J2565" s="36"/>
      <c r="L2565" s="36"/>
      <c r="M2565" s="94"/>
      <c r="N2565" s="36"/>
      <c r="O2565" s="95"/>
      <c r="P2565" s="36"/>
      <c r="AI2565" s="122">
        <v>2253</v>
      </c>
      <c r="AJ2565" s="1" t="s">
        <v>1141</v>
      </c>
      <c r="AK2565" s="1" t="s">
        <v>1141</v>
      </c>
    </row>
    <row r="2566" spans="2:37" ht="14.25">
      <c r="B2566" s="36"/>
      <c r="C2566" s="36"/>
      <c r="D2566" s="36"/>
      <c r="E2566" s="36"/>
      <c r="F2566" s="36"/>
      <c r="G2566" s="36"/>
      <c r="H2566" s="36"/>
      <c r="J2566" s="36"/>
      <c r="L2566" s="36"/>
      <c r="M2566" s="94"/>
      <c r="N2566" s="36"/>
      <c r="O2566" s="95"/>
      <c r="P2566" s="36"/>
      <c r="AI2566" s="122">
        <v>2254</v>
      </c>
      <c r="AJ2566" s="1" t="s">
        <v>1141</v>
      </c>
      <c r="AK2566" s="1" t="s">
        <v>1141</v>
      </c>
    </row>
    <row r="2567" spans="2:37" ht="14.25">
      <c r="B2567" s="36"/>
      <c r="C2567" s="36"/>
      <c r="D2567" s="36"/>
      <c r="E2567" s="36"/>
      <c r="F2567" s="36"/>
      <c r="G2567" s="36"/>
      <c r="H2567" s="36"/>
      <c r="J2567" s="36"/>
      <c r="L2567" s="36"/>
      <c r="M2567" s="94"/>
      <c r="N2567" s="36"/>
      <c r="O2567" s="95"/>
      <c r="P2567" s="36"/>
      <c r="AI2567" s="122">
        <v>2255</v>
      </c>
      <c r="AJ2567" s="1" t="s">
        <v>1141</v>
      </c>
      <c r="AK2567" s="1" t="s">
        <v>1141</v>
      </c>
    </row>
    <row r="2568" spans="2:37" ht="14.25">
      <c r="B2568" s="36"/>
      <c r="C2568" s="36"/>
      <c r="D2568" s="36"/>
      <c r="E2568" s="36"/>
      <c r="F2568" s="36"/>
      <c r="G2568" s="36"/>
      <c r="H2568" s="36"/>
      <c r="J2568" s="36"/>
      <c r="L2568" s="36"/>
      <c r="M2568" s="94"/>
      <c r="N2568" s="36"/>
      <c r="O2568" s="95"/>
      <c r="P2568" s="36"/>
      <c r="AI2568" s="122">
        <v>2256</v>
      </c>
      <c r="AJ2568" s="1" t="s">
        <v>1141</v>
      </c>
      <c r="AK2568" s="1" t="s">
        <v>1141</v>
      </c>
    </row>
    <row r="2569" spans="2:37" ht="14.25">
      <c r="B2569" s="36"/>
      <c r="C2569" s="36"/>
      <c r="D2569" s="36"/>
      <c r="E2569" s="36"/>
      <c r="F2569" s="36"/>
      <c r="G2569" s="36"/>
      <c r="H2569" s="36"/>
      <c r="J2569" s="36"/>
      <c r="L2569" s="36"/>
      <c r="M2569" s="94"/>
      <c r="N2569" s="36"/>
      <c r="O2569" s="95"/>
      <c r="P2569" s="36"/>
      <c r="AI2569" s="122">
        <v>2257</v>
      </c>
      <c r="AJ2569" s="1" t="s">
        <v>1141</v>
      </c>
      <c r="AK2569" s="1" t="s">
        <v>1141</v>
      </c>
    </row>
    <row r="2570" spans="2:37" ht="14.25">
      <c r="B2570" s="36"/>
      <c r="C2570" s="36"/>
      <c r="D2570" s="36"/>
      <c r="E2570" s="36"/>
      <c r="F2570" s="36"/>
      <c r="G2570" s="36"/>
      <c r="H2570" s="36"/>
      <c r="J2570" s="36"/>
      <c r="L2570" s="36"/>
      <c r="M2570" s="94"/>
      <c r="N2570" s="36"/>
      <c r="O2570" s="95"/>
      <c r="P2570" s="36"/>
      <c r="AI2570" s="122">
        <v>2258</v>
      </c>
      <c r="AJ2570" s="1" t="s">
        <v>1141</v>
      </c>
      <c r="AK2570" s="1" t="s">
        <v>1141</v>
      </c>
    </row>
    <row r="2571" spans="2:37" ht="14.25">
      <c r="B2571" s="36"/>
      <c r="C2571" s="36"/>
      <c r="D2571" s="36"/>
      <c r="E2571" s="36"/>
      <c r="F2571" s="36"/>
      <c r="G2571" s="36"/>
      <c r="H2571" s="36"/>
      <c r="J2571" s="36"/>
      <c r="L2571" s="36"/>
      <c r="M2571" s="94"/>
      <c r="N2571" s="36"/>
      <c r="O2571" s="95"/>
      <c r="P2571" s="36"/>
      <c r="AI2571" s="122">
        <v>2259</v>
      </c>
      <c r="AJ2571" s="1" t="s">
        <v>1141</v>
      </c>
      <c r="AK2571" s="1" t="s">
        <v>1141</v>
      </c>
    </row>
    <row r="2572" spans="2:37" ht="14.25">
      <c r="B2572" s="36"/>
      <c r="C2572" s="36"/>
      <c r="D2572" s="36"/>
      <c r="E2572" s="36"/>
      <c r="F2572" s="36"/>
      <c r="G2572" s="36"/>
      <c r="H2572" s="36"/>
      <c r="J2572" s="36"/>
      <c r="L2572" s="36"/>
      <c r="M2572" s="94"/>
      <c r="N2572" s="36"/>
      <c r="O2572" s="95"/>
      <c r="P2572" s="36"/>
      <c r="AI2572" s="122">
        <v>2260</v>
      </c>
      <c r="AJ2572" s="1" t="s">
        <v>1141</v>
      </c>
      <c r="AK2572" s="1" t="s">
        <v>1141</v>
      </c>
    </row>
    <row r="2573" spans="2:37" ht="14.25">
      <c r="B2573" s="36"/>
      <c r="C2573" s="36"/>
      <c r="D2573" s="36"/>
      <c r="E2573" s="36"/>
      <c r="F2573" s="36"/>
      <c r="G2573" s="36"/>
      <c r="H2573" s="36"/>
      <c r="J2573" s="36"/>
      <c r="L2573" s="36"/>
      <c r="M2573" s="94"/>
      <c r="N2573" s="36"/>
      <c r="O2573" s="95"/>
      <c r="P2573" s="36"/>
      <c r="AI2573" s="122">
        <v>2261</v>
      </c>
      <c r="AJ2573" s="1" t="s">
        <v>1141</v>
      </c>
      <c r="AK2573" s="1" t="s">
        <v>1141</v>
      </c>
    </row>
    <row r="2574" spans="2:37" ht="14.25">
      <c r="B2574" s="36"/>
      <c r="C2574" s="36"/>
      <c r="D2574" s="36"/>
      <c r="E2574" s="36"/>
      <c r="F2574" s="36"/>
      <c r="G2574" s="36"/>
      <c r="H2574" s="36"/>
      <c r="J2574" s="36"/>
      <c r="L2574" s="36"/>
      <c r="M2574" s="94"/>
      <c r="N2574" s="36"/>
      <c r="O2574" s="95"/>
      <c r="P2574" s="36"/>
      <c r="AI2574" s="122">
        <v>2262</v>
      </c>
      <c r="AJ2574" s="1" t="s">
        <v>1141</v>
      </c>
      <c r="AK2574" s="1" t="s">
        <v>1141</v>
      </c>
    </row>
    <row r="2575" spans="2:37" ht="14.25">
      <c r="B2575" s="36"/>
      <c r="C2575" s="36"/>
      <c r="D2575" s="36"/>
      <c r="E2575" s="36"/>
      <c r="F2575" s="36"/>
      <c r="G2575" s="36"/>
      <c r="H2575" s="36"/>
      <c r="J2575" s="36"/>
      <c r="L2575" s="36"/>
      <c r="M2575" s="94"/>
      <c r="N2575" s="36"/>
      <c r="O2575" s="95"/>
      <c r="P2575" s="36"/>
      <c r="AI2575" s="122">
        <v>2263</v>
      </c>
      <c r="AJ2575" s="1" t="s">
        <v>1141</v>
      </c>
      <c r="AK2575" s="1" t="s">
        <v>1141</v>
      </c>
    </row>
    <row r="2576" spans="2:37" ht="14.25">
      <c r="B2576" s="36"/>
      <c r="C2576" s="36"/>
      <c r="D2576" s="36"/>
      <c r="E2576" s="36"/>
      <c r="F2576" s="36"/>
      <c r="G2576" s="36"/>
      <c r="H2576" s="36"/>
      <c r="J2576" s="36"/>
      <c r="L2576" s="36"/>
      <c r="M2576" s="94"/>
      <c r="N2576" s="36"/>
      <c r="O2576" s="95"/>
      <c r="P2576" s="36"/>
      <c r="AI2576" s="122">
        <v>2264</v>
      </c>
      <c r="AJ2576" s="1" t="s">
        <v>1141</v>
      </c>
      <c r="AK2576" s="1" t="s">
        <v>1141</v>
      </c>
    </row>
    <row r="2577" spans="2:37" ht="14.25">
      <c r="B2577" s="36"/>
      <c r="C2577" s="36"/>
      <c r="D2577" s="36"/>
      <c r="E2577" s="36"/>
      <c r="F2577" s="36"/>
      <c r="G2577" s="36"/>
      <c r="H2577" s="36"/>
      <c r="J2577" s="36"/>
      <c r="L2577" s="36"/>
      <c r="M2577" s="94"/>
      <c r="N2577" s="36"/>
      <c r="O2577" s="95"/>
      <c r="P2577" s="36"/>
      <c r="AI2577" s="122">
        <v>2265</v>
      </c>
      <c r="AJ2577" s="1" t="s">
        <v>1141</v>
      </c>
      <c r="AK2577" s="1" t="s">
        <v>1141</v>
      </c>
    </row>
    <row r="2578" spans="2:37" ht="14.25">
      <c r="B2578" s="36"/>
      <c r="C2578" s="36"/>
      <c r="D2578" s="36"/>
      <c r="E2578" s="36"/>
      <c r="F2578" s="36"/>
      <c r="G2578" s="36"/>
      <c r="H2578" s="36"/>
      <c r="J2578" s="36"/>
      <c r="L2578" s="36"/>
      <c r="M2578" s="94"/>
      <c r="N2578" s="36"/>
      <c r="O2578" s="95"/>
      <c r="P2578" s="36"/>
      <c r="AI2578" s="122">
        <v>2266</v>
      </c>
      <c r="AJ2578" s="1" t="s">
        <v>1141</v>
      </c>
      <c r="AK2578" s="1" t="s">
        <v>1141</v>
      </c>
    </row>
    <row r="2579" spans="2:37" ht="14.25">
      <c r="B2579" s="36"/>
      <c r="C2579" s="36"/>
      <c r="D2579" s="36"/>
      <c r="E2579" s="36"/>
      <c r="F2579" s="36"/>
      <c r="G2579" s="36"/>
      <c r="H2579" s="36"/>
      <c r="J2579" s="36"/>
      <c r="L2579" s="36"/>
      <c r="M2579" s="94"/>
      <c r="N2579" s="36"/>
      <c r="O2579" s="95"/>
      <c r="P2579" s="36"/>
      <c r="AI2579" s="122">
        <v>2267</v>
      </c>
      <c r="AJ2579" s="1" t="s">
        <v>1141</v>
      </c>
      <c r="AK2579" s="1" t="s">
        <v>1141</v>
      </c>
    </row>
    <row r="2580" spans="2:37" ht="14.25">
      <c r="B2580" s="36"/>
      <c r="C2580" s="36"/>
      <c r="D2580" s="36"/>
      <c r="E2580" s="36"/>
      <c r="F2580" s="36"/>
      <c r="G2580" s="36"/>
      <c r="H2580" s="36"/>
      <c r="J2580" s="36"/>
      <c r="L2580" s="36"/>
      <c r="M2580" s="94"/>
      <c r="N2580" s="36"/>
      <c r="O2580" s="95"/>
      <c r="P2580" s="36"/>
      <c r="AI2580" s="122">
        <v>2268</v>
      </c>
      <c r="AJ2580" s="1" t="s">
        <v>1141</v>
      </c>
      <c r="AK2580" s="1" t="s">
        <v>1141</v>
      </c>
    </row>
    <row r="2581" spans="2:37" ht="14.25">
      <c r="B2581" s="36"/>
      <c r="C2581" s="36"/>
      <c r="D2581" s="36"/>
      <c r="E2581" s="36"/>
      <c r="F2581" s="36"/>
      <c r="G2581" s="36"/>
      <c r="H2581" s="36"/>
      <c r="J2581" s="36"/>
      <c r="L2581" s="36"/>
      <c r="M2581" s="94"/>
      <c r="N2581" s="36"/>
      <c r="O2581" s="95"/>
      <c r="P2581" s="36"/>
      <c r="AI2581" s="122">
        <v>2269</v>
      </c>
      <c r="AJ2581" s="1" t="s">
        <v>1141</v>
      </c>
      <c r="AK2581" s="1" t="s">
        <v>1141</v>
      </c>
    </row>
    <row r="2582" spans="2:37" ht="14.25">
      <c r="B2582" s="36"/>
      <c r="C2582" s="36"/>
      <c r="D2582" s="36"/>
      <c r="E2582" s="36"/>
      <c r="F2582" s="36"/>
      <c r="G2582" s="36"/>
      <c r="H2582" s="36"/>
      <c r="J2582" s="36"/>
      <c r="L2582" s="36"/>
      <c r="M2582" s="94"/>
      <c r="N2582" s="36"/>
      <c r="O2582" s="95"/>
      <c r="P2582" s="36"/>
      <c r="AI2582" s="122">
        <v>2270</v>
      </c>
      <c r="AJ2582" s="1" t="s">
        <v>1141</v>
      </c>
      <c r="AK2582" s="1" t="s">
        <v>1141</v>
      </c>
    </row>
    <row r="2583" spans="2:37" ht="14.25">
      <c r="B2583" s="36"/>
      <c r="C2583" s="36"/>
      <c r="D2583" s="36"/>
      <c r="E2583" s="36"/>
      <c r="F2583" s="36"/>
      <c r="G2583" s="36"/>
      <c r="H2583" s="36"/>
      <c r="J2583" s="36"/>
      <c r="L2583" s="36"/>
      <c r="M2583" s="94"/>
      <c r="N2583" s="36"/>
      <c r="O2583" s="95"/>
      <c r="P2583" s="36"/>
      <c r="AI2583" s="122">
        <v>2271</v>
      </c>
      <c r="AJ2583" s="1" t="s">
        <v>1141</v>
      </c>
      <c r="AK2583" s="1" t="s">
        <v>1141</v>
      </c>
    </row>
    <row r="2584" spans="2:37" ht="14.25">
      <c r="B2584" s="36"/>
      <c r="C2584" s="36"/>
      <c r="D2584" s="36"/>
      <c r="E2584" s="36"/>
      <c r="F2584" s="36"/>
      <c r="G2584" s="36"/>
      <c r="H2584" s="36"/>
      <c r="J2584" s="36"/>
      <c r="L2584" s="36"/>
      <c r="M2584" s="94"/>
      <c r="N2584" s="36"/>
      <c r="O2584" s="95"/>
      <c r="P2584" s="36"/>
      <c r="AI2584" s="122">
        <v>2272</v>
      </c>
      <c r="AJ2584" s="1" t="s">
        <v>1141</v>
      </c>
      <c r="AK2584" s="1" t="s">
        <v>1141</v>
      </c>
    </row>
    <row r="2585" spans="2:37" ht="14.25">
      <c r="B2585" s="36"/>
      <c r="C2585" s="36"/>
      <c r="D2585" s="36"/>
      <c r="E2585" s="36"/>
      <c r="F2585" s="36"/>
      <c r="G2585" s="36"/>
      <c r="H2585" s="36"/>
      <c r="J2585" s="36"/>
      <c r="L2585" s="36"/>
      <c r="M2585" s="94"/>
      <c r="N2585" s="36"/>
      <c r="O2585" s="95"/>
      <c r="P2585" s="36"/>
      <c r="AI2585" s="122">
        <v>2273</v>
      </c>
      <c r="AJ2585" s="1" t="s">
        <v>1141</v>
      </c>
      <c r="AK2585" s="1" t="s">
        <v>1141</v>
      </c>
    </row>
    <row r="2586" spans="2:37" ht="14.25">
      <c r="B2586" s="36"/>
      <c r="C2586" s="36"/>
      <c r="D2586" s="36"/>
      <c r="E2586" s="36"/>
      <c r="F2586" s="36"/>
      <c r="G2586" s="36"/>
      <c r="H2586" s="36"/>
      <c r="J2586" s="36"/>
      <c r="L2586" s="36"/>
      <c r="M2586" s="94"/>
      <c r="N2586" s="36"/>
      <c r="O2586" s="95"/>
      <c r="P2586" s="36"/>
      <c r="AI2586" s="122">
        <v>2274</v>
      </c>
      <c r="AJ2586" s="1" t="s">
        <v>1141</v>
      </c>
      <c r="AK2586" s="1" t="s">
        <v>1141</v>
      </c>
    </row>
    <row r="2587" spans="2:37" ht="14.25">
      <c r="B2587" s="36"/>
      <c r="C2587" s="36"/>
      <c r="D2587" s="36"/>
      <c r="E2587" s="36"/>
      <c r="F2587" s="36"/>
      <c r="G2587" s="36"/>
      <c r="H2587" s="36"/>
      <c r="J2587" s="36"/>
      <c r="L2587" s="36"/>
      <c r="M2587" s="94"/>
      <c r="N2587" s="36"/>
      <c r="O2587" s="95"/>
      <c r="P2587" s="36"/>
      <c r="AI2587" s="122">
        <v>2275</v>
      </c>
      <c r="AJ2587" s="1" t="s">
        <v>1141</v>
      </c>
      <c r="AK2587" s="1" t="s">
        <v>1141</v>
      </c>
    </row>
    <row r="2588" spans="2:37" ht="14.25">
      <c r="B2588" s="36"/>
      <c r="C2588" s="36"/>
      <c r="D2588" s="36"/>
      <c r="E2588" s="36"/>
      <c r="F2588" s="36"/>
      <c r="G2588" s="36"/>
      <c r="H2588" s="36"/>
      <c r="J2588" s="36"/>
      <c r="L2588" s="36"/>
      <c r="M2588" s="94"/>
      <c r="N2588" s="36"/>
      <c r="O2588" s="95"/>
      <c r="P2588" s="36"/>
      <c r="AI2588" s="122">
        <v>2276</v>
      </c>
      <c r="AJ2588" s="1" t="s">
        <v>1141</v>
      </c>
      <c r="AK2588" s="1" t="s">
        <v>1141</v>
      </c>
    </row>
    <row r="2589" spans="2:37" ht="14.25">
      <c r="B2589" s="36"/>
      <c r="C2589" s="36"/>
      <c r="D2589" s="36"/>
      <c r="E2589" s="36"/>
      <c r="F2589" s="36"/>
      <c r="G2589" s="36"/>
      <c r="H2589" s="36"/>
      <c r="J2589" s="36"/>
      <c r="L2589" s="36"/>
      <c r="M2589" s="94"/>
      <c r="N2589" s="36"/>
      <c r="O2589" s="95"/>
      <c r="P2589" s="36"/>
      <c r="AI2589" s="122">
        <v>2277</v>
      </c>
      <c r="AJ2589" s="1" t="s">
        <v>1141</v>
      </c>
      <c r="AK2589" s="1" t="s">
        <v>1141</v>
      </c>
    </row>
    <row r="2590" spans="2:37" ht="14.25">
      <c r="B2590" s="36"/>
      <c r="C2590" s="36"/>
      <c r="D2590" s="36"/>
      <c r="E2590" s="36"/>
      <c r="F2590" s="36"/>
      <c r="G2590" s="36"/>
      <c r="H2590" s="36"/>
      <c r="J2590" s="36"/>
      <c r="L2590" s="36"/>
      <c r="M2590" s="94"/>
      <c r="N2590" s="36"/>
      <c r="O2590" s="95"/>
      <c r="P2590" s="36"/>
      <c r="AI2590" s="122">
        <v>2278</v>
      </c>
      <c r="AJ2590" s="1" t="s">
        <v>1141</v>
      </c>
      <c r="AK2590" s="1" t="s">
        <v>1141</v>
      </c>
    </row>
    <row r="2591" spans="2:37" ht="14.25">
      <c r="B2591" s="36"/>
      <c r="C2591" s="36"/>
      <c r="D2591" s="36"/>
      <c r="E2591" s="36"/>
      <c r="F2591" s="36"/>
      <c r="G2591" s="36"/>
      <c r="H2591" s="36"/>
      <c r="J2591" s="36"/>
      <c r="L2591" s="36"/>
      <c r="M2591" s="94"/>
      <c r="N2591" s="36"/>
      <c r="O2591" s="95"/>
      <c r="P2591" s="36"/>
      <c r="AI2591" s="122">
        <v>2279</v>
      </c>
      <c r="AJ2591" s="1" t="s">
        <v>1141</v>
      </c>
      <c r="AK2591" s="1" t="s">
        <v>1141</v>
      </c>
    </row>
    <row r="2592" spans="2:37" ht="14.25">
      <c r="B2592" s="36"/>
      <c r="C2592" s="36"/>
      <c r="D2592" s="36"/>
      <c r="E2592" s="36"/>
      <c r="F2592" s="36"/>
      <c r="G2592" s="36"/>
      <c r="H2592" s="36"/>
      <c r="J2592" s="36"/>
      <c r="L2592" s="36"/>
      <c r="M2592" s="94"/>
      <c r="N2592" s="36"/>
      <c r="O2592" s="95"/>
      <c r="P2592" s="36"/>
      <c r="AI2592" s="122">
        <v>2280</v>
      </c>
      <c r="AJ2592" s="1" t="s">
        <v>1141</v>
      </c>
      <c r="AK2592" s="1" t="s">
        <v>1141</v>
      </c>
    </row>
    <row r="2593" spans="2:37" ht="14.25">
      <c r="B2593" s="36"/>
      <c r="C2593" s="36"/>
      <c r="D2593" s="36"/>
      <c r="E2593" s="36"/>
      <c r="F2593" s="36"/>
      <c r="G2593" s="36"/>
      <c r="H2593" s="36"/>
      <c r="J2593" s="36"/>
      <c r="L2593" s="36"/>
      <c r="M2593" s="94"/>
      <c r="N2593" s="36"/>
      <c r="O2593" s="95"/>
      <c r="P2593" s="36"/>
      <c r="AI2593" s="122">
        <v>2281</v>
      </c>
      <c r="AJ2593" s="1" t="s">
        <v>1141</v>
      </c>
      <c r="AK2593" s="1" t="s">
        <v>1141</v>
      </c>
    </row>
    <row r="2594" spans="2:37" ht="14.25">
      <c r="B2594" s="36"/>
      <c r="C2594" s="36"/>
      <c r="D2594" s="36"/>
      <c r="E2594" s="36"/>
      <c r="F2594" s="36"/>
      <c r="G2594" s="36"/>
      <c r="H2594" s="36"/>
      <c r="J2594" s="36"/>
      <c r="L2594" s="36"/>
      <c r="M2594" s="94"/>
      <c r="N2594" s="36"/>
      <c r="O2594" s="95"/>
      <c r="P2594" s="36"/>
      <c r="AI2594" s="122">
        <v>2282</v>
      </c>
      <c r="AJ2594" s="1" t="s">
        <v>1141</v>
      </c>
      <c r="AK2594" s="1" t="s">
        <v>1141</v>
      </c>
    </row>
    <row r="2595" spans="2:37" ht="14.25">
      <c r="B2595" s="36"/>
      <c r="C2595" s="36"/>
      <c r="D2595" s="36"/>
      <c r="E2595" s="36"/>
      <c r="F2595" s="36"/>
      <c r="G2595" s="36"/>
      <c r="H2595" s="36"/>
      <c r="J2595" s="36"/>
      <c r="L2595" s="36"/>
      <c r="M2595" s="94"/>
      <c r="N2595" s="36"/>
      <c r="O2595" s="95"/>
      <c r="P2595" s="36"/>
      <c r="AI2595" s="122">
        <v>2283</v>
      </c>
      <c r="AJ2595" s="1" t="s">
        <v>1141</v>
      </c>
      <c r="AK2595" s="1" t="s">
        <v>1141</v>
      </c>
    </row>
    <row r="2596" spans="2:37" ht="14.25">
      <c r="B2596" s="36"/>
      <c r="C2596" s="36"/>
      <c r="D2596" s="36"/>
      <c r="E2596" s="36"/>
      <c r="F2596" s="36"/>
      <c r="G2596" s="36"/>
      <c r="H2596" s="36"/>
      <c r="J2596" s="36"/>
      <c r="L2596" s="36"/>
      <c r="M2596" s="94"/>
      <c r="N2596" s="36"/>
      <c r="O2596" s="95"/>
      <c r="P2596" s="36"/>
      <c r="AI2596" s="122">
        <v>2284</v>
      </c>
      <c r="AJ2596" s="1" t="s">
        <v>1141</v>
      </c>
      <c r="AK2596" s="1" t="s">
        <v>1141</v>
      </c>
    </row>
    <row r="2597" spans="2:37" ht="14.25">
      <c r="B2597" s="36"/>
      <c r="C2597" s="36"/>
      <c r="D2597" s="36"/>
      <c r="E2597" s="36"/>
      <c r="F2597" s="36"/>
      <c r="G2597" s="36"/>
      <c r="H2597" s="36"/>
      <c r="J2597" s="36"/>
      <c r="L2597" s="36"/>
      <c r="M2597" s="94"/>
      <c r="N2597" s="36"/>
      <c r="O2597" s="95"/>
      <c r="P2597" s="36"/>
      <c r="AI2597" s="122">
        <v>2285</v>
      </c>
      <c r="AJ2597" s="1" t="s">
        <v>1141</v>
      </c>
      <c r="AK2597" s="1" t="s">
        <v>1141</v>
      </c>
    </row>
    <row r="2598" spans="2:37" ht="14.25">
      <c r="B2598" s="36"/>
      <c r="C2598" s="36"/>
      <c r="D2598" s="36"/>
      <c r="E2598" s="36"/>
      <c r="F2598" s="36"/>
      <c r="G2598" s="36"/>
      <c r="H2598" s="36"/>
      <c r="J2598" s="36"/>
      <c r="L2598" s="36"/>
      <c r="M2598" s="94"/>
      <c r="N2598" s="36"/>
      <c r="O2598" s="95"/>
      <c r="P2598" s="36"/>
      <c r="AI2598" s="122">
        <v>2286</v>
      </c>
      <c r="AJ2598" s="1" t="s">
        <v>1141</v>
      </c>
      <c r="AK2598" s="1" t="s">
        <v>1141</v>
      </c>
    </row>
    <row r="2599" spans="2:37" ht="14.25">
      <c r="B2599" s="36"/>
      <c r="C2599" s="36"/>
      <c r="D2599" s="36"/>
      <c r="E2599" s="36"/>
      <c r="F2599" s="36"/>
      <c r="G2599" s="36"/>
      <c r="H2599" s="36"/>
      <c r="J2599" s="36"/>
      <c r="L2599" s="36"/>
      <c r="M2599" s="94"/>
      <c r="N2599" s="36"/>
      <c r="O2599" s="95"/>
      <c r="P2599" s="36"/>
      <c r="AI2599" s="122">
        <v>2287</v>
      </c>
      <c r="AJ2599" s="1" t="s">
        <v>1141</v>
      </c>
      <c r="AK2599" s="1" t="s">
        <v>1141</v>
      </c>
    </row>
    <row r="2600" spans="2:37" ht="14.25">
      <c r="B2600" s="36"/>
      <c r="C2600" s="36"/>
      <c r="D2600" s="36"/>
      <c r="E2600" s="36"/>
      <c r="F2600" s="36"/>
      <c r="G2600" s="36"/>
      <c r="H2600" s="36"/>
      <c r="J2600" s="36"/>
      <c r="L2600" s="36"/>
      <c r="M2600" s="94"/>
      <c r="N2600" s="36"/>
      <c r="O2600" s="95"/>
      <c r="P2600" s="36"/>
      <c r="AI2600" s="122">
        <v>2288</v>
      </c>
      <c r="AJ2600" s="1" t="s">
        <v>1141</v>
      </c>
      <c r="AK2600" s="1" t="s">
        <v>1141</v>
      </c>
    </row>
    <row r="2601" spans="2:37" ht="14.25">
      <c r="B2601" s="36"/>
      <c r="C2601" s="36"/>
      <c r="D2601" s="36"/>
      <c r="E2601" s="36"/>
      <c r="F2601" s="36"/>
      <c r="G2601" s="36"/>
      <c r="H2601" s="36"/>
      <c r="J2601" s="36"/>
      <c r="L2601" s="36"/>
      <c r="M2601" s="94"/>
      <c r="N2601" s="36"/>
      <c r="O2601" s="95"/>
      <c r="P2601" s="36"/>
      <c r="AI2601" s="122">
        <v>2289</v>
      </c>
      <c r="AJ2601" s="1" t="s">
        <v>1141</v>
      </c>
      <c r="AK2601" s="1" t="s">
        <v>1141</v>
      </c>
    </row>
    <row r="2602" spans="2:37" ht="14.25">
      <c r="B2602" s="36"/>
      <c r="C2602" s="36"/>
      <c r="D2602" s="36"/>
      <c r="E2602" s="36"/>
      <c r="F2602" s="36"/>
      <c r="G2602" s="36"/>
      <c r="H2602" s="36"/>
      <c r="J2602" s="36"/>
      <c r="L2602" s="36"/>
      <c r="M2602" s="94"/>
      <c r="N2602" s="36"/>
      <c r="O2602" s="95"/>
      <c r="P2602" s="36"/>
      <c r="AI2602" s="122">
        <v>2290</v>
      </c>
      <c r="AJ2602" s="1" t="s">
        <v>1141</v>
      </c>
      <c r="AK2602" s="1" t="s">
        <v>1141</v>
      </c>
    </row>
    <row r="2603" spans="2:37" ht="14.25">
      <c r="B2603" s="36"/>
      <c r="C2603" s="36"/>
      <c r="D2603" s="36"/>
      <c r="E2603" s="36"/>
      <c r="F2603" s="36"/>
      <c r="G2603" s="36"/>
      <c r="H2603" s="36"/>
      <c r="J2603" s="36"/>
      <c r="L2603" s="36"/>
      <c r="M2603" s="94"/>
      <c r="N2603" s="36"/>
      <c r="O2603" s="95"/>
      <c r="P2603" s="36"/>
      <c r="AI2603" s="122">
        <v>2291</v>
      </c>
      <c r="AJ2603" s="1" t="s">
        <v>1141</v>
      </c>
      <c r="AK2603" s="1" t="s">
        <v>1141</v>
      </c>
    </row>
    <row r="2604" spans="2:37" ht="14.25">
      <c r="B2604" s="36"/>
      <c r="C2604" s="36"/>
      <c r="D2604" s="36"/>
      <c r="E2604" s="36"/>
      <c r="F2604" s="36"/>
      <c r="G2604" s="36"/>
      <c r="H2604" s="36"/>
      <c r="J2604" s="36"/>
      <c r="L2604" s="36"/>
      <c r="M2604" s="94"/>
      <c r="N2604" s="36"/>
      <c r="O2604" s="95"/>
      <c r="P2604" s="36"/>
      <c r="AI2604" s="122">
        <v>2292</v>
      </c>
      <c r="AJ2604" s="1" t="s">
        <v>1141</v>
      </c>
      <c r="AK2604" s="1" t="s">
        <v>1141</v>
      </c>
    </row>
    <row r="2605" spans="2:37" ht="14.25">
      <c r="B2605" s="36"/>
      <c r="C2605" s="36"/>
      <c r="D2605" s="36"/>
      <c r="E2605" s="36"/>
      <c r="F2605" s="36"/>
      <c r="G2605" s="36"/>
      <c r="H2605" s="36"/>
      <c r="J2605" s="36"/>
      <c r="L2605" s="36"/>
      <c r="M2605" s="94"/>
      <c r="N2605" s="36"/>
      <c r="O2605" s="95"/>
      <c r="P2605" s="36"/>
      <c r="AI2605" s="122">
        <v>2293</v>
      </c>
      <c r="AJ2605" s="1" t="s">
        <v>1141</v>
      </c>
      <c r="AK2605" s="1" t="s">
        <v>1141</v>
      </c>
    </row>
    <row r="2606" spans="2:37" ht="14.25">
      <c r="B2606" s="36"/>
      <c r="C2606" s="36"/>
      <c r="D2606" s="36"/>
      <c r="E2606" s="36"/>
      <c r="F2606" s="36"/>
      <c r="G2606" s="36"/>
      <c r="H2606" s="36"/>
      <c r="J2606" s="36"/>
      <c r="L2606" s="36"/>
      <c r="M2606" s="94"/>
      <c r="N2606" s="36"/>
      <c r="O2606" s="95"/>
      <c r="P2606" s="36"/>
      <c r="AI2606" s="122">
        <v>2294</v>
      </c>
      <c r="AJ2606" s="1" t="s">
        <v>1141</v>
      </c>
      <c r="AK2606" s="1" t="s">
        <v>1141</v>
      </c>
    </row>
    <row r="2607" spans="2:37" ht="14.25">
      <c r="B2607" s="36"/>
      <c r="C2607" s="36"/>
      <c r="D2607" s="36"/>
      <c r="E2607" s="36"/>
      <c r="F2607" s="36"/>
      <c r="G2607" s="36"/>
      <c r="H2607" s="36"/>
      <c r="J2607" s="36"/>
      <c r="L2607" s="36"/>
      <c r="M2607" s="94"/>
      <c r="N2607" s="36"/>
      <c r="O2607" s="95"/>
      <c r="P2607" s="36"/>
      <c r="AI2607" s="122">
        <v>2295</v>
      </c>
      <c r="AJ2607" s="1" t="s">
        <v>1141</v>
      </c>
      <c r="AK2607" s="1" t="s">
        <v>1141</v>
      </c>
    </row>
    <row r="2608" spans="2:37" ht="14.25">
      <c r="B2608" s="36"/>
      <c r="C2608" s="36"/>
      <c r="D2608" s="36"/>
      <c r="E2608" s="36"/>
      <c r="F2608" s="36"/>
      <c r="G2608" s="36"/>
      <c r="H2608" s="36"/>
      <c r="J2608" s="36"/>
      <c r="L2608" s="36"/>
      <c r="M2608" s="94"/>
      <c r="N2608" s="36"/>
      <c r="O2608" s="95"/>
      <c r="P2608" s="36"/>
      <c r="AI2608" s="122">
        <v>2296</v>
      </c>
      <c r="AJ2608" s="1" t="s">
        <v>1141</v>
      </c>
      <c r="AK2608" s="1" t="s">
        <v>1141</v>
      </c>
    </row>
    <row r="2609" spans="2:37" ht="14.25">
      <c r="B2609" s="36"/>
      <c r="C2609" s="36"/>
      <c r="D2609" s="36"/>
      <c r="E2609" s="36"/>
      <c r="F2609" s="36"/>
      <c r="G2609" s="36"/>
      <c r="H2609" s="36"/>
      <c r="J2609" s="36"/>
      <c r="L2609" s="36"/>
      <c r="M2609" s="94"/>
      <c r="N2609" s="36"/>
      <c r="O2609" s="95"/>
      <c r="P2609" s="36"/>
      <c r="AI2609" s="122">
        <v>2297</v>
      </c>
      <c r="AJ2609" s="1" t="s">
        <v>1141</v>
      </c>
      <c r="AK2609" s="1" t="s">
        <v>1141</v>
      </c>
    </row>
    <row r="2610" spans="2:37" ht="14.25">
      <c r="B2610" s="36"/>
      <c r="C2610" s="36"/>
      <c r="D2610" s="36"/>
      <c r="E2610" s="36"/>
      <c r="F2610" s="36"/>
      <c r="G2610" s="36"/>
      <c r="H2610" s="36"/>
      <c r="J2610" s="36"/>
      <c r="L2610" s="36"/>
      <c r="M2610" s="94"/>
      <c r="N2610" s="36"/>
      <c r="O2610" s="95"/>
      <c r="P2610" s="36"/>
      <c r="AI2610" s="122">
        <v>2298</v>
      </c>
      <c r="AJ2610" s="1" t="s">
        <v>1141</v>
      </c>
      <c r="AK2610" s="1" t="s">
        <v>1141</v>
      </c>
    </row>
    <row r="2611" spans="2:37" ht="14.25">
      <c r="B2611" s="36"/>
      <c r="C2611" s="36"/>
      <c r="D2611" s="36"/>
      <c r="E2611" s="36"/>
      <c r="F2611" s="36"/>
      <c r="G2611" s="36"/>
      <c r="H2611" s="36"/>
      <c r="J2611" s="36"/>
      <c r="L2611" s="36"/>
      <c r="M2611" s="94"/>
      <c r="N2611" s="36"/>
      <c r="O2611" s="95"/>
      <c r="P2611" s="36"/>
      <c r="AI2611" s="122">
        <v>2299</v>
      </c>
      <c r="AJ2611" s="1" t="s">
        <v>1141</v>
      </c>
      <c r="AK2611" s="1" t="s">
        <v>1141</v>
      </c>
    </row>
    <row r="2612" spans="2:37" ht="14.25">
      <c r="B2612" s="36"/>
      <c r="C2612" s="36"/>
      <c r="D2612" s="36"/>
      <c r="E2612" s="36"/>
      <c r="F2612" s="36"/>
      <c r="G2612" s="36"/>
      <c r="H2612" s="36"/>
      <c r="J2612" s="36"/>
      <c r="L2612" s="36"/>
      <c r="M2612" s="94"/>
      <c r="N2612" s="36"/>
      <c r="O2612" s="95"/>
      <c r="P2612" s="36"/>
      <c r="AI2612" s="122">
        <v>2300</v>
      </c>
      <c r="AJ2612" s="1" t="s">
        <v>1141</v>
      </c>
      <c r="AK2612" s="1" t="s">
        <v>1141</v>
      </c>
    </row>
    <row r="2613" spans="2:37" ht="14.25">
      <c r="B2613" s="36"/>
      <c r="C2613" s="36"/>
      <c r="D2613" s="36"/>
      <c r="E2613" s="36"/>
      <c r="F2613" s="36"/>
      <c r="G2613" s="36"/>
      <c r="H2613" s="36"/>
      <c r="J2613" s="36"/>
      <c r="L2613" s="36"/>
      <c r="M2613" s="94"/>
      <c r="N2613" s="36"/>
      <c r="O2613" s="95"/>
      <c r="P2613" s="36"/>
      <c r="AI2613" s="122">
        <v>2301</v>
      </c>
      <c r="AJ2613" s="1" t="s">
        <v>1141</v>
      </c>
      <c r="AK2613" s="1" t="s">
        <v>1141</v>
      </c>
    </row>
    <row r="2614" spans="2:37" ht="14.25">
      <c r="B2614" s="36"/>
      <c r="C2614" s="36"/>
      <c r="D2614" s="36"/>
      <c r="E2614" s="36"/>
      <c r="F2614" s="36"/>
      <c r="G2614" s="36"/>
      <c r="H2614" s="36"/>
      <c r="J2614" s="36"/>
      <c r="L2614" s="36"/>
      <c r="M2614" s="94"/>
      <c r="N2614" s="36"/>
      <c r="O2614" s="95"/>
      <c r="P2614" s="36"/>
      <c r="AI2614" s="122">
        <v>2302</v>
      </c>
      <c r="AJ2614" s="1" t="s">
        <v>1141</v>
      </c>
      <c r="AK2614" s="1" t="s">
        <v>1141</v>
      </c>
    </row>
    <row r="2615" spans="2:37" ht="14.25">
      <c r="B2615" s="36"/>
      <c r="C2615" s="36"/>
      <c r="D2615" s="36"/>
      <c r="E2615" s="36"/>
      <c r="F2615" s="36"/>
      <c r="G2615" s="36"/>
      <c r="H2615" s="36"/>
      <c r="J2615" s="36"/>
      <c r="L2615" s="36"/>
      <c r="M2615" s="94"/>
      <c r="N2615" s="36"/>
      <c r="O2615" s="95"/>
      <c r="P2615" s="36"/>
      <c r="AI2615" s="122">
        <v>2303</v>
      </c>
      <c r="AJ2615" s="1" t="s">
        <v>1141</v>
      </c>
      <c r="AK2615" s="1" t="s">
        <v>1141</v>
      </c>
    </row>
    <row r="2616" spans="2:37" ht="14.25">
      <c r="B2616" s="36"/>
      <c r="C2616" s="36"/>
      <c r="D2616" s="36"/>
      <c r="E2616" s="36"/>
      <c r="F2616" s="36"/>
      <c r="G2616" s="36"/>
      <c r="H2616" s="36"/>
      <c r="J2616" s="36"/>
      <c r="L2616" s="36"/>
      <c r="M2616" s="94"/>
      <c r="N2616" s="36"/>
      <c r="O2616" s="95"/>
      <c r="P2616" s="36"/>
      <c r="AI2616" s="122">
        <v>2304</v>
      </c>
      <c r="AJ2616" s="1" t="s">
        <v>1141</v>
      </c>
      <c r="AK2616" s="1" t="s">
        <v>1141</v>
      </c>
    </row>
    <row r="2617" spans="2:37" ht="14.25">
      <c r="B2617" s="36"/>
      <c r="C2617" s="36"/>
      <c r="D2617" s="36"/>
      <c r="E2617" s="36"/>
      <c r="F2617" s="36"/>
      <c r="G2617" s="36"/>
      <c r="H2617" s="36"/>
      <c r="J2617" s="36"/>
      <c r="L2617" s="36"/>
      <c r="M2617" s="94"/>
      <c r="N2617" s="36"/>
      <c r="O2617" s="95"/>
      <c r="P2617" s="36"/>
      <c r="AI2617" s="122">
        <v>2305</v>
      </c>
      <c r="AJ2617" s="1" t="s">
        <v>1141</v>
      </c>
      <c r="AK2617" s="1" t="s">
        <v>1141</v>
      </c>
    </row>
    <row r="2618" spans="2:37" ht="14.25">
      <c r="B2618" s="36"/>
      <c r="C2618" s="36"/>
      <c r="D2618" s="36"/>
      <c r="E2618" s="36"/>
      <c r="F2618" s="36"/>
      <c r="G2618" s="36"/>
      <c r="H2618" s="36"/>
      <c r="J2618" s="36"/>
      <c r="L2618" s="36"/>
      <c r="M2618" s="94"/>
      <c r="N2618" s="36"/>
      <c r="O2618" s="95"/>
      <c r="P2618" s="36"/>
      <c r="AI2618" s="122">
        <v>2306</v>
      </c>
      <c r="AJ2618" s="1" t="s">
        <v>1141</v>
      </c>
      <c r="AK2618" s="1" t="s">
        <v>1141</v>
      </c>
    </row>
    <row r="2619" spans="2:37" ht="14.25">
      <c r="B2619" s="36"/>
      <c r="C2619" s="36"/>
      <c r="D2619" s="36"/>
      <c r="E2619" s="36"/>
      <c r="F2619" s="36"/>
      <c r="G2619" s="36"/>
      <c r="H2619" s="36"/>
      <c r="J2619" s="36"/>
      <c r="L2619" s="36"/>
      <c r="M2619" s="94"/>
      <c r="N2619" s="36"/>
      <c r="O2619" s="95"/>
      <c r="P2619" s="36"/>
      <c r="AI2619" s="122">
        <v>2307</v>
      </c>
      <c r="AJ2619" s="1" t="s">
        <v>1141</v>
      </c>
      <c r="AK2619" s="1" t="s">
        <v>1141</v>
      </c>
    </row>
    <row r="2620" spans="2:37" ht="14.25">
      <c r="B2620" s="36"/>
      <c r="C2620" s="36"/>
      <c r="D2620" s="36"/>
      <c r="E2620" s="36"/>
      <c r="F2620" s="36"/>
      <c r="G2620" s="36"/>
      <c r="H2620" s="36"/>
      <c r="J2620" s="36"/>
      <c r="L2620" s="36"/>
      <c r="M2620" s="94"/>
      <c r="N2620" s="36"/>
      <c r="O2620" s="95"/>
      <c r="P2620" s="36"/>
      <c r="AI2620" s="122">
        <v>2308</v>
      </c>
      <c r="AJ2620" s="1" t="s">
        <v>1141</v>
      </c>
      <c r="AK2620" s="1" t="s">
        <v>1141</v>
      </c>
    </row>
    <row r="2621" spans="2:37" ht="14.25">
      <c r="B2621" s="36"/>
      <c r="C2621" s="36"/>
      <c r="D2621" s="36"/>
      <c r="E2621" s="36"/>
      <c r="F2621" s="36"/>
      <c r="G2621" s="36"/>
      <c r="H2621" s="36"/>
      <c r="J2621" s="36"/>
      <c r="L2621" s="36"/>
      <c r="M2621" s="94"/>
      <c r="N2621" s="36"/>
      <c r="O2621" s="95"/>
      <c r="P2621" s="36"/>
      <c r="AI2621" s="122">
        <v>2309</v>
      </c>
      <c r="AJ2621" s="1" t="s">
        <v>1141</v>
      </c>
      <c r="AK2621" s="1" t="s">
        <v>1141</v>
      </c>
    </row>
    <row r="2622" spans="2:37" ht="14.25">
      <c r="B2622" s="36"/>
      <c r="C2622" s="36"/>
      <c r="D2622" s="36"/>
      <c r="E2622" s="36"/>
      <c r="F2622" s="36"/>
      <c r="G2622" s="36"/>
      <c r="H2622" s="36"/>
      <c r="J2622" s="36"/>
      <c r="L2622" s="36"/>
      <c r="M2622" s="94"/>
      <c r="N2622" s="36"/>
      <c r="O2622" s="95"/>
      <c r="P2622" s="36"/>
      <c r="AI2622" s="122">
        <v>2310</v>
      </c>
      <c r="AJ2622" s="1" t="s">
        <v>1141</v>
      </c>
      <c r="AK2622" s="1" t="s">
        <v>1141</v>
      </c>
    </row>
    <row r="2623" spans="2:37" ht="14.25">
      <c r="B2623" s="36"/>
      <c r="C2623" s="36"/>
      <c r="D2623" s="36"/>
      <c r="E2623" s="36"/>
      <c r="F2623" s="36"/>
      <c r="G2623" s="36"/>
      <c r="H2623" s="36"/>
      <c r="J2623" s="36"/>
      <c r="L2623" s="36"/>
      <c r="M2623" s="94"/>
      <c r="N2623" s="36"/>
      <c r="O2623" s="95"/>
      <c r="P2623" s="36"/>
      <c r="AI2623" s="122">
        <v>2311</v>
      </c>
      <c r="AJ2623" s="1" t="s">
        <v>1141</v>
      </c>
      <c r="AK2623" s="1" t="s">
        <v>1141</v>
      </c>
    </row>
    <row r="2624" spans="2:37" ht="14.25">
      <c r="B2624" s="36"/>
      <c r="C2624" s="36"/>
      <c r="D2624" s="36"/>
      <c r="E2624" s="36"/>
      <c r="F2624" s="36"/>
      <c r="G2624" s="36"/>
      <c r="H2624" s="36"/>
      <c r="J2624" s="36"/>
      <c r="L2624" s="36"/>
      <c r="M2624" s="94"/>
      <c r="N2624" s="36"/>
      <c r="O2624" s="95"/>
      <c r="P2624" s="36"/>
      <c r="AI2624" s="122">
        <v>2312</v>
      </c>
      <c r="AJ2624" s="1" t="s">
        <v>1141</v>
      </c>
      <c r="AK2624" s="1" t="s">
        <v>1141</v>
      </c>
    </row>
    <row r="2625" spans="2:37" ht="14.25">
      <c r="B2625" s="36"/>
      <c r="C2625" s="36"/>
      <c r="D2625" s="36"/>
      <c r="E2625" s="36"/>
      <c r="F2625" s="36"/>
      <c r="G2625" s="36"/>
      <c r="H2625" s="36"/>
      <c r="J2625" s="36"/>
      <c r="L2625" s="36"/>
      <c r="M2625" s="94"/>
      <c r="N2625" s="36"/>
      <c r="O2625" s="95"/>
      <c r="P2625" s="36"/>
      <c r="AI2625" s="122">
        <v>2313</v>
      </c>
      <c r="AJ2625" s="1" t="s">
        <v>1141</v>
      </c>
      <c r="AK2625" s="1" t="s">
        <v>1141</v>
      </c>
    </row>
    <row r="2626" spans="2:37" ht="14.25">
      <c r="B2626" s="36"/>
      <c r="C2626" s="36"/>
      <c r="D2626" s="36"/>
      <c r="E2626" s="36"/>
      <c r="F2626" s="36"/>
      <c r="G2626" s="36"/>
      <c r="H2626" s="36"/>
      <c r="J2626" s="36"/>
      <c r="L2626" s="36"/>
      <c r="M2626" s="94"/>
      <c r="N2626" s="36"/>
      <c r="O2626" s="95"/>
      <c r="P2626" s="36"/>
      <c r="AI2626" s="122">
        <v>2314</v>
      </c>
      <c r="AJ2626" s="1" t="s">
        <v>1141</v>
      </c>
      <c r="AK2626" s="1" t="s">
        <v>1141</v>
      </c>
    </row>
    <row r="2627" spans="2:37" ht="14.25">
      <c r="B2627" s="36"/>
      <c r="C2627" s="36"/>
      <c r="D2627" s="36"/>
      <c r="E2627" s="36"/>
      <c r="F2627" s="36"/>
      <c r="G2627" s="36"/>
      <c r="H2627" s="36"/>
      <c r="J2627" s="36"/>
      <c r="L2627" s="36"/>
      <c r="M2627" s="94"/>
      <c r="N2627" s="36"/>
      <c r="O2627" s="95"/>
      <c r="P2627" s="36"/>
      <c r="AI2627" s="122">
        <v>2315</v>
      </c>
      <c r="AJ2627" s="1" t="s">
        <v>1141</v>
      </c>
      <c r="AK2627" s="1" t="s">
        <v>1141</v>
      </c>
    </row>
    <row r="2628" spans="2:37" ht="14.25">
      <c r="B2628" s="36"/>
      <c r="C2628" s="36"/>
      <c r="D2628" s="36"/>
      <c r="E2628" s="36"/>
      <c r="F2628" s="36"/>
      <c r="G2628" s="36"/>
      <c r="H2628" s="36"/>
      <c r="J2628" s="36"/>
      <c r="L2628" s="36"/>
      <c r="M2628" s="94"/>
      <c r="N2628" s="36"/>
      <c r="O2628" s="95"/>
      <c r="P2628" s="36"/>
      <c r="AI2628" s="122">
        <v>2316</v>
      </c>
      <c r="AJ2628" s="1" t="s">
        <v>1141</v>
      </c>
      <c r="AK2628" s="1" t="s">
        <v>1141</v>
      </c>
    </row>
    <row r="2629" spans="2:37" ht="14.25">
      <c r="B2629" s="36"/>
      <c r="C2629" s="36"/>
      <c r="D2629" s="36"/>
      <c r="E2629" s="36"/>
      <c r="F2629" s="36"/>
      <c r="G2629" s="36"/>
      <c r="H2629" s="36"/>
      <c r="J2629" s="36"/>
      <c r="L2629" s="36"/>
      <c r="M2629" s="94"/>
      <c r="N2629" s="36"/>
      <c r="O2629" s="95"/>
      <c r="P2629" s="36"/>
      <c r="AI2629" s="122">
        <v>2317</v>
      </c>
      <c r="AJ2629" s="1" t="s">
        <v>1141</v>
      </c>
      <c r="AK2629" s="1" t="s">
        <v>1141</v>
      </c>
    </row>
    <row r="2630" spans="2:37" ht="14.25">
      <c r="B2630" s="36"/>
      <c r="C2630" s="36"/>
      <c r="D2630" s="36"/>
      <c r="E2630" s="36"/>
      <c r="F2630" s="36"/>
      <c r="G2630" s="36"/>
      <c r="H2630" s="36"/>
      <c r="J2630" s="36"/>
      <c r="L2630" s="36"/>
      <c r="M2630" s="94"/>
      <c r="N2630" s="36"/>
      <c r="O2630" s="95"/>
      <c r="P2630" s="36"/>
      <c r="AI2630" s="122">
        <v>2318</v>
      </c>
      <c r="AJ2630" s="1" t="s">
        <v>1141</v>
      </c>
      <c r="AK2630" s="1" t="s">
        <v>1141</v>
      </c>
    </row>
    <row r="2631" spans="2:37" ht="14.25">
      <c r="B2631" s="36"/>
      <c r="C2631" s="36"/>
      <c r="D2631" s="36"/>
      <c r="E2631" s="36"/>
      <c r="F2631" s="36"/>
      <c r="G2631" s="36"/>
      <c r="H2631" s="36"/>
      <c r="J2631" s="36"/>
      <c r="L2631" s="36"/>
      <c r="M2631" s="94"/>
      <c r="N2631" s="36"/>
      <c r="O2631" s="95"/>
      <c r="P2631" s="36"/>
      <c r="AI2631" s="122">
        <v>2319</v>
      </c>
      <c r="AJ2631" s="1" t="s">
        <v>1141</v>
      </c>
      <c r="AK2631" s="1" t="s">
        <v>1141</v>
      </c>
    </row>
    <row r="2632" spans="2:37" ht="14.25">
      <c r="B2632" s="36"/>
      <c r="C2632" s="36"/>
      <c r="D2632" s="36"/>
      <c r="E2632" s="36"/>
      <c r="F2632" s="36"/>
      <c r="G2632" s="36"/>
      <c r="H2632" s="36"/>
      <c r="J2632" s="36"/>
      <c r="L2632" s="36"/>
      <c r="M2632" s="94"/>
      <c r="N2632" s="36"/>
      <c r="O2632" s="95"/>
      <c r="P2632" s="36"/>
      <c r="AI2632" s="122">
        <v>2320</v>
      </c>
      <c r="AJ2632" s="1" t="s">
        <v>1141</v>
      </c>
      <c r="AK2632" s="1" t="s">
        <v>1141</v>
      </c>
    </row>
    <row r="2633" spans="2:37" ht="14.25">
      <c r="B2633" s="36"/>
      <c r="C2633" s="36"/>
      <c r="D2633" s="36"/>
      <c r="E2633" s="36"/>
      <c r="F2633" s="36"/>
      <c r="G2633" s="36"/>
      <c r="H2633" s="36"/>
      <c r="J2633" s="36"/>
      <c r="L2633" s="36"/>
      <c r="M2633" s="94"/>
      <c r="N2633" s="36"/>
      <c r="O2633" s="95"/>
      <c r="P2633" s="36"/>
      <c r="AI2633" s="122">
        <v>2321</v>
      </c>
      <c r="AJ2633" s="1" t="s">
        <v>1141</v>
      </c>
      <c r="AK2633" s="1" t="s">
        <v>1141</v>
      </c>
    </row>
    <row r="2634" spans="2:37" ht="14.25">
      <c r="B2634" s="36"/>
      <c r="C2634" s="36"/>
      <c r="D2634" s="36"/>
      <c r="E2634" s="36"/>
      <c r="F2634" s="36"/>
      <c r="G2634" s="36"/>
      <c r="H2634" s="36"/>
      <c r="J2634" s="36"/>
      <c r="L2634" s="36"/>
      <c r="M2634" s="94"/>
      <c r="N2634" s="36"/>
      <c r="O2634" s="95"/>
      <c r="P2634" s="36"/>
      <c r="AI2634" s="122">
        <v>2322</v>
      </c>
      <c r="AJ2634" s="1" t="s">
        <v>1141</v>
      </c>
      <c r="AK2634" s="1" t="s">
        <v>1141</v>
      </c>
    </row>
    <row r="2635" spans="2:37" ht="14.25">
      <c r="B2635" s="36"/>
      <c r="C2635" s="36"/>
      <c r="D2635" s="36"/>
      <c r="E2635" s="36"/>
      <c r="F2635" s="36"/>
      <c r="G2635" s="36"/>
      <c r="H2635" s="36"/>
      <c r="J2635" s="36"/>
      <c r="L2635" s="36"/>
      <c r="M2635" s="94"/>
      <c r="N2635" s="36"/>
      <c r="O2635" s="95"/>
      <c r="P2635" s="36"/>
      <c r="AI2635" s="122">
        <v>2323</v>
      </c>
      <c r="AJ2635" s="1" t="s">
        <v>1141</v>
      </c>
      <c r="AK2635" s="1" t="s">
        <v>1141</v>
      </c>
    </row>
    <row r="2636" spans="2:37" ht="14.25">
      <c r="B2636" s="36"/>
      <c r="C2636" s="36"/>
      <c r="D2636" s="36"/>
      <c r="E2636" s="36"/>
      <c r="F2636" s="36"/>
      <c r="G2636" s="36"/>
      <c r="H2636" s="36"/>
      <c r="J2636" s="36"/>
      <c r="L2636" s="36"/>
      <c r="M2636" s="94"/>
      <c r="N2636" s="36"/>
      <c r="O2636" s="95"/>
      <c r="P2636" s="36"/>
      <c r="AI2636" s="122">
        <v>2324</v>
      </c>
      <c r="AJ2636" s="1" t="s">
        <v>1141</v>
      </c>
      <c r="AK2636" s="1" t="s">
        <v>1141</v>
      </c>
    </row>
    <row r="2637" spans="2:37" ht="14.25">
      <c r="B2637" s="36"/>
      <c r="C2637" s="36"/>
      <c r="D2637" s="36"/>
      <c r="E2637" s="36"/>
      <c r="F2637" s="36"/>
      <c r="G2637" s="36"/>
      <c r="H2637" s="36"/>
      <c r="J2637" s="36"/>
      <c r="L2637" s="36"/>
      <c r="M2637" s="94"/>
      <c r="N2637" s="36"/>
      <c r="O2637" s="95"/>
      <c r="P2637" s="36"/>
      <c r="AI2637" s="122">
        <v>2325</v>
      </c>
      <c r="AJ2637" s="1" t="s">
        <v>1141</v>
      </c>
      <c r="AK2637" s="1" t="s">
        <v>1141</v>
      </c>
    </row>
    <row r="2638" spans="2:37" ht="14.25">
      <c r="B2638" s="36"/>
      <c r="C2638" s="36"/>
      <c r="D2638" s="36"/>
      <c r="E2638" s="36"/>
      <c r="F2638" s="36"/>
      <c r="G2638" s="36"/>
      <c r="H2638" s="36"/>
      <c r="J2638" s="36"/>
      <c r="L2638" s="36"/>
      <c r="M2638" s="94"/>
      <c r="N2638" s="36"/>
      <c r="O2638" s="95"/>
      <c r="P2638" s="36"/>
      <c r="AI2638" s="122">
        <v>2326</v>
      </c>
      <c r="AJ2638" s="1" t="s">
        <v>1141</v>
      </c>
      <c r="AK2638" s="1" t="s">
        <v>1141</v>
      </c>
    </row>
    <row r="2639" spans="2:37" ht="14.25">
      <c r="B2639" s="36"/>
      <c r="C2639" s="36"/>
      <c r="D2639" s="36"/>
      <c r="E2639" s="36"/>
      <c r="F2639" s="36"/>
      <c r="G2639" s="36"/>
      <c r="H2639" s="36"/>
      <c r="J2639" s="36"/>
      <c r="L2639" s="36"/>
      <c r="M2639" s="94"/>
      <c r="N2639" s="36"/>
      <c r="O2639" s="95"/>
      <c r="P2639" s="36"/>
      <c r="AI2639" s="122">
        <v>2327</v>
      </c>
      <c r="AJ2639" s="1" t="s">
        <v>1141</v>
      </c>
      <c r="AK2639" s="1" t="s">
        <v>1141</v>
      </c>
    </row>
    <row r="2640" spans="2:37" ht="14.25">
      <c r="B2640" s="36"/>
      <c r="C2640" s="36"/>
      <c r="D2640" s="36"/>
      <c r="E2640" s="36"/>
      <c r="F2640" s="36"/>
      <c r="G2640" s="36"/>
      <c r="H2640" s="36"/>
      <c r="J2640" s="36"/>
      <c r="L2640" s="36"/>
      <c r="M2640" s="94"/>
      <c r="N2640" s="36"/>
      <c r="O2640" s="95"/>
      <c r="P2640" s="36"/>
      <c r="AI2640" s="122">
        <v>2328</v>
      </c>
      <c r="AJ2640" s="1" t="s">
        <v>1141</v>
      </c>
      <c r="AK2640" s="1" t="s">
        <v>1141</v>
      </c>
    </row>
    <row r="2641" spans="2:37" ht="14.25">
      <c r="B2641" s="36"/>
      <c r="C2641" s="36"/>
      <c r="D2641" s="36"/>
      <c r="E2641" s="36"/>
      <c r="F2641" s="36"/>
      <c r="G2641" s="36"/>
      <c r="H2641" s="36"/>
      <c r="J2641" s="36"/>
      <c r="L2641" s="36"/>
      <c r="M2641" s="94"/>
      <c r="N2641" s="36"/>
      <c r="O2641" s="95"/>
      <c r="P2641" s="36"/>
      <c r="AI2641" s="122">
        <v>2329</v>
      </c>
      <c r="AJ2641" s="1" t="s">
        <v>1141</v>
      </c>
      <c r="AK2641" s="1" t="s">
        <v>1141</v>
      </c>
    </row>
    <row r="2642" spans="2:37" ht="14.25">
      <c r="B2642" s="36"/>
      <c r="C2642" s="36"/>
      <c r="D2642" s="36"/>
      <c r="E2642" s="36"/>
      <c r="F2642" s="36"/>
      <c r="G2642" s="36"/>
      <c r="H2642" s="36"/>
      <c r="J2642" s="36"/>
      <c r="L2642" s="36"/>
      <c r="M2642" s="94"/>
      <c r="N2642" s="36"/>
      <c r="O2642" s="95"/>
      <c r="P2642" s="36"/>
      <c r="AI2642" s="122">
        <v>2330</v>
      </c>
      <c r="AJ2642" s="1" t="s">
        <v>1141</v>
      </c>
      <c r="AK2642" s="1" t="s">
        <v>1141</v>
      </c>
    </row>
    <row r="2643" spans="2:37" ht="14.25">
      <c r="B2643" s="36"/>
      <c r="C2643" s="36"/>
      <c r="D2643" s="36"/>
      <c r="E2643" s="36"/>
      <c r="F2643" s="36"/>
      <c r="G2643" s="36"/>
      <c r="H2643" s="36"/>
      <c r="J2643" s="36"/>
      <c r="L2643" s="36"/>
      <c r="M2643" s="94"/>
      <c r="N2643" s="36"/>
      <c r="O2643" s="95"/>
      <c r="P2643" s="36"/>
      <c r="AI2643" s="122">
        <v>2331</v>
      </c>
      <c r="AJ2643" s="1" t="s">
        <v>1141</v>
      </c>
      <c r="AK2643" s="1" t="s">
        <v>1141</v>
      </c>
    </row>
    <row r="2644" spans="2:37" ht="14.25">
      <c r="B2644" s="36"/>
      <c r="C2644" s="36"/>
      <c r="D2644" s="36"/>
      <c r="E2644" s="36"/>
      <c r="F2644" s="36"/>
      <c r="G2644" s="36"/>
      <c r="H2644" s="36"/>
      <c r="J2644" s="36"/>
      <c r="L2644" s="36"/>
      <c r="M2644" s="94"/>
      <c r="N2644" s="36"/>
      <c r="O2644" s="95"/>
      <c r="P2644" s="36"/>
      <c r="AI2644" s="122">
        <v>2332</v>
      </c>
      <c r="AJ2644" s="1" t="s">
        <v>1141</v>
      </c>
      <c r="AK2644" s="1" t="s">
        <v>1141</v>
      </c>
    </row>
    <row r="2645" spans="2:37" ht="14.25">
      <c r="B2645" s="36"/>
      <c r="C2645" s="36"/>
      <c r="D2645" s="36"/>
      <c r="E2645" s="36"/>
      <c r="F2645" s="36"/>
      <c r="G2645" s="36"/>
      <c r="H2645" s="36"/>
      <c r="J2645" s="36"/>
      <c r="L2645" s="36"/>
      <c r="M2645" s="94"/>
      <c r="N2645" s="36"/>
      <c r="O2645" s="95"/>
      <c r="P2645" s="36"/>
      <c r="AI2645" s="122">
        <v>2333</v>
      </c>
      <c r="AJ2645" s="1" t="s">
        <v>1141</v>
      </c>
      <c r="AK2645" s="1" t="s">
        <v>1141</v>
      </c>
    </row>
    <row r="2646" spans="2:37" ht="14.25">
      <c r="B2646" s="36"/>
      <c r="C2646" s="36"/>
      <c r="D2646" s="36"/>
      <c r="E2646" s="36"/>
      <c r="F2646" s="36"/>
      <c r="G2646" s="36"/>
      <c r="H2646" s="36"/>
      <c r="J2646" s="36"/>
      <c r="L2646" s="36"/>
      <c r="M2646" s="94"/>
      <c r="N2646" s="36"/>
      <c r="O2646" s="95"/>
      <c r="P2646" s="36"/>
      <c r="AI2646" s="122">
        <v>2334</v>
      </c>
      <c r="AJ2646" s="1" t="s">
        <v>1141</v>
      </c>
      <c r="AK2646" s="1" t="s">
        <v>1141</v>
      </c>
    </row>
    <row r="2647" spans="2:37" ht="14.25">
      <c r="B2647" s="36"/>
      <c r="C2647" s="36"/>
      <c r="D2647" s="36"/>
      <c r="E2647" s="36"/>
      <c r="F2647" s="36"/>
      <c r="G2647" s="36"/>
      <c r="H2647" s="36"/>
      <c r="J2647" s="36"/>
      <c r="L2647" s="36"/>
      <c r="M2647" s="94"/>
      <c r="N2647" s="36"/>
      <c r="O2647" s="95"/>
      <c r="P2647" s="36"/>
      <c r="AI2647" s="122">
        <v>2335</v>
      </c>
      <c r="AJ2647" s="1" t="s">
        <v>1141</v>
      </c>
      <c r="AK2647" s="1" t="s">
        <v>1141</v>
      </c>
    </row>
    <row r="2648" spans="2:37" ht="14.25">
      <c r="B2648" s="36"/>
      <c r="C2648" s="36"/>
      <c r="D2648" s="36"/>
      <c r="E2648" s="36"/>
      <c r="F2648" s="36"/>
      <c r="G2648" s="36"/>
      <c r="H2648" s="36"/>
      <c r="J2648" s="36"/>
      <c r="L2648" s="36"/>
      <c r="M2648" s="94"/>
      <c r="N2648" s="36"/>
      <c r="O2648" s="95"/>
      <c r="P2648" s="36"/>
      <c r="AI2648" s="122">
        <v>2336</v>
      </c>
      <c r="AJ2648" s="1" t="s">
        <v>1141</v>
      </c>
      <c r="AK2648" s="1" t="s">
        <v>1141</v>
      </c>
    </row>
    <row r="2649" spans="2:37" ht="14.25">
      <c r="B2649" s="36"/>
      <c r="C2649" s="36"/>
      <c r="D2649" s="36"/>
      <c r="E2649" s="36"/>
      <c r="F2649" s="36"/>
      <c r="G2649" s="36"/>
      <c r="H2649" s="36"/>
      <c r="J2649" s="36"/>
      <c r="L2649" s="36"/>
      <c r="M2649" s="94"/>
      <c r="N2649" s="36"/>
      <c r="O2649" s="95"/>
      <c r="P2649" s="36"/>
      <c r="AI2649" s="122">
        <v>2337</v>
      </c>
      <c r="AJ2649" s="1" t="s">
        <v>1141</v>
      </c>
      <c r="AK2649" s="1" t="s">
        <v>1141</v>
      </c>
    </row>
    <row r="2650" spans="2:37" ht="14.25">
      <c r="B2650" s="36"/>
      <c r="C2650" s="36"/>
      <c r="D2650" s="36"/>
      <c r="E2650" s="36"/>
      <c r="F2650" s="36"/>
      <c r="G2650" s="36"/>
      <c r="H2650" s="36"/>
      <c r="J2650" s="36"/>
      <c r="L2650" s="36"/>
      <c r="M2650" s="94"/>
      <c r="N2650" s="36"/>
      <c r="O2650" s="95"/>
      <c r="P2650" s="36"/>
      <c r="AI2650" s="122">
        <v>2338</v>
      </c>
      <c r="AJ2650" s="1" t="s">
        <v>1141</v>
      </c>
      <c r="AK2650" s="1" t="s">
        <v>1141</v>
      </c>
    </row>
    <row r="2651" spans="2:37" ht="14.25">
      <c r="B2651" s="36"/>
      <c r="C2651" s="36"/>
      <c r="D2651" s="36"/>
      <c r="E2651" s="36"/>
      <c r="F2651" s="36"/>
      <c r="G2651" s="36"/>
      <c r="H2651" s="36"/>
      <c r="J2651" s="36"/>
      <c r="L2651" s="36"/>
      <c r="M2651" s="94"/>
      <c r="N2651" s="36"/>
      <c r="O2651" s="95"/>
      <c r="P2651" s="36"/>
      <c r="AI2651" s="122">
        <v>2339</v>
      </c>
      <c r="AJ2651" s="1" t="s">
        <v>1141</v>
      </c>
      <c r="AK2651" s="1" t="s">
        <v>1141</v>
      </c>
    </row>
    <row r="2652" spans="2:37" ht="14.25">
      <c r="B2652" s="36"/>
      <c r="C2652" s="36"/>
      <c r="D2652" s="36"/>
      <c r="E2652" s="36"/>
      <c r="F2652" s="36"/>
      <c r="G2652" s="36"/>
      <c r="H2652" s="36"/>
      <c r="J2652" s="36"/>
      <c r="L2652" s="36"/>
      <c r="M2652" s="94"/>
      <c r="N2652" s="36"/>
      <c r="O2652" s="95"/>
      <c r="P2652" s="36"/>
      <c r="AI2652" s="122">
        <v>2340</v>
      </c>
      <c r="AJ2652" s="1" t="s">
        <v>1141</v>
      </c>
      <c r="AK2652" s="1" t="s">
        <v>1141</v>
      </c>
    </row>
    <row r="2653" spans="2:37" ht="14.25">
      <c r="B2653" s="36"/>
      <c r="C2653" s="36"/>
      <c r="D2653" s="36"/>
      <c r="E2653" s="36"/>
      <c r="F2653" s="36"/>
      <c r="G2653" s="36"/>
      <c r="H2653" s="36"/>
      <c r="J2653" s="36"/>
      <c r="L2653" s="36"/>
      <c r="M2653" s="94"/>
      <c r="N2653" s="36"/>
      <c r="O2653" s="95"/>
      <c r="P2653" s="36"/>
      <c r="AI2653" s="122">
        <v>2341</v>
      </c>
      <c r="AJ2653" s="1" t="s">
        <v>1141</v>
      </c>
      <c r="AK2653" s="1" t="s">
        <v>1141</v>
      </c>
    </row>
    <row r="2654" spans="2:37" ht="14.25">
      <c r="B2654" s="36"/>
      <c r="C2654" s="36"/>
      <c r="D2654" s="36"/>
      <c r="E2654" s="36"/>
      <c r="F2654" s="36"/>
      <c r="G2654" s="36"/>
      <c r="H2654" s="36"/>
      <c r="J2654" s="36"/>
      <c r="L2654" s="36"/>
      <c r="M2654" s="94"/>
      <c r="N2654" s="36"/>
      <c r="O2654" s="95"/>
      <c r="P2654" s="36"/>
      <c r="AI2654" s="122">
        <v>2342</v>
      </c>
      <c r="AJ2654" s="1" t="s">
        <v>1141</v>
      </c>
      <c r="AK2654" s="1" t="s">
        <v>1141</v>
      </c>
    </row>
    <row r="2655" spans="2:37" ht="14.25">
      <c r="B2655" s="36"/>
      <c r="C2655" s="36"/>
      <c r="D2655" s="36"/>
      <c r="E2655" s="36"/>
      <c r="F2655" s="36"/>
      <c r="G2655" s="36"/>
      <c r="H2655" s="36"/>
      <c r="J2655" s="36"/>
      <c r="M2655" s="98"/>
      <c r="O2655" s="99"/>
      <c r="AI2655" s="122">
        <v>2343</v>
      </c>
      <c r="AJ2655" s="1" t="s">
        <v>1141</v>
      </c>
      <c r="AK2655" s="1" t="s">
        <v>1141</v>
      </c>
    </row>
    <row r="2656" spans="2:37" ht="14.25">
      <c r="B2656" s="36"/>
      <c r="C2656" s="36"/>
      <c r="D2656" s="36"/>
      <c r="E2656" s="36"/>
      <c r="F2656" s="36"/>
      <c r="G2656" s="36"/>
      <c r="H2656" s="36"/>
      <c r="J2656" s="36"/>
      <c r="AI2656" s="122">
        <v>2344</v>
      </c>
      <c r="AJ2656" s="1" t="s">
        <v>1141</v>
      </c>
      <c r="AK2656" s="1" t="s">
        <v>1141</v>
      </c>
    </row>
    <row r="2657" spans="2:37" ht="14.25">
      <c r="B2657" s="36"/>
      <c r="C2657" s="36"/>
      <c r="D2657" s="36"/>
      <c r="E2657" s="36"/>
      <c r="F2657" s="36"/>
      <c r="G2657" s="36"/>
      <c r="H2657" s="36"/>
      <c r="J2657" s="36"/>
      <c r="AI2657" s="122">
        <v>2345</v>
      </c>
      <c r="AJ2657" s="1" t="s">
        <v>1141</v>
      </c>
      <c r="AK2657" s="1" t="s">
        <v>1141</v>
      </c>
    </row>
    <row r="2658" spans="2:37" ht="14.25">
      <c r="B2658" s="36"/>
      <c r="C2658" s="36"/>
      <c r="D2658" s="36"/>
      <c r="E2658" s="36"/>
      <c r="F2658" s="36"/>
      <c r="G2658" s="36"/>
      <c r="H2658" s="36"/>
      <c r="J2658" s="36"/>
      <c r="AI2658" s="122">
        <v>2346</v>
      </c>
      <c r="AJ2658" s="1" t="s">
        <v>1141</v>
      </c>
      <c r="AK2658" s="1" t="s">
        <v>1141</v>
      </c>
    </row>
    <row r="2659" spans="2:37" ht="14.25">
      <c r="B2659" s="36"/>
      <c r="C2659" s="36"/>
      <c r="D2659" s="36"/>
      <c r="E2659" s="36"/>
      <c r="F2659" s="36"/>
      <c r="G2659" s="36"/>
      <c r="H2659" s="36"/>
      <c r="J2659" s="36"/>
      <c r="AI2659" s="122">
        <v>2347</v>
      </c>
      <c r="AJ2659" s="1" t="s">
        <v>1141</v>
      </c>
      <c r="AK2659" s="1" t="s">
        <v>1141</v>
      </c>
    </row>
    <row r="2660" spans="2:37" ht="14.25">
      <c r="B2660" s="36"/>
      <c r="C2660" s="36"/>
      <c r="D2660" s="36"/>
      <c r="E2660" s="36"/>
      <c r="F2660" s="36"/>
      <c r="G2660" s="36"/>
      <c r="H2660" s="36"/>
      <c r="J2660" s="36"/>
      <c r="AI2660" s="122">
        <v>2348</v>
      </c>
      <c r="AJ2660" s="1" t="s">
        <v>1141</v>
      </c>
      <c r="AK2660" s="1" t="s">
        <v>1141</v>
      </c>
    </row>
    <row r="2661" spans="2:37" ht="14.25">
      <c r="B2661" s="36"/>
      <c r="C2661" s="36"/>
      <c r="D2661" s="36"/>
      <c r="E2661" s="36"/>
      <c r="F2661" s="36"/>
      <c r="G2661" s="36"/>
      <c r="H2661" s="36"/>
      <c r="J2661" s="36"/>
      <c r="AI2661" s="122">
        <v>2349</v>
      </c>
      <c r="AJ2661" s="1" t="s">
        <v>1141</v>
      </c>
      <c r="AK2661" s="1" t="s">
        <v>1141</v>
      </c>
    </row>
    <row r="2662" spans="2:37" ht="14.25">
      <c r="B2662" s="36"/>
      <c r="C2662" s="36"/>
      <c r="D2662" s="36"/>
      <c r="E2662" s="36"/>
      <c r="F2662" s="36"/>
      <c r="G2662" s="36"/>
      <c r="H2662" s="36"/>
      <c r="J2662" s="36"/>
      <c r="AI2662" s="122">
        <v>2350</v>
      </c>
      <c r="AJ2662" s="1" t="s">
        <v>1141</v>
      </c>
      <c r="AK2662" s="1" t="s">
        <v>1141</v>
      </c>
    </row>
    <row r="2663" spans="2:37" ht="14.25">
      <c r="B2663" s="36"/>
      <c r="C2663" s="36"/>
      <c r="D2663" s="36"/>
      <c r="E2663" s="36"/>
      <c r="F2663" s="36"/>
      <c r="G2663" s="36"/>
      <c r="H2663" s="36"/>
      <c r="J2663" s="36"/>
      <c r="AI2663" s="122">
        <v>2351</v>
      </c>
      <c r="AJ2663" s="1" t="s">
        <v>1141</v>
      </c>
      <c r="AK2663" s="1" t="s">
        <v>1141</v>
      </c>
    </row>
    <row r="2664" spans="2:37" ht="14.25">
      <c r="B2664" s="36"/>
      <c r="C2664" s="36"/>
      <c r="D2664" s="36"/>
      <c r="E2664" s="36"/>
      <c r="F2664" s="36"/>
      <c r="G2664" s="36"/>
      <c r="H2664" s="36"/>
      <c r="J2664" s="36"/>
      <c r="AI2664" s="122">
        <v>2352</v>
      </c>
      <c r="AJ2664" s="1" t="s">
        <v>1141</v>
      </c>
      <c r="AK2664" s="1" t="s">
        <v>1141</v>
      </c>
    </row>
    <row r="2665" spans="2:37" ht="14.25">
      <c r="B2665" s="36"/>
      <c r="C2665" s="36"/>
      <c r="D2665" s="36"/>
      <c r="E2665" s="36"/>
      <c r="F2665" s="36"/>
      <c r="G2665" s="36"/>
      <c r="H2665" s="36"/>
      <c r="J2665" s="36"/>
      <c r="AI2665" s="122">
        <v>2353</v>
      </c>
      <c r="AJ2665" s="1" t="s">
        <v>1141</v>
      </c>
      <c r="AK2665" s="1" t="s">
        <v>1141</v>
      </c>
    </row>
    <row r="2666" spans="2:37" ht="14.25">
      <c r="B2666" s="36"/>
      <c r="C2666" s="36"/>
      <c r="D2666" s="36"/>
      <c r="E2666" s="36"/>
      <c r="F2666" s="36"/>
      <c r="G2666" s="36"/>
      <c r="H2666" s="36"/>
      <c r="J2666" s="36"/>
      <c r="AI2666" s="122">
        <v>2354</v>
      </c>
      <c r="AJ2666" s="1" t="s">
        <v>1141</v>
      </c>
      <c r="AK2666" s="1" t="s">
        <v>1141</v>
      </c>
    </row>
    <row r="2667" spans="2:37" ht="14.25">
      <c r="B2667" s="36"/>
      <c r="C2667" s="36"/>
      <c r="D2667" s="36"/>
      <c r="E2667" s="36"/>
      <c r="F2667" s="36"/>
      <c r="G2667" s="36"/>
      <c r="H2667" s="36"/>
      <c r="J2667" s="36"/>
      <c r="AI2667" s="122">
        <v>2355</v>
      </c>
      <c r="AJ2667" s="1" t="s">
        <v>1141</v>
      </c>
      <c r="AK2667" s="1" t="s">
        <v>1141</v>
      </c>
    </row>
    <row r="2668" spans="2:37" ht="14.25">
      <c r="B2668" s="36"/>
      <c r="C2668" s="36"/>
      <c r="D2668" s="36"/>
      <c r="E2668" s="36"/>
      <c r="F2668" s="36"/>
      <c r="G2668" s="36"/>
      <c r="H2668" s="36"/>
      <c r="J2668" s="36"/>
      <c r="AI2668" s="122">
        <v>2356</v>
      </c>
      <c r="AJ2668" s="1" t="s">
        <v>1141</v>
      </c>
      <c r="AK2668" s="1" t="s">
        <v>1141</v>
      </c>
    </row>
    <row r="2669" spans="2:37" ht="14.25">
      <c r="B2669" s="36"/>
      <c r="C2669" s="36"/>
      <c r="D2669" s="36"/>
      <c r="E2669" s="36"/>
      <c r="F2669" s="36"/>
      <c r="G2669" s="36"/>
      <c r="H2669" s="36"/>
      <c r="J2669" s="36"/>
      <c r="AI2669" s="122">
        <v>2357</v>
      </c>
      <c r="AJ2669" s="1" t="s">
        <v>1141</v>
      </c>
      <c r="AK2669" s="1" t="s">
        <v>1141</v>
      </c>
    </row>
    <row r="2670" spans="2:37" ht="14.25">
      <c r="B2670" s="36"/>
      <c r="C2670" s="36"/>
      <c r="D2670" s="36"/>
      <c r="E2670" s="36"/>
      <c r="F2670" s="36"/>
      <c r="G2670" s="36"/>
      <c r="H2670" s="36"/>
      <c r="J2670" s="36"/>
      <c r="AI2670" s="122">
        <v>2358</v>
      </c>
      <c r="AJ2670" s="1" t="s">
        <v>1141</v>
      </c>
      <c r="AK2670" s="1" t="s">
        <v>1141</v>
      </c>
    </row>
    <row r="2671" spans="2:37" ht="14.25">
      <c r="B2671" s="36"/>
      <c r="C2671" s="36"/>
      <c r="D2671" s="36"/>
      <c r="E2671" s="36"/>
      <c r="F2671" s="36"/>
      <c r="G2671" s="36"/>
      <c r="H2671" s="36"/>
      <c r="J2671" s="36"/>
      <c r="AI2671" s="122">
        <v>2359</v>
      </c>
      <c r="AJ2671" s="1" t="s">
        <v>1141</v>
      </c>
      <c r="AK2671" s="1" t="s">
        <v>1141</v>
      </c>
    </row>
    <row r="2672" spans="2:37" ht="14.25">
      <c r="B2672" s="36"/>
      <c r="C2672" s="36"/>
      <c r="D2672" s="36"/>
      <c r="E2672" s="36"/>
      <c r="F2672" s="36"/>
      <c r="G2672" s="36"/>
      <c r="H2672" s="36"/>
      <c r="J2672" s="36"/>
      <c r="AI2672" s="122">
        <v>2360</v>
      </c>
      <c r="AJ2672" s="1" t="s">
        <v>1141</v>
      </c>
      <c r="AK2672" s="1" t="s">
        <v>1141</v>
      </c>
    </row>
    <row r="2673" spans="2:37" ht="14.25">
      <c r="B2673" s="36"/>
      <c r="C2673" s="36"/>
      <c r="D2673" s="36"/>
      <c r="E2673" s="36"/>
      <c r="F2673" s="36"/>
      <c r="G2673" s="36"/>
      <c r="H2673" s="36"/>
      <c r="J2673" s="36"/>
      <c r="AI2673" s="122">
        <v>2361</v>
      </c>
      <c r="AJ2673" s="1" t="s">
        <v>1141</v>
      </c>
      <c r="AK2673" s="1" t="s">
        <v>1141</v>
      </c>
    </row>
    <row r="2674" spans="2:37" ht="14.25">
      <c r="B2674" s="36"/>
      <c r="C2674" s="36"/>
      <c r="D2674" s="36"/>
      <c r="E2674" s="36"/>
      <c r="F2674" s="36"/>
      <c r="G2674" s="36"/>
      <c r="H2674" s="36"/>
      <c r="J2674" s="36"/>
      <c r="AI2674" s="122">
        <v>2362</v>
      </c>
      <c r="AJ2674" s="1" t="s">
        <v>1141</v>
      </c>
      <c r="AK2674" s="1" t="s">
        <v>1141</v>
      </c>
    </row>
    <row r="2675" spans="2:37" ht="14.25">
      <c r="B2675" s="36"/>
      <c r="C2675" s="36"/>
      <c r="D2675" s="36"/>
      <c r="E2675" s="36"/>
      <c r="F2675" s="36"/>
      <c r="G2675" s="36"/>
      <c r="H2675" s="36"/>
      <c r="J2675" s="36"/>
      <c r="AI2675" s="122">
        <v>2363</v>
      </c>
      <c r="AJ2675" s="1" t="s">
        <v>1141</v>
      </c>
      <c r="AK2675" s="1" t="s">
        <v>1141</v>
      </c>
    </row>
    <row r="2676" spans="2:37" ht="14.25">
      <c r="B2676" s="36"/>
      <c r="C2676" s="36"/>
      <c r="D2676" s="36"/>
      <c r="E2676" s="36"/>
      <c r="F2676" s="36"/>
      <c r="G2676" s="36"/>
      <c r="H2676" s="36"/>
      <c r="J2676" s="36"/>
      <c r="AI2676" s="122">
        <v>2364</v>
      </c>
      <c r="AJ2676" s="1" t="s">
        <v>1141</v>
      </c>
      <c r="AK2676" s="1" t="s">
        <v>1141</v>
      </c>
    </row>
    <row r="2677" spans="2:37" ht="14.25">
      <c r="B2677" s="36"/>
      <c r="C2677" s="36"/>
      <c r="D2677" s="36"/>
      <c r="E2677" s="36"/>
      <c r="F2677" s="36"/>
      <c r="G2677" s="36"/>
      <c r="H2677" s="36"/>
      <c r="J2677" s="36"/>
      <c r="AI2677" s="122">
        <v>2365</v>
      </c>
      <c r="AJ2677" s="1" t="s">
        <v>1141</v>
      </c>
      <c r="AK2677" s="1" t="s">
        <v>1141</v>
      </c>
    </row>
    <row r="2678" spans="2:37" ht="14.25">
      <c r="B2678" s="36"/>
      <c r="C2678" s="36"/>
      <c r="D2678" s="36"/>
      <c r="E2678" s="36"/>
      <c r="F2678" s="36"/>
      <c r="G2678" s="36"/>
      <c r="H2678" s="36"/>
      <c r="J2678" s="36"/>
      <c r="AI2678" s="122">
        <v>2366</v>
      </c>
      <c r="AJ2678" s="1" t="s">
        <v>1141</v>
      </c>
      <c r="AK2678" s="1" t="s">
        <v>1141</v>
      </c>
    </row>
    <row r="2679" spans="2:37" ht="14.25">
      <c r="B2679" s="36"/>
      <c r="C2679" s="36"/>
      <c r="D2679" s="36"/>
      <c r="E2679" s="36"/>
      <c r="F2679" s="36"/>
      <c r="G2679" s="36"/>
      <c r="H2679" s="36"/>
      <c r="J2679" s="36"/>
      <c r="AI2679" s="122">
        <v>2367</v>
      </c>
      <c r="AJ2679" s="1" t="s">
        <v>1141</v>
      </c>
      <c r="AK2679" s="1" t="s">
        <v>1141</v>
      </c>
    </row>
    <row r="2680" spans="2:37" ht="14.25">
      <c r="B2680" s="36"/>
      <c r="C2680" s="36"/>
      <c r="D2680" s="36"/>
      <c r="E2680" s="36"/>
      <c r="F2680" s="36"/>
      <c r="G2680" s="36"/>
      <c r="H2680" s="36"/>
      <c r="J2680" s="36"/>
      <c r="AI2680" s="122">
        <v>2368</v>
      </c>
      <c r="AJ2680" s="1" t="s">
        <v>1141</v>
      </c>
      <c r="AK2680" s="1" t="s">
        <v>1141</v>
      </c>
    </row>
    <row r="2681" spans="2:37" ht="14.25">
      <c r="B2681" s="36"/>
      <c r="C2681" s="36"/>
      <c r="D2681" s="36"/>
      <c r="E2681" s="36"/>
      <c r="F2681" s="36"/>
      <c r="G2681" s="36"/>
      <c r="H2681" s="36"/>
      <c r="J2681" s="36"/>
      <c r="AI2681" s="122">
        <v>2369</v>
      </c>
      <c r="AJ2681" s="1" t="s">
        <v>1141</v>
      </c>
      <c r="AK2681" s="1" t="s">
        <v>1141</v>
      </c>
    </row>
    <row r="2682" spans="2:37" ht="14.25">
      <c r="B2682" s="36"/>
      <c r="C2682" s="36"/>
      <c r="D2682" s="36"/>
      <c r="E2682" s="36"/>
      <c r="F2682" s="36"/>
      <c r="G2682" s="36"/>
      <c r="H2682" s="36"/>
      <c r="J2682" s="36"/>
      <c r="AI2682" s="122">
        <v>2370</v>
      </c>
      <c r="AJ2682" s="1" t="s">
        <v>1141</v>
      </c>
      <c r="AK2682" s="1" t="s">
        <v>1141</v>
      </c>
    </row>
    <row r="2683" spans="2:37" ht="14.25">
      <c r="B2683" s="36"/>
      <c r="C2683" s="36"/>
      <c r="D2683" s="36"/>
      <c r="E2683" s="36"/>
      <c r="F2683" s="36"/>
      <c r="G2683" s="36"/>
      <c r="H2683" s="36"/>
      <c r="J2683" s="36"/>
      <c r="AI2683" s="122">
        <v>2371</v>
      </c>
      <c r="AJ2683" s="1" t="s">
        <v>1141</v>
      </c>
      <c r="AK2683" s="1" t="s">
        <v>1141</v>
      </c>
    </row>
    <row r="2684" spans="2:37" ht="14.25">
      <c r="B2684" s="36"/>
      <c r="C2684" s="36"/>
      <c r="D2684" s="36"/>
      <c r="E2684" s="36"/>
      <c r="F2684" s="36"/>
      <c r="G2684" s="36"/>
      <c r="H2684" s="36"/>
      <c r="J2684" s="36"/>
      <c r="AI2684" s="122">
        <v>2372</v>
      </c>
      <c r="AJ2684" s="1" t="s">
        <v>1141</v>
      </c>
      <c r="AK2684" s="1" t="s">
        <v>1141</v>
      </c>
    </row>
    <row r="2685" spans="2:37" ht="14.25">
      <c r="B2685" s="36"/>
      <c r="C2685" s="36"/>
      <c r="D2685" s="36"/>
      <c r="E2685" s="36"/>
      <c r="F2685" s="36"/>
      <c r="G2685" s="36"/>
      <c r="H2685" s="36"/>
      <c r="J2685" s="36"/>
      <c r="AI2685" s="122">
        <v>2373</v>
      </c>
      <c r="AJ2685" s="1" t="s">
        <v>1141</v>
      </c>
      <c r="AK2685" s="1" t="s">
        <v>1141</v>
      </c>
    </row>
    <row r="2686" spans="2:37" ht="14.25">
      <c r="B2686" s="36"/>
      <c r="C2686" s="36"/>
      <c r="D2686" s="36"/>
      <c r="E2686" s="36"/>
      <c r="F2686" s="36"/>
      <c r="G2686" s="36"/>
      <c r="H2686" s="36"/>
      <c r="J2686" s="36"/>
      <c r="AI2686" s="122">
        <v>2374</v>
      </c>
      <c r="AJ2686" s="1" t="s">
        <v>1141</v>
      </c>
      <c r="AK2686" s="1" t="s">
        <v>1141</v>
      </c>
    </row>
    <row r="2687" spans="2:37" ht="14.25">
      <c r="B2687" s="36"/>
      <c r="C2687" s="36"/>
      <c r="D2687" s="36"/>
      <c r="E2687" s="36"/>
      <c r="F2687" s="36"/>
      <c r="G2687" s="36"/>
      <c r="H2687" s="36"/>
      <c r="J2687" s="36"/>
      <c r="AI2687" s="122">
        <v>2375</v>
      </c>
      <c r="AJ2687" s="1" t="s">
        <v>1141</v>
      </c>
      <c r="AK2687" s="1" t="s">
        <v>1141</v>
      </c>
    </row>
    <row r="2688" spans="2:37" ht="14.25">
      <c r="B2688" s="36"/>
      <c r="C2688" s="36"/>
      <c r="D2688" s="36"/>
      <c r="E2688" s="36"/>
      <c r="F2688" s="36"/>
      <c r="G2688" s="36"/>
      <c r="H2688" s="36"/>
      <c r="J2688" s="36"/>
      <c r="AI2688" s="122">
        <v>2376</v>
      </c>
      <c r="AJ2688" s="1" t="s">
        <v>1141</v>
      </c>
      <c r="AK2688" s="1" t="s">
        <v>1141</v>
      </c>
    </row>
    <row r="2689" spans="2:37" ht="14.25">
      <c r="B2689" s="36"/>
      <c r="C2689" s="36"/>
      <c r="D2689" s="36"/>
      <c r="E2689" s="36"/>
      <c r="F2689" s="36"/>
      <c r="G2689" s="36"/>
      <c r="H2689" s="36"/>
      <c r="J2689" s="36"/>
      <c r="AI2689" s="122">
        <v>2377</v>
      </c>
      <c r="AJ2689" s="1" t="s">
        <v>1141</v>
      </c>
      <c r="AK2689" s="1" t="s">
        <v>1141</v>
      </c>
    </row>
    <row r="2690" spans="2:37" ht="14.25">
      <c r="B2690" s="36"/>
      <c r="C2690" s="36"/>
      <c r="D2690" s="36"/>
      <c r="E2690" s="36"/>
      <c r="F2690" s="36"/>
      <c r="G2690" s="36"/>
      <c r="H2690" s="36"/>
      <c r="J2690" s="36"/>
      <c r="AI2690" s="122">
        <v>2378</v>
      </c>
      <c r="AJ2690" s="1" t="s">
        <v>1141</v>
      </c>
      <c r="AK2690" s="1" t="s">
        <v>1141</v>
      </c>
    </row>
    <row r="2691" spans="2:37" ht="14.25">
      <c r="B2691" s="36"/>
      <c r="C2691" s="36"/>
      <c r="D2691" s="36"/>
      <c r="E2691" s="36"/>
      <c r="F2691" s="36"/>
      <c r="G2691" s="36"/>
      <c r="H2691" s="36"/>
      <c r="J2691" s="36"/>
      <c r="AI2691" s="122">
        <v>2379</v>
      </c>
      <c r="AJ2691" s="1" t="s">
        <v>1141</v>
      </c>
      <c r="AK2691" s="1" t="s">
        <v>1141</v>
      </c>
    </row>
    <row r="2692" spans="2:37" ht="14.25">
      <c r="B2692" s="36"/>
      <c r="C2692" s="36"/>
      <c r="D2692" s="36"/>
      <c r="E2692" s="36"/>
      <c r="F2692" s="36"/>
      <c r="G2692" s="36"/>
      <c r="H2692" s="36"/>
      <c r="J2692" s="36"/>
      <c r="AI2692" s="122">
        <v>2380</v>
      </c>
      <c r="AJ2692" s="1" t="s">
        <v>1141</v>
      </c>
      <c r="AK2692" s="1" t="s">
        <v>1141</v>
      </c>
    </row>
    <row r="2693" spans="2:37" ht="14.25">
      <c r="B2693" s="36"/>
      <c r="C2693" s="36"/>
      <c r="D2693" s="36"/>
      <c r="E2693" s="36"/>
      <c r="F2693" s="36"/>
      <c r="G2693" s="36"/>
      <c r="H2693" s="36"/>
      <c r="J2693" s="36"/>
      <c r="AI2693" s="122">
        <v>2381</v>
      </c>
      <c r="AJ2693" s="1" t="s">
        <v>1141</v>
      </c>
      <c r="AK2693" s="1" t="s">
        <v>1141</v>
      </c>
    </row>
    <row r="2694" spans="2:37" ht="14.25">
      <c r="B2694" s="36"/>
      <c r="C2694" s="36"/>
      <c r="D2694" s="36"/>
      <c r="E2694" s="36"/>
      <c r="F2694" s="36"/>
      <c r="G2694" s="36"/>
      <c r="H2694" s="36"/>
      <c r="J2694" s="36"/>
      <c r="AI2694" s="122">
        <v>2382</v>
      </c>
      <c r="AJ2694" s="1" t="s">
        <v>1141</v>
      </c>
      <c r="AK2694" s="1" t="s">
        <v>1141</v>
      </c>
    </row>
    <row r="2695" spans="2:37" ht="14.25">
      <c r="B2695" s="36"/>
      <c r="C2695" s="36"/>
      <c r="D2695" s="36"/>
      <c r="E2695" s="36"/>
      <c r="F2695" s="36"/>
      <c r="G2695" s="36"/>
      <c r="H2695" s="36"/>
      <c r="J2695" s="36"/>
      <c r="AI2695" s="122">
        <v>2383</v>
      </c>
      <c r="AJ2695" s="1" t="s">
        <v>1141</v>
      </c>
      <c r="AK2695" s="1" t="s">
        <v>1141</v>
      </c>
    </row>
    <row r="2696" spans="2:37" ht="14.25">
      <c r="B2696" s="36"/>
      <c r="C2696" s="36"/>
      <c r="D2696" s="36"/>
      <c r="E2696" s="36"/>
      <c r="F2696" s="36"/>
      <c r="G2696" s="36"/>
      <c r="H2696" s="36"/>
      <c r="J2696" s="36"/>
      <c r="AI2696" s="122">
        <v>2384</v>
      </c>
      <c r="AJ2696" s="1" t="s">
        <v>1141</v>
      </c>
      <c r="AK2696" s="1" t="s">
        <v>1141</v>
      </c>
    </row>
    <row r="2697" spans="2:37" ht="14.25">
      <c r="B2697" s="36"/>
      <c r="C2697" s="36"/>
      <c r="D2697" s="36"/>
      <c r="E2697" s="36"/>
      <c r="F2697" s="36"/>
      <c r="G2697" s="36"/>
      <c r="H2697" s="36"/>
      <c r="J2697" s="36"/>
      <c r="AI2697" s="122">
        <v>2385</v>
      </c>
      <c r="AJ2697" s="1" t="s">
        <v>1141</v>
      </c>
      <c r="AK2697" s="1" t="s">
        <v>1141</v>
      </c>
    </row>
    <row r="2698" spans="2:37" ht="14.25">
      <c r="B2698" s="36"/>
      <c r="C2698" s="36"/>
      <c r="D2698" s="36"/>
      <c r="E2698" s="36"/>
      <c r="F2698" s="36"/>
      <c r="G2698" s="36"/>
      <c r="H2698" s="36"/>
      <c r="J2698" s="36"/>
      <c r="AI2698" s="122">
        <v>2386</v>
      </c>
      <c r="AJ2698" s="1" t="s">
        <v>1141</v>
      </c>
      <c r="AK2698" s="1" t="s">
        <v>1141</v>
      </c>
    </row>
    <row r="2699" spans="2:37" ht="14.25">
      <c r="B2699" s="36"/>
      <c r="C2699" s="36"/>
      <c r="D2699" s="36"/>
      <c r="E2699" s="36"/>
      <c r="F2699" s="36"/>
      <c r="G2699" s="36"/>
      <c r="H2699" s="36"/>
      <c r="J2699" s="36"/>
      <c r="AI2699" s="122">
        <v>2387</v>
      </c>
      <c r="AJ2699" s="1" t="s">
        <v>1141</v>
      </c>
      <c r="AK2699" s="1" t="s">
        <v>1141</v>
      </c>
    </row>
    <row r="2700" spans="2:37" ht="14.25">
      <c r="B2700" s="36"/>
      <c r="C2700" s="36"/>
      <c r="D2700" s="36"/>
      <c r="E2700" s="36"/>
      <c r="F2700" s="36"/>
      <c r="G2700" s="36"/>
      <c r="H2700" s="36"/>
      <c r="J2700" s="36"/>
      <c r="AI2700" s="122">
        <v>2388</v>
      </c>
      <c r="AJ2700" s="1" t="s">
        <v>1141</v>
      </c>
      <c r="AK2700" s="1" t="s">
        <v>1141</v>
      </c>
    </row>
    <row r="2701" spans="2:37" ht="14.25">
      <c r="B2701" s="36"/>
      <c r="C2701" s="36"/>
      <c r="D2701" s="36"/>
      <c r="E2701" s="36"/>
      <c r="F2701" s="36"/>
      <c r="G2701" s="36"/>
      <c r="H2701" s="36"/>
      <c r="J2701" s="36"/>
      <c r="AI2701" s="122">
        <v>2389</v>
      </c>
      <c r="AJ2701" s="1" t="s">
        <v>1141</v>
      </c>
      <c r="AK2701" s="1" t="s">
        <v>1141</v>
      </c>
    </row>
    <row r="2702" spans="2:37" ht="14.25">
      <c r="B2702" s="36"/>
      <c r="C2702" s="36"/>
      <c r="D2702" s="36"/>
      <c r="E2702" s="36"/>
      <c r="F2702" s="36"/>
      <c r="G2702" s="36"/>
      <c r="H2702" s="36"/>
      <c r="J2702" s="36"/>
      <c r="AI2702" s="122">
        <v>2390</v>
      </c>
      <c r="AJ2702" s="1" t="s">
        <v>1141</v>
      </c>
      <c r="AK2702" s="1" t="s">
        <v>1141</v>
      </c>
    </row>
    <row r="2703" spans="2:37" ht="14.25">
      <c r="B2703" s="36"/>
      <c r="C2703" s="36"/>
      <c r="D2703" s="36"/>
      <c r="E2703" s="36"/>
      <c r="F2703" s="36"/>
      <c r="G2703" s="36"/>
      <c r="H2703" s="36"/>
      <c r="J2703" s="36"/>
      <c r="AI2703" s="122">
        <v>2391</v>
      </c>
      <c r="AJ2703" s="1" t="s">
        <v>1141</v>
      </c>
      <c r="AK2703" s="1" t="s">
        <v>1141</v>
      </c>
    </row>
    <row r="2704" spans="2:37" ht="14.25">
      <c r="B2704" s="36"/>
      <c r="C2704" s="36"/>
      <c r="D2704" s="36"/>
      <c r="E2704" s="36"/>
      <c r="F2704" s="36"/>
      <c r="G2704" s="36"/>
      <c r="H2704" s="36"/>
      <c r="J2704" s="36"/>
      <c r="AI2704" s="122">
        <v>2392</v>
      </c>
      <c r="AJ2704" s="1" t="s">
        <v>1141</v>
      </c>
      <c r="AK2704" s="1" t="s">
        <v>1141</v>
      </c>
    </row>
    <row r="2705" spans="2:37" ht="14.25">
      <c r="B2705" s="36"/>
      <c r="C2705" s="36"/>
      <c r="D2705" s="36"/>
      <c r="E2705" s="36"/>
      <c r="F2705" s="36"/>
      <c r="G2705" s="36"/>
      <c r="H2705" s="36"/>
      <c r="J2705" s="36"/>
      <c r="AI2705" s="122">
        <v>2393</v>
      </c>
      <c r="AJ2705" s="1" t="s">
        <v>1141</v>
      </c>
      <c r="AK2705" s="1" t="s">
        <v>1141</v>
      </c>
    </row>
    <row r="2706" spans="2:37" ht="14.25">
      <c r="B2706" s="36"/>
      <c r="C2706" s="36"/>
      <c r="D2706" s="36"/>
      <c r="E2706" s="36"/>
      <c r="F2706" s="36"/>
      <c r="G2706" s="36"/>
      <c r="H2706" s="36"/>
      <c r="J2706" s="36"/>
      <c r="AI2706" s="122">
        <v>2394</v>
      </c>
      <c r="AJ2706" s="1" t="s">
        <v>1141</v>
      </c>
      <c r="AK2706" s="1" t="s">
        <v>1141</v>
      </c>
    </row>
    <row r="2707" spans="2:37" ht="14.25">
      <c r="B2707" s="36"/>
      <c r="C2707" s="36"/>
      <c r="D2707" s="36"/>
      <c r="E2707" s="36"/>
      <c r="F2707" s="36"/>
      <c r="G2707" s="36"/>
      <c r="H2707" s="36"/>
      <c r="J2707" s="36"/>
      <c r="AI2707" s="122">
        <v>2395</v>
      </c>
      <c r="AJ2707" s="1" t="s">
        <v>1141</v>
      </c>
      <c r="AK2707" s="1" t="s">
        <v>1141</v>
      </c>
    </row>
    <row r="2708" spans="2:37" ht="14.25">
      <c r="B2708" s="36"/>
      <c r="C2708" s="36"/>
      <c r="D2708" s="36"/>
      <c r="E2708" s="36"/>
      <c r="F2708" s="36"/>
      <c r="G2708" s="36"/>
      <c r="H2708" s="36"/>
      <c r="J2708" s="36"/>
      <c r="AI2708" s="122">
        <v>2396</v>
      </c>
      <c r="AJ2708" s="1" t="s">
        <v>1141</v>
      </c>
      <c r="AK2708" s="1" t="s">
        <v>1141</v>
      </c>
    </row>
    <row r="2709" spans="2:37" ht="14.25">
      <c r="B2709" s="36"/>
      <c r="C2709" s="36"/>
      <c r="D2709" s="36"/>
      <c r="E2709" s="36"/>
      <c r="F2709" s="36"/>
      <c r="G2709" s="36"/>
      <c r="H2709" s="36"/>
      <c r="J2709" s="36"/>
      <c r="AI2709" s="122">
        <v>2397</v>
      </c>
      <c r="AJ2709" s="1" t="s">
        <v>1141</v>
      </c>
      <c r="AK2709" s="1" t="s">
        <v>1141</v>
      </c>
    </row>
    <row r="2710" spans="2:37" ht="14.25">
      <c r="B2710" s="36"/>
      <c r="C2710" s="36"/>
      <c r="D2710" s="36"/>
      <c r="E2710" s="36"/>
      <c r="F2710" s="36"/>
      <c r="G2710" s="36"/>
      <c r="H2710" s="36"/>
      <c r="J2710" s="36"/>
      <c r="AI2710" s="122">
        <v>2398</v>
      </c>
      <c r="AJ2710" s="1" t="s">
        <v>1141</v>
      </c>
      <c r="AK2710" s="1" t="s">
        <v>1141</v>
      </c>
    </row>
    <row r="2711" spans="2:37" ht="14.25">
      <c r="B2711" s="36"/>
      <c r="C2711" s="36"/>
      <c r="D2711" s="36"/>
      <c r="E2711" s="36"/>
      <c r="F2711" s="36"/>
      <c r="G2711" s="36"/>
      <c r="H2711" s="36"/>
      <c r="J2711" s="36"/>
      <c r="AI2711" s="122">
        <v>2399</v>
      </c>
      <c r="AJ2711" s="1" t="s">
        <v>1141</v>
      </c>
      <c r="AK2711" s="1" t="s">
        <v>1141</v>
      </c>
    </row>
    <row r="2712" spans="2:37" ht="14.25">
      <c r="B2712" s="36"/>
      <c r="C2712" s="36"/>
      <c r="D2712" s="36"/>
      <c r="E2712" s="36"/>
      <c r="F2712" s="36"/>
      <c r="G2712" s="36"/>
      <c r="H2712" s="36"/>
      <c r="J2712" s="36"/>
      <c r="AI2712" s="122">
        <v>2400</v>
      </c>
      <c r="AJ2712" s="1" t="s">
        <v>1141</v>
      </c>
      <c r="AK2712" s="1" t="s">
        <v>1141</v>
      </c>
    </row>
    <row r="2713" spans="2:37" ht="14.25">
      <c r="B2713" s="36"/>
      <c r="C2713" s="36"/>
      <c r="D2713" s="36"/>
      <c r="E2713" s="36"/>
      <c r="F2713" s="36"/>
      <c r="G2713" s="36"/>
      <c r="H2713" s="36"/>
      <c r="J2713" s="36"/>
      <c r="AI2713" s="122">
        <v>2401</v>
      </c>
      <c r="AJ2713" s="1" t="s">
        <v>1141</v>
      </c>
      <c r="AK2713" s="1" t="s">
        <v>1141</v>
      </c>
    </row>
    <row r="2714" spans="2:37" ht="14.25">
      <c r="B2714" s="36"/>
      <c r="C2714" s="36"/>
      <c r="D2714" s="36"/>
      <c r="E2714" s="36"/>
      <c r="F2714" s="36"/>
      <c r="G2714" s="36"/>
      <c r="H2714" s="36"/>
      <c r="J2714" s="36"/>
      <c r="AI2714" s="122">
        <v>2402</v>
      </c>
      <c r="AJ2714" s="1" t="s">
        <v>1141</v>
      </c>
      <c r="AK2714" s="1" t="s">
        <v>1141</v>
      </c>
    </row>
    <row r="2715" spans="2:37" ht="14.25">
      <c r="B2715" s="36"/>
      <c r="C2715" s="36"/>
      <c r="D2715" s="36"/>
      <c r="E2715" s="36"/>
      <c r="F2715" s="36"/>
      <c r="G2715" s="36"/>
      <c r="H2715" s="36"/>
      <c r="J2715" s="36"/>
      <c r="AI2715" s="122">
        <v>2403</v>
      </c>
      <c r="AJ2715" s="1" t="s">
        <v>1141</v>
      </c>
      <c r="AK2715" s="1" t="s">
        <v>1141</v>
      </c>
    </row>
    <row r="2716" spans="2:37" ht="14.25">
      <c r="B2716" s="36"/>
      <c r="C2716" s="36"/>
      <c r="D2716" s="36"/>
      <c r="E2716" s="36"/>
      <c r="F2716" s="36"/>
      <c r="G2716" s="36"/>
      <c r="H2716" s="36"/>
      <c r="J2716" s="36"/>
      <c r="AI2716" s="122">
        <v>2404</v>
      </c>
      <c r="AJ2716" s="1" t="s">
        <v>1141</v>
      </c>
      <c r="AK2716" s="1" t="s">
        <v>1141</v>
      </c>
    </row>
    <row r="2717" spans="2:37" ht="14.25">
      <c r="B2717" s="36"/>
      <c r="C2717" s="36"/>
      <c r="D2717" s="36"/>
      <c r="E2717" s="36"/>
      <c r="F2717" s="36"/>
      <c r="G2717" s="36"/>
      <c r="H2717" s="36"/>
      <c r="J2717" s="36"/>
      <c r="AI2717" s="122">
        <v>2405</v>
      </c>
      <c r="AJ2717" s="1" t="s">
        <v>1141</v>
      </c>
      <c r="AK2717" s="1" t="s">
        <v>1141</v>
      </c>
    </row>
    <row r="2718" spans="2:37" ht="14.25">
      <c r="B2718" s="36"/>
      <c r="C2718" s="36"/>
      <c r="D2718" s="36"/>
      <c r="E2718" s="36"/>
      <c r="F2718" s="36"/>
      <c r="G2718" s="36"/>
      <c r="H2718" s="36"/>
      <c r="J2718" s="36"/>
      <c r="AI2718" s="122">
        <v>2406</v>
      </c>
      <c r="AJ2718" s="1" t="s">
        <v>1141</v>
      </c>
      <c r="AK2718" s="1" t="s">
        <v>1141</v>
      </c>
    </row>
    <row r="2719" spans="2:37" ht="14.25">
      <c r="B2719" s="36"/>
      <c r="C2719" s="36"/>
      <c r="D2719" s="36"/>
      <c r="E2719" s="36"/>
      <c r="F2719" s="36"/>
      <c r="G2719" s="36"/>
      <c r="H2719" s="36"/>
      <c r="J2719" s="36"/>
      <c r="AI2719" s="122">
        <v>2407</v>
      </c>
      <c r="AJ2719" s="1" t="s">
        <v>1141</v>
      </c>
      <c r="AK2719" s="1" t="s">
        <v>1141</v>
      </c>
    </row>
    <row r="2720" spans="2:37" ht="14.25">
      <c r="B2720" s="36"/>
      <c r="C2720" s="36"/>
      <c r="D2720" s="36"/>
      <c r="E2720" s="36"/>
      <c r="F2720" s="36"/>
      <c r="G2720" s="36"/>
      <c r="H2720" s="36"/>
      <c r="J2720" s="36"/>
      <c r="AI2720" s="122">
        <v>2408</v>
      </c>
      <c r="AJ2720" s="1" t="s">
        <v>1141</v>
      </c>
      <c r="AK2720" s="1" t="s">
        <v>1141</v>
      </c>
    </row>
    <row r="2721" spans="2:37" ht="14.25">
      <c r="B2721" s="36"/>
      <c r="C2721" s="36"/>
      <c r="D2721" s="36"/>
      <c r="E2721" s="36"/>
      <c r="F2721" s="36"/>
      <c r="G2721" s="36"/>
      <c r="H2721" s="36"/>
      <c r="J2721" s="36"/>
      <c r="AI2721" s="122">
        <v>2409</v>
      </c>
      <c r="AJ2721" s="1" t="s">
        <v>1141</v>
      </c>
      <c r="AK2721" s="1" t="s">
        <v>1141</v>
      </c>
    </row>
    <row r="2722" spans="2:37" ht="14.25">
      <c r="B2722" s="36"/>
      <c r="C2722" s="36"/>
      <c r="D2722" s="36"/>
      <c r="E2722" s="36"/>
      <c r="F2722" s="36"/>
      <c r="G2722" s="36"/>
      <c r="H2722" s="36"/>
      <c r="J2722" s="36"/>
      <c r="AI2722" s="122">
        <v>2410</v>
      </c>
      <c r="AJ2722" s="1" t="s">
        <v>1141</v>
      </c>
      <c r="AK2722" s="1" t="s">
        <v>1141</v>
      </c>
    </row>
    <row r="2723" spans="2:37" ht="14.25">
      <c r="B2723" s="36"/>
      <c r="C2723" s="36"/>
      <c r="D2723" s="36"/>
      <c r="E2723" s="36"/>
      <c r="F2723" s="36"/>
      <c r="G2723" s="36"/>
      <c r="H2723" s="36"/>
      <c r="J2723" s="36"/>
      <c r="AI2723" s="122">
        <v>2411</v>
      </c>
      <c r="AJ2723" s="1" t="s">
        <v>1141</v>
      </c>
      <c r="AK2723" s="1" t="s">
        <v>1141</v>
      </c>
    </row>
    <row r="2724" spans="2:37" ht="14.25">
      <c r="B2724" s="36"/>
      <c r="C2724" s="36"/>
      <c r="D2724" s="36"/>
      <c r="E2724" s="36"/>
      <c r="F2724" s="36"/>
      <c r="G2724" s="36"/>
      <c r="H2724" s="36"/>
      <c r="J2724" s="36"/>
      <c r="AI2724" s="122">
        <v>2412</v>
      </c>
      <c r="AJ2724" s="1" t="s">
        <v>1141</v>
      </c>
      <c r="AK2724" s="1" t="s">
        <v>1141</v>
      </c>
    </row>
    <row r="2725" spans="2:37" ht="14.25">
      <c r="B2725" s="36"/>
      <c r="C2725" s="36"/>
      <c r="D2725" s="36"/>
      <c r="E2725" s="36"/>
      <c r="F2725" s="36"/>
      <c r="G2725" s="36"/>
      <c r="H2725" s="36"/>
      <c r="J2725" s="36"/>
      <c r="AI2725" s="122">
        <v>2413</v>
      </c>
      <c r="AJ2725" s="1" t="s">
        <v>1141</v>
      </c>
      <c r="AK2725" s="1" t="s">
        <v>1141</v>
      </c>
    </row>
    <row r="2726" spans="2:37" ht="14.25">
      <c r="B2726" s="36"/>
      <c r="C2726" s="36"/>
      <c r="D2726" s="36"/>
      <c r="E2726" s="36"/>
      <c r="F2726" s="36"/>
      <c r="G2726" s="36"/>
      <c r="H2726" s="36"/>
      <c r="J2726" s="36"/>
      <c r="AI2726" s="122">
        <v>2414</v>
      </c>
      <c r="AJ2726" s="1" t="s">
        <v>1141</v>
      </c>
      <c r="AK2726" s="1" t="s">
        <v>1141</v>
      </c>
    </row>
    <row r="2727" spans="2:37" ht="14.25">
      <c r="B2727" s="36"/>
      <c r="C2727" s="36"/>
      <c r="D2727" s="36"/>
      <c r="E2727" s="36"/>
      <c r="F2727" s="36"/>
      <c r="G2727" s="36"/>
      <c r="H2727" s="36"/>
      <c r="J2727" s="36"/>
      <c r="AI2727" s="122">
        <v>2415</v>
      </c>
      <c r="AJ2727" s="1" t="s">
        <v>1141</v>
      </c>
      <c r="AK2727" s="1" t="s">
        <v>1141</v>
      </c>
    </row>
    <row r="2728" spans="2:37" ht="14.25">
      <c r="B2728" s="36"/>
      <c r="C2728" s="36"/>
      <c r="D2728" s="36"/>
      <c r="E2728" s="36"/>
      <c r="F2728" s="36"/>
      <c r="G2728" s="36"/>
      <c r="H2728" s="36"/>
      <c r="J2728" s="36"/>
      <c r="AI2728" s="122">
        <v>2416</v>
      </c>
      <c r="AJ2728" s="1" t="s">
        <v>1141</v>
      </c>
      <c r="AK2728" s="1" t="s">
        <v>1141</v>
      </c>
    </row>
    <row r="2729" spans="2:37" ht="14.25">
      <c r="B2729" s="36"/>
      <c r="C2729" s="36"/>
      <c r="D2729" s="36"/>
      <c r="E2729" s="36"/>
      <c r="F2729" s="36"/>
      <c r="G2729" s="36"/>
      <c r="H2729" s="36"/>
      <c r="J2729" s="36"/>
      <c r="AI2729" s="122">
        <v>2417</v>
      </c>
      <c r="AJ2729" s="1" t="s">
        <v>1141</v>
      </c>
      <c r="AK2729" s="1" t="s">
        <v>1141</v>
      </c>
    </row>
    <row r="2730" spans="2:37" ht="14.25">
      <c r="B2730" s="36"/>
      <c r="C2730" s="36"/>
      <c r="D2730" s="36"/>
      <c r="E2730" s="36"/>
      <c r="F2730" s="36"/>
      <c r="G2730" s="36"/>
      <c r="H2730" s="36"/>
      <c r="J2730" s="36"/>
      <c r="AI2730" s="122">
        <v>2418</v>
      </c>
      <c r="AJ2730" s="1" t="s">
        <v>1141</v>
      </c>
      <c r="AK2730" s="1" t="s">
        <v>1141</v>
      </c>
    </row>
    <row r="2731" spans="2:37" ht="14.25">
      <c r="B2731" s="36"/>
      <c r="C2731" s="36"/>
      <c r="D2731" s="36"/>
      <c r="E2731" s="36"/>
      <c r="F2731" s="36"/>
      <c r="G2731" s="36"/>
      <c r="H2731" s="36"/>
      <c r="J2731" s="36"/>
      <c r="AI2731" s="122">
        <v>2419</v>
      </c>
      <c r="AJ2731" s="1" t="s">
        <v>1141</v>
      </c>
      <c r="AK2731" s="1" t="s">
        <v>1141</v>
      </c>
    </row>
    <row r="2732" spans="2:37" ht="14.25">
      <c r="B2732" s="36"/>
      <c r="C2732" s="36"/>
      <c r="D2732" s="36"/>
      <c r="E2732" s="36"/>
      <c r="F2732" s="36"/>
      <c r="G2732" s="36"/>
      <c r="H2732" s="36"/>
      <c r="J2732" s="36"/>
      <c r="AI2732" s="122">
        <v>2420</v>
      </c>
      <c r="AJ2732" s="1" t="s">
        <v>1141</v>
      </c>
      <c r="AK2732" s="1" t="s">
        <v>1141</v>
      </c>
    </row>
    <row r="2733" spans="2:37" ht="14.25">
      <c r="B2733" s="36"/>
      <c r="C2733" s="36"/>
      <c r="D2733" s="36"/>
      <c r="E2733" s="36"/>
      <c r="F2733" s="36"/>
      <c r="G2733" s="36"/>
      <c r="H2733" s="36"/>
      <c r="J2733" s="36"/>
      <c r="AI2733" s="122">
        <v>2421</v>
      </c>
      <c r="AJ2733" s="1" t="s">
        <v>1141</v>
      </c>
      <c r="AK2733" s="1" t="s">
        <v>1141</v>
      </c>
    </row>
    <row r="2734" spans="2:37" ht="14.25">
      <c r="B2734" s="36"/>
      <c r="C2734" s="36"/>
      <c r="D2734" s="36"/>
      <c r="E2734" s="36"/>
      <c r="F2734" s="36"/>
      <c r="G2734" s="36"/>
      <c r="H2734" s="36"/>
      <c r="J2734" s="36"/>
      <c r="AI2734" s="122">
        <v>2422</v>
      </c>
      <c r="AJ2734" s="1" t="s">
        <v>1141</v>
      </c>
      <c r="AK2734" s="1" t="s">
        <v>1141</v>
      </c>
    </row>
    <row r="2735" spans="2:37" ht="14.25">
      <c r="B2735" s="36"/>
      <c r="C2735" s="36"/>
      <c r="D2735" s="36"/>
      <c r="E2735" s="36"/>
      <c r="F2735" s="36"/>
      <c r="G2735" s="36"/>
      <c r="H2735" s="36"/>
      <c r="J2735" s="36"/>
      <c r="AI2735" s="122">
        <v>2423</v>
      </c>
      <c r="AJ2735" s="1" t="s">
        <v>1141</v>
      </c>
      <c r="AK2735" s="1" t="s">
        <v>1141</v>
      </c>
    </row>
    <row r="2736" spans="2:37" ht="14.25">
      <c r="B2736" s="36"/>
      <c r="C2736" s="36"/>
      <c r="D2736" s="36"/>
      <c r="E2736" s="36"/>
      <c r="F2736" s="36"/>
      <c r="G2736" s="36"/>
      <c r="H2736" s="36"/>
      <c r="J2736" s="36"/>
      <c r="AI2736" s="122">
        <v>2424</v>
      </c>
      <c r="AJ2736" s="1" t="s">
        <v>1141</v>
      </c>
      <c r="AK2736" s="1" t="s">
        <v>1141</v>
      </c>
    </row>
    <row r="2737" spans="2:37" ht="14.25">
      <c r="B2737" s="36"/>
      <c r="C2737" s="36"/>
      <c r="D2737" s="36"/>
      <c r="E2737" s="36"/>
      <c r="F2737" s="36"/>
      <c r="G2737" s="36"/>
      <c r="H2737" s="36"/>
      <c r="J2737" s="36"/>
      <c r="AI2737" s="122">
        <v>2425</v>
      </c>
      <c r="AJ2737" s="1" t="s">
        <v>1141</v>
      </c>
      <c r="AK2737" s="1" t="s">
        <v>1141</v>
      </c>
    </row>
    <row r="2738" spans="2:37" ht="14.25">
      <c r="B2738" s="36"/>
      <c r="C2738" s="36"/>
      <c r="D2738" s="36"/>
      <c r="E2738" s="36"/>
      <c r="F2738" s="36"/>
      <c r="G2738" s="36"/>
      <c r="H2738" s="36"/>
      <c r="J2738" s="36"/>
      <c r="AI2738" s="122">
        <v>2426</v>
      </c>
      <c r="AJ2738" s="1" t="s">
        <v>1141</v>
      </c>
      <c r="AK2738" s="1" t="s">
        <v>1141</v>
      </c>
    </row>
    <row r="2739" spans="2:37" ht="14.25">
      <c r="B2739" s="36"/>
      <c r="C2739" s="36"/>
      <c r="D2739" s="36"/>
      <c r="E2739" s="36"/>
      <c r="F2739" s="36"/>
      <c r="G2739" s="36"/>
      <c r="H2739" s="36"/>
      <c r="J2739" s="36"/>
      <c r="AI2739" s="122">
        <v>2427</v>
      </c>
      <c r="AJ2739" s="1" t="s">
        <v>1141</v>
      </c>
      <c r="AK2739" s="1" t="s">
        <v>1141</v>
      </c>
    </row>
    <row r="2740" spans="2:37" ht="14.25">
      <c r="B2740" s="36"/>
      <c r="C2740" s="36"/>
      <c r="D2740" s="36"/>
      <c r="E2740" s="36"/>
      <c r="F2740" s="36"/>
      <c r="G2740" s="36"/>
      <c r="H2740" s="36"/>
      <c r="J2740" s="36"/>
      <c r="AI2740" s="122">
        <v>2428</v>
      </c>
      <c r="AJ2740" s="1" t="s">
        <v>1141</v>
      </c>
      <c r="AK2740" s="1" t="s">
        <v>1141</v>
      </c>
    </row>
    <row r="2741" spans="2:37" ht="14.25">
      <c r="B2741" s="36"/>
      <c r="C2741" s="36"/>
      <c r="D2741" s="36"/>
      <c r="E2741" s="36"/>
      <c r="F2741" s="36"/>
      <c r="G2741" s="36"/>
      <c r="H2741" s="36"/>
      <c r="J2741" s="36"/>
      <c r="AI2741" s="122">
        <v>2429</v>
      </c>
      <c r="AJ2741" s="1" t="s">
        <v>1141</v>
      </c>
      <c r="AK2741" s="1" t="s">
        <v>1141</v>
      </c>
    </row>
    <row r="2742" spans="2:37" ht="14.25">
      <c r="B2742" s="36"/>
      <c r="C2742" s="36"/>
      <c r="D2742" s="36"/>
      <c r="E2742" s="36"/>
      <c r="F2742" s="36"/>
      <c r="G2742" s="36"/>
      <c r="H2742" s="36"/>
      <c r="J2742" s="36"/>
      <c r="AI2742" s="122">
        <v>2430</v>
      </c>
      <c r="AJ2742" s="1" t="s">
        <v>1141</v>
      </c>
      <c r="AK2742" s="1" t="s">
        <v>1141</v>
      </c>
    </row>
    <row r="2743" spans="2:37" ht="14.25">
      <c r="B2743" s="36"/>
      <c r="C2743" s="36"/>
      <c r="D2743" s="36"/>
      <c r="E2743" s="36"/>
      <c r="F2743" s="36"/>
      <c r="G2743" s="36"/>
      <c r="H2743" s="36"/>
      <c r="J2743" s="36"/>
      <c r="AI2743" s="122">
        <v>2431</v>
      </c>
      <c r="AJ2743" s="1" t="s">
        <v>1141</v>
      </c>
      <c r="AK2743" s="1" t="s">
        <v>1141</v>
      </c>
    </row>
    <row r="2744" spans="2:37" ht="14.25">
      <c r="B2744" s="36"/>
      <c r="C2744" s="36"/>
      <c r="D2744" s="36"/>
      <c r="E2744" s="36"/>
      <c r="F2744" s="36"/>
      <c r="G2744" s="36"/>
      <c r="H2744" s="36"/>
      <c r="J2744" s="36"/>
      <c r="AI2744" s="122">
        <v>2432</v>
      </c>
      <c r="AJ2744" s="1" t="s">
        <v>1141</v>
      </c>
      <c r="AK2744" s="1" t="s">
        <v>1141</v>
      </c>
    </row>
    <row r="2745" spans="2:37" ht="14.25">
      <c r="B2745" s="36"/>
      <c r="C2745" s="36"/>
      <c r="D2745" s="36"/>
      <c r="E2745" s="36"/>
      <c r="F2745" s="36"/>
      <c r="G2745" s="36"/>
      <c r="H2745" s="36"/>
      <c r="J2745" s="36"/>
      <c r="AI2745" s="122">
        <v>2433</v>
      </c>
      <c r="AJ2745" s="1" t="s">
        <v>1141</v>
      </c>
      <c r="AK2745" s="1" t="s">
        <v>1141</v>
      </c>
    </row>
    <row r="2746" spans="2:37" ht="14.25">
      <c r="B2746" s="36"/>
      <c r="C2746" s="36"/>
      <c r="D2746" s="36"/>
      <c r="E2746" s="36"/>
      <c r="F2746" s="36"/>
      <c r="G2746" s="36"/>
      <c r="H2746" s="36"/>
      <c r="J2746" s="36"/>
      <c r="AI2746" s="122">
        <v>2434</v>
      </c>
      <c r="AJ2746" s="1" t="s">
        <v>1141</v>
      </c>
      <c r="AK2746" s="1" t="s">
        <v>1141</v>
      </c>
    </row>
    <row r="2747" spans="2:37" ht="14.25">
      <c r="B2747" s="36"/>
      <c r="C2747" s="36"/>
      <c r="D2747" s="36"/>
      <c r="E2747" s="36"/>
      <c r="F2747" s="36"/>
      <c r="G2747" s="36"/>
      <c r="H2747" s="36"/>
      <c r="J2747" s="36"/>
      <c r="AI2747" s="122">
        <v>2435</v>
      </c>
      <c r="AJ2747" s="1" t="s">
        <v>1141</v>
      </c>
      <c r="AK2747" s="1" t="s">
        <v>1141</v>
      </c>
    </row>
    <row r="2748" spans="2:37" ht="14.25">
      <c r="B2748" s="36"/>
      <c r="C2748" s="36"/>
      <c r="D2748" s="36"/>
      <c r="E2748" s="36"/>
      <c r="F2748" s="36"/>
      <c r="G2748" s="36"/>
      <c r="H2748" s="36"/>
      <c r="J2748" s="36"/>
      <c r="AI2748" s="122">
        <v>2436</v>
      </c>
      <c r="AJ2748" s="1" t="s">
        <v>1141</v>
      </c>
      <c r="AK2748" s="1" t="s">
        <v>1141</v>
      </c>
    </row>
    <row r="2749" spans="2:37" ht="14.25">
      <c r="B2749" s="36"/>
      <c r="C2749" s="36"/>
      <c r="D2749" s="36"/>
      <c r="E2749" s="36"/>
      <c r="F2749" s="36"/>
      <c r="G2749" s="36"/>
      <c r="H2749" s="36"/>
      <c r="J2749" s="36"/>
      <c r="AI2749" s="122">
        <v>2437</v>
      </c>
      <c r="AJ2749" s="1" t="s">
        <v>1141</v>
      </c>
      <c r="AK2749" s="1" t="s">
        <v>1141</v>
      </c>
    </row>
    <row r="2750" spans="2:37" ht="14.25">
      <c r="B2750" s="36"/>
      <c r="C2750" s="36"/>
      <c r="D2750" s="36"/>
      <c r="E2750" s="36"/>
      <c r="F2750" s="36"/>
      <c r="G2750" s="36"/>
      <c r="H2750" s="36"/>
      <c r="J2750" s="36"/>
      <c r="AI2750" s="122">
        <v>2438</v>
      </c>
      <c r="AJ2750" s="1" t="s">
        <v>1141</v>
      </c>
      <c r="AK2750" s="1" t="s">
        <v>1141</v>
      </c>
    </row>
    <row r="2751" spans="2:37" ht="14.25">
      <c r="B2751" s="36"/>
      <c r="C2751" s="36"/>
      <c r="D2751" s="36"/>
      <c r="E2751" s="36"/>
      <c r="F2751" s="36"/>
      <c r="G2751" s="36"/>
      <c r="H2751" s="36"/>
      <c r="J2751" s="36"/>
      <c r="AI2751" s="122">
        <v>2439</v>
      </c>
      <c r="AJ2751" s="1" t="s">
        <v>1141</v>
      </c>
      <c r="AK2751" s="1" t="s">
        <v>1141</v>
      </c>
    </row>
    <row r="2752" spans="2:37" ht="14.25">
      <c r="B2752" s="36"/>
      <c r="C2752" s="36"/>
      <c r="D2752" s="36"/>
      <c r="E2752" s="36"/>
      <c r="F2752" s="36"/>
      <c r="G2752" s="36"/>
      <c r="H2752" s="36"/>
      <c r="J2752" s="36"/>
      <c r="AI2752" s="122">
        <v>2440</v>
      </c>
      <c r="AJ2752" s="1" t="s">
        <v>1141</v>
      </c>
      <c r="AK2752" s="1" t="s">
        <v>1141</v>
      </c>
    </row>
    <row r="2753" spans="2:37" ht="14.25">
      <c r="B2753" s="36"/>
      <c r="C2753" s="36"/>
      <c r="D2753" s="36"/>
      <c r="E2753" s="36"/>
      <c r="F2753" s="36"/>
      <c r="G2753" s="36"/>
      <c r="H2753" s="36"/>
      <c r="J2753" s="36"/>
      <c r="AI2753" s="122">
        <v>2441</v>
      </c>
      <c r="AJ2753" s="1" t="s">
        <v>1141</v>
      </c>
      <c r="AK2753" s="1" t="s">
        <v>1141</v>
      </c>
    </row>
    <row r="2754" spans="2:37" ht="14.25">
      <c r="B2754" s="36"/>
      <c r="C2754" s="36"/>
      <c r="D2754" s="36"/>
      <c r="E2754" s="36"/>
      <c r="F2754" s="36"/>
      <c r="G2754" s="36"/>
      <c r="H2754" s="36"/>
      <c r="J2754" s="36"/>
      <c r="AI2754" s="122">
        <v>2442</v>
      </c>
      <c r="AJ2754" s="1" t="s">
        <v>1141</v>
      </c>
      <c r="AK2754" s="1" t="s">
        <v>1141</v>
      </c>
    </row>
    <row r="2755" spans="2:37" ht="14.25">
      <c r="B2755" s="36"/>
      <c r="C2755" s="36"/>
      <c r="D2755" s="36"/>
      <c r="E2755" s="36"/>
      <c r="F2755" s="36"/>
      <c r="G2755" s="36"/>
      <c r="H2755" s="36"/>
      <c r="J2755" s="36"/>
      <c r="AI2755" s="122">
        <v>2443</v>
      </c>
      <c r="AJ2755" s="1" t="s">
        <v>1141</v>
      </c>
      <c r="AK2755" s="1" t="s">
        <v>1141</v>
      </c>
    </row>
    <row r="2756" spans="2:37" ht="14.25">
      <c r="B2756" s="36"/>
      <c r="C2756" s="36"/>
      <c r="D2756" s="36"/>
      <c r="E2756" s="36"/>
      <c r="F2756" s="36"/>
      <c r="G2756" s="36"/>
      <c r="H2756" s="36"/>
      <c r="J2756" s="36"/>
      <c r="AI2756" s="122">
        <v>2444</v>
      </c>
      <c r="AJ2756" s="1" t="s">
        <v>1141</v>
      </c>
      <c r="AK2756" s="1" t="s">
        <v>1141</v>
      </c>
    </row>
    <row r="2757" spans="2:37" ht="14.25">
      <c r="B2757" s="36"/>
      <c r="C2757" s="36"/>
      <c r="D2757" s="36"/>
      <c r="E2757" s="36"/>
      <c r="F2757" s="36"/>
      <c r="G2757" s="36"/>
      <c r="H2757" s="36"/>
      <c r="J2757" s="36"/>
      <c r="AI2757" s="122">
        <v>2445</v>
      </c>
      <c r="AJ2757" s="1" t="s">
        <v>1141</v>
      </c>
      <c r="AK2757" s="1" t="s">
        <v>1141</v>
      </c>
    </row>
    <row r="2758" spans="2:37" ht="14.25">
      <c r="B2758" s="36"/>
      <c r="C2758" s="36"/>
      <c r="D2758" s="36"/>
      <c r="E2758" s="36"/>
      <c r="F2758" s="36"/>
      <c r="G2758" s="36"/>
      <c r="H2758" s="36"/>
      <c r="J2758" s="36"/>
      <c r="AI2758" s="122">
        <v>2446</v>
      </c>
      <c r="AJ2758" s="1" t="s">
        <v>1141</v>
      </c>
      <c r="AK2758" s="1" t="s">
        <v>1141</v>
      </c>
    </row>
    <row r="2759" spans="2:37" ht="14.25">
      <c r="B2759" s="36"/>
      <c r="C2759" s="36"/>
      <c r="D2759" s="36"/>
      <c r="E2759" s="36"/>
      <c r="F2759" s="36"/>
      <c r="G2759" s="36"/>
      <c r="H2759" s="36"/>
      <c r="J2759" s="36"/>
      <c r="AI2759" s="122">
        <v>2447</v>
      </c>
      <c r="AJ2759" s="1" t="s">
        <v>1141</v>
      </c>
      <c r="AK2759" s="1" t="s">
        <v>1141</v>
      </c>
    </row>
    <row r="2760" spans="2:37" ht="14.25">
      <c r="B2760" s="36"/>
      <c r="C2760" s="36"/>
      <c r="D2760" s="36"/>
      <c r="E2760" s="36"/>
      <c r="F2760" s="36"/>
      <c r="G2760" s="36"/>
      <c r="H2760" s="36"/>
      <c r="J2760" s="36"/>
      <c r="AI2760" s="122">
        <v>2448</v>
      </c>
      <c r="AJ2760" s="1" t="s">
        <v>1141</v>
      </c>
      <c r="AK2760" s="1" t="s">
        <v>1141</v>
      </c>
    </row>
    <row r="2761" spans="2:37" ht="14.25">
      <c r="B2761" s="36"/>
      <c r="C2761" s="36"/>
      <c r="D2761" s="36"/>
      <c r="E2761" s="36"/>
      <c r="F2761" s="36"/>
      <c r="G2761" s="36"/>
      <c r="H2761" s="36"/>
      <c r="J2761" s="36"/>
      <c r="AI2761" s="122">
        <v>2449</v>
      </c>
      <c r="AJ2761" s="1" t="s">
        <v>1141</v>
      </c>
      <c r="AK2761" s="1" t="s">
        <v>1141</v>
      </c>
    </row>
    <row r="2762" spans="2:37" ht="14.25">
      <c r="B2762" s="36"/>
      <c r="C2762" s="36"/>
      <c r="D2762" s="36"/>
      <c r="E2762" s="36"/>
      <c r="F2762" s="36"/>
      <c r="G2762" s="36"/>
      <c r="H2762" s="36"/>
      <c r="J2762" s="36"/>
      <c r="AI2762" s="122">
        <v>2450</v>
      </c>
      <c r="AJ2762" s="1" t="s">
        <v>1141</v>
      </c>
      <c r="AK2762" s="1" t="s">
        <v>1141</v>
      </c>
    </row>
    <row r="2763" spans="2:37" ht="14.25">
      <c r="B2763" s="36"/>
      <c r="C2763" s="36"/>
      <c r="D2763" s="36"/>
      <c r="E2763" s="36"/>
      <c r="F2763" s="36"/>
      <c r="G2763" s="36"/>
      <c r="H2763" s="36"/>
      <c r="J2763" s="36"/>
      <c r="AI2763" s="122">
        <v>2451</v>
      </c>
      <c r="AJ2763" s="1" t="s">
        <v>1141</v>
      </c>
      <c r="AK2763" s="1" t="s">
        <v>1141</v>
      </c>
    </row>
    <row r="2764" spans="2:37" ht="14.25">
      <c r="B2764" s="36"/>
      <c r="C2764" s="36"/>
      <c r="D2764" s="36"/>
      <c r="E2764" s="36"/>
      <c r="F2764" s="36"/>
      <c r="G2764" s="36"/>
      <c r="H2764" s="36"/>
      <c r="J2764" s="36"/>
      <c r="AI2764" s="122">
        <v>2452</v>
      </c>
      <c r="AJ2764" s="1" t="s">
        <v>1141</v>
      </c>
      <c r="AK2764" s="1" t="s">
        <v>1141</v>
      </c>
    </row>
    <row r="2765" spans="2:37" ht="14.25">
      <c r="B2765" s="36"/>
      <c r="C2765" s="36"/>
      <c r="D2765" s="36"/>
      <c r="E2765" s="36"/>
      <c r="F2765" s="36"/>
      <c r="G2765" s="36"/>
      <c r="H2765" s="36"/>
      <c r="J2765" s="36"/>
      <c r="AI2765" s="122">
        <v>2453</v>
      </c>
      <c r="AJ2765" s="1" t="s">
        <v>1141</v>
      </c>
      <c r="AK2765" s="1" t="s">
        <v>1141</v>
      </c>
    </row>
    <row r="2766" spans="2:37" ht="14.25">
      <c r="B2766" s="36"/>
      <c r="C2766" s="36"/>
      <c r="D2766" s="36"/>
      <c r="E2766" s="36"/>
      <c r="F2766" s="36"/>
      <c r="G2766" s="36"/>
      <c r="H2766" s="36"/>
      <c r="J2766" s="36"/>
      <c r="AI2766" s="122">
        <v>2454</v>
      </c>
      <c r="AJ2766" s="1" t="s">
        <v>1141</v>
      </c>
      <c r="AK2766" s="1" t="s">
        <v>1141</v>
      </c>
    </row>
    <row r="2767" spans="2:37" ht="14.25">
      <c r="B2767" s="36"/>
      <c r="C2767" s="36"/>
      <c r="D2767" s="36"/>
      <c r="E2767" s="36"/>
      <c r="F2767" s="36"/>
      <c r="G2767" s="36"/>
      <c r="H2767" s="36"/>
      <c r="J2767" s="36"/>
      <c r="AI2767" s="122">
        <v>2455</v>
      </c>
      <c r="AJ2767" s="1" t="s">
        <v>1141</v>
      </c>
      <c r="AK2767" s="1" t="s">
        <v>1141</v>
      </c>
    </row>
    <row r="2768" spans="2:37" ht="14.25">
      <c r="B2768" s="36"/>
      <c r="C2768" s="36"/>
      <c r="D2768" s="36"/>
      <c r="E2768" s="36"/>
      <c r="F2768" s="36"/>
      <c r="G2768" s="36"/>
      <c r="H2768" s="36"/>
      <c r="J2768" s="36"/>
      <c r="AI2768" s="122">
        <v>2456</v>
      </c>
      <c r="AJ2768" s="1" t="s">
        <v>1141</v>
      </c>
      <c r="AK2768" s="1" t="s">
        <v>1141</v>
      </c>
    </row>
    <row r="2769" spans="2:37" ht="14.25">
      <c r="B2769" s="36"/>
      <c r="C2769" s="36"/>
      <c r="D2769" s="36"/>
      <c r="E2769" s="36"/>
      <c r="F2769" s="36"/>
      <c r="G2769" s="36"/>
      <c r="H2769" s="36"/>
      <c r="J2769" s="36"/>
      <c r="AI2769" s="122">
        <v>2457</v>
      </c>
      <c r="AJ2769" s="1" t="s">
        <v>1141</v>
      </c>
      <c r="AK2769" s="1" t="s">
        <v>1141</v>
      </c>
    </row>
    <row r="2770" spans="2:37" ht="14.25">
      <c r="B2770" s="36"/>
      <c r="C2770" s="36"/>
      <c r="D2770" s="36"/>
      <c r="E2770" s="36"/>
      <c r="F2770" s="36"/>
      <c r="G2770" s="36"/>
      <c r="H2770" s="36"/>
      <c r="J2770" s="36"/>
      <c r="AI2770" s="122">
        <v>2458</v>
      </c>
      <c r="AJ2770" s="1" t="s">
        <v>1141</v>
      </c>
      <c r="AK2770" s="1" t="s">
        <v>1141</v>
      </c>
    </row>
    <row r="2771" spans="2:37" ht="14.25">
      <c r="B2771" s="36"/>
      <c r="C2771" s="36"/>
      <c r="D2771" s="36"/>
      <c r="E2771" s="36"/>
      <c r="F2771" s="36"/>
      <c r="G2771" s="36"/>
      <c r="H2771" s="36"/>
      <c r="J2771" s="36"/>
      <c r="AI2771" s="122">
        <v>2459</v>
      </c>
      <c r="AJ2771" s="1" t="s">
        <v>1141</v>
      </c>
      <c r="AK2771" s="1" t="s">
        <v>1141</v>
      </c>
    </row>
    <row r="2772" spans="2:37" ht="14.25">
      <c r="AI2772" s="122">
        <v>2460</v>
      </c>
      <c r="AJ2772" s="1" t="s">
        <v>1141</v>
      </c>
      <c r="AK2772" s="1" t="s">
        <v>1141</v>
      </c>
    </row>
    <row r="2773" spans="2:37" ht="14.25">
      <c r="AI2773" s="122">
        <v>2461</v>
      </c>
      <c r="AJ2773" s="1" t="s">
        <v>1141</v>
      </c>
      <c r="AK2773" s="1" t="s">
        <v>1141</v>
      </c>
    </row>
    <row r="2774" spans="2:37" ht="14.25">
      <c r="AI2774" s="122">
        <v>2462</v>
      </c>
      <c r="AJ2774" s="1" t="s">
        <v>1141</v>
      </c>
      <c r="AK2774" s="1" t="s">
        <v>1141</v>
      </c>
    </row>
    <row r="2775" spans="2:37" ht="14.25">
      <c r="AI2775" s="122">
        <v>2463</v>
      </c>
      <c r="AJ2775" s="1" t="s">
        <v>1141</v>
      </c>
      <c r="AK2775" s="1" t="s">
        <v>1141</v>
      </c>
    </row>
    <row r="2776" spans="2:37" ht="14.25">
      <c r="AI2776" s="122">
        <v>2464</v>
      </c>
      <c r="AJ2776" s="1" t="s">
        <v>1141</v>
      </c>
      <c r="AK2776" s="1" t="s">
        <v>1141</v>
      </c>
    </row>
    <row r="2777" spans="2:37" ht="14.25">
      <c r="AI2777" s="122">
        <v>2465</v>
      </c>
      <c r="AJ2777" s="1" t="s">
        <v>1141</v>
      </c>
      <c r="AK2777" s="1" t="s">
        <v>1141</v>
      </c>
    </row>
    <row r="2778" spans="2:37" ht="14.25">
      <c r="AI2778" s="122">
        <v>2466</v>
      </c>
      <c r="AJ2778" s="1" t="s">
        <v>1141</v>
      </c>
      <c r="AK2778" s="1" t="s">
        <v>1141</v>
      </c>
    </row>
    <row r="2779" spans="2:37" ht="14.25">
      <c r="AI2779" s="122">
        <v>2467</v>
      </c>
      <c r="AJ2779" s="1" t="s">
        <v>1141</v>
      </c>
      <c r="AK2779" s="1" t="s">
        <v>1141</v>
      </c>
    </row>
    <row r="2780" spans="2:37" ht="14.25">
      <c r="AI2780" s="122">
        <v>2468</v>
      </c>
      <c r="AJ2780" s="1" t="s">
        <v>1141</v>
      </c>
      <c r="AK2780" s="1" t="s">
        <v>1141</v>
      </c>
    </row>
    <row r="2781" spans="2:37" ht="14.25">
      <c r="AI2781" s="122">
        <v>2469</v>
      </c>
      <c r="AJ2781" s="1" t="s">
        <v>1141</v>
      </c>
      <c r="AK2781" s="1" t="s">
        <v>1141</v>
      </c>
    </row>
    <row r="2782" spans="2:37" ht="14.25">
      <c r="AI2782" s="122">
        <v>2470</v>
      </c>
      <c r="AJ2782" s="1" t="s">
        <v>1141</v>
      </c>
      <c r="AK2782" s="1" t="s">
        <v>1141</v>
      </c>
    </row>
    <row r="2783" spans="2:37" ht="14.25">
      <c r="AI2783" s="122">
        <v>2471</v>
      </c>
      <c r="AJ2783" s="1" t="s">
        <v>1141</v>
      </c>
      <c r="AK2783" s="1" t="s">
        <v>1141</v>
      </c>
    </row>
    <row r="2784" spans="2:37" ht="14.25">
      <c r="AI2784" s="122">
        <v>2472</v>
      </c>
      <c r="AJ2784" s="1" t="s">
        <v>1141</v>
      </c>
      <c r="AK2784" s="1" t="s">
        <v>1141</v>
      </c>
    </row>
    <row r="2785" spans="35:37" ht="14.25">
      <c r="AI2785" s="122">
        <v>2473</v>
      </c>
      <c r="AJ2785" s="1" t="s">
        <v>1141</v>
      </c>
      <c r="AK2785" s="1" t="s">
        <v>1141</v>
      </c>
    </row>
    <row r="2786" spans="35:37" ht="14.25">
      <c r="AI2786" s="122">
        <v>2474</v>
      </c>
      <c r="AJ2786" s="1" t="s">
        <v>1141</v>
      </c>
      <c r="AK2786" s="1" t="s">
        <v>1141</v>
      </c>
    </row>
    <row r="2787" spans="35:37" ht="14.25">
      <c r="AI2787" s="122">
        <v>2475</v>
      </c>
      <c r="AJ2787" s="1" t="s">
        <v>1141</v>
      </c>
      <c r="AK2787" s="1" t="s">
        <v>1141</v>
      </c>
    </row>
    <row r="2788" spans="35:37" ht="14.25">
      <c r="AI2788" s="122">
        <v>2476</v>
      </c>
      <c r="AJ2788" s="1" t="s">
        <v>1141</v>
      </c>
      <c r="AK2788" s="1" t="s">
        <v>1141</v>
      </c>
    </row>
    <row r="2789" spans="35:37" ht="14.25">
      <c r="AI2789" s="122">
        <v>2477</v>
      </c>
      <c r="AJ2789" s="1" t="s">
        <v>1141</v>
      </c>
      <c r="AK2789" s="1" t="s">
        <v>1141</v>
      </c>
    </row>
    <row r="2790" spans="35:37" ht="14.25">
      <c r="AI2790" s="122">
        <v>2478</v>
      </c>
      <c r="AJ2790" s="1" t="s">
        <v>1141</v>
      </c>
      <c r="AK2790" s="1" t="s">
        <v>1141</v>
      </c>
    </row>
    <row r="2791" spans="35:37" ht="14.25">
      <c r="AI2791" s="122">
        <v>2479</v>
      </c>
      <c r="AJ2791" s="1" t="s">
        <v>1141</v>
      </c>
      <c r="AK2791" s="1" t="s">
        <v>1141</v>
      </c>
    </row>
    <row r="2792" spans="35:37" ht="14.25">
      <c r="AI2792" s="122">
        <v>2480</v>
      </c>
      <c r="AJ2792" s="1" t="s">
        <v>1141</v>
      </c>
      <c r="AK2792" s="1" t="s">
        <v>1141</v>
      </c>
    </row>
    <row r="2793" spans="35:37" ht="14.25">
      <c r="AI2793" s="122">
        <v>2481</v>
      </c>
      <c r="AJ2793" s="1" t="s">
        <v>1141</v>
      </c>
      <c r="AK2793" s="1" t="s">
        <v>1141</v>
      </c>
    </row>
    <row r="2794" spans="35:37" ht="14.25">
      <c r="AI2794" s="122">
        <v>2482</v>
      </c>
      <c r="AJ2794" s="1" t="s">
        <v>1141</v>
      </c>
      <c r="AK2794" s="1" t="s">
        <v>1141</v>
      </c>
    </row>
    <row r="2795" spans="35:37" ht="14.25">
      <c r="AI2795" s="122">
        <v>2483</v>
      </c>
      <c r="AJ2795" s="1" t="s">
        <v>1141</v>
      </c>
      <c r="AK2795" s="1" t="s">
        <v>1141</v>
      </c>
    </row>
    <row r="2796" spans="35:37" ht="14.25">
      <c r="AI2796" s="122">
        <v>2484</v>
      </c>
      <c r="AJ2796" s="1" t="s">
        <v>1141</v>
      </c>
      <c r="AK2796" s="1" t="s">
        <v>1141</v>
      </c>
    </row>
    <row r="2797" spans="35:37" ht="14.25">
      <c r="AI2797" s="122">
        <v>2485</v>
      </c>
      <c r="AJ2797" s="1" t="s">
        <v>1141</v>
      </c>
      <c r="AK2797" s="1" t="s">
        <v>1141</v>
      </c>
    </row>
    <row r="2798" spans="35:37" ht="14.25">
      <c r="AI2798" s="122">
        <v>2486</v>
      </c>
      <c r="AJ2798" s="1" t="s">
        <v>1141</v>
      </c>
      <c r="AK2798" s="1" t="s">
        <v>1141</v>
      </c>
    </row>
    <row r="2799" spans="35:37" ht="14.25">
      <c r="AI2799" s="122">
        <v>2487</v>
      </c>
      <c r="AJ2799" s="1" t="s">
        <v>1141</v>
      </c>
      <c r="AK2799" s="1" t="s">
        <v>1141</v>
      </c>
    </row>
    <row r="2800" spans="35:37" ht="14.25">
      <c r="AI2800" s="122">
        <v>2488</v>
      </c>
      <c r="AJ2800" s="1" t="s">
        <v>1141</v>
      </c>
      <c r="AK2800" s="1" t="s">
        <v>1141</v>
      </c>
    </row>
    <row r="2801" spans="35:37" ht="14.25">
      <c r="AI2801" s="122">
        <v>2489</v>
      </c>
      <c r="AJ2801" s="1" t="s">
        <v>1141</v>
      </c>
      <c r="AK2801" s="1" t="s">
        <v>1141</v>
      </c>
    </row>
    <row r="2802" spans="35:37" ht="14.25">
      <c r="AI2802" s="122">
        <v>2490</v>
      </c>
      <c r="AJ2802" s="1" t="s">
        <v>1141</v>
      </c>
      <c r="AK2802" s="1" t="s">
        <v>1141</v>
      </c>
    </row>
    <row r="2803" spans="35:37" ht="14.25">
      <c r="AI2803" s="122">
        <v>2491</v>
      </c>
      <c r="AJ2803" s="1" t="s">
        <v>1141</v>
      </c>
      <c r="AK2803" s="1" t="s">
        <v>1141</v>
      </c>
    </row>
    <row r="2804" spans="35:37" ht="14.25">
      <c r="AI2804" s="122">
        <v>2492</v>
      </c>
      <c r="AJ2804" s="1" t="s">
        <v>1141</v>
      </c>
      <c r="AK2804" s="1" t="s">
        <v>1141</v>
      </c>
    </row>
    <row r="2805" spans="35:37" ht="14.25">
      <c r="AI2805" s="122">
        <v>2493</v>
      </c>
      <c r="AJ2805" s="1" t="s">
        <v>1141</v>
      </c>
      <c r="AK2805" s="1" t="s">
        <v>1141</v>
      </c>
    </row>
    <row r="2806" spans="35:37" ht="14.25">
      <c r="AI2806" s="122">
        <v>2494</v>
      </c>
      <c r="AJ2806" s="1" t="s">
        <v>1141</v>
      </c>
      <c r="AK2806" s="1" t="s">
        <v>1141</v>
      </c>
    </row>
    <row r="2807" spans="35:37" ht="14.25">
      <c r="AI2807" s="122">
        <v>2495</v>
      </c>
      <c r="AJ2807" s="1" t="s">
        <v>1141</v>
      </c>
      <c r="AK2807" s="1" t="s">
        <v>1141</v>
      </c>
    </row>
    <row r="2808" spans="35:37" ht="14.25">
      <c r="AI2808" s="122">
        <v>2496</v>
      </c>
      <c r="AJ2808" s="1" t="s">
        <v>1141</v>
      </c>
      <c r="AK2808" s="1" t="s">
        <v>1141</v>
      </c>
    </row>
    <row r="2809" spans="35:37" ht="14.25">
      <c r="AI2809" s="122">
        <v>2497</v>
      </c>
      <c r="AJ2809" s="1" t="s">
        <v>1141</v>
      </c>
      <c r="AK2809" s="1" t="s">
        <v>1141</v>
      </c>
    </row>
    <row r="2810" spans="35:37" ht="14.25">
      <c r="AI2810" s="122">
        <v>2498</v>
      </c>
      <c r="AJ2810" s="1" t="s">
        <v>1141</v>
      </c>
      <c r="AK2810" s="1" t="s">
        <v>1141</v>
      </c>
    </row>
    <row r="2811" spans="35:37" ht="14.25">
      <c r="AI2811" s="122">
        <v>2499</v>
      </c>
      <c r="AJ2811" s="1" t="s">
        <v>1141</v>
      </c>
      <c r="AK2811" s="1" t="s">
        <v>1141</v>
      </c>
    </row>
    <row r="2812" spans="35:37" ht="14.25">
      <c r="AI2812" s="122">
        <v>2500</v>
      </c>
      <c r="AJ2812" s="1" t="s">
        <v>1141</v>
      </c>
      <c r="AK2812" s="1" t="s">
        <v>1141</v>
      </c>
    </row>
    <row r="2813" spans="35:37" ht="14.25">
      <c r="AI2813" s="122">
        <v>2501</v>
      </c>
      <c r="AJ2813" s="1" t="s">
        <v>1141</v>
      </c>
      <c r="AK2813" s="1" t="s">
        <v>1141</v>
      </c>
    </row>
    <row r="2814" spans="35:37" ht="14.25">
      <c r="AI2814" s="122">
        <v>2502</v>
      </c>
      <c r="AJ2814" s="1" t="s">
        <v>1141</v>
      </c>
      <c r="AK2814" s="1" t="s">
        <v>1141</v>
      </c>
    </row>
    <row r="2815" spans="35:37" ht="14.25">
      <c r="AI2815" s="122">
        <v>2503</v>
      </c>
      <c r="AJ2815" s="1" t="s">
        <v>1141</v>
      </c>
      <c r="AK2815" s="1" t="s">
        <v>1141</v>
      </c>
    </row>
    <row r="2816" spans="35:37" ht="14.25">
      <c r="AI2816" s="122">
        <v>2504</v>
      </c>
      <c r="AJ2816" s="1" t="s">
        <v>1141</v>
      </c>
      <c r="AK2816" s="1" t="s">
        <v>1141</v>
      </c>
    </row>
    <row r="2817" spans="35:37" ht="14.25">
      <c r="AI2817" s="122">
        <v>2505</v>
      </c>
      <c r="AJ2817" s="1" t="s">
        <v>1141</v>
      </c>
      <c r="AK2817" s="1" t="s">
        <v>1141</v>
      </c>
    </row>
    <row r="2818" spans="35:37" ht="14.25">
      <c r="AI2818" s="122">
        <v>2506</v>
      </c>
      <c r="AJ2818" s="1" t="s">
        <v>1141</v>
      </c>
      <c r="AK2818" s="1" t="s">
        <v>1141</v>
      </c>
    </row>
    <row r="2819" spans="35:37" ht="14.25">
      <c r="AI2819" s="122">
        <v>2507</v>
      </c>
      <c r="AJ2819" s="1" t="s">
        <v>1141</v>
      </c>
      <c r="AK2819" s="1" t="s">
        <v>1141</v>
      </c>
    </row>
    <row r="2820" spans="35:37" ht="14.25">
      <c r="AI2820" s="122">
        <v>2508</v>
      </c>
      <c r="AJ2820" s="1" t="s">
        <v>1141</v>
      </c>
      <c r="AK2820" s="1" t="s">
        <v>1141</v>
      </c>
    </row>
    <row r="2821" spans="35:37" ht="14.25">
      <c r="AI2821" s="122">
        <v>2509</v>
      </c>
      <c r="AJ2821" s="1" t="s">
        <v>1141</v>
      </c>
      <c r="AK2821" s="1" t="s">
        <v>1141</v>
      </c>
    </row>
    <row r="2822" spans="35:37" ht="14.25">
      <c r="AI2822" s="122">
        <v>2510</v>
      </c>
      <c r="AJ2822" s="1" t="s">
        <v>1141</v>
      </c>
      <c r="AK2822" s="1" t="s">
        <v>1141</v>
      </c>
    </row>
    <row r="2823" spans="35:37" ht="14.25">
      <c r="AI2823" s="122">
        <v>2511</v>
      </c>
      <c r="AJ2823" s="1" t="s">
        <v>1141</v>
      </c>
      <c r="AK2823" s="1" t="s">
        <v>1141</v>
      </c>
    </row>
    <row r="2824" spans="35:37" ht="14.25">
      <c r="AI2824" s="122">
        <v>2512</v>
      </c>
      <c r="AJ2824" s="1" t="s">
        <v>1141</v>
      </c>
      <c r="AK2824" s="1" t="s">
        <v>1141</v>
      </c>
    </row>
    <row r="2825" spans="35:37" ht="14.25">
      <c r="AI2825" s="122">
        <v>2513</v>
      </c>
      <c r="AJ2825" s="1" t="s">
        <v>1141</v>
      </c>
      <c r="AK2825" s="1" t="s">
        <v>1141</v>
      </c>
    </row>
    <row r="2826" spans="35:37" ht="14.25">
      <c r="AI2826" s="122">
        <v>2514</v>
      </c>
      <c r="AJ2826" s="1" t="s">
        <v>1141</v>
      </c>
      <c r="AK2826" s="1" t="s">
        <v>1141</v>
      </c>
    </row>
    <row r="2827" spans="35:37" ht="14.25">
      <c r="AI2827" s="122">
        <v>2515</v>
      </c>
      <c r="AJ2827" s="1" t="s">
        <v>1141</v>
      </c>
      <c r="AK2827" s="1" t="s">
        <v>1141</v>
      </c>
    </row>
    <row r="2828" spans="35:37" ht="14.25">
      <c r="AI2828" s="122">
        <v>2516</v>
      </c>
      <c r="AJ2828" s="1" t="s">
        <v>1141</v>
      </c>
      <c r="AK2828" s="1" t="s">
        <v>1141</v>
      </c>
    </row>
    <row r="2829" spans="35:37" ht="14.25">
      <c r="AI2829" s="122">
        <v>2517</v>
      </c>
      <c r="AJ2829" s="1" t="s">
        <v>1141</v>
      </c>
      <c r="AK2829" s="1" t="s">
        <v>1141</v>
      </c>
    </row>
    <row r="2830" spans="35:37" ht="14.25">
      <c r="AI2830" s="122">
        <v>2518</v>
      </c>
      <c r="AJ2830" s="1" t="s">
        <v>1141</v>
      </c>
      <c r="AK2830" s="1" t="s">
        <v>1141</v>
      </c>
    </row>
    <row r="2831" spans="35:37" ht="14.25">
      <c r="AI2831" s="122">
        <v>2519</v>
      </c>
      <c r="AJ2831" s="1" t="s">
        <v>1141</v>
      </c>
      <c r="AK2831" s="1" t="s">
        <v>1141</v>
      </c>
    </row>
    <row r="2832" spans="35:37" ht="14.25">
      <c r="AI2832" s="122">
        <v>2520</v>
      </c>
      <c r="AJ2832" s="1" t="s">
        <v>1141</v>
      </c>
      <c r="AK2832" s="1" t="s">
        <v>1141</v>
      </c>
    </row>
    <row r="2833" spans="35:37" ht="14.25">
      <c r="AI2833" s="122">
        <v>2521</v>
      </c>
      <c r="AJ2833" s="1" t="s">
        <v>1141</v>
      </c>
      <c r="AK2833" s="1" t="s">
        <v>1141</v>
      </c>
    </row>
    <row r="2834" spans="35:37" ht="14.25">
      <c r="AI2834" s="122">
        <v>2522</v>
      </c>
      <c r="AJ2834" s="1" t="s">
        <v>1141</v>
      </c>
      <c r="AK2834" s="1" t="s">
        <v>1141</v>
      </c>
    </row>
    <row r="2835" spans="35:37" ht="14.25">
      <c r="AI2835" s="122">
        <v>2523</v>
      </c>
      <c r="AJ2835" s="1" t="s">
        <v>1141</v>
      </c>
      <c r="AK2835" s="1" t="s">
        <v>1141</v>
      </c>
    </row>
    <row r="2836" spans="35:37" ht="14.25">
      <c r="AI2836" s="122">
        <v>2524</v>
      </c>
      <c r="AJ2836" s="1" t="s">
        <v>1141</v>
      </c>
      <c r="AK2836" s="1" t="s">
        <v>1141</v>
      </c>
    </row>
    <row r="2837" spans="35:37" ht="14.25">
      <c r="AI2837" s="122">
        <v>2525</v>
      </c>
      <c r="AJ2837" s="1" t="s">
        <v>1141</v>
      </c>
      <c r="AK2837" s="1" t="s">
        <v>1141</v>
      </c>
    </row>
    <row r="2838" spans="35:37" ht="14.25">
      <c r="AI2838" s="122">
        <v>2526</v>
      </c>
      <c r="AJ2838" s="1" t="s">
        <v>1141</v>
      </c>
      <c r="AK2838" s="1" t="s">
        <v>1141</v>
      </c>
    </row>
    <row r="2839" spans="35:37" ht="14.25">
      <c r="AI2839" s="122">
        <v>2527</v>
      </c>
      <c r="AJ2839" s="1" t="s">
        <v>1141</v>
      </c>
      <c r="AK2839" s="1" t="s">
        <v>1141</v>
      </c>
    </row>
    <row r="2840" spans="35:37" ht="14.25">
      <c r="AI2840" s="122">
        <v>2528</v>
      </c>
      <c r="AJ2840" s="1" t="s">
        <v>1141</v>
      </c>
      <c r="AK2840" s="1" t="s">
        <v>1141</v>
      </c>
    </row>
    <row r="2841" spans="35:37" ht="14.25">
      <c r="AI2841" s="122">
        <v>2529</v>
      </c>
      <c r="AJ2841" s="1" t="s">
        <v>1141</v>
      </c>
      <c r="AK2841" s="1" t="s">
        <v>1141</v>
      </c>
    </row>
    <row r="2842" spans="35:37" ht="14.25">
      <c r="AI2842" s="122">
        <v>2530</v>
      </c>
      <c r="AJ2842" s="1" t="s">
        <v>1141</v>
      </c>
      <c r="AK2842" s="1" t="s">
        <v>1141</v>
      </c>
    </row>
    <row r="2843" spans="35:37" ht="14.25">
      <c r="AI2843" s="122">
        <v>2531</v>
      </c>
      <c r="AJ2843" s="1" t="s">
        <v>1141</v>
      </c>
      <c r="AK2843" s="1" t="s">
        <v>1141</v>
      </c>
    </row>
    <row r="2844" spans="35:37" ht="14.25">
      <c r="AI2844" s="122">
        <v>2532</v>
      </c>
      <c r="AJ2844" s="1" t="s">
        <v>1141</v>
      </c>
      <c r="AK2844" s="1" t="s">
        <v>1141</v>
      </c>
    </row>
    <row r="2845" spans="35:37" ht="14.25">
      <c r="AI2845" s="122">
        <v>2533</v>
      </c>
      <c r="AJ2845" s="1" t="s">
        <v>1141</v>
      </c>
      <c r="AK2845" s="1" t="s">
        <v>1141</v>
      </c>
    </row>
    <row r="2846" spans="35:37" ht="14.25">
      <c r="AI2846" s="122">
        <v>2534</v>
      </c>
      <c r="AJ2846" s="1" t="s">
        <v>1141</v>
      </c>
      <c r="AK2846" s="1" t="s">
        <v>1141</v>
      </c>
    </row>
    <row r="2847" spans="35:37" ht="14.25">
      <c r="AI2847" s="122">
        <v>2535</v>
      </c>
      <c r="AJ2847" s="1" t="s">
        <v>1141</v>
      </c>
      <c r="AK2847" s="1" t="s">
        <v>1141</v>
      </c>
    </row>
    <row r="2848" spans="35:37" ht="14.25">
      <c r="AI2848" s="122">
        <v>2536</v>
      </c>
      <c r="AJ2848" s="1" t="s">
        <v>1141</v>
      </c>
      <c r="AK2848" s="1" t="s">
        <v>1141</v>
      </c>
    </row>
    <row r="2849" spans="35:37" ht="14.25">
      <c r="AI2849" s="122">
        <v>2537</v>
      </c>
      <c r="AJ2849" s="1" t="s">
        <v>1141</v>
      </c>
      <c r="AK2849" s="1" t="s">
        <v>1141</v>
      </c>
    </row>
    <row r="2850" spans="35:37" ht="14.25">
      <c r="AI2850" s="122">
        <v>2538</v>
      </c>
      <c r="AJ2850" s="1" t="s">
        <v>1141</v>
      </c>
      <c r="AK2850" s="1" t="s">
        <v>1141</v>
      </c>
    </row>
    <row r="2851" spans="35:37" ht="14.25">
      <c r="AI2851" s="122">
        <v>2539</v>
      </c>
      <c r="AJ2851" s="1" t="s">
        <v>1141</v>
      </c>
      <c r="AK2851" s="1" t="s">
        <v>1141</v>
      </c>
    </row>
    <row r="2852" spans="35:37" ht="14.25">
      <c r="AI2852" s="122">
        <v>2540</v>
      </c>
      <c r="AJ2852" s="1" t="s">
        <v>1141</v>
      </c>
      <c r="AK2852" s="1" t="s">
        <v>1141</v>
      </c>
    </row>
    <row r="2853" spans="35:37" ht="14.25">
      <c r="AI2853" s="122">
        <v>2541</v>
      </c>
      <c r="AJ2853" s="1" t="s">
        <v>1141</v>
      </c>
      <c r="AK2853" s="1" t="s">
        <v>1141</v>
      </c>
    </row>
    <row r="2854" spans="35:37" ht="14.25">
      <c r="AI2854" s="122">
        <v>2542</v>
      </c>
      <c r="AJ2854" s="1" t="s">
        <v>1141</v>
      </c>
      <c r="AK2854" s="1" t="s">
        <v>1141</v>
      </c>
    </row>
    <row r="2855" spans="35:37" ht="14.25">
      <c r="AI2855" s="122">
        <v>2543</v>
      </c>
      <c r="AJ2855" s="1" t="s">
        <v>1141</v>
      </c>
      <c r="AK2855" s="1" t="s">
        <v>1141</v>
      </c>
    </row>
    <row r="2856" spans="35:37" ht="14.25">
      <c r="AI2856" s="122">
        <v>2544</v>
      </c>
      <c r="AJ2856" s="1" t="s">
        <v>1141</v>
      </c>
      <c r="AK2856" s="1" t="s">
        <v>1141</v>
      </c>
    </row>
    <row r="2857" spans="35:37" ht="14.25">
      <c r="AI2857" s="122">
        <v>2545</v>
      </c>
      <c r="AJ2857" s="1" t="s">
        <v>1141</v>
      </c>
      <c r="AK2857" s="1" t="s">
        <v>1141</v>
      </c>
    </row>
    <row r="2858" spans="35:37" ht="14.25">
      <c r="AI2858" s="122">
        <v>2546</v>
      </c>
      <c r="AJ2858" s="1" t="s">
        <v>1141</v>
      </c>
      <c r="AK2858" s="1" t="s">
        <v>1141</v>
      </c>
    </row>
    <row r="2859" spans="35:37" ht="14.25">
      <c r="AI2859" s="122">
        <v>2547</v>
      </c>
      <c r="AJ2859" s="1" t="s">
        <v>1141</v>
      </c>
      <c r="AK2859" s="1" t="s">
        <v>1141</v>
      </c>
    </row>
    <row r="2860" spans="35:37" ht="14.25">
      <c r="AI2860" s="122">
        <v>2548</v>
      </c>
      <c r="AJ2860" s="1" t="s">
        <v>1141</v>
      </c>
      <c r="AK2860" s="1" t="s">
        <v>1141</v>
      </c>
    </row>
    <row r="2861" spans="35:37" ht="14.25">
      <c r="AI2861" s="122">
        <v>2549</v>
      </c>
      <c r="AJ2861" s="1" t="s">
        <v>1141</v>
      </c>
      <c r="AK2861" s="1" t="s">
        <v>1141</v>
      </c>
    </row>
    <row r="2862" spans="35:37" ht="14.25">
      <c r="AI2862" s="122">
        <v>2550</v>
      </c>
      <c r="AJ2862" s="1" t="s">
        <v>1141</v>
      </c>
      <c r="AK2862" s="1" t="s">
        <v>1141</v>
      </c>
    </row>
    <row r="2863" spans="35:37" ht="14.25">
      <c r="AI2863" s="122">
        <v>2551</v>
      </c>
      <c r="AJ2863" s="1" t="s">
        <v>1141</v>
      </c>
      <c r="AK2863" s="1" t="s">
        <v>1141</v>
      </c>
    </row>
    <row r="2864" spans="35:37" ht="14.25">
      <c r="AI2864" s="122">
        <v>2552</v>
      </c>
      <c r="AJ2864" s="1" t="s">
        <v>1141</v>
      </c>
      <c r="AK2864" s="1" t="s">
        <v>1141</v>
      </c>
    </row>
    <row r="2865" spans="35:37" ht="14.25">
      <c r="AI2865" s="122">
        <v>2553</v>
      </c>
      <c r="AJ2865" s="1" t="s">
        <v>1141</v>
      </c>
      <c r="AK2865" s="1" t="s">
        <v>1141</v>
      </c>
    </row>
    <row r="2866" spans="35:37" ht="14.25">
      <c r="AI2866" s="122">
        <v>2554</v>
      </c>
      <c r="AJ2866" s="1" t="s">
        <v>1141</v>
      </c>
      <c r="AK2866" s="1" t="s">
        <v>1141</v>
      </c>
    </row>
    <row r="2867" spans="35:37" ht="14.25">
      <c r="AI2867" s="122">
        <v>2555</v>
      </c>
      <c r="AJ2867" s="1" t="s">
        <v>1141</v>
      </c>
      <c r="AK2867" s="1" t="s">
        <v>1141</v>
      </c>
    </row>
    <row r="2868" spans="35:37" ht="14.25">
      <c r="AI2868" s="122">
        <v>2556</v>
      </c>
      <c r="AJ2868" s="1" t="s">
        <v>1141</v>
      </c>
      <c r="AK2868" s="1" t="s">
        <v>1141</v>
      </c>
    </row>
    <row r="2869" spans="35:37" ht="14.25">
      <c r="AI2869" s="122">
        <v>2557</v>
      </c>
      <c r="AJ2869" s="1" t="s">
        <v>1141</v>
      </c>
      <c r="AK2869" s="1" t="s">
        <v>1141</v>
      </c>
    </row>
    <row r="2870" spans="35:37" ht="14.25">
      <c r="AI2870" s="122">
        <v>2558</v>
      </c>
      <c r="AJ2870" s="1" t="s">
        <v>1141</v>
      </c>
      <c r="AK2870" s="1" t="s">
        <v>1141</v>
      </c>
    </row>
    <row r="2871" spans="35:37" ht="14.25">
      <c r="AI2871" s="122">
        <v>2559</v>
      </c>
      <c r="AJ2871" s="1" t="s">
        <v>1141</v>
      </c>
      <c r="AK2871" s="1" t="s">
        <v>1141</v>
      </c>
    </row>
    <row r="2872" spans="35:37" ht="14.25">
      <c r="AI2872" s="122">
        <v>2560</v>
      </c>
      <c r="AJ2872" s="1" t="s">
        <v>1141</v>
      </c>
      <c r="AK2872" s="1" t="s">
        <v>1141</v>
      </c>
    </row>
    <row r="2873" spans="35:37" ht="14.25">
      <c r="AI2873" s="122">
        <v>2561</v>
      </c>
      <c r="AJ2873" s="1" t="s">
        <v>1141</v>
      </c>
      <c r="AK2873" s="1" t="s">
        <v>1141</v>
      </c>
    </row>
    <row r="2874" spans="35:37" ht="14.25">
      <c r="AI2874" s="122">
        <v>2562</v>
      </c>
      <c r="AJ2874" s="1" t="s">
        <v>1141</v>
      </c>
      <c r="AK2874" s="1" t="s">
        <v>1141</v>
      </c>
    </row>
    <row r="2875" spans="35:37" ht="14.25">
      <c r="AI2875" s="122">
        <v>2563</v>
      </c>
      <c r="AJ2875" s="1" t="s">
        <v>1141</v>
      </c>
      <c r="AK2875" s="1" t="s">
        <v>1141</v>
      </c>
    </row>
    <row r="2876" spans="35:37" ht="14.25">
      <c r="AI2876" s="122">
        <v>2564</v>
      </c>
      <c r="AJ2876" s="1" t="s">
        <v>1141</v>
      </c>
      <c r="AK2876" s="1" t="s">
        <v>1141</v>
      </c>
    </row>
    <row r="2877" spans="35:37" ht="14.25">
      <c r="AI2877" s="122">
        <v>2565</v>
      </c>
      <c r="AJ2877" s="1" t="s">
        <v>1141</v>
      </c>
      <c r="AK2877" s="1" t="s">
        <v>1141</v>
      </c>
    </row>
    <row r="2878" spans="35:37" ht="14.25">
      <c r="AI2878" s="122">
        <v>2566</v>
      </c>
      <c r="AJ2878" s="1" t="s">
        <v>1141</v>
      </c>
      <c r="AK2878" s="1" t="s">
        <v>1141</v>
      </c>
    </row>
    <row r="2879" spans="35:37" ht="14.25">
      <c r="AI2879" s="122">
        <v>2567</v>
      </c>
      <c r="AJ2879" s="1" t="s">
        <v>1141</v>
      </c>
      <c r="AK2879" s="1" t="s">
        <v>1141</v>
      </c>
    </row>
    <row r="2880" spans="35:37" ht="14.25">
      <c r="AI2880" s="122">
        <v>2568</v>
      </c>
      <c r="AJ2880" s="1" t="s">
        <v>1141</v>
      </c>
      <c r="AK2880" s="1" t="s">
        <v>1141</v>
      </c>
    </row>
    <row r="2881" spans="35:37" ht="14.25">
      <c r="AI2881" s="122">
        <v>2569</v>
      </c>
      <c r="AJ2881" s="1" t="s">
        <v>1141</v>
      </c>
      <c r="AK2881" s="1" t="s">
        <v>1141</v>
      </c>
    </row>
    <row r="2882" spans="35:37" ht="14.25">
      <c r="AI2882" s="122">
        <v>2570</v>
      </c>
      <c r="AJ2882" s="1" t="s">
        <v>1141</v>
      </c>
      <c r="AK2882" s="1" t="s">
        <v>1141</v>
      </c>
    </row>
    <row r="2883" spans="35:37" ht="14.25">
      <c r="AI2883" s="122">
        <v>2571</v>
      </c>
      <c r="AJ2883" s="1" t="s">
        <v>1141</v>
      </c>
      <c r="AK2883" s="1" t="s">
        <v>1141</v>
      </c>
    </row>
    <row r="2884" spans="35:37" ht="14.25">
      <c r="AI2884" s="122">
        <v>2572</v>
      </c>
      <c r="AJ2884" s="1" t="s">
        <v>1141</v>
      </c>
      <c r="AK2884" s="1" t="s">
        <v>1141</v>
      </c>
    </row>
    <row r="2885" spans="35:37" ht="14.25">
      <c r="AI2885" s="122">
        <v>2573</v>
      </c>
      <c r="AJ2885" s="1" t="s">
        <v>1141</v>
      </c>
      <c r="AK2885" s="1" t="s">
        <v>1141</v>
      </c>
    </row>
    <row r="2886" spans="35:37" ht="14.25">
      <c r="AI2886" s="122">
        <v>2574</v>
      </c>
      <c r="AJ2886" s="1" t="s">
        <v>1141</v>
      </c>
      <c r="AK2886" s="1" t="s">
        <v>1141</v>
      </c>
    </row>
    <row r="2887" spans="35:37" ht="14.25">
      <c r="AI2887" s="122">
        <v>2575</v>
      </c>
      <c r="AJ2887" s="1" t="s">
        <v>1141</v>
      </c>
      <c r="AK2887" s="1" t="s">
        <v>1141</v>
      </c>
    </row>
    <row r="2888" spans="35:37" ht="14.25">
      <c r="AI2888" s="122">
        <v>2576</v>
      </c>
      <c r="AJ2888" s="1" t="s">
        <v>1141</v>
      </c>
      <c r="AK2888" s="1" t="s">
        <v>1141</v>
      </c>
    </row>
    <row r="2889" spans="35:37" ht="14.25">
      <c r="AI2889" s="122">
        <v>2577</v>
      </c>
      <c r="AJ2889" s="1" t="s">
        <v>1141</v>
      </c>
      <c r="AK2889" s="1" t="s">
        <v>1141</v>
      </c>
    </row>
    <row r="2890" spans="35:37" ht="14.25">
      <c r="AI2890" s="122">
        <v>2578</v>
      </c>
      <c r="AJ2890" s="1" t="s">
        <v>1141</v>
      </c>
      <c r="AK2890" s="1" t="s">
        <v>1141</v>
      </c>
    </row>
    <row r="2891" spans="35:37" ht="14.25">
      <c r="AI2891" s="122">
        <v>2579</v>
      </c>
      <c r="AJ2891" s="1" t="s">
        <v>1141</v>
      </c>
      <c r="AK2891" s="1" t="s">
        <v>1141</v>
      </c>
    </row>
    <row r="2892" spans="35:37" ht="14.25">
      <c r="AI2892" s="122">
        <v>2580</v>
      </c>
      <c r="AJ2892" s="1" t="s">
        <v>1141</v>
      </c>
      <c r="AK2892" s="1" t="s">
        <v>1141</v>
      </c>
    </row>
    <row r="2893" spans="35:37" ht="14.25">
      <c r="AI2893" s="122">
        <v>2581</v>
      </c>
      <c r="AJ2893" s="1" t="s">
        <v>1141</v>
      </c>
      <c r="AK2893" s="1" t="s">
        <v>1141</v>
      </c>
    </row>
    <row r="2894" spans="35:37" ht="14.25">
      <c r="AI2894" s="122">
        <v>2582</v>
      </c>
      <c r="AJ2894" s="1" t="s">
        <v>1141</v>
      </c>
      <c r="AK2894" s="1" t="s">
        <v>1141</v>
      </c>
    </row>
    <row r="2895" spans="35:37" ht="14.25">
      <c r="AI2895" s="122">
        <v>2583</v>
      </c>
      <c r="AJ2895" s="1" t="s">
        <v>1141</v>
      </c>
      <c r="AK2895" s="1" t="s">
        <v>1141</v>
      </c>
    </row>
    <row r="2896" spans="35:37" ht="14.25">
      <c r="AI2896" s="122">
        <v>2584</v>
      </c>
      <c r="AJ2896" s="1" t="s">
        <v>1141</v>
      </c>
      <c r="AK2896" s="1" t="s">
        <v>1141</v>
      </c>
    </row>
    <row r="2897" spans="35:37" ht="14.25">
      <c r="AI2897" s="122">
        <v>2585</v>
      </c>
      <c r="AJ2897" s="1" t="s">
        <v>1141</v>
      </c>
      <c r="AK2897" s="1" t="s">
        <v>1141</v>
      </c>
    </row>
    <row r="2898" spans="35:37" ht="14.25">
      <c r="AI2898" s="122">
        <v>2586</v>
      </c>
      <c r="AJ2898" s="1" t="s">
        <v>1141</v>
      </c>
      <c r="AK2898" s="1" t="s">
        <v>1141</v>
      </c>
    </row>
    <row r="2899" spans="35:37" ht="14.25">
      <c r="AI2899" s="122">
        <v>2587</v>
      </c>
      <c r="AJ2899" s="1" t="s">
        <v>1141</v>
      </c>
      <c r="AK2899" s="1" t="s">
        <v>1141</v>
      </c>
    </row>
    <row r="2900" spans="35:37" ht="14.25">
      <c r="AI2900" s="122">
        <v>2588</v>
      </c>
      <c r="AJ2900" s="1" t="s">
        <v>1141</v>
      </c>
      <c r="AK2900" s="1" t="s">
        <v>1141</v>
      </c>
    </row>
    <row r="2901" spans="35:37" ht="14.25">
      <c r="AI2901" s="122">
        <v>2589</v>
      </c>
      <c r="AJ2901" s="1" t="s">
        <v>1141</v>
      </c>
      <c r="AK2901" s="1" t="s">
        <v>1141</v>
      </c>
    </row>
    <row r="2902" spans="35:37" ht="14.25">
      <c r="AI2902" s="122">
        <v>2590</v>
      </c>
      <c r="AJ2902" s="1" t="s">
        <v>1141</v>
      </c>
      <c r="AK2902" s="1" t="s">
        <v>1141</v>
      </c>
    </row>
    <row r="2903" spans="35:37" ht="14.25">
      <c r="AI2903" s="122">
        <v>2591</v>
      </c>
      <c r="AJ2903" s="1" t="s">
        <v>1141</v>
      </c>
      <c r="AK2903" s="1" t="s">
        <v>1141</v>
      </c>
    </row>
    <row r="2904" spans="35:37" ht="14.25">
      <c r="AI2904" s="122">
        <v>2592</v>
      </c>
      <c r="AJ2904" s="1" t="s">
        <v>1141</v>
      </c>
      <c r="AK2904" s="1" t="s">
        <v>1141</v>
      </c>
    </row>
    <row r="2905" spans="35:37" ht="14.25">
      <c r="AI2905" s="122">
        <v>2593</v>
      </c>
      <c r="AJ2905" s="1" t="s">
        <v>1141</v>
      </c>
      <c r="AK2905" s="1" t="s">
        <v>1141</v>
      </c>
    </row>
    <row r="2906" spans="35:37" ht="14.25">
      <c r="AI2906" s="122">
        <v>2594</v>
      </c>
      <c r="AJ2906" s="1" t="s">
        <v>1141</v>
      </c>
      <c r="AK2906" s="1" t="s">
        <v>1141</v>
      </c>
    </row>
    <row r="2907" spans="35:37" ht="14.25">
      <c r="AI2907" s="122">
        <v>2595</v>
      </c>
      <c r="AJ2907" s="1" t="s">
        <v>1141</v>
      </c>
      <c r="AK2907" s="1" t="s">
        <v>1141</v>
      </c>
    </row>
    <row r="2908" spans="35:37" ht="14.25">
      <c r="AI2908" s="122">
        <v>2596</v>
      </c>
      <c r="AJ2908" s="1" t="s">
        <v>1141</v>
      </c>
      <c r="AK2908" s="1" t="s">
        <v>1141</v>
      </c>
    </row>
    <row r="2909" spans="35:37" ht="14.25">
      <c r="AI2909" s="122">
        <v>2597</v>
      </c>
      <c r="AJ2909" s="1" t="s">
        <v>1141</v>
      </c>
      <c r="AK2909" s="1" t="s">
        <v>1141</v>
      </c>
    </row>
    <row r="2910" spans="35:37" ht="14.25">
      <c r="AI2910" s="122">
        <v>2598</v>
      </c>
      <c r="AJ2910" s="1" t="s">
        <v>1141</v>
      </c>
      <c r="AK2910" s="1" t="s">
        <v>1141</v>
      </c>
    </row>
    <row r="2911" spans="35:37" ht="14.25">
      <c r="AI2911" s="122">
        <v>2599</v>
      </c>
      <c r="AJ2911" s="1" t="s">
        <v>1141</v>
      </c>
      <c r="AK2911" s="1" t="s">
        <v>1141</v>
      </c>
    </row>
    <row r="2912" spans="35:37" ht="14.25">
      <c r="AI2912" s="122">
        <v>2600</v>
      </c>
      <c r="AJ2912" s="1" t="s">
        <v>1141</v>
      </c>
      <c r="AK2912" s="1" t="s">
        <v>1141</v>
      </c>
    </row>
    <row r="2913" spans="35:37" ht="14.25">
      <c r="AI2913" s="122">
        <v>2601</v>
      </c>
      <c r="AJ2913" s="1" t="s">
        <v>1141</v>
      </c>
      <c r="AK2913" s="1" t="s">
        <v>1141</v>
      </c>
    </row>
    <row r="2914" spans="35:37" ht="14.25">
      <c r="AI2914" s="122">
        <v>2602</v>
      </c>
      <c r="AJ2914" s="1" t="s">
        <v>1141</v>
      </c>
      <c r="AK2914" s="1" t="s">
        <v>1141</v>
      </c>
    </row>
    <row r="2915" spans="35:37" ht="14.25">
      <c r="AI2915" s="122">
        <v>2603</v>
      </c>
      <c r="AJ2915" s="1" t="s">
        <v>1141</v>
      </c>
      <c r="AK2915" s="1" t="s">
        <v>1141</v>
      </c>
    </row>
    <row r="2916" spans="35:37" ht="14.25">
      <c r="AI2916" s="122">
        <v>2604</v>
      </c>
      <c r="AJ2916" s="1" t="s">
        <v>1141</v>
      </c>
      <c r="AK2916" s="1" t="s">
        <v>1141</v>
      </c>
    </row>
    <row r="2917" spans="35:37" ht="14.25">
      <c r="AI2917" s="122">
        <v>2605</v>
      </c>
      <c r="AJ2917" s="1" t="s">
        <v>1141</v>
      </c>
      <c r="AK2917" s="1" t="s">
        <v>1141</v>
      </c>
    </row>
    <row r="2918" spans="35:37" ht="14.25">
      <c r="AI2918" s="122">
        <v>2606</v>
      </c>
      <c r="AJ2918" s="1" t="s">
        <v>1141</v>
      </c>
      <c r="AK2918" s="1" t="s">
        <v>1141</v>
      </c>
    </row>
    <row r="2919" spans="35:37" ht="14.25">
      <c r="AI2919" s="122">
        <v>2607</v>
      </c>
      <c r="AJ2919" s="1" t="s">
        <v>1141</v>
      </c>
      <c r="AK2919" s="1" t="s">
        <v>1141</v>
      </c>
    </row>
    <row r="2920" spans="35:37" ht="14.25">
      <c r="AI2920" s="122">
        <v>2608</v>
      </c>
      <c r="AJ2920" s="1" t="s">
        <v>1141</v>
      </c>
      <c r="AK2920" s="1" t="s">
        <v>1141</v>
      </c>
    </row>
    <row r="2921" spans="35:37" ht="14.25">
      <c r="AI2921" s="122">
        <v>2609</v>
      </c>
      <c r="AJ2921" s="1" t="s">
        <v>1141</v>
      </c>
      <c r="AK2921" s="1" t="s">
        <v>1141</v>
      </c>
    </row>
    <row r="2922" spans="35:37" ht="14.25">
      <c r="AI2922" s="122">
        <v>2610</v>
      </c>
      <c r="AJ2922" s="1" t="s">
        <v>1141</v>
      </c>
      <c r="AK2922" s="1" t="s">
        <v>1141</v>
      </c>
    </row>
    <row r="2923" spans="35:37" ht="14.25">
      <c r="AI2923" s="122">
        <v>2611</v>
      </c>
      <c r="AJ2923" s="1" t="s">
        <v>1141</v>
      </c>
      <c r="AK2923" s="1" t="s">
        <v>1141</v>
      </c>
    </row>
    <row r="2924" spans="35:37" ht="14.25">
      <c r="AI2924" s="122">
        <v>2612</v>
      </c>
      <c r="AJ2924" s="1" t="s">
        <v>1141</v>
      </c>
      <c r="AK2924" s="1" t="s">
        <v>1141</v>
      </c>
    </row>
    <row r="2925" spans="35:37" ht="14.25">
      <c r="AI2925" s="122">
        <v>2613</v>
      </c>
      <c r="AJ2925" s="1" t="s">
        <v>1141</v>
      </c>
      <c r="AK2925" s="1" t="s">
        <v>1141</v>
      </c>
    </row>
    <row r="2926" spans="35:37" ht="14.25">
      <c r="AI2926" s="122">
        <v>2614</v>
      </c>
      <c r="AJ2926" s="1" t="s">
        <v>1141</v>
      </c>
      <c r="AK2926" s="1" t="s">
        <v>1141</v>
      </c>
    </row>
    <row r="2927" spans="35:37" ht="14.25">
      <c r="AI2927" s="122">
        <v>2615</v>
      </c>
      <c r="AJ2927" s="1" t="s">
        <v>1141</v>
      </c>
      <c r="AK2927" s="1" t="s">
        <v>1141</v>
      </c>
    </row>
    <row r="2928" spans="35:37" ht="14.25">
      <c r="AI2928" s="122">
        <v>2616</v>
      </c>
      <c r="AJ2928" s="1" t="s">
        <v>1141</v>
      </c>
      <c r="AK2928" s="1" t="s">
        <v>1141</v>
      </c>
    </row>
    <row r="2929" spans="35:37" ht="14.25">
      <c r="AI2929" s="122">
        <v>2617</v>
      </c>
      <c r="AJ2929" s="1" t="s">
        <v>1141</v>
      </c>
      <c r="AK2929" s="1" t="s">
        <v>1141</v>
      </c>
    </row>
    <row r="2930" spans="35:37" ht="14.25">
      <c r="AI2930" s="122">
        <v>2618</v>
      </c>
      <c r="AJ2930" s="1" t="s">
        <v>1141</v>
      </c>
      <c r="AK2930" s="1" t="s">
        <v>1141</v>
      </c>
    </row>
    <row r="2931" spans="35:37" ht="14.25">
      <c r="AI2931" s="122">
        <v>2619</v>
      </c>
      <c r="AJ2931" s="1" t="s">
        <v>1141</v>
      </c>
      <c r="AK2931" s="1" t="s">
        <v>1141</v>
      </c>
    </row>
    <row r="2932" spans="35:37" ht="14.25">
      <c r="AI2932" s="122">
        <v>2620</v>
      </c>
      <c r="AJ2932" s="1" t="s">
        <v>1141</v>
      </c>
      <c r="AK2932" s="1" t="s">
        <v>1141</v>
      </c>
    </row>
    <row r="2933" spans="35:37" ht="14.25">
      <c r="AI2933" s="122">
        <v>2621</v>
      </c>
      <c r="AJ2933" s="1" t="s">
        <v>1141</v>
      </c>
      <c r="AK2933" s="1" t="s">
        <v>1141</v>
      </c>
    </row>
    <row r="2934" spans="35:37" ht="14.25">
      <c r="AI2934" s="122">
        <v>2622</v>
      </c>
      <c r="AJ2934" s="1" t="s">
        <v>1141</v>
      </c>
      <c r="AK2934" s="1" t="s">
        <v>1141</v>
      </c>
    </row>
    <row r="2935" spans="35:37" ht="14.25">
      <c r="AI2935" s="122">
        <v>2623</v>
      </c>
      <c r="AJ2935" s="1" t="s">
        <v>1141</v>
      </c>
      <c r="AK2935" s="1" t="s">
        <v>1141</v>
      </c>
    </row>
    <row r="2936" spans="35:37" ht="14.25">
      <c r="AI2936" s="122">
        <v>2624</v>
      </c>
      <c r="AJ2936" s="1" t="s">
        <v>1141</v>
      </c>
      <c r="AK2936" s="1" t="s">
        <v>1141</v>
      </c>
    </row>
    <row r="2937" spans="35:37" ht="14.25">
      <c r="AI2937" s="122">
        <v>2625</v>
      </c>
      <c r="AJ2937" s="1" t="s">
        <v>1141</v>
      </c>
      <c r="AK2937" s="1" t="s">
        <v>1141</v>
      </c>
    </row>
    <row r="2938" spans="35:37" ht="14.25">
      <c r="AI2938" s="122">
        <v>2626</v>
      </c>
      <c r="AJ2938" s="1" t="s">
        <v>1141</v>
      </c>
      <c r="AK2938" s="1" t="s">
        <v>1141</v>
      </c>
    </row>
    <row r="2939" spans="35:37" ht="14.25">
      <c r="AI2939" s="122">
        <v>2627</v>
      </c>
      <c r="AJ2939" s="1" t="s">
        <v>1141</v>
      </c>
      <c r="AK2939" s="1" t="s">
        <v>1141</v>
      </c>
    </row>
    <row r="2940" spans="35:37" ht="14.25">
      <c r="AI2940" s="122">
        <v>2628</v>
      </c>
      <c r="AJ2940" s="1" t="s">
        <v>1141</v>
      </c>
      <c r="AK2940" s="1" t="s">
        <v>1141</v>
      </c>
    </row>
    <row r="2941" spans="35:37" ht="14.25">
      <c r="AI2941" s="122">
        <v>2629</v>
      </c>
      <c r="AJ2941" s="1" t="s">
        <v>1141</v>
      </c>
      <c r="AK2941" s="1" t="s">
        <v>1141</v>
      </c>
    </row>
    <row r="2942" spans="35:37" ht="14.25">
      <c r="AI2942" s="122">
        <v>2630</v>
      </c>
      <c r="AJ2942" s="1" t="s">
        <v>1141</v>
      </c>
      <c r="AK2942" s="1" t="s">
        <v>1141</v>
      </c>
    </row>
    <row r="2943" spans="35:37" ht="14.25">
      <c r="AI2943" s="122">
        <v>2631</v>
      </c>
      <c r="AJ2943" s="1" t="s">
        <v>1141</v>
      </c>
      <c r="AK2943" s="1" t="s">
        <v>1141</v>
      </c>
    </row>
    <row r="2944" spans="35:37" ht="14.25">
      <c r="AI2944" s="122">
        <v>2632</v>
      </c>
      <c r="AJ2944" s="1" t="s">
        <v>1141</v>
      </c>
      <c r="AK2944" s="1" t="s">
        <v>1141</v>
      </c>
    </row>
    <row r="2945" spans="35:37" ht="14.25">
      <c r="AI2945" s="122">
        <v>2633</v>
      </c>
      <c r="AJ2945" s="1" t="s">
        <v>1141</v>
      </c>
      <c r="AK2945" s="1" t="s">
        <v>1141</v>
      </c>
    </row>
    <row r="2946" spans="35:37" ht="14.25">
      <c r="AI2946" s="122">
        <v>2634</v>
      </c>
      <c r="AJ2946" s="1" t="s">
        <v>1141</v>
      </c>
      <c r="AK2946" s="1" t="s">
        <v>1141</v>
      </c>
    </row>
    <row r="2947" spans="35:37" ht="14.25">
      <c r="AI2947" s="122">
        <v>2635</v>
      </c>
      <c r="AJ2947" s="1" t="s">
        <v>1141</v>
      </c>
      <c r="AK2947" s="1" t="s">
        <v>1141</v>
      </c>
    </row>
    <row r="2948" spans="35:37" ht="14.25">
      <c r="AI2948" s="122">
        <v>2636</v>
      </c>
      <c r="AJ2948" s="1" t="s">
        <v>1141</v>
      </c>
      <c r="AK2948" s="1" t="s">
        <v>1141</v>
      </c>
    </row>
    <row r="2949" spans="35:37" ht="14.25">
      <c r="AI2949" s="122">
        <v>2637</v>
      </c>
      <c r="AJ2949" s="1" t="s">
        <v>1141</v>
      </c>
      <c r="AK2949" s="1" t="s">
        <v>1141</v>
      </c>
    </row>
    <row r="2950" spans="35:37" ht="14.25">
      <c r="AI2950" s="122">
        <v>2638</v>
      </c>
      <c r="AJ2950" s="1" t="s">
        <v>1141</v>
      </c>
      <c r="AK2950" s="1" t="s">
        <v>1141</v>
      </c>
    </row>
    <row r="2951" spans="35:37" ht="14.25">
      <c r="AI2951" s="122">
        <v>2639</v>
      </c>
      <c r="AJ2951" s="1" t="s">
        <v>1141</v>
      </c>
      <c r="AK2951" s="1" t="s">
        <v>1141</v>
      </c>
    </row>
    <row r="2952" spans="35:37" ht="14.25">
      <c r="AI2952" s="122">
        <v>2640</v>
      </c>
      <c r="AJ2952" s="1" t="s">
        <v>1141</v>
      </c>
      <c r="AK2952" s="1" t="s">
        <v>1141</v>
      </c>
    </row>
    <row r="2953" spans="35:37" ht="14.25">
      <c r="AI2953" s="122">
        <v>2641</v>
      </c>
      <c r="AJ2953" s="1" t="s">
        <v>1141</v>
      </c>
      <c r="AK2953" s="1" t="s">
        <v>1141</v>
      </c>
    </row>
    <row r="2954" spans="35:37" ht="14.25">
      <c r="AI2954" s="122">
        <v>2642</v>
      </c>
      <c r="AJ2954" s="1" t="s">
        <v>1141</v>
      </c>
      <c r="AK2954" s="1" t="s">
        <v>1141</v>
      </c>
    </row>
    <row r="2955" spans="35:37" ht="14.25">
      <c r="AI2955" s="122">
        <v>2643</v>
      </c>
      <c r="AJ2955" s="1" t="s">
        <v>1141</v>
      </c>
      <c r="AK2955" s="1" t="s">
        <v>1141</v>
      </c>
    </row>
    <row r="2956" spans="35:37" ht="14.25">
      <c r="AI2956" s="122">
        <v>2644</v>
      </c>
      <c r="AJ2956" s="1" t="s">
        <v>1141</v>
      </c>
      <c r="AK2956" s="1" t="s">
        <v>1141</v>
      </c>
    </row>
    <row r="2957" spans="35:37" ht="14.25">
      <c r="AI2957" s="122">
        <v>2645</v>
      </c>
      <c r="AJ2957" s="1" t="s">
        <v>1141</v>
      </c>
      <c r="AK2957" s="1" t="s">
        <v>1141</v>
      </c>
    </row>
    <row r="2958" spans="35:37" ht="14.25">
      <c r="AI2958" s="122">
        <v>2646</v>
      </c>
      <c r="AJ2958" s="1" t="s">
        <v>1141</v>
      </c>
      <c r="AK2958" s="1" t="s">
        <v>1141</v>
      </c>
    </row>
    <row r="2959" spans="35:37" ht="14.25">
      <c r="AI2959" s="122">
        <v>2647</v>
      </c>
      <c r="AJ2959" s="1" t="s">
        <v>1141</v>
      </c>
      <c r="AK2959" s="1" t="s">
        <v>1141</v>
      </c>
    </row>
    <row r="2960" spans="35:37" ht="14.25">
      <c r="AI2960" s="122">
        <v>2648</v>
      </c>
      <c r="AJ2960" s="1" t="s">
        <v>1141</v>
      </c>
      <c r="AK2960" s="1" t="s">
        <v>1141</v>
      </c>
    </row>
    <row r="2961" spans="35:37" ht="14.25">
      <c r="AI2961" s="122">
        <v>2649</v>
      </c>
      <c r="AJ2961" s="1" t="s">
        <v>1141</v>
      </c>
      <c r="AK2961" s="1" t="s">
        <v>1141</v>
      </c>
    </row>
    <row r="2962" spans="35:37" ht="14.25">
      <c r="AI2962" s="122">
        <v>2650</v>
      </c>
      <c r="AJ2962" s="1" t="s">
        <v>1141</v>
      </c>
      <c r="AK2962" s="1" t="s">
        <v>1141</v>
      </c>
    </row>
    <row r="2963" spans="35:37" ht="14.25">
      <c r="AI2963" s="122">
        <v>2651</v>
      </c>
      <c r="AJ2963" s="1" t="s">
        <v>1141</v>
      </c>
      <c r="AK2963" s="1" t="s">
        <v>1141</v>
      </c>
    </row>
    <row r="2964" spans="35:37" ht="14.25">
      <c r="AI2964" s="122">
        <v>2652</v>
      </c>
      <c r="AJ2964" s="1" t="s">
        <v>1141</v>
      </c>
      <c r="AK2964" s="1" t="s">
        <v>1141</v>
      </c>
    </row>
    <row r="2965" spans="35:37" ht="14.25">
      <c r="AI2965" s="122">
        <v>2653</v>
      </c>
      <c r="AJ2965" s="1" t="s">
        <v>1141</v>
      </c>
      <c r="AK2965" s="1" t="s">
        <v>1141</v>
      </c>
    </row>
    <row r="2966" spans="35:37" ht="14.25">
      <c r="AI2966" s="122">
        <v>2654</v>
      </c>
      <c r="AJ2966" s="1" t="s">
        <v>1141</v>
      </c>
      <c r="AK2966" s="1" t="s">
        <v>1141</v>
      </c>
    </row>
    <row r="2967" spans="35:37" ht="14.25">
      <c r="AI2967" s="122">
        <v>2655</v>
      </c>
      <c r="AJ2967" s="1" t="s">
        <v>1141</v>
      </c>
      <c r="AK2967" s="1" t="s">
        <v>1141</v>
      </c>
    </row>
    <row r="2968" spans="35:37" ht="14.25">
      <c r="AI2968" s="122">
        <v>2656</v>
      </c>
      <c r="AJ2968" s="1" t="s">
        <v>1141</v>
      </c>
      <c r="AK2968" s="1" t="s">
        <v>1141</v>
      </c>
    </row>
    <row r="2969" spans="35:37" ht="14.25">
      <c r="AI2969" s="122">
        <v>2657</v>
      </c>
      <c r="AJ2969" s="1" t="s">
        <v>1141</v>
      </c>
      <c r="AK2969" s="1" t="s">
        <v>1141</v>
      </c>
    </row>
    <row r="2970" spans="35:37" ht="14.25">
      <c r="AI2970" s="122">
        <v>2658</v>
      </c>
      <c r="AJ2970" s="1" t="s">
        <v>1141</v>
      </c>
      <c r="AK2970" s="1" t="s">
        <v>1141</v>
      </c>
    </row>
    <row r="2971" spans="35:37" ht="14.25">
      <c r="AI2971" s="122">
        <v>2659</v>
      </c>
      <c r="AJ2971" s="1" t="s">
        <v>1141</v>
      </c>
      <c r="AK2971" s="1" t="s">
        <v>1141</v>
      </c>
    </row>
    <row r="2972" spans="35:37" ht="14.25">
      <c r="AI2972" s="122">
        <v>2660</v>
      </c>
      <c r="AJ2972" s="1" t="s">
        <v>1141</v>
      </c>
      <c r="AK2972" s="1" t="s">
        <v>1141</v>
      </c>
    </row>
    <row r="2973" spans="35:37" ht="14.25">
      <c r="AI2973" s="122">
        <v>2661</v>
      </c>
      <c r="AJ2973" s="1" t="s">
        <v>1141</v>
      </c>
      <c r="AK2973" s="1" t="s">
        <v>1141</v>
      </c>
    </row>
    <row r="2974" spans="35:37" ht="14.25">
      <c r="AI2974" s="122">
        <v>2662</v>
      </c>
      <c r="AJ2974" s="1" t="s">
        <v>1141</v>
      </c>
      <c r="AK2974" s="1" t="s">
        <v>1141</v>
      </c>
    </row>
    <row r="2975" spans="35:37" ht="14.25">
      <c r="AI2975" s="122">
        <v>2663</v>
      </c>
      <c r="AJ2975" s="1" t="s">
        <v>1141</v>
      </c>
      <c r="AK2975" s="1" t="s">
        <v>1141</v>
      </c>
    </row>
    <row r="2976" spans="35:37" ht="14.25">
      <c r="AI2976" s="122">
        <v>2664</v>
      </c>
      <c r="AJ2976" s="1" t="s">
        <v>1141</v>
      </c>
      <c r="AK2976" s="1" t="s">
        <v>1141</v>
      </c>
    </row>
    <row r="2977" spans="35:37" ht="14.25">
      <c r="AI2977" s="122">
        <v>2665</v>
      </c>
      <c r="AJ2977" s="1" t="s">
        <v>1141</v>
      </c>
      <c r="AK2977" s="1" t="s">
        <v>1141</v>
      </c>
    </row>
    <row r="2978" spans="35:37" ht="14.25">
      <c r="AI2978" s="122">
        <v>2666</v>
      </c>
      <c r="AJ2978" s="1" t="s">
        <v>1141</v>
      </c>
      <c r="AK2978" s="1" t="s">
        <v>1141</v>
      </c>
    </row>
    <row r="2979" spans="35:37" ht="14.25">
      <c r="AI2979" s="122">
        <v>2667</v>
      </c>
      <c r="AJ2979" s="1" t="s">
        <v>1141</v>
      </c>
      <c r="AK2979" s="1" t="s">
        <v>1141</v>
      </c>
    </row>
    <row r="2980" spans="35:37" ht="14.25">
      <c r="AI2980" s="122">
        <v>2668</v>
      </c>
      <c r="AJ2980" s="1" t="s">
        <v>1141</v>
      </c>
      <c r="AK2980" s="1" t="s">
        <v>1141</v>
      </c>
    </row>
    <row r="2981" spans="35:37" ht="14.25">
      <c r="AI2981" s="122">
        <v>2669</v>
      </c>
      <c r="AJ2981" s="1" t="s">
        <v>1141</v>
      </c>
      <c r="AK2981" s="1" t="s">
        <v>1141</v>
      </c>
    </row>
    <row r="2982" spans="35:37" ht="14.25">
      <c r="AI2982" s="122">
        <v>2670</v>
      </c>
      <c r="AJ2982" s="1" t="s">
        <v>1141</v>
      </c>
      <c r="AK2982" s="1" t="s">
        <v>1141</v>
      </c>
    </row>
    <row r="2983" spans="35:37" ht="14.25">
      <c r="AI2983" s="122">
        <v>2671</v>
      </c>
      <c r="AJ2983" s="1" t="s">
        <v>1141</v>
      </c>
      <c r="AK2983" s="1" t="s">
        <v>1141</v>
      </c>
    </row>
    <row r="2984" spans="35:37" ht="14.25">
      <c r="AI2984" s="122">
        <v>2672</v>
      </c>
      <c r="AJ2984" s="1" t="s">
        <v>1141</v>
      </c>
      <c r="AK2984" s="1" t="s">
        <v>1141</v>
      </c>
    </row>
    <row r="2985" spans="35:37" ht="14.25">
      <c r="AI2985" s="122">
        <v>2673</v>
      </c>
      <c r="AJ2985" s="1" t="s">
        <v>1141</v>
      </c>
      <c r="AK2985" s="1" t="s">
        <v>1141</v>
      </c>
    </row>
    <row r="2986" spans="35:37" ht="14.25">
      <c r="AI2986" s="122">
        <v>2674</v>
      </c>
      <c r="AJ2986" s="1" t="s">
        <v>1141</v>
      </c>
      <c r="AK2986" s="1" t="s">
        <v>1141</v>
      </c>
    </row>
    <row r="2987" spans="35:37" ht="14.25">
      <c r="AI2987" s="122">
        <v>2675</v>
      </c>
      <c r="AJ2987" s="1" t="s">
        <v>1141</v>
      </c>
      <c r="AK2987" s="1" t="s">
        <v>1141</v>
      </c>
    </row>
    <row r="2988" spans="35:37" ht="14.25">
      <c r="AI2988" s="122">
        <v>2676</v>
      </c>
      <c r="AJ2988" s="1" t="s">
        <v>1141</v>
      </c>
      <c r="AK2988" s="1" t="s">
        <v>1141</v>
      </c>
    </row>
    <row r="2989" spans="35:37" ht="14.25">
      <c r="AI2989" s="122">
        <v>2677</v>
      </c>
      <c r="AJ2989" s="1" t="s">
        <v>1141</v>
      </c>
      <c r="AK2989" s="1" t="s">
        <v>1141</v>
      </c>
    </row>
    <row r="2990" spans="35:37" ht="14.25">
      <c r="AI2990" s="122">
        <v>2678</v>
      </c>
      <c r="AJ2990" s="1" t="s">
        <v>1141</v>
      </c>
      <c r="AK2990" s="1" t="s">
        <v>1141</v>
      </c>
    </row>
    <row r="2991" spans="35:37" ht="14.25">
      <c r="AI2991" s="122">
        <v>2679</v>
      </c>
      <c r="AJ2991" s="1" t="s">
        <v>1141</v>
      </c>
      <c r="AK2991" s="1" t="s">
        <v>1141</v>
      </c>
    </row>
    <row r="2992" spans="35:37" ht="14.25">
      <c r="AI2992" s="122">
        <v>2680</v>
      </c>
      <c r="AJ2992" s="1" t="s">
        <v>1141</v>
      </c>
      <c r="AK2992" s="1" t="s">
        <v>1141</v>
      </c>
    </row>
    <row r="2993" spans="35:37" ht="14.25">
      <c r="AI2993" s="122">
        <v>2681</v>
      </c>
      <c r="AJ2993" s="1" t="s">
        <v>1141</v>
      </c>
      <c r="AK2993" s="1" t="s">
        <v>1141</v>
      </c>
    </row>
    <row r="2994" spans="35:37" ht="14.25">
      <c r="AI2994" s="122">
        <v>2682</v>
      </c>
      <c r="AJ2994" s="1" t="s">
        <v>1141</v>
      </c>
      <c r="AK2994" s="1" t="s">
        <v>1141</v>
      </c>
    </row>
    <row r="2995" spans="35:37" ht="14.25">
      <c r="AI2995" s="122">
        <v>2683</v>
      </c>
      <c r="AJ2995" s="1" t="s">
        <v>1141</v>
      </c>
      <c r="AK2995" s="1" t="s">
        <v>1141</v>
      </c>
    </row>
    <row r="2996" spans="35:37" ht="14.25">
      <c r="AI2996" s="122">
        <v>2684</v>
      </c>
      <c r="AJ2996" s="1" t="s">
        <v>1141</v>
      </c>
      <c r="AK2996" s="1" t="s">
        <v>1141</v>
      </c>
    </row>
    <row r="2997" spans="35:37" ht="14.25">
      <c r="AI2997" s="122">
        <v>2685</v>
      </c>
      <c r="AJ2997" s="1" t="s">
        <v>1141</v>
      </c>
      <c r="AK2997" s="1" t="s">
        <v>1141</v>
      </c>
    </row>
    <row r="2998" spans="35:37" ht="14.25">
      <c r="AI2998" s="122">
        <v>2686</v>
      </c>
      <c r="AJ2998" s="1" t="s">
        <v>1141</v>
      </c>
      <c r="AK2998" s="1" t="s">
        <v>1141</v>
      </c>
    </row>
    <row r="2999" spans="35:37" ht="14.25">
      <c r="AI2999" s="122">
        <v>2687</v>
      </c>
      <c r="AJ2999" s="1" t="s">
        <v>1141</v>
      </c>
      <c r="AK2999" s="1" t="s">
        <v>1141</v>
      </c>
    </row>
    <row r="3000" spans="35:37" ht="14.25">
      <c r="AI3000" s="122">
        <v>2688</v>
      </c>
      <c r="AJ3000" s="1" t="s">
        <v>1141</v>
      </c>
      <c r="AK3000" s="1" t="s">
        <v>1141</v>
      </c>
    </row>
    <row r="3001" spans="35:37" ht="14.25">
      <c r="AI3001" s="122">
        <v>2689</v>
      </c>
      <c r="AJ3001" s="1" t="s">
        <v>1141</v>
      </c>
      <c r="AK3001" s="1" t="s">
        <v>1141</v>
      </c>
    </row>
    <row r="3002" spans="35:37" ht="14.25">
      <c r="AI3002" s="122">
        <v>2690</v>
      </c>
      <c r="AJ3002" s="1" t="s">
        <v>1141</v>
      </c>
      <c r="AK3002" s="1" t="s">
        <v>1141</v>
      </c>
    </row>
    <row r="3003" spans="35:37" ht="14.25">
      <c r="AI3003" s="122">
        <v>2691</v>
      </c>
      <c r="AJ3003" s="1" t="s">
        <v>1141</v>
      </c>
      <c r="AK3003" s="1" t="s">
        <v>1141</v>
      </c>
    </row>
    <row r="3004" spans="35:37" ht="14.25">
      <c r="AI3004" s="122">
        <v>2692</v>
      </c>
      <c r="AJ3004" s="1" t="s">
        <v>1141</v>
      </c>
      <c r="AK3004" s="1" t="s">
        <v>1141</v>
      </c>
    </row>
    <row r="3005" spans="35:37" ht="14.25">
      <c r="AI3005" s="122">
        <v>2693</v>
      </c>
      <c r="AJ3005" s="1" t="s">
        <v>1141</v>
      </c>
      <c r="AK3005" s="1" t="s">
        <v>1141</v>
      </c>
    </row>
    <row r="3006" spans="35:37" ht="14.25">
      <c r="AI3006" s="122">
        <v>2694</v>
      </c>
      <c r="AJ3006" s="1" t="s">
        <v>1141</v>
      </c>
      <c r="AK3006" s="1" t="s">
        <v>1141</v>
      </c>
    </row>
    <row r="3007" spans="35:37" ht="14.25">
      <c r="AI3007" s="122">
        <v>2695</v>
      </c>
      <c r="AJ3007" s="1" t="s">
        <v>1141</v>
      </c>
      <c r="AK3007" s="1" t="s">
        <v>1141</v>
      </c>
    </row>
    <row r="3008" spans="35:37" ht="14.25">
      <c r="AI3008" s="122">
        <v>2696</v>
      </c>
      <c r="AJ3008" s="1" t="s">
        <v>1141</v>
      </c>
      <c r="AK3008" s="1" t="s">
        <v>1141</v>
      </c>
    </row>
    <row r="3009" spans="35:37" ht="14.25">
      <c r="AI3009" s="122">
        <v>2697</v>
      </c>
      <c r="AJ3009" s="1" t="s">
        <v>1141</v>
      </c>
      <c r="AK3009" s="1" t="s">
        <v>1141</v>
      </c>
    </row>
    <row r="3010" spans="35:37" ht="14.25">
      <c r="AI3010" s="122">
        <v>2698</v>
      </c>
      <c r="AJ3010" s="1" t="s">
        <v>1141</v>
      </c>
      <c r="AK3010" s="1" t="s">
        <v>1141</v>
      </c>
    </row>
    <row r="3011" spans="35:37" ht="14.25">
      <c r="AI3011" s="122">
        <v>2699</v>
      </c>
      <c r="AJ3011" s="1" t="s">
        <v>1141</v>
      </c>
      <c r="AK3011" s="1" t="s">
        <v>1141</v>
      </c>
    </row>
    <row r="3012" spans="35:37" ht="14.25">
      <c r="AI3012" s="122">
        <v>2700</v>
      </c>
      <c r="AJ3012" s="1" t="s">
        <v>1141</v>
      </c>
      <c r="AK3012" s="1" t="s">
        <v>1141</v>
      </c>
    </row>
    <row r="3013" spans="35:37" ht="14.25">
      <c r="AI3013" s="122">
        <v>2701</v>
      </c>
      <c r="AJ3013" s="1" t="s">
        <v>1141</v>
      </c>
      <c r="AK3013" s="1" t="s">
        <v>1141</v>
      </c>
    </row>
    <row r="3014" spans="35:37" ht="14.25">
      <c r="AI3014" s="122">
        <v>2702</v>
      </c>
      <c r="AJ3014" s="1" t="s">
        <v>1141</v>
      </c>
      <c r="AK3014" s="1" t="s">
        <v>1141</v>
      </c>
    </row>
    <row r="3015" spans="35:37" ht="14.25">
      <c r="AI3015" s="122">
        <v>2703</v>
      </c>
      <c r="AJ3015" s="1" t="s">
        <v>1141</v>
      </c>
      <c r="AK3015" s="1" t="s">
        <v>1141</v>
      </c>
    </row>
    <row r="3016" spans="35:37" ht="14.25">
      <c r="AI3016" s="122">
        <v>2704</v>
      </c>
      <c r="AJ3016" s="1" t="s">
        <v>1141</v>
      </c>
      <c r="AK3016" s="1" t="s">
        <v>1141</v>
      </c>
    </row>
    <row r="3017" spans="35:37" ht="14.25">
      <c r="AI3017" s="122">
        <v>2705</v>
      </c>
      <c r="AJ3017" s="1" t="s">
        <v>1141</v>
      </c>
      <c r="AK3017" s="1" t="s">
        <v>1141</v>
      </c>
    </row>
    <row r="3018" spans="35:37" ht="14.25">
      <c r="AI3018" s="122">
        <v>2706</v>
      </c>
      <c r="AJ3018" s="1" t="s">
        <v>1141</v>
      </c>
      <c r="AK3018" s="1" t="s">
        <v>1141</v>
      </c>
    </row>
    <row r="3019" spans="35:37" ht="14.25">
      <c r="AI3019" s="122">
        <v>2707</v>
      </c>
      <c r="AJ3019" s="1" t="s">
        <v>1141</v>
      </c>
      <c r="AK3019" s="1" t="s">
        <v>1141</v>
      </c>
    </row>
    <row r="3020" spans="35:37" ht="14.25">
      <c r="AI3020" s="122">
        <v>2708</v>
      </c>
      <c r="AJ3020" s="1" t="s">
        <v>1141</v>
      </c>
      <c r="AK3020" s="1" t="s">
        <v>1141</v>
      </c>
    </row>
    <row r="3021" spans="35:37" ht="14.25">
      <c r="AI3021" s="122">
        <v>2709</v>
      </c>
      <c r="AJ3021" s="1" t="s">
        <v>1141</v>
      </c>
      <c r="AK3021" s="1" t="s">
        <v>1141</v>
      </c>
    </row>
    <row r="3022" spans="35:37" ht="14.25">
      <c r="AI3022" s="122">
        <v>2710</v>
      </c>
      <c r="AJ3022" s="1" t="s">
        <v>1141</v>
      </c>
      <c r="AK3022" s="1" t="s">
        <v>1141</v>
      </c>
    </row>
    <row r="3023" spans="35:37" ht="14.25">
      <c r="AI3023" s="122">
        <v>2711</v>
      </c>
      <c r="AJ3023" s="1" t="s">
        <v>1141</v>
      </c>
      <c r="AK3023" s="1" t="s">
        <v>1141</v>
      </c>
    </row>
    <row r="3024" spans="35:37" ht="14.25">
      <c r="AI3024" s="122">
        <v>2712</v>
      </c>
      <c r="AJ3024" s="1" t="s">
        <v>1141</v>
      </c>
      <c r="AK3024" s="1" t="s">
        <v>1141</v>
      </c>
    </row>
    <row r="3025" spans="35:37" ht="14.25">
      <c r="AI3025" s="122">
        <v>2713</v>
      </c>
      <c r="AJ3025" s="1" t="s">
        <v>1141</v>
      </c>
      <c r="AK3025" s="1" t="s">
        <v>1141</v>
      </c>
    </row>
    <row r="3026" spans="35:37" ht="14.25">
      <c r="AI3026" s="122">
        <v>2714</v>
      </c>
      <c r="AJ3026" s="1" t="s">
        <v>1141</v>
      </c>
      <c r="AK3026" s="1" t="s">
        <v>1141</v>
      </c>
    </row>
    <row r="3027" spans="35:37" ht="14.25">
      <c r="AI3027" s="122">
        <v>2715</v>
      </c>
      <c r="AJ3027" s="1" t="s">
        <v>1141</v>
      </c>
      <c r="AK3027" s="1" t="s">
        <v>1141</v>
      </c>
    </row>
    <row r="3028" spans="35:37" ht="14.25">
      <c r="AI3028" s="122">
        <v>2716</v>
      </c>
      <c r="AJ3028" s="1" t="s">
        <v>1141</v>
      </c>
      <c r="AK3028" s="1" t="s">
        <v>1141</v>
      </c>
    </row>
    <row r="3029" spans="35:37" ht="14.25">
      <c r="AI3029" s="122">
        <v>2717</v>
      </c>
      <c r="AJ3029" s="1" t="s">
        <v>1141</v>
      </c>
      <c r="AK3029" s="1" t="s">
        <v>1141</v>
      </c>
    </row>
    <row r="3030" spans="35:37" ht="14.25">
      <c r="AI3030" s="122">
        <v>2718</v>
      </c>
      <c r="AJ3030" s="1" t="s">
        <v>1141</v>
      </c>
      <c r="AK3030" s="1" t="s">
        <v>1141</v>
      </c>
    </row>
    <row r="3031" spans="35:37" ht="14.25">
      <c r="AI3031" s="122">
        <v>2719</v>
      </c>
      <c r="AJ3031" s="1" t="s">
        <v>1141</v>
      </c>
      <c r="AK3031" s="1" t="s">
        <v>1141</v>
      </c>
    </row>
    <row r="3032" spans="35:37" ht="14.25">
      <c r="AI3032" s="122">
        <v>2720</v>
      </c>
      <c r="AJ3032" s="1" t="s">
        <v>1141</v>
      </c>
      <c r="AK3032" s="1" t="s">
        <v>1141</v>
      </c>
    </row>
    <row r="3033" spans="35:37" ht="14.25">
      <c r="AI3033" s="122">
        <v>2721</v>
      </c>
      <c r="AJ3033" s="1" t="s">
        <v>1141</v>
      </c>
      <c r="AK3033" s="1" t="s">
        <v>1141</v>
      </c>
    </row>
    <row r="3034" spans="35:37" ht="14.25">
      <c r="AI3034" s="122">
        <v>2722</v>
      </c>
      <c r="AJ3034" s="1" t="s">
        <v>1141</v>
      </c>
      <c r="AK3034" s="1" t="s">
        <v>1141</v>
      </c>
    </row>
    <row r="3035" spans="35:37" ht="14.25">
      <c r="AI3035" s="122">
        <v>2723</v>
      </c>
      <c r="AJ3035" s="1" t="s">
        <v>1141</v>
      </c>
      <c r="AK3035" s="1" t="s">
        <v>1141</v>
      </c>
    </row>
    <row r="3036" spans="35:37" ht="14.25">
      <c r="AI3036" s="122">
        <v>2724</v>
      </c>
      <c r="AJ3036" s="1" t="s">
        <v>1141</v>
      </c>
      <c r="AK3036" s="1" t="s">
        <v>1141</v>
      </c>
    </row>
    <row r="3037" spans="35:37" ht="14.25">
      <c r="AI3037" s="122">
        <v>2725</v>
      </c>
      <c r="AJ3037" s="1" t="s">
        <v>1141</v>
      </c>
      <c r="AK3037" s="1" t="s">
        <v>1141</v>
      </c>
    </row>
    <row r="3038" spans="35:37" ht="14.25">
      <c r="AI3038" s="122">
        <v>2726</v>
      </c>
      <c r="AJ3038" s="1" t="s">
        <v>1141</v>
      </c>
      <c r="AK3038" s="1" t="s">
        <v>1141</v>
      </c>
    </row>
    <row r="3039" spans="35:37" ht="14.25">
      <c r="AI3039" s="122">
        <v>2727</v>
      </c>
      <c r="AJ3039" s="1" t="s">
        <v>1141</v>
      </c>
      <c r="AK3039" s="1" t="s">
        <v>1141</v>
      </c>
    </row>
    <row r="3040" spans="35:37" ht="14.25">
      <c r="AI3040" s="122">
        <v>2728</v>
      </c>
      <c r="AJ3040" s="1" t="s">
        <v>1141</v>
      </c>
      <c r="AK3040" s="1" t="s">
        <v>1141</v>
      </c>
    </row>
    <row r="3041" spans="35:37" ht="14.25">
      <c r="AI3041" s="122">
        <v>2729</v>
      </c>
      <c r="AJ3041" s="1" t="s">
        <v>1141</v>
      </c>
      <c r="AK3041" s="1" t="s">
        <v>1141</v>
      </c>
    </row>
    <row r="3042" spans="35:37" ht="14.25">
      <c r="AI3042" s="122">
        <v>2730</v>
      </c>
      <c r="AJ3042" s="1" t="s">
        <v>1141</v>
      </c>
      <c r="AK3042" s="1" t="s">
        <v>1141</v>
      </c>
    </row>
    <row r="3043" spans="35:37" ht="14.25">
      <c r="AI3043" s="122">
        <v>2731</v>
      </c>
      <c r="AJ3043" s="1" t="s">
        <v>1141</v>
      </c>
      <c r="AK3043" s="1" t="s">
        <v>1141</v>
      </c>
    </row>
    <row r="3044" spans="35:37" ht="14.25">
      <c r="AI3044" s="122">
        <v>2732</v>
      </c>
      <c r="AJ3044" s="1" t="s">
        <v>1141</v>
      </c>
      <c r="AK3044" s="1" t="s">
        <v>1141</v>
      </c>
    </row>
    <row r="3045" spans="35:37" ht="14.25">
      <c r="AI3045" s="122">
        <v>2733</v>
      </c>
      <c r="AJ3045" s="1" t="s">
        <v>1141</v>
      </c>
      <c r="AK3045" s="1" t="s">
        <v>1141</v>
      </c>
    </row>
    <row r="3046" spans="35:37" ht="14.25">
      <c r="AI3046" s="122">
        <v>2734</v>
      </c>
      <c r="AJ3046" s="1" t="s">
        <v>1141</v>
      </c>
      <c r="AK3046" s="1" t="s">
        <v>1141</v>
      </c>
    </row>
    <row r="3047" spans="35:37" ht="14.25">
      <c r="AI3047" s="122">
        <v>2735</v>
      </c>
      <c r="AJ3047" s="1" t="s">
        <v>1141</v>
      </c>
      <c r="AK3047" s="1" t="s">
        <v>1141</v>
      </c>
    </row>
    <row r="3048" spans="35:37" ht="14.25">
      <c r="AI3048" s="122">
        <v>2736</v>
      </c>
      <c r="AJ3048" s="1" t="s">
        <v>1141</v>
      </c>
      <c r="AK3048" s="1" t="s">
        <v>1141</v>
      </c>
    </row>
    <row r="3049" spans="35:37" ht="14.25">
      <c r="AI3049" s="122">
        <v>2737</v>
      </c>
      <c r="AJ3049" s="1" t="s">
        <v>1141</v>
      </c>
      <c r="AK3049" s="1" t="s">
        <v>1141</v>
      </c>
    </row>
    <row r="3050" spans="35:37" ht="14.25">
      <c r="AI3050" s="122">
        <v>2738</v>
      </c>
      <c r="AJ3050" s="1" t="s">
        <v>1141</v>
      </c>
      <c r="AK3050" s="1" t="s">
        <v>1141</v>
      </c>
    </row>
    <row r="3051" spans="35:37" ht="14.25">
      <c r="AI3051" s="122">
        <v>2739</v>
      </c>
      <c r="AJ3051" s="1" t="s">
        <v>1141</v>
      </c>
      <c r="AK3051" s="1" t="s">
        <v>1141</v>
      </c>
    </row>
    <row r="3052" spans="35:37" ht="14.25">
      <c r="AI3052" s="122">
        <v>2740</v>
      </c>
      <c r="AJ3052" s="1" t="s">
        <v>1141</v>
      </c>
      <c r="AK3052" s="1" t="s">
        <v>1141</v>
      </c>
    </row>
    <row r="3053" spans="35:37" ht="14.25">
      <c r="AI3053" s="122">
        <v>2741</v>
      </c>
      <c r="AJ3053" s="1" t="s">
        <v>1141</v>
      </c>
      <c r="AK3053" s="1" t="s">
        <v>1141</v>
      </c>
    </row>
    <row r="3054" spans="35:37" ht="14.25">
      <c r="AI3054" s="122">
        <v>2742</v>
      </c>
      <c r="AJ3054" s="1" t="s">
        <v>1141</v>
      </c>
      <c r="AK3054" s="1" t="s">
        <v>1141</v>
      </c>
    </row>
    <row r="3055" spans="35:37" ht="14.25">
      <c r="AI3055" s="122">
        <v>2743</v>
      </c>
      <c r="AJ3055" s="1" t="s">
        <v>1141</v>
      </c>
      <c r="AK3055" s="1" t="s">
        <v>1141</v>
      </c>
    </row>
    <row r="3056" spans="35:37" ht="14.25">
      <c r="AI3056" s="122">
        <v>2744</v>
      </c>
      <c r="AJ3056" s="1" t="s">
        <v>1141</v>
      </c>
      <c r="AK3056" s="1" t="s">
        <v>1141</v>
      </c>
    </row>
    <row r="3057" spans="35:37" ht="14.25">
      <c r="AI3057" s="122">
        <v>2745</v>
      </c>
      <c r="AJ3057" s="1" t="s">
        <v>1141</v>
      </c>
      <c r="AK3057" s="1" t="s">
        <v>1141</v>
      </c>
    </row>
    <row r="3058" spans="35:37" ht="14.25">
      <c r="AI3058" s="122">
        <v>2746</v>
      </c>
      <c r="AJ3058" s="1" t="s">
        <v>1141</v>
      </c>
      <c r="AK3058" s="1" t="s">
        <v>1141</v>
      </c>
    </row>
    <row r="3059" spans="35:37" ht="14.25">
      <c r="AI3059" s="122">
        <v>2747</v>
      </c>
      <c r="AJ3059" s="1" t="s">
        <v>1141</v>
      </c>
      <c r="AK3059" s="1" t="s">
        <v>1141</v>
      </c>
    </row>
    <row r="3060" spans="35:37" ht="14.25">
      <c r="AI3060" s="122">
        <v>2748</v>
      </c>
      <c r="AJ3060" s="1" t="s">
        <v>1141</v>
      </c>
      <c r="AK3060" s="1" t="s">
        <v>1141</v>
      </c>
    </row>
    <row r="3061" spans="35:37" ht="14.25">
      <c r="AI3061" s="122">
        <v>2749</v>
      </c>
      <c r="AJ3061" s="1" t="s">
        <v>1141</v>
      </c>
      <c r="AK3061" s="1" t="s">
        <v>1141</v>
      </c>
    </row>
    <row r="3062" spans="35:37" ht="14.25">
      <c r="AI3062" s="122">
        <v>2750</v>
      </c>
      <c r="AJ3062" s="1" t="s">
        <v>1141</v>
      </c>
      <c r="AK3062" s="1" t="s">
        <v>1141</v>
      </c>
    </row>
    <row r="3063" spans="35:37" ht="14.25">
      <c r="AI3063" s="122">
        <v>2751</v>
      </c>
      <c r="AJ3063" s="1" t="s">
        <v>1141</v>
      </c>
      <c r="AK3063" s="1" t="s">
        <v>1141</v>
      </c>
    </row>
    <row r="3064" spans="35:37" ht="14.25">
      <c r="AI3064" s="122">
        <v>2752</v>
      </c>
      <c r="AJ3064" s="1" t="s">
        <v>1141</v>
      </c>
      <c r="AK3064" s="1" t="s">
        <v>1141</v>
      </c>
    </row>
    <row r="3065" spans="35:37" ht="14.25">
      <c r="AI3065" s="122">
        <v>2753</v>
      </c>
      <c r="AJ3065" s="1" t="s">
        <v>1141</v>
      </c>
      <c r="AK3065" s="1" t="s">
        <v>1141</v>
      </c>
    </row>
    <row r="3066" spans="35:37" ht="14.25">
      <c r="AI3066" s="122">
        <v>2754</v>
      </c>
      <c r="AJ3066" s="1" t="s">
        <v>1141</v>
      </c>
      <c r="AK3066" s="1" t="s">
        <v>1141</v>
      </c>
    </row>
    <row r="3067" spans="35:37" ht="14.25">
      <c r="AI3067" s="122">
        <v>2755</v>
      </c>
      <c r="AJ3067" s="1" t="s">
        <v>1141</v>
      </c>
      <c r="AK3067" s="1" t="s">
        <v>1141</v>
      </c>
    </row>
    <row r="3068" spans="35:37" ht="14.25">
      <c r="AI3068" s="122">
        <v>2756</v>
      </c>
      <c r="AJ3068" s="1" t="s">
        <v>1141</v>
      </c>
      <c r="AK3068" s="1" t="s">
        <v>1141</v>
      </c>
    </row>
    <row r="3069" spans="35:37" ht="14.25">
      <c r="AI3069" s="122">
        <v>2757</v>
      </c>
      <c r="AJ3069" s="1" t="s">
        <v>1141</v>
      </c>
      <c r="AK3069" s="1" t="s">
        <v>1141</v>
      </c>
    </row>
    <row r="3070" spans="35:37" ht="14.25">
      <c r="AI3070" s="122">
        <v>2758</v>
      </c>
      <c r="AJ3070" s="1" t="s">
        <v>1141</v>
      </c>
      <c r="AK3070" s="1" t="s">
        <v>1141</v>
      </c>
    </row>
    <row r="3071" spans="35:37" ht="14.25">
      <c r="AI3071" s="122">
        <v>2759</v>
      </c>
      <c r="AJ3071" s="1" t="s">
        <v>1141</v>
      </c>
      <c r="AK3071" s="1" t="s">
        <v>1141</v>
      </c>
    </row>
    <row r="3072" spans="35:37" ht="14.25">
      <c r="AI3072" s="122">
        <v>2760</v>
      </c>
      <c r="AJ3072" s="1" t="s">
        <v>1141</v>
      </c>
      <c r="AK3072" s="1" t="s">
        <v>1141</v>
      </c>
    </row>
    <row r="3073" spans="35:37" ht="14.25">
      <c r="AI3073" s="122">
        <v>2761</v>
      </c>
      <c r="AJ3073" s="1" t="s">
        <v>1141</v>
      </c>
      <c r="AK3073" s="1" t="s">
        <v>1141</v>
      </c>
    </row>
    <row r="3074" spans="35:37" ht="14.25">
      <c r="AI3074" s="122">
        <v>2762</v>
      </c>
      <c r="AJ3074" s="1" t="s">
        <v>1141</v>
      </c>
      <c r="AK3074" s="1" t="s">
        <v>1141</v>
      </c>
    </row>
    <row r="3075" spans="35:37" ht="14.25">
      <c r="AI3075" s="122">
        <v>2763</v>
      </c>
      <c r="AJ3075" s="1" t="s">
        <v>1141</v>
      </c>
      <c r="AK3075" s="1" t="s">
        <v>1141</v>
      </c>
    </row>
    <row r="3076" spans="35:37" ht="14.25">
      <c r="AI3076" s="122">
        <v>2764</v>
      </c>
      <c r="AJ3076" s="1" t="s">
        <v>1141</v>
      </c>
      <c r="AK3076" s="1" t="s">
        <v>1141</v>
      </c>
    </row>
    <row r="3077" spans="35:37" ht="14.25">
      <c r="AI3077" s="122">
        <v>2765</v>
      </c>
      <c r="AJ3077" s="1" t="s">
        <v>1141</v>
      </c>
      <c r="AK3077" s="1" t="s">
        <v>1141</v>
      </c>
    </row>
    <row r="3078" spans="35:37" ht="14.25">
      <c r="AI3078" s="122">
        <v>2766</v>
      </c>
      <c r="AJ3078" s="1" t="s">
        <v>1141</v>
      </c>
      <c r="AK3078" s="1" t="s">
        <v>1141</v>
      </c>
    </row>
    <row r="3079" spans="35:37" ht="14.25">
      <c r="AI3079" s="122">
        <v>2767</v>
      </c>
      <c r="AJ3079" s="1" t="s">
        <v>1141</v>
      </c>
      <c r="AK3079" s="1" t="s">
        <v>1141</v>
      </c>
    </row>
    <row r="3080" spans="35:37" ht="14.25">
      <c r="AI3080" s="122">
        <v>2768</v>
      </c>
      <c r="AJ3080" s="1" t="s">
        <v>1141</v>
      </c>
      <c r="AK3080" s="1" t="s">
        <v>1141</v>
      </c>
    </row>
    <row r="3081" spans="35:37" ht="14.25">
      <c r="AI3081" s="122">
        <v>2769</v>
      </c>
      <c r="AJ3081" s="1" t="s">
        <v>1141</v>
      </c>
      <c r="AK3081" s="1" t="s">
        <v>1141</v>
      </c>
    </row>
    <row r="3082" spans="35:37" ht="14.25">
      <c r="AI3082" s="122">
        <v>2770</v>
      </c>
      <c r="AJ3082" s="1" t="s">
        <v>1141</v>
      </c>
      <c r="AK3082" s="1" t="s">
        <v>1141</v>
      </c>
    </row>
    <row r="3083" spans="35:37" ht="14.25">
      <c r="AI3083" s="122">
        <v>2771</v>
      </c>
      <c r="AJ3083" s="1" t="s">
        <v>1141</v>
      </c>
      <c r="AK3083" s="1" t="s">
        <v>1141</v>
      </c>
    </row>
    <row r="3084" spans="35:37" ht="14.25">
      <c r="AI3084" s="122">
        <v>2772</v>
      </c>
      <c r="AJ3084" s="1" t="s">
        <v>1141</v>
      </c>
      <c r="AK3084" s="1" t="s">
        <v>1141</v>
      </c>
    </row>
    <row r="3085" spans="35:37" ht="14.25">
      <c r="AI3085" s="122">
        <v>2773</v>
      </c>
      <c r="AJ3085" s="1" t="s">
        <v>1141</v>
      </c>
      <c r="AK3085" s="1" t="s">
        <v>1141</v>
      </c>
    </row>
    <row r="3086" spans="35:37" ht="14.25">
      <c r="AI3086" s="122">
        <v>2774</v>
      </c>
      <c r="AJ3086" s="1" t="s">
        <v>1141</v>
      </c>
      <c r="AK3086" s="1" t="s">
        <v>1141</v>
      </c>
    </row>
    <row r="3087" spans="35:37" ht="14.25">
      <c r="AI3087" s="122">
        <v>2775</v>
      </c>
      <c r="AJ3087" s="1" t="s">
        <v>1141</v>
      </c>
      <c r="AK3087" s="1" t="s">
        <v>1141</v>
      </c>
    </row>
    <row r="3088" spans="35:37" ht="14.25">
      <c r="AI3088" s="122">
        <v>2776</v>
      </c>
      <c r="AJ3088" s="1" t="s">
        <v>1141</v>
      </c>
      <c r="AK3088" s="1" t="s">
        <v>1141</v>
      </c>
    </row>
    <row r="3089" spans="35:37" ht="14.25">
      <c r="AI3089" s="122">
        <v>2777</v>
      </c>
      <c r="AJ3089" s="1" t="s">
        <v>1141</v>
      </c>
      <c r="AK3089" s="1" t="s">
        <v>1141</v>
      </c>
    </row>
    <row r="3090" spans="35:37" ht="14.25">
      <c r="AI3090" s="122">
        <v>2778</v>
      </c>
      <c r="AJ3090" s="1" t="s">
        <v>1141</v>
      </c>
      <c r="AK3090" s="1" t="s">
        <v>1141</v>
      </c>
    </row>
    <row r="3091" spans="35:37" ht="14.25">
      <c r="AI3091" s="122">
        <v>2779</v>
      </c>
      <c r="AJ3091" s="1" t="s">
        <v>1141</v>
      </c>
      <c r="AK3091" s="1" t="s">
        <v>1141</v>
      </c>
    </row>
    <row r="3092" spans="35:37" ht="14.25">
      <c r="AI3092" s="122">
        <v>2780</v>
      </c>
      <c r="AJ3092" s="1" t="s">
        <v>1141</v>
      </c>
      <c r="AK3092" s="1" t="s">
        <v>1141</v>
      </c>
    </row>
    <row r="3093" spans="35:37" ht="14.25">
      <c r="AI3093" s="122">
        <v>2781</v>
      </c>
      <c r="AJ3093" s="1" t="s">
        <v>1141</v>
      </c>
      <c r="AK3093" s="1" t="s">
        <v>1141</v>
      </c>
    </row>
    <row r="3094" spans="35:37" ht="14.25">
      <c r="AI3094" s="122">
        <v>2782</v>
      </c>
      <c r="AJ3094" s="1" t="s">
        <v>1141</v>
      </c>
      <c r="AK3094" s="1" t="s">
        <v>1141</v>
      </c>
    </row>
    <row r="3095" spans="35:37" ht="14.25">
      <c r="AI3095" s="122">
        <v>2783</v>
      </c>
      <c r="AJ3095" s="1" t="s">
        <v>1141</v>
      </c>
      <c r="AK3095" s="1" t="s">
        <v>1141</v>
      </c>
    </row>
    <row r="3096" spans="35:37" ht="14.25">
      <c r="AI3096" s="122">
        <v>2784</v>
      </c>
      <c r="AJ3096" s="1" t="s">
        <v>1141</v>
      </c>
      <c r="AK3096" s="1" t="s">
        <v>1141</v>
      </c>
    </row>
    <row r="3097" spans="35:37" ht="14.25">
      <c r="AI3097" s="122">
        <v>2785</v>
      </c>
      <c r="AJ3097" s="1" t="s">
        <v>1141</v>
      </c>
      <c r="AK3097" s="1" t="s">
        <v>1141</v>
      </c>
    </row>
    <row r="3098" spans="35:37" ht="14.25">
      <c r="AI3098" s="122">
        <v>2786</v>
      </c>
      <c r="AJ3098" s="1" t="s">
        <v>1141</v>
      </c>
      <c r="AK3098" s="1" t="s">
        <v>1141</v>
      </c>
    </row>
    <row r="3099" spans="35:37" ht="14.25">
      <c r="AI3099" s="122">
        <v>2787</v>
      </c>
      <c r="AJ3099" s="1" t="s">
        <v>1141</v>
      </c>
      <c r="AK3099" s="1" t="s">
        <v>1141</v>
      </c>
    </row>
    <row r="3100" spans="35:37" ht="14.25">
      <c r="AI3100" s="122">
        <v>2788</v>
      </c>
      <c r="AJ3100" s="1" t="s">
        <v>1141</v>
      </c>
      <c r="AK3100" s="1" t="s">
        <v>1141</v>
      </c>
    </row>
    <row r="3101" spans="35:37" ht="14.25">
      <c r="AI3101" s="122">
        <v>2789</v>
      </c>
      <c r="AJ3101" s="1" t="s">
        <v>1141</v>
      </c>
      <c r="AK3101" s="1" t="s">
        <v>1141</v>
      </c>
    </row>
    <row r="3102" spans="35:37" ht="14.25">
      <c r="AI3102" s="122">
        <v>2790</v>
      </c>
      <c r="AJ3102" s="1" t="s">
        <v>1141</v>
      </c>
      <c r="AK3102" s="1" t="s">
        <v>1141</v>
      </c>
    </row>
    <row r="3103" spans="35:37" ht="14.25">
      <c r="AI3103" s="122">
        <v>2791</v>
      </c>
      <c r="AJ3103" s="1" t="s">
        <v>1141</v>
      </c>
      <c r="AK3103" s="1" t="s">
        <v>1141</v>
      </c>
    </row>
    <row r="3104" spans="35:37" ht="14.25">
      <c r="AI3104" s="122">
        <v>2792</v>
      </c>
      <c r="AJ3104" s="1" t="s">
        <v>1141</v>
      </c>
      <c r="AK3104" s="1" t="s">
        <v>1141</v>
      </c>
    </row>
    <row r="3105" spans="35:37" ht="14.25">
      <c r="AI3105" s="122">
        <v>2793</v>
      </c>
      <c r="AJ3105" s="1" t="s">
        <v>1141</v>
      </c>
      <c r="AK3105" s="1" t="s">
        <v>1141</v>
      </c>
    </row>
    <row r="3106" spans="35:37" ht="14.25">
      <c r="AI3106" s="122">
        <v>2794</v>
      </c>
      <c r="AJ3106" s="1" t="s">
        <v>1141</v>
      </c>
      <c r="AK3106" s="1" t="s">
        <v>1141</v>
      </c>
    </row>
    <row r="3107" spans="35:37" ht="14.25">
      <c r="AI3107" s="122">
        <v>2795</v>
      </c>
      <c r="AJ3107" s="1" t="s">
        <v>1141</v>
      </c>
      <c r="AK3107" s="1" t="s">
        <v>1141</v>
      </c>
    </row>
    <row r="3108" spans="35:37" ht="14.25">
      <c r="AI3108" s="122">
        <v>2796</v>
      </c>
      <c r="AJ3108" s="1" t="s">
        <v>1141</v>
      </c>
      <c r="AK3108" s="1" t="s">
        <v>1141</v>
      </c>
    </row>
    <row r="3109" spans="35:37" ht="14.25">
      <c r="AI3109" s="122">
        <v>2797</v>
      </c>
      <c r="AJ3109" s="1" t="s">
        <v>1141</v>
      </c>
      <c r="AK3109" s="1" t="s">
        <v>1141</v>
      </c>
    </row>
    <row r="3110" spans="35:37" ht="14.25">
      <c r="AI3110" s="122">
        <v>2798</v>
      </c>
      <c r="AJ3110" s="1" t="s">
        <v>1141</v>
      </c>
      <c r="AK3110" s="1" t="s">
        <v>1141</v>
      </c>
    </row>
    <row r="3111" spans="35:37" ht="14.25">
      <c r="AI3111" s="122">
        <v>2799</v>
      </c>
      <c r="AJ3111" s="1" t="s">
        <v>1141</v>
      </c>
      <c r="AK3111" s="1" t="s">
        <v>1141</v>
      </c>
    </row>
    <row r="3112" spans="35:37" ht="14.25">
      <c r="AI3112" s="122">
        <v>2800</v>
      </c>
      <c r="AJ3112" s="1" t="s">
        <v>1141</v>
      </c>
      <c r="AK3112" s="1" t="s">
        <v>1141</v>
      </c>
    </row>
    <row r="3113" spans="35:37" ht="14.25">
      <c r="AI3113" s="122">
        <v>2801</v>
      </c>
      <c r="AJ3113" s="1" t="s">
        <v>1141</v>
      </c>
      <c r="AK3113" s="1" t="s">
        <v>1141</v>
      </c>
    </row>
    <row r="3114" spans="35:37" ht="14.25">
      <c r="AI3114" s="122">
        <v>2802</v>
      </c>
      <c r="AJ3114" s="1" t="s">
        <v>1141</v>
      </c>
      <c r="AK3114" s="1" t="s">
        <v>1141</v>
      </c>
    </row>
    <row r="3115" spans="35:37" ht="14.25">
      <c r="AI3115" s="122">
        <v>2803</v>
      </c>
      <c r="AJ3115" s="1" t="s">
        <v>1141</v>
      </c>
      <c r="AK3115" s="1" t="s">
        <v>1141</v>
      </c>
    </row>
    <row r="3116" spans="35:37" ht="14.25">
      <c r="AI3116" s="122">
        <v>2804</v>
      </c>
      <c r="AJ3116" s="1" t="s">
        <v>1141</v>
      </c>
      <c r="AK3116" s="1" t="s">
        <v>1141</v>
      </c>
    </row>
    <row r="3117" spans="35:37" ht="14.25">
      <c r="AI3117" s="122">
        <v>2805</v>
      </c>
      <c r="AJ3117" s="1" t="s">
        <v>1141</v>
      </c>
      <c r="AK3117" s="1" t="s">
        <v>1141</v>
      </c>
    </row>
    <row r="3118" spans="35:37" ht="14.25">
      <c r="AI3118" s="122">
        <v>2806</v>
      </c>
      <c r="AJ3118" s="1" t="s">
        <v>1141</v>
      </c>
      <c r="AK3118" s="1" t="s">
        <v>1141</v>
      </c>
    </row>
    <row r="3119" spans="35:37" ht="14.25">
      <c r="AI3119" s="122">
        <v>2807</v>
      </c>
      <c r="AJ3119" s="1" t="s">
        <v>1141</v>
      </c>
      <c r="AK3119" s="1" t="s">
        <v>1141</v>
      </c>
    </row>
    <row r="3120" spans="35:37" ht="14.25">
      <c r="AI3120" s="122">
        <v>2808</v>
      </c>
      <c r="AJ3120" s="1" t="s">
        <v>1141</v>
      </c>
      <c r="AK3120" s="1" t="s">
        <v>1141</v>
      </c>
    </row>
    <row r="3121" spans="35:37" ht="14.25">
      <c r="AI3121" s="122">
        <v>2809</v>
      </c>
      <c r="AJ3121" s="1" t="s">
        <v>1141</v>
      </c>
      <c r="AK3121" s="1" t="s">
        <v>1141</v>
      </c>
    </row>
    <row r="3122" spans="35:37" ht="14.25">
      <c r="AI3122" s="122">
        <v>2810</v>
      </c>
      <c r="AJ3122" s="1" t="s">
        <v>1141</v>
      </c>
      <c r="AK3122" s="1" t="s">
        <v>1141</v>
      </c>
    </row>
    <row r="3123" spans="35:37" ht="14.25">
      <c r="AI3123" s="122">
        <v>2811</v>
      </c>
      <c r="AJ3123" s="1" t="s">
        <v>1141</v>
      </c>
      <c r="AK3123" s="1" t="s">
        <v>1141</v>
      </c>
    </row>
    <row r="3124" spans="35:37" ht="14.25">
      <c r="AI3124" s="122">
        <v>2812</v>
      </c>
      <c r="AJ3124" s="1" t="s">
        <v>1141</v>
      </c>
      <c r="AK3124" s="1" t="s">
        <v>1141</v>
      </c>
    </row>
    <row r="3125" spans="35:37" ht="14.25">
      <c r="AI3125" s="122">
        <v>2813</v>
      </c>
      <c r="AJ3125" s="1" t="s">
        <v>1141</v>
      </c>
      <c r="AK3125" s="1" t="s">
        <v>1141</v>
      </c>
    </row>
    <row r="3126" spans="35:37" ht="14.25">
      <c r="AI3126" s="122">
        <v>2814</v>
      </c>
      <c r="AJ3126" s="1" t="s">
        <v>1141</v>
      </c>
      <c r="AK3126" s="1" t="s">
        <v>1141</v>
      </c>
    </row>
    <row r="3127" spans="35:37" ht="14.25">
      <c r="AI3127" s="122">
        <v>2815</v>
      </c>
      <c r="AJ3127" s="1" t="s">
        <v>1141</v>
      </c>
      <c r="AK3127" s="1" t="s">
        <v>1141</v>
      </c>
    </row>
    <row r="3128" spans="35:37" ht="14.25">
      <c r="AI3128" s="122">
        <v>2816</v>
      </c>
      <c r="AJ3128" s="1" t="s">
        <v>1141</v>
      </c>
      <c r="AK3128" s="1" t="s">
        <v>1141</v>
      </c>
    </row>
    <row r="3129" spans="35:37" ht="14.25">
      <c r="AI3129" s="122">
        <v>2817</v>
      </c>
      <c r="AJ3129" s="1" t="s">
        <v>1141</v>
      </c>
      <c r="AK3129" s="1" t="s">
        <v>1141</v>
      </c>
    </row>
    <row r="3130" spans="35:37" ht="14.25">
      <c r="AI3130" s="122">
        <v>2818</v>
      </c>
      <c r="AJ3130" s="1" t="s">
        <v>1141</v>
      </c>
      <c r="AK3130" s="1" t="s">
        <v>1141</v>
      </c>
    </row>
    <row r="3131" spans="35:37" ht="14.25">
      <c r="AI3131" s="122">
        <v>2819</v>
      </c>
      <c r="AJ3131" s="1" t="s">
        <v>1141</v>
      </c>
      <c r="AK3131" s="1" t="s">
        <v>1141</v>
      </c>
    </row>
    <row r="3132" spans="35:37" ht="14.25">
      <c r="AI3132" s="122">
        <v>2820</v>
      </c>
      <c r="AJ3132" s="1" t="s">
        <v>1141</v>
      </c>
      <c r="AK3132" s="1" t="s">
        <v>1141</v>
      </c>
    </row>
    <row r="3133" spans="35:37" ht="14.25">
      <c r="AI3133" s="122">
        <v>2821</v>
      </c>
      <c r="AJ3133" s="1" t="s">
        <v>1141</v>
      </c>
      <c r="AK3133" s="1" t="s">
        <v>1141</v>
      </c>
    </row>
    <row r="3134" spans="35:37" ht="14.25">
      <c r="AI3134" s="122">
        <v>2822</v>
      </c>
      <c r="AJ3134" s="1" t="s">
        <v>1141</v>
      </c>
      <c r="AK3134" s="1" t="s">
        <v>1141</v>
      </c>
    </row>
    <row r="3135" spans="35:37" ht="14.25">
      <c r="AI3135" s="122">
        <v>2823</v>
      </c>
      <c r="AJ3135" s="1" t="s">
        <v>1141</v>
      </c>
      <c r="AK3135" s="1" t="s">
        <v>1141</v>
      </c>
    </row>
    <row r="3136" spans="35:37" ht="14.25">
      <c r="AI3136" s="122">
        <v>2824</v>
      </c>
      <c r="AJ3136" s="1" t="s">
        <v>1141</v>
      </c>
      <c r="AK3136" s="1" t="s">
        <v>1141</v>
      </c>
    </row>
    <row r="3137" spans="35:37" ht="14.25">
      <c r="AI3137" s="122">
        <v>2825</v>
      </c>
      <c r="AJ3137" s="1" t="s">
        <v>1141</v>
      </c>
      <c r="AK3137" s="1" t="s">
        <v>1141</v>
      </c>
    </row>
    <row r="3138" spans="35:37" ht="14.25">
      <c r="AI3138" s="122">
        <v>2826</v>
      </c>
      <c r="AJ3138" s="1" t="s">
        <v>1141</v>
      </c>
      <c r="AK3138" s="1" t="s">
        <v>1141</v>
      </c>
    </row>
    <row r="3139" spans="35:37" ht="14.25">
      <c r="AI3139" s="122">
        <v>2827</v>
      </c>
      <c r="AJ3139" s="1" t="s">
        <v>1141</v>
      </c>
      <c r="AK3139" s="1" t="s">
        <v>1141</v>
      </c>
    </row>
    <row r="3140" spans="35:37" ht="14.25">
      <c r="AI3140" s="122">
        <v>2828</v>
      </c>
      <c r="AJ3140" s="1" t="s">
        <v>1141</v>
      </c>
      <c r="AK3140" s="1" t="s">
        <v>1141</v>
      </c>
    </row>
    <row r="3141" spans="35:37" ht="14.25">
      <c r="AI3141" s="122">
        <v>2829</v>
      </c>
      <c r="AJ3141" s="1" t="s">
        <v>1141</v>
      </c>
      <c r="AK3141" s="1" t="s">
        <v>1141</v>
      </c>
    </row>
    <row r="3142" spans="35:37" ht="14.25">
      <c r="AI3142" s="122">
        <v>2830</v>
      </c>
      <c r="AJ3142" s="1" t="s">
        <v>1141</v>
      </c>
      <c r="AK3142" s="1" t="s">
        <v>1141</v>
      </c>
    </row>
    <row r="3143" spans="35:37" ht="14.25">
      <c r="AI3143" s="122">
        <v>2831</v>
      </c>
      <c r="AJ3143" s="1" t="s">
        <v>1141</v>
      </c>
      <c r="AK3143" s="1" t="s">
        <v>1141</v>
      </c>
    </row>
    <row r="3144" spans="35:37" ht="14.25">
      <c r="AI3144" s="122">
        <v>2832</v>
      </c>
      <c r="AJ3144" s="1" t="s">
        <v>1141</v>
      </c>
      <c r="AK3144" s="1" t="s">
        <v>1141</v>
      </c>
    </row>
    <row r="3145" spans="35:37" ht="14.25">
      <c r="AI3145" s="122">
        <v>2833</v>
      </c>
      <c r="AJ3145" s="1" t="s">
        <v>1141</v>
      </c>
      <c r="AK3145" s="1" t="s">
        <v>1141</v>
      </c>
    </row>
    <row r="3146" spans="35:37" ht="14.25">
      <c r="AI3146" s="122">
        <v>2834</v>
      </c>
      <c r="AJ3146" s="1" t="s">
        <v>1141</v>
      </c>
      <c r="AK3146" s="1" t="s">
        <v>1141</v>
      </c>
    </row>
    <row r="3147" spans="35:37" ht="14.25">
      <c r="AI3147" s="122">
        <v>2835</v>
      </c>
      <c r="AJ3147" s="1" t="s">
        <v>1141</v>
      </c>
      <c r="AK3147" s="1" t="s">
        <v>1141</v>
      </c>
    </row>
    <row r="3148" spans="35:37" ht="14.25">
      <c r="AI3148" s="122">
        <v>2836</v>
      </c>
      <c r="AJ3148" s="1" t="s">
        <v>1141</v>
      </c>
      <c r="AK3148" s="1" t="s">
        <v>1141</v>
      </c>
    </row>
    <row r="3149" spans="35:37" ht="14.25">
      <c r="AI3149" s="122">
        <v>2837</v>
      </c>
      <c r="AJ3149" s="1" t="s">
        <v>1141</v>
      </c>
      <c r="AK3149" s="1" t="s">
        <v>1141</v>
      </c>
    </row>
    <row r="3150" spans="35:37" ht="14.25">
      <c r="AI3150" s="122">
        <v>2838</v>
      </c>
      <c r="AJ3150" s="1" t="s">
        <v>1141</v>
      </c>
      <c r="AK3150" s="1" t="s">
        <v>1141</v>
      </c>
    </row>
    <row r="3151" spans="35:37" ht="14.25">
      <c r="AI3151" s="122">
        <v>2839</v>
      </c>
      <c r="AJ3151" s="1" t="s">
        <v>1141</v>
      </c>
      <c r="AK3151" s="1" t="s">
        <v>1141</v>
      </c>
    </row>
    <row r="3152" spans="35:37" ht="14.25">
      <c r="AI3152" s="122">
        <v>2840</v>
      </c>
      <c r="AJ3152" s="1" t="s">
        <v>1141</v>
      </c>
      <c r="AK3152" s="1" t="s">
        <v>1141</v>
      </c>
    </row>
    <row r="3153" spans="35:37" ht="14.25">
      <c r="AI3153" s="122">
        <v>2841</v>
      </c>
      <c r="AJ3153" s="1" t="s">
        <v>1141</v>
      </c>
      <c r="AK3153" s="1" t="s">
        <v>1141</v>
      </c>
    </row>
    <row r="3154" spans="35:37" ht="14.25">
      <c r="AI3154" s="122">
        <v>2842</v>
      </c>
      <c r="AJ3154" s="1" t="s">
        <v>1141</v>
      </c>
      <c r="AK3154" s="1" t="s">
        <v>1141</v>
      </c>
    </row>
    <row r="3155" spans="35:37" ht="14.25">
      <c r="AI3155" s="122">
        <v>2843</v>
      </c>
      <c r="AJ3155" s="1" t="s">
        <v>1141</v>
      </c>
      <c r="AK3155" s="1" t="s">
        <v>1141</v>
      </c>
    </row>
    <row r="3156" spans="35:37" ht="14.25">
      <c r="AI3156" s="122">
        <v>2844</v>
      </c>
      <c r="AJ3156" s="1" t="s">
        <v>1141</v>
      </c>
      <c r="AK3156" s="1" t="s">
        <v>1141</v>
      </c>
    </row>
    <row r="3157" spans="35:37" ht="14.25">
      <c r="AI3157" s="122">
        <v>2845</v>
      </c>
      <c r="AJ3157" s="1" t="s">
        <v>1141</v>
      </c>
      <c r="AK3157" s="1" t="s">
        <v>1141</v>
      </c>
    </row>
    <row r="3158" spans="35:37" ht="14.25">
      <c r="AI3158" s="122">
        <v>2846</v>
      </c>
      <c r="AJ3158" s="1" t="s">
        <v>1141</v>
      </c>
      <c r="AK3158" s="1" t="s">
        <v>1141</v>
      </c>
    </row>
    <row r="3159" spans="35:37" ht="14.25">
      <c r="AI3159" s="122">
        <v>2847</v>
      </c>
      <c r="AJ3159" s="1" t="s">
        <v>1141</v>
      </c>
      <c r="AK3159" s="1" t="s">
        <v>1141</v>
      </c>
    </row>
    <row r="3160" spans="35:37" ht="14.25">
      <c r="AI3160" s="122">
        <v>2848</v>
      </c>
      <c r="AJ3160" s="1" t="s">
        <v>1141</v>
      </c>
      <c r="AK3160" s="1" t="s">
        <v>1141</v>
      </c>
    </row>
    <row r="3161" spans="35:37" ht="14.25">
      <c r="AI3161" s="122">
        <v>2849</v>
      </c>
      <c r="AJ3161" s="1" t="s">
        <v>1141</v>
      </c>
      <c r="AK3161" s="1" t="s">
        <v>1141</v>
      </c>
    </row>
    <row r="3162" spans="35:37" ht="14.25">
      <c r="AI3162" s="122">
        <v>2850</v>
      </c>
      <c r="AJ3162" s="1" t="s">
        <v>1141</v>
      </c>
      <c r="AK3162" s="1" t="s">
        <v>1141</v>
      </c>
    </row>
    <row r="3163" spans="35:37" ht="14.25">
      <c r="AI3163" s="122">
        <v>2851</v>
      </c>
      <c r="AJ3163" s="1" t="s">
        <v>1141</v>
      </c>
      <c r="AK3163" s="1" t="s">
        <v>1141</v>
      </c>
    </row>
    <row r="3164" spans="35:37" ht="14.25">
      <c r="AI3164" s="122">
        <v>2852</v>
      </c>
      <c r="AJ3164" s="1" t="s">
        <v>1141</v>
      </c>
      <c r="AK3164" s="1" t="s">
        <v>1141</v>
      </c>
    </row>
    <row r="3165" spans="35:37" ht="14.25">
      <c r="AI3165" s="122">
        <v>2853</v>
      </c>
      <c r="AJ3165" s="1" t="s">
        <v>1141</v>
      </c>
      <c r="AK3165" s="1" t="s">
        <v>1141</v>
      </c>
    </row>
    <row r="3166" spans="35:37" ht="14.25">
      <c r="AI3166" s="122">
        <v>2854</v>
      </c>
      <c r="AJ3166" s="1" t="s">
        <v>1141</v>
      </c>
      <c r="AK3166" s="1" t="s">
        <v>1141</v>
      </c>
    </row>
    <row r="3167" spans="35:37" ht="14.25">
      <c r="AI3167" s="122">
        <v>2855</v>
      </c>
      <c r="AJ3167" s="1" t="s">
        <v>1141</v>
      </c>
      <c r="AK3167" s="1" t="s">
        <v>1141</v>
      </c>
    </row>
    <row r="3168" spans="35:37" ht="14.25">
      <c r="AI3168" s="122">
        <v>2856</v>
      </c>
      <c r="AJ3168" s="1" t="s">
        <v>1141</v>
      </c>
      <c r="AK3168" s="1" t="s">
        <v>1141</v>
      </c>
    </row>
    <row r="3169" spans="35:37" ht="14.25">
      <c r="AI3169" s="122">
        <v>2857</v>
      </c>
      <c r="AJ3169" s="1" t="s">
        <v>1141</v>
      </c>
      <c r="AK3169" s="1" t="s">
        <v>1141</v>
      </c>
    </row>
    <row r="3170" spans="35:37" ht="14.25">
      <c r="AI3170" s="122">
        <v>2858</v>
      </c>
      <c r="AJ3170" s="1" t="s">
        <v>1141</v>
      </c>
      <c r="AK3170" s="1" t="s">
        <v>1141</v>
      </c>
    </row>
    <row r="3171" spans="35:37" ht="14.25">
      <c r="AI3171" s="122">
        <v>2859</v>
      </c>
      <c r="AJ3171" s="1" t="s">
        <v>1141</v>
      </c>
      <c r="AK3171" s="1" t="s">
        <v>1141</v>
      </c>
    </row>
    <row r="3172" spans="35:37" ht="14.25">
      <c r="AI3172" s="122">
        <v>2860</v>
      </c>
      <c r="AJ3172" s="1" t="s">
        <v>1141</v>
      </c>
      <c r="AK3172" s="1" t="s">
        <v>1141</v>
      </c>
    </row>
    <row r="3173" spans="35:37" ht="14.25">
      <c r="AI3173" s="122">
        <v>2861</v>
      </c>
      <c r="AJ3173" s="1" t="s">
        <v>1141</v>
      </c>
      <c r="AK3173" s="1" t="s">
        <v>1141</v>
      </c>
    </row>
    <row r="3174" spans="35:37" ht="14.25">
      <c r="AI3174" s="122">
        <v>2862</v>
      </c>
      <c r="AJ3174" s="1" t="s">
        <v>1141</v>
      </c>
      <c r="AK3174" s="1" t="s">
        <v>1141</v>
      </c>
    </row>
    <row r="3175" spans="35:37" ht="14.25">
      <c r="AI3175" s="122">
        <v>2863</v>
      </c>
      <c r="AJ3175" s="1" t="s">
        <v>1141</v>
      </c>
      <c r="AK3175" s="1" t="s">
        <v>1141</v>
      </c>
    </row>
    <row r="3176" spans="35:37" ht="14.25">
      <c r="AI3176" s="122">
        <v>2864</v>
      </c>
      <c r="AJ3176" s="1" t="s">
        <v>1141</v>
      </c>
      <c r="AK3176" s="1" t="s">
        <v>1141</v>
      </c>
    </row>
    <row r="3177" spans="35:37" ht="14.25">
      <c r="AI3177" s="122">
        <v>2865</v>
      </c>
      <c r="AJ3177" s="1" t="s">
        <v>1141</v>
      </c>
      <c r="AK3177" s="1" t="s">
        <v>1141</v>
      </c>
    </row>
    <row r="3178" spans="35:37" ht="14.25">
      <c r="AI3178" s="122">
        <v>2866</v>
      </c>
      <c r="AJ3178" s="1" t="s">
        <v>1141</v>
      </c>
      <c r="AK3178" s="1" t="s">
        <v>1141</v>
      </c>
    </row>
    <row r="3179" spans="35:37" ht="14.25">
      <c r="AI3179" s="122">
        <v>2867</v>
      </c>
      <c r="AJ3179" s="1" t="s">
        <v>1141</v>
      </c>
      <c r="AK3179" s="1" t="s">
        <v>1141</v>
      </c>
    </row>
    <row r="3180" spans="35:37" ht="14.25">
      <c r="AI3180" s="122">
        <v>2868</v>
      </c>
      <c r="AJ3180" s="1" t="s">
        <v>1141</v>
      </c>
      <c r="AK3180" s="1" t="s">
        <v>1141</v>
      </c>
    </row>
    <row r="3181" spans="35:37" ht="14.25">
      <c r="AI3181" s="122">
        <v>2869</v>
      </c>
      <c r="AJ3181" s="1" t="s">
        <v>1141</v>
      </c>
      <c r="AK3181" s="1" t="s">
        <v>1141</v>
      </c>
    </row>
    <row r="3182" spans="35:37" ht="14.25">
      <c r="AI3182" s="122">
        <v>2870</v>
      </c>
      <c r="AJ3182" s="1" t="s">
        <v>1141</v>
      </c>
      <c r="AK3182" s="1" t="s">
        <v>1141</v>
      </c>
    </row>
    <row r="3183" spans="35:37" ht="14.25">
      <c r="AI3183" s="122">
        <v>2871</v>
      </c>
      <c r="AJ3183" s="1" t="s">
        <v>1141</v>
      </c>
      <c r="AK3183" s="1" t="s">
        <v>1141</v>
      </c>
    </row>
    <row r="3184" spans="35:37" ht="14.25">
      <c r="AI3184" s="122">
        <v>2872</v>
      </c>
      <c r="AJ3184" s="1" t="s">
        <v>1141</v>
      </c>
      <c r="AK3184" s="1" t="s">
        <v>1141</v>
      </c>
    </row>
    <row r="3185" spans="35:37" ht="14.25">
      <c r="AI3185" s="122">
        <v>2873</v>
      </c>
      <c r="AJ3185" s="1" t="s">
        <v>1141</v>
      </c>
      <c r="AK3185" s="1" t="s">
        <v>1141</v>
      </c>
    </row>
    <row r="3186" spans="35:37" ht="14.25">
      <c r="AI3186" s="122">
        <v>2874</v>
      </c>
      <c r="AJ3186" s="1" t="s">
        <v>1141</v>
      </c>
      <c r="AK3186" s="1" t="s">
        <v>1141</v>
      </c>
    </row>
    <row r="3187" spans="35:37" ht="14.25">
      <c r="AI3187" s="122">
        <v>2875</v>
      </c>
      <c r="AJ3187" s="1" t="s">
        <v>1141</v>
      </c>
      <c r="AK3187" s="1" t="s">
        <v>1141</v>
      </c>
    </row>
    <row r="3188" spans="35:37" ht="14.25">
      <c r="AI3188" s="122">
        <v>2876</v>
      </c>
      <c r="AJ3188" s="1" t="s">
        <v>1141</v>
      </c>
      <c r="AK3188" s="1" t="s">
        <v>1141</v>
      </c>
    </row>
    <row r="3189" spans="35:37" ht="14.25">
      <c r="AI3189" s="122">
        <v>2877</v>
      </c>
      <c r="AJ3189" s="1" t="s">
        <v>1141</v>
      </c>
      <c r="AK3189" s="1" t="s">
        <v>1141</v>
      </c>
    </row>
    <row r="3190" spans="35:37" ht="14.25">
      <c r="AI3190" s="122">
        <v>2878</v>
      </c>
      <c r="AJ3190" s="1" t="s">
        <v>1141</v>
      </c>
      <c r="AK3190" s="1" t="s">
        <v>1141</v>
      </c>
    </row>
    <row r="3191" spans="35:37" ht="14.25">
      <c r="AI3191" s="122">
        <v>2879</v>
      </c>
      <c r="AJ3191" s="1" t="s">
        <v>1141</v>
      </c>
      <c r="AK3191" s="1" t="s">
        <v>1141</v>
      </c>
    </row>
    <row r="3192" spans="35:37" ht="14.25">
      <c r="AI3192" s="122">
        <v>2880</v>
      </c>
      <c r="AJ3192" s="1" t="s">
        <v>1141</v>
      </c>
      <c r="AK3192" s="1" t="s">
        <v>1141</v>
      </c>
    </row>
    <row r="3193" spans="35:37" ht="14.25">
      <c r="AI3193" s="122">
        <v>2881</v>
      </c>
      <c r="AJ3193" s="1" t="s">
        <v>1141</v>
      </c>
      <c r="AK3193" s="1" t="s">
        <v>1141</v>
      </c>
    </row>
    <row r="3194" spans="35:37" ht="14.25">
      <c r="AI3194" s="122">
        <v>2882</v>
      </c>
      <c r="AJ3194" s="1" t="s">
        <v>1141</v>
      </c>
      <c r="AK3194" s="1" t="s">
        <v>1141</v>
      </c>
    </row>
    <row r="3195" spans="35:37" ht="14.25">
      <c r="AI3195" s="122">
        <v>2883</v>
      </c>
      <c r="AJ3195" s="1" t="s">
        <v>1141</v>
      </c>
      <c r="AK3195" s="1" t="s">
        <v>1141</v>
      </c>
    </row>
    <row r="3196" spans="35:37" ht="14.25">
      <c r="AI3196" s="122">
        <v>2884</v>
      </c>
      <c r="AJ3196" s="1" t="s">
        <v>1141</v>
      </c>
      <c r="AK3196" s="1" t="s">
        <v>1141</v>
      </c>
    </row>
    <row r="3197" spans="35:37" ht="14.25">
      <c r="AI3197" s="122">
        <v>2885</v>
      </c>
      <c r="AJ3197" s="1" t="s">
        <v>1141</v>
      </c>
      <c r="AK3197" s="1" t="s">
        <v>1141</v>
      </c>
    </row>
    <row r="3198" spans="35:37" ht="14.25">
      <c r="AI3198" s="122">
        <v>2886</v>
      </c>
      <c r="AJ3198" s="1" t="s">
        <v>1141</v>
      </c>
      <c r="AK3198" s="1" t="s">
        <v>1141</v>
      </c>
    </row>
    <row r="3199" spans="35:37" ht="14.25">
      <c r="AI3199" s="122">
        <v>2887</v>
      </c>
      <c r="AJ3199" s="1" t="s">
        <v>1141</v>
      </c>
      <c r="AK3199" s="1" t="s">
        <v>1141</v>
      </c>
    </row>
    <row r="3200" spans="35:37" ht="14.25">
      <c r="AI3200" s="122">
        <v>2888</v>
      </c>
      <c r="AJ3200" s="1" t="s">
        <v>1141</v>
      </c>
      <c r="AK3200" s="1" t="s">
        <v>1141</v>
      </c>
    </row>
    <row r="3201" spans="35:37" ht="14.25">
      <c r="AI3201" s="122">
        <v>2889</v>
      </c>
      <c r="AJ3201" s="1" t="s">
        <v>1141</v>
      </c>
      <c r="AK3201" s="1" t="s">
        <v>1141</v>
      </c>
    </row>
    <row r="3202" spans="35:37" ht="14.25">
      <c r="AI3202" s="122">
        <v>2890</v>
      </c>
      <c r="AJ3202" s="1" t="s">
        <v>1141</v>
      </c>
      <c r="AK3202" s="1" t="s">
        <v>1141</v>
      </c>
    </row>
    <row r="3203" spans="35:37" ht="14.25">
      <c r="AI3203" s="122">
        <v>2891</v>
      </c>
      <c r="AJ3203" s="1" t="s">
        <v>1141</v>
      </c>
      <c r="AK3203" s="1" t="s">
        <v>1141</v>
      </c>
    </row>
    <row r="3204" spans="35:37" ht="14.25">
      <c r="AI3204" s="122">
        <v>2892</v>
      </c>
      <c r="AJ3204" s="1" t="s">
        <v>1141</v>
      </c>
      <c r="AK3204" s="1" t="s">
        <v>1141</v>
      </c>
    </row>
    <row r="3205" spans="35:37" ht="14.25">
      <c r="AI3205" s="122">
        <v>2893</v>
      </c>
      <c r="AJ3205" s="1" t="s">
        <v>1141</v>
      </c>
      <c r="AK3205" s="1" t="s">
        <v>1141</v>
      </c>
    </row>
    <row r="3206" spans="35:37" ht="14.25">
      <c r="AI3206" s="122">
        <v>2894</v>
      </c>
      <c r="AJ3206" s="1" t="s">
        <v>1141</v>
      </c>
      <c r="AK3206" s="1" t="s">
        <v>1141</v>
      </c>
    </row>
    <row r="3207" spans="35:37" ht="14.25">
      <c r="AI3207" s="122">
        <v>2895</v>
      </c>
      <c r="AJ3207" s="1" t="s">
        <v>1141</v>
      </c>
      <c r="AK3207" s="1" t="s">
        <v>1141</v>
      </c>
    </row>
    <row r="3208" spans="35:37" ht="14.25">
      <c r="AI3208" s="122">
        <v>2896</v>
      </c>
      <c r="AJ3208" s="1" t="s">
        <v>1141</v>
      </c>
      <c r="AK3208" s="1" t="s">
        <v>1141</v>
      </c>
    </row>
    <row r="3209" spans="35:37" ht="14.25">
      <c r="AI3209" s="122">
        <v>2897</v>
      </c>
      <c r="AJ3209" s="1" t="s">
        <v>1141</v>
      </c>
      <c r="AK3209" s="1" t="s">
        <v>1141</v>
      </c>
    </row>
    <row r="3210" spans="35:37" ht="14.25">
      <c r="AI3210" s="122">
        <v>2898</v>
      </c>
      <c r="AJ3210" s="1" t="s">
        <v>1141</v>
      </c>
      <c r="AK3210" s="1" t="s">
        <v>1141</v>
      </c>
    </row>
    <row r="3211" spans="35:37" ht="14.25">
      <c r="AI3211" s="122">
        <v>2899</v>
      </c>
      <c r="AJ3211" s="1" t="s">
        <v>1141</v>
      </c>
      <c r="AK3211" s="1" t="s">
        <v>1141</v>
      </c>
    </row>
    <row r="3212" spans="35:37" ht="14.25">
      <c r="AI3212" s="122">
        <v>2900</v>
      </c>
      <c r="AJ3212" s="1" t="s">
        <v>1141</v>
      </c>
      <c r="AK3212" s="1" t="s">
        <v>1141</v>
      </c>
    </row>
    <row r="3213" spans="35:37" ht="14.25">
      <c r="AI3213" s="122">
        <v>2901</v>
      </c>
      <c r="AJ3213" s="1" t="s">
        <v>1141</v>
      </c>
      <c r="AK3213" s="1" t="s">
        <v>1141</v>
      </c>
    </row>
    <row r="3214" spans="35:37" ht="14.25">
      <c r="AI3214" s="122">
        <v>2902</v>
      </c>
      <c r="AJ3214" s="1" t="s">
        <v>1141</v>
      </c>
      <c r="AK3214" s="1" t="s">
        <v>1141</v>
      </c>
    </row>
    <row r="3215" spans="35:37" ht="14.25">
      <c r="AI3215" s="122">
        <v>2903</v>
      </c>
      <c r="AJ3215" s="1" t="s">
        <v>1141</v>
      </c>
      <c r="AK3215" s="1" t="s">
        <v>1141</v>
      </c>
    </row>
    <row r="3216" spans="35:37" ht="14.25">
      <c r="AI3216" s="122">
        <v>2904</v>
      </c>
      <c r="AJ3216" s="1" t="s">
        <v>1141</v>
      </c>
      <c r="AK3216" s="1" t="s">
        <v>1141</v>
      </c>
    </row>
    <row r="3217" spans="35:37" ht="14.25">
      <c r="AI3217" s="122">
        <v>2905</v>
      </c>
      <c r="AJ3217" s="1" t="s">
        <v>1141</v>
      </c>
      <c r="AK3217" s="1" t="s">
        <v>1141</v>
      </c>
    </row>
    <row r="3218" spans="35:37" ht="14.25">
      <c r="AI3218" s="122">
        <v>2906</v>
      </c>
      <c r="AJ3218" s="1" t="s">
        <v>1141</v>
      </c>
      <c r="AK3218" s="1" t="s">
        <v>1141</v>
      </c>
    </row>
    <row r="3219" spans="35:37" ht="14.25">
      <c r="AI3219" s="122">
        <v>2907</v>
      </c>
      <c r="AJ3219" s="1" t="s">
        <v>1141</v>
      </c>
      <c r="AK3219" s="1" t="s">
        <v>1141</v>
      </c>
    </row>
    <row r="3220" spans="35:37" ht="14.25">
      <c r="AI3220" s="122">
        <v>2908</v>
      </c>
      <c r="AJ3220" s="1" t="s">
        <v>1141</v>
      </c>
      <c r="AK3220" s="1" t="s">
        <v>1141</v>
      </c>
    </row>
    <row r="3221" spans="35:37" ht="14.25"/>
    <row r="3222" spans="35:37" ht="14.25"/>
    <row r="3223" spans="35:37" ht="14.25"/>
    <row r="3224" spans="35:37" ht="14.25"/>
    <row r="3225" spans="35:37" ht="14.25"/>
    <row r="3226" spans="35:37" ht="14.25"/>
    <row r="3227" spans="35:37" ht="14.25"/>
    <row r="3228" spans="35:37" ht="14.25"/>
    <row r="3229" spans="35:37" ht="14.25"/>
    <row r="3230" spans="35:37" ht="14.25"/>
    <row r="3231" spans="35:37" ht="14.25"/>
    <row r="3232" spans="35:37" ht="14.25"/>
    <row r="3233" ht="14.25"/>
    <row r="3234" ht="14.25"/>
    <row r="3235" ht="14.25"/>
    <row r="3236" ht="14.25"/>
    <row r="3237" ht="14.25"/>
    <row r="3238" ht="14.25"/>
    <row r="3239" ht="14.25"/>
    <row r="3240" ht="14.25"/>
    <row r="3241" ht="14.25"/>
    <row r="3242" ht="14.25"/>
    <row r="3243" ht="14.25"/>
    <row r="3244" ht="14.25"/>
    <row r="3245" ht="14.25"/>
    <row r="3246" ht="14.25"/>
    <row r="3247" ht="14.25"/>
    <row r="3248" ht="14.25"/>
    <row r="3249" spans="9:34" ht="14.25"/>
    <row r="3250" spans="9:34" ht="14.25"/>
    <row r="3251" spans="9:34" ht="14.25"/>
    <row r="3252" spans="9:34" ht="14.25"/>
    <row r="3253" spans="9:34" ht="14.25"/>
    <row r="3254" spans="9:34" ht="14.25"/>
    <row r="3255" spans="9:34" ht="14.25"/>
    <row r="3256" spans="9:34" ht="14.25"/>
    <row r="3257" spans="9:34" ht="14.25"/>
    <row r="3258" spans="9:34" ht="14.25"/>
    <row r="3259" spans="9:34" ht="14.25"/>
    <row r="3260" spans="9:34" ht="14.25">
      <c r="I3260" s="2"/>
      <c r="K3260" s="2"/>
      <c r="T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</row>
    <row r="3261" spans="9:34" ht="14.25"/>
    <row r="3262" spans="9:34" ht="14.25"/>
    <row r="3263" spans="9:34" ht="14.25"/>
    <row r="3264" spans="9:34" ht="14.25"/>
    <row r="3265" ht="14.25"/>
    <row r="3266" ht="14.25"/>
    <row r="3267" ht="14.25"/>
    <row r="3268" ht="14.25"/>
    <row r="3269" ht="14.25"/>
    <row r="3270" ht="14.25"/>
    <row r="3271" ht="14.25"/>
    <row r="3272" ht="14.25"/>
    <row r="3273" ht="14.25"/>
    <row r="3274" ht="14.25"/>
    <row r="3275" ht="14.25"/>
    <row r="3276" ht="14.25"/>
    <row r="3277" ht="14.25"/>
    <row r="3278" ht="14.25"/>
    <row r="3279" ht="14.25"/>
    <row r="3280" ht="14.25"/>
    <row r="3281" ht="14.25"/>
    <row r="3282" ht="14.25"/>
    <row r="3283" ht="14.25"/>
    <row r="3284" ht="14.25"/>
    <row r="3285" ht="14.25"/>
    <row r="3286" ht="14.25"/>
    <row r="3287" ht="14.25"/>
    <row r="3288" ht="14.25"/>
    <row r="3289" ht="14.25"/>
    <row r="3290" ht="14.25"/>
    <row r="3291" ht="14.25"/>
    <row r="3292" ht="14.25"/>
    <row r="3293" ht="14.25"/>
    <row r="3294" ht="14.25"/>
    <row r="3295" ht="14.25"/>
    <row r="3296" ht="14.25"/>
    <row r="3297" ht="14.25"/>
    <row r="3298" ht="14.25"/>
    <row r="3299" ht="14.25"/>
    <row r="3300" ht="14.25"/>
    <row r="3301" ht="14.25"/>
    <row r="3302" ht="14.25"/>
    <row r="3303" ht="14.25"/>
    <row r="3304" ht="14.25"/>
    <row r="3305" ht="14.25"/>
    <row r="3306" ht="14.25"/>
    <row r="3307" ht="14.25"/>
    <row r="3308" ht="14.25"/>
    <row r="3309" ht="14.25"/>
    <row r="3310" ht="14.25"/>
    <row r="3311" ht="14.25"/>
    <row r="3312" ht="14.25"/>
    <row r="3313" ht="14.25"/>
    <row r="3314" ht="14.25"/>
    <row r="3315" ht="14.25"/>
    <row r="3316" ht="14.25"/>
    <row r="3317" ht="14.25"/>
    <row r="3318" ht="14.25"/>
    <row r="3319" ht="14.25"/>
    <row r="3320" ht="14.25"/>
    <row r="3321" ht="14.25"/>
    <row r="3322" ht="14.25"/>
    <row r="3323" ht="14.25"/>
    <row r="3324" ht="14.25"/>
    <row r="3325" ht="14.25"/>
    <row r="3326" ht="14.25"/>
    <row r="3327" ht="14.25"/>
    <row r="3328" ht="14.25"/>
    <row r="3329" ht="14.25"/>
    <row r="3330" ht="14.25"/>
    <row r="3331" ht="14.25"/>
    <row r="3332" ht="14.25"/>
    <row r="3333" ht="14.25"/>
    <row r="3334" ht="14.25"/>
    <row r="3335" ht="14.25"/>
    <row r="3336" ht="14.25"/>
    <row r="3337" ht="14.25"/>
    <row r="3338" ht="14.25"/>
    <row r="3339" ht="14.25"/>
    <row r="3340" ht="14.25"/>
    <row r="3341" ht="14.25"/>
    <row r="3342" ht="14.25"/>
    <row r="3343" ht="14.25"/>
    <row r="3344" ht="14.25"/>
    <row r="3345" ht="14.25"/>
    <row r="3346" ht="14.25"/>
    <row r="3347" ht="14.25"/>
    <row r="3348" ht="14.25"/>
    <row r="3349" ht="14.25"/>
    <row r="3350" ht="14.25"/>
    <row r="3351" ht="14.25"/>
    <row r="3352" ht="14.25"/>
    <row r="3353" ht="14.25"/>
    <row r="3354" ht="14.25"/>
    <row r="3355" ht="14.25"/>
    <row r="3356" ht="14.25"/>
    <row r="3357" ht="14.25"/>
    <row r="3358" ht="14.25"/>
    <row r="3359" ht="14.25"/>
    <row r="3360" ht="14.25"/>
    <row r="3361" ht="14.25"/>
    <row r="3362" ht="14.25"/>
    <row r="3363" ht="14.25"/>
    <row r="3364" ht="14.25"/>
    <row r="3365" ht="14.25"/>
    <row r="3366" ht="14.25"/>
    <row r="3367" ht="14.25"/>
    <row r="3368" ht="14.25"/>
    <row r="3369" ht="14.25"/>
    <row r="3370" ht="14.25"/>
    <row r="3371" ht="14.25"/>
    <row r="3372" ht="14.25"/>
    <row r="3373" ht="14.25"/>
    <row r="3374" ht="14.25"/>
    <row r="3375" ht="14.25"/>
    <row r="3376" ht="14.25"/>
    <row r="3377" ht="14.25"/>
    <row r="3378" ht="14.25"/>
    <row r="3379" ht="14.25"/>
    <row r="3380" ht="14.25"/>
    <row r="3381" ht="14.25"/>
    <row r="3382" ht="14.25"/>
    <row r="3383" ht="14.25"/>
    <row r="3384" ht="14.25"/>
    <row r="3385" ht="14.25"/>
    <row r="3386" ht="14.25"/>
    <row r="3387" ht="14.25"/>
    <row r="3388" ht="14.25"/>
    <row r="3389" ht="14.25"/>
    <row r="3390" ht="14.25"/>
    <row r="3391" ht="14.25"/>
    <row r="3392" ht="14.25"/>
    <row r="3393" ht="14.25"/>
    <row r="3394" ht="14.25"/>
    <row r="3395" ht="14.25"/>
    <row r="3396" ht="14.25"/>
    <row r="3397" ht="14.25"/>
    <row r="3398" ht="14.25"/>
    <row r="3399" ht="14.25"/>
    <row r="3400" ht="14.25"/>
    <row r="3401" ht="14.25"/>
    <row r="3402" ht="14.25"/>
    <row r="3403" ht="14.25"/>
    <row r="3404" ht="14.25"/>
    <row r="3405" ht="14.25"/>
    <row r="3406" ht="14.25"/>
    <row r="3407" ht="14.25"/>
    <row r="3408" ht="14.25"/>
    <row r="3409" ht="14.25"/>
    <row r="3410" ht="14.25"/>
    <row r="3411" ht="14.25"/>
    <row r="3412" ht="14.25"/>
    <row r="3413" ht="14.25"/>
    <row r="3414" ht="14.25"/>
    <row r="3415" ht="14.25"/>
    <row r="3416" ht="14.25"/>
    <row r="3417" ht="14.25"/>
    <row r="3418" ht="14.25"/>
    <row r="3419" ht="14.25"/>
    <row r="3420" ht="14.25"/>
    <row r="3421" ht="14.25"/>
    <row r="3422" ht="14.25"/>
    <row r="3423" ht="14.25"/>
    <row r="3424" ht="14.25"/>
    <row r="3425" ht="14.25"/>
    <row r="3426" ht="14.25"/>
    <row r="3427" ht="14.25"/>
    <row r="3428" ht="14.25"/>
    <row r="3429" ht="14.25"/>
    <row r="3430" ht="14.25"/>
    <row r="3431" ht="14.25"/>
    <row r="3432" ht="14.25"/>
    <row r="3433" ht="14.25"/>
    <row r="3434" ht="14.25"/>
    <row r="3435" ht="14.25"/>
    <row r="3436" ht="14.25"/>
    <row r="3437" ht="14.25"/>
    <row r="3438" ht="14.25"/>
    <row r="3439" ht="14.25"/>
    <row r="3440" ht="14.25"/>
    <row r="3441" ht="14.25"/>
    <row r="3442" ht="14.25"/>
    <row r="3443" ht="14.25"/>
    <row r="3444" ht="14.25"/>
    <row r="3445" ht="14.25"/>
    <row r="3446" ht="14.25"/>
    <row r="3447" ht="14.25"/>
    <row r="3448" ht="14.25"/>
    <row r="3449" ht="14.25"/>
    <row r="3450" ht="14.25"/>
    <row r="3451" ht="14.25"/>
    <row r="3452" ht="14.25"/>
    <row r="3453" ht="14.25"/>
    <row r="3454" ht="14.25"/>
    <row r="3455" ht="14.25"/>
    <row r="3456" ht="14.25"/>
    <row r="3457" ht="14.25"/>
    <row r="3458" ht="14.25"/>
    <row r="3459" ht="14.25"/>
    <row r="3460" ht="14.25"/>
    <row r="3461" ht="14.25"/>
    <row r="3462" ht="14.25"/>
    <row r="3463" ht="14.25"/>
    <row r="3464" ht="14.25"/>
    <row r="3465" ht="14.25"/>
    <row r="3466" ht="14.25"/>
    <row r="3467" ht="14.25"/>
    <row r="3468" ht="14.25"/>
    <row r="3469" ht="14.25"/>
    <row r="3470" ht="14.25"/>
    <row r="3471" ht="14.25"/>
    <row r="3472" ht="14.25"/>
    <row r="3473" ht="14.25"/>
    <row r="3474" ht="14.25"/>
    <row r="3475" ht="14.25"/>
    <row r="3476" ht="14.25"/>
    <row r="3477" ht="14.25"/>
    <row r="3478" ht="14.25"/>
    <row r="3479" ht="14.25"/>
    <row r="3480" ht="14.25"/>
    <row r="3481" ht="14.25"/>
    <row r="3482" ht="14.25"/>
    <row r="3483" ht="14.25"/>
    <row r="3484" ht="14.25"/>
    <row r="3485" ht="14.25"/>
    <row r="3486" ht="14.25"/>
    <row r="3487" ht="14.25"/>
    <row r="3488" ht="14.25"/>
    <row r="3489" ht="14.25"/>
    <row r="3490" ht="14.25"/>
    <row r="3491" ht="14.25"/>
    <row r="3492" ht="14.25"/>
    <row r="3493" ht="14.25"/>
    <row r="3494" ht="14.25"/>
    <row r="3495" ht="14.25"/>
    <row r="3496" ht="14.25"/>
    <row r="3497" ht="14.25"/>
    <row r="3498" ht="14.25"/>
    <row r="3499" ht="14.25"/>
    <row r="3500" ht="14.25"/>
    <row r="3501" ht="14.25"/>
    <row r="3502" ht="14.25"/>
    <row r="3503" ht="14.25"/>
    <row r="3504" ht="14.25"/>
    <row r="3505" ht="14.25"/>
    <row r="3506" ht="14.25"/>
    <row r="3507" ht="14.25"/>
    <row r="3508" ht="14.25"/>
    <row r="3509" ht="14.25"/>
    <row r="3510" ht="14.25"/>
    <row r="3511" ht="14.25"/>
    <row r="3512" ht="14.25"/>
    <row r="3513" ht="14.25"/>
    <row r="3514" ht="14.25"/>
    <row r="3515" ht="14.25"/>
    <row r="3516" ht="14.25"/>
    <row r="3517" ht="14.25"/>
    <row r="3518" ht="14.25"/>
    <row r="3519" ht="14.25"/>
    <row r="3520" ht="14.25"/>
    <row r="3521" ht="14.25"/>
    <row r="3522" ht="14.25"/>
    <row r="3523" ht="14.25"/>
    <row r="3524" ht="14.25"/>
    <row r="3525" ht="14.25"/>
    <row r="3526" ht="14.25"/>
    <row r="3527" ht="14.25"/>
    <row r="3528" ht="14.25"/>
    <row r="3529" ht="14.25"/>
    <row r="3530" ht="14.25"/>
    <row r="3531" ht="14.25"/>
    <row r="3532" ht="14.25"/>
    <row r="3533" ht="14.25"/>
    <row r="3534" ht="14.25"/>
    <row r="3535" ht="14.25"/>
    <row r="3536" ht="14.25"/>
    <row r="3537" ht="14.25"/>
    <row r="3538" ht="14.25"/>
    <row r="3539" ht="14.25"/>
    <row r="3540" ht="14.25"/>
    <row r="3541" ht="14.25"/>
    <row r="3542" ht="14.25"/>
    <row r="3543" ht="14.25"/>
    <row r="3544" ht="14.25"/>
    <row r="3545" ht="14.25"/>
    <row r="3546" ht="14.25"/>
    <row r="3547" ht="14.25"/>
    <row r="3548" ht="14.25"/>
    <row r="3549" ht="14.25"/>
    <row r="3550" ht="14.25"/>
    <row r="3551" ht="14.25"/>
    <row r="3552" ht="14.25"/>
    <row r="3553" ht="14.25"/>
    <row r="3554" ht="14.25"/>
    <row r="3555" ht="14.25"/>
    <row r="3556" ht="14.25"/>
    <row r="3557" ht="14.25"/>
    <row r="3558" ht="14.25"/>
    <row r="3559" ht="14.25"/>
    <row r="3560" ht="14.25"/>
    <row r="3561" ht="14.25"/>
    <row r="3562" ht="14.25"/>
    <row r="3563" ht="14.25"/>
    <row r="3564" ht="14.25"/>
    <row r="3565" ht="14.25"/>
    <row r="3566" ht="14.25"/>
    <row r="3567" ht="14.25"/>
    <row r="3568" ht="14.25"/>
    <row r="3569" ht="14.25"/>
    <row r="3570" ht="14.25"/>
    <row r="3571" ht="14.25"/>
    <row r="3572" ht="14.25"/>
    <row r="3573" ht="14.25"/>
    <row r="3574" ht="14.25"/>
    <row r="3575" ht="14.25"/>
    <row r="3576" ht="14.25"/>
    <row r="3577" ht="14.25"/>
    <row r="3578" ht="14.25"/>
    <row r="3579" ht="14.25"/>
    <row r="3580" ht="14.25"/>
    <row r="3581" ht="14.25"/>
    <row r="3582" ht="14.25"/>
    <row r="3583" ht="14.25"/>
    <row r="3584" ht="14.25"/>
    <row r="3585" ht="14.25"/>
    <row r="3586" ht="14.25"/>
    <row r="3587" ht="14.25"/>
    <row r="3588" ht="14.25"/>
    <row r="3589" ht="14.25"/>
    <row r="3590" ht="14.25"/>
    <row r="3591" ht="14.25"/>
    <row r="3592" ht="14.25"/>
    <row r="3593" ht="14.25"/>
    <row r="3594" ht="14.25"/>
    <row r="3595" ht="14.25"/>
    <row r="3596" ht="14.25"/>
    <row r="3597" ht="14.25"/>
    <row r="3598" ht="14.25"/>
    <row r="3599" ht="14.25"/>
    <row r="3600" ht="14.25"/>
    <row r="3601" ht="14.25"/>
    <row r="3602" ht="14.25"/>
    <row r="3603" ht="14.25"/>
    <row r="3604" ht="14.25"/>
    <row r="3605" ht="14.25"/>
    <row r="3606" ht="14.25"/>
    <row r="3607" ht="14.25"/>
    <row r="3608" ht="14.25"/>
    <row r="3609" ht="14.25"/>
    <row r="3610" ht="14.25"/>
    <row r="3611" ht="14.25"/>
    <row r="3612" ht="14.25"/>
    <row r="3613" ht="14.25"/>
    <row r="3614" ht="14.25"/>
    <row r="3615" ht="14.25"/>
    <row r="3616" ht="14.25"/>
    <row r="3617" ht="14.25"/>
    <row r="3618" ht="14.25"/>
    <row r="3619" ht="14.25"/>
    <row r="3620" ht="14.25"/>
    <row r="3621" ht="14.25"/>
    <row r="3622" ht="14.25"/>
    <row r="3623" ht="14.25"/>
    <row r="3624" ht="14.25"/>
    <row r="3625" ht="14.25"/>
    <row r="3626" ht="14.25"/>
    <row r="3627" ht="14.25"/>
    <row r="3628" ht="14.25"/>
    <row r="3629" ht="14.25"/>
    <row r="3630" ht="14.25"/>
    <row r="3631" ht="14.25"/>
    <row r="3632" ht="14.25"/>
    <row r="3633" ht="14.25"/>
    <row r="3634" ht="14.25"/>
    <row r="3635" ht="14.25"/>
    <row r="3636" ht="14.25"/>
    <row r="3637" ht="14.25"/>
    <row r="3638" ht="14.25"/>
    <row r="3639" ht="14.25"/>
    <row r="3640" ht="14.25"/>
    <row r="3641" ht="14.25"/>
    <row r="3642" ht="14.25"/>
    <row r="3643" ht="14.25"/>
    <row r="3644" ht="14.25"/>
    <row r="3645" ht="14.25"/>
    <row r="3646" ht="14.25"/>
    <row r="3647" ht="14.25"/>
    <row r="3648" ht="14.25"/>
    <row r="3649" ht="14.25"/>
    <row r="3650" ht="14.25"/>
    <row r="3651" ht="14.25"/>
    <row r="3652" ht="14.25"/>
    <row r="3653" ht="14.25"/>
    <row r="3654" ht="14.25"/>
    <row r="3655" ht="14.25"/>
    <row r="3656" ht="14.25"/>
    <row r="3657" ht="14.25"/>
    <row r="3658" ht="14.25"/>
    <row r="3659" ht="14.25"/>
    <row r="3660" ht="14.25"/>
    <row r="3661" ht="14.25"/>
    <row r="3662" ht="14.25"/>
    <row r="3663" ht="14.25"/>
    <row r="3664" ht="14.25"/>
    <row r="3665" ht="14.25"/>
    <row r="3666" ht="14.25"/>
    <row r="3667" ht="14.25"/>
    <row r="3668" ht="14.25"/>
    <row r="3669" ht="14.25"/>
    <row r="3670" ht="14.25"/>
    <row r="3671" ht="14.25"/>
    <row r="3672" ht="14.25"/>
    <row r="3673" ht="14.25"/>
    <row r="3674" ht="14.25"/>
    <row r="3675" ht="14.25"/>
    <row r="3676" ht="14.25"/>
    <row r="3677" ht="14.25"/>
    <row r="3678" ht="14.25"/>
    <row r="3679" ht="14.25"/>
    <row r="3680" ht="14.25"/>
    <row r="3681" ht="14.25"/>
    <row r="3682" ht="14.25"/>
    <row r="3683" ht="14.25"/>
    <row r="3684" ht="14.25"/>
    <row r="3685" ht="14.25"/>
    <row r="3686" ht="14.25"/>
    <row r="3687" ht="14.25"/>
    <row r="3688" ht="14.25"/>
    <row r="3689" ht="14.25"/>
    <row r="3690" ht="14.25"/>
    <row r="3691" ht="14.25"/>
    <row r="3692" ht="14.25"/>
    <row r="3693" ht="14.25"/>
    <row r="3694" ht="14.25"/>
    <row r="3695" ht="14.25"/>
    <row r="3696" ht="14.25"/>
    <row r="3697" ht="14.25"/>
    <row r="3698" ht="14.25"/>
    <row r="3699" ht="14.25"/>
    <row r="3700" ht="14.25"/>
    <row r="3701" ht="14.25"/>
    <row r="3702" ht="14.25"/>
    <row r="3703" ht="14.25"/>
    <row r="3704" ht="14.25"/>
    <row r="3705" ht="14.25"/>
    <row r="3706" ht="14.25"/>
    <row r="3707" ht="14.25"/>
    <row r="3708" ht="14.25"/>
    <row r="3709" ht="14.25"/>
    <row r="3710" ht="14.25"/>
    <row r="3711" ht="14.25"/>
    <row r="3712" ht="14.25"/>
    <row r="3713" ht="14.25"/>
    <row r="3714" ht="14.25"/>
    <row r="3715" ht="14.25"/>
    <row r="3716" ht="14.25"/>
    <row r="3717" ht="14.25"/>
    <row r="3718" ht="14.25"/>
    <row r="3719" ht="14.25"/>
    <row r="3720" ht="14.25"/>
    <row r="3721" ht="14.25"/>
    <row r="3722" ht="14.25"/>
    <row r="3723" ht="14.25"/>
    <row r="3724" ht="14.25"/>
    <row r="3725" ht="14.25"/>
    <row r="3726" ht="14.25"/>
    <row r="3727" ht="14.25"/>
    <row r="3728" ht="14.25"/>
    <row r="3729" ht="14.25"/>
    <row r="3730" ht="14.25"/>
    <row r="3731" ht="14.25"/>
    <row r="3732" ht="14.25"/>
    <row r="3733" ht="14.25"/>
    <row r="3734" ht="14.25"/>
    <row r="3735" ht="14.25"/>
    <row r="3736" ht="14.25"/>
    <row r="3737" ht="14.25"/>
    <row r="3738" ht="14.25"/>
    <row r="3739" ht="14.25"/>
    <row r="3740" ht="14.25"/>
    <row r="3741" ht="14.25"/>
    <row r="3742" ht="14.25"/>
    <row r="3743" ht="14.25"/>
    <row r="3744" ht="14.25"/>
    <row r="3745" ht="14.25"/>
    <row r="3746" ht="14.25"/>
    <row r="3747" ht="14.25"/>
    <row r="3748" ht="14.25"/>
    <row r="3749" ht="14.25"/>
    <row r="3750" ht="14.25"/>
    <row r="3751" ht="14.25"/>
    <row r="3752" ht="14.25"/>
    <row r="3753" ht="14.25"/>
    <row r="3754" ht="14.25"/>
    <row r="3755" ht="14.25"/>
    <row r="3756" ht="14.25"/>
    <row r="3757" ht="14.25"/>
    <row r="3758" ht="14.25"/>
    <row r="3759" ht="14.25"/>
    <row r="3760" ht="14.25"/>
    <row r="3761" ht="14.25"/>
    <row r="3762" ht="14.25"/>
    <row r="3763" ht="14.25"/>
    <row r="3764" ht="14.25"/>
    <row r="3765" ht="14.25"/>
    <row r="3766" ht="14.25"/>
    <row r="3767" ht="14.25"/>
    <row r="3768" ht="14.25"/>
    <row r="3769" ht="14.25"/>
    <row r="3770" ht="14.25"/>
    <row r="3771" ht="14.25"/>
    <row r="3772" ht="14.25"/>
    <row r="3773" ht="14.25"/>
    <row r="3774" ht="14.25"/>
    <row r="3775" ht="14.25"/>
    <row r="3776" ht="14.25"/>
    <row r="3777" ht="14.25"/>
    <row r="3778" ht="14.25"/>
    <row r="3779" ht="14.25"/>
    <row r="3780" ht="14.25"/>
    <row r="3781" ht="14.25"/>
    <row r="3782" ht="14.25"/>
    <row r="3783" ht="14.25"/>
    <row r="3784" ht="14.25"/>
    <row r="3785" ht="14.25"/>
    <row r="3786" ht="14.25"/>
    <row r="3787" ht="14.25"/>
    <row r="3788" ht="14.25"/>
    <row r="3789" ht="14.25"/>
    <row r="3790" ht="14.25"/>
    <row r="3791" ht="14.25"/>
    <row r="3792" ht="14.25"/>
    <row r="3793" ht="14.25"/>
    <row r="3794" ht="14.25"/>
    <row r="3795" ht="14.25"/>
    <row r="3796" ht="14.25"/>
    <row r="3797" ht="14.25"/>
    <row r="3798" ht="14.25"/>
    <row r="3799" ht="14.25"/>
    <row r="3800" ht="14.25"/>
    <row r="3801" ht="14.25"/>
    <row r="3802" ht="14.25"/>
    <row r="3803" ht="14.25"/>
    <row r="3804" ht="14.25"/>
    <row r="3805" ht="14.25"/>
    <row r="3806" ht="14.25"/>
    <row r="3807" ht="14.25"/>
    <row r="3808" ht="14.25"/>
    <row r="3809" ht="14.25"/>
    <row r="3810" ht="14.25"/>
    <row r="3811" ht="14.25"/>
    <row r="3812" ht="14.25"/>
    <row r="3813" ht="14.25"/>
    <row r="3814" ht="14.25"/>
    <row r="3815" ht="14.25"/>
    <row r="3816" ht="14.25"/>
    <row r="3817" ht="14.25"/>
    <row r="3818" ht="14.25"/>
    <row r="3819" ht="14.25"/>
    <row r="3820" ht="14.25"/>
    <row r="3821" ht="14.25"/>
    <row r="3822" ht="14.25"/>
    <row r="3823" ht="14.25"/>
    <row r="3824" ht="14.25"/>
    <row r="3825" ht="14.25"/>
    <row r="3826" ht="14.25"/>
    <row r="3827" ht="14.25"/>
    <row r="3828" ht="14.25"/>
    <row r="3829" ht="14.25"/>
    <row r="3830" ht="14.25"/>
    <row r="3831" ht="14.25"/>
    <row r="3832" ht="14.25"/>
    <row r="3833" ht="14.25"/>
    <row r="3834" ht="14.25"/>
    <row r="3835" ht="14.25"/>
    <row r="3836" ht="14.25"/>
    <row r="3837" ht="14.25"/>
    <row r="3838" ht="14.25"/>
    <row r="3839" ht="14.25"/>
    <row r="3840" ht="14.25"/>
    <row r="3841" ht="14.25"/>
    <row r="3842" ht="14.25"/>
    <row r="3843" ht="14.25"/>
    <row r="3844" ht="14.25"/>
    <row r="3845" ht="14.25"/>
    <row r="3846" ht="14.25"/>
    <row r="3847" ht="14.25"/>
    <row r="3848" ht="14.25"/>
    <row r="3849" ht="14.25"/>
    <row r="3850" ht="14.25"/>
    <row r="3851" ht="14.25"/>
    <row r="3852" ht="14.25"/>
    <row r="3853" ht="14.25"/>
    <row r="3854" ht="14.25"/>
    <row r="3855" ht="14.25"/>
    <row r="3856" ht="14.25"/>
    <row r="3857" ht="14.25"/>
    <row r="3858" ht="14.25"/>
    <row r="3859" ht="14.25"/>
    <row r="3860" ht="14.25"/>
    <row r="3861" ht="14.25"/>
    <row r="3862" ht="14.25"/>
    <row r="3863" ht="14.25"/>
    <row r="3864" ht="14.25"/>
    <row r="3865" ht="14.25"/>
    <row r="3866" ht="14.25"/>
    <row r="3867" ht="14.25"/>
    <row r="3868" ht="14.25"/>
    <row r="3869" ht="14.25"/>
    <row r="3870" ht="14.25"/>
    <row r="3871" ht="14.25"/>
    <row r="3872" ht="14.25"/>
    <row r="3873" ht="14.25"/>
    <row r="3874" ht="14.25"/>
    <row r="3875" ht="14.25"/>
    <row r="3876" ht="14.25"/>
    <row r="3877" ht="14.25"/>
    <row r="3878" ht="14.25"/>
    <row r="3879" ht="14.25"/>
    <row r="3880" ht="14.25"/>
    <row r="3881" ht="14.25"/>
    <row r="3882" ht="14.25"/>
    <row r="3883" ht="14.25"/>
    <row r="3884" ht="14.25"/>
    <row r="3885" ht="14.25"/>
    <row r="3886" ht="14.25"/>
    <row r="3887" ht="14.25"/>
    <row r="3888" ht="14.25"/>
    <row r="3889" ht="14.25"/>
    <row r="3890" ht="14.25"/>
    <row r="3891" ht="14.25"/>
    <row r="3892" ht="14.25"/>
    <row r="3893" ht="14.25"/>
    <row r="3894" ht="14.25"/>
    <row r="3895" ht="14.25"/>
    <row r="3896" ht="14.25"/>
    <row r="3897" ht="14.25"/>
    <row r="3898" ht="14.25"/>
    <row r="3899" ht="14.25"/>
    <row r="3900" ht="14.25"/>
    <row r="3901" ht="14.25"/>
    <row r="3902" ht="14.25"/>
    <row r="3903" ht="14.25"/>
    <row r="3904" ht="14.25"/>
    <row r="3905" ht="14.25"/>
    <row r="3906" ht="14.25"/>
    <row r="3907" ht="14.25"/>
    <row r="3908" ht="14.25"/>
    <row r="3909" ht="14.25"/>
    <row r="3910" ht="14.25"/>
    <row r="3911" ht="14.25"/>
    <row r="3912" ht="14.25"/>
    <row r="3913" ht="14.25"/>
    <row r="3914" ht="14.25"/>
    <row r="3915" ht="14.25"/>
    <row r="3916" ht="14.25"/>
    <row r="3917" ht="14.25"/>
    <row r="3918" ht="14.25"/>
    <row r="3919" ht="14.25"/>
    <row r="3920" ht="14.25"/>
    <row r="3921" ht="14.25"/>
    <row r="3922" ht="14.25"/>
    <row r="3923" ht="14.25"/>
    <row r="3924" ht="14.25"/>
    <row r="3925" ht="14.25"/>
    <row r="3926" ht="14.25"/>
    <row r="3927" ht="14.25"/>
    <row r="3928" ht="14.25"/>
    <row r="3929" ht="14.25"/>
    <row r="3930" ht="14.25"/>
    <row r="3931" ht="14.25"/>
    <row r="3932" ht="14.25"/>
    <row r="3933" ht="14.25"/>
    <row r="3934" ht="14.25"/>
    <row r="3935" ht="14.25"/>
    <row r="3936" ht="14.25"/>
    <row r="3937" ht="14.25"/>
    <row r="3938" ht="14.25"/>
    <row r="3939" ht="14.25"/>
    <row r="3940" ht="14.25"/>
    <row r="3941" ht="14.25"/>
    <row r="3942" ht="14.25"/>
    <row r="3943" ht="14.25"/>
    <row r="3944" ht="14.25"/>
    <row r="3945" ht="14.25"/>
    <row r="3946" ht="14.25"/>
    <row r="3947" ht="14.25"/>
    <row r="3948" ht="14.25"/>
    <row r="3949" ht="14.25"/>
    <row r="3950" ht="14.25"/>
    <row r="3951" ht="14.25"/>
    <row r="3952" ht="14.25"/>
    <row r="3953" ht="14.25"/>
    <row r="3954" ht="14.25"/>
    <row r="3955" ht="14.25"/>
    <row r="3956" ht="14.25"/>
    <row r="3957" ht="14.25"/>
    <row r="3958" ht="14.25"/>
    <row r="3959" ht="14.25"/>
    <row r="3960" ht="14.25"/>
    <row r="3961" ht="14.25"/>
    <row r="3962" ht="14.25"/>
    <row r="3963" ht="14.25"/>
    <row r="3964" ht="14.25"/>
    <row r="3965" ht="14.25"/>
    <row r="3966" ht="14.25"/>
    <row r="3967" ht="14.25"/>
    <row r="3968" ht="14.25"/>
    <row r="3969" ht="14.25"/>
    <row r="3970" ht="14.25"/>
    <row r="3971" ht="14.25"/>
    <row r="3972" ht="14.25"/>
    <row r="3973" ht="14.25"/>
    <row r="3974" ht="14.25"/>
    <row r="3975" ht="14.25"/>
    <row r="3976" ht="14.25"/>
    <row r="3977" ht="14.25"/>
    <row r="3978" ht="14.25"/>
    <row r="3979" ht="14.25"/>
    <row r="3980" ht="14.25"/>
    <row r="3981" ht="14.25"/>
    <row r="3982" ht="14.25"/>
    <row r="3983" ht="14.25"/>
    <row r="3984" ht="14.25"/>
    <row r="3985" ht="14.25"/>
    <row r="3986" ht="14.25"/>
    <row r="3987" ht="14.25"/>
    <row r="3988" ht="14.25"/>
    <row r="3989" ht="14.25"/>
    <row r="3990" ht="14.25"/>
    <row r="3991" ht="14.25"/>
    <row r="3992" ht="14.25"/>
    <row r="3993" ht="14.25"/>
    <row r="3994" ht="14.25"/>
    <row r="3995" ht="14.25"/>
    <row r="3996" ht="14.25"/>
    <row r="3997" ht="14.25"/>
    <row r="3998" ht="14.25"/>
    <row r="3999" ht="14.25"/>
    <row r="4000" ht="14.25"/>
    <row r="4001" ht="14.25"/>
    <row r="4002" ht="14.25"/>
    <row r="4003" ht="14.25"/>
    <row r="4004" ht="14.25"/>
    <row r="4005" ht="14.25"/>
    <row r="4006" ht="14.25"/>
    <row r="4007" ht="14.25"/>
    <row r="4008" ht="14.25"/>
    <row r="4009" ht="14.25"/>
    <row r="4010" ht="14.25"/>
    <row r="4011" ht="14.25"/>
    <row r="4012" ht="14.25"/>
    <row r="4013" ht="14.25"/>
    <row r="4014" ht="14.25"/>
    <row r="4015" ht="14.25"/>
    <row r="4016" ht="14.25"/>
    <row r="4017" ht="14.25"/>
    <row r="4018" ht="14.25"/>
    <row r="4019" ht="14.25"/>
    <row r="4020" ht="14.25"/>
    <row r="4021" ht="14.25"/>
    <row r="4022" ht="14.25"/>
    <row r="4023" ht="14.25"/>
    <row r="4024" ht="14.25"/>
    <row r="4025" ht="14.25"/>
    <row r="4026" ht="14.25"/>
    <row r="4027" ht="14.25"/>
    <row r="4028" ht="14.25"/>
    <row r="4029" ht="14.25"/>
    <row r="4030" ht="14.25"/>
    <row r="4031" ht="14.25"/>
    <row r="4032" ht="14.25"/>
    <row r="4033" ht="14.25"/>
    <row r="4034" ht="14.25"/>
    <row r="4035" ht="14.25"/>
    <row r="4036" ht="14.25"/>
    <row r="4037" ht="14.25"/>
    <row r="4038" ht="14.25"/>
    <row r="4039" ht="14.25"/>
    <row r="4040" ht="14.25"/>
    <row r="4041" ht="14.25"/>
    <row r="4042" ht="14.25"/>
    <row r="4043" ht="14.25"/>
    <row r="4044" ht="14.25"/>
    <row r="4045" ht="14.25"/>
    <row r="4046" ht="14.25"/>
    <row r="4047" ht="14.25"/>
    <row r="4048" ht="14.25"/>
    <row r="4049" ht="14.25"/>
    <row r="4050" ht="14.25"/>
    <row r="4051" ht="14.25"/>
    <row r="4052" ht="14.25"/>
    <row r="4053" ht="14.25"/>
    <row r="4054" ht="14.25"/>
    <row r="4055" ht="14.25"/>
    <row r="4056" ht="14.25"/>
    <row r="4057" ht="14.25"/>
    <row r="4058" ht="14.25"/>
    <row r="4059" ht="14.25"/>
    <row r="4060" ht="14.25"/>
    <row r="4061" ht="14.25"/>
    <row r="4062" ht="14.25"/>
    <row r="4063" ht="14.25"/>
    <row r="4064" ht="14.25"/>
    <row r="4065" ht="14.25"/>
    <row r="4066" ht="14.25"/>
    <row r="4067" ht="14.25"/>
    <row r="4068" ht="14.25"/>
    <row r="4069" ht="14.25"/>
    <row r="4070" ht="14.25"/>
    <row r="4071" ht="14.25"/>
    <row r="4072" ht="14.25"/>
    <row r="4073" ht="14.25"/>
    <row r="4074" ht="14.25"/>
    <row r="4075" ht="14.25"/>
    <row r="4076" ht="14.25"/>
    <row r="4077" ht="14.25"/>
    <row r="4078" ht="14.25"/>
    <row r="4079" ht="14.25"/>
    <row r="4080" ht="14.25"/>
    <row r="4081" ht="14.25"/>
    <row r="4082" ht="14.25"/>
    <row r="4083" ht="14.25"/>
    <row r="4084" ht="14.25"/>
    <row r="4085" ht="14.25"/>
    <row r="4086" ht="14.25"/>
    <row r="4087" ht="14.25"/>
    <row r="4088" ht="14.25"/>
    <row r="4089" ht="14.25"/>
    <row r="4090" ht="14.25"/>
    <row r="4091" ht="14.25"/>
    <row r="4092" ht="14.25"/>
    <row r="4093" ht="14.25"/>
    <row r="4094" ht="14.25"/>
    <row r="4095" ht="14.25"/>
    <row r="4096" ht="14.25"/>
    <row r="4097" ht="14.25"/>
    <row r="4098" ht="14.25"/>
    <row r="4099" ht="14.25"/>
    <row r="4100" ht="14.25"/>
    <row r="4101" ht="14.25"/>
    <row r="4102" ht="14.25"/>
    <row r="4103" ht="14.25"/>
    <row r="4104" ht="14.25"/>
    <row r="4105" ht="14.25"/>
    <row r="4106" ht="14.25"/>
    <row r="4107" ht="14.25"/>
    <row r="4108" ht="14.25"/>
    <row r="4109" ht="14.25"/>
    <row r="4110" ht="14.25"/>
    <row r="4111" ht="14.25"/>
    <row r="4112" ht="14.25"/>
    <row r="4113" ht="14.25"/>
    <row r="4114" ht="14.25"/>
    <row r="4115" ht="14.25"/>
    <row r="4116" ht="14.25"/>
    <row r="4117" ht="14.25"/>
    <row r="4118" ht="14.25"/>
    <row r="4119" ht="14.25"/>
    <row r="4120" ht="14.25"/>
    <row r="4121" ht="14.25"/>
    <row r="4122" ht="14.25"/>
    <row r="4123" ht="14.25"/>
    <row r="4124" ht="14.25"/>
    <row r="4125" ht="14.25"/>
    <row r="4126" ht="14.25"/>
    <row r="4127" ht="14.25"/>
    <row r="4128" ht="14.25"/>
    <row r="4129" ht="14.25"/>
    <row r="4130" ht="14.25"/>
    <row r="4131" ht="14.25"/>
    <row r="4132" ht="14.25"/>
    <row r="4133" ht="14.25"/>
    <row r="4134" ht="14.25"/>
    <row r="4135" ht="14.25"/>
    <row r="4136" ht="14.25"/>
    <row r="4137" ht="14.25"/>
    <row r="4138" ht="14.25"/>
    <row r="4139" ht="14.25"/>
    <row r="4140" ht="14.25"/>
    <row r="4141" ht="14.25"/>
    <row r="4142" ht="14.25"/>
    <row r="4143" ht="14.25"/>
    <row r="4144" ht="14.25"/>
    <row r="4145" ht="14.25"/>
    <row r="4146" ht="14.25"/>
    <row r="4147" ht="14.25"/>
    <row r="4148" ht="14.25"/>
    <row r="4149" ht="14.25"/>
    <row r="4150" ht="14.25"/>
    <row r="4151" ht="14.25"/>
    <row r="4152" ht="14.25"/>
    <row r="4153" ht="14.25"/>
    <row r="4154" ht="14.25"/>
    <row r="4155" ht="14.25"/>
    <row r="4156" ht="14.25"/>
    <row r="4157" ht="14.25"/>
    <row r="4158" ht="14.25"/>
    <row r="4159" ht="14.25"/>
    <row r="4160" ht="14.25"/>
    <row r="4161" ht="14.25"/>
    <row r="4162" ht="14.25"/>
    <row r="4163" ht="14.25"/>
    <row r="4164" ht="14.25"/>
    <row r="4165" ht="14.25"/>
    <row r="4166" ht="14.25"/>
    <row r="4167" ht="14.25"/>
    <row r="4168" ht="14.25"/>
    <row r="4169" ht="14.25"/>
    <row r="4170" ht="14.25"/>
    <row r="4171" ht="14.25"/>
    <row r="4172" ht="14.25"/>
    <row r="4173" ht="14.25"/>
    <row r="4174" ht="14.25"/>
    <row r="4175" ht="14.25"/>
    <row r="4176" ht="14.25"/>
    <row r="4177" ht="14.25"/>
    <row r="4178" ht="14.25"/>
    <row r="4179" ht="14.25"/>
    <row r="4180" ht="14.25"/>
    <row r="4181" ht="14.25"/>
    <row r="4182" ht="14.25"/>
    <row r="4183" ht="14.25"/>
    <row r="4184" ht="14.25"/>
    <row r="4185" ht="14.25"/>
    <row r="4186" ht="14.25"/>
    <row r="4187" ht="14.25"/>
    <row r="4188" ht="14.25"/>
    <row r="4189" ht="14.25"/>
    <row r="4190" ht="14.25"/>
    <row r="4191" ht="14.25"/>
    <row r="4192" ht="14.25"/>
    <row r="4193" ht="14.25"/>
    <row r="4194" ht="14.25"/>
    <row r="4195" ht="14.25"/>
    <row r="4196" ht="14.25"/>
    <row r="4197" ht="14.25"/>
    <row r="4198" ht="14.25"/>
    <row r="4199" ht="14.25"/>
    <row r="4200" ht="14.25"/>
    <row r="4201" ht="14.25"/>
    <row r="4202" ht="14.25"/>
    <row r="4203" ht="14.25"/>
    <row r="4204" ht="14.25"/>
    <row r="4205" ht="14.25"/>
    <row r="4206" ht="14.25"/>
    <row r="4207" ht="14.25"/>
    <row r="4208" ht="14.25"/>
    <row r="4209" ht="14.25"/>
    <row r="4210" ht="14.25"/>
    <row r="4211" ht="14.25"/>
    <row r="4212" ht="14.25"/>
    <row r="4213" ht="14.25"/>
    <row r="4214" ht="14.25"/>
    <row r="4215" ht="14.25"/>
    <row r="4216" ht="14.25"/>
    <row r="4217" ht="14.25"/>
    <row r="4218" ht="14.25"/>
    <row r="4219" ht="14.25"/>
    <row r="4220" ht="14.25"/>
    <row r="4221" ht="14.25"/>
    <row r="4222" ht="14.25"/>
    <row r="4223" ht="14.25"/>
    <row r="4224" ht="14.25"/>
    <row r="4225" ht="14.25"/>
    <row r="4226" ht="14.25"/>
    <row r="4227" ht="14.25"/>
    <row r="4228" ht="14.25"/>
    <row r="4229" ht="14.25"/>
    <row r="4230" ht="14.25"/>
    <row r="4231" ht="14.25"/>
    <row r="4232" ht="14.25"/>
    <row r="4233" ht="14.25"/>
    <row r="4234" ht="14.25"/>
    <row r="4235" ht="14.25"/>
    <row r="4236" ht="14.25"/>
    <row r="4237" ht="14.25"/>
    <row r="4238" ht="14.25"/>
    <row r="4239" ht="14.25"/>
    <row r="4240" ht="14.25"/>
    <row r="4241" ht="14.25"/>
    <row r="4242" ht="14.25"/>
    <row r="4243" ht="14.25"/>
    <row r="4244" ht="14.25"/>
    <row r="4245" ht="14.25"/>
    <row r="4246" ht="14.25"/>
    <row r="4247" ht="14.25"/>
    <row r="4248" ht="14.25"/>
    <row r="4249" ht="14.25"/>
    <row r="4250" ht="14.25"/>
    <row r="4251" ht="14.25"/>
    <row r="4252" ht="14.25"/>
    <row r="4253" ht="14.25"/>
    <row r="4254" ht="14.25"/>
    <row r="4255" ht="14.25"/>
    <row r="4256" ht="14.25"/>
    <row r="4257" ht="14.25"/>
    <row r="4258" ht="14.25"/>
    <row r="4259" ht="14.25"/>
    <row r="4260" ht="14.25"/>
    <row r="4261" ht="14.25"/>
    <row r="4262" ht="14.25"/>
    <row r="4263" ht="14.25"/>
    <row r="4264" ht="14.25"/>
    <row r="4265" ht="14.25"/>
    <row r="4266" ht="14.25"/>
    <row r="4267" ht="14.25"/>
    <row r="4268" ht="14.25"/>
    <row r="4269" ht="14.25"/>
    <row r="4270" ht="14.25"/>
    <row r="4271" ht="14.25"/>
    <row r="4272" ht="14.25"/>
    <row r="4273" ht="14.25"/>
    <row r="4274" ht="14.25"/>
    <row r="4275" ht="14.25"/>
    <row r="4276" ht="14.25"/>
    <row r="4277" ht="14.25"/>
    <row r="4278" ht="14.25"/>
    <row r="4279" ht="14.25"/>
    <row r="4280" ht="14.25"/>
    <row r="4281" ht="14.25"/>
    <row r="4282" ht="14.25"/>
    <row r="4283" ht="14.25"/>
    <row r="4284" ht="14.25"/>
    <row r="4285" ht="14.25"/>
    <row r="4286" ht="14.25"/>
    <row r="4287" ht="14.25"/>
    <row r="4288" ht="14.25"/>
    <row r="4289" ht="14.25"/>
    <row r="4290" ht="14.25"/>
    <row r="4291" ht="14.25"/>
    <row r="4292" ht="14.25"/>
    <row r="4293" ht="14.25"/>
    <row r="4294" ht="14.25"/>
    <row r="4295" ht="14.25"/>
    <row r="4296" ht="14.25"/>
    <row r="4297" ht="14.25"/>
    <row r="4298" ht="14.25"/>
    <row r="4299" ht="14.25"/>
    <row r="4300" ht="14.25"/>
    <row r="4301" ht="14.25"/>
    <row r="4302" ht="14.25"/>
    <row r="4303" ht="14.25"/>
    <row r="4304" ht="14.25"/>
    <row r="4305" ht="14.25"/>
    <row r="4306" ht="14.25"/>
    <row r="4307" ht="14.25"/>
    <row r="4308" ht="14.25"/>
    <row r="4309" ht="14.25"/>
    <row r="4310" ht="14.25"/>
    <row r="4311" ht="14.25"/>
    <row r="4312" ht="14.25"/>
    <row r="4313" ht="14.25"/>
    <row r="4314" ht="14.25"/>
    <row r="4315" ht="14.25"/>
    <row r="4316" ht="14.25"/>
    <row r="4317" ht="14.25"/>
    <row r="4318" ht="14.25"/>
    <row r="4319" ht="14.25"/>
    <row r="4320" ht="14.25"/>
    <row r="4321" ht="14.25"/>
    <row r="4322" ht="14.25"/>
    <row r="4323" ht="14.25"/>
    <row r="4324" ht="14.25"/>
    <row r="4325" ht="14.25"/>
    <row r="4326" ht="14.25"/>
    <row r="4327" ht="14.25"/>
    <row r="4328" ht="14.25"/>
    <row r="4329" ht="14.25"/>
    <row r="4330" ht="14.25"/>
    <row r="4331" ht="14.25"/>
    <row r="4332" ht="14.25"/>
    <row r="4333" ht="14.25"/>
    <row r="4334" ht="14.25"/>
    <row r="4335" ht="14.25"/>
    <row r="4336" ht="14.25"/>
    <row r="4337" ht="14.25"/>
    <row r="4338" ht="14.25"/>
    <row r="4339" ht="14.25"/>
    <row r="4340" ht="14.25"/>
    <row r="4341" ht="14.25"/>
    <row r="4342" ht="14.25"/>
    <row r="4343" ht="14.25"/>
    <row r="4344" ht="14.25"/>
    <row r="4345" ht="14.25"/>
    <row r="4346" ht="14.25"/>
    <row r="4347" ht="14.25"/>
    <row r="4348" ht="14.25"/>
    <row r="4349" ht="14.25"/>
    <row r="4350" ht="14.25"/>
    <row r="4351" ht="14.25"/>
    <row r="4352" ht="14.25"/>
    <row r="4353" ht="14.25"/>
    <row r="4354" ht="14.25"/>
    <row r="4355" ht="14.25"/>
    <row r="4356" ht="14.25"/>
    <row r="4357" ht="14.25"/>
    <row r="4358" ht="14.25"/>
    <row r="4359" ht="14.25"/>
    <row r="4360" ht="14.25"/>
    <row r="4361" ht="14.25"/>
    <row r="4362" ht="14.25"/>
    <row r="4363" ht="14.25"/>
    <row r="4364" ht="14.25"/>
    <row r="4365" ht="14.25"/>
    <row r="4366" ht="14.25"/>
    <row r="4367" ht="14.25"/>
    <row r="4368" ht="14.25"/>
    <row r="4369" ht="14.25"/>
    <row r="4370" ht="14.25"/>
    <row r="4371" ht="14.25"/>
    <row r="4372" ht="14.25"/>
    <row r="4373" ht="14.25"/>
    <row r="4374" ht="14.25"/>
    <row r="4375" ht="14.25"/>
    <row r="4376" ht="14.25"/>
    <row r="4377" ht="14.25"/>
    <row r="4378" ht="14.25"/>
    <row r="4379" ht="14.25"/>
    <row r="4380" ht="14.25"/>
    <row r="4381" ht="14.25"/>
    <row r="4382" ht="14.25"/>
    <row r="4383" ht="14.25"/>
    <row r="4384" ht="14.25"/>
    <row r="4385" ht="14.25"/>
    <row r="4386" ht="14.25"/>
    <row r="4387" ht="14.25"/>
    <row r="4388" ht="14.25"/>
    <row r="4389" ht="14.25"/>
    <row r="4390" ht="14.25"/>
    <row r="4391" ht="14.25"/>
    <row r="4392" ht="14.25"/>
    <row r="4393" ht="14.25"/>
    <row r="4394" ht="14.25"/>
    <row r="4395" ht="14.25"/>
    <row r="4396" ht="14.25"/>
    <row r="4397" ht="14.25"/>
    <row r="4398" ht="14.25"/>
    <row r="4399" ht="14.25"/>
    <row r="4400" ht="14.25"/>
    <row r="4401" ht="14.25"/>
    <row r="4402" ht="14.25"/>
    <row r="4403" ht="14.25"/>
    <row r="4404" ht="14.25"/>
    <row r="4405" ht="14.25"/>
    <row r="4406" ht="14.25"/>
    <row r="4407" ht="14.25"/>
    <row r="4408" ht="14.25"/>
    <row r="4409" ht="14.25"/>
    <row r="4410" ht="14.25"/>
    <row r="4411" ht="14.25"/>
    <row r="4412" ht="14.25"/>
    <row r="4413" ht="14.25"/>
    <row r="4414" ht="14.25"/>
    <row r="4415" ht="14.25"/>
    <row r="4416" ht="14.25"/>
    <row r="4417" ht="14.25"/>
    <row r="4418" ht="14.25"/>
    <row r="4419" ht="14.25"/>
    <row r="4420" ht="14.25"/>
    <row r="4421" ht="14.25"/>
    <row r="4422" ht="14.25"/>
    <row r="4423" ht="14.25"/>
    <row r="4424" ht="14.25"/>
    <row r="4425" ht="14.25"/>
    <row r="4426" ht="14.25"/>
    <row r="4427" ht="14.25"/>
    <row r="4428" ht="14.25"/>
    <row r="4429" ht="14.25"/>
    <row r="4430" ht="14.25"/>
    <row r="4431" ht="14.25"/>
    <row r="4432" ht="14.25"/>
    <row r="4433" ht="14.25"/>
    <row r="4434" ht="14.25"/>
    <row r="4435" ht="14.25"/>
    <row r="4436" ht="14.25"/>
    <row r="4437" ht="14.25"/>
    <row r="4438" ht="14.25"/>
    <row r="4439" ht="14.25"/>
    <row r="4440" ht="14.25"/>
    <row r="4441" ht="14.25"/>
    <row r="4442" ht="14.25"/>
    <row r="4443" ht="14.25"/>
    <row r="4444" ht="14.25"/>
    <row r="4445" ht="14.25"/>
    <row r="4446" ht="14.25"/>
    <row r="4447" ht="14.25"/>
    <row r="4448" ht="14.25"/>
    <row r="4449" ht="14.25"/>
    <row r="4450" ht="14.25"/>
    <row r="4451" ht="14.25"/>
    <row r="4452" ht="14.25"/>
    <row r="4453" ht="14.25"/>
    <row r="4454" ht="14.25"/>
    <row r="4455" ht="14.25"/>
    <row r="4456" ht="14.25"/>
    <row r="4457" ht="14.25"/>
    <row r="4458" ht="14.25"/>
    <row r="4459" ht="14.25"/>
    <row r="4460" ht="14.25"/>
    <row r="4461" ht="14.25"/>
    <row r="4462" ht="14.25"/>
    <row r="4463" ht="14.25"/>
    <row r="4464" ht="14.25"/>
    <row r="4465" ht="14.25"/>
    <row r="4466" ht="14.25"/>
    <row r="4467" ht="14.25"/>
    <row r="4468" ht="14.25"/>
    <row r="4469" ht="14.25"/>
    <row r="4470" ht="14.25"/>
    <row r="4471" ht="14.25"/>
    <row r="4472" ht="14.25"/>
    <row r="4473" ht="14.25"/>
    <row r="4474" ht="14.25"/>
    <row r="4475" ht="14.25"/>
    <row r="4476" ht="14.25"/>
    <row r="4477" ht="14.25"/>
    <row r="4478" ht="14.25"/>
    <row r="4479" ht="14.25"/>
    <row r="4480" ht="14.25"/>
    <row r="4481" ht="14.25"/>
    <row r="4482" ht="14.25"/>
    <row r="4483" ht="14.25"/>
    <row r="4484" ht="14.25"/>
    <row r="4485" ht="14.25"/>
    <row r="4486" ht="14.25"/>
    <row r="4487" ht="14.25"/>
    <row r="4488" ht="14.25"/>
    <row r="4489" ht="14.25"/>
    <row r="4490" ht="14.25"/>
    <row r="4491" ht="14.25"/>
    <row r="4492" ht="14.25"/>
    <row r="4493" ht="14.25"/>
    <row r="4494" ht="14.25"/>
    <row r="4495" ht="14.25"/>
    <row r="4496" ht="14.25"/>
    <row r="4497" ht="14.25"/>
    <row r="4498" ht="14.25"/>
    <row r="4499" ht="14.25"/>
    <row r="4500" ht="14.25"/>
    <row r="4501" ht="14.25"/>
    <row r="4502" ht="14.25"/>
    <row r="4503" ht="14.25"/>
    <row r="4504" ht="14.25"/>
    <row r="4505" ht="14.25"/>
    <row r="4506" ht="14.25"/>
    <row r="4507" ht="14.25"/>
    <row r="4508" ht="14.25"/>
    <row r="4509" ht="14.25"/>
    <row r="4510" ht="14.25"/>
    <row r="4511" ht="14.25"/>
    <row r="4512" ht="14.25"/>
    <row r="4513" ht="14.25"/>
    <row r="4514" ht="14.25"/>
    <row r="4515" ht="14.25"/>
    <row r="4516" ht="14.25"/>
    <row r="4517" ht="14.25"/>
    <row r="4518" ht="14.25"/>
    <row r="4519" ht="14.25"/>
    <row r="4520" ht="14.25"/>
    <row r="4521" ht="14.25"/>
    <row r="4522" ht="14.25"/>
    <row r="4523" ht="14.25"/>
    <row r="4524" ht="14.25"/>
    <row r="4525" ht="14.25"/>
    <row r="4526" ht="14.25"/>
    <row r="4527" ht="14.25"/>
    <row r="4528" ht="14.25"/>
    <row r="4529" ht="14.25"/>
    <row r="4530" ht="14.25"/>
    <row r="4531" ht="14.25"/>
    <row r="4532" ht="14.25"/>
    <row r="4533" ht="14.25"/>
    <row r="4534" ht="14.25"/>
    <row r="4535" ht="14.25"/>
    <row r="4536" ht="14.25"/>
    <row r="4537" ht="14.25"/>
    <row r="4538" ht="14.25"/>
    <row r="4539" ht="14.25"/>
    <row r="4540" ht="14.25"/>
    <row r="4541" ht="14.25"/>
    <row r="4542" ht="14.25"/>
    <row r="4543" ht="14.25"/>
    <row r="4544" ht="14.25"/>
    <row r="4545" ht="14.25"/>
    <row r="4546" ht="14.25"/>
    <row r="4547" ht="14.25"/>
    <row r="4548" ht="14.25"/>
    <row r="4549" ht="14.25"/>
    <row r="4550" ht="14.25"/>
    <row r="4551" ht="14.25"/>
    <row r="4552" ht="14.25"/>
    <row r="4553" ht="14.25"/>
    <row r="4554" ht="14.25"/>
    <row r="4555" ht="14.25"/>
    <row r="4556" ht="14.25"/>
    <row r="4557" ht="14.25"/>
    <row r="4558" ht="14.25"/>
    <row r="4559" ht="14.25"/>
    <row r="4560" ht="14.25"/>
    <row r="4561" ht="14.25"/>
    <row r="4562" ht="14.25"/>
    <row r="4563" ht="14.25"/>
    <row r="4564" ht="14.25"/>
    <row r="4565" ht="14.25"/>
    <row r="4566" ht="14.25"/>
    <row r="4567" ht="14.25"/>
    <row r="4568" ht="14.25"/>
    <row r="4569" ht="14.25"/>
    <row r="4570" ht="14.25"/>
    <row r="4571" ht="14.25"/>
    <row r="4572" ht="14.25"/>
    <row r="4573" ht="14.25"/>
    <row r="4574" ht="14.25"/>
    <row r="4575" ht="14.25"/>
    <row r="4576" ht="14.25"/>
    <row r="4577" ht="14.25"/>
    <row r="4578" ht="14.25"/>
    <row r="4579" ht="14.25"/>
    <row r="4580" ht="14.25"/>
    <row r="4581" ht="14.25"/>
    <row r="4582" ht="14.25"/>
    <row r="4583" ht="14.25"/>
    <row r="4584" ht="14.25"/>
    <row r="4585" ht="14.25"/>
    <row r="4586" ht="14.25"/>
    <row r="4587" ht="14.25"/>
    <row r="4588" ht="14.25"/>
    <row r="4589" ht="14.25"/>
    <row r="4590" ht="14.25"/>
    <row r="4591" ht="14.25"/>
    <row r="4592" ht="14.25"/>
    <row r="4593" ht="14.25"/>
    <row r="4594" ht="14.25"/>
    <row r="4595" ht="14.25"/>
    <row r="4596" ht="14.25"/>
    <row r="4597" ht="14.25"/>
    <row r="4598" ht="14.25"/>
    <row r="4599" ht="14.25"/>
    <row r="4600" ht="14.25"/>
    <row r="4601" ht="14.25"/>
    <row r="4602" ht="14.25"/>
    <row r="4603" ht="14.25"/>
    <row r="4604" ht="14.25"/>
    <row r="4605" ht="14.25"/>
    <row r="4606" ht="14.25"/>
    <row r="4607" ht="14.25"/>
    <row r="4608" ht="14.25"/>
    <row r="4609" ht="14.25"/>
    <row r="4610" ht="14.25"/>
    <row r="4611" ht="14.25"/>
    <row r="4612" ht="14.25"/>
    <row r="4613" ht="14.25"/>
    <row r="4614" ht="14.25"/>
    <row r="4615" ht="14.25"/>
    <row r="4616" ht="14.25"/>
    <row r="4617" ht="14.25"/>
    <row r="4618" ht="14.25"/>
    <row r="4619" ht="14.25"/>
    <row r="4620" ht="14.25"/>
    <row r="4621" ht="14.25"/>
    <row r="4622" ht="14.25"/>
    <row r="4623" ht="14.25"/>
    <row r="4624" ht="14.25"/>
    <row r="4625" ht="14.25"/>
    <row r="4626" ht="14.25"/>
    <row r="4627" ht="14.25"/>
    <row r="4628" ht="14.25"/>
    <row r="4629" ht="14.25"/>
    <row r="4630" ht="14.25"/>
    <row r="4631" ht="14.25"/>
    <row r="4632" ht="14.25"/>
    <row r="4633" ht="14.25"/>
    <row r="4634" ht="14.25"/>
    <row r="4635" ht="14.25"/>
    <row r="4636" ht="14.25"/>
    <row r="4637" ht="14.25"/>
    <row r="4638" ht="14.25"/>
    <row r="4639" ht="14.25"/>
    <row r="4640" ht="14.25"/>
    <row r="4641" ht="14.25"/>
    <row r="4642" ht="14.25"/>
    <row r="4643" ht="14.25"/>
    <row r="4644" ht="14.25"/>
    <row r="4645" ht="14.25"/>
    <row r="4646" ht="14.25"/>
    <row r="4647" ht="14.25"/>
    <row r="4648" ht="14.25"/>
    <row r="4649" ht="14.25"/>
    <row r="4650" ht="14.25"/>
    <row r="4651" ht="14.25"/>
    <row r="4652" ht="14.25"/>
    <row r="4653" ht="14.25"/>
    <row r="4654" ht="14.25"/>
    <row r="4655" ht="14.25"/>
    <row r="4656" ht="14.25"/>
    <row r="4657" ht="14.25"/>
    <row r="4658" ht="14.25"/>
    <row r="4659" ht="14.25"/>
    <row r="4660" ht="14.25"/>
    <row r="4661" ht="14.25"/>
    <row r="4662" ht="14.25"/>
    <row r="4663" ht="14.25"/>
    <row r="4664" ht="14.25"/>
    <row r="4665" ht="14.25"/>
    <row r="4666" ht="14.25"/>
    <row r="4667" ht="14.25"/>
    <row r="4668" ht="14.25"/>
    <row r="4669" ht="14.25"/>
    <row r="4670" ht="14.25"/>
    <row r="4671" ht="14.25"/>
    <row r="4672" ht="14.25"/>
    <row r="4673" ht="14.25"/>
    <row r="4674" ht="14.25"/>
    <row r="4675" ht="14.25"/>
    <row r="4676" ht="14.25"/>
    <row r="4677" ht="14.25"/>
    <row r="4678" ht="14.25"/>
    <row r="4679" ht="14.25"/>
    <row r="4680" ht="14.25"/>
    <row r="4681" ht="14.25"/>
    <row r="4682" ht="14.25"/>
    <row r="4683" ht="14.25"/>
    <row r="4684" ht="14.25"/>
    <row r="4685" ht="14.25"/>
    <row r="4686" ht="14.25"/>
    <row r="4687" ht="14.25"/>
    <row r="4688" ht="14.25"/>
    <row r="4689" ht="14.25"/>
    <row r="4690" ht="14.25"/>
    <row r="4691" ht="14.25"/>
    <row r="4692" ht="14.25"/>
    <row r="4693" ht="14.25"/>
    <row r="4694" ht="14.25"/>
    <row r="4695" ht="14.25"/>
    <row r="4696" ht="14.25"/>
    <row r="4697" ht="14.25"/>
    <row r="4698" ht="14.25"/>
    <row r="4699" ht="14.25"/>
    <row r="4700" ht="14.25"/>
    <row r="4701" ht="14.25"/>
    <row r="4702" ht="14.25"/>
    <row r="4703" ht="14.25"/>
    <row r="4704" ht="14.25"/>
    <row r="4705" ht="14.25"/>
    <row r="4706" ht="14.25"/>
    <row r="4707" ht="14.25"/>
    <row r="4708" ht="14.25"/>
    <row r="4709" ht="14.25"/>
    <row r="4710" ht="14.25"/>
    <row r="4711" ht="14.25"/>
    <row r="4712" ht="14.25"/>
    <row r="4713" ht="14.25"/>
    <row r="4714" ht="14.25"/>
    <row r="4715" ht="14.25"/>
    <row r="4716" ht="14.25"/>
    <row r="4717" ht="14.25"/>
    <row r="4718" ht="14.25"/>
    <row r="4719" ht="14.25"/>
    <row r="4720" ht="14.25"/>
    <row r="4721" ht="14.25"/>
    <row r="4722" ht="14.25"/>
    <row r="4723" ht="14.25"/>
    <row r="4724" ht="14.25"/>
    <row r="4725" ht="14.25"/>
    <row r="4726" ht="14.25"/>
    <row r="4727" ht="14.25"/>
    <row r="4728" ht="14.25"/>
    <row r="4729" ht="14.25"/>
    <row r="4730" ht="14.25"/>
    <row r="4731" ht="14.25"/>
    <row r="4732" ht="14.25"/>
    <row r="4733" ht="14.25"/>
    <row r="4734" ht="14.25"/>
    <row r="4735" ht="14.25"/>
    <row r="4736" ht="14.25"/>
    <row r="4737" ht="14.25"/>
    <row r="4738" ht="14.25"/>
    <row r="4739" ht="14.25"/>
    <row r="4740" ht="14.25"/>
    <row r="4741" ht="14.25"/>
    <row r="4742" ht="14.25"/>
    <row r="4743" ht="14.25"/>
    <row r="4744" ht="14.25"/>
    <row r="4745" ht="14.25"/>
    <row r="4746" ht="14.25"/>
    <row r="4747" ht="14.25"/>
    <row r="4748" ht="14.25"/>
    <row r="4749" ht="14.25"/>
    <row r="4750" ht="14.25"/>
    <row r="4751" ht="14.25"/>
    <row r="4752" ht="14.25"/>
    <row r="4753" ht="14.25"/>
    <row r="4754" ht="14.25"/>
    <row r="4755" ht="14.25"/>
    <row r="4756" ht="14.25"/>
    <row r="4757" ht="14.25"/>
    <row r="4758" ht="14.25"/>
    <row r="4759" ht="14.25"/>
    <row r="4760" ht="14.25"/>
    <row r="4761" ht="14.25"/>
    <row r="4762" ht="14.25"/>
    <row r="4763" ht="14.25"/>
    <row r="4764" ht="14.25"/>
    <row r="4765" ht="14.25"/>
    <row r="4766" ht="14.25"/>
    <row r="4767" ht="14.25"/>
    <row r="4768" ht="14.25"/>
    <row r="4769" ht="14.25"/>
    <row r="4770" ht="14.25"/>
    <row r="4771" ht="14.25"/>
    <row r="4772" ht="14.25"/>
    <row r="4773" ht="14.25"/>
    <row r="4774" ht="14.25"/>
    <row r="4775" ht="14.25"/>
    <row r="4776" ht="14.25"/>
    <row r="4777" ht="14.25"/>
    <row r="4778" ht="14.25"/>
    <row r="4779" ht="14.25"/>
    <row r="4780" ht="14.25"/>
    <row r="4781" ht="14.25"/>
    <row r="4782" ht="14.25"/>
    <row r="4783" ht="14.25"/>
    <row r="4784" ht="14.25"/>
    <row r="4785" ht="14.25"/>
    <row r="4786" ht="14.25"/>
    <row r="4787" ht="14.25"/>
    <row r="4788" ht="14.25"/>
    <row r="4789" ht="14.25"/>
    <row r="4790" ht="14.25"/>
    <row r="4791" ht="14.25"/>
    <row r="4792" ht="14.25"/>
    <row r="4793" ht="14.25"/>
    <row r="4794" ht="14.25"/>
    <row r="4795" ht="14.25"/>
    <row r="4796" ht="14.25"/>
    <row r="4797" ht="14.25"/>
    <row r="4798" ht="14.25"/>
    <row r="4799" ht="14.25"/>
    <row r="4800" ht="14.25"/>
    <row r="4801" ht="14.25"/>
    <row r="4802" ht="14.25"/>
    <row r="4803" ht="14.25"/>
    <row r="4804" ht="14.25"/>
    <row r="4805" ht="14.25"/>
    <row r="4806" ht="14.25"/>
    <row r="4807" ht="14.25"/>
    <row r="4808" ht="14.25"/>
    <row r="4809" ht="14.25"/>
    <row r="4810" ht="14.25"/>
    <row r="4811" ht="14.25"/>
    <row r="4812" ht="14.25"/>
    <row r="4813" ht="14.25"/>
    <row r="4814" ht="14.25"/>
    <row r="4815" ht="14.25"/>
    <row r="4816" ht="14.25"/>
    <row r="4817" ht="14.25"/>
    <row r="4818" ht="14.25"/>
    <row r="4819" ht="14.25"/>
    <row r="4820" ht="14.25"/>
    <row r="4821" ht="14.25"/>
    <row r="4822" ht="14.25"/>
    <row r="4823" ht="14.25"/>
    <row r="4824" ht="14.25"/>
    <row r="4825" ht="14.25"/>
    <row r="4826" ht="14.25"/>
    <row r="4827" ht="14.25"/>
    <row r="4828" ht="14.25"/>
    <row r="4829" ht="14.25"/>
    <row r="4830" ht="14.25"/>
    <row r="4831" ht="14.25"/>
    <row r="4832" ht="14.25"/>
    <row r="4833" ht="14.25"/>
    <row r="4834" ht="14.25"/>
    <row r="4835" ht="14.25"/>
    <row r="4836" ht="14.25"/>
    <row r="4837" ht="14.25"/>
    <row r="4838" ht="14.25"/>
    <row r="4839" ht="14.25"/>
    <row r="4840" ht="14.25"/>
    <row r="4841" ht="14.25"/>
    <row r="4842" ht="14.25"/>
    <row r="4843" ht="14.25"/>
    <row r="4844" ht="14.25"/>
    <row r="4845" ht="14.25"/>
    <row r="4846" ht="14.25"/>
    <row r="4847" ht="14.25"/>
    <row r="4848" ht="14.25"/>
    <row r="4849" ht="14.25"/>
    <row r="4850" ht="14.25"/>
    <row r="4851" ht="14.25"/>
    <row r="4852" ht="14.25"/>
    <row r="4853" ht="14.25"/>
    <row r="4854" ht="14.25"/>
    <row r="4855" ht="14.25"/>
    <row r="4856" ht="14.25"/>
    <row r="4857" ht="14.25"/>
    <row r="4858" ht="14.25"/>
    <row r="4859" ht="14.25"/>
    <row r="4860" ht="14.25"/>
    <row r="4861" ht="14.25"/>
    <row r="4862" ht="14.25"/>
    <row r="4863" ht="14.25"/>
    <row r="4864" ht="14.25"/>
    <row r="4865" ht="14.25"/>
    <row r="4866" ht="14.25"/>
    <row r="4867" ht="14.25"/>
    <row r="4868" ht="14.25"/>
    <row r="4869" ht="14.25"/>
    <row r="4870" ht="14.25"/>
    <row r="4871" ht="14.25"/>
    <row r="4872" ht="14.25"/>
    <row r="4873" ht="14.25"/>
    <row r="4874" ht="14.25"/>
    <row r="4875" ht="14.25"/>
    <row r="4876" ht="14.25"/>
    <row r="4877" ht="14.25"/>
    <row r="4878" ht="14.25"/>
    <row r="4879" ht="14.25"/>
    <row r="4880" ht="14.25"/>
    <row r="4881" ht="14.25"/>
    <row r="4882" ht="14.25"/>
    <row r="4883" ht="14.25"/>
    <row r="4884" ht="14.25"/>
    <row r="4885" ht="14.25"/>
    <row r="4886" ht="14.25"/>
    <row r="4887" ht="14.25"/>
    <row r="4888" ht="14.25"/>
    <row r="4889" ht="14.25"/>
    <row r="4890" ht="14.25"/>
    <row r="4891" ht="14.25"/>
    <row r="4892" ht="14.25"/>
    <row r="4893" ht="14.25"/>
    <row r="4894" ht="14.25"/>
    <row r="4895" ht="14.25"/>
    <row r="4896" ht="14.25"/>
    <row r="4897" ht="14.25"/>
    <row r="4898" ht="14.25"/>
    <row r="4899" ht="14.25"/>
    <row r="4900" ht="14.25"/>
    <row r="4901" ht="14.25"/>
    <row r="4902" ht="14.25"/>
    <row r="4903" ht="14.25"/>
    <row r="4904" ht="14.25"/>
    <row r="4905" ht="14.25"/>
    <row r="4906" ht="14.25"/>
    <row r="4907" ht="14.25"/>
    <row r="4908" ht="14.25"/>
    <row r="4909" ht="14.25"/>
    <row r="4910" ht="14.25"/>
    <row r="4911" ht="14.25"/>
    <row r="4912" ht="14.25"/>
    <row r="4913" ht="14.25"/>
    <row r="4914" ht="14.25"/>
    <row r="4915" ht="14.25"/>
    <row r="4916" ht="14.25"/>
    <row r="4917" ht="14.25"/>
    <row r="4918" ht="14.25"/>
    <row r="4919" ht="14.25"/>
    <row r="4920" ht="14.25"/>
    <row r="4921" ht="14.25"/>
    <row r="4922" ht="14.25"/>
    <row r="4923" ht="14.25"/>
    <row r="4924" ht="14.25"/>
    <row r="4925" ht="14.25"/>
    <row r="4926" ht="14.25"/>
    <row r="4927" ht="14.25"/>
    <row r="4928" ht="14.25"/>
    <row r="4929" ht="14.25"/>
    <row r="4930" ht="14.25"/>
    <row r="4931" ht="14.25"/>
    <row r="4932" ht="14.25"/>
    <row r="4933" ht="14.25"/>
    <row r="4934" ht="14.25"/>
    <row r="4935" ht="14.25"/>
    <row r="4936" ht="14.25"/>
    <row r="4937" ht="14.25"/>
    <row r="4938" ht="14.25"/>
    <row r="4939" ht="14.25"/>
    <row r="4940" ht="14.25"/>
    <row r="4941" ht="14.25"/>
    <row r="4942" ht="14.25"/>
    <row r="4943" ht="14.25"/>
    <row r="4944" ht="14.25"/>
    <row r="4945" ht="14.25"/>
    <row r="4946" ht="14.25"/>
    <row r="4947" ht="14.25"/>
    <row r="4948" ht="14.25"/>
    <row r="4949" ht="14.25"/>
    <row r="4950" ht="14.25"/>
    <row r="4951" ht="14.25"/>
    <row r="4952" ht="14.25"/>
    <row r="4953" ht="14.25"/>
    <row r="4954" ht="14.25"/>
    <row r="4955" ht="14.25"/>
    <row r="4956" ht="14.25"/>
    <row r="4957" ht="14.25"/>
    <row r="4958" ht="14.25"/>
    <row r="4959" ht="14.25"/>
    <row r="4960" ht="14.25"/>
    <row r="4961" ht="14.25"/>
    <row r="4962" ht="14.25"/>
    <row r="4963" ht="14.25"/>
    <row r="4964" ht="14.25"/>
    <row r="4965" ht="14.25"/>
    <row r="4966" ht="14.25"/>
    <row r="4967" ht="14.25"/>
    <row r="4968" ht="14.25"/>
    <row r="4969" ht="14.25"/>
    <row r="4970" ht="14.25"/>
    <row r="4971" ht="14.25"/>
    <row r="4972" ht="14.25"/>
    <row r="4973" ht="14.25"/>
    <row r="4974" ht="14.25"/>
    <row r="4975" ht="14.25"/>
    <row r="4976" ht="14.25"/>
    <row r="4977" ht="14.25"/>
    <row r="4978" ht="14.25"/>
    <row r="4979" ht="14.25"/>
    <row r="4980" ht="14.25"/>
    <row r="4981" ht="14.25"/>
    <row r="4982" ht="14.25"/>
    <row r="4983" ht="14.25"/>
    <row r="4984" ht="14.25"/>
    <row r="4985" ht="14.25"/>
    <row r="4986" ht="14.25"/>
    <row r="4987" ht="14.25"/>
    <row r="4988" ht="14.25"/>
    <row r="4989" ht="14.25"/>
    <row r="4990" ht="14.25"/>
    <row r="4991" ht="14.25"/>
    <row r="4992" ht="14.25"/>
    <row r="4993" ht="14.25"/>
    <row r="4994" ht="14.25"/>
    <row r="4995" ht="14.25"/>
    <row r="4996" ht="14.25"/>
    <row r="4997" ht="14.25"/>
    <row r="4998" ht="14.25"/>
    <row r="4999" ht="14.25"/>
    <row r="5000" ht="14.25"/>
    <row r="5001" ht="14.25"/>
    <row r="5002" ht="14.25"/>
    <row r="5003" ht="14.25"/>
    <row r="5004" ht="14.25"/>
    <row r="5005" ht="14.25"/>
    <row r="5006" ht="14.25"/>
    <row r="5007" ht="14.25"/>
    <row r="5008" ht="14.25"/>
    <row r="5009" ht="14.25"/>
    <row r="5010" ht="14.25"/>
    <row r="5011" ht="14.25"/>
    <row r="5012" ht="14.25"/>
    <row r="5013" ht="14.25"/>
    <row r="5014" ht="14.25"/>
    <row r="5015" ht="14.25"/>
    <row r="5016" ht="14.25"/>
    <row r="5017" ht="14.25"/>
    <row r="5018" ht="14.25"/>
    <row r="5019" ht="14.25"/>
    <row r="5020" ht="14.25"/>
    <row r="5021" ht="14.25"/>
    <row r="5022" ht="14.25"/>
    <row r="5023" ht="14.25"/>
    <row r="5024" ht="14.25"/>
    <row r="5025" ht="14.25"/>
    <row r="5026" ht="14.25"/>
    <row r="5027" ht="14.25"/>
    <row r="5028" ht="14.25"/>
    <row r="5029" ht="14.25"/>
    <row r="5030" ht="14.25"/>
    <row r="5031" ht="14.25"/>
    <row r="5032" ht="14.25"/>
    <row r="5033" ht="14.25"/>
    <row r="5034" ht="14.25"/>
    <row r="5035" ht="14.25"/>
    <row r="5036" ht="14.25"/>
    <row r="5037" ht="14.25"/>
    <row r="5038" ht="14.25"/>
    <row r="5039" ht="14.25"/>
    <row r="5040" ht="14.25"/>
    <row r="5041" ht="14.25"/>
    <row r="5042" ht="14.25"/>
    <row r="5043" ht="14.25"/>
    <row r="5044" ht="14.25"/>
    <row r="5045" ht="14.25"/>
    <row r="5046" ht="14.25"/>
    <row r="5047" ht="14.25"/>
    <row r="5048" ht="14.25"/>
    <row r="5049" ht="14.25"/>
    <row r="5050" ht="14.25"/>
    <row r="5051" ht="14.25"/>
    <row r="5052" ht="14.25"/>
    <row r="5053" ht="14.25"/>
    <row r="5054" ht="14.25"/>
    <row r="5055" ht="14.25"/>
    <row r="5056" ht="14.25"/>
    <row r="5057" ht="14.25"/>
    <row r="5058" ht="14.25"/>
    <row r="5059" ht="14.25"/>
    <row r="5060" ht="14.25"/>
    <row r="5061" ht="14.25"/>
    <row r="5062" ht="14.25"/>
    <row r="5063" ht="14.25"/>
    <row r="5064" ht="14.25"/>
    <row r="5065" ht="14.25"/>
    <row r="5066" ht="14.25"/>
    <row r="5067" ht="14.25"/>
    <row r="5068" ht="14.25"/>
    <row r="5069" ht="14.25"/>
    <row r="5070" ht="14.25"/>
    <row r="5071" ht="14.25"/>
    <row r="5072" ht="14.25"/>
    <row r="5073" ht="14.25"/>
    <row r="5074" ht="14.25"/>
    <row r="5075" ht="14.25"/>
    <row r="5076" ht="14.25"/>
    <row r="5077" ht="14.25"/>
    <row r="5078" ht="14.25"/>
    <row r="5079" ht="14.25"/>
    <row r="5080" ht="14.25"/>
    <row r="5081" ht="14.25"/>
    <row r="5082" ht="14.25"/>
    <row r="5083" ht="14.25"/>
    <row r="5084" ht="14.25"/>
    <row r="5085" ht="14.25"/>
    <row r="5086" ht="14.25"/>
    <row r="5087" ht="14.25"/>
    <row r="5088" ht="14.25"/>
    <row r="5089" ht="14.25"/>
    <row r="5090" ht="14.25"/>
    <row r="5091" ht="14.25"/>
    <row r="5092" ht="14.25"/>
    <row r="5093" ht="14.25"/>
    <row r="5094" ht="14.25"/>
    <row r="5095" ht="14.25"/>
    <row r="5096" ht="14.25"/>
    <row r="5097" ht="14.25"/>
    <row r="5098" ht="14.25"/>
    <row r="5099" ht="14.25"/>
    <row r="5100" ht="14.25"/>
    <row r="5101" ht="14.25"/>
    <row r="5102" ht="14.25"/>
    <row r="5103" ht="14.25"/>
    <row r="5104" ht="14.25"/>
    <row r="5105" ht="14.25"/>
    <row r="5106" ht="14.25"/>
    <row r="5107" ht="14.25"/>
    <row r="5108" ht="14.25"/>
    <row r="5109" ht="14.25"/>
    <row r="5110" ht="14.25"/>
    <row r="5111" ht="14.25"/>
    <row r="5112" ht="14.25"/>
    <row r="5113" ht="14.25"/>
    <row r="5114" ht="14.25"/>
    <row r="5115" ht="14.25"/>
    <row r="5116" ht="14.25"/>
    <row r="5117" ht="14.25"/>
    <row r="5118" ht="14.25"/>
    <row r="5119" ht="14.25"/>
    <row r="5120" ht="14.25"/>
    <row r="5121" ht="14.25"/>
    <row r="5122" ht="14.25"/>
    <row r="5123" ht="14.25"/>
    <row r="5124" ht="14.25"/>
    <row r="5125" ht="14.25"/>
    <row r="5126" ht="14.25"/>
    <row r="5127" ht="14.25"/>
    <row r="5128" ht="14.25"/>
    <row r="5129" ht="14.25"/>
    <row r="5130" ht="14.25"/>
    <row r="5131" ht="14.25"/>
    <row r="5132" ht="14.25"/>
    <row r="5133" ht="14.25"/>
    <row r="5134" ht="14.25"/>
    <row r="5135" ht="14.25"/>
    <row r="5136" ht="14.25"/>
    <row r="5137" ht="14.25"/>
    <row r="5138" ht="14.25"/>
    <row r="5139" ht="14.25"/>
    <row r="5140" ht="14.25"/>
    <row r="5141" ht="14.25"/>
    <row r="5142" ht="14.25"/>
    <row r="5143" ht="14.25"/>
    <row r="5144" ht="14.25"/>
    <row r="5145" ht="14.25"/>
    <row r="5146" ht="14.25"/>
    <row r="5147" ht="14.25"/>
    <row r="5148" ht="14.25"/>
    <row r="5149" ht="14.25"/>
    <row r="5150" ht="14.25"/>
    <row r="5151" ht="14.25"/>
    <row r="5152" ht="14.25"/>
    <row r="5153" ht="14.25"/>
    <row r="5154" ht="14.25"/>
    <row r="5155" ht="14.25"/>
    <row r="5156" ht="14.25"/>
    <row r="5157" ht="14.25"/>
    <row r="5158" ht="14.25"/>
    <row r="5159" ht="14.25"/>
    <row r="5160" ht="14.25"/>
    <row r="5161" ht="14.25"/>
    <row r="5162" ht="14.25"/>
    <row r="5163" ht="14.25"/>
    <row r="5164" ht="14.25"/>
    <row r="5165" ht="14.25"/>
    <row r="5166" ht="14.25"/>
    <row r="5167" ht="14.25"/>
    <row r="5168" ht="14.25"/>
    <row r="5169" ht="14.25"/>
    <row r="5170" ht="14.25"/>
    <row r="5171" ht="14.25"/>
    <row r="5172" ht="14.25"/>
    <row r="5173" ht="14.25"/>
    <row r="5174" ht="14.25"/>
    <row r="5175" ht="14.25"/>
    <row r="5176" ht="14.25"/>
    <row r="5177" ht="14.25"/>
    <row r="5178" ht="14.25"/>
    <row r="5179" ht="14.25"/>
    <row r="5180" ht="14.25"/>
    <row r="5181" ht="14.25"/>
    <row r="5182" ht="14.25"/>
    <row r="5183" ht="14.25"/>
    <row r="5184" ht="14.25"/>
    <row r="5185" ht="14.25"/>
    <row r="5186" ht="14.25"/>
    <row r="5187" ht="14.25"/>
    <row r="5188" ht="14.25"/>
    <row r="5189" ht="14.25"/>
    <row r="5190" ht="14.25"/>
    <row r="5191" ht="14.25"/>
    <row r="5192" ht="14.25"/>
    <row r="5193" ht="14.25"/>
    <row r="5194" ht="14.25"/>
    <row r="5195" ht="14.25"/>
    <row r="5196" ht="14.25"/>
    <row r="5197" ht="14.25"/>
    <row r="5198" ht="14.25"/>
    <row r="5199" ht="14.25"/>
    <row r="5200" ht="14.25"/>
    <row r="5201" ht="14.25"/>
    <row r="5202" ht="14.25"/>
    <row r="5203" ht="14.25"/>
    <row r="5204" ht="14.25"/>
    <row r="5205" ht="14.25"/>
    <row r="5206" ht="14.25"/>
    <row r="5207" ht="14.25"/>
    <row r="5208" ht="14.25"/>
    <row r="5209" ht="14.25"/>
    <row r="5210" ht="14.25"/>
    <row r="5211" ht="14.25"/>
    <row r="5212" ht="14.25"/>
    <row r="5213" ht="14.25"/>
    <row r="5214" ht="14.25"/>
    <row r="5215" ht="14.25"/>
    <row r="5216" ht="14.25"/>
    <row r="5217" ht="14.25"/>
    <row r="5218" ht="14.25"/>
    <row r="5219" ht="14.25"/>
    <row r="5220" ht="14.25"/>
    <row r="5221" ht="14.25"/>
    <row r="5222" ht="14.25"/>
    <row r="5223" ht="14.25"/>
    <row r="5224" ht="14.25"/>
    <row r="5225" ht="14.25"/>
    <row r="5226" ht="14.25"/>
    <row r="5227" ht="14.25"/>
    <row r="5228" ht="14.25"/>
    <row r="5229" ht="14.25"/>
    <row r="5230" ht="14.25"/>
    <row r="5231" ht="14.25"/>
    <row r="5232" ht="14.25"/>
    <row r="5233" ht="14.25"/>
    <row r="5234" ht="14.25"/>
    <row r="5235" ht="14.25"/>
    <row r="5236" ht="14.25"/>
    <row r="5237" ht="14.25"/>
    <row r="5238" ht="14.25"/>
    <row r="5239" ht="14.25"/>
    <row r="5240" ht="14.25"/>
    <row r="5241" ht="14.25"/>
    <row r="5242" ht="14.25"/>
    <row r="5243" ht="14.25"/>
    <row r="5244" ht="14.25"/>
    <row r="5245" ht="14.25"/>
    <row r="5246" ht="14.25"/>
    <row r="5247" ht="14.25"/>
    <row r="5248" ht="14.25"/>
    <row r="5249" ht="14.25"/>
    <row r="5250" ht="14.25"/>
    <row r="5251" ht="14.25"/>
    <row r="5252" ht="14.25"/>
    <row r="5253" ht="14.25"/>
    <row r="5254" ht="14.25"/>
    <row r="5255" ht="14.25"/>
    <row r="5256" ht="14.25"/>
    <row r="5257" ht="14.25"/>
    <row r="5258" ht="14.25"/>
    <row r="5259" ht="14.25"/>
    <row r="5260" ht="14.25"/>
    <row r="5261" ht="14.25"/>
    <row r="5262" ht="14.25"/>
    <row r="5263" ht="14.25"/>
    <row r="5264" ht="14.25"/>
    <row r="5265" ht="14.25"/>
    <row r="5266" ht="14.25"/>
    <row r="5267" ht="14.25"/>
    <row r="5268" ht="14.25"/>
    <row r="5269" ht="14.25"/>
    <row r="5270" ht="14.25"/>
    <row r="5271" ht="14.25"/>
    <row r="5272" ht="14.25"/>
    <row r="5273" ht="14.25"/>
    <row r="5274" ht="14.25"/>
    <row r="5275" ht="14.25"/>
    <row r="5276" ht="14.25"/>
    <row r="5277" ht="14.25"/>
    <row r="5278" ht="14.25"/>
    <row r="5279" ht="14.25"/>
    <row r="5280" ht="14.25"/>
    <row r="5281" ht="14.25"/>
    <row r="5282" ht="14.25"/>
    <row r="5283" ht="14.25"/>
    <row r="5284" ht="14.25"/>
    <row r="5285" ht="14.25"/>
    <row r="5286" ht="14.25"/>
    <row r="5287" ht="14.25"/>
    <row r="5288" ht="14.25"/>
    <row r="5289" ht="14.25"/>
    <row r="5290" ht="14.25"/>
    <row r="5291" ht="14.25"/>
    <row r="5292" ht="14.25"/>
    <row r="5293" ht="14.25"/>
    <row r="5294" ht="14.25"/>
    <row r="5295" ht="14.25"/>
    <row r="5296" ht="14.25"/>
    <row r="5297" ht="14.25"/>
    <row r="5298" ht="14.25"/>
    <row r="5299" ht="14.25"/>
    <row r="5300" ht="14.25"/>
    <row r="5301" ht="14.25"/>
    <row r="5302" ht="14.25"/>
    <row r="5303" ht="14.25"/>
    <row r="5304" ht="14.25"/>
    <row r="5305" ht="14.25"/>
    <row r="5306" ht="14.25"/>
    <row r="5307" ht="14.25"/>
    <row r="5308" ht="14.25"/>
    <row r="5309" ht="14.25"/>
    <row r="5310" ht="14.25"/>
    <row r="5311" ht="14.25"/>
    <row r="5312" ht="14.25"/>
    <row r="5313" ht="14.25"/>
    <row r="5314" ht="14.25"/>
    <row r="5315" ht="14.25"/>
    <row r="5316" ht="14.25"/>
    <row r="5317" ht="14.25"/>
    <row r="5318" ht="14.25"/>
    <row r="5319" ht="14.25"/>
    <row r="5320" ht="14.25"/>
    <row r="5321" ht="14.25"/>
    <row r="5322" ht="14.25"/>
    <row r="5323" ht="14.25"/>
    <row r="5324" ht="14.25"/>
    <row r="5325" ht="14.25"/>
    <row r="5326" ht="14.25"/>
    <row r="5327" ht="14.25"/>
    <row r="5328" ht="14.25"/>
    <row r="5329" ht="14.25"/>
    <row r="5330" ht="14.25"/>
    <row r="5331" ht="14.25"/>
    <row r="5332" ht="14.25"/>
    <row r="5333" ht="14.25"/>
    <row r="5334" ht="14.25"/>
    <row r="5335" ht="14.25"/>
    <row r="5336" ht="14.25"/>
    <row r="5337" ht="14.25"/>
    <row r="5338" ht="14.25"/>
    <row r="5339" ht="14.25"/>
    <row r="5340" ht="14.25"/>
    <row r="5341" ht="14.25"/>
    <row r="5342" ht="14.25"/>
    <row r="5343" ht="14.25"/>
    <row r="5344" ht="14.25"/>
    <row r="5345" ht="14.25"/>
    <row r="5346" ht="14.25"/>
    <row r="5347" ht="14.25"/>
    <row r="5348" ht="14.25"/>
    <row r="5349" ht="14.25"/>
    <row r="5350" ht="14.25"/>
    <row r="5351" ht="14.25"/>
    <row r="5352" ht="14.25"/>
    <row r="5353" ht="14.25"/>
    <row r="5354" ht="14.25"/>
    <row r="5355" ht="14.25"/>
    <row r="5356" ht="14.25"/>
    <row r="5357" ht="14.25"/>
    <row r="5358" ht="14.25"/>
    <row r="5359" ht="14.25"/>
    <row r="5360" ht="14.25"/>
    <row r="5361" ht="14.25"/>
    <row r="5362" ht="14.25"/>
    <row r="5363" ht="14.25"/>
    <row r="5364" ht="14.25"/>
    <row r="5365" ht="14.25"/>
    <row r="5366" ht="14.25"/>
    <row r="5367" ht="14.25"/>
    <row r="5368" ht="14.25"/>
    <row r="5369" ht="14.25"/>
    <row r="5370" ht="14.25"/>
    <row r="5371" ht="14.25"/>
    <row r="5372" ht="14.25"/>
    <row r="5373" ht="14.25"/>
    <row r="5374" ht="14.25"/>
    <row r="5375" ht="14.25"/>
    <row r="5376" ht="14.25"/>
    <row r="5377" ht="14.25"/>
    <row r="5378" ht="14.25"/>
    <row r="5379" ht="14.25"/>
    <row r="5380" ht="14.25"/>
    <row r="5381" ht="14.25"/>
    <row r="5382" ht="14.25"/>
    <row r="5383" ht="14.25"/>
    <row r="5384" ht="14.25"/>
    <row r="5385" ht="14.25"/>
    <row r="5386" ht="14.25"/>
    <row r="5387" ht="14.25"/>
    <row r="5388" ht="14.25"/>
    <row r="5389" ht="14.25"/>
    <row r="5390" ht="14.25"/>
    <row r="5391" ht="14.25"/>
    <row r="5392" ht="14.25"/>
    <row r="5393" ht="14.25"/>
    <row r="5394" ht="14.25"/>
    <row r="5395" ht="14.25"/>
    <row r="5396" ht="14.25"/>
    <row r="5397" ht="14.25"/>
    <row r="5398" ht="14.25"/>
    <row r="5399" ht="14.25"/>
    <row r="5400" ht="14.25"/>
    <row r="5401" ht="14.25"/>
    <row r="5402" ht="14.25"/>
    <row r="5403" ht="14.25"/>
    <row r="5404" ht="14.25"/>
    <row r="5405" ht="14.25"/>
    <row r="5406" ht="14.25"/>
    <row r="5407" ht="14.25"/>
    <row r="5408" ht="14.25"/>
    <row r="5409" ht="14.25"/>
    <row r="5410" ht="14.25"/>
    <row r="5411" ht="14.25"/>
    <row r="5412" ht="14.25"/>
    <row r="5413" ht="14.25"/>
    <row r="5414" ht="14.25"/>
    <row r="5415" ht="14.25"/>
    <row r="5416" ht="14.25"/>
    <row r="5417" ht="14.25"/>
    <row r="5418" ht="14.25"/>
    <row r="5419" ht="14.25"/>
    <row r="5420" ht="14.25"/>
    <row r="5421" ht="14.25"/>
    <row r="5422" ht="14.25"/>
    <row r="5423" ht="14.25"/>
    <row r="5424" ht="14.25"/>
    <row r="5425" ht="14.25"/>
    <row r="5426" ht="14.25"/>
    <row r="5427" ht="14.25"/>
    <row r="5428" ht="14.25"/>
    <row r="5429" ht="14.25"/>
    <row r="5430" ht="14.25"/>
    <row r="5431" ht="14.25"/>
    <row r="5432" ht="14.25"/>
    <row r="5433" ht="14.25"/>
    <row r="5434" ht="14.25"/>
    <row r="5435" ht="14.25"/>
    <row r="5436" ht="14.25"/>
    <row r="5437" ht="14.25"/>
    <row r="5438" ht="14.25"/>
    <row r="5439" ht="14.25"/>
    <row r="5440" ht="14.25"/>
    <row r="5441" ht="14.25"/>
    <row r="5442" ht="14.25"/>
    <row r="5443" ht="14.25"/>
    <row r="5444" ht="14.25"/>
    <row r="5445" ht="14.25"/>
    <row r="5446" ht="14.25"/>
    <row r="5447" ht="14.25"/>
    <row r="5448" ht="14.25"/>
    <row r="5449" ht="14.25"/>
    <row r="5450" ht="14.25"/>
    <row r="5451" ht="14.25"/>
    <row r="5452" ht="14.25"/>
    <row r="5453" ht="14.25"/>
    <row r="5454" ht="14.25"/>
    <row r="5455" ht="14.25"/>
    <row r="5456" ht="14.25"/>
    <row r="5457" ht="14.25"/>
    <row r="5458" ht="14.25"/>
    <row r="5459" ht="14.25"/>
    <row r="5460" ht="14.25"/>
    <row r="5461" ht="14.25"/>
    <row r="5462" ht="14.25"/>
    <row r="5463" ht="14.25"/>
    <row r="5464" ht="14.25"/>
    <row r="5465" ht="14.25"/>
    <row r="5466" ht="14.25"/>
    <row r="5467" ht="14.25"/>
    <row r="5468" ht="14.25"/>
    <row r="5469" ht="14.25"/>
    <row r="5470" ht="14.25"/>
    <row r="5471" ht="14.25"/>
    <row r="5472" ht="14.25"/>
    <row r="5473" ht="14.25"/>
    <row r="5474" ht="14.25"/>
    <row r="5475" ht="14.25"/>
    <row r="5476" ht="14.25"/>
    <row r="5477" ht="14.25"/>
    <row r="5478" ht="14.25"/>
    <row r="5479" ht="14.25"/>
    <row r="5480" ht="14.25"/>
    <row r="5481" ht="14.25"/>
    <row r="5482" ht="14.25"/>
    <row r="5483" ht="14.25"/>
    <row r="5484" ht="14.25"/>
    <row r="5485" ht="14.25"/>
    <row r="5486" ht="14.25"/>
    <row r="5487" ht="14.25"/>
    <row r="5488" ht="14.25"/>
    <row r="5489" ht="14.25"/>
    <row r="5490" ht="14.25"/>
    <row r="5491" ht="14.25"/>
    <row r="5492" ht="14.25"/>
    <row r="5493" ht="14.25"/>
    <row r="5494" ht="14.25"/>
    <row r="5495" ht="14.25"/>
    <row r="5496" ht="14.25"/>
    <row r="5497" ht="14.25"/>
    <row r="5498" ht="14.25"/>
    <row r="5499" ht="14.25"/>
    <row r="5500" ht="14.25"/>
    <row r="5501" ht="14.25"/>
    <row r="5502" ht="14.25"/>
    <row r="5503" ht="14.25"/>
    <row r="5504" ht="14.25"/>
    <row r="5505" ht="14.25"/>
    <row r="5506" ht="14.25"/>
    <row r="5507" ht="14.25"/>
    <row r="5508" ht="14.25"/>
    <row r="5509" ht="14.25"/>
    <row r="5510" ht="14.25"/>
    <row r="5511" ht="14.25"/>
    <row r="5512" ht="14.25"/>
    <row r="5513" ht="14.25"/>
    <row r="5514" ht="14.25"/>
    <row r="5515" ht="14.25"/>
    <row r="5516" ht="14.25"/>
    <row r="5517" ht="14.25"/>
    <row r="5518" ht="14.25"/>
    <row r="5519" ht="14.25"/>
    <row r="5520" ht="14.25"/>
    <row r="5521" ht="14.25"/>
    <row r="5522" ht="14.25"/>
    <row r="5523" ht="14.25"/>
    <row r="5524" ht="14.25"/>
    <row r="5525" ht="14.25"/>
    <row r="5526" ht="14.25"/>
    <row r="5527" ht="14.25"/>
    <row r="5528" ht="14.25"/>
    <row r="5529" ht="14.25"/>
    <row r="5530" ht="14.25"/>
    <row r="5531" ht="14.25"/>
    <row r="5532" ht="14.25"/>
    <row r="5533" ht="14.25"/>
    <row r="5534" ht="14.25"/>
    <row r="5535" ht="14.25"/>
    <row r="5536" ht="14.25"/>
    <row r="5537" ht="14.25"/>
    <row r="5538" ht="14.25"/>
    <row r="5539" ht="14.25"/>
    <row r="5540" ht="14.25"/>
    <row r="5541" ht="14.25"/>
    <row r="5542" ht="14.25"/>
    <row r="5543" ht="14.25"/>
    <row r="5544" ht="14.25"/>
    <row r="5545" ht="14.25"/>
    <row r="5546" ht="14.25"/>
    <row r="5547" ht="14.25"/>
    <row r="5548" ht="14.25"/>
    <row r="5549" ht="14.25"/>
    <row r="5550" ht="14.25"/>
    <row r="5551" ht="14.25"/>
    <row r="5552" ht="14.25"/>
    <row r="5553" ht="14.25"/>
    <row r="5554" ht="14.25"/>
    <row r="5555" ht="14.25"/>
    <row r="5556" ht="14.25"/>
    <row r="5557" ht="14.25"/>
    <row r="5558" ht="14.25"/>
    <row r="5559" ht="14.25"/>
    <row r="5560" ht="14.25"/>
    <row r="5561" ht="14.25"/>
    <row r="5562" ht="14.25"/>
    <row r="5563" ht="14.25"/>
    <row r="5564" ht="14.25"/>
    <row r="5565" ht="14.25"/>
    <row r="5566" ht="14.25"/>
    <row r="5567" ht="14.25"/>
    <row r="5568" ht="14.25"/>
    <row r="5569" ht="14.25"/>
    <row r="5570" ht="14.25"/>
    <row r="5571" ht="14.25"/>
    <row r="5572" ht="14.25"/>
    <row r="5573" ht="14.25"/>
    <row r="5574" ht="14.25"/>
    <row r="5575" ht="14.25"/>
    <row r="5576" ht="14.25"/>
    <row r="5577" ht="14.25"/>
    <row r="5578" ht="14.25"/>
    <row r="5579" ht="14.25"/>
    <row r="5580" ht="14.25"/>
    <row r="5581" ht="14.25"/>
    <row r="5582" ht="14.25"/>
    <row r="5583" ht="14.25"/>
    <row r="5584" ht="14.25"/>
    <row r="5585" ht="14.25"/>
    <row r="5586" ht="14.25"/>
    <row r="5587" ht="14.25"/>
    <row r="5588" ht="14.25"/>
    <row r="5589" ht="14.25"/>
    <row r="5590" ht="14.25"/>
    <row r="5591" ht="14.25"/>
    <row r="5592" ht="14.25"/>
    <row r="5593" ht="14.25"/>
    <row r="5594" ht="14.25"/>
    <row r="5595" ht="14.25"/>
    <row r="5596" ht="14.25"/>
    <row r="5597" ht="14.25"/>
    <row r="5598" ht="14.25"/>
    <row r="5599" ht="14.25"/>
    <row r="5600" ht="14.25"/>
    <row r="5601" ht="14.25"/>
    <row r="5602" ht="14.25"/>
    <row r="5603" ht="14.25"/>
    <row r="5604" ht="14.25"/>
    <row r="5605" ht="14.25"/>
    <row r="5606" ht="14.25"/>
    <row r="5607" ht="14.25"/>
    <row r="5608" ht="14.25"/>
    <row r="5609" ht="14.25"/>
    <row r="5610" ht="14.25"/>
    <row r="5611" ht="14.25"/>
    <row r="5612" ht="14.25"/>
    <row r="5613" ht="14.25"/>
    <row r="5614" ht="14.25"/>
    <row r="5615" ht="14.25"/>
    <row r="5616" ht="14.25"/>
    <row r="5617" ht="14.25"/>
    <row r="5618" ht="14.25"/>
    <row r="5619" ht="14.25"/>
    <row r="5620" ht="14.25"/>
    <row r="5621" ht="14.25"/>
    <row r="5622" ht="14.25"/>
    <row r="5623" ht="14.25"/>
    <row r="5624" ht="14.25"/>
    <row r="5625" ht="14.25"/>
    <row r="5626" ht="14.25"/>
    <row r="5627" ht="14.25"/>
    <row r="5628" ht="14.25"/>
    <row r="5629" ht="14.25"/>
    <row r="5630" ht="14.25"/>
    <row r="5631" ht="14.25"/>
    <row r="5632" ht="14.25"/>
    <row r="5633" ht="14.25"/>
    <row r="5634" ht="14.25"/>
    <row r="5635" ht="14.25"/>
    <row r="5636" ht="14.25"/>
    <row r="5637" ht="14.25"/>
    <row r="5638" ht="14.25"/>
    <row r="5639" ht="14.25"/>
    <row r="5640" ht="14.25"/>
    <row r="5641" ht="14.25"/>
    <row r="5642" ht="14.25"/>
    <row r="5643" ht="14.25"/>
    <row r="5644" ht="14.25"/>
    <row r="5645" ht="14.25"/>
    <row r="5646" ht="14.25"/>
    <row r="5647" ht="14.25"/>
    <row r="5648" ht="14.25"/>
    <row r="5649" ht="14.25"/>
    <row r="5650" ht="14.25"/>
    <row r="5651" ht="14.25"/>
    <row r="5652" ht="14.25"/>
    <row r="5653" ht="14.25"/>
    <row r="5654" ht="14.25"/>
    <row r="5655" ht="14.25"/>
    <row r="5656" ht="14.25"/>
    <row r="5657" ht="14.25"/>
    <row r="5658" ht="14.25"/>
    <row r="5659" ht="14.25"/>
    <row r="5660" ht="14.25"/>
    <row r="5661" ht="14.25"/>
    <row r="5662" ht="14.25"/>
    <row r="5663" ht="14.25"/>
    <row r="5664" ht="14.25"/>
    <row r="5665" ht="14.25"/>
    <row r="5666" ht="14.25"/>
    <row r="5667" ht="14.25"/>
    <row r="5668" ht="14.25"/>
    <row r="5669" ht="14.25"/>
    <row r="5670" ht="14.25"/>
    <row r="5671" ht="14.25"/>
    <row r="5672" ht="14.25"/>
    <row r="5673" ht="14.25"/>
    <row r="5674" ht="14.25"/>
    <row r="5675" ht="14.25"/>
    <row r="5676" ht="14.25"/>
    <row r="5677" ht="14.25"/>
    <row r="5678" ht="14.25"/>
    <row r="5679" ht="14.25"/>
    <row r="5680" ht="14.25"/>
    <row r="5681" ht="14.25"/>
    <row r="5682" ht="14.25"/>
    <row r="5683" ht="14.25"/>
    <row r="5684" ht="14.25"/>
    <row r="5685" ht="14.25"/>
    <row r="5686" ht="14.25"/>
    <row r="5687" ht="14.25"/>
    <row r="5688" ht="14.25"/>
    <row r="5689" ht="14.25"/>
    <row r="5690" ht="14.25"/>
    <row r="5691" ht="14.25"/>
    <row r="5692" ht="14.25"/>
    <row r="5693" ht="14.25"/>
    <row r="5694" ht="14.25"/>
    <row r="5695" ht="14.25"/>
    <row r="5696" ht="14.25"/>
    <row r="5697" ht="14.25"/>
    <row r="5698" ht="14.25"/>
    <row r="5699" ht="14.25"/>
    <row r="5700" ht="14.25"/>
    <row r="5701" ht="14.25"/>
    <row r="5702" ht="14.25"/>
    <row r="5703" ht="14.25"/>
    <row r="5704" ht="14.25"/>
    <row r="5705" ht="14.25"/>
    <row r="5706" ht="14.25"/>
    <row r="5707" ht="14.25"/>
    <row r="5708" ht="14.25"/>
    <row r="5709" ht="14.25"/>
    <row r="5710" ht="14.25"/>
    <row r="5711" ht="14.25"/>
    <row r="5712" ht="14.25"/>
    <row r="5713" ht="14.25"/>
    <row r="5714" ht="14.25"/>
    <row r="5715" ht="14.25"/>
    <row r="5716" ht="14.25"/>
    <row r="5717" ht="14.25"/>
    <row r="5718" ht="14.25"/>
    <row r="5719" ht="14.25"/>
    <row r="5720" ht="14.25"/>
    <row r="5721" ht="14.25"/>
    <row r="5722" ht="14.25"/>
    <row r="5723" ht="14.25"/>
    <row r="5724" ht="14.25"/>
    <row r="5725" ht="14.25"/>
    <row r="5726" ht="14.25"/>
    <row r="5727" ht="14.25"/>
    <row r="5728" ht="14.25"/>
    <row r="5729" ht="14.25"/>
    <row r="5730" ht="14.25"/>
    <row r="5731" ht="14.25"/>
    <row r="5732" ht="14.25"/>
    <row r="5733" ht="14.25"/>
    <row r="5734" ht="14.25"/>
    <row r="5735" ht="14.25"/>
    <row r="5736" ht="14.25"/>
    <row r="5737" ht="14.25"/>
    <row r="5738" ht="14.25"/>
    <row r="5739" ht="14.25"/>
    <row r="5740" ht="14.25"/>
    <row r="5741" ht="14.25"/>
    <row r="5742" ht="14.25"/>
    <row r="5743" ht="14.25"/>
    <row r="5744" ht="14.25"/>
    <row r="5745" ht="14.25"/>
    <row r="5746" ht="14.25"/>
    <row r="5747" ht="14.25"/>
    <row r="5748" ht="14.25"/>
    <row r="5749" ht="14.25"/>
    <row r="5750" ht="14.25"/>
    <row r="5751" ht="14.25"/>
    <row r="5752" ht="14.25"/>
    <row r="5753" ht="14.25"/>
    <row r="5754" ht="14.25"/>
    <row r="5755" ht="14.25"/>
    <row r="5756" ht="14.25"/>
    <row r="5757" ht="14.25"/>
    <row r="5758" ht="14.25"/>
    <row r="5759" ht="14.25"/>
    <row r="5760" ht="14.25"/>
    <row r="5761" ht="14.25"/>
    <row r="5762" ht="14.25"/>
    <row r="5763" ht="14.25"/>
    <row r="5764" ht="14.25"/>
    <row r="5765" ht="14.25"/>
    <row r="5766" ht="14.25"/>
    <row r="5767" ht="14.25"/>
    <row r="5768" ht="14.25"/>
    <row r="5769" ht="14.25"/>
    <row r="5770" ht="14.25"/>
    <row r="5771" ht="14.25"/>
    <row r="5772" ht="14.25"/>
    <row r="5773" ht="14.25"/>
    <row r="5774" ht="14.25"/>
    <row r="5775" ht="14.25"/>
    <row r="5776" ht="14.25"/>
    <row r="5777" ht="14.25"/>
    <row r="5778" ht="14.25"/>
    <row r="5779" ht="14.25"/>
    <row r="5780" ht="14.25"/>
    <row r="5781" ht="14.25"/>
    <row r="5782" ht="14.25"/>
    <row r="5783" ht="14.25"/>
    <row r="5784" ht="14.25"/>
    <row r="5785" ht="14.25"/>
    <row r="5786" ht="14.25"/>
    <row r="5787" ht="14.25"/>
    <row r="5788" ht="14.25"/>
    <row r="5789" ht="14.25"/>
    <row r="5790" ht="14.25"/>
    <row r="5791" ht="14.25"/>
    <row r="5792" ht="14.25"/>
    <row r="5793" ht="14.25"/>
    <row r="5794" ht="14.25"/>
    <row r="5795" ht="14.25"/>
    <row r="5796" ht="14.25"/>
    <row r="5797" ht="14.25"/>
    <row r="5798" ht="14.25"/>
    <row r="5799" ht="14.25"/>
    <row r="5800" ht="14.25"/>
    <row r="5801" ht="14.25"/>
    <row r="5802" ht="14.25"/>
    <row r="5803" ht="14.25"/>
    <row r="5804" ht="14.25"/>
    <row r="5805" ht="14.25"/>
    <row r="5806" ht="14.25"/>
    <row r="5807" ht="14.25"/>
    <row r="5808" ht="14.25"/>
    <row r="5809" ht="14.25"/>
    <row r="5810" ht="14.25"/>
    <row r="5811" ht="14.25"/>
    <row r="5812" ht="14.25"/>
    <row r="5813" ht="14.25"/>
    <row r="5814" ht="14.25"/>
    <row r="5815" ht="14.25"/>
    <row r="5816" ht="14.25"/>
    <row r="5817" ht="14.25"/>
    <row r="5818" ht="14.25"/>
    <row r="5819" ht="14.25"/>
    <row r="5820" ht="14.25"/>
    <row r="5821" ht="14.25"/>
    <row r="5822" ht="14.25"/>
    <row r="5823" ht="14.25"/>
    <row r="5824" ht="14.25"/>
    <row r="5825" ht="14.25"/>
    <row r="5826" ht="14.25"/>
    <row r="5827" ht="14.25"/>
    <row r="5828" ht="14.25"/>
    <row r="5829" ht="14.25"/>
    <row r="5830" ht="14.25"/>
    <row r="5831" ht="14.25"/>
    <row r="5832" ht="14.25"/>
    <row r="5833" ht="14.25"/>
    <row r="5834" ht="14.25"/>
    <row r="5835" ht="14.25"/>
    <row r="5836" ht="14.25"/>
    <row r="5837" ht="14.25"/>
    <row r="5838" ht="14.25"/>
    <row r="5839" ht="14.25"/>
    <row r="5840" ht="14.25"/>
    <row r="5841" ht="14.25"/>
    <row r="5842" ht="14.25"/>
    <row r="5843" ht="14.25"/>
    <row r="5844" ht="14.25"/>
    <row r="5845" ht="14.25"/>
    <row r="5846" ht="14.25"/>
    <row r="5847" ht="14.25"/>
    <row r="5848" ht="14.25"/>
    <row r="5849" ht="14.25"/>
    <row r="5850" ht="14.25"/>
    <row r="5851" ht="14.25"/>
    <row r="5852" ht="14.25"/>
    <row r="5853" ht="14.25"/>
    <row r="5854" ht="14.25"/>
    <row r="5855" ht="14.25"/>
    <row r="5856" ht="14.25"/>
    <row r="5857" ht="14.25"/>
    <row r="5858" ht="14.25"/>
    <row r="5859" ht="14.25"/>
    <row r="5860" ht="14.25"/>
    <row r="5861" ht="14.25"/>
    <row r="5862" ht="14.25"/>
    <row r="5863" ht="14.25"/>
    <row r="5864" ht="14.25"/>
    <row r="5865" ht="14.25"/>
    <row r="5866" ht="14.25"/>
    <row r="5867" ht="14.25"/>
    <row r="5868" ht="14.25"/>
    <row r="5869" ht="14.25"/>
    <row r="5870" ht="14.25"/>
    <row r="5871" ht="14.25"/>
    <row r="5872" ht="14.25"/>
    <row r="5873" ht="14.25"/>
    <row r="5874" ht="14.25"/>
    <row r="5875" ht="14.25"/>
    <row r="5876" ht="14.25"/>
    <row r="5877" ht="14.25"/>
    <row r="5878" ht="14.25"/>
    <row r="5879" ht="14.25"/>
    <row r="5880" ht="14.25"/>
    <row r="5881" ht="14.25"/>
    <row r="5882" ht="14.25"/>
    <row r="5883" ht="14.25"/>
    <row r="5884" ht="14.25"/>
    <row r="5885" ht="14.25"/>
    <row r="5886" ht="14.25"/>
    <row r="5887" ht="14.25"/>
    <row r="5888" ht="14.25"/>
    <row r="5889" ht="14.25"/>
    <row r="5890" ht="14.25"/>
    <row r="5891" ht="14.25"/>
    <row r="5892" ht="14.25"/>
    <row r="5893" ht="14.25"/>
    <row r="5894" ht="14.25"/>
    <row r="5895" ht="14.25"/>
    <row r="5896" ht="14.25"/>
    <row r="5897" ht="14.25"/>
    <row r="5898" ht="14.25"/>
    <row r="5899" ht="14.25"/>
    <row r="5900" ht="14.25"/>
    <row r="5901" ht="14.25"/>
    <row r="5902" ht="14.25"/>
    <row r="5903" ht="14.25"/>
    <row r="5904" ht="14.25"/>
    <row r="5905" ht="14.25"/>
    <row r="5906" ht="14.25"/>
    <row r="5907" ht="14.25"/>
    <row r="5908" ht="14.25"/>
    <row r="5909" ht="14.25"/>
    <row r="5910" ht="14.25"/>
    <row r="5911" ht="14.25"/>
    <row r="5912" ht="14.25"/>
    <row r="5913" ht="14.25"/>
    <row r="5914" ht="14.25"/>
    <row r="5915" ht="14.25"/>
    <row r="5916" ht="14.25"/>
    <row r="5917" ht="14.25"/>
    <row r="5918" ht="14.25"/>
    <row r="5919" ht="14.25"/>
    <row r="5920" ht="14.25"/>
    <row r="5921" ht="14.25"/>
    <row r="5922" ht="14.25"/>
    <row r="5923" ht="14.25"/>
    <row r="5924" ht="14.25"/>
    <row r="5925" ht="14.25"/>
    <row r="5926" ht="14.25"/>
    <row r="5927" ht="14.25"/>
    <row r="5928" ht="14.25"/>
    <row r="5929" ht="14.25"/>
    <row r="5930" ht="14.25"/>
    <row r="5931" ht="14.25"/>
    <row r="5932" ht="14.25"/>
    <row r="5933" ht="14.25"/>
    <row r="5934" ht="14.25"/>
    <row r="5935" ht="14.25"/>
    <row r="5936" ht="14.25"/>
    <row r="5937" ht="14.25"/>
    <row r="5938" ht="14.25"/>
    <row r="5939" ht="14.25"/>
    <row r="5940" ht="14.25"/>
    <row r="5941" ht="14.25"/>
    <row r="5942" ht="14.25"/>
    <row r="5943" ht="14.25"/>
    <row r="5944" ht="14.25"/>
    <row r="5945" ht="14.25"/>
    <row r="5946" ht="14.25"/>
    <row r="5947" ht="14.25"/>
    <row r="5948" ht="14.25"/>
    <row r="5949" ht="14.25"/>
    <row r="5950" ht="14.25"/>
    <row r="5951" ht="14.25"/>
    <row r="5952" ht="14.25"/>
    <row r="5953" ht="14.25"/>
    <row r="5954" ht="14.25"/>
    <row r="5955" ht="14.25"/>
    <row r="5956" ht="14.25"/>
    <row r="5957" ht="14.25"/>
    <row r="5958" ht="14.25"/>
    <row r="5959" ht="14.25"/>
    <row r="5960" ht="14.25"/>
    <row r="5961" ht="14.25"/>
    <row r="5962" ht="14.25"/>
    <row r="5963" ht="14.25"/>
    <row r="5964" ht="14.25"/>
    <row r="5965" ht="14.25"/>
    <row r="5966" ht="14.25"/>
    <row r="5967" ht="14.25"/>
    <row r="5968" ht="14.25"/>
    <row r="5969" ht="14.25"/>
    <row r="5970" ht="14.25"/>
    <row r="5971" ht="14.25"/>
    <row r="5972" ht="14.25"/>
    <row r="5973" ht="14.25"/>
    <row r="5974" ht="14.25"/>
    <row r="5975" ht="14.25"/>
    <row r="5976" ht="14.25"/>
    <row r="5977" ht="14.25"/>
    <row r="5978" ht="14.25"/>
    <row r="5979" ht="14.25"/>
    <row r="5980" ht="14.25"/>
    <row r="5981" ht="14.25"/>
    <row r="5982" ht="14.25"/>
    <row r="5983" ht="14.25"/>
    <row r="5984" ht="14.25"/>
    <row r="5985" ht="14.25"/>
    <row r="5986" ht="14.25"/>
    <row r="5987" ht="14.25"/>
    <row r="5988" ht="14.25"/>
    <row r="5989" ht="14.25"/>
    <row r="5990" ht="14.25"/>
    <row r="5991" ht="14.25"/>
    <row r="5992" ht="14.25"/>
    <row r="5993" ht="14.25"/>
    <row r="5994" ht="14.25"/>
    <row r="5995" ht="14.25"/>
    <row r="5996" ht="14.25"/>
    <row r="5997" ht="14.25"/>
    <row r="5998" ht="14.25"/>
    <row r="5999" ht="14.25"/>
    <row r="6000" ht="14.25"/>
    <row r="6001" ht="14.25"/>
    <row r="6002" ht="14.25"/>
    <row r="6003" ht="14.25"/>
    <row r="6004" ht="14.25"/>
    <row r="6005" ht="14.25"/>
    <row r="6006" ht="14.25"/>
    <row r="6007" ht="14.25"/>
    <row r="6008" ht="14.25"/>
    <row r="6009" ht="14.25"/>
    <row r="6010" ht="14.25"/>
    <row r="6011" ht="14.25"/>
    <row r="6012" ht="14.25"/>
    <row r="6013" ht="14.25"/>
    <row r="6014" ht="14.25"/>
    <row r="6015" ht="14.25"/>
    <row r="6016" ht="14.25"/>
    <row r="6017" ht="14.25"/>
    <row r="6018" ht="14.25"/>
    <row r="6019" ht="14.25"/>
    <row r="6020" ht="14.25"/>
    <row r="6021" ht="14.25"/>
    <row r="6022" ht="14.25"/>
    <row r="6023" ht="14.25"/>
    <row r="6024" ht="14.25"/>
    <row r="6025" ht="14.25"/>
    <row r="6026" ht="14.25"/>
    <row r="6027" ht="14.25"/>
    <row r="6028" ht="14.25"/>
    <row r="6029" ht="14.25"/>
    <row r="6030" ht="14.25"/>
    <row r="6031" ht="14.25"/>
    <row r="6032" ht="14.25"/>
    <row r="6033" ht="14.25"/>
    <row r="6034" ht="14.25"/>
    <row r="6035" ht="14.25"/>
    <row r="6036" ht="14.25"/>
    <row r="6037" ht="14.25"/>
    <row r="6038" ht="14.25"/>
    <row r="6039" ht="14.25"/>
    <row r="6040" ht="14.25"/>
    <row r="6041" ht="14.25"/>
    <row r="6042" ht="14.25"/>
    <row r="6043" ht="14.25"/>
    <row r="6044" ht="14.25"/>
    <row r="6045" ht="14.25"/>
    <row r="6046" ht="14.25"/>
    <row r="6047" ht="14.25"/>
    <row r="6048" ht="14.25"/>
    <row r="6049" ht="14.25"/>
    <row r="6050" ht="14.25"/>
    <row r="6051" ht="14.25"/>
    <row r="6052" ht="14.25"/>
    <row r="6053" ht="14.25"/>
    <row r="6054" ht="14.25"/>
    <row r="6055" ht="14.25"/>
    <row r="6056" ht="14.25"/>
    <row r="6057" ht="14.25"/>
    <row r="6058" ht="14.25"/>
    <row r="6059" ht="14.25"/>
    <row r="6060" ht="14.25"/>
    <row r="6061" ht="14.25"/>
    <row r="6062" ht="14.25"/>
    <row r="6063" ht="14.25"/>
    <row r="6064" ht="14.25"/>
    <row r="6065" ht="14.25"/>
    <row r="6066" ht="14.25"/>
    <row r="6067" ht="14.25"/>
    <row r="6068" ht="14.25"/>
    <row r="6069" ht="14.25"/>
    <row r="6070" ht="14.25"/>
    <row r="6071" ht="14.25"/>
    <row r="6072" ht="14.25"/>
    <row r="6073" ht="14.25"/>
    <row r="6074" ht="14.25"/>
    <row r="6075" ht="14.25"/>
    <row r="6076" ht="14.25"/>
    <row r="6077" ht="14.25"/>
    <row r="6078" ht="14.25"/>
    <row r="6079" ht="14.25"/>
    <row r="6080" ht="14.25"/>
    <row r="6081" ht="14.25"/>
    <row r="6082" ht="14.25"/>
    <row r="6083" ht="14.25"/>
    <row r="6084" ht="14.25"/>
    <row r="6085" ht="14.25"/>
    <row r="6086" ht="14.25"/>
    <row r="6087" ht="14.25"/>
    <row r="6088" ht="14.25"/>
    <row r="6089" ht="14.25"/>
    <row r="6090" ht="14.25"/>
    <row r="6091" ht="14.25"/>
    <row r="6092" ht="14.25"/>
    <row r="6093" ht="14.25"/>
    <row r="6094" ht="14.25"/>
    <row r="6095" ht="14.25"/>
    <row r="6096" ht="14.25"/>
    <row r="6097" ht="14.25"/>
    <row r="6098" ht="14.25"/>
    <row r="6099" ht="14.25"/>
    <row r="6100" ht="14.25"/>
    <row r="6101" ht="14.25"/>
    <row r="6102" ht="14.25"/>
    <row r="6103" ht="14.25"/>
    <row r="6104" ht="14.25"/>
    <row r="6105" ht="14.25"/>
    <row r="6106" ht="14.25"/>
    <row r="6107" ht="14.25"/>
    <row r="6108" ht="14.25"/>
    <row r="6109" ht="14.25"/>
    <row r="6110" ht="14.25"/>
    <row r="6111" ht="14.25"/>
    <row r="6112" ht="14.25"/>
    <row r="6113" ht="14.25"/>
    <row r="6114" ht="14.25"/>
    <row r="6115" ht="14.25"/>
    <row r="6116" ht="14.25"/>
    <row r="6117" ht="14.25"/>
    <row r="6118" ht="14.25"/>
    <row r="6119" ht="14.25"/>
    <row r="6120" ht="14.25"/>
    <row r="6121" ht="14.25"/>
    <row r="6122" ht="14.25"/>
    <row r="6123" ht="14.25"/>
    <row r="6124" ht="14.25"/>
    <row r="6125" ht="14.25"/>
    <row r="6126" ht="14.25"/>
    <row r="6127" ht="14.25"/>
    <row r="6128" ht="14.25"/>
    <row r="6129" ht="14.25"/>
    <row r="6130" ht="14.25"/>
    <row r="6131" ht="14.25"/>
    <row r="6132" ht="14.25"/>
    <row r="6133" ht="14.25"/>
    <row r="6134" ht="14.25"/>
    <row r="6135" ht="14.25"/>
    <row r="6136" ht="14.25"/>
    <row r="6137" ht="14.25"/>
    <row r="6138" ht="14.25"/>
    <row r="6139" ht="14.25"/>
    <row r="6140" ht="14.25"/>
    <row r="6141" ht="14.25"/>
    <row r="6142" ht="14.25"/>
    <row r="6143" ht="14.25"/>
    <row r="6144" ht="14.25"/>
    <row r="6145" ht="14.25"/>
    <row r="6146" ht="14.25"/>
    <row r="6147" ht="14.25"/>
    <row r="6148" ht="14.25"/>
    <row r="6149" ht="14.25"/>
    <row r="6150" ht="14.25"/>
    <row r="6151" ht="14.25"/>
    <row r="6152" ht="14.25"/>
    <row r="6153" ht="14.25"/>
    <row r="6154" ht="14.25"/>
    <row r="6155" ht="14.25"/>
    <row r="6156" ht="14.25"/>
    <row r="6157" ht="14.25"/>
    <row r="6158" ht="14.25"/>
    <row r="6159" ht="14.25"/>
    <row r="6160" ht="14.25"/>
    <row r="6161" ht="14.25"/>
    <row r="6162" ht="14.25"/>
    <row r="6163" ht="14.25"/>
    <row r="6164" ht="14.25"/>
    <row r="6165" ht="14.25"/>
    <row r="6166" ht="14.25"/>
    <row r="6167" ht="14.25"/>
    <row r="6168" ht="14.25"/>
    <row r="6169" ht="14.25"/>
    <row r="6170" ht="14.25"/>
    <row r="6171" ht="14.25"/>
    <row r="6172" ht="14.25"/>
    <row r="6173" ht="14.25"/>
    <row r="6174" ht="14.25"/>
    <row r="6175" ht="14.25"/>
    <row r="6176" ht="14.25"/>
    <row r="6177" ht="14.25"/>
    <row r="6178" ht="14.25"/>
    <row r="6179" ht="14.25"/>
    <row r="6180" ht="14.25"/>
    <row r="6181" ht="14.25"/>
    <row r="6182" ht="14.25"/>
    <row r="6183" ht="14.25"/>
    <row r="6184" ht="14.25"/>
    <row r="6185" ht="14.25"/>
    <row r="6186" ht="14.25"/>
    <row r="6187" ht="14.25"/>
    <row r="6188" ht="14.25"/>
    <row r="6189" ht="14.25"/>
    <row r="6190" ht="14.25"/>
    <row r="6191" ht="14.25"/>
    <row r="6192" ht="14.25"/>
    <row r="6193" ht="14.25"/>
    <row r="6194" ht="14.25"/>
    <row r="6195" ht="14.25"/>
    <row r="6196" ht="14.25"/>
    <row r="6197" ht="14.25"/>
    <row r="6198" ht="14.25"/>
    <row r="6199" ht="14.25"/>
    <row r="6200" ht="14.25"/>
    <row r="6201" ht="14.25"/>
    <row r="6202" ht="14.25"/>
    <row r="6203" ht="14.25"/>
    <row r="6204" ht="14.25"/>
    <row r="6205" ht="14.25"/>
    <row r="6206" ht="14.25"/>
    <row r="6207" ht="14.25"/>
    <row r="6208" ht="14.25"/>
    <row r="6209" ht="14.25"/>
    <row r="6210" ht="14.25"/>
    <row r="6211" ht="14.25"/>
    <row r="6212" ht="14.25"/>
    <row r="6213" ht="14.25"/>
    <row r="6214" ht="14.25"/>
    <row r="6215" ht="14.25"/>
    <row r="6216" ht="14.25"/>
    <row r="6217" ht="14.25"/>
    <row r="6218" ht="14.25"/>
    <row r="6219" ht="14.25"/>
    <row r="6220" ht="14.25"/>
    <row r="6221" ht="14.25"/>
    <row r="6222" ht="14.25"/>
    <row r="6223" ht="14.25"/>
    <row r="6224" ht="14.25"/>
    <row r="6225" ht="14.25"/>
    <row r="6226" ht="14.25"/>
    <row r="6227" ht="14.25"/>
    <row r="6228" ht="14.25"/>
    <row r="6229" ht="14.25"/>
    <row r="6230" ht="14.25"/>
    <row r="6231" ht="14.25"/>
    <row r="6232" ht="14.25"/>
    <row r="6233" ht="14.25"/>
    <row r="6234" ht="14.25"/>
    <row r="6235" ht="14.25"/>
    <row r="6236" ht="14.25"/>
    <row r="6237" ht="14.25"/>
    <row r="6238" ht="14.25"/>
    <row r="6239" ht="14.25"/>
    <row r="6240" ht="14.25"/>
    <row r="6241" ht="14.25"/>
    <row r="6242" ht="14.25"/>
    <row r="6243" ht="14.25"/>
    <row r="6244" ht="14.25"/>
    <row r="6245" ht="14.25"/>
    <row r="6246" ht="14.25"/>
    <row r="6247" ht="14.25"/>
    <row r="6248" ht="14.25"/>
    <row r="6249" ht="14.25"/>
    <row r="6250" ht="14.25"/>
    <row r="6251" ht="14.25"/>
    <row r="6252" ht="14.25"/>
    <row r="6253" ht="14.25"/>
    <row r="6254" ht="14.25"/>
    <row r="6255" ht="14.25"/>
    <row r="6256" ht="14.25"/>
    <row r="6257" ht="14.25"/>
    <row r="6258" ht="14.25"/>
    <row r="6259" ht="14.25"/>
    <row r="6260" ht="14.25"/>
    <row r="6261" ht="14.25"/>
    <row r="6262" ht="14.25"/>
    <row r="6263" ht="14.25"/>
    <row r="6264" ht="14.25"/>
    <row r="6265" ht="14.25"/>
    <row r="6266" ht="14.25"/>
    <row r="6267" ht="14.25"/>
    <row r="6268" ht="14.25"/>
    <row r="6269" ht="14.25"/>
    <row r="6270" ht="14.25"/>
    <row r="6271" ht="14.25"/>
    <row r="6272" ht="14.25"/>
    <row r="6273" ht="14.25"/>
    <row r="6274" ht="14.25"/>
    <row r="6275" ht="14.25"/>
    <row r="6276" ht="14.25"/>
    <row r="6277" ht="14.25"/>
    <row r="6278" ht="14.25"/>
    <row r="6279" ht="14.25"/>
    <row r="6280" ht="14.25"/>
    <row r="6281" ht="14.25"/>
    <row r="6282" ht="14.25"/>
    <row r="6283" ht="14.25"/>
    <row r="6284" ht="14.25"/>
    <row r="6285" ht="14.25"/>
    <row r="6286" ht="14.25"/>
    <row r="6287" ht="14.25"/>
    <row r="6288" ht="14.25"/>
    <row r="6289" ht="14.25"/>
    <row r="6290" ht="14.25"/>
    <row r="6291" ht="14.25"/>
    <row r="6292" ht="14.25"/>
    <row r="6293" ht="14.25"/>
    <row r="6294" ht="14.25"/>
    <row r="6295" ht="14.25"/>
    <row r="6296" ht="14.25"/>
    <row r="6297" ht="14.25"/>
    <row r="6298" ht="14.25"/>
    <row r="6299" ht="14.25"/>
    <row r="6300" ht="14.25"/>
    <row r="6301" ht="14.25"/>
    <row r="6302" ht="14.25"/>
    <row r="6303" ht="14.25"/>
    <row r="6304" ht="14.25"/>
    <row r="6305" ht="14.25"/>
    <row r="6306" ht="14.25"/>
    <row r="6307" ht="14.25"/>
    <row r="6308" ht="14.25"/>
    <row r="6309" ht="14.25"/>
    <row r="6310" ht="14.25"/>
    <row r="6311" ht="14.25"/>
    <row r="6312" ht="14.25"/>
    <row r="6313" ht="14.25"/>
    <row r="6314" ht="14.25"/>
    <row r="6315" ht="14.25"/>
    <row r="6316" ht="14.25"/>
    <row r="6317" ht="14.25"/>
    <row r="6318" ht="14.25"/>
    <row r="6319" ht="14.25"/>
    <row r="6320" ht="14.25"/>
    <row r="6321" ht="14.25"/>
    <row r="6322" ht="14.25"/>
    <row r="6323" ht="14.25"/>
    <row r="6324" ht="14.25"/>
    <row r="6325" ht="14.25"/>
    <row r="6326" ht="14.25"/>
    <row r="6327" ht="14.25"/>
    <row r="6328" ht="14.25"/>
    <row r="6329" ht="14.25"/>
    <row r="6330" ht="14.25"/>
    <row r="6331" ht="14.25"/>
    <row r="6332" ht="14.25"/>
    <row r="6333" ht="14.25"/>
    <row r="6334" ht="14.25"/>
    <row r="6335" ht="14.25"/>
    <row r="6336" ht="14.25"/>
    <row r="6337" ht="14.25"/>
    <row r="6338" ht="14.25"/>
    <row r="6339" ht="14.25"/>
    <row r="6340" ht="14.25"/>
    <row r="6341" ht="14.25"/>
    <row r="6342" ht="14.25"/>
    <row r="6343" ht="14.25"/>
    <row r="6344" ht="14.25"/>
    <row r="6345" ht="14.25"/>
    <row r="6346" ht="14.25"/>
    <row r="6347" ht="14.25"/>
    <row r="6348" ht="14.25"/>
    <row r="6349" ht="14.25"/>
    <row r="6350" ht="14.25"/>
    <row r="6351" ht="14.25"/>
    <row r="6352" ht="14.25"/>
    <row r="6353" ht="14.25"/>
    <row r="6354" ht="14.25"/>
    <row r="6355" ht="14.25"/>
    <row r="6356" ht="14.25"/>
    <row r="6357" ht="14.25"/>
    <row r="6358" ht="14.25"/>
    <row r="6359" ht="14.25"/>
    <row r="6360" ht="14.25"/>
    <row r="6361" ht="14.25"/>
    <row r="6362" ht="14.25"/>
    <row r="6363" ht="14.25"/>
    <row r="6364" ht="14.25"/>
    <row r="6365" ht="14.25"/>
    <row r="6366" ht="14.25"/>
    <row r="6367" ht="14.25"/>
    <row r="6368" ht="14.25"/>
    <row r="6369" ht="14.25"/>
    <row r="6370" ht="14.25"/>
    <row r="6371" ht="14.25"/>
    <row r="6372" ht="14.25"/>
    <row r="6373" ht="14.25"/>
    <row r="6374" ht="14.25"/>
    <row r="6375" ht="14.25"/>
    <row r="6376" ht="14.25"/>
    <row r="6377" ht="14.25"/>
    <row r="6378" ht="14.25"/>
    <row r="6379" ht="14.25"/>
    <row r="6380" ht="14.25"/>
    <row r="6381" ht="14.25"/>
    <row r="6382" ht="14.25"/>
    <row r="6383" ht="14.25"/>
    <row r="6384" ht="14.25"/>
    <row r="6385" ht="14.25"/>
    <row r="6386" ht="14.25"/>
    <row r="6387" ht="14.25"/>
    <row r="6388" ht="14.25"/>
    <row r="6389" ht="14.25"/>
    <row r="6390" ht="14.25"/>
    <row r="6391" ht="14.25"/>
    <row r="6392" ht="14.25"/>
    <row r="6393" ht="14.25"/>
    <row r="6394" ht="14.25"/>
    <row r="6395" ht="14.25"/>
    <row r="6396" ht="14.25"/>
    <row r="6397" ht="14.25"/>
    <row r="6398" ht="14.25"/>
    <row r="6399" ht="14.25"/>
    <row r="6400" ht="14.25"/>
    <row r="6401" ht="14.25"/>
    <row r="6402" ht="14.25"/>
    <row r="6403" ht="14.25"/>
    <row r="6404" ht="14.25"/>
    <row r="6405" ht="14.25"/>
    <row r="6406" ht="14.25"/>
    <row r="6407" ht="14.25"/>
    <row r="6408" ht="14.25"/>
    <row r="6409" ht="14.25"/>
    <row r="6410" ht="14.25"/>
    <row r="6411" ht="14.25"/>
    <row r="6412" ht="14.25"/>
    <row r="6413" ht="14.25"/>
    <row r="6414" ht="14.25"/>
    <row r="6415" ht="14.25"/>
    <row r="6416" ht="14.25"/>
    <row r="6417" ht="14.25"/>
    <row r="6418" ht="14.25"/>
    <row r="6419" ht="14.25"/>
    <row r="6420" ht="14.25"/>
    <row r="6421" ht="14.25"/>
    <row r="6422" ht="14.25"/>
    <row r="6423" ht="14.25"/>
    <row r="6424" ht="14.25"/>
    <row r="6425" ht="14.25"/>
    <row r="6426" ht="14.25"/>
    <row r="6427" ht="14.25"/>
    <row r="6428" ht="14.25"/>
    <row r="6429" ht="14.25"/>
    <row r="6430" ht="14.25"/>
    <row r="6431" ht="14.25"/>
    <row r="6432" ht="14.25"/>
    <row r="6433" ht="14.25"/>
    <row r="6434" ht="14.25"/>
    <row r="6435" ht="14.25"/>
    <row r="6436" ht="14.25"/>
    <row r="6437" ht="14.25"/>
    <row r="6438" ht="14.25"/>
    <row r="6439" ht="14.25"/>
    <row r="6440" ht="14.25"/>
    <row r="6441" ht="14.25"/>
    <row r="6442" ht="14.25"/>
    <row r="6443" ht="14.25"/>
    <row r="6444" ht="14.25"/>
    <row r="6445" ht="14.25"/>
    <row r="6446" ht="14.25"/>
    <row r="6447" ht="14.25"/>
    <row r="6448" ht="14.25"/>
    <row r="6449" ht="14.25"/>
    <row r="6450" ht="14.25"/>
    <row r="6451" ht="14.25"/>
    <row r="6452" ht="14.25"/>
    <row r="6453" ht="14.25"/>
    <row r="6454" ht="14.25"/>
    <row r="6455" ht="14.25"/>
    <row r="6456" ht="14.25"/>
    <row r="6457" ht="14.25"/>
    <row r="6458" ht="14.25"/>
    <row r="6459" ht="14.25"/>
    <row r="6460" ht="14.25"/>
    <row r="6461" ht="14.25"/>
    <row r="6462" ht="14.25"/>
    <row r="6463" ht="14.25"/>
    <row r="6464" ht="14.25"/>
    <row r="6465" ht="14.25"/>
    <row r="6466" ht="14.25"/>
    <row r="6467" ht="14.25"/>
    <row r="6468" ht="14.25"/>
    <row r="6469" ht="14.25"/>
    <row r="6470" ht="14.25"/>
    <row r="6471" ht="14.25"/>
    <row r="6472" ht="14.25"/>
    <row r="6473" ht="14.25"/>
    <row r="6474" ht="14.25"/>
    <row r="6475" ht="14.25"/>
    <row r="6476" ht="14.25"/>
    <row r="6477" ht="14.25"/>
    <row r="6478" ht="14.25"/>
    <row r="6479" ht="14.25"/>
    <row r="6480" ht="14.25"/>
    <row r="6481" ht="14.25"/>
    <row r="6482" ht="14.25"/>
    <row r="6483" ht="14.25"/>
    <row r="6484" ht="14.25"/>
    <row r="6485" ht="14.25"/>
    <row r="6486" ht="14.25"/>
    <row r="6487" ht="14.25"/>
    <row r="6488" ht="14.25"/>
    <row r="6489" ht="14.25"/>
    <row r="6490" ht="14.25"/>
    <row r="6491" ht="14.25"/>
    <row r="6492" ht="14.25"/>
    <row r="6493" ht="14.25"/>
    <row r="6494" ht="14.25"/>
    <row r="6495" ht="14.25"/>
    <row r="6496" ht="14.25"/>
    <row r="6497" ht="14.25"/>
    <row r="6498" ht="14.25"/>
    <row r="6499" ht="14.25"/>
    <row r="6500" ht="14.25"/>
    <row r="6501" ht="14.25"/>
    <row r="6502" ht="14.25"/>
    <row r="6503" ht="14.25"/>
    <row r="6504" ht="14.25"/>
    <row r="6505" ht="14.25"/>
    <row r="6506" ht="14.25"/>
    <row r="6507" ht="14.25"/>
    <row r="6508" ht="14.25"/>
    <row r="6509" ht="14.25"/>
    <row r="6510" ht="14.25"/>
    <row r="6511" ht="14.25"/>
    <row r="6512" ht="14.25"/>
    <row r="6513" ht="14.25"/>
    <row r="6514" ht="14.25"/>
    <row r="6515" ht="14.25"/>
    <row r="6516" ht="14.25"/>
    <row r="6517" ht="14.25"/>
    <row r="6518" ht="14.25"/>
    <row r="6519" ht="14.25"/>
    <row r="6520" ht="14.25"/>
    <row r="6521" ht="14.25"/>
    <row r="6522" ht="14.25"/>
    <row r="6523" ht="14.25"/>
    <row r="6524" ht="14.25"/>
    <row r="6525" ht="14.25"/>
    <row r="6526" ht="14.25"/>
    <row r="6527" ht="14.25"/>
    <row r="6528" ht="14.25"/>
    <row r="6529" ht="14.25"/>
    <row r="6530" ht="14.25"/>
    <row r="6531" ht="14.25"/>
    <row r="6532" ht="14.25"/>
    <row r="6533" ht="14.25"/>
    <row r="6534" ht="14.25"/>
    <row r="6535" ht="14.25"/>
    <row r="6536" ht="14.25"/>
    <row r="6537" ht="14.25"/>
    <row r="6538" ht="14.25"/>
    <row r="6539" ht="14.25"/>
    <row r="6540" ht="14.25"/>
    <row r="6541" ht="14.25"/>
    <row r="6542" ht="14.25"/>
    <row r="6543" ht="14.25"/>
    <row r="6544" ht="14.25"/>
    <row r="6545" ht="14.25"/>
    <row r="6546" ht="14.25"/>
    <row r="6547" ht="14.25"/>
    <row r="6548" ht="14.25"/>
    <row r="6549" ht="14.25"/>
    <row r="6550" ht="14.25"/>
    <row r="6551" ht="14.25"/>
    <row r="6552" ht="14.25"/>
    <row r="6553" ht="14.25"/>
    <row r="6554" ht="14.25"/>
    <row r="6555" ht="14.25"/>
    <row r="6556" ht="14.25"/>
    <row r="6557" ht="14.25"/>
    <row r="6558" ht="14.25"/>
    <row r="6559" ht="14.25"/>
    <row r="6560" ht="14.25"/>
    <row r="6561" ht="14.25"/>
    <row r="6562" ht="14.25"/>
    <row r="6563" ht="14.25"/>
    <row r="6564" ht="14.25"/>
    <row r="6565" ht="14.25"/>
    <row r="6566" ht="14.25"/>
    <row r="6567" ht="14.25"/>
    <row r="6568" ht="14.25"/>
    <row r="6569" ht="14.25"/>
    <row r="6570" ht="14.25"/>
    <row r="6571" ht="14.25"/>
    <row r="6572" ht="14.25"/>
    <row r="6573" ht="14.25"/>
    <row r="6574" ht="14.25"/>
    <row r="6575" ht="14.25"/>
    <row r="6576" ht="14.25"/>
    <row r="6577" ht="14.25"/>
    <row r="6578" ht="14.25"/>
    <row r="6579" ht="14.25"/>
    <row r="6580" ht="14.25"/>
    <row r="6581" ht="14.25"/>
    <row r="6582" ht="14.25"/>
    <row r="6583" ht="14.25"/>
    <row r="6584" ht="14.25"/>
    <row r="6585" ht="14.25"/>
    <row r="6586" ht="14.25"/>
    <row r="6587" ht="14.25"/>
    <row r="6588" ht="14.25"/>
    <row r="6589" ht="14.25"/>
    <row r="6590" ht="14.25"/>
    <row r="6591" ht="14.25"/>
    <row r="6592" ht="14.25"/>
    <row r="6593" ht="14.25"/>
    <row r="6594" ht="14.25"/>
    <row r="6595" ht="14.25"/>
    <row r="6596" ht="14.25"/>
    <row r="6597" ht="14.25"/>
    <row r="6598" ht="14.25"/>
    <row r="6599" ht="14.25"/>
    <row r="6600" ht="14.25"/>
    <row r="6601" ht="14.25"/>
    <row r="6602" ht="14.25"/>
    <row r="6603" ht="14.25"/>
    <row r="6604" ht="14.25"/>
    <row r="6605" ht="14.25"/>
    <row r="6606" ht="14.25"/>
    <row r="6607" ht="14.25"/>
    <row r="6608" ht="14.25"/>
    <row r="6609" ht="14.25"/>
    <row r="6610" ht="14.25"/>
    <row r="6611" ht="14.25"/>
    <row r="6612" ht="14.25"/>
    <row r="6613" ht="14.25"/>
    <row r="6614" ht="14.25"/>
    <row r="6615" ht="14.25"/>
    <row r="6616" ht="14.25"/>
    <row r="6617" ht="14.25"/>
    <row r="6618" ht="14.25"/>
    <row r="6619" ht="14.25"/>
    <row r="6620" ht="14.25"/>
    <row r="6621" ht="14.25"/>
    <row r="6622" ht="14.25"/>
    <row r="6623" ht="14.25"/>
    <row r="6624" ht="14.25"/>
    <row r="6625" ht="14.25"/>
    <row r="6626" ht="14.25"/>
    <row r="6627" ht="14.25"/>
    <row r="6628" ht="14.25"/>
    <row r="6629" ht="14.25"/>
    <row r="6630" ht="14.25"/>
    <row r="6631" ht="14.25"/>
    <row r="6632" ht="14.25"/>
    <row r="6633" ht="14.25"/>
    <row r="6634" ht="14.25"/>
    <row r="6635" ht="14.25"/>
    <row r="6636" ht="14.25"/>
    <row r="6637" ht="14.25"/>
    <row r="6638" ht="14.25"/>
    <row r="6639" ht="14.25"/>
    <row r="6640" ht="14.25"/>
    <row r="6641" ht="14.25"/>
    <row r="6642" ht="14.25"/>
    <row r="6643" ht="14.25"/>
    <row r="6644" ht="14.25"/>
    <row r="6645" ht="14.25"/>
    <row r="6646" ht="14.25"/>
    <row r="6647" ht="14.25"/>
    <row r="6648" ht="14.25"/>
    <row r="6649" ht="14.25"/>
    <row r="6650" ht="14.25"/>
    <row r="6651" ht="14.25"/>
    <row r="6652" ht="14.25"/>
    <row r="6653" ht="14.25"/>
    <row r="6654" ht="14.25"/>
    <row r="6655" ht="14.25"/>
    <row r="6656" ht="14.25"/>
    <row r="6657" ht="14.25"/>
    <row r="6658" ht="14.25"/>
    <row r="6659" ht="14.25"/>
    <row r="6660" ht="14.25"/>
    <row r="6661" ht="14.25"/>
    <row r="6662" ht="14.25"/>
    <row r="6663" ht="14.25"/>
    <row r="6664" ht="14.25"/>
    <row r="6665" ht="14.25"/>
    <row r="6666" ht="14.25"/>
    <row r="6667" ht="14.25"/>
    <row r="6668" ht="14.25"/>
    <row r="6669" ht="14.25"/>
    <row r="6670" ht="14.25"/>
    <row r="6671" ht="14.25"/>
    <row r="6672" ht="14.25"/>
    <row r="6673" ht="14.25"/>
    <row r="6674" ht="14.25"/>
    <row r="6675" ht="14.25"/>
    <row r="6676" ht="14.25"/>
    <row r="6677" ht="14.25"/>
    <row r="6678" ht="14.25"/>
    <row r="6679" ht="14.25"/>
    <row r="6680" ht="14.25"/>
    <row r="6681" ht="14.25"/>
    <row r="6682" ht="14.25"/>
    <row r="6683" ht="14.25"/>
    <row r="6684" ht="14.25"/>
    <row r="6685" ht="14.25"/>
    <row r="6686" ht="14.25"/>
    <row r="6687" ht="14.25"/>
    <row r="6688" ht="14.25"/>
    <row r="6689" ht="14.25"/>
    <row r="6690" ht="14.25"/>
    <row r="6691" ht="14.25"/>
    <row r="6692" ht="14.25"/>
    <row r="6693" ht="14.25"/>
    <row r="6694" ht="14.25"/>
    <row r="6695" ht="14.25"/>
    <row r="6696" ht="14.25"/>
    <row r="6697" ht="14.25"/>
    <row r="6698" ht="14.25"/>
    <row r="6699" ht="14.25"/>
    <row r="6700" ht="14.25"/>
    <row r="6701" ht="14.25"/>
    <row r="6702" ht="14.25"/>
    <row r="6703" ht="14.25"/>
    <row r="6704" ht="14.25"/>
    <row r="6705" ht="14.25"/>
    <row r="6706" ht="14.25"/>
    <row r="6707" ht="14.25"/>
    <row r="6708" ht="14.25"/>
    <row r="6709" ht="14.25"/>
    <row r="6710" ht="14.25"/>
    <row r="6711" ht="14.25"/>
    <row r="6712" ht="14.25"/>
    <row r="6713" ht="14.25"/>
    <row r="6714" ht="14.25"/>
    <row r="6715" ht="14.25"/>
    <row r="6716" ht="14.25"/>
    <row r="6717" ht="14.25"/>
    <row r="6718" ht="14.25"/>
    <row r="6719" ht="14.25"/>
    <row r="6720" ht="14.25"/>
    <row r="6721" ht="14.25"/>
    <row r="6722" ht="14.25"/>
    <row r="6723" ht="14.25"/>
    <row r="6724" ht="14.25"/>
    <row r="6725" ht="14.25"/>
    <row r="6726" ht="14.25"/>
    <row r="6727" ht="14.25"/>
    <row r="6728" ht="14.25"/>
    <row r="6729" ht="14.25"/>
    <row r="6730" ht="14.25"/>
    <row r="6731" ht="14.25"/>
    <row r="6732" ht="14.25"/>
    <row r="6733" ht="14.25"/>
    <row r="6734" ht="14.25"/>
    <row r="6735" ht="14.25"/>
    <row r="6736" ht="14.25"/>
    <row r="6737" ht="14.25"/>
    <row r="6738" ht="14.25"/>
    <row r="6739" ht="14.25"/>
    <row r="6740" ht="14.25"/>
    <row r="6741" ht="14.25"/>
    <row r="6742" ht="14.25"/>
    <row r="6743" ht="14.25"/>
    <row r="6744" ht="14.25"/>
    <row r="6745" ht="14.25"/>
    <row r="6746" ht="14.25"/>
    <row r="6747" ht="14.25"/>
    <row r="6748" ht="14.25"/>
    <row r="6749" ht="14.25"/>
    <row r="6750" ht="14.25"/>
    <row r="6751" ht="14.25"/>
    <row r="6752" ht="14.25"/>
    <row r="6753" ht="14.25"/>
    <row r="6754" ht="14.25"/>
    <row r="6755" ht="14.25"/>
    <row r="6756" ht="14.25"/>
    <row r="6757" ht="14.25"/>
    <row r="6758" ht="14.25"/>
    <row r="6759" ht="14.25"/>
    <row r="6760" ht="14.25"/>
    <row r="6761" ht="14.25"/>
    <row r="6762" ht="14.25"/>
    <row r="6763" ht="14.25"/>
    <row r="6764" ht="14.25"/>
    <row r="6765" ht="14.25"/>
    <row r="6766" ht="14.25"/>
    <row r="6767" ht="14.25"/>
    <row r="6768" ht="14.25"/>
    <row r="6769" ht="14.25"/>
    <row r="6770" ht="14.25"/>
    <row r="6771" ht="14.25"/>
    <row r="6772" ht="14.25"/>
    <row r="6773" ht="14.25"/>
    <row r="6774" ht="14.25"/>
    <row r="6775" ht="14.25"/>
    <row r="6776" ht="14.25"/>
    <row r="6777" ht="14.25"/>
    <row r="6778" ht="14.25"/>
    <row r="6779" ht="14.25"/>
    <row r="6780" ht="14.25"/>
    <row r="6781" ht="14.25"/>
    <row r="6782" ht="14.25"/>
    <row r="6783" ht="14.25"/>
    <row r="6784" ht="14.25"/>
    <row r="6785" ht="14.25"/>
    <row r="6786" ht="14.25"/>
    <row r="6787" ht="14.25"/>
    <row r="6788" ht="14.25"/>
    <row r="6789" ht="14.25"/>
    <row r="6790" ht="14.25"/>
    <row r="6791" ht="14.25"/>
    <row r="6792" ht="14.25"/>
    <row r="6793" ht="14.25"/>
    <row r="6794" ht="14.25"/>
    <row r="6795" ht="14.25"/>
    <row r="6796" ht="14.25"/>
    <row r="6797" ht="14.25"/>
    <row r="6798" ht="14.25"/>
    <row r="6799" ht="14.25"/>
    <row r="6800" ht="14.25"/>
    <row r="6801" ht="14.25"/>
    <row r="6802" ht="14.25"/>
    <row r="6803" ht="14.25"/>
    <row r="6804" ht="14.25"/>
    <row r="6805" ht="14.25"/>
    <row r="6806" ht="14.25"/>
    <row r="6807" ht="14.25"/>
    <row r="6808" ht="14.25"/>
    <row r="6809" ht="14.25"/>
    <row r="6810" ht="14.25"/>
    <row r="6811" ht="14.25"/>
    <row r="6812" ht="14.25"/>
    <row r="6813" ht="14.25"/>
    <row r="6814" ht="14.25"/>
    <row r="6815" ht="14.25"/>
    <row r="6816" ht="14.25"/>
    <row r="6817" ht="14.25"/>
    <row r="6818" ht="14.25"/>
    <row r="6819" ht="14.25"/>
    <row r="6820" ht="14.25"/>
    <row r="6821" ht="14.25"/>
    <row r="6822" ht="14.25"/>
    <row r="6823" ht="14.25"/>
    <row r="6824" ht="14.25"/>
    <row r="6825" ht="14.25"/>
    <row r="6826" ht="14.25"/>
    <row r="6827" ht="14.25"/>
    <row r="6828" ht="14.25"/>
    <row r="6829" ht="14.25"/>
    <row r="6830" ht="14.25"/>
    <row r="6831" ht="14.25"/>
    <row r="6832" ht="14.25"/>
    <row r="6833" ht="14.25"/>
    <row r="6834" ht="14.25"/>
    <row r="6835" ht="14.25"/>
    <row r="6836" ht="14.25"/>
    <row r="6837" ht="14.25"/>
    <row r="6838" ht="14.25"/>
    <row r="6839" ht="14.25"/>
    <row r="6840" ht="14.25"/>
    <row r="6841" ht="14.25"/>
    <row r="6842" ht="14.25"/>
    <row r="6843" ht="14.25"/>
    <row r="6844" ht="14.25"/>
    <row r="6845" ht="14.25"/>
    <row r="6846" ht="14.25"/>
    <row r="6847" ht="14.25"/>
    <row r="6848" ht="14.25"/>
    <row r="6849" ht="14.25"/>
    <row r="6850" ht="14.25"/>
    <row r="6851" ht="14.25"/>
    <row r="6852" ht="14.25"/>
    <row r="6853" ht="14.25"/>
    <row r="6854" ht="14.25"/>
    <row r="6855" ht="14.25"/>
    <row r="6856" ht="14.25"/>
    <row r="6857" ht="14.25"/>
    <row r="6858" ht="14.25"/>
    <row r="6859" ht="14.25"/>
    <row r="6860" ht="14.25"/>
    <row r="6861" ht="14.25"/>
    <row r="6862" ht="14.25"/>
    <row r="6863" ht="14.25"/>
    <row r="6864" ht="14.25"/>
    <row r="6865" ht="14.25"/>
    <row r="6866" ht="14.25"/>
    <row r="6867" ht="14.25"/>
    <row r="6868" ht="14.25"/>
    <row r="6869" ht="14.25"/>
    <row r="6870" ht="14.25"/>
    <row r="6871" ht="14.25"/>
    <row r="6872" ht="14.25"/>
    <row r="6873" ht="14.25"/>
    <row r="6874" ht="14.25"/>
    <row r="6875" ht="14.25"/>
    <row r="6876" ht="14.25"/>
    <row r="6877" ht="14.25"/>
    <row r="6878" ht="14.25"/>
    <row r="6879" ht="14.25"/>
    <row r="6880" ht="14.25"/>
    <row r="6881" ht="14.25"/>
    <row r="6882" ht="14.25"/>
    <row r="6883" ht="14.25"/>
    <row r="6884" ht="14.25"/>
    <row r="6885" ht="14.25"/>
    <row r="6886" ht="14.25"/>
    <row r="6887" ht="14.25"/>
    <row r="6888" ht="14.25"/>
    <row r="6889" ht="14.25"/>
    <row r="6890" ht="14.25"/>
    <row r="6891" ht="14.25"/>
    <row r="6892" ht="14.25"/>
    <row r="6893" ht="14.25"/>
    <row r="6894" ht="14.25"/>
    <row r="6895" ht="14.25"/>
    <row r="6896" ht="14.25"/>
    <row r="6897" ht="14.25"/>
    <row r="6898" ht="14.25"/>
    <row r="6899" ht="14.25"/>
    <row r="6900" ht="14.25"/>
    <row r="6901" ht="14.25"/>
    <row r="6902" ht="14.25"/>
    <row r="6903" ht="14.25"/>
    <row r="6904" ht="14.25"/>
    <row r="6905" ht="14.25"/>
    <row r="6906" ht="14.25"/>
    <row r="6907" ht="14.25"/>
    <row r="6908" ht="14.25"/>
    <row r="6909" ht="14.25"/>
    <row r="6910" ht="14.25"/>
    <row r="6911" ht="14.25"/>
    <row r="6912" ht="14.25"/>
    <row r="6913" ht="14.25"/>
    <row r="6914" ht="14.25"/>
    <row r="6915" ht="14.25"/>
    <row r="6916" ht="14.25"/>
    <row r="6917" ht="14.25"/>
    <row r="6918" ht="14.25"/>
    <row r="6919" ht="14.25"/>
    <row r="6920" ht="14.25"/>
    <row r="6921" ht="14.25"/>
    <row r="6922" ht="14.25"/>
    <row r="6923" ht="14.25"/>
    <row r="6924" ht="14.25"/>
    <row r="6925" ht="14.25"/>
    <row r="6926" ht="14.25"/>
    <row r="6927" ht="14.25"/>
    <row r="6928" ht="14.25"/>
    <row r="6929" ht="14.25"/>
    <row r="6930" ht="14.25"/>
    <row r="6931" ht="14.25"/>
    <row r="6932" ht="14.25"/>
    <row r="6933" ht="14.25"/>
    <row r="6934" ht="14.25"/>
    <row r="6935" ht="14.25"/>
    <row r="6936" ht="14.25"/>
    <row r="6937" ht="14.25"/>
    <row r="6938" ht="14.25"/>
    <row r="6939" ht="14.25"/>
    <row r="6940" ht="14.25"/>
    <row r="6941" ht="14.25"/>
    <row r="6942" ht="14.25"/>
    <row r="6943" ht="14.25"/>
    <row r="6944" ht="14.25"/>
    <row r="6945" ht="14.25"/>
    <row r="6946" ht="14.25"/>
    <row r="6947" ht="14.25"/>
    <row r="6948" ht="14.25"/>
    <row r="6949" ht="14.25"/>
    <row r="6950" ht="14.25"/>
    <row r="6951" ht="14.25"/>
    <row r="6952" ht="14.25"/>
    <row r="6953" ht="14.25"/>
    <row r="6954" ht="14.25"/>
    <row r="6955" ht="14.25"/>
    <row r="6956" ht="14.25"/>
    <row r="6957" ht="14.25"/>
    <row r="6958" ht="14.25"/>
    <row r="6959" ht="14.25"/>
    <row r="6960" ht="14.25"/>
    <row r="6961" ht="14.25"/>
    <row r="6962" ht="14.25"/>
    <row r="6963" ht="14.25"/>
    <row r="6964" ht="14.25"/>
    <row r="6965" ht="14.25"/>
    <row r="6966" ht="14.25"/>
    <row r="6967" ht="14.25"/>
    <row r="6968" ht="14.25"/>
    <row r="6969" ht="14.25"/>
    <row r="6970" ht="14.25"/>
    <row r="6971" ht="14.25"/>
    <row r="6972" ht="14.25"/>
    <row r="6973" ht="14.25"/>
    <row r="6974" ht="14.25"/>
    <row r="6975" ht="14.25"/>
    <row r="6976" ht="14.25"/>
    <row r="6977" ht="14.25"/>
    <row r="6978" ht="14.25"/>
    <row r="6979" ht="14.25"/>
    <row r="6980" ht="14.25"/>
    <row r="6981" ht="14.25"/>
    <row r="6982" ht="14.25"/>
    <row r="6983" ht="14.25"/>
    <row r="6984" ht="14.25"/>
    <row r="6985" ht="14.25"/>
    <row r="6986" ht="14.25"/>
    <row r="6987" ht="14.25"/>
    <row r="6988" ht="14.25"/>
    <row r="6989" ht="14.25"/>
    <row r="6990" ht="14.25"/>
    <row r="6991" ht="14.25"/>
    <row r="6992" ht="14.25"/>
    <row r="6993" ht="14.25"/>
    <row r="6994" ht="14.25"/>
    <row r="6995" ht="14.25"/>
    <row r="6996" ht="14.25"/>
    <row r="6997" ht="14.25"/>
    <row r="6998" ht="14.25"/>
    <row r="6999" ht="14.25"/>
    <row r="7000" ht="14.25"/>
    <row r="7001" ht="14.25"/>
    <row r="7002" ht="14.25"/>
    <row r="7003" ht="14.25"/>
    <row r="7004" ht="14.25"/>
    <row r="7005" ht="14.25"/>
    <row r="7006" ht="14.25"/>
    <row r="7007" ht="14.25"/>
    <row r="7008" ht="14.25"/>
    <row r="7009" ht="14.25"/>
    <row r="7010" ht="14.25"/>
    <row r="7011" ht="14.25"/>
    <row r="7012" ht="14.25"/>
    <row r="7013" ht="14.25"/>
    <row r="7014" ht="14.25"/>
    <row r="7015" ht="14.25"/>
    <row r="7016" ht="14.25"/>
    <row r="7017" ht="14.25"/>
    <row r="7018" ht="14.25"/>
    <row r="7019" ht="14.25"/>
    <row r="7020" ht="14.25"/>
    <row r="7021" ht="14.25"/>
    <row r="7022" ht="14.25"/>
    <row r="7023" ht="14.25"/>
    <row r="7024" ht="14.25"/>
    <row r="7025" ht="14.25"/>
    <row r="7026" ht="14.25"/>
    <row r="7027" ht="14.25"/>
    <row r="7028" ht="14.25"/>
    <row r="7029" ht="14.25"/>
    <row r="7030" ht="14.25"/>
    <row r="7031" ht="14.25"/>
    <row r="7032" ht="14.25"/>
    <row r="7033" ht="14.25"/>
    <row r="7034" ht="14.25"/>
    <row r="7035" ht="14.25"/>
    <row r="7036" ht="14.25"/>
    <row r="7037" ht="14.25"/>
    <row r="7038" ht="14.25"/>
    <row r="7039" ht="14.25"/>
    <row r="7040" ht="14.25"/>
    <row r="7041" ht="14.25"/>
    <row r="7042" ht="14.25"/>
    <row r="7043" ht="14.25"/>
    <row r="7044" ht="14.25"/>
    <row r="7045" ht="14.25"/>
    <row r="7046" ht="14.25"/>
    <row r="7047" ht="14.25"/>
    <row r="7048" ht="14.25"/>
    <row r="7049" ht="14.25"/>
    <row r="7050" ht="14.25"/>
    <row r="7051" ht="14.25"/>
    <row r="7052" ht="14.25"/>
    <row r="7053" ht="14.25"/>
    <row r="7054" ht="14.25"/>
    <row r="7055" ht="14.25"/>
    <row r="7056" ht="14.25"/>
    <row r="7057" ht="14.25"/>
    <row r="7058" ht="14.25"/>
    <row r="7059" ht="14.25"/>
    <row r="7060" ht="14.25"/>
    <row r="7061" ht="14.25"/>
    <row r="7062" ht="14.25"/>
    <row r="7063" ht="14.25"/>
    <row r="7064" ht="14.25"/>
    <row r="7065" ht="14.25"/>
    <row r="7066" ht="14.25"/>
    <row r="7067" ht="14.25"/>
    <row r="7068" ht="14.25"/>
    <row r="7069" ht="14.25"/>
    <row r="7070" ht="14.25"/>
    <row r="7071" ht="14.25"/>
    <row r="7072" ht="14.25"/>
    <row r="7073" ht="14.25"/>
    <row r="7074" ht="14.25"/>
    <row r="7075" ht="14.25"/>
    <row r="7076" ht="14.25"/>
    <row r="7077" ht="14.25"/>
    <row r="7078" ht="14.25"/>
    <row r="7079" ht="14.25"/>
    <row r="7080" ht="14.25"/>
    <row r="7081" ht="14.25"/>
    <row r="7082" ht="14.25"/>
    <row r="7083" ht="14.25"/>
    <row r="7084" ht="14.25"/>
    <row r="7085" ht="14.25"/>
    <row r="7086" ht="14.25"/>
    <row r="7087" ht="14.25"/>
    <row r="7088" ht="14.25"/>
    <row r="7089" ht="14.25"/>
    <row r="7090" ht="14.25"/>
    <row r="7091" ht="14.25"/>
    <row r="7092" ht="14.25"/>
    <row r="7093" ht="14.25"/>
    <row r="7094" ht="14.25"/>
    <row r="7095" ht="14.25"/>
    <row r="7096" ht="14.25"/>
    <row r="7097" ht="14.25"/>
    <row r="7098" ht="14.25"/>
    <row r="7099" ht="14.25"/>
    <row r="7100" ht="14.25"/>
    <row r="7101" ht="14.25"/>
    <row r="7102" ht="14.25"/>
    <row r="7103" ht="14.25"/>
    <row r="7104" ht="14.25"/>
    <row r="7105" ht="14.25"/>
    <row r="7106" ht="14.25"/>
    <row r="7107" ht="14.25"/>
    <row r="7108" ht="14.25"/>
    <row r="7109" ht="14.25"/>
    <row r="7110" ht="14.25"/>
    <row r="7111" ht="14.25"/>
    <row r="7112" ht="14.25"/>
    <row r="7113" ht="14.25"/>
    <row r="7114" ht="14.25"/>
    <row r="7115" ht="14.25"/>
    <row r="7116" ht="14.25"/>
    <row r="7117" ht="14.25"/>
    <row r="7118" ht="14.25"/>
    <row r="7119" ht="14.25"/>
    <row r="7120" ht="14.25"/>
    <row r="7121" ht="14.25"/>
    <row r="7122" ht="14.25"/>
    <row r="7123" ht="14.25"/>
    <row r="7124" ht="14.25"/>
    <row r="7125" ht="14.25"/>
    <row r="7126" ht="14.25"/>
    <row r="7127" ht="14.25"/>
    <row r="7128" ht="14.25"/>
    <row r="7129" ht="14.25"/>
    <row r="7130" ht="14.25"/>
    <row r="7131" ht="14.25"/>
    <row r="7132" ht="14.25"/>
    <row r="7133" ht="14.25"/>
    <row r="7134" ht="14.25"/>
    <row r="7135" ht="14.25"/>
    <row r="7136" ht="14.25"/>
    <row r="7137" ht="14.25"/>
    <row r="7138" ht="14.25"/>
    <row r="7139" ht="14.25"/>
    <row r="7140" ht="14.25"/>
    <row r="7141" ht="14.25"/>
    <row r="7142" ht="14.25"/>
    <row r="7143" ht="14.25"/>
    <row r="7144" ht="14.25"/>
    <row r="7145" ht="14.25"/>
    <row r="7146" ht="14.25"/>
    <row r="7147" ht="14.25"/>
    <row r="7148" ht="14.25"/>
    <row r="7149" ht="14.25"/>
    <row r="7150" ht="14.25"/>
    <row r="7151" ht="14.25"/>
    <row r="7152" ht="14.25"/>
    <row r="7153" ht="14.25"/>
    <row r="7154" ht="14.25"/>
    <row r="7155" ht="14.25"/>
    <row r="7156" ht="14.25"/>
    <row r="7157" ht="14.25"/>
    <row r="7158" ht="14.25"/>
    <row r="7159" ht="14.25"/>
    <row r="7160" ht="14.25"/>
    <row r="7161" ht="14.25"/>
    <row r="7162" ht="14.25"/>
    <row r="7163" ht="14.25"/>
    <row r="7164" ht="14.25"/>
    <row r="7165" ht="14.25"/>
    <row r="7166" ht="14.25"/>
    <row r="7167" ht="14.25"/>
    <row r="7168" ht="14.25"/>
    <row r="7169" ht="14.25"/>
    <row r="7170" ht="14.25"/>
    <row r="7171" ht="14.25"/>
    <row r="7172" ht="14.25"/>
    <row r="7173" ht="14.25"/>
    <row r="7174" ht="14.25"/>
    <row r="7175" ht="14.25"/>
    <row r="7176" ht="14.25"/>
    <row r="7177" ht="14.25"/>
    <row r="7178" ht="14.25"/>
    <row r="7179" ht="14.25"/>
    <row r="7180" ht="14.25"/>
    <row r="7181" ht="14.25"/>
    <row r="7182" ht="14.25"/>
    <row r="7183" ht="14.25"/>
    <row r="7184" ht="14.25"/>
    <row r="7185" ht="14.25"/>
    <row r="7186" ht="14.25"/>
    <row r="7187" ht="14.25"/>
    <row r="7188" ht="14.25"/>
    <row r="7189" ht="14.25"/>
    <row r="7190" ht="14.25"/>
    <row r="7191" ht="14.25"/>
    <row r="7192" ht="14.25"/>
    <row r="7193" ht="14.25"/>
    <row r="7194" ht="14.25"/>
    <row r="7195" ht="14.25"/>
    <row r="7196" ht="14.25"/>
    <row r="7197" ht="14.25"/>
    <row r="7198" ht="14.25"/>
    <row r="7199" ht="14.25"/>
    <row r="7200" ht="14.25"/>
    <row r="7201" ht="14.25"/>
    <row r="7202" ht="14.25"/>
    <row r="7203" ht="14.25"/>
    <row r="7204" ht="14.25"/>
    <row r="7205" ht="14.25"/>
    <row r="7206" ht="14.25"/>
    <row r="7207" ht="14.25"/>
    <row r="7208" ht="14.25"/>
    <row r="7209" ht="14.25"/>
    <row r="7210" ht="14.25"/>
    <row r="7211" ht="14.25"/>
    <row r="7212" ht="14.25"/>
    <row r="7213" ht="14.25"/>
    <row r="7214" ht="14.25"/>
    <row r="7215" ht="14.25"/>
    <row r="7216" ht="14.25"/>
    <row r="7217" ht="14.25"/>
    <row r="7218" ht="14.25"/>
    <row r="7219" ht="14.25"/>
    <row r="7220" ht="14.25"/>
    <row r="7221" ht="14.25"/>
    <row r="7222" ht="14.25"/>
    <row r="7223" ht="14.25"/>
    <row r="7224" ht="14.25"/>
    <row r="7225" ht="14.25"/>
    <row r="7226" ht="14.25"/>
    <row r="7227" ht="14.25"/>
    <row r="7228" ht="14.25"/>
    <row r="7229" ht="14.25"/>
    <row r="7230" ht="14.25"/>
    <row r="7231" ht="14.25"/>
    <row r="7232" ht="14.25"/>
    <row r="7233" ht="14.25"/>
    <row r="7234" ht="14.25"/>
    <row r="7235" ht="14.25"/>
    <row r="7236" ht="14.25"/>
    <row r="7237" ht="14.25"/>
    <row r="7238" ht="14.25"/>
    <row r="7239" ht="14.25"/>
    <row r="7240" ht="14.25"/>
    <row r="7241" ht="14.25"/>
    <row r="7242" ht="14.25"/>
    <row r="7243" ht="14.25"/>
    <row r="7244" ht="14.25"/>
    <row r="7245" ht="14.25"/>
    <row r="7246" ht="14.25"/>
    <row r="7247" ht="14.25"/>
    <row r="7248" ht="14.25"/>
    <row r="7249" ht="14.25"/>
    <row r="7250" ht="14.25"/>
    <row r="7251" ht="14.25"/>
    <row r="7252" ht="14.25"/>
    <row r="7253" ht="14.25"/>
    <row r="7254" ht="14.25"/>
    <row r="7255" ht="14.25"/>
    <row r="7256" ht="14.25"/>
    <row r="7257" ht="14.25"/>
    <row r="7258" ht="14.25"/>
    <row r="7259" ht="14.25"/>
    <row r="7260" ht="14.25"/>
    <row r="7261" ht="14.25"/>
    <row r="7262" ht="14.25"/>
    <row r="7263" ht="14.25"/>
    <row r="7264" ht="14.25"/>
    <row r="7265" ht="14.25"/>
    <row r="7266" ht="14.25"/>
    <row r="7267" ht="14.25"/>
    <row r="7268" ht="14.25"/>
    <row r="7269" ht="14.25"/>
    <row r="7270" ht="14.25"/>
    <row r="7271" ht="14.25"/>
    <row r="7272" ht="14.25"/>
    <row r="7273" ht="14.25"/>
    <row r="7274" ht="14.25"/>
    <row r="7275" ht="14.25"/>
    <row r="7276" ht="14.25"/>
    <row r="7277" ht="14.25"/>
    <row r="7278" ht="14.25"/>
    <row r="7279" ht="14.25"/>
    <row r="7280" ht="14.25"/>
    <row r="7281" ht="14.25"/>
    <row r="7282" ht="14.25"/>
    <row r="7283" ht="14.25"/>
    <row r="7284" ht="14.25"/>
    <row r="7285" ht="14.25"/>
    <row r="7286" ht="14.25"/>
    <row r="7287" ht="14.25"/>
    <row r="7288" ht="14.25"/>
    <row r="7289" ht="14.25"/>
    <row r="7290" ht="14.25"/>
    <row r="7291" ht="14.25"/>
    <row r="7292" ht="14.25"/>
    <row r="7293" ht="14.25"/>
    <row r="7294" ht="14.25"/>
    <row r="7295" ht="14.25"/>
    <row r="7296" ht="14.25"/>
    <row r="7297" ht="14.25"/>
    <row r="7298" ht="14.25"/>
    <row r="7299" ht="14.25"/>
    <row r="7300" ht="14.25"/>
    <row r="7301" ht="14.25"/>
    <row r="7302" ht="14.25"/>
    <row r="7303" ht="14.25"/>
    <row r="7304" ht="14.25"/>
    <row r="7305" ht="14.25"/>
    <row r="7306" ht="14.25"/>
    <row r="7307" ht="14.25"/>
    <row r="7308" ht="14.25"/>
    <row r="7309" ht="14.25"/>
    <row r="7310" ht="14.25"/>
    <row r="7311" ht="14.25"/>
    <row r="7312" ht="14.25"/>
    <row r="7313" ht="14.25"/>
    <row r="7314" ht="14.25"/>
    <row r="7315" ht="14.25"/>
    <row r="7316" ht="14.25"/>
    <row r="7317" ht="14.25"/>
    <row r="7318" ht="14.25"/>
    <row r="7319" ht="14.25"/>
    <row r="7320" ht="14.25"/>
    <row r="7321" ht="14.25"/>
    <row r="7322" ht="14.25"/>
    <row r="7323" ht="14.25"/>
    <row r="7324" ht="14.25"/>
    <row r="7325" ht="14.25"/>
    <row r="7326" ht="14.25"/>
    <row r="7327" ht="14.25"/>
    <row r="7328" ht="14.25"/>
    <row r="7329" ht="14.25"/>
    <row r="7330" ht="14.25"/>
    <row r="7331" ht="14.25"/>
    <row r="7332" ht="14.25"/>
    <row r="7333" ht="14.25"/>
    <row r="7334" ht="14.25"/>
    <row r="7335" ht="14.25"/>
    <row r="7336" ht="14.25"/>
    <row r="7337" ht="14.25"/>
    <row r="7338" ht="14.25"/>
    <row r="7339" ht="14.25"/>
    <row r="7340" ht="14.25"/>
    <row r="7341" ht="14.25"/>
    <row r="7342" ht="14.25"/>
    <row r="7343" ht="14.25"/>
    <row r="7344" ht="14.25"/>
    <row r="7345" ht="14.25"/>
    <row r="7346" ht="14.25"/>
    <row r="7347" ht="14.25"/>
    <row r="7348" ht="14.25"/>
    <row r="7349" ht="14.25"/>
    <row r="7350" ht="14.25"/>
    <row r="7351" ht="14.25"/>
    <row r="7352" ht="14.25"/>
    <row r="7353" ht="14.25"/>
    <row r="7354" ht="14.25"/>
    <row r="7355" ht="14.25"/>
    <row r="7356" ht="14.25"/>
    <row r="7357" ht="14.25"/>
    <row r="7358" ht="14.25"/>
    <row r="7359" ht="14.25"/>
    <row r="7360" ht="14.25"/>
    <row r="7361" ht="14.25"/>
    <row r="7362" ht="14.25"/>
    <row r="7363" ht="14.25"/>
    <row r="7364" ht="14.25"/>
    <row r="7365" ht="14.25"/>
    <row r="7366" ht="14.25"/>
    <row r="7367" ht="14.25"/>
    <row r="7368" ht="14.25"/>
    <row r="7369" ht="14.25"/>
    <row r="7370" ht="14.25"/>
    <row r="7371" ht="14.25"/>
    <row r="7372" ht="14.25"/>
    <row r="7373" ht="14.25"/>
    <row r="7374" ht="14.25"/>
    <row r="7375" ht="14.25"/>
    <row r="7376" ht="14.25"/>
    <row r="7377" ht="14.25"/>
    <row r="7378" ht="14.25"/>
    <row r="7379" ht="14.25"/>
    <row r="7380" ht="14.25"/>
    <row r="7381" ht="14.25"/>
    <row r="7382" ht="14.25"/>
    <row r="7383" ht="14.25"/>
    <row r="7384" ht="14.25"/>
    <row r="7385" ht="14.25"/>
    <row r="7386" ht="14.25"/>
    <row r="7387" ht="14.25"/>
    <row r="7388" ht="14.25"/>
    <row r="7389" ht="14.25"/>
    <row r="7390" ht="14.25"/>
    <row r="7391" ht="14.25"/>
    <row r="7392" ht="14.25"/>
    <row r="7393" ht="14.25"/>
    <row r="7394" ht="14.25"/>
    <row r="7395" ht="14.25"/>
    <row r="7396" ht="14.25"/>
    <row r="7397" ht="14.25"/>
    <row r="7398" ht="14.25"/>
    <row r="7399" ht="14.25"/>
    <row r="7400" ht="14.25"/>
    <row r="7401" ht="14.25"/>
    <row r="7402" ht="14.25"/>
    <row r="7403" ht="14.25"/>
    <row r="7404" ht="14.25"/>
    <row r="7405" ht="14.25"/>
    <row r="7406" ht="14.25"/>
    <row r="7407" ht="14.25"/>
    <row r="7408" ht="14.25"/>
    <row r="7409" ht="14.25"/>
    <row r="7410" ht="14.25"/>
    <row r="7411" ht="14.25"/>
    <row r="7412" ht="14.25"/>
    <row r="7413" ht="14.25"/>
    <row r="7414" ht="14.25"/>
    <row r="7415" ht="14.25"/>
    <row r="7416" ht="14.25"/>
    <row r="7417" ht="14.25"/>
    <row r="7418" ht="14.25"/>
    <row r="7419" ht="14.25"/>
    <row r="7420" ht="14.25"/>
    <row r="7421" ht="14.25"/>
    <row r="7422" ht="14.25"/>
    <row r="7423" ht="14.25"/>
    <row r="7424" ht="14.25"/>
    <row r="7425" ht="14.25"/>
    <row r="7426" ht="14.25"/>
    <row r="7427" ht="14.25"/>
    <row r="7428" ht="14.25"/>
    <row r="7429" ht="14.25"/>
    <row r="7430" ht="14.25"/>
    <row r="7431" ht="14.25"/>
    <row r="7432" ht="14.25"/>
    <row r="7433" ht="14.25"/>
    <row r="7434" ht="14.25"/>
    <row r="7435" ht="14.25"/>
    <row r="7436" ht="14.25"/>
    <row r="7437" ht="14.25"/>
    <row r="7438" ht="14.25"/>
    <row r="7439" ht="14.25"/>
    <row r="7440" ht="14.25"/>
    <row r="7441" ht="14.25"/>
    <row r="7442" ht="14.25"/>
    <row r="7443" ht="14.25"/>
    <row r="7444" ht="14.25"/>
    <row r="7445" ht="14.25"/>
    <row r="7446" ht="14.25"/>
    <row r="7447" ht="14.25"/>
    <row r="7448" ht="14.25"/>
    <row r="7449" ht="14.25"/>
    <row r="7450" ht="14.25"/>
    <row r="7451" ht="14.25"/>
    <row r="7452" ht="14.25"/>
    <row r="7453" ht="14.25"/>
    <row r="7454" ht="14.25"/>
    <row r="7455" ht="14.25"/>
    <row r="7456" ht="14.25"/>
    <row r="7457" ht="14.25"/>
    <row r="7458" ht="14.25"/>
    <row r="7459" ht="14.25"/>
    <row r="7460" ht="14.25"/>
    <row r="7461" ht="14.25"/>
    <row r="7462" ht="14.25"/>
    <row r="7463" ht="14.25"/>
    <row r="7464" ht="14.25"/>
    <row r="7465" ht="14.25"/>
    <row r="7466" ht="14.25"/>
    <row r="7467" ht="14.25"/>
    <row r="7468" ht="14.25"/>
    <row r="7469" ht="14.25"/>
    <row r="7470" ht="14.25"/>
    <row r="7471" ht="14.25"/>
    <row r="7472" ht="14.25"/>
    <row r="7473" ht="14.25"/>
    <row r="7474" ht="14.25"/>
    <row r="7475" ht="14.25"/>
    <row r="7476" ht="14.25"/>
    <row r="7477" ht="14.25"/>
    <row r="7478" ht="14.25"/>
    <row r="7479" ht="14.25"/>
    <row r="7480" ht="14.25"/>
    <row r="7481" ht="14.25"/>
    <row r="7482" ht="14.25"/>
    <row r="7483" ht="14.25"/>
    <row r="7484" ht="14.25"/>
    <row r="7485" ht="14.25"/>
    <row r="7486" ht="14.25"/>
    <row r="7487" ht="14.25"/>
    <row r="7488" ht="14.25"/>
    <row r="7489" ht="14.25"/>
    <row r="7490" ht="14.25"/>
    <row r="7491" ht="14.25"/>
    <row r="7492" ht="14.25"/>
    <row r="7493" ht="14.25"/>
    <row r="7494" ht="14.25"/>
    <row r="7495" ht="14.25"/>
    <row r="7496" ht="14.25"/>
    <row r="7497" ht="14.25"/>
    <row r="7498" ht="14.25"/>
    <row r="7499" ht="14.25"/>
    <row r="7500" ht="14.25"/>
    <row r="7501" ht="14.25"/>
    <row r="7502" ht="14.25"/>
    <row r="7503" ht="14.25"/>
    <row r="7504" ht="14.25"/>
    <row r="7505" ht="14.25"/>
    <row r="7506" ht="14.25"/>
    <row r="7507" ht="14.25"/>
    <row r="7508" ht="14.25"/>
    <row r="7509" ht="14.25"/>
    <row r="7510" ht="14.25"/>
    <row r="7511" ht="14.25"/>
    <row r="7512" ht="14.25"/>
    <row r="7513" ht="14.25"/>
    <row r="7514" ht="14.25"/>
    <row r="7515" ht="14.25"/>
    <row r="7516" ht="14.25"/>
    <row r="7517" ht="14.25"/>
    <row r="7518" ht="14.25"/>
    <row r="7519" ht="14.25"/>
    <row r="7520" ht="14.25"/>
    <row r="7521" ht="14.25"/>
    <row r="7522" ht="14.25"/>
    <row r="7523" ht="14.25"/>
    <row r="7524" ht="14.25"/>
    <row r="7525" ht="14.25"/>
    <row r="7526" ht="14.25"/>
    <row r="7527" ht="14.25"/>
    <row r="7528" ht="14.25"/>
    <row r="7529" ht="14.25"/>
    <row r="7530" ht="14.25"/>
    <row r="7531" ht="14.25"/>
    <row r="7532" ht="14.25"/>
    <row r="7533" ht="14.25"/>
    <row r="7534" ht="14.25"/>
    <row r="7535" ht="14.25"/>
    <row r="7536" ht="14.25"/>
    <row r="7537" ht="14.25"/>
    <row r="7538" ht="14.25"/>
    <row r="7539" ht="14.25"/>
    <row r="7540" ht="14.25"/>
    <row r="7541" ht="14.25"/>
    <row r="7542" ht="14.25"/>
    <row r="7543" ht="14.25"/>
    <row r="7544" ht="14.25"/>
    <row r="7545" ht="14.25"/>
    <row r="7546" ht="14.25"/>
    <row r="7547" ht="14.25"/>
    <row r="7548" ht="14.25"/>
    <row r="7549" ht="14.25"/>
    <row r="7550" ht="14.25"/>
    <row r="7551" ht="14.25"/>
    <row r="7552" ht="14.25"/>
    <row r="7553" ht="14.25"/>
    <row r="7554" ht="14.25"/>
    <row r="7555" ht="14.25"/>
    <row r="7556" ht="14.25"/>
    <row r="7557" ht="14.25"/>
    <row r="7558" ht="14.25"/>
    <row r="7559" ht="14.25"/>
    <row r="7560" ht="14.25"/>
    <row r="7561" ht="14.25"/>
    <row r="7562" ht="14.25"/>
    <row r="7563" ht="14.25"/>
    <row r="7564" ht="14.25"/>
    <row r="7565" ht="14.25"/>
    <row r="7566" ht="14.25"/>
    <row r="7567" ht="14.25"/>
    <row r="7568" ht="14.25"/>
    <row r="7569" ht="14.25"/>
    <row r="7570" ht="14.25"/>
    <row r="7571" ht="14.25"/>
    <row r="7572" ht="14.25"/>
    <row r="7573" ht="14.25"/>
    <row r="7574" ht="14.25"/>
    <row r="7575" ht="14.25"/>
    <row r="7576" ht="14.25"/>
    <row r="7577" ht="14.25"/>
    <row r="7578" ht="14.25"/>
    <row r="7579" ht="14.25"/>
    <row r="7580" ht="14.25"/>
    <row r="7581" ht="14.25"/>
    <row r="7582" ht="14.25"/>
    <row r="7583" ht="14.25"/>
    <row r="7584" ht="14.25"/>
    <row r="7585" ht="14.25"/>
    <row r="7586" ht="14.25"/>
    <row r="7587" ht="14.25"/>
    <row r="7588" ht="14.25"/>
    <row r="7589" ht="14.25"/>
    <row r="7590" ht="14.25"/>
    <row r="7591" ht="14.25"/>
    <row r="7592" ht="14.25"/>
    <row r="7593" ht="14.25"/>
    <row r="7594" ht="14.25"/>
    <row r="7595" ht="14.25"/>
    <row r="7596" ht="14.25"/>
    <row r="7597" ht="14.25"/>
    <row r="7598" ht="14.25"/>
    <row r="7599" ht="14.25"/>
    <row r="7600" ht="14.25"/>
    <row r="7601" ht="14.25"/>
    <row r="7602" ht="14.25"/>
    <row r="7603" ht="14.25"/>
    <row r="7604" ht="14.25"/>
    <row r="7605" ht="14.25"/>
    <row r="7606" ht="14.25"/>
    <row r="7607" ht="14.25"/>
    <row r="7608" ht="14.25"/>
    <row r="7609" ht="14.25"/>
    <row r="7610" ht="14.25"/>
    <row r="7611" ht="14.25"/>
    <row r="7612" ht="14.25"/>
    <row r="7613" ht="14.25"/>
    <row r="7614" ht="14.25"/>
    <row r="7615" ht="14.25"/>
    <row r="7616" ht="14.25"/>
    <row r="7617" ht="14.25"/>
    <row r="7618" ht="14.25"/>
    <row r="7619" ht="14.25"/>
    <row r="7620" ht="14.25"/>
    <row r="7621" ht="14.25"/>
    <row r="7622" ht="14.25"/>
    <row r="7623" ht="14.25"/>
    <row r="7624" ht="14.25"/>
    <row r="7625" ht="14.25"/>
    <row r="7626" ht="14.25"/>
    <row r="7627" ht="14.25"/>
    <row r="7628" ht="14.25"/>
    <row r="7629" ht="14.25"/>
    <row r="7630" ht="14.25"/>
    <row r="7631" ht="14.25"/>
    <row r="7632" ht="14.25"/>
    <row r="7633" ht="14.25"/>
    <row r="7634" ht="14.25"/>
    <row r="7635" ht="14.25"/>
    <row r="7636" ht="14.25"/>
    <row r="7637" ht="14.25"/>
    <row r="7638" ht="14.25"/>
    <row r="7639" ht="14.25"/>
    <row r="7640" ht="14.25"/>
    <row r="7641" ht="14.25"/>
    <row r="7642" ht="14.25"/>
    <row r="7643" ht="14.25"/>
    <row r="7644" ht="14.25"/>
    <row r="7645" ht="14.25"/>
    <row r="7646" ht="14.25"/>
    <row r="7647" ht="14.25"/>
    <row r="7648" ht="14.25"/>
    <row r="7649" ht="14.25"/>
    <row r="7650" ht="14.25"/>
    <row r="7651" ht="14.25"/>
    <row r="7652" ht="14.25"/>
    <row r="7653" ht="14.25"/>
    <row r="7654" ht="14.25"/>
    <row r="7655" ht="14.25"/>
    <row r="7656" ht="14.25"/>
    <row r="7657" ht="14.25"/>
    <row r="7658" ht="14.25"/>
    <row r="7659" ht="14.25"/>
    <row r="7660" ht="14.25"/>
    <row r="7661" ht="14.25"/>
    <row r="7662" ht="14.25"/>
    <row r="7663" ht="14.25"/>
    <row r="7664" ht="14.25"/>
    <row r="7665" ht="14.25"/>
    <row r="7666" ht="14.25"/>
    <row r="7667" ht="14.25"/>
    <row r="7668" ht="14.25"/>
    <row r="7669" ht="14.25"/>
    <row r="7670" ht="14.25"/>
    <row r="7671" ht="14.25"/>
    <row r="7672" ht="14.25"/>
    <row r="7673" ht="14.25"/>
    <row r="7674" ht="14.25"/>
    <row r="7675" ht="14.25"/>
    <row r="7676" ht="14.25"/>
    <row r="7677" ht="14.25"/>
    <row r="7678" ht="14.25"/>
    <row r="7679" ht="14.25"/>
    <row r="7680" ht="14.25"/>
    <row r="7681" ht="14.25"/>
    <row r="7682" ht="14.25"/>
    <row r="7683" ht="14.25"/>
    <row r="7684" ht="14.25"/>
    <row r="7685" ht="14.25"/>
    <row r="7686" ht="14.25"/>
    <row r="7687" ht="14.25"/>
    <row r="7688" ht="14.25"/>
    <row r="7689" ht="14.25"/>
    <row r="7690" ht="14.25"/>
    <row r="7691" ht="14.25"/>
    <row r="7692" ht="14.25"/>
    <row r="7693" ht="14.25"/>
    <row r="7694" ht="14.25"/>
    <row r="7695" ht="14.25"/>
    <row r="7696" ht="14.25"/>
    <row r="7697" ht="14.25"/>
    <row r="7698" ht="14.25"/>
    <row r="7699" ht="14.25"/>
    <row r="7700" ht="14.25"/>
    <row r="7701" ht="14.25"/>
    <row r="7702" ht="14.25"/>
    <row r="7703" ht="14.25"/>
    <row r="7704" ht="14.25"/>
    <row r="7705" ht="14.25"/>
    <row r="7706" ht="14.25"/>
    <row r="7707" ht="14.25"/>
    <row r="7708" ht="14.25"/>
    <row r="7709" ht="14.25"/>
    <row r="7710" ht="14.25"/>
    <row r="7711" ht="14.25"/>
    <row r="7712" ht="14.25"/>
    <row r="7713" ht="14.25"/>
    <row r="7714" ht="14.25"/>
    <row r="7715" ht="14.25"/>
    <row r="7716" ht="14.25"/>
    <row r="7717" ht="14.25"/>
    <row r="7718" ht="14.25"/>
    <row r="7719" ht="14.25"/>
    <row r="7720" ht="14.25"/>
    <row r="7721" ht="14.25"/>
    <row r="7722" ht="14.25"/>
    <row r="7723" ht="14.25"/>
    <row r="7724" ht="14.25"/>
    <row r="7725" ht="14.25"/>
    <row r="7726" ht="14.25"/>
    <row r="7727" ht="14.25"/>
    <row r="7728" ht="14.25"/>
    <row r="7729" ht="14.25"/>
    <row r="7730" ht="14.25"/>
    <row r="7731" ht="14.25"/>
    <row r="7732" ht="14.25"/>
    <row r="7733" ht="14.25"/>
    <row r="7734" ht="14.25"/>
    <row r="7735" ht="14.25"/>
    <row r="7736" ht="14.25"/>
    <row r="7737" ht="14.25"/>
    <row r="7738" ht="14.25"/>
    <row r="7739" ht="14.25"/>
    <row r="7740" ht="14.25"/>
    <row r="7741" ht="14.25"/>
    <row r="7742" ht="14.25"/>
    <row r="7743" ht="14.25"/>
    <row r="7744" ht="14.25"/>
    <row r="7745" ht="14.25"/>
    <row r="7746" ht="14.25"/>
    <row r="7747" ht="14.25"/>
    <row r="7748" ht="14.25"/>
    <row r="7749" ht="14.25"/>
    <row r="7750" ht="14.25"/>
    <row r="7751" ht="14.25"/>
    <row r="7752" ht="14.25"/>
    <row r="7753" ht="14.25"/>
    <row r="7754" ht="14.25"/>
    <row r="7755" ht="14.25"/>
    <row r="7756" ht="14.25"/>
    <row r="7757" ht="14.25"/>
    <row r="7758" ht="14.25"/>
    <row r="7759" ht="14.25"/>
    <row r="7760" ht="14.25"/>
    <row r="7761" ht="14.25"/>
    <row r="7762" ht="14.25"/>
    <row r="7763" ht="14.25"/>
    <row r="7764" ht="14.25"/>
    <row r="7765" ht="14.25"/>
    <row r="7766" ht="14.25"/>
    <row r="7767" ht="14.25"/>
    <row r="7768" ht="14.25"/>
    <row r="7769" ht="14.25"/>
    <row r="7770" ht="14.25"/>
    <row r="7771" ht="14.25"/>
    <row r="7772" ht="14.25"/>
    <row r="7773" ht="14.25"/>
    <row r="7774" ht="14.25"/>
    <row r="7775" ht="14.25"/>
    <row r="7776" ht="14.25"/>
    <row r="7777" ht="14.25"/>
    <row r="7778" ht="14.25"/>
    <row r="7779" ht="14.25"/>
    <row r="7780" ht="14.25"/>
    <row r="7781" ht="14.25"/>
    <row r="7782" ht="14.25"/>
    <row r="7783" ht="14.25"/>
    <row r="7784" ht="14.25"/>
    <row r="7785" ht="14.25"/>
    <row r="7786" ht="14.25"/>
    <row r="7787" ht="14.25"/>
    <row r="7788" ht="14.25"/>
    <row r="7789" ht="14.25"/>
    <row r="7790" ht="14.25"/>
    <row r="7791" ht="14.25"/>
    <row r="7792" ht="14.25"/>
    <row r="7793" ht="14.25"/>
    <row r="7794" ht="14.25"/>
    <row r="7795" ht="14.25"/>
    <row r="7796" ht="14.25"/>
    <row r="7797" ht="14.25"/>
    <row r="7798" ht="14.25"/>
    <row r="7799" ht="14.25"/>
    <row r="7800" ht="14.25"/>
    <row r="7801" ht="14.25"/>
    <row r="7802" ht="14.25"/>
    <row r="7803" ht="14.25"/>
    <row r="7804" ht="14.25"/>
    <row r="7805" ht="14.25"/>
    <row r="7806" ht="14.25"/>
    <row r="7807" ht="14.25"/>
    <row r="7808" ht="14.25"/>
    <row r="7809" ht="14.25"/>
    <row r="7810" ht="14.25"/>
    <row r="7811" ht="14.25"/>
    <row r="7812" ht="14.25"/>
    <row r="7813" ht="14.25"/>
    <row r="7814" ht="14.25"/>
    <row r="7815" ht="14.25"/>
    <row r="7816" ht="14.25"/>
    <row r="7817" ht="14.25"/>
    <row r="7818" ht="14.25"/>
    <row r="7819" ht="14.25"/>
    <row r="7820" ht="14.25"/>
    <row r="7821" ht="14.25"/>
    <row r="7822" ht="14.25"/>
    <row r="7823" ht="14.25"/>
    <row r="7824" ht="14.25"/>
    <row r="7825" ht="14.25"/>
    <row r="7826" ht="14.25"/>
    <row r="7827" ht="14.25"/>
    <row r="7828" ht="14.25"/>
    <row r="7829" ht="14.25"/>
    <row r="7830" ht="14.25"/>
    <row r="7831" ht="14.25"/>
    <row r="7832" ht="14.25"/>
    <row r="7833" ht="14.25"/>
    <row r="7834" ht="14.25"/>
    <row r="7835" ht="14.25"/>
    <row r="7836" ht="14.25"/>
    <row r="7837" ht="14.25"/>
    <row r="7838" ht="14.25"/>
    <row r="7839" ht="14.25"/>
    <row r="7840" ht="14.25"/>
    <row r="7841" ht="14.25"/>
    <row r="7842" ht="14.25"/>
    <row r="7843" ht="14.25"/>
    <row r="7844" ht="14.25"/>
    <row r="7845" ht="14.25"/>
    <row r="7846" ht="14.25"/>
    <row r="7847" ht="14.25"/>
    <row r="7848" ht="14.25"/>
    <row r="7849" ht="14.25"/>
    <row r="7850" ht="14.25"/>
    <row r="7851" ht="14.25"/>
    <row r="7852" ht="14.25"/>
    <row r="7853" ht="14.25"/>
    <row r="7854" ht="14.25"/>
    <row r="7855" ht="14.25"/>
    <row r="7856" ht="14.25"/>
    <row r="7857" ht="14.25"/>
    <row r="7858" ht="14.25"/>
    <row r="7859" ht="14.25"/>
    <row r="7860" ht="14.25"/>
    <row r="7861" ht="14.25"/>
    <row r="7862" ht="14.25"/>
    <row r="7863" ht="14.25"/>
    <row r="7864" ht="14.25"/>
    <row r="7865" ht="14.25"/>
    <row r="7866" ht="14.25"/>
    <row r="7867" ht="14.25"/>
    <row r="7868" ht="14.25"/>
    <row r="7869" ht="14.25"/>
    <row r="7870" ht="14.25"/>
    <row r="7871" ht="14.25"/>
    <row r="7872" ht="14.25"/>
    <row r="7873" ht="14.25"/>
    <row r="7874" ht="14.25"/>
    <row r="7875" ht="14.25"/>
    <row r="7876" ht="14.25"/>
    <row r="7877" ht="14.25"/>
    <row r="7878" ht="14.25"/>
    <row r="7879" ht="14.25"/>
    <row r="7880" ht="14.25"/>
    <row r="7881" ht="14.25"/>
    <row r="7882" ht="14.25"/>
    <row r="7883" ht="14.25"/>
    <row r="7884" ht="14.25"/>
    <row r="7885" ht="14.25"/>
    <row r="7886" ht="14.25"/>
    <row r="7887" ht="14.25"/>
    <row r="7888" ht="14.25"/>
    <row r="7889" ht="14.25"/>
    <row r="7890" ht="14.25"/>
    <row r="7891" ht="14.25"/>
    <row r="7892" ht="14.25"/>
    <row r="7893" ht="14.25"/>
    <row r="7894" ht="14.25"/>
    <row r="7895" ht="14.25"/>
    <row r="7896" ht="14.25"/>
    <row r="7897" ht="14.25"/>
    <row r="7898" ht="14.25"/>
    <row r="7899" ht="14.25"/>
    <row r="7900" ht="14.25"/>
    <row r="7901" ht="14.25"/>
    <row r="7902" ht="14.25"/>
    <row r="7903" ht="14.25"/>
    <row r="7904" ht="14.25"/>
    <row r="7905" ht="14.25"/>
    <row r="7906" ht="14.25"/>
    <row r="7907" ht="14.25"/>
    <row r="7908" ht="14.25"/>
    <row r="7909" ht="14.25"/>
    <row r="7910" ht="14.25"/>
    <row r="7911" ht="14.25"/>
    <row r="7912" ht="14.25"/>
    <row r="7913" ht="14.25"/>
    <row r="7914" ht="14.25"/>
    <row r="7915" ht="14.25"/>
    <row r="7916" ht="14.25"/>
    <row r="7917" ht="14.25"/>
    <row r="7918" ht="14.25"/>
    <row r="7919" ht="14.25"/>
    <row r="7920" ht="14.25"/>
    <row r="7921" ht="14.25"/>
    <row r="7922" ht="14.25"/>
    <row r="7923" ht="14.25"/>
    <row r="7924" ht="14.25"/>
    <row r="7925" ht="14.25"/>
    <row r="7926" ht="14.25"/>
    <row r="7927" ht="14.25"/>
    <row r="7928" ht="14.25"/>
    <row r="7929" ht="14.25"/>
    <row r="7930" ht="14.25"/>
    <row r="7931" ht="14.25"/>
    <row r="7932" ht="14.25"/>
    <row r="7933" ht="14.25"/>
    <row r="7934" ht="14.25"/>
    <row r="7935" ht="14.25"/>
    <row r="7936" ht="14.25"/>
    <row r="7937" ht="14.25"/>
    <row r="7938" ht="14.25"/>
    <row r="7939" ht="14.25"/>
    <row r="7940" ht="14.25"/>
    <row r="7941" ht="14.25"/>
    <row r="7942" ht="14.25"/>
    <row r="7943" ht="14.25"/>
    <row r="7944" ht="14.25"/>
    <row r="7945" ht="14.25"/>
    <row r="7946" ht="14.25"/>
    <row r="7947" ht="14.25"/>
    <row r="7948" ht="14.25"/>
    <row r="7949" ht="14.25"/>
    <row r="7950" ht="14.25"/>
    <row r="7951" ht="14.25"/>
    <row r="7952" ht="14.25"/>
    <row r="7953" ht="14.25"/>
    <row r="7954" ht="14.25"/>
    <row r="7955" ht="14.25"/>
    <row r="7956" ht="14.25"/>
    <row r="7957" ht="14.25"/>
    <row r="7958" ht="14.25"/>
    <row r="7959" ht="14.25"/>
    <row r="7960" ht="14.25"/>
    <row r="7961" ht="14.25"/>
    <row r="7962" ht="14.25"/>
    <row r="7963" ht="14.25"/>
    <row r="7964" ht="14.25"/>
    <row r="7965" ht="14.25"/>
    <row r="7966" ht="14.25"/>
    <row r="7967" ht="14.25"/>
    <row r="7968" ht="14.25"/>
    <row r="7969" ht="14.25"/>
    <row r="7970" ht="14.25"/>
    <row r="7971" ht="14.25"/>
    <row r="7972" ht="14.25"/>
    <row r="7973" ht="14.25"/>
    <row r="7974" ht="14.25"/>
    <row r="7975" ht="14.25"/>
    <row r="7976" ht="14.25"/>
    <row r="7977" ht="14.25"/>
    <row r="7978" ht="14.25"/>
    <row r="7979" ht="14.25"/>
    <row r="7980" ht="14.25"/>
    <row r="7981" ht="14.25"/>
    <row r="7982" ht="14.25"/>
    <row r="7983" ht="14.25"/>
    <row r="7984" ht="14.25"/>
    <row r="7985" ht="14.25"/>
    <row r="7986" ht="14.25"/>
    <row r="7987" ht="14.25"/>
    <row r="7988" ht="14.25"/>
    <row r="7989" ht="14.25"/>
    <row r="7990" ht="14.25"/>
    <row r="7991" ht="14.25"/>
    <row r="7992" ht="14.25"/>
    <row r="7993" ht="14.25"/>
    <row r="7994" ht="14.25"/>
    <row r="7995" ht="14.25"/>
    <row r="7996" ht="14.25"/>
    <row r="7997" ht="14.25"/>
    <row r="7998" ht="14.25"/>
    <row r="7999" ht="14.25"/>
    <row r="8000" ht="14.25"/>
    <row r="8001" ht="14.25"/>
    <row r="8002" ht="14.25"/>
    <row r="8003" ht="14.25"/>
    <row r="8004" ht="14.25"/>
    <row r="8005" ht="14.25"/>
    <row r="8006" ht="14.25"/>
    <row r="8007" ht="14.25"/>
    <row r="8008" ht="14.25"/>
    <row r="8009" ht="14.25"/>
    <row r="8010" ht="14.25"/>
    <row r="8011" ht="14.25"/>
    <row r="8012" ht="14.25"/>
    <row r="8013" ht="14.25"/>
    <row r="8014" ht="14.25"/>
    <row r="8015" ht="14.25"/>
    <row r="8016" ht="14.25"/>
    <row r="8017" ht="14.25"/>
    <row r="8018" ht="14.25"/>
    <row r="8019" ht="14.25"/>
    <row r="8020" ht="14.25"/>
    <row r="8021" ht="14.25"/>
    <row r="8022" ht="14.25"/>
    <row r="8023" ht="14.25"/>
    <row r="8024" ht="14.25"/>
    <row r="8025" ht="14.25"/>
    <row r="8026" ht="14.25"/>
    <row r="8027" ht="14.25"/>
    <row r="8028" ht="14.25"/>
    <row r="8029" ht="14.25"/>
    <row r="8030" ht="14.25"/>
    <row r="8031" ht="14.25"/>
    <row r="8032" ht="14.25"/>
    <row r="8033" ht="14.25"/>
    <row r="8034" ht="14.25"/>
    <row r="8035" ht="14.25"/>
    <row r="8036" ht="14.25"/>
    <row r="8037" ht="14.25"/>
    <row r="8038" ht="14.25"/>
    <row r="8039" ht="14.25"/>
    <row r="8040" ht="14.25"/>
    <row r="8041" ht="14.25"/>
    <row r="8042" ht="14.25"/>
    <row r="8043" ht="14.25"/>
    <row r="8044" ht="14.25"/>
    <row r="8045" ht="14.25"/>
    <row r="8046" ht="14.25"/>
    <row r="8047" ht="14.25"/>
    <row r="8048" ht="14.25"/>
    <row r="8049" ht="14.25"/>
    <row r="8050" ht="14.25"/>
    <row r="8051" ht="14.25"/>
    <row r="8052" ht="14.25"/>
    <row r="8053" ht="14.25"/>
    <row r="8054" ht="14.25"/>
    <row r="8055" ht="14.25"/>
    <row r="8056" ht="14.25"/>
    <row r="8057" ht="14.25"/>
    <row r="8058" ht="14.25"/>
    <row r="8059" ht="14.25"/>
    <row r="8060" ht="14.25"/>
    <row r="8061" ht="14.25"/>
    <row r="8062" ht="14.25"/>
    <row r="8063" ht="14.25"/>
    <row r="8064" ht="14.25"/>
    <row r="8065" ht="14.25"/>
    <row r="8066" ht="14.25"/>
    <row r="8067" ht="14.25"/>
    <row r="8068" ht="14.25"/>
    <row r="8069" ht="14.25"/>
    <row r="8070" ht="14.25"/>
    <row r="8071" ht="14.25"/>
    <row r="8072" ht="14.25"/>
    <row r="8073" ht="14.25"/>
    <row r="8074" ht="14.25"/>
    <row r="8075" ht="14.25"/>
    <row r="8076" ht="14.25"/>
    <row r="8077" ht="14.25"/>
    <row r="8078" ht="14.25"/>
    <row r="8079" ht="14.25"/>
    <row r="8080" ht="14.25"/>
    <row r="8081" ht="14.25"/>
    <row r="8082" ht="14.25"/>
    <row r="8083" ht="14.25"/>
    <row r="8084" ht="14.25"/>
    <row r="8085" ht="14.25"/>
    <row r="8086" ht="14.25"/>
    <row r="8087" ht="14.25"/>
    <row r="8088" ht="14.25"/>
    <row r="8089" ht="14.25"/>
    <row r="8090" ht="14.25"/>
    <row r="8091" ht="14.25"/>
    <row r="8092" ht="14.25"/>
    <row r="8093" ht="14.25"/>
    <row r="8094" ht="14.25"/>
    <row r="8095" ht="14.25"/>
    <row r="8096" ht="14.25"/>
    <row r="8097" ht="14.25"/>
    <row r="8098" ht="14.25"/>
    <row r="8099" ht="14.25"/>
    <row r="8100" ht="14.25"/>
    <row r="8101" ht="14.25"/>
    <row r="8102" ht="14.25"/>
    <row r="8103" ht="14.25"/>
    <row r="8104" ht="14.25"/>
    <row r="8105" ht="14.25"/>
    <row r="8106" ht="14.25"/>
    <row r="8107" ht="14.25"/>
    <row r="8108" ht="14.25"/>
    <row r="8109" ht="14.25"/>
    <row r="8110" ht="14.25"/>
    <row r="8111" ht="14.25"/>
    <row r="8112" ht="14.25"/>
    <row r="8113" ht="14.25"/>
    <row r="8114" ht="14.25"/>
    <row r="8115" ht="14.25"/>
    <row r="8116" ht="14.25"/>
    <row r="8117" ht="14.25"/>
    <row r="8118" ht="14.25"/>
    <row r="8119" ht="14.25"/>
    <row r="8120" ht="14.25"/>
    <row r="8121" ht="14.25"/>
    <row r="8122" ht="14.25"/>
    <row r="8123" ht="14.25"/>
    <row r="8124" ht="14.25"/>
    <row r="8125" ht="14.25"/>
    <row r="8126" ht="14.25"/>
    <row r="8127" ht="14.25"/>
    <row r="8128" ht="14.25"/>
    <row r="8129" ht="14.25"/>
    <row r="8130" ht="14.25"/>
    <row r="8131" ht="14.25"/>
    <row r="8132" ht="14.25"/>
    <row r="8133" ht="14.25"/>
    <row r="8134" ht="14.25"/>
    <row r="8135" ht="14.25"/>
    <row r="8136" ht="14.25"/>
    <row r="8137" ht="14.25"/>
    <row r="8138" ht="14.25"/>
    <row r="8139" ht="14.25"/>
    <row r="8140" ht="14.25"/>
    <row r="8141" ht="14.25"/>
    <row r="8142" ht="14.25"/>
    <row r="8143" ht="14.25"/>
    <row r="8144" ht="14.25"/>
    <row r="8145" ht="14.25"/>
    <row r="8146" ht="14.25"/>
    <row r="8147" ht="14.25"/>
    <row r="8148" ht="14.25"/>
    <row r="8149" ht="14.25"/>
    <row r="8150" ht="14.25"/>
    <row r="8151" ht="14.25"/>
    <row r="8152" ht="14.25"/>
    <row r="8153" ht="14.25"/>
    <row r="8154" ht="14.25"/>
    <row r="8155" ht="14.25"/>
    <row r="8156" ht="14.25"/>
    <row r="8157" ht="14.25"/>
    <row r="8158" ht="14.25"/>
    <row r="8159" ht="14.25"/>
    <row r="8160" ht="14.25"/>
    <row r="8161" ht="14.25"/>
    <row r="8162" ht="14.25"/>
    <row r="8163" ht="14.25"/>
    <row r="8164" ht="14.25"/>
    <row r="8165" ht="14.25"/>
    <row r="8166" ht="14.25"/>
    <row r="8167" ht="14.25"/>
    <row r="8168" ht="14.25"/>
    <row r="8169" ht="14.25"/>
    <row r="8170" ht="14.25"/>
    <row r="8171" ht="14.25"/>
    <row r="8172" ht="14.25"/>
    <row r="8173" ht="14.25"/>
    <row r="8174" ht="14.25"/>
    <row r="8175" ht="14.25"/>
    <row r="8176" ht="14.25"/>
    <row r="8177" ht="14.25"/>
    <row r="8178" ht="14.25"/>
    <row r="8179" ht="14.25"/>
    <row r="8180" ht="14.25"/>
    <row r="8181" ht="14.25"/>
    <row r="8182" ht="14.25"/>
    <row r="8183" ht="14.25"/>
    <row r="8184" ht="14.25"/>
    <row r="8185" ht="14.25"/>
    <row r="8186" ht="14.25"/>
    <row r="8187" ht="14.25"/>
    <row r="8188" ht="14.25"/>
    <row r="8189" ht="14.25"/>
    <row r="8190" ht="14.25"/>
    <row r="8191" ht="14.25"/>
    <row r="8192" ht="14.25"/>
    <row r="8193" ht="14.25"/>
    <row r="8194" ht="14.25"/>
    <row r="8195" ht="14.25"/>
    <row r="8196" ht="14.25"/>
    <row r="8197" ht="14.25"/>
    <row r="8198" ht="14.25"/>
    <row r="8199" ht="14.25"/>
    <row r="8200" ht="14.25"/>
    <row r="8201" ht="14.25"/>
    <row r="8202" ht="14.25"/>
    <row r="8203" ht="14.25"/>
    <row r="8204" ht="14.25"/>
    <row r="8205" ht="14.25"/>
    <row r="8206" ht="14.25"/>
    <row r="8207" ht="14.25"/>
    <row r="8208" ht="14.25"/>
    <row r="8209" ht="14.25"/>
    <row r="8210" ht="14.25"/>
    <row r="8211" ht="14.25"/>
    <row r="8212" ht="14.25"/>
    <row r="8213" ht="14.25"/>
    <row r="8214" ht="14.25"/>
    <row r="8215" ht="14.25"/>
    <row r="8216" ht="14.25"/>
    <row r="8217" ht="14.25"/>
    <row r="8218" ht="14.25"/>
    <row r="8219" ht="14.25"/>
    <row r="8220" ht="14.25"/>
    <row r="8221" ht="14.25"/>
    <row r="8222" ht="14.25"/>
    <row r="8223" ht="14.25"/>
    <row r="8224" ht="14.25"/>
    <row r="8225" ht="14.25"/>
    <row r="8226" ht="14.25"/>
    <row r="8227" ht="14.25"/>
    <row r="8228" ht="14.25"/>
    <row r="8229" ht="14.25"/>
    <row r="8230" ht="14.25"/>
    <row r="8231" ht="14.25"/>
    <row r="8232" ht="14.25"/>
    <row r="8233" ht="14.25"/>
    <row r="8234" ht="14.25"/>
    <row r="8235" ht="14.25"/>
    <row r="8236" ht="14.25"/>
    <row r="8237" ht="14.25"/>
    <row r="8238" ht="14.25"/>
    <row r="8239" ht="14.25"/>
    <row r="8240" ht="14.25"/>
    <row r="8241" ht="14.25"/>
    <row r="8242" ht="14.25"/>
    <row r="8243" ht="14.25"/>
    <row r="8244" ht="14.25"/>
    <row r="8245" ht="14.25"/>
    <row r="8246" ht="14.25"/>
    <row r="8247" ht="14.25"/>
    <row r="8248" ht="14.25"/>
    <row r="8249" ht="14.25"/>
    <row r="8250" ht="14.25"/>
    <row r="8251" ht="14.25"/>
    <row r="8252" ht="14.25"/>
    <row r="8253" ht="14.25"/>
    <row r="8254" ht="14.25"/>
    <row r="8255" ht="14.25"/>
    <row r="8256" ht="14.25"/>
    <row r="8257" ht="14.25"/>
    <row r="8258" ht="14.25"/>
    <row r="8259" ht="14.25"/>
    <row r="8260" ht="14.25"/>
    <row r="8261" ht="14.25"/>
    <row r="8262" ht="14.25"/>
    <row r="8263" ht="14.25"/>
    <row r="8264" ht="14.25"/>
    <row r="8265" ht="14.25"/>
    <row r="8266" ht="14.25"/>
    <row r="8267" ht="14.25"/>
    <row r="8268" ht="14.25"/>
    <row r="8269" ht="14.25"/>
    <row r="8270" ht="14.25"/>
    <row r="8271" ht="14.25"/>
    <row r="8272" ht="14.25"/>
    <row r="8273" ht="14.25"/>
    <row r="8274" ht="14.25"/>
    <row r="8275" ht="14.25"/>
    <row r="8276" ht="14.25"/>
    <row r="8277" ht="14.25"/>
    <row r="8278" ht="14.25"/>
    <row r="8279" ht="14.25"/>
    <row r="8280" ht="14.25"/>
    <row r="8281" ht="14.25"/>
    <row r="8282" ht="14.25"/>
    <row r="8283" ht="14.25"/>
    <row r="8284" ht="14.25"/>
    <row r="8285" ht="14.25"/>
    <row r="8286" ht="14.25"/>
    <row r="8287" ht="14.25"/>
    <row r="8288" ht="14.25"/>
    <row r="8289" ht="14.25"/>
    <row r="8290" ht="14.25"/>
    <row r="8291" ht="14.25"/>
    <row r="8292" ht="14.25"/>
    <row r="8293" ht="14.25"/>
    <row r="8294" ht="14.25"/>
    <row r="8295" ht="14.25"/>
    <row r="8296" ht="14.25"/>
    <row r="8297" ht="14.25"/>
    <row r="8298" ht="14.25"/>
    <row r="8299" ht="14.25"/>
    <row r="8300" ht="14.25"/>
    <row r="8301" ht="14.25"/>
    <row r="8302" ht="14.25"/>
    <row r="8303" ht="14.25"/>
    <row r="8304" ht="14.25"/>
    <row r="8305" ht="14.25"/>
    <row r="8306" ht="14.25"/>
    <row r="8307" ht="14.25"/>
    <row r="8308" ht="14.25"/>
    <row r="8309" ht="14.25"/>
    <row r="8310" ht="14.25"/>
    <row r="8311" ht="14.25"/>
    <row r="8312" ht="14.25"/>
    <row r="8313" ht="14.25"/>
    <row r="8314" ht="14.25"/>
    <row r="8315" ht="14.25"/>
    <row r="8316" ht="14.25"/>
    <row r="8317" ht="14.25"/>
    <row r="8318" ht="14.25"/>
    <row r="8319" ht="14.25"/>
    <row r="8320" ht="14.25"/>
    <row r="8321" ht="14.25"/>
    <row r="8322" ht="14.25"/>
    <row r="8323" ht="14.25"/>
    <row r="8324" ht="14.25"/>
    <row r="8325" ht="14.25"/>
    <row r="8326" ht="14.25"/>
    <row r="8327" ht="14.25"/>
    <row r="8328" ht="14.25"/>
    <row r="8329" ht="14.25"/>
    <row r="8330" ht="14.25"/>
    <row r="8331" ht="14.25"/>
    <row r="8332" ht="14.25"/>
    <row r="8333" ht="14.25"/>
    <row r="8334" ht="14.25"/>
    <row r="8335" ht="14.25"/>
    <row r="8336" ht="14.25"/>
    <row r="8337" ht="14.25"/>
    <row r="8338" ht="14.25"/>
    <row r="8339" ht="14.25"/>
    <row r="8340" ht="14.25"/>
    <row r="8341" ht="14.25"/>
    <row r="8342" ht="14.25"/>
    <row r="8343" ht="14.25"/>
    <row r="8344" ht="14.25"/>
    <row r="8345" ht="14.25"/>
    <row r="8346" ht="14.25"/>
    <row r="8347" ht="14.25"/>
    <row r="8348" ht="14.25"/>
    <row r="8349" ht="14.25"/>
    <row r="8350" ht="14.25"/>
    <row r="8351" ht="14.25"/>
    <row r="8352" ht="14.25"/>
    <row r="8353" ht="14.25"/>
    <row r="8354" ht="14.25"/>
    <row r="8355" ht="14.25"/>
    <row r="8356" ht="14.25"/>
    <row r="8357" ht="14.25"/>
    <row r="8358" ht="14.25"/>
    <row r="8359" ht="14.25"/>
    <row r="8360" ht="14.25"/>
    <row r="8361" ht="14.25"/>
    <row r="8362" ht="14.25"/>
    <row r="8363" ht="14.25"/>
    <row r="8364" ht="14.25"/>
    <row r="8365" ht="14.25"/>
    <row r="8366" ht="14.25"/>
    <row r="8367" ht="14.25"/>
    <row r="8368" ht="14.25"/>
    <row r="8369" ht="14.25"/>
    <row r="8370" ht="14.25"/>
    <row r="8371" ht="14.25"/>
    <row r="8372" ht="14.25"/>
    <row r="8373" ht="14.25"/>
    <row r="8374" ht="14.25"/>
    <row r="8375" ht="14.25"/>
    <row r="8376" ht="14.25"/>
    <row r="8377" ht="14.25"/>
    <row r="8378" ht="14.25"/>
    <row r="8379" ht="14.25"/>
    <row r="8380" ht="14.25"/>
    <row r="8381" ht="14.25"/>
    <row r="8382" ht="14.25"/>
    <row r="8383" ht="14.25"/>
    <row r="8384" ht="14.25"/>
    <row r="8385" ht="14.25"/>
    <row r="8386" ht="14.25"/>
    <row r="8387" ht="14.25"/>
    <row r="8388" ht="14.25"/>
    <row r="8389" ht="14.25"/>
    <row r="8390" ht="14.25"/>
    <row r="8391" ht="14.25"/>
    <row r="8392" ht="14.25"/>
    <row r="8393" ht="14.25"/>
    <row r="8394" ht="14.25"/>
    <row r="8395" ht="14.25"/>
    <row r="8396" ht="14.25"/>
    <row r="8397" ht="14.25"/>
    <row r="8398" ht="14.25"/>
    <row r="8399" ht="14.25"/>
    <row r="8400" ht="14.25"/>
    <row r="8401" ht="14.25"/>
    <row r="8402" ht="14.25"/>
    <row r="8403" ht="14.25"/>
    <row r="8404" ht="14.25"/>
    <row r="8405" ht="14.25"/>
    <row r="8406" ht="14.25"/>
    <row r="8407" ht="14.25"/>
    <row r="8408" ht="14.25"/>
    <row r="8409" ht="14.25"/>
    <row r="8410" ht="14.25"/>
    <row r="8411" ht="14.25"/>
    <row r="8412" ht="14.25"/>
    <row r="8413" ht="14.25"/>
    <row r="8414" ht="14.25"/>
    <row r="8415" ht="14.25"/>
    <row r="8416" ht="14.25"/>
    <row r="8417" ht="14.25"/>
    <row r="8418" ht="14.25"/>
    <row r="8419" ht="14.25"/>
    <row r="8420" ht="14.25"/>
    <row r="8421" ht="14.25"/>
    <row r="8422" ht="14.25"/>
    <row r="8423" ht="14.25"/>
    <row r="8424" ht="14.25"/>
    <row r="8425" ht="14.25"/>
    <row r="8426" ht="14.25"/>
    <row r="8427" ht="14.25"/>
    <row r="8428" ht="14.25"/>
    <row r="8429" ht="14.25"/>
    <row r="8430" ht="14.25"/>
    <row r="8431" ht="14.25"/>
    <row r="8432" ht="14.25"/>
    <row r="8433" ht="14.25"/>
    <row r="8434" ht="14.25"/>
    <row r="8435" ht="14.25"/>
    <row r="8436" ht="14.25"/>
    <row r="8437" ht="14.25"/>
    <row r="8438" ht="14.25"/>
    <row r="8439" ht="14.25"/>
    <row r="8440" ht="14.25"/>
    <row r="8441" ht="14.25"/>
    <row r="8442" ht="14.25"/>
    <row r="8443" ht="14.25"/>
    <row r="8444" ht="14.25"/>
    <row r="8445" ht="14.25"/>
    <row r="8446" ht="14.25"/>
    <row r="8447" ht="14.25"/>
    <row r="8448" ht="14.25"/>
    <row r="8449" ht="14.25"/>
    <row r="8450" ht="14.25"/>
    <row r="8451" ht="14.25"/>
    <row r="8452" ht="14.25"/>
    <row r="8453" ht="14.25"/>
    <row r="8454" ht="14.25"/>
    <row r="8455" ht="14.25"/>
    <row r="8456" ht="14.25"/>
    <row r="8457" ht="14.25"/>
    <row r="8458" ht="14.25"/>
    <row r="8459" ht="14.25"/>
    <row r="8460" ht="14.25"/>
    <row r="8461" ht="14.25"/>
    <row r="8462" ht="14.25"/>
    <row r="8463" ht="14.25"/>
    <row r="8464" ht="14.25"/>
    <row r="8465" ht="14.25"/>
    <row r="8466" ht="14.25"/>
    <row r="8467" ht="14.25"/>
    <row r="8468" ht="14.25"/>
    <row r="8469" ht="14.25"/>
    <row r="8470" ht="14.25"/>
    <row r="8471" ht="14.25"/>
    <row r="8472" ht="14.25"/>
    <row r="8473" ht="14.25"/>
    <row r="8474" ht="14.25"/>
    <row r="8475" ht="14.25"/>
    <row r="8476" ht="14.25"/>
    <row r="8477" ht="14.25"/>
    <row r="8478" ht="14.25"/>
    <row r="8479" ht="14.25"/>
    <row r="8480" ht="14.25"/>
    <row r="8481" ht="14.25"/>
    <row r="8482" ht="14.25"/>
    <row r="8483" ht="14.25"/>
    <row r="8484" ht="14.25"/>
    <row r="8485" ht="14.25"/>
    <row r="8486" ht="14.25"/>
    <row r="8487" ht="14.25"/>
    <row r="8488" ht="14.25"/>
    <row r="8489" ht="14.25"/>
    <row r="8490" ht="14.25"/>
    <row r="8491" ht="14.25"/>
    <row r="8492" ht="14.25"/>
    <row r="8493" ht="14.25"/>
    <row r="8494" ht="14.25"/>
    <row r="8495" ht="14.25"/>
    <row r="8496" ht="14.25"/>
    <row r="8497" ht="14.25"/>
    <row r="8498" ht="14.25"/>
    <row r="8499" ht="14.25"/>
    <row r="8500" ht="14.25"/>
    <row r="8501" ht="14.25"/>
    <row r="8502" ht="14.25"/>
    <row r="8503" ht="14.25"/>
    <row r="8504" ht="14.25"/>
    <row r="8505" ht="14.25"/>
    <row r="8506" ht="14.25"/>
    <row r="8507" ht="14.25"/>
    <row r="8508" ht="14.25"/>
    <row r="8509" ht="14.25"/>
    <row r="8510" ht="14.25"/>
    <row r="8511" ht="14.25"/>
    <row r="8512" ht="14.25"/>
    <row r="8513" ht="14.25"/>
    <row r="8514" ht="14.25"/>
    <row r="8515" ht="14.25"/>
    <row r="8516" ht="14.25"/>
    <row r="8517" ht="14.25"/>
    <row r="8518" ht="14.25"/>
    <row r="8519" ht="14.25"/>
    <row r="8520" ht="14.25"/>
    <row r="8521" ht="14.25"/>
    <row r="8522" ht="14.25"/>
    <row r="8523" ht="14.25"/>
    <row r="8524" ht="14.25"/>
    <row r="8525" ht="14.25"/>
    <row r="8526" ht="14.25"/>
    <row r="8527" ht="14.25"/>
    <row r="8528" ht="14.25"/>
    <row r="8529" ht="14.25"/>
    <row r="8530" ht="14.25"/>
    <row r="8531" ht="14.25"/>
    <row r="8532" ht="14.25"/>
    <row r="8533" ht="14.25"/>
    <row r="8534" ht="14.25"/>
    <row r="8535" ht="14.25"/>
    <row r="8536" ht="14.25"/>
    <row r="8537" ht="14.25"/>
    <row r="8538" ht="14.25"/>
    <row r="8539" ht="14.25"/>
    <row r="8540" ht="14.25"/>
    <row r="8541" ht="14.25"/>
    <row r="8542" ht="14.25"/>
    <row r="8543" ht="14.25"/>
    <row r="8544" ht="14.25"/>
    <row r="8545" ht="14.25"/>
    <row r="8546" ht="14.25"/>
    <row r="8547" ht="14.25"/>
    <row r="8548" ht="14.25"/>
    <row r="8549" ht="14.25"/>
    <row r="8550" ht="14.25"/>
    <row r="8551" ht="14.25"/>
    <row r="8552" ht="14.25"/>
    <row r="8553" ht="14.25"/>
    <row r="8554" ht="14.25"/>
    <row r="8555" ht="14.25"/>
    <row r="8556" ht="14.25"/>
    <row r="8557" ht="14.25"/>
    <row r="8558" ht="14.25"/>
    <row r="8559" ht="14.25"/>
    <row r="8560" ht="14.25"/>
    <row r="8561" ht="14.25"/>
    <row r="8562" ht="14.25"/>
    <row r="8563" ht="14.25"/>
    <row r="8564" ht="14.25"/>
    <row r="8565" ht="14.25"/>
    <row r="8566" ht="14.25"/>
    <row r="8567" ht="14.25"/>
    <row r="8568" ht="14.25"/>
    <row r="8569" ht="14.25"/>
    <row r="8570" ht="14.25"/>
    <row r="8571" ht="14.25"/>
    <row r="8572" ht="14.25"/>
    <row r="8573" ht="14.25"/>
    <row r="8574" ht="14.25"/>
    <row r="8575" ht="14.25"/>
    <row r="8576" ht="14.25"/>
    <row r="8577" ht="14.25"/>
    <row r="8578" ht="14.25"/>
    <row r="8579" ht="14.25"/>
    <row r="8580" ht="14.25"/>
    <row r="8581" ht="14.25"/>
    <row r="8582" ht="14.25"/>
    <row r="8583" ht="14.25"/>
    <row r="8584" ht="14.25"/>
    <row r="8585" ht="14.25"/>
    <row r="8586" ht="14.25"/>
    <row r="8587" ht="14.25"/>
    <row r="8588" ht="14.25"/>
    <row r="8589" ht="14.25"/>
    <row r="8590" ht="14.25"/>
    <row r="8591" ht="14.25"/>
    <row r="8592" ht="14.25"/>
    <row r="8593" ht="14.25"/>
    <row r="8594" ht="14.25"/>
    <row r="8595" ht="14.25"/>
    <row r="8596" ht="14.25"/>
    <row r="8597" ht="14.25"/>
    <row r="8598" ht="14.25"/>
    <row r="8599" ht="14.25"/>
    <row r="8600" ht="14.25"/>
    <row r="8601" ht="14.25"/>
    <row r="8602" ht="14.25"/>
    <row r="8603" ht="14.25"/>
    <row r="8604" ht="14.25"/>
    <row r="8605" ht="14.25"/>
    <row r="8606" ht="14.25"/>
    <row r="8607" ht="14.25"/>
    <row r="8608" ht="14.25"/>
    <row r="8609" ht="14.25"/>
    <row r="8610" ht="14.25"/>
    <row r="8611" ht="14.25"/>
    <row r="8612" ht="14.25"/>
    <row r="8613" ht="14.25"/>
    <row r="8614" ht="14.25"/>
    <row r="8615" ht="14.25"/>
    <row r="8616" ht="14.25"/>
    <row r="8617" ht="14.25"/>
    <row r="8618" ht="14.25"/>
    <row r="8619" ht="14.25"/>
    <row r="8620" ht="14.25"/>
    <row r="8621" ht="14.25"/>
    <row r="8622" ht="14.25"/>
    <row r="8623" ht="14.25"/>
    <row r="8624" ht="14.25"/>
    <row r="8625" ht="14.25"/>
    <row r="8626" ht="14.25"/>
    <row r="8627" ht="14.25"/>
    <row r="8628" ht="14.25"/>
    <row r="8629" ht="14.25"/>
    <row r="8630" ht="14.25"/>
    <row r="8631" ht="14.25"/>
    <row r="8632" ht="14.25"/>
    <row r="8633" ht="14.25"/>
    <row r="8634" ht="14.25"/>
    <row r="8635" ht="14.25"/>
    <row r="8636" ht="14.25"/>
    <row r="8637" ht="14.25"/>
    <row r="8638" ht="14.25"/>
    <row r="8639" ht="14.25"/>
    <row r="8640" ht="14.25"/>
    <row r="8641" ht="14.25"/>
    <row r="8642" ht="14.25"/>
    <row r="8643" ht="14.25"/>
    <row r="8644" ht="14.25"/>
    <row r="8645" ht="14.25"/>
    <row r="8646" ht="14.25"/>
    <row r="8647" ht="14.25"/>
    <row r="8648" ht="14.25"/>
    <row r="8649" ht="14.25"/>
    <row r="8650" ht="14.25"/>
    <row r="8651" ht="14.25"/>
    <row r="8652" ht="14.25"/>
    <row r="8653" ht="14.25"/>
    <row r="8654" ht="14.25"/>
    <row r="8655" ht="14.25"/>
    <row r="8656" ht="14.25"/>
    <row r="8657" ht="14.25"/>
    <row r="8658" ht="14.25"/>
    <row r="8659" ht="14.25"/>
    <row r="8660" ht="14.25"/>
    <row r="8661" ht="14.25"/>
    <row r="8662" ht="14.25"/>
    <row r="8663" ht="14.25"/>
    <row r="8664" ht="14.25"/>
    <row r="8665" ht="14.25"/>
    <row r="8666" ht="14.25"/>
    <row r="8667" ht="14.25"/>
    <row r="8668" ht="14.25"/>
    <row r="8669" ht="14.25"/>
    <row r="8670" ht="14.25"/>
    <row r="8671" ht="14.25"/>
    <row r="8672" ht="14.25"/>
    <row r="8673" ht="14.25"/>
    <row r="8674" ht="14.25"/>
    <row r="8675" ht="14.25"/>
    <row r="8676" ht="14.25"/>
    <row r="8677" ht="14.25"/>
    <row r="8678" ht="14.25"/>
    <row r="8679" ht="14.25"/>
    <row r="8680" ht="14.25"/>
    <row r="8681" ht="14.25"/>
    <row r="8682" ht="14.25"/>
    <row r="8683" ht="14.25"/>
    <row r="8684" ht="14.25"/>
    <row r="8685" ht="14.25"/>
    <row r="8686" ht="14.25"/>
    <row r="8687" ht="14.25"/>
    <row r="8688" ht="14.25"/>
    <row r="8689" ht="14.25"/>
    <row r="8690" ht="14.25"/>
    <row r="8691" ht="14.25"/>
    <row r="8692" ht="14.25"/>
    <row r="8693" ht="14.25"/>
    <row r="8694" ht="14.25"/>
    <row r="8695" ht="14.25"/>
    <row r="8696" ht="14.25"/>
    <row r="8697" ht="14.25"/>
    <row r="8698" ht="14.25"/>
    <row r="8699" ht="14.25"/>
    <row r="8700" ht="14.25"/>
    <row r="8701" ht="14.25"/>
    <row r="8702" ht="14.25"/>
    <row r="8703" ht="14.25"/>
    <row r="8704" ht="14.25"/>
    <row r="8705" ht="14.25"/>
    <row r="8706" ht="14.25"/>
    <row r="8707" ht="14.25"/>
    <row r="8708" ht="14.25"/>
    <row r="8709" ht="14.25"/>
    <row r="8710" ht="14.25"/>
    <row r="8711" ht="14.25"/>
    <row r="8712" ht="14.25"/>
    <row r="8713" ht="14.25"/>
    <row r="8714" ht="14.25"/>
    <row r="8715" ht="14.25"/>
    <row r="8716" ht="14.25"/>
    <row r="8717" ht="14.25"/>
    <row r="8718" ht="14.25"/>
    <row r="8719" ht="14.25"/>
    <row r="8720" ht="14.25"/>
    <row r="8721" ht="14.25"/>
    <row r="8722" ht="14.25"/>
    <row r="8723" ht="14.25"/>
    <row r="8724" ht="14.25"/>
    <row r="8725" ht="14.25"/>
    <row r="8726" ht="14.25"/>
    <row r="8727" ht="14.25"/>
    <row r="8728" ht="14.25"/>
    <row r="8729" ht="14.25"/>
    <row r="8730" ht="14.25"/>
    <row r="8731" ht="14.25"/>
    <row r="8732" ht="14.25"/>
    <row r="8733" ht="14.25"/>
    <row r="8734" ht="14.25"/>
    <row r="8735" ht="14.25"/>
    <row r="8736" ht="14.25"/>
    <row r="8737" ht="14.25"/>
    <row r="8738" ht="14.25"/>
    <row r="8739" ht="14.25"/>
    <row r="8740" ht="14.25"/>
    <row r="8741" ht="14.25"/>
    <row r="8742" ht="14.25"/>
    <row r="8743" ht="14.25"/>
    <row r="8744" ht="14.25"/>
    <row r="8745" ht="14.25"/>
    <row r="8746" ht="14.25"/>
    <row r="8747" ht="14.25"/>
    <row r="8748" ht="14.25"/>
    <row r="8749" ht="14.25"/>
    <row r="8750" ht="14.25"/>
    <row r="8751" ht="14.25"/>
    <row r="8752" ht="14.25"/>
    <row r="8753" ht="14.25"/>
    <row r="8754" ht="14.25"/>
    <row r="8755" ht="14.25"/>
    <row r="8756" ht="14.25"/>
    <row r="8757" ht="14.25"/>
    <row r="8758" ht="14.25"/>
    <row r="8759" ht="14.25"/>
    <row r="8760" ht="14.25"/>
    <row r="8761" ht="14.25"/>
    <row r="8762" ht="14.25"/>
    <row r="8763" ht="14.25"/>
    <row r="8764" ht="14.25"/>
    <row r="8765" ht="14.25"/>
    <row r="8766" ht="14.25"/>
    <row r="8767" ht="14.25"/>
    <row r="8768" ht="14.25"/>
    <row r="8769" ht="14.25"/>
    <row r="8770" ht="14.25"/>
    <row r="8771" ht="14.25"/>
    <row r="8772" ht="14.25"/>
    <row r="8773" ht="14.25"/>
    <row r="8774" ht="14.25"/>
    <row r="8775" ht="14.25"/>
    <row r="8776" ht="14.25"/>
    <row r="8777" ht="14.25"/>
    <row r="8778" ht="14.25"/>
    <row r="8779" ht="14.25"/>
    <row r="8780" ht="14.25"/>
    <row r="8781" ht="14.25"/>
    <row r="8782" ht="14.25"/>
    <row r="8783" ht="14.25"/>
    <row r="8784" ht="14.25"/>
    <row r="8785" ht="14.25"/>
    <row r="8786" ht="14.25"/>
    <row r="8787" ht="14.25"/>
    <row r="8788" ht="14.25"/>
    <row r="8789" ht="14.25"/>
    <row r="8790" ht="14.25"/>
    <row r="8791" ht="14.25"/>
    <row r="8792" ht="14.25"/>
    <row r="8793" ht="14.25"/>
    <row r="8794" ht="14.25"/>
    <row r="8795" ht="14.25"/>
    <row r="8796" ht="14.25"/>
    <row r="8797" ht="14.25"/>
    <row r="8798" ht="14.25"/>
    <row r="8799" ht="14.25"/>
    <row r="8800" ht="14.25"/>
    <row r="8801" ht="14.25"/>
    <row r="8802" ht="14.25"/>
    <row r="8803" ht="14.25"/>
    <row r="8804" ht="14.25"/>
    <row r="8805" ht="14.25"/>
    <row r="8806" ht="14.25"/>
    <row r="8807" ht="14.25"/>
    <row r="8808" ht="14.25"/>
    <row r="8809" ht="14.25"/>
    <row r="8810" ht="14.25"/>
    <row r="8811" ht="14.25"/>
    <row r="8812" ht="14.25"/>
    <row r="8813" ht="14.25"/>
    <row r="8814" ht="14.25"/>
    <row r="8815" ht="14.25"/>
    <row r="8816" ht="14.25"/>
    <row r="8817" ht="14.25"/>
    <row r="8818" ht="14.25"/>
    <row r="8819" ht="14.25"/>
    <row r="8820" ht="14.25"/>
    <row r="8821" ht="14.25"/>
    <row r="8822" ht="14.25"/>
    <row r="8823" ht="14.25"/>
    <row r="8824" ht="14.25"/>
    <row r="8825" ht="14.25"/>
    <row r="8826" ht="14.25"/>
    <row r="8827" ht="14.25"/>
    <row r="8828" ht="14.25"/>
    <row r="8829" ht="14.25"/>
    <row r="8830" ht="14.25"/>
    <row r="8831" ht="14.25"/>
    <row r="8832" ht="14.25"/>
    <row r="8833" ht="14.25"/>
    <row r="8834" ht="14.25"/>
    <row r="8835" ht="14.25"/>
    <row r="8836" ht="14.25"/>
    <row r="8837" ht="14.25"/>
    <row r="8838" ht="14.25"/>
    <row r="8839" ht="14.25"/>
    <row r="8840" ht="14.25"/>
    <row r="8841" ht="14.25"/>
    <row r="8842" ht="14.25"/>
    <row r="8843" ht="14.25"/>
    <row r="8844" ht="14.25"/>
    <row r="8845" ht="14.25"/>
    <row r="8846" ht="14.25"/>
    <row r="8847" ht="14.25"/>
    <row r="8848" ht="14.25"/>
    <row r="8849" ht="14.25"/>
    <row r="8850" ht="14.25"/>
    <row r="8851" ht="14.25"/>
    <row r="8852" ht="14.25"/>
    <row r="8853" ht="14.25"/>
    <row r="8854" ht="14.25"/>
    <row r="8855" ht="14.25"/>
    <row r="8856" ht="14.25"/>
    <row r="8857" ht="14.25"/>
    <row r="8858" ht="14.25"/>
    <row r="8859" ht="14.25"/>
    <row r="8860" ht="14.25"/>
    <row r="8861" ht="14.25"/>
    <row r="8862" ht="14.25"/>
    <row r="8863" ht="14.25"/>
    <row r="8864" ht="14.25"/>
    <row r="8865" ht="14.25"/>
    <row r="8866" ht="14.25"/>
    <row r="8867" ht="14.25"/>
    <row r="8868" ht="14.25"/>
    <row r="8869" ht="14.25"/>
    <row r="8870" ht="14.25"/>
    <row r="8871" ht="14.25"/>
    <row r="8872" ht="14.25"/>
    <row r="8873" ht="14.25"/>
    <row r="8874" ht="14.25"/>
    <row r="8875" ht="14.25"/>
    <row r="8876" ht="14.25"/>
    <row r="8877" ht="14.25"/>
    <row r="8878" ht="14.25"/>
    <row r="8879" ht="14.25"/>
    <row r="8880" ht="14.25"/>
    <row r="8881" ht="14.25"/>
    <row r="8882" ht="14.25"/>
    <row r="8883" ht="14.25"/>
    <row r="8884" ht="14.25"/>
    <row r="8885" ht="14.25"/>
    <row r="8886" ht="14.25"/>
    <row r="8887" ht="14.25"/>
    <row r="8888" ht="14.25"/>
    <row r="8889" ht="14.25"/>
    <row r="8890" ht="14.25"/>
    <row r="8891" ht="14.25"/>
    <row r="8892" ht="14.25"/>
    <row r="8893" ht="14.25"/>
    <row r="8894" ht="14.25"/>
    <row r="8895" ht="14.25"/>
    <row r="8896" ht="14.25"/>
    <row r="8897" ht="14.25"/>
    <row r="8898" ht="14.25"/>
    <row r="8899" ht="14.25"/>
    <row r="8900" ht="14.25"/>
    <row r="8901" ht="14.25"/>
    <row r="8902" ht="14.25"/>
    <row r="8903" ht="14.25"/>
    <row r="8904" ht="14.25"/>
    <row r="8905" ht="14.25"/>
    <row r="8906" ht="14.25"/>
    <row r="8907" ht="14.25"/>
    <row r="8908" ht="14.25"/>
    <row r="8909" ht="14.25"/>
    <row r="8910" ht="14.25"/>
    <row r="8911" ht="14.25"/>
    <row r="8912" ht="14.25"/>
    <row r="8913" ht="14.25"/>
    <row r="8914" ht="14.25"/>
    <row r="8915" ht="14.25"/>
    <row r="8916" ht="14.25"/>
    <row r="8917" ht="14.25"/>
    <row r="8918" ht="14.25"/>
    <row r="8919" ht="14.25"/>
    <row r="8920" ht="14.25"/>
    <row r="8921" ht="14.25"/>
    <row r="8922" ht="14.25"/>
    <row r="8923" ht="14.25"/>
    <row r="8924" ht="14.25"/>
    <row r="8925" ht="14.25"/>
    <row r="8926" ht="14.25"/>
    <row r="8927" ht="14.25"/>
    <row r="8928" ht="14.25"/>
    <row r="8929" ht="14.25"/>
    <row r="8930" ht="14.25"/>
    <row r="8931" ht="14.25"/>
    <row r="8932" ht="14.25"/>
    <row r="8933" ht="14.25"/>
    <row r="8934" ht="14.25"/>
    <row r="8935" ht="14.25"/>
    <row r="8936" ht="14.25"/>
    <row r="8937" ht="14.25"/>
    <row r="8938" ht="14.25"/>
    <row r="8939" ht="14.25"/>
    <row r="8940" ht="14.25"/>
    <row r="8941" ht="14.25"/>
    <row r="8942" ht="14.25"/>
    <row r="8943" ht="14.25"/>
    <row r="8944" ht="14.25"/>
    <row r="8945" ht="14.25"/>
    <row r="8946" ht="14.25"/>
    <row r="8947" ht="14.25"/>
    <row r="8948" ht="14.25"/>
    <row r="8949" ht="14.25"/>
    <row r="8950" ht="14.25"/>
    <row r="8951" ht="14.25"/>
    <row r="8952" ht="14.25"/>
    <row r="8953" ht="14.25"/>
    <row r="8954" ht="14.25"/>
    <row r="8955" ht="14.25"/>
    <row r="8956" ht="14.25"/>
    <row r="8957" ht="14.25"/>
    <row r="8958" ht="14.25"/>
    <row r="8959" ht="14.25"/>
    <row r="8960" ht="14.25"/>
    <row r="8961" ht="14.25"/>
    <row r="8962" ht="14.25"/>
    <row r="8963" ht="14.25"/>
    <row r="8964" ht="14.25"/>
    <row r="8965" ht="14.25"/>
    <row r="8966" ht="14.25"/>
    <row r="8967" ht="14.25"/>
    <row r="8968" ht="14.25"/>
    <row r="8969" ht="14.25"/>
    <row r="8970" ht="14.25"/>
    <row r="8971" ht="14.25"/>
    <row r="8972" ht="14.25"/>
    <row r="8973" ht="14.25"/>
    <row r="8974" ht="14.25"/>
    <row r="8975" ht="14.25"/>
    <row r="8976" ht="14.25"/>
    <row r="8977" ht="14.25"/>
    <row r="8978" ht="14.25"/>
    <row r="8979" ht="14.25"/>
    <row r="8980" ht="14.25"/>
    <row r="8981" ht="14.25"/>
    <row r="8982" ht="14.25"/>
    <row r="8983" ht="14.25"/>
    <row r="8984" ht="14.25"/>
    <row r="8985" ht="14.25"/>
    <row r="8986" ht="14.25"/>
    <row r="8987" ht="14.25"/>
    <row r="8988" ht="14.25"/>
    <row r="8989" ht="14.25"/>
    <row r="8990" ht="14.25"/>
    <row r="8991" ht="14.25"/>
    <row r="8992" ht="14.25"/>
    <row r="8993" ht="14.25"/>
    <row r="8994" ht="14.25"/>
    <row r="8995" ht="14.25"/>
    <row r="8996" ht="14.25"/>
    <row r="8997" ht="14.25"/>
    <row r="8998" ht="14.25"/>
    <row r="8999" ht="14.25"/>
    <row r="9000" ht="14.25"/>
    <row r="9001" ht="14.25"/>
    <row r="9002" ht="14.25"/>
    <row r="9003" ht="14.25"/>
    <row r="9004" ht="14.25"/>
    <row r="9005" ht="14.25"/>
    <row r="9006" ht="14.25"/>
    <row r="9007" ht="14.25"/>
    <row r="9008" ht="14.25"/>
    <row r="9009" ht="14.25"/>
    <row r="9010" ht="14.25"/>
    <row r="9011" ht="14.25"/>
    <row r="9012" ht="14.25"/>
    <row r="9013" ht="14.25"/>
    <row r="9014" ht="14.25"/>
    <row r="9015" ht="14.25"/>
    <row r="9016" ht="14.25"/>
    <row r="9017" ht="14.25"/>
    <row r="9018" ht="14.25"/>
    <row r="9019" ht="14.25"/>
    <row r="9020" ht="14.25"/>
    <row r="9021" ht="14.25"/>
    <row r="9022" ht="14.25"/>
    <row r="9023" ht="14.25"/>
    <row r="9024" ht="14.25"/>
    <row r="9025" ht="14.25"/>
    <row r="9026" ht="14.25"/>
    <row r="9027" ht="14.25"/>
    <row r="9028" ht="14.25"/>
    <row r="9029" ht="14.25"/>
    <row r="9030" ht="14.25"/>
    <row r="9031" ht="14.25"/>
    <row r="9032" ht="14.25"/>
    <row r="9033" ht="14.25"/>
    <row r="9034" ht="14.25"/>
    <row r="9035" ht="14.25"/>
    <row r="9036" ht="14.25"/>
    <row r="9037" ht="14.25"/>
    <row r="9038" ht="14.25"/>
    <row r="9039" ht="14.25"/>
    <row r="9040" ht="14.25"/>
    <row r="9041" ht="14.25"/>
    <row r="9042" ht="14.25"/>
    <row r="9043" ht="14.25"/>
    <row r="9044" ht="14.25"/>
    <row r="9045" ht="14.25"/>
    <row r="9046" ht="14.25"/>
    <row r="9047" ht="14.25"/>
    <row r="9048" ht="14.25"/>
    <row r="9049" ht="14.25"/>
    <row r="9050" ht="14.25"/>
    <row r="9051" ht="14.25"/>
    <row r="9052" ht="14.25"/>
    <row r="9053" ht="14.25"/>
    <row r="9054" ht="14.25"/>
    <row r="9055" ht="14.25"/>
    <row r="9056" ht="14.25"/>
    <row r="9057" ht="14.25"/>
    <row r="9058" ht="14.25"/>
    <row r="9059" ht="14.25"/>
    <row r="9060" ht="14.25"/>
    <row r="9061" ht="14.25"/>
    <row r="9062" ht="14.25"/>
    <row r="9063" ht="14.25"/>
    <row r="9064" ht="14.25"/>
    <row r="9065" ht="14.25"/>
    <row r="9066" ht="14.25"/>
    <row r="9067" ht="14.25"/>
    <row r="9068" ht="14.25"/>
    <row r="9069" ht="14.25"/>
    <row r="9070" ht="14.25"/>
    <row r="9071" ht="14.25"/>
    <row r="9072" ht="14.25"/>
    <row r="9073" ht="14.25"/>
    <row r="9074" ht="14.25"/>
    <row r="9075" ht="14.25"/>
    <row r="9076" ht="14.25"/>
    <row r="9077" ht="14.25"/>
    <row r="9078" ht="14.25"/>
    <row r="9079" ht="14.25"/>
    <row r="9080" ht="14.25"/>
    <row r="9081" ht="14.25"/>
    <row r="9082" ht="14.25"/>
    <row r="9083" ht="14.25"/>
    <row r="9084" ht="14.25"/>
    <row r="9085" ht="14.25"/>
    <row r="9086" ht="14.25"/>
    <row r="9087" ht="14.25"/>
    <row r="9088" ht="14.25"/>
    <row r="9089" ht="14.25"/>
    <row r="9090" ht="14.25"/>
    <row r="9091" ht="14.25"/>
    <row r="9092" ht="14.25"/>
    <row r="9093" ht="14.25"/>
    <row r="9094" ht="14.25"/>
    <row r="9095" ht="14.25"/>
    <row r="9096" ht="14.25"/>
    <row r="9097" ht="14.25"/>
    <row r="9098" ht="14.25"/>
    <row r="9099" ht="14.25"/>
    <row r="9100" ht="14.25"/>
    <row r="9101" ht="14.25"/>
    <row r="9102" ht="14.25"/>
    <row r="9103" ht="14.25"/>
    <row r="9104" ht="14.25"/>
    <row r="9105" ht="14.25"/>
    <row r="9106" ht="14.25"/>
    <row r="9107" ht="14.25"/>
    <row r="9108" ht="14.25"/>
    <row r="9109" ht="14.25"/>
    <row r="9110" ht="14.25"/>
    <row r="9111" ht="14.25"/>
    <row r="9112" ht="14.25"/>
    <row r="9113" ht="14.25"/>
    <row r="9114" ht="14.25"/>
    <row r="9115" ht="14.25"/>
    <row r="9116" ht="14.25"/>
    <row r="9117" ht="14.25"/>
    <row r="9118" ht="14.25"/>
    <row r="9119" ht="14.25"/>
    <row r="9120" ht="14.25"/>
    <row r="9121" ht="14.25"/>
    <row r="9122" ht="14.25"/>
    <row r="9123" ht="14.25"/>
    <row r="9124" ht="14.25"/>
    <row r="9125" ht="14.25"/>
    <row r="9126" ht="14.25"/>
    <row r="9127" ht="14.25"/>
    <row r="9128" ht="14.25"/>
    <row r="9129" ht="14.25"/>
    <row r="9130" ht="14.25"/>
    <row r="9131" ht="14.25"/>
    <row r="9132" ht="14.25"/>
    <row r="9133" ht="14.25"/>
    <row r="9134" ht="14.25"/>
    <row r="9135" ht="14.25"/>
    <row r="9136" ht="14.25"/>
    <row r="9137" ht="14.25"/>
    <row r="9138" ht="14.25"/>
    <row r="9139" ht="14.25"/>
    <row r="9140" ht="14.25"/>
    <row r="9141" ht="14.25"/>
    <row r="9142" ht="14.25"/>
    <row r="9143" ht="14.25"/>
    <row r="9144" ht="14.25"/>
    <row r="9145" ht="14.25"/>
    <row r="9146" ht="14.25"/>
    <row r="9147" ht="14.25"/>
    <row r="9148" ht="14.25"/>
    <row r="9149" ht="14.25"/>
    <row r="9150" ht="14.25"/>
    <row r="9151" ht="14.25"/>
    <row r="9152" ht="14.25"/>
    <row r="9153" ht="14.25"/>
    <row r="9154" ht="14.25"/>
    <row r="9155" ht="14.25"/>
    <row r="9156" ht="14.25"/>
    <row r="9157" ht="14.25"/>
    <row r="9158" ht="14.25"/>
    <row r="9159" ht="14.25"/>
    <row r="9160" ht="14.25"/>
    <row r="9161" ht="14.25"/>
    <row r="9162" ht="14.25"/>
    <row r="9163" ht="14.25"/>
    <row r="9164" ht="14.25"/>
    <row r="9165" ht="14.25"/>
    <row r="9166" ht="14.25"/>
    <row r="9167" ht="14.25"/>
    <row r="9168" ht="14.25"/>
    <row r="9169" ht="14.25"/>
    <row r="9170" ht="14.25"/>
    <row r="9171" ht="14.25"/>
    <row r="9172" ht="14.25"/>
    <row r="9173" ht="14.25"/>
    <row r="9174" ht="14.25"/>
    <row r="9175" ht="14.25"/>
    <row r="9176" ht="14.25"/>
    <row r="9177" ht="14.25"/>
    <row r="9178" ht="14.25"/>
    <row r="9179" ht="14.25"/>
    <row r="9180" ht="14.25"/>
    <row r="9181" ht="14.25"/>
    <row r="9182" ht="14.25"/>
    <row r="9183" ht="14.25"/>
    <row r="9184" ht="14.25"/>
    <row r="9185" ht="14.25"/>
    <row r="9186" ht="14.25"/>
    <row r="9187" ht="14.25"/>
    <row r="9188" ht="14.25"/>
    <row r="9189" ht="14.25"/>
    <row r="9190" ht="14.25"/>
    <row r="9191" ht="14.25"/>
    <row r="9192" ht="14.25"/>
    <row r="9193" ht="14.25"/>
    <row r="9194" ht="14.25"/>
    <row r="9195" ht="14.25"/>
    <row r="9196" ht="14.25"/>
    <row r="9197" ht="14.25"/>
    <row r="9198" ht="14.25"/>
    <row r="9199" ht="14.25"/>
    <row r="9200" ht="14.25"/>
    <row r="9201" ht="14.25"/>
    <row r="9202" ht="14.25"/>
    <row r="9203" ht="14.25"/>
    <row r="9204" ht="14.25"/>
    <row r="9205" ht="14.25"/>
    <row r="9206" ht="14.25"/>
    <row r="9207" ht="14.25"/>
    <row r="9208" ht="14.25"/>
    <row r="9209" ht="14.25"/>
    <row r="9210" ht="14.25"/>
    <row r="9211" ht="14.25"/>
    <row r="9212" ht="14.25"/>
    <row r="9213" ht="14.25"/>
    <row r="9214" ht="14.25"/>
    <row r="9215" ht="14.25"/>
    <row r="9216" ht="14.25"/>
    <row r="9217" ht="14.25"/>
    <row r="9218" ht="14.25"/>
    <row r="9219" ht="14.25"/>
    <row r="9220" ht="14.25"/>
    <row r="9221" ht="14.25"/>
    <row r="9222" ht="14.25"/>
    <row r="9223" ht="14.25"/>
    <row r="9224" ht="14.25"/>
    <row r="9225" ht="14.25"/>
    <row r="9226" ht="14.25"/>
    <row r="9227" ht="14.25"/>
    <row r="9228" ht="14.25"/>
    <row r="9229" ht="14.25"/>
    <row r="9230" ht="14.25"/>
    <row r="9231" ht="14.25"/>
    <row r="9232" ht="14.25"/>
    <row r="9233" ht="14.25"/>
    <row r="9234" ht="14.25"/>
    <row r="9235" ht="14.25"/>
    <row r="9236" ht="14.25"/>
    <row r="9237" ht="14.25"/>
    <row r="9238" ht="14.25"/>
    <row r="9239" ht="14.25"/>
    <row r="9240" ht="14.25"/>
    <row r="9241" ht="14.25"/>
    <row r="9242" ht="14.25"/>
    <row r="9243" ht="14.25"/>
    <row r="9244" ht="14.25"/>
    <row r="9245" ht="14.25"/>
    <row r="9246" ht="14.25"/>
    <row r="9247" ht="14.25"/>
    <row r="9248" ht="14.25"/>
    <row r="9249" ht="14.25"/>
    <row r="9250" ht="14.25"/>
    <row r="9251" ht="14.25"/>
    <row r="9252" ht="14.25"/>
    <row r="9253" ht="14.25"/>
    <row r="9254" ht="14.25"/>
    <row r="9255" ht="14.25"/>
    <row r="9256" ht="14.25"/>
    <row r="9257" ht="14.25"/>
    <row r="9258" ht="14.25"/>
    <row r="9259" ht="14.25"/>
    <row r="9260" ht="14.25"/>
    <row r="9261" ht="14.25"/>
    <row r="9262" ht="14.25"/>
    <row r="9263" ht="14.25"/>
    <row r="9264" ht="14.25"/>
    <row r="9265" ht="14.25"/>
    <row r="9266" ht="14.25"/>
    <row r="9267" ht="14.25"/>
    <row r="9268" ht="14.25"/>
    <row r="9269" ht="14.25"/>
    <row r="9270" ht="14.25"/>
    <row r="9271" ht="14.25"/>
    <row r="9272" ht="14.25"/>
    <row r="9273" ht="14.25"/>
    <row r="9274" ht="14.25"/>
    <row r="9275" ht="14.25"/>
    <row r="9276" ht="14.25"/>
    <row r="9277" ht="14.25"/>
    <row r="9278" ht="14.25"/>
    <row r="9279" ht="14.25"/>
    <row r="9280" ht="14.25"/>
    <row r="9281" ht="14.25"/>
    <row r="9282" ht="14.25"/>
    <row r="9283" ht="14.25"/>
    <row r="9284" ht="14.25"/>
    <row r="9285" ht="14.25"/>
    <row r="9286" ht="14.25"/>
    <row r="9287" ht="14.25"/>
    <row r="9288" ht="14.25"/>
    <row r="9289" ht="14.25"/>
    <row r="9290" ht="14.25"/>
    <row r="9291" ht="14.25"/>
    <row r="9292" ht="14.25"/>
    <row r="9293" ht="14.25"/>
    <row r="9294" ht="14.25"/>
    <row r="9295" ht="14.25"/>
    <row r="9296" ht="14.25"/>
    <row r="9297" ht="14.25"/>
    <row r="9298" ht="14.25"/>
    <row r="9299" ht="14.25"/>
    <row r="9300" ht="14.25"/>
    <row r="9301" ht="14.25"/>
    <row r="9302" ht="14.25"/>
    <row r="9303" ht="14.25"/>
    <row r="9304" ht="14.25"/>
    <row r="9305" ht="14.25"/>
    <row r="9306" ht="14.25"/>
    <row r="9307" ht="14.25"/>
    <row r="9308" ht="14.25"/>
    <row r="9309" ht="14.25"/>
    <row r="9310" ht="14.25"/>
    <row r="9311" ht="14.25"/>
    <row r="9312" ht="14.25"/>
    <row r="9313" ht="14.25"/>
    <row r="9314" ht="14.25"/>
    <row r="9315" ht="14.25"/>
    <row r="9316" ht="14.25"/>
    <row r="9317" ht="14.25"/>
    <row r="9318" ht="14.25"/>
    <row r="9319" ht="14.25"/>
    <row r="9320" ht="14.25"/>
    <row r="9321" ht="14.25"/>
    <row r="9322" ht="14.25"/>
    <row r="9323" ht="14.25"/>
    <row r="9324" ht="14.25"/>
    <row r="9325" ht="14.25"/>
    <row r="9326" ht="14.25"/>
    <row r="9327" ht="14.25"/>
    <row r="9328" ht="14.25"/>
    <row r="9329" ht="14.25"/>
    <row r="9330" ht="14.25"/>
    <row r="9331" ht="14.25"/>
    <row r="9332" ht="14.25"/>
    <row r="9333" ht="14.25"/>
    <row r="9334" ht="14.25"/>
    <row r="9335" ht="14.25"/>
    <row r="9336" ht="14.25"/>
    <row r="9337" ht="14.25"/>
    <row r="9338" ht="14.25"/>
    <row r="9339" ht="14.25"/>
    <row r="9340" ht="14.25"/>
    <row r="9341" ht="14.25"/>
    <row r="9342" ht="14.25"/>
    <row r="9343" ht="14.25"/>
    <row r="9344" ht="14.25"/>
    <row r="9345" ht="14.25"/>
    <row r="9346" ht="14.25"/>
    <row r="9347" ht="14.25"/>
    <row r="9348" ht="14.25"/>
    <row r="9349" ht="14.25"/>
    <row r="9350" ht="14.25"/>
    <row r="9351" ht="14.25"/>
    <row r="9352" ht="14.25"/>
    <row r="9353" ht="14.25"/>
    <row r="9354" ht="14.25"/>
    <row r="9355" ht="14.25"/>
    <row r="9356" ht="14.25"/>
    <row r="9357" ht="14.25"/>
    <row r="9358" ht="14.25"/>
    <row r="9359" ht="14.25"/>
    <row r="9360" ht="14.25"/>
    <row r="9361" ht="14.25"/>
    <row r="9362" ht="14.25"/>
    <row r="9363" ht="14.25"/>
    <row r="9364" ht="14.25"/>
    <row r="9365" ht="14.25"/>
    <row r="9366" ht="14.25"/>
    <row r="9367" ht="14.25"/>
    <row r="9368" ht="14.25"/>
    <row r="9369" ht="14.25"/>
    <row r="9370" ht="14.25"/>
    <row r="9371" ht="14.25"/>
    <row r="9372" ht="14.25"/>
    <row r="9373" ht="14.25"/>
    <row r="9374" ht="14.25"/>
    <row r="9375" ht="14.25"/>
    <row r="9376" ht="14.25"/>
    <row r="9377" ht="14.25"/>
    <row r="9378" ht="14.25"/>
    <row r="9379" ht="14.25"/>
    <row r="9380" ht="14.25"/>
    <row r="9381" ht="14.25"/>
    <row r="9382" ht="14.25"/>
    <row r="9383" ht="14.25"/>
    <row r="9384" ht="14.25"/>
    <row r="9385" ht="14.25"/>
    <row r="9386" ht="14.25"/>
    <row r="9387" ht="14.25"/>
    <row r="9388" ht="14.25"/>
    <row r="9389" ht="14.25"/>
    <row r="9390" ht="14.25"/>
    <row r="9391" ht="14.25"/>
    <row r="9392" ht="14.25"/>
    <row r="9393" ht="14.25"/>
    <row r="9394" ht="14.25"/>
    <row r="9395" ht="14.25"/>
    <row r="9396" ht="14.25"/>
    <row r="9397" ht="14.25"/>
    <row r="9398" ht="14.25"/>
    <row r="9399" ht="14.25"/>
    <row r="9400" ht="14.25"/>
    <row r="9401" ht="14.25"/>
    <row r="9402" ht="14.25"/>
    <row r="9403" ht="14.25"/>
    <row r="9404" ht="14.25"/>
    <row r="9405" ht="14.25"/>
    <row r="9406" ht="14.25"/>
    <row r="9407" ht="14.25"/>
    <row r="9408" ht="14.25"/>
    <row r="9409" ht="14.25"/>
    <row r="9410" ht="14.25"/>
    <row r="9411" ht="14.25"/>
    <row r="9412" ht="14.25"/>
    <row r="9413" ht="14.25"/>
    <row r="9414" ht="14.25"/>
    <row r="9415" ht="14.25"/>
    <row r="9416" ht="14.25"/>
    <row r="9417" ht="14.25"/>
    <row r="9418" ht="14.25"/>
    <row r="9419" ht="14.25"/>
    <row r="9420" ht="14.25"/>
    <row r="9421" ht="14.25"/>
    <row r="9422" ht="14.25"/>
    <row r="9423" ht="14.25"/>
    <row r="9424" ht="14.25"/>
    <row r="9425" ht="14.25"/>
    <row r="9426" ht="14.25"/>
    <row r="9427" ht="14.25"/>
    <row r="9428" ht="14.25"/>
    <row r="9429" ht="14.25"/>
    <row r="9430" ht="14.25"/>
    <row r="9431" ht="14.25"/>
    <row r="9432" ht="14.25"/>
    <row r="9433" ht="14.25"/>
    <row r="9434" ht="14.25"/>
    <row r="9435" ht="14.25"/>
    <row r="9436" ht="14.25"/>
    <row r="9437" ht="14.25"/>
    <row r="9438" ht="14.25"/>
    <row r="9439" ht="14.25"/>
    <row r="9440" ht="14.25"/>
    <row r="9441" ht="14.25"/>
    <row r="9442" ht="14.25"/>
    <row r="9443" ht="14.25"/>
    <row r="9444" ht="14.25"/>
    <row r="9445" ht="14.25"/>
    <row r="9446" ht="14.25"/>
    <row r="9447" ht="14.25"/>
    <row r="9448" ht="14.25"/>
    <row r="9449" ht="14.25"/>
    <row r="9450" ht="14.25"/>
    <row r="9451" ht="14.25"/>
    <row r="9452" ht="14.25"/>
    <row r="9453" ht="14.25"/>
    <row r="9454" ht="14.25"/>
    <row r="9455" ht="14.25"/>
    <row r="9456" ht="14.25"/>
    <row r="9457" ht="14.25"/>
    <row r="9458" ht="14.25"/>
    <row r="9459" ht="14.25"/>
    <row r="9460" ht="14.25"/>
    <row r="9461" ht="14.25"/>
    <row r="9462" ht="14.25"/>
    <row r="9463" ht="14.25"/>
    <row r="9464" ht="14.25"/>
    <row r="9465" ht="14.25"/>
    <row r="9466" ht="14.25"/>
    <row r="9467" ht="14.25"/>
    <row r="9468" ht="14.25"/>
    <row r="9469" ht="14.25"/>
    <row r="9470" ht="14.25"/>
    <row r="9471" ht="14.25"/>
    <row r="9472" ht="14.25"/>
    <row r="9473" ht="14.25"/>
    <row r="9474" ht="14.25"/>
    <row r="9475" ht="14.25"/>
    <row r="9476" ht="14.25"/>
    <row r="9477" ht="14.25"/>
    <row r="9478" ht="14.25"/>
    <row r="9479" ht="14.25"/>
    <row r="9480" ht="14.25"/>
    <row r="9481" ht="14.25"/>
    <row r="9482" ht="14.25"/>
    <row r="9483" ht="14.25"/>
    <row r="9484" ht="14.25"/>
    <row r="9485" ht="14.25"/>
    <row r="9486" ht="14.25"/>
    <row r="9487" ht="14.25"/>
    <row r="9488" ht="14.25"/>
    <row r="9489" ht="14.25"/>
    <row r="9490" ht="14.25"/>
    <row r="9491" ht="14.25"/>
    <row r="9492" ht="14.25"/>
    <row r="9493" ht="14.25"/>
    <row r="9494" ht="14.25"/>
    <row r="9495" ht="14.25"/>
    <row r="9496" ht="14.25"/>
    <row r="9497" ht="14.25"/>
    <row r="9498" ht="14.25"/>
    <row r="9499" ht="14.25"/>
    <row r="9500" ht="14.25"/>
    <row r="9501" ht="14.25"/>
    <row r="9502" ht="14.25"/>
    <row r="9503" ht="14.25"/>
    <row r="9504" ht="14.25"/>
    <row r="9505" ht="14.25"/>
    <row r="9506" ht="14.25"/>
    <row r="9507" ht="14.25"/>
    <row r="9508" ht="14.25"/>
    <row r="9509" ht="14.25"/>
    <row r="9510" ht="14.25"/>
    <row r="9511" ht="14.25"/>
    <row r="9512" ht="14.25"/>
    <row r="9513" ht="14.25"/>
    <row r="9514" ht="14.25"/>
    <row r="9515" ht="14.25"/>
    <row r="9516" ht="14.25"/>
    <row r="9517" ht="14.25"/>
    <row r="9518" ht="14.25"/>
    <row r="9519" ht="14.25"/>
    <row r="9520" ht="14.25"/>
    <row r="9521" ht="14.25"/>
    <row r="9522" ht="14.25"/>
    <row r="9523" ht="14.25"/>
    <row r="9524" ht="14.25"/>
    <row r="9525" ht="14.25"/>
    <row r="9526" ht="14.25"/>
    <row r="9527" ht="14.25"/>
    <row r="9528" ht="14.25"/>
    <row r="9529" ht="14.25"/>
    <row r="9530" ht="14.25"/>
    <row r="9531" ht="14.25"/>
    <row r="9532" ht="14.25"/>
    <row r="9533" ht="14.25"/>
    <row r="9534" ht="14.25"/>
    <row r="9535" ht="14.25"/>
    <row r="9536" ht="14.25"/>
    <row r="9537" ht="14.25"/>
    <row r="9538" ht="14.25"/>
    <row r="9539" ht="14.25"/>
    <row r="9540" ht="14.25"/>
    <row r="9541" ht="14.25"/>
    <row r="9542" ht="14.25"/>
    <row r="9543" ht="14.25"/>
    <row r="9544" ht="14.25"/>
    <row r="9545" ht="14.25"/>
    <row r="9546" ht="14.25"/>
    <row r="9547" ht="14.25"/>
    <row r="9548" ht="14.25"/>
    <row r="9549" ht="14.25"/>
    <row r="9550" ht="14.25"/>
    <row r="9551" ht="14.25"/>
    <row r="9552" ht="14.25"/>
    <row r="9553" ht="14.25"/>
    <row r="9554" ht="14.25"/>
    <row r="9555" ht="14.25"/>
    <row r="9556" ht="14.25"/>
    <row r="9557" ht="14.25"/>
    <row r="9558" ht="14.25"/>
    <row r="9559" ht="14.25"/>
    <row r="9560" ht="14.25"/>
    <row r="9561" ht="14.25"/>
    <row r="9562" ht="14.25"/>
    <row r="9563" ht="14.25"/>
    <row r="9564" ht="14.25"/>
    <row r="9565" ht="14.25"/>
    <row r="9566" ht="14.25"/>
    <row r="9567" ht="14.25"/>
    <row r="9568" ht="14.25"/>
    <row r="9569" ht="14.25"/>
    <row r="9570" ht="14.25"/>
    <row r="9571" ht="14.25"/>
    <row r="9572" ht="14.25"/>
    <row r="9573" ht="14.25"/>
    <row r="9574" ht="14.25"/>
    <row r="9575" ht="14.25"/>
    <row r="9576" ht="14.25"/>
    <row r="9577" ht="14.25"/>
    <row r="9578" ht="14.25"/>
    <row r="9579" ht="14.25"/>
    <row r="9580" ht="14.25"/>
    <row r="9581" ht="14.25"/>
    <row r="9582" ht="14.25"/>
    <row r="9583" ht="14.25"/>
    <row r="9584" ht="14.25"/>
    <row r="9585" ht="14.25"/>
    <row r="9586" ht="14.25"/>
    <row r="9587" ht="14.25"/>
    <row r="9588" ht="14.25"/>
    <row r="9589" ht="14.25"/>
    <row r="9590" ht="14.25"/>
    <row r="9591" ht="14.25"/>
    <row r="9592" ht="14.25"/>
    <row r="9593" ht="14.25"/>
    <row r="9594" ht="14.25"/>
    <row r="9595" ht="14.25"/>
    <row r="9596" ht="14.25"/>
    <row r="9597" ht="14.25"/>
    <row r="9598" ht="14.25"/>
    <row r="9599" ht="14.25"/>
    <row r="9600" ht="14.25"/>
    <row r="9601" ht="14.25"/>
    <row r="9602" ht="14.25"/>
    <row r="9603" ht="14.25"/>
    <row r="9604" ht="14.25"/>
    <row r="9605" ht="14.25"/>
    <row r="9606" ht="14.25"/>
    <row r="9607" ht="14.25"/>
    <row r="9608" ht="14.25"/>
    <row r="9609" ht="14.25"/>
    <row r="9610" ht="14.25"/>
    <row r="9611" ht="14.25"/>
    <row r="9612" ht="14.25"/>
    <row r="9613" ht="14.25"/>
    <row r="9614" ht="14.25"/>
    <row r="9615" ht="14.25"/>
    <row r="9616" ht="14.25"/>
    <row r="9617" ht="14.25"/>
    <row r="9618" ht="14.25"/>
    <row r="9619" ht="14.25"/>
    <row r="9620" ht="14.25"/>
    <row r="9621" ht="14.25"/>
    <row r="9622" ht="14.25"/>
    <row r="9623" ht="14.25"/>
    <row r="9624" ht="14.25"/>
    <row r="9625" ht="14.25"/>
    <row r="9626" ht="14.25"/>
    <row r="9627" ht="14.25"/>
    <row r="9628" ht="14.25"/>
    <row r="9629" ht="14.25"/>
    <row r="9630" ht="14.25"/>
    <row r="9631" ht="14.25"/>
    <row r="9632" ht="14.25"/>
    <row r="9633" ht="14.25"/>
    <row r="9634" ht="14.25"/>
    <row r="9635" ht="14.25"/>
    <row r="9636" ht="14.25"/>
    <row r="9637" ht="14.25"/>
    <row r="9638" ht="14.25"/>
    <row r="9639" ht="14.25"/>
    <row r="9640" ht="14.25"/>
    <row r="9641" ht="14.25"/>
    <row r="9642" ht="14.25"/>
    <row r="9643" ht="14.25"/>
    <row r="9644" ht="14.25"/>
    <row r="9645" ht="14.25"/>
    <row r="9646" ht="14.25"/>
    <row r="9647" ht="14.25"/>
    <row r="9648" ht="14.25"/>
    <row r="9649" ht="14.25"/>
    <row r="9650" ht="14.25"/>
    <row r="9651" ht="14.25"/>
    <row r="9652" ht="14.25"/>
    <row r="9653" ht="14.25"/>
    <row r="9654" ht="14.25"/>
    <row r="9655" ht="14.25"/>
    <row r="9656" ht="14.25"/>
    <row r="9657" ht="14.25"/>
    <row r="9658" ht="14.25"/>
    <row r="9659" ht="14.25"/>
    <row r="9660" ht="14.25"/>
    <row r="9661" ht="14.25"/>
    <row r="9662" ht="14.25"/>
    <row r="9663" ht="14.25"/>
    <row r="9664" ht="14.25"/>
    <row r="9665" ht="14.25"/>
    <row r="9666" ht="14.25"/>
    <row r="9667" ht="14.25"/>
    <row r="9668" ht="14.25"/>
    <row r="9669" ht="14.25"/>
    <row r="9670" ht="14.25"/>
    <row r="9671" ht="14.25"/>
    <row r="9672" ht="14.25"/>
    <row r="9673" ht="14.25"/>
    <row r="9674" ht="14.25"/>
    <row r="9675" ht="14.25"/>
    <row r="9676" ht="14.25"/>
    <row r="9677" ht="14.25"/>
    <row r="9678" ht="14.25"/>
    <row r="9679" ht="14.25"/>
    <row r="9680" ht="14.25"/>
    <row r="9681" ht="14.25"/>
    <row r="9682" ht="14.25"/>
    <row r="9683" ht="14.25"/>
    <row r="9684" ht="14.25"/>
    <row r="9685" ht="14.25"/>
    <row r="9686" ht="14.25"/>
    <row r="9687" ht="14.25"/>
    <row r="9688" ht="14.25"/>
    <row r="9689" ht="14.25"/>
    <row r="9690" ht="14.25"/>
    <row r="9691" ht="14.25"/>
    <row r="9692" ht="14.25"/>
    <row r="9693" ht="14.25"/>
    <row r="9694" ht="14.25"/>
    <row r="9695" ht="14.25"/>
    <row r="9696" ht="14.25"/>
    <row r="9697" ht="14.25"/>
    <row r="9698" ht="14.25"/>
    <row r="9699" ht="14.25"/>
    <row r="9700" ht="14.25"/>
    <row r="9701" ht="14.25"/>
    <row r="9702" ht="14.25"/>
    <row r="9703" ht="14.25"/>
    <row r="9704" ht="14.25"/>
    <row r="9705" ht="14.25"/>
    <row r="9706" ht="14.25"/>
    <row r="9707" ht="14.25"/>
    <row r="9708" ht="14.25"/>
    <row r="9709" ht="14.25"/>
    <row r="9710" ht="14.25"/>
    <row r="9711" ht="14.25"/>
    <row r="9712" ht="14.25"/>
    <row r="9713" ht="14.25"/>
    <row r="9714" ht="14.25"/>
    <row r="9715" ht="14.25"/>
    <row r="9716" ht="14.25"/>
    <row r="9717" ht="14.25"/>
    <row r="9718" ht="14.25"/>
    <row r="9719" ht="14.25"/>
    <row r="9720" ht="14.25"/>
    <row r="9721" ht="14.25"/>
    <row r="9722" ht="14.25"/>
    <row r="9723" ht="14.25"/>
    <row r="9724" ht="14.25"/>
    <row r="9725" ht="14.25"/>
    <row r="9726" ht="14.25"/>
    <row r="9727" ht="14.25"/>
    <row r="9728" ht="14.25"/>
    <row r="9729" ht="14.25"/>
    <row r="9730" ht="14.25"/>
    <row r="9731" ht="14.25"/>
    <row r="9732" ht="14.25"/>
    <row r="9733" ht="14.25"/>
    <row r="9734" ht="14.25"/>
    <row r="9735" ht="14.25"/>
    <row r="9736" ht="14.25"/>
    <row r="9737" ht="14.25"/>
    <row r="9738" ht="14.25"/>
    <row r="9739" ht="14.25"/>
    <row r="9740" ht="14.25"/>
    <row r="9741" ht="14.25"/>
    <row r="9742" ht="14.25"/>
    <row r="9743" ht="14.25"/>
    <row r="9744" ht="14.25"/>
    <row r="9745" ht="14.25"/>
    <row r="9746" ht="14.25"/>
    <row r="9747" ht="14.25"/>
    <row r="9748" ht="14.25"/>
    <row r="9749" ht="14.25"/>
    <row r="9750" ht="14.25"/>
    <row r="9751" ht="14.25"/>
    <row r="9752" ht="14.25"/>
    <row r="9753" ht="14.25"/>
    <row r="9754" ht="14.25"/>
    <row r="9755" ht="14.25"/>
    <row r="9756" ht="14.25"/>
    <row r="9757" ht="14.25"/>
    <row r="9758" ht="14.25"/>
    <row r="9759" ht="14.25"/>
    <row r="9760" ht="14.25"/>
    <row r="9761" ht="14.25"/>
    <row r="9762" ht="14.25"/>
    <row r="9763" ht="14.25"/>
    <row r="9764" ht="14.25"/>
    <row r="9765" ht="14.25"/>
    <row r="9766" ht="14.25"/>
    <row r="9767" ht="14.25"/>
    <row r="9768" ht="14.25"/>
    <row r="9769" ht="14.25"/>
    <row r="9770" ht="14.25"/>
    <row r="9771" ht="14.25"/>
    <row r="9772" ht="14.25"/>
    <row r="9773" ht="14.25"/>
    <row r="9774" ht="14.25"/>
    <row r="9775" ht="14.25"/>
    <row r="9776" ht="14.25"/>
    <row r="9777" ht="14.25"/>
    <row r="9778" ht="14.25"/>
    <row r="9779" ht="14.25"/>
    <row r="9780" ht="14.25"/>
    <row r="9781" ht="14.25"/>
    <row r="9782" ht="14.25"/>
    <row r="9783" ht="14.25"/>
    <row r="9784" ht="14.25"/>
    <row r="9785" ht="14.25"/>
    <row r="9786" ht="14.25"/>
    <row r="9787" ht="14.25"/>
    <row r="9788" ht="14.25"/>
    <row r="9789" ht="14.25"/>
    <row r="9790" ht="14.25"/>
    <row r="9791" ht="14.25"/>
    <row r="9792" ht="14.25"/>
    <row r="9793" ht="14.25"/>
    <row r="9794" ht="14.25"/>
    <row r="9795" ht="14.25"/>
    <row r="9796" ht="14.25"/>
    <row r="9797" ht="14.25"/>
    <row r="9798" ht="14.25"/>
    <row r="9799" ht="14.25"/>
    <row r="9800" ht="14.25"/>
    <row r="9801" ht="14.25"/>
    <row r="9802" ht="14.25"/>
    <row r="9803" ht="14.25"/>
    <row r="9804" ht="14.25"/>
    <row r="9805" ht="14.25"/>
    <row r="9806" ht="14.25"/>
    <row r="9807" ht="14.25"/>
    <row r="9808" ht="14.25"/>
    <row r="9809" ht="14.25"/>
    <row r="9810" ht="14.25"/>
    <row r="9811" ht="14.25"/>
    <row r="9812" ht="14.25"/>
    <row r="9813" ht="14.25"/>
    <row r="9814" ht="14.25"/>
    <row r="9815" ht="14.25"/>
    <row r="9816" ht="14.25"/>
    <row r="9817" ht="14.25"/>
    <row r="9818" ht="14.25"/>
    <row r="9819" ht="14.25"/>
    <row r="9820" ht="14.25"/>
    <row r="9821" ht="14.25"/>
    <row r="9822" ht="14.25"/>
    <row r="9823" ht="14.25"/>
    <row r="9824" ht="14.25"/>
    <row r="9825" ht="14.25"/>
    <row r="9826" ht="14.25"/>
    <row r="9827" ht="14.25"/>
    <row r="9828" ht="14.25"/>
    <row r="9829" ht="14.25"/>
    <row r="9830" ht="14.25"/>
    <row r="9831" ht="14.25"/>
    <row r="9832" ht="14.25"/>
    <row r="9833" ht="14.25"/>
    <row r="9834" ht="14.25"/>
    <row r="9835" ht="14.25"/>
    <row r="9836" ht="14.25"/>
    <row r="9837" ht="14.25"/>
    <row r="9838" ht="14.25"/>
    <row r="9839" ht="14.25"/>
    <row r="9840" ht="14.25"/>
    <row r="9841" ht="14.25"/>
    <row r="9842" ht="14.25"/>
    <row r="9843" ht="14.25"/>
    <row r="9844" ht="14.25"/>
    <row r="9845" ht="14.25"/>
    <row r="9846" ht="14.25"/>
    <row r="9847" ht="14.25"/>
    <row r="9848" ht="14.25"/>
    <row r="9849" ht="14.25"/>
    <row r="9850" ht="14.25"/>
    <row r="9851" ht="14.25"/>
    <row r="9852" ht="14.25"/>
    <row r="9853" ht="14.25"/>
    <row r="9854" ht="14.25"/>
    <row r="9855" ht="14.25"/>
    <row r="9856" ht="14.25"/>
    <row r="9857" ht="14.25"/>
    <row r="9858" ht="14.25"/>
    <row r="9859" ht="14.25"/>
    <row r="9860" ht="14.25"/>
    <row r="9861" ht="14.25"/>
    <row r="9862" ht="14.25"/>
    <row r="9863" ht="14.25"/>
    <row r="9864" ht="14.25"/>
    <row r="9865" ht="14.25"/>
    <row r="9866" ht="14.25"/>
    <row r="9867" ht="14.25"/>
    <row r="9868" ht="14.25"/>
    <row r="9869" ht="14.25"/>
    <row r="9870" ht="14.25"/>
    <row r="9871" ht="14.25"/>
    <row r="9872" ht="14.25"/>
    <row r="9873" ht="14.25"/>
    <row r="9874" ht="14.25"/>
    <row r="9875" ht="14.25"/>
    <row r="9876" ht="14.25"/>
    <row r="9877" ht="14.25"/>
    <row r="9878" ht="14.25"/>
    <row r="9879" ht="14.25"/>
    <row r="9880" ht="14.25"/>
    <row r="9881" ht="14.25"/>
    <row r="9882" ht="14.25"/>
    <row r="9883" ht="14.25"/>
    <row r="9884" ht="14.25"/>
    <row r="9885" ht="14.25"/>
    <row r="9886" ht="14.25"/>
    <row r="9887" ht="14.25"/>
    <row r="9888" ht="14.25"/>
    <row r="9889" ht="14.25"/>
    <row r="9890" ht="14.25"/>
    <row r="9891" ht="14.25"/>
    <row r="9892" ht="14.25"/>
    <row r="9893" ht="14.25"/>
    <row r="9894" ht="14.25"/>
    <row r="9895" ht="14.25"/>
    <row r="9896" ht="14.25"/>
    <row r="9897" ht="14.25"/>
    <row r="9898" ht="14.25"/>
    <row r="9899" ht="14.25"/>
    <row r="9900" ht="14.25"/>
    <row r="9901" ht="14.25"/>
    <row r="9902" ht="14.25"/>
    <row r="9903" ht="14.25"/>
    <row r="9904" ht="14.25"/>
    <row r="9905" ht="14.25"/>
    <row r="9906" ht="14.25"/>
    <row r="9907" ht="14.25"/>
    <row r="9908" ht="14.25"/>
    <row r="9909" ht="14.25"/>
    <row r="9910" ht="14.25"/>
    <row r="9911" ht="14.25"/>
    <row r="9912" ht="14.25"/>
    <row r="9913" ht="14.25"/>
    <row r="9914" ht="14.25"/>
    <row r="9915" ht="14.25"/>
    <row r="9916" ht="14.25"/>
    <row r="9917" ht="14.25"/>
    <row r="9918" ht="14.25"/>
    <row r="9919" ht="14.25"/>
    <row r="9920" ht="14.25"/>
    <row r="9921" ht="14.25"/>
    <row r="9922" ht="14.25"/>
    <row r="9923" ht="14.25"/>
    <row r="9924" ht="14.25"/>
    <row r="9925" ht="14.25"/>
    <row r="9926" ht="14.25"/>
    <row r="9927" ht="14.25"/>
    <row r="9928" ht="14.25"/>
    <row r="9929" ht="14.25"/>
    <row r="9930" ht="14.25"/>
    <row r="9931" ht="14.25"/>
    <row r="9932" ht="14.25"/>
    <row r="9933" ht="14.25"/>
    <row r="9934" ht="14.25"/>
    <row r="9935" ht="14.25"/>
    <row r="9936" ht="14.25"/>
    <row r="9937" ht="14.25"/>
    <row r="9938" ht="14.25"/>
    <row r="9939" ht="14.25"/>
    <row r="9940" ht="14.25"/>
    <row r="9941" ht="14.25"/>
    <row r="9942" ht="14.25"/>
    <row r="9943" ht="14.25"/>
    <row r="9944" ht="14.25"/>
    <row r="9945" ht="14.25"/>
    <row r="9946" ht="14.25"/>
    <row r="9947" ht="14.25"/>
    <row r="9948" ht="14.25"/>
    <row r="9949" ht="14.25"/>
    <row r="9950" ht="14.25"/>
    <row r="9951" ht="14.25"/>
    <row r="9952" ht="14.25"/>
    <row r="9953" ht="14.25"/>
    <row r="9954" ht="14.25"/>
    <row r="9955" ht="14.25"/>
    <row r="9956" ht="14.25"/>
    <row r="9957" ht="14.25"/>
    <row r="9958" ht="14.25"/>
    <row r="9959" ht="14.25"/>
    <row r="9960" ht="14.25"/>
    <row r="9961" ht="14.25"/>
    <row r="9962" ht="14.25"/>
    <row r="9963" ht="14.25"/>
    <row r="9964" ht="14.25"/>
    <row r="9965" ht="14.25"/>
    <row r="9966" ht="14.25"/>
    <row r="9967" ht="14.25"/>
    <row r="9968" ht="14.25"/>
    <row r="9969" ht="14.25"/>
    <row r="9970" ht="14.25"/>
    <row r="9971" ht="14.25"/>
    <row r="9972" ht="14.25"/>
    <row r="9973" ht="14.25"/>
    <row r="9974" ht="14.25"/>
    <row r="9975" ht="14.25"/>
    <row r="9976" ht="14.25"/>
    <row r="9977" ht="14.25"/>
    <row r="9978" ht="14.25"/>
    <row r="9979" ht="14.25"/>
    <row r="9980" ht="14.25"/>
    <row r="9981" ht="14.25"/>
    <row r="9982" ht="14.25"/>
    <row r="9983" ht="14.25"/>
    <row r="9984" ht="14.25"/>
    <row r="9985" ht="14.25"/>
    <row r="9986" ht="14.25"/>
    <row r="9987" ht="14.25"/>
    <row r="9988" ht="14.25"/>
    <row r="9989" ht="14.25"/>
    <row r="9990" ht="14.25"/>
    <row r="9991" ht="14.25"/>
    <row r="9992" ht="14.25"/>
    <row r="9993" ht="14.25"/>
    <row r="9994" ht="14.25"/>
    <row r="9995" ht="14.25"/>
    <row r="9996" ht="14.25"/>
    <row r="9997" ht="14.25"/>
    <row r="9998" ht="14.25"/>
    <row r="9999" ht="14.25"/>
    <row r="10000" ht="14.25"/>
    <row r="10001" ht="14.25"/>
    <row r="10002" ht="14.25"/>
    <row r="10003" ht="14.25"/>
    <row r="10004" ht="14.25"/>
    <row r="10005" ht="14.25"/>
    <row r="10006" ht="14.25"/>
    <row r="10007" ht="14.25"/>
    <row r="10008" ht="14.25"/>
    <row r="10009" ht="14.25"/>
    <row r="10010" ht="14.25"/>
    <row r="10011" ht="14.25"/>
    <row r="10012" ht="14.25"/>
    <row r="10013" ht="14.25"/>
    <row r="10014" ht="14.25"/>
    <row r="10015" ht="14.25"/>
    <row r="10016" ht="14.25"/>
    <row r="10017" ht="14.25"/>
    <row r="10018" ht="14.25"/>
    <row r="10019" ht="14.25"/>
    <row r="10020" ht="14.25"/>
    <row r="10021" ht="14.25"/>
    <row r="10022" ht="14.25"/>
    <row r="10023" ht="14.25"/>
    <row r="10024" ht="14.25"/>
    <row r="10025" ht="14.25"/>
    <row r="10026" ht="14.25"/>
    <row r="10027" ht="14.25"/>
    <row r="10028" ht="14.25"/>
    <row r="10029" ht="14.25"/>
    <row r="10030" ht="14.25"/>
    <row r="10031" ht="14.25"/>
    <row r="10032" ht="14.25"/>
    <row r="10033" ht="14.25"/>
    <row r="10034" ht="14.25"/>
    <row r="10035" ht="14.25"/>
    <row r="10036" ht="14.25"/>
    <row r="10037" ht="14.25"/>
    <row r="10038" ht="14.25"/>
    <row r="10039" ht="14.25"/>
    <row r="10040" ht="14.25"/>
    <row r="10041" ht="14.25"/>
    <row r="10042" ht="14.25"/>
    <row r="10043" ht="14.25"/>
    <row r="10044" ht="14.25"/>
    <row r="10045" ht="14.25"/>
    <row r="10046" ht="14.25"/>
    <row r="10047" ht="14.25"/>
    <row r="10048" ht="14.25"/>
    <row r="10049" ht="14.25"/>
    <row r="10050" ht="14.25"/>
    <row r="10051" ht="14.25"/>
    <row r="10052" ht="14.25"/>
    <row r="10053" ht="14.25"/>
    <row r="10054" ht="14.25"/>
    <row r="10055" ht="14.25"/>
    <row r="10056" ht="14.25"/>
    <row r="10057" ht="14.25"/>
    <row r="10058" ht="14.25"/>
    <row r="10059" ht="14.25"/>
    <row r="10060" ht="14.25"/>
    <row r="10061" ht="14.25"/>
    <row r="10062" ht="14.25"/>
    <row r="10063" ht="14.25"/>
    <row r="10064" ht="14.25"/>
    <row r="10065" ht="14.25"/>
    <row r="10066" ht="14.25"/>
    <row r="10067" ht="14.25"/>
    <row r="10068" ht="14.25"/>
    <row r="10069" ht="14.25"/>
    <row r="10070" ht="14.25"/>
    <row r="10071" ht="14.25"/>
    <row r="10072" ht="14.25"/>
    <row r="10073" ht="14.25"/>
    <row r="10074" ht="14.25"/>
    <row r="10075" ht="14.25"/>
    <row r="10076" ht="14.25"/>
    <row r="10077" ht="14.25"/>
    <row r="10078" ht="14.25"/>
    <row r="10079" ht="14.25"/>
    <row r="10080" ht="14.25"/>
    <row r="10081" ht="14.25"/>
    <row r="10082" ht="14.25"/>
    <row r="10083" ht="14.25"/>
    <row r="10084" ht="14.25"/>
    <row r="10085" ht="14.25"/>
    <row r="10086" ht="14.25"/>
    <row r="10087" ht="14.25"/>
    <row r="10088" ht="14.25"/>
    <row r="10089" ht="14.25"/>
    <row r="10090" ht="14.25"/>
    <row r="10091" ht="14.25"/>
    <row r="10092" ht="14.25"/>
    <row r="10093" ht="14.25"/>
    <row r="10094" ht="14.25"/>
    <row r="10095" ht="14.25"/>
    <row r="10096" ht="14.25"/>
    <row r="10097" ht="14.25"/>
    <row r="10098" ht="14.25"/>
    <row r="10099" ht="14.25"/>
    <row r="10100" ht="14.25"/>
    <row r="10101" ht="14.25"/>
    <row r="10102" ht="14.25"/>
    <row r="10103" ht="14.25"/>
    <row r="10104" ht="14.25"/>
    <row r="10105" ht="14.25"/>
    <row r="10106" ht="14.25"/>
    <row r="10107" ht="14.25"/>
    <row r="10108" ht="14.25"/>
    <row r="10109" ht="14.25"/>
    <row r="10110" ht="14.25"/>
    <row r="10111" ht="14.25"/>
    <row r="10112" ht="14.25"/>
    <row r="10113" ht="14.25"/>
    <row r="10114" ht="14.25"/>
    <row r="10115" ht="14.25"/>
    <row r="10116" ht="14.25"/>
    <row r="10117" ht="14.25"/>
    <row r="10118" ht="14.25"/>
    <row r="10119" ht="14.25"/>
    <row r="10120" ht="14.25"/>
    <row r="10121" ht="14.25"/>
    <row r="10122" ht="14.25"/>
    <row r="10123" ht="14.25"/>
    <row r="10124" ht="14.25"/>
    <row r="10125" ht="14.25"/>
    <row r="10126" ht="14.25"/>
    <row r="10127" ht="14.25"/>
    <row r="10128" ht="14.25"/>
    <row r="10129" ht="14.25"/>
    <row r="10130" ht="14.25"/>
    <row r="10131" ht="14.25"/>
    <row r="10132" ht="14.25"/>
    <row r="10133" ht="14.25"/>
    <row r="10134" ht="14.25"/>
    <row r="10135" ht="14.25"/>
    <row r="10136" ht="14.25"/>
    <row r="10137" ht="14.25"/>
    <row r="10138" ht="14.25"/>
    <row r="10139" ht="14.25"/>
    <row r="10140" ht="14.25"/>
    <row r="10141" ht="14.25"/>
    <row r="10142" ht="14.25"/>
    <row r="10143" ht="14.25"/>
    <row r="10144" ht="14.25"/>
    <row r="10145" ht="14.25"/>
    <row r="10146" ht="14.25"/>
    <row r="10147" ht="14.25"/>
    <row r="10148" ht="14.25"/>
    <row r="10149" ht="14.25"/>
    <row r="10150" ht="14.25"/>
    <row r="10151" ht="14.25"/>
    <row r="10152" ht="14.25"/>
    <row r="10153" ht="14.25"/>
    <row r="10154" ht="14.25"/>
    <row r="10155" ht="14.25"/>
    <row r="10156" ht="14.25"/>
    <row r="10157" ht="14.25"/>
    <row r="10158" ht="14.25"/>
    <row r="10159" ht="14.25"/>
    <row r="10160" ht="14.25"/>
    <row r="10161" ht="14.25"/>
    <row r="10162" ht="14.25"/>
    <row r="10163" ht="14.25"/>
    <row r="10164" ht="14.25"/>
    <row r="10165" ht="14.25"/>
    <row r="10166" ht="14.25"/>
    <row r="10167" ht="14.25"/>
    <row r="10168" ht="14.25"/>
    <row r="10169" ht="14.25"/>
    <row r="10170" ht="14.25"/>
    <row r="10171" ht="14.25"/>
    <row r="10172" ht="14.25"/>
    <row r="10173" ht="14.25"/>
    <row r="10174" ht="14.25"/>
    <row r="10175" ht="14.25"/>
    <row r="10176" ht="14.25"/>
    <row r="10177" ht="14.25"/>
    <row r="10178" ht="14.25"/>
    <row r="10179" ht="14.25"/>
    <row r="10180" ht="14.25"/>
    <row r="10181" ht="14.25"/>
    <row r="10182" ht="14.25"/>
    <row r="10183" ht="14.25"/>
    <row r="10184" ht="14.25"/>
    <row r="10185" ht="14.25"/>
    <row r="10186" ht="14.25"/>
    <row r="10187" ht="14.25"/>
    <row r="10188" ht="14.25"/>
    <row r="10189" ht="14.25"/>
    <row r="10190" ht="14.25"/>
    <row r="10191" ht="14.25"/>
    <row r="10192" ht="14.25"/>
    <row r="10193" ht="14.25"/>
    <row r="10194" ht="14.25"/>
    <row r="10195" ht="14.25"/>
    <row r="10196" ht="14.25"/>
    <row r="10197" ht="14.25"/>
    <row r="10198" ht="14.25"/>
    <row r="10199" ht="14.25"/>
    <row r="10200" ht="14.25"/>
    <row r="10201" ht="14.25"/>
    <row r="10202" ht="14.25"/>
    <row r="10203" ht="14.25"/>
    <row r="10204" ht="14.25"/>
    <row r="10205" ht="14.25"/>
    <row r="10206" ht="14.25"/>
    <row r="10207" ht="14.25"/>
    <row r="10208" ht="14.25"/>
    <row r="10209" ht="14.25"/>
    <row r="10210" ht="14.25"/>
    <row r="10211" ht="14.25"/>
    <row r="10212" ht="14.25"/>
    <row r="10213" ht="14.25"/>
    <row r="10214" ht="14.25"/>
    <row r="10215" ht="14.25"/>
    <row r="10216" ht="14.25"/>
    <row r="10217" ht="14.25"/>
    <row r="10218" ht="14.25"/>
    <row r="10219" ht="14.25"/>
    <row r="10220" ht="14.25"/>
    <row r="10221" ht="14.25"/>
    <row r="10222" ht="14.25"/>
    <row r="10223" ht="14.25"/>
    <row r="10224" ht="14.25"/>
    <row r="10225" ht="14.25"/>
    <row r="10226" ht="14.25"/>
    <row r="10227" ht="14.25"/>
    <row r="10228" ht="14.25"/>
    <row r="10229" ht="14.25"/>
    <row r="10230" ht="14.25"/>
    <row r="10231" ht="14.25"/>
    <row r="10232" ht="14.25"/>
    <row r="10233" ht="14.25"/>
    <row r="10234" ht="14.25"/>
    <row r="10235" ht="14.25"/>
    <row r="10236" ht="14.25"/>
    <row r="10237" ht="14.25"/>
    <row r="10238" ht="14.25"/>
    <row r="10239" ht="14.25"/>
    <row r="10240" ht="14.25"/>
    <row r="10241" ht="14.25"/>
    <row r="10242" ht="14.25"/>
    <row r="10243" ht="14.25"/>
    <row r="10244" ht="14.25"/>
    <row r="10245" ht="14.25"/>
    <row r="10246" ht="14.25"/>
    <row r="10247" ht="14.25"/>
    <row r="10248" ht="14.25"/>
    <row r="10249" ht="14.25"/>
    <row r="10250" ht="14.25"/>
    <row r="10251" ht="14.25"/>
    <row r="10252" ht="14.25"/>
    <row r="10253" ht="14.25"/>
    <row r="10254" ht="14.25"/>
    <row r="10255" ht="14.25"/>
    <row r="10256" ht="14.25"/>
    <row r="10257" ht="14.25"/>
    <row r="10258" ht="14.25"/>
    <row r="10259" ht="14.25"/>
    <row r="10260" ht="14.25"/>
    <row r="10261" ht="14.25"/>
    <row r="10262" ht="14.25"/>
    <row r="10263" ht="14.25"/>
    <row r="10264" ht="14.25"/>
    <row r="10265" ht="14.25"/>
    <row r="10266" ht="14.25"/>
    <row r="10267" ht="14.25"/>
    <row r="10268" ht="14.25"/>
    <row r="10269" ht="14.25"/>
    <row r="10270" ht="14.25"/>
    <row r="10271" ht="14.25"/>
    <row r="10272" ht="14.25"/>
    <row r="10273" ht="14.25"/>
    <row r="10274" ht="14.25"/>
    <row r="10275" ht="14.25"/>
    <row r="10276" ht="14.25"/>
    <row r="10277" ht="14.25"/>
    <row r="10278" ht="14.25"/>
    <row r="10279" ht="14.25"/>
    <row r="10280" ht="14.25"/>
    <row r="10281" ht="14.25"/>
    <row r="10282" ht="14.25"/>
    <row r="10283" ht="14.25"/>
    <row r="10284" ht="14.25"/>
    <row r="10285" ht="14.25"/>
    <row r="10286" ht="14.25"/>
    <row r="10287" ht="14.25"/>
    <row r="10288" ht="14.25"/>
    <row r="10289" ht="14.25"/>
    <row r="10290" ht="14.25"/>
    <row r="10291" ht="14.25"/>
    <row r="10292" ht="14.25"/>
    <row r="10293" ht="14.25"/>
    <row r="10294" ht="14.25"/>
    <row r="10295" ht="14.25"/>
    <row r="10296" ht="14.25"/>
    <row r="10297" ht="14.25"/>
    <row r="10298" ht="14.25"/>
    <row r="10299" ht="14.25"/>
    <row r="10300" ht="14.25"/>
    <row r="10301" ht="14.25"/>
    <row r="10302" ht="14.25"/>
    <row r="10303" ht="14.25"/>
    <row r="10304" ht="14.25"/>
    <row r="10305" ht="14.25"/>
    <row r="10306" ht="14.25"/>
    <row r="10307" ht="14.25"/>
    <row r="10308" ht="14.25"/>
    <row r="10309" ht="14.25"/>
    <row r="10310" ht="14.25"/>
    <row r="10311" ht="14.25"/>
    <row r="10312" ht="14.25"/>
    <row r="10313" ht="14.25"/>
    <row r="10314" ht="14.25"/>
    <row r="10315" ht="14.25"/>
    <row r="10316" ht="14.25"/>
    <row r="10317" ht="14.25"/>
    <row r="10318" ht="14.25"/>
    <row r="10319" ht="14.25"/>
    <row r="10320" ht="14.25"/>
    <row r="10321" ht="14.25"/>
    <row r="10322" ht="14.25"/>
    <row r="10323" ht="14.25"/>
    <row r="10324" ht="14.25"/>
    <row r="10325" ht="14.25"/>
    <row r="10326" ht="14.25"/>
    <row r="10327" ht="14.25"/>
    <row r="10328" ht="14.25"/>
    <row r="10329" ht="14.25"/>
    <row r="10330" ht="14.25"/>
    <row r="10331" ht="14.25"/>
    <row r="10332" ht="14.25"/>
    <row r="10333" ht="14.25"/>
    <row r="10334" ht="14.25"/>
    <row r="10335" ht="14.25"/>
    <row r="10336" ht="14.25"/>
    <row r="10337" ht="14.25"/>
    <row r="10338" ht="14.25"/>
    <row r="10339" ht="14.25"/>
    <row r="10340" ht="14.25"/>
    <row r="10341" ht="14.25"/>
    <row r="10342" ht="14.25"/>
    <row r="10343" ht="14.25"/>
    <row r="10344" ht="14.25"/>
    <row r="10345" ht="14.25"/>
    <row r="10346" ht="14.25"/>
    <row r="10347" ht="14.25"/>
    <row r="10348" ht="14.25"/>
    <row r="10349" ht="14.25"/>
    <row r="10350" ht="14.25"/>
    <row r="10351" ht="14.25"/>
    <row r="10352" ht="14.25"/>
    <row r="10353" ht="14.25"/>
    <row r="10354" ht="14.25"/>
    <row r="10355" ht="14.25"/>
    <row r="10356" ht="14.25"/>
    <row r="10357" ht="14.25"/>
    <row r="10358" ht="14.25"/>
    <row r="10359" ht="14.25"/>
    <row r="10360" ht="14.25"/>
    <row r="10361" ht="14.25"/>
    <row r="10362" ht="14.25"/>
    <row r="10363" ht="14.25"/>
    <row r="10364" ht="14.25"/>
    <row r="10365" ht="14.25"/>
    <row r="10366" ht="14.25"/>
    <row r="10367" ht="14.25"/>
    <row r="10368" ht="14.25"/>
    <row r="10369" ht="14.25"/>
    <row r="10370" ht="14.25"/>
    <row r="10371" ht="14.25"/>
    <row r="10372" ht="14.25"/>
    <row r="10373" ht="14.25"/>
    <row r="10374" ht="14.25"/>
    <row r="10375" ht="14.25"/>
    <row r="10376" ht="14.25"/>
    <row r="10377" ht="14.25"/>
    <row r="10378" ht="14.25"/>
    <row r="10379" ht="14.25"/>
    <row r="10380" ht="14.25"/>
    <row r="10381" ht="14.25"/>
    <row r="10382" ht="14.25"/>
    <row r="10383" ht="14.25"/>
    <row r="10384" ht="14.25"/>
    <row r="10385" ht="14.25"/>
    <row r="10386" ht="14.25"/>
    <row r="10387" ht="14.25"/>
    <row r="10388" ht="14.25"/>
    <row r="10389" ht="14.25"/>
    <row r="10390" ht="14.25"/>
    <row r="10391" ht="14.25"/>
    <row r="10392" ht="14.25"/>
    <row r="10393" ht="14.25"/>
    <row r="10394" ht="14.25"/>
    <row r="10395" ht="14.25"/>
    <row r="10396" ht="14.25"/>
    <row r="10397" ht="14.25"/>
    <row r="10398" ht="14.25"/>
    <row r="10399" ht="14.25"/>
    <row r="10400" ht="14.25"/>
    <row r="10401" ht="14.25"/>
    <row r="10402" ht="14.25"/>
    <row r="10403" ht="14.25"/>
    <row r="10404" ht="14.25"/>
    <row r="10405" ht="14.25"/>
    <row r="10406" ht="14.25"/>
    <row r="10407" ht="14.25"/>
    <row r="10408" ht="14.25"/>
    <row r="10409" ht="14.25"/>
    <row r="10410" ht="14.25"/>
    <row r="10411" ht="14.25"/>
    <row r="10412" ht="14.25"/>
    <row r="10413" ht="14.25"/>
    <row r="10414" ht="14.25"/>
    <row r="10415" ht="14.25"/>
    <row r="10416" ht="14.25"/>
    <row r="10417" ht="14.25"/>
    <row r="10418" ht="14.25"/>
    <row r="10419" ht="14.25"/>
    <row r="10420" ht="14.25"/>
    <row r="10421" ht="14.25"/>
    <row r="10422" ht="14.25"/>
    <row r="10423" ht="14.25"/>
    <row r="10424" ht="14.25"/>
    <row r="10425" ht="14.25"/>
    <row r="10426" ht="14.25"/>
    <row r="10427" ht="14.25"/>
    <row r="10428" ht="14.25"/>
    <row r="10429" ht="14.25"/>
    <row r="10430" ht="14.25"/>
    <row r="10431" ht="14.25"/>
    <row r="10432" ht="14.25"/>
    <row r="10433" ht="14.25"/>
    <row r="10434" ht="14.25"/>
    <row r="10435" ht="14.25"/>
    <row r="10436" ht="14.25"/>
    <row r="10437" ht="14.25"/>
    <row r="10438" ht="14.25"/>
    <row r="10439" ht="14.25"/>
    <row r="10440" ht="14.25"/>
    <row r="10441" ht="14.25"/>
    <row r="10442" ht="14.25"/>
    <row r="10443" ht="14.25"/>
    <row r="10444" ht="14.25"/>
    <row r="10445" ht="14.25"/>
    <row r="10446" ht="14.25"/>
    <row r="10447" ht="14.25"/>
    <row r="10448" ht="14.25"/>
    <row r="10449" ht="14.25"/>
    <row r="10450" ht="14.25"/>
    <row r="10451" ht="14.25"/>
    <row r="10452" ht="14.25"/>
    <row r="10453" ht="14.25"/>
    <row r="10454" ht="14.25"/>
    <row r="10455" ht="14.25"/>
    <row r="10456" ht="14.25"/>
    <row r="10457" ht="14.25"/>
    <row r="10458" ht="14.25"/>
    <row r="10459" ht="14.25"/>
    <row r="10460" ht="14.25"/>
    <row r="10461" ht="14.25"/>
    <row r="10462" ht="14.25"/>
    <row r="10463" ht="14.25"/>
    <row r="10464" ht="14.25"/>
    <row r="10465" ht="14.25"/>
    <row r="10466" ht="14.25"/>
    <row r="10467" ht="14.25"/>
    <row r="10468" ht="14.25"/>
    <row r="10469" ht="14.25"/>
    <row r="10470" ht="14.25"/>
    <row r="10471" ht="14.25"/>
    <row r="10472" ht="14.25"/>
    <row r="10473" ht="14.25"/>
    <row r="10474" ht="14.25"/>
    <row r="10475" ht="14.25"/>
    <row r="10476" ht="14.25"/>
    <row r="10477" ht="14.25"/>
    <row r="10478" ht="14.25"/>
    <row r="10479" ht="14.25"/>
    <row r="10480" ht="14.25"/>
    <row r="10481" ht="14.25"/>
    <row r="10482" ht="14.25"/>
    <row r="10483" ht="14.25"/>
    <row r="10484" ht="14.25"/>
    <row r="10485" ht="14.25"/>
    <row r="10486" ht="14.25"/>
    <row r="10487" ht="14.25"/>
    <row r="10488" ht="14.25"/>
    <row r="10489" ht="14.25"/>
    <row r="10490" ht="14.25"/>
    <row r="10491" ht="14.25"/>
    <row r="10492" ht="14.25"/>
    <row r="10493" ht="14.25"/>
    <row r="10494" ht="14.25"/>
    <row r="10495" ht="14.25"/>
    <row r="10496" ht="14.25"/>
    <row r="10497" ht="14.25"/>
    <row r="10498" ht="14.25"/>
    <row r="10499" ht="14.25"/>
    <row r="10500" ht="14.25"/>
    <row r="10501" ht="14.25"/>
    <row r="10502" ht="14.25"/>
    <row r="10503" ht="14.25"/>
    <row r="10504" ht="14.25"/>
    <row r="10505" ht="14.25"/>
    <row r="10506" ht="14.25"/>
    <row r="10507" ht="14.25"/>
    <row r="10508" ht="14.25"/>
    <row r="10509" ht="14.25"/>
    <row r="10510" ht="14.25"/>
    <row r="10511" ht="14.25"/>
    <row r="10512" ht="14.25"/>
    <row r="10513" ht="14.25"/>
    <row r="10514" ht="14.25"/>
    <row r="10515" ht="14.25"/>
    <row r="10516" ht="14.25"/>
    <row r="10517" ht="14.25"/>
    <row r="10518" ht="14.25"/>
    <row r="10519" ht="14.25"/>
    <row r="10520" ht="14.25"/>
    <row r="10521" ht="14.25"/>
    <row r="10522" ht="14.25"/>
    <row r="10523" ht="14.25"/>
    <row r="10524" ht="14.25"/>
    <row r="10525" ht="14.25"/>
    <row r="10526" ht="14.25"/>
    <row r="10527" ht="14.25"/>
    <row r="10528" ht="14.25"/>
    <row r="10529" ht="14.25"/>
    <row r="10530" ht="14.25"/>
    <row r="10531" ht="14.25"/>
    <row r="10532" ht="14.25"/>
    <row r="10533" ht="14.25"/>
    <row r="10534" ht="14.25"/>
    <row r="10535" ht="14.25"/>
    <row r="10536" ht="14.25"/>
    <row r="10537" ht="14.25"/>
    <row r="10538" ht="14.25"/>
    <row r="10539" ht="14.25"/>
    <row r="10540" ht="14.25"/>
    <row r="10541" ht="14.25"/>
    <row r="10542" ht="14.25"/>
    <row r="10543" ht="14.25"/>
    <row r="10544" ht="14.25"/>
    <row r="10545" ht="14.25"/>
    <row r="10546" ht="14.25"/>
    <row r="10547" ht="14.25"/>
    <row r="10548" ht="14.25"/>
    <row r="10549" ht="14.25"/>
    <row r="10550" ht="14.25"/>
    <row r="10551" ht="14.25"/>
    <row r="10552" ht="14.25"/>
    <row r="10553" ht="14.25"/>
    <row r="10554" ht="14.25"/>
    <row r="10555" ht="14.25"/>
    <row r="10556" ht="14.25"/>
    <row r="10557" ht="14.25"/>
    <row r="10558" ht="14.25"/>
    <row r="10559" ht="14.25"/>
    <row r="10560" ht="14.25"/>
    <row r="10561" ht="14.25"/>
    <row r="10562" ht="14.25"/>
    <row r="10563" ht="14.25"/>
    <row r="10564" ht="14.25"/>
    <row r="10565" ht="14.25"/>
    <row r="10566" ht="14.25"/>
    <row r="10567" ht="14.25"/>
    <row r="10568" ht="14.25"/>
    <row r="10569" ht="14.25"/>
    <row r="10570" ht="14.25"/>
    <row r="10571" ht="14.25"/>
    <row r="10572" ht="14.25"/>
    <row r="10573" ht="14.25"/>
    <row r="10574" ht="14.25"/>
    <row r="10575" ht="14.25"/>
    <row r="10576" ht="14.25"/>
    <row r="10577" ht="14.25"/>
    <row r="10578" ht="14.25"/>
    <row r="10579" ht="14.25"/>
    <row r="10580" ht="14.25"/>
    <row r="10581" ht="14.25"/>
    <row r="10582" ht="14.25"/>
    <row r="10583" ht="14.25"/>
    <row r="10584" ht="14.25"/>
    <row r="10585" ht="14.25"/>
    <row r="10586" ht="14.25"/>
    <row r="10587" ht="14.25"/>
    <row r="10588" ht="14.25"/>
    <row r="10589" ht="14.25"/>
    <row r="10590" ht="14.25"/>
    <row r="10591" ht="14.25"/>
    <row r="10592" ht="14.25"/>
    <row r="10593" ht="14.25"/>
    <row r="10594" ht="14.25"/>
    <row r="10595" ht="14.25"/>
    <row r="10596" ht="14.25"/>
    <row r="10597" ht="14.25"/>
    <row r="10598" ht="14.25"/>
    <row r="10599" ht="14.25"/>
    <row r="10600" ht="14.25"/>
    <row r="10601" ht="14.25"/>
    <row r="10602" ht="14.25"/>
    <row r="10603" ht="14.25"/>
    <row r="10604" ht="14.25"/>
    <row r="10605" ht="14.25"/>
    <row r="10606" ht="14.25"/>
    <row r="10607" ht="14.25"/>
    <row r="10608" ht="14.25"/>
    <row r="10609" ht="14.25"/>
    <row r="10610" ht="14.25"/>
    <row r="10611" ht="14.25"/>
    <row r="10612" ht="14.25"/>
    <row r="10613" ht="14.25"/>
    <row r="10614" ht="14.25"/>
    <row r="10615" ht="14.25"/>
    <row r="10616" ht="14.25"/>
    <row r="10617" ht="14.25"/>
    <row r="10618" ht="14.25"/>
    <row r="10619" ht="14.25"/>
    <row r="10620" ht="14.25"/>
    <row r="10621" ht="14.25"/>
    <row r="10622" ht="14.25"/>
    <row r="10623" ht="14.25"/>
    <row r="10624" ht="14.25"/>
    <row r="10625" ht="14.25"/>
    <row r="10626" ht="14.25"/>
    <row r="10627" ht="14.25"/>
    <row r="10628" ht="14.25"/>
    <row r="10629" ht="14.25"/>
    <row r="10630" ht="14.25"/>
    <row r="10631" ht="14.25"/>
    <row r="10632" ht="14.25"/>
    <row r="10633" ht="14.25"/>
    <row r="10634" ht="14.25"/>
    <row r="10635" ht="14.25"/>
    <row r="10636" ht="14.25"/>
    <row r="10637" ht="14.25"/>
    <row r="10638" ht="14.25"/>
    <row r="10639" ht="14.25"/>
    <row r="10640" ht="14.25"/>
    <row r="10641" ht="14.25"/>
    <row r="10642" ht="14.25"/>
    <row r="10643" ht="14.25"/>
    <row r="10644" ht="14.25"/>
    <row r="10645" ht="14.25"/>
    <row r="10646" ht="14.25"/>
    <row r="10647" ht="14.25"/>
    <row r="10648" ht="14.25"/>
    <row r="10649" ht="14.25"/>
    <row r="10650" ht="14.25"/>
    <row r="10651" ht="14.25"/>
    <row r="10652" ht="14.25"/>
    <row r="10653" ht="14.25"/>
    <row r="10654" ht="14.25"/>
    <row r="10655" ht="14.25"/>
    <row r="10656" ht="14.25"/>
    <row r="10657" ht="14.25"/>
    <row r="10658" ht="14.25"/>
    <row r="10659" ht="14.25"/>
    <row r="10660" ht="14.25"/>
    <row r="10661" ht="14.25"/>
    <row r="10662" ht="14.25"/>
    <row r="10663" ht="14.25"/>
    <row r="10664" ht="14.25"/>
    <row r="10665" ht="14.25"/>
    <row r="10666" ht="14.25"/>
    <row r="10667" ht="14.25"/>
    <row r="10668" ht="14.25"/>
    <row r="10669" ht="14.25"/>
    <row r="10670" ht="14.25"/>
    <row r="10671" ht="14.25"/>
    <row r="10672" ht="14.25"/>
    <row r="10673" ht="14.25"/>
    <row r="10674" ht="14.25"/>
    <row r="10675" ht="14.25"/>
    <row r="10676" ht="14.25"/>
    <row r="10677" ht="14.25"/>
    <row r="10678" ht="14.25"/>
    <row r="10679" ht="14.25"/>
    <row r="10680" ht="14.25"/>
    <row r="10681" ht="14.25"/>
    <row r="10682" ht="14.25"/>
    <row r="10683" ht="14.25"/>
    <row r="10684" ht="14.25"/>
    <row r="10685" ht="14.25"/>
    <row r="10686" ht="14.25"/>
    <row r="10687" ht="14.25"/>
    <row r="10688" ht="14.25"/>
    <row r="10689" ht="14.25"/>
    <row r="10690" ht="14.25"/>
    <row r="10691" ht="14.25"/>
    <row r="10692" ht="14.25"/>
    <row r="10693" ht="14.25"/>
    <row r="10694" ht="14.25"/>
    <row r="10695" ht="14.25"/>
    <row r="10696" ht="14.25"/>
    <row r="10697" ht="14.25"/>
    <row r="10698" ht="14.25"/>
    <row r="10699" ht="14.25"/>
    <row r="10700" ht="14.25"/>
    <row r="10701" ht="14.25"/>
    <row r="10702" ht="14.25"/>
    <row r="10703" ht="14.25"/>
    <row r="10704" ht="14.25"/>
    <row r="10705" ht="14.25"/>
    <row r="10706" ht="14.25"/>
    <row r="10707" ht="14.25"/>
    <row r="10708" ht="14.25"/>
    <row r="10709" ht="14.25"/>
    <row r="10710" ht="14.25"/>
    <row r="10711" ht="14.25"/>
    <row r="10712" ht="14.25"/>
    <row r="10713" ht="14.25"/>
    <row r="10714" ht="14.25"/>
    <row r="10715" ht="14.25"/>
    <row r="10716" ht="14.25"/>
    <row r="10717" ht="14.25"/>
    <row r="10718" ht="14.25"/>
    <row r="10719" ht="14.25"/>
    <row r="10720" ht="14.25"/>
    <row r="10721" ht="14.25"/>
    <row r="10722" ht="14.25"/>
    <row r="10723" ht="14.25"/>
    <row r="10724" ht="14.25"/>
    <row r="10725" ht="14.25"/>
    <row r="10726" ht="14.25"/>
    <row r="10727" ht="14.25"/>
    <row r="10728" ht="14.25"/>
    <row r="10729" ht="14.25"/>
    <row r="10730" ht="14.25"/>
    <row r="10731" ht="14.25"/>
    <row r="10732" ht="14.25"/>
    <row r="10733" ht="14.25"/>
    <row r="10734" ht="14.25"/>
    <row r="10735" ht="14.25"/>
    <row r="10736" ht="14.25"/>
    <row r="10737" ht="14.25"/>
    <row r="10738" ht="14.25"/>
    <row r="10739" ht="14.25"/>
    <row r="10740" ht="14.25"/>
    <row r="10741" ht="14.25"/>
    <row r="10742" ht="14.25"/>
    <row r="10743" ht="14.25"/>
    <row r="10744" ht="14.25"/>
    <row r="10745" ht="14.25"/>
    <row r="10746" ht="14.25"/>
    <row r="10747" ht="14.25"/>
    <row r="10748" ht="14.25"/>
    <row r="10749" ht="14.25"/>
    <row r="10750" ht="14.25"/>
    <row r="10751" ht="14.25"/>
    <row r="10752" ht="14.25"/>
    <row r="10753" ht="14.25"/>
    <row r="10754" ht="14.25"/>
    <row r="10755" ht="14.25"/>
    <row r="10756" ht="14.25"/>
    <row r="10757" ht="14.25"/>
    <row r="10758" ht="14.25"/>
    <row r="10759" ht="14.25"/>
    <row r="10760" ht="14.25"/>
    <row r="10761" ht="14.25"/>
    <row r="10762" ht="14.25"/>
    <row r="10763" ht="14.25"/>
    <row r="10764" ht="14.25"/>
    <row r="10765" ht="14.25"/>
    <row r="10766" ht="14.25"/>
    <row r="10767" ht="14.25"/>
    <row r="10768" ht="14.25"/>
    <row r="10769" ht="14.25"/>
    <row r="10770" ht="14.25"/>
    <row r="10771" ht="14.25"/>
    <row r="10772" ht="14.25"/>
    <row r="10773" ht="14.25"/>
    <row r="10774" ht="14.25"/>
    <row r="10775" ht="14.25"/>
    <row r="10776" ht="14.25"/>
    <row r="10777" ht="14.25"/>
    <row r="10778" ht="14.25"/>
    <row r="10779" ht="14.25"/>
    <row r="10780" ht="14.25"/>
    <row r="10781" ht="14.25"/>
    <row r="10782" ht="14.25"/>
    <row r="10783" ht="14.25"/>
    <row r="10784" ht="14.25"/>
    <row r="10785" ht="14.25"/>
    <row r="10786" ht="14.25"/>
    <row r="10787" ht="14.25"/>
    <row r="10788" ht="14.25"/>
    <row r="10789" ht="14.25"/>
    <row r="10790" ht="14.25"/>
    <row r="10791" ht="14.25"/>
    <row r="10792" ht="14.25"/>
    <row r="10793" ht="14.25"/>
    <row r="10794" ht="14.25"/>
    <row r="10795" ht="14.25"/>
    <row r="10796" ht="14.25"/>
    <row r="10797" ht="14.25"/>
    <row r="10798" ht="14.25"/>
    <row r="10799" ht="14.25"/>
    <row r="10800" ht="14.25"/>
    <row r="10801" ht="14.25"/>
    <row r="10802" ht="14.25"/>
    <row r="10803" ht="14.25"/>
    <row r="10804" ht="14.25"/>
    <row r="10805" ht="14.25"/>
    <row r="10806" ht="14.25"/>
    <row r="10807" ht="14.25"/>
    <row r="10808" ht="14.25"/>
    <row r="10809" ht="14.25"/>
    <row r="10810" ht="14.25"/>
    <row r="10811" ht="14.25"/>
    <row r="10812" ht="14.25"/>
    <row r="10813" ht="14.25"/>
    <row r="10814" ht="14.25"/>
    <row r="10815" ht="14.25"/>
    <row r="10816" ht="14.25"/>
    <row r="10817" ht="14.25"/>
    <row r="10818" ht="14.25"/>
    <row r="10819" ht="14.25"/>
    <row r="10820" ht="14.25"/>
    <row r="10821" ht="14.25"/>
    <row r="10822" ht="14.25"/>
    <row r="10823" ht="14.25"/>
    <row r="10824" ht="14.25"/>
    <row r="10825" ht="14.25"/>
    <row r="10826" ht="14.25"/>
    <row r="10827" ht="14.25"/>
    <row r="10828" ht="14.25"/>
    <row r="10829" ht="14.25"/>
    <row r="10830" ht="14.25"/>
    <row r="10831" ht="14.25"/>
    <row r="10832" ht="14.25"/>
    <row r="10833" ht="14.25"/>
    <row r="10834" ht="14.25"/>
    <row r="10835" ht="14.25"/>
    <row r="10836" ht="14.25"/>
    <row r="10837" ht="14.25"/>
    <row r="10838" ht="14.25"/>
    <row r="10839" ht="14.25"/>
    <row r="10840" ht="14.25"/>
    <row r="10841" ht="14.25"/>
    <row r="10842" ht="14.25"/>
    <row r="10843" ht="14.25"/>
    <row r="10844" ht="14.25"/>
    <row r="10845" ht="14.25"/>
    <row r="10846" ht="14.25"/>
    <row r="10847" ht="14.25"/>
    <row r="10848" ht="14.25"/>
    <row r="10849" ht="14.25"/>
    <row r="10850" ht="14.25"/>
    <row r="10851" ht="14.25"/>
    <row r="10852" ht="14.25"/>
    <row r="10853" ht="14.25"/>
    <row r="10854" ht="14.25"/>
    <row r="10855" ht="14.25"/>
    <row r="10856" ht="14.25"/>
    <row r="10857" ht="14.25"/>
    <row r="10858" ht="14.25"/>
    <row r="10859" ht="14.25"/>
    <row r="10860" ht="14.25"/>
    <row r="10861" ht="14.25"/>
    <row r="10862" ht="14.25"/>
    <row r="10863" ht="14.25"/>
    <row r="10864" ht="14.25"/>
    <row r="10865" ht="14.25"/>
    <row r="10866" ht="14.25"/>
    <row r="10867" ht="14.25"/>
    <row r="10868" ht="14.25"/>
    <row r="10869" ht="14.25"/>
    <row r="10870" ht="14.25"/>
    <row r="10871" ht="14.25"/>
    <row r="10872" ht="14.25"/>
    <row r="10873" ht="14.25"/>
    <row r="10874" ht="14.25"/>
    <row r="10875" ht="14.25"/>
    <row r="10876" ht="14.25"/>
    <row r="10877" ht="14.25"/>
    <row r="10878" ht="14.25"/>
    <row r="10879" ht="14.25"/>
    <row r="10880" ht="14.25"/>
    <row r="10881" ht="14.25"/>
    <row r="10882" ht="14.25"/>
    <row r="10883" ht="14.25"/>
    <row r="10884" ht="14.25"/>
    <row r="10885" ht="14.25"/>
    <row r="10886" ht="14.25"/>
    <row r="10887" ht="14.25"/>
    <row r="10888" ht="14.25"/>
    <row r="10889" ht="14.25"/>
    <row r="10890" ht="14.25"/>
    <row r="10891" ht="14.25"/>
    <row r="10892" ht="14.25"/>
    <row r="10893" ht="14.25"/>
    <row r="10894" ht="14.25"/>
    <row r="10895" ht="14.25"/>
    <row r="10896" ht="14.25"/>
    <row r="10897" ht="14.25"/>
    <row r="10898" ht="14.25"/>
    <row r="10899" ht="14.25"/>
    <row r="10900" ht="14.25"/>
    <row r="10901" ht="14.25"/>
    <row r="10902" ht="14.25"/>
    <row r="10903" ht="14.25"/>
    <row r="10904" ht="14.25"/>
    <row r="10905" ht="14.25"/>
    <row r="10906" ht="14.25"/>
    <row r="10907" ht="14.25"/>
    <row r="10908" ht="14.25"/>
    <row r="10909" ht="14.25"/>
    <row r="10910" ht="14.25"/>
    <row r="10911" ht="14.25"/>
    <row r="10912" ht="14.25"/>
    <row r="10913" ht="14.25"/>
    <row r="10914" ht="14.25"/>
    <row r="10915" ht="14.25"/>
    <row r="10916" ht="14.25"/>
    <row r="10917" ht="14.25"/>
    <row r="10918" ht="14.25"/>
    <row r="10919" ht="14.25"/>
    <row r="10920" ht="14.25"/>
    <row r="10921" ht="14.25"/>
    <row r="10922" ht="14.25"/>
    <row r="10923" ht="14.25"/>
    <row r="10924" ht="14.25"/>
    <row r="10925" ht="14.25"/>
    <row r="10926" ht="14.25"/>
    <row r="10927" ht="14.25"/>
    <row r="10928" ht="14.25"/>
    <row r="10929" ht="14.25"/>
    <row r="10930" ht="14.25"/>
    <row r="10931" ht="14.25"/>
    <row r="10932" ht="14.25"/>
    <row r="10933" ht="14.25"/>
    <row r="10934" ht="14.25"/>
    <row r="10935" ht="14.25"/>
    <row r="10936" ht="14.25"/>
    <row r="10937" ht="14.25"/>
    <row r="10938" ht="14.25"/>
    <row r="10939" ht="14.25"/>
    <row r="10940" ht="14.25"/>
    <row r="10941" ht="14.25"/>
    <row r="10942" ht="14.25"/>
    <row r="10943" ht="14.25"/>
    <row r="10944" ht="14.25"/>
    <row r="10945" ht="14.25"/>
    <row r="10946" ht="14.25"/>
    <row r="10947" ht="14.25"/>
    <row r="10948" ht="14.25"/>
    <row r="10949" ht="14.25"/>
    <row r="10950" ht="14.25"/>
    <row r="10951" ht="14.25"/>
    <row r="10952" ht="14.25"/>
    <row r="10953" ht="14.25"/>
    <row r="10954" ht="14.25"/>
    <row r="10955" ht="14.25"/>
    <row r="10956" ht="14.25"/>
    <row r="10957" ht="14.25"/>
    <row r="10958" ht="14.25"/>
    <row r="10959" ht="14.25"/>
    <row r="10960" ht="14.25"/>
    <row r="10961" ht="14.25"/>
    <row r="10962" ht="14.25"/>
    <row r="10963" ht="14.25"/>
    <row r="10964" ht="14.25"/>
    <row r="10965" ht="14.25"/>
    <row r="10966" ht="14.25"/>
    <row r="10967" ht="14.25"/>
    <row r="10968" ht="14.25"/>
    <row r="10969" ht="14.25"/>
    <row r="10970" ht="14.25"/>
    <row r="10971" ht="14.25"/>
    <row r="10972" ht="14.25"/>
    <row r="10973" ht="14.25"/>
    <row r="10974" ht="14.25"/>
    <row r="10975" ht="14.25"/>
    <row r="10976" ht="14.25"/>
    <row r="10977" ht="14.25"/>
    <row r="10978" ht="14.25"/>
    <row r="10979" ht="14.25"/>
    <row r="10980" ht="14.25"/>
    <row r="10981" ht="14.25"/>
    <row r="10982" ht="14.25"/>
    <row r="10983" ht="14.25"/>
    <row r="10984" ht="14.25"/>
    <row r="10985" ht="14.25"/>
    <row r="10986" ht="14.25"/>
    <row r="10987" ht="14.25"/>
    <row r="10988" ht="14.25"/>
    <row r="10989" ht="14.25"/>
    <row r="10990" ht="14.25"/>
    <row r="10991" ht="14.25"/>
    <row r="10992" ht="14.25"/>
    <row r="10993" ht="14.25"/>
    <row r="10994" ht="14.25"/>
    <row r="10995" ht="14.25"/>
    <row r="10996" ht="14.25"/>
    <row r="10997" ht="14.25"/>
    <row r="10998" ht="14.25"/>
    <row r="10999" ht="14.25"/>
    <row r="11000" ht="14.25"/>
    <row r="11001" ht="14.25"/>
    <row r="11002" ht="14.25"/>
    <row r="11003" ht="14.25"/>
    <row r="11004" ht="14.25"/>
    <row r="11005" ht="14.25"/>
    <row r="11006" ht="14.25"/>
    <row r="11007" ht="14.25"/>
    <row r="11008" ht="14.25"/>
    <row r="11009" ht="14.25"/>
    <row r="11010" ht="14.25"/>
    <row r="11011" ht="14.25"/>
    <row r="11012" ht="14.25"/>
    <row r="11013" ht="14.25"/>
    <row r="11014" ht="14.25"/>
    <row r="11015" ht="14.25"/>
    <row r="11016" ht="14.25"/>
    <row r="11017" ht="14.25"/>
    <row r="11018" ht="14.25"/>
    <row r="11019" ht="14.25"/>
    <row r="11020" ht="14.25"/>
    <row r="11021" ht="14.25"/>
    <row r="11022" ht="14.25"/>
    <row r="11023" ht="14.25"/>
    <row r="11024" ht="14.25"/>
    <row r="11025" ht="14.25"/>
    <row r="11026" ht="14.25"/>
    <row r="11027" ht="14.25"/>
    <row r="11028" ht="14.25"/>
    <row r="11029" ht="14.25"/>
    <row r="11030" ht="14.25"/>
    <row r="11031" ht="14.25"/>
    <row r="11032" ht="14.25"/>
    <row r="11033" ht="14.25"/>
    <row r="11034" ht="14.25"/>
    <row r="11035" ht="14.25"/>
    <row r="11036" ht="14.25"/>
    <row r="11037" ht="14.25"/>
    <row r="11038" ht="14.25"/>
    <row r="11039" ht="14.25"/>
    <row r="11040" ht="14.25"/>
    <row r="11041" ht="14.25"/>
    <row r="11042" ht="14.25"/>
    <row r="11043" ht="14.25"/>
    <row r="11044" ht="14.25"/>
    <row r="11045" ht="14.25"/>
    <row r="11046" ht="14.25"/>
    <row r="11047" ht="14.25"/>
    <row r="11048" ht="14.25"/>
    <row r="11049" ht="14.25"/>
    <row r="11050" ht="14.25"/>
    <row r="11051" ht="14.25"/>
    <row r="11052" ht="14.25"/>
    <row r="11053" ht="14.25"/>
    <row r="11054" ht="14.25"/>
    <row r="11055" ht="14.25"/>
    <row r="11056" ht="14.25"/>
    <row r="11057" ht="14.25"/>
    <row r="11058" ht="14.25"/>
    <row r="11059" ht="14.25"/>
    <row r="11060" ht="14.25"/>
    <row r="11061" ht="14.25"/>
    <row r="11062" ht="14.25"/>
    <row r="11063" ht="14.25"/>
    <row r="11064" ht="14.25"/>
    <row r="11065" ht="14.25"/>
    <row r="11066" ht="14.25"/>
    <row r="11067" ht="14.25"/>
    <row r="11068" ht="14.25"/>
    <row r="11069" ht="14.25"/>
    <row r="11070" ht="14.25"/>
    <row r="11071" ht="14.25"/>
    <row r="11072" ht="14.25"/>
    <row r="11073" ht="14.25"/>
    <row r="11074" ht="14.25"/>
    <row r="11075" ht="14.25"/>
    <row r="11076" ht="14.25"/>
    <row r="11077" ht="14.25"/>
    <row r="11078" ht="14.25"/>
    <row r="11079" ht="14.25"/>
    <row r="11080" ht="14.25"/>
    <row r="11081" ht="14.25"/>
    <row r="11082" ht="14.25"/>
    <row r="11083" ht="14.25"/>
    <row r="11084" ht="14.25"/>
    <row r="11085" ht="14.25"/>
    <row r="11086" ht="14.25"/>
    <row r="11087" ht="14.25"/>
    <row r="11088" ht="14.25"/>
    <row r="11089" ht="14.25"/>
    <row r="11090" ht="14.25"/>
    <row r="11091" ht="14.25"/>
    <row r="11092" ht="14.25"/>
    <row r="11093" ht="14.25"/>
    <row r="11094" ht="14.25"/>
    <row r="11095" ht="14.25"/>
    <row r="11096" ht="14.25"/>
    <row r="11097" ht="14.25"/>
    <row r="11098" ht="14.25"/>
    <row r="11099" ht="14.25"/>
    <row r="11100" ht="14.25"/>
    <row r="11101" ht="14.25"/>
    <row r="11102" ht="14.25"/>
    <row r="11103" ht="14.25"/>
    <row r="11104" ht="14.25"/>
    <row r="11105" ht="14.25"/>
    <row r="11106" ht="14.25"/>
    <row r="11107" ht="14.25"/>
    <row r="11108" ht="14.25"/>
    <row r="11109" ht="14.25"/>
    <row r="11110" ht="14.25"/>
    <row r="11111" ht="14.25"/>
    <row r="11112" ht="14.25"/>
    <row r="11113" ht="14.25"/>
    <row r="11114" ht="14.25"/>
    <row r="11115" ht="14.25"/>
    <row r="11116" ht="14.25"/>
    <row r="11117" ht="14.25"/>
    <row r="11118" ht="14.25"/>
    <row r="11119" ht="14.25"/>
    <row r="11120" ht="14.25"/>
    <row r="11121" ht="14.25"/>
    <row r="11122" ht="14.25"/>
    <row r="11123" ht="14.25"/>
    <row r="11124" ht="14.25"/>
    <row r="11125" ht="14.25"/>
    <row r="11126" ht="14.25"/>
    <row r="11127" ht="14.25"/>
    <row r="11128" ht="14.25"/>
    <row r="11129" ht="14.25"/>
    <row r="11130" ht="14.25"/>
    <row r="11131" ht="14.25"/>
    <row r="11132" ht="14.25"/>
    <row r="11133" ht="14.25"/>
    <row r="11134" ht="14.25"/>
    <row r="11135" ht="14.25"/>
    <row r="11136" ht="14.25"/>
    <row r="11137" ht="14.25"/>
    <row r="11138" ht="14.25"/>
    <row r="11139" ht="14.25"/>
    <row r="11140" ht="14.25"/>
    <row r="11141" ht="14.25"/>
    <row r="11142" ht="14.25"/>
    <row r="11143" ht="14.25"/>
    <row r="11144" ht="14.25"/>
    <row r="11145" ht="14.25"/>
    <row r="11146" ht="14.25"/>
    <row r="11147" ht="14.25"/>
    <row r="11148" ht="14.25"/>
    <row r="11149" ht="14.25"/>
    <row r="11150" ht="14.25"/>
    <row r="11151" ht="14.25"/>
    <row r="11152" ht="14.25"/>
    <row r="11153" ht="14.25"/>
    <row r="11154" ht="14.25"/>
    <row r="11155" ht="14.25"/>
    <row r="11156" ht="14.25"/>
    <row r="11157" ht="14.25"/>
    <row r="11158" ht="14.25"/>
    <row r="11159" ht="14.25"/>
    <row r="11160" ht="14.25"/>
    <row r="11161" ht="14.25"/>
    <row r="11162" ht="14.25"/>
    <row r="11163" ht="14.25"/>
    <row r="11164" ht="14.25"/>
    <row r="11165" ht="14.25"/>
    <row r="11166" ht="14.25"/>
    <row r="11167" ht="14.25"/>
    <row r="11168" ht="14.25"/>
    <row r="11169" ht="14.25"/>
    <row r="11170" ht="14.25"/>
    <row r="11171" ht="14.25"/>
    <row r="11172" ht="14.25"/>
    <row r="11173" ht="14.25"/>
    <row r="11174" ht="14.25"/>
    <row r="11175" ht="14.25"/>
    <row r="11176" ht="14.25"/>
    <row r="11177" ht="14.25"/>
    <row r="11178" ht="14.25"/>
    <row r="11179" ht="14.25"/>
    <row r="11180" ht="14.25"/>
    <row r="11181" ht="14.25"/>
    <row r="11182" ht="14.25"/>
    <row r="11183" ht="14.25"/>
    <row r="11184" ht="14.25"/>
    <row r="11185" ht="14.25"/>
    <row r="11186" ht="14.25"/>
    <row r="11187" ht="14.25"/>
    <row r="11188" ht="14.25"/>
    <row r="11189" ht="14.25"/>
    <row r="11190" ht="14.25"/>
    <row r="11191" ht="14.25"/>
    <row r="11192" ht="14.25"/>
    <row r="11193" ht="14.25"/>
    <row r="11194" ht="14.25"/>
    <row r="11195" ht="14.25"/>
    <row r="11196" ht="14.25"/>
    <row r="11197" ht="14.25"/>
    <row r="11198" ht="14.25"/>
    <row r="11199" ht="14.25"/>
    <row r="11200" ht="14.25"/>
    <row r="11201" ht="14.25"/>
    <row r="11202" ht="14.25"/>
    <row r="11203" ht="14.25"/>
    <row r="11204" ht="14.25"/>
    <row r="11205" ht="14.25"/>
    <row r="11206" ht="14.25"/>
    <row r="11207" ht="14.25"/>
    <row r="11208" ht="14.25"/>
    <row r="11209" ht="14.25"/>
    <row r="11210" ht="14.25"/>
    <row r="11211" ht="14.25"/>
    <row r="11212" ht="14.25"/>
    <row r="11213" ht="14.25"/>
    <row r="11214" ht="14.25"/>
    <row r="11215" ht="14.25"/>
    <row r="11216" ht="14.25"/>
    <row r="11217" ht="14.25"/>
    <row r="11218" ht="14.25"/>
    <row r="11219" ht="14.25"/>
    <row r="11220" ht="14.25"/>
    <row r="11221" ht="14.25"/>
    <row r="11222" ht="14.25"/>
    <row r="11223" ht="14.25"/>
    <row r="11224" ht="14.25"/>
    <row r="11225" ht="14.25"/>
    <row r="11226" ht="14.25"/>
    <row r="11227" ht="14.25"/>
    <row r="11228" ht="14.25"/>
    <row r="11229" ht="14.25"/>
    <row r="11230" ht="14.25"/>
    <row r="11231" ht="14.25"/>
    <row r="11232" ht="14.25"/>
    <row r="11233" ht="14.25"/>
    <row r="11234" ht="14.25"/>
    <row r="11235" ht="14.25"/>
    <row r="11236" ht="14.25"/>
    <row r="11237" ht="14.25"/>
    <row r="11238" ht="14.25"/>
    <row r="11239" ht="14.25"/>
    <row r="11240" ht="14.25"/>
    <row r="11241" ht="14.25"/>
    <row r="11242" ht="14.25"/>
    <row r="11243" ht="14.25"/>
    <row r="11244" ht="14.25"/>
    <row r="11245" ht="14.25"/>
    <row r="11246" ht="14.25"/>
    <row r="11247" ht="14.25"/>
    <row r="11248" ht="14.25"/>
    <row r="11249" ht="14.25"/>
    <row r="11250" ht="14.25"/>
    <row r="11251" ht="14.25"/>
    <row r="11252" ht="14.25"/>
    <row r="11253" ht="14.25"/>
    <row r="11254" ht="14.25"/>
    <row r="11255" ht="14.25"/>
    <row r="11256" ht="14.25"/>
    <row r="11257" ht="14.25"/>
    <row r="11258" ht="14.25"/>
    <row r="11259" ht="14.25"/>
    <row r="11260" ht="14.25"/>
    <row r="11261" ht="14.25"/>
    <row r="11262" ht="14.25"/>
    <row r="11263" ht="14.25"/>
    <row r="11264" ht="14.25"/>
    <row r="11265" ht="14.25"/>
    <row r="11266" ht="14.25"/>
    <row r="11267" ht="14.25"/>
    <row r="11268" ht="14.25"/>
    <row r="11269" ht="14.25"/>
    <row r="11270" ht="14.25"/>
    <row r="11271" ht="14.25"/>
    <row r="11272" ht="14.25"/>
    <row r="11273" ht="14.25"/>
    <row r="11274" ht="14.25"/>
    <row r="11275" ht="14.25"/>
    <row r="11276" ht="14.25"/>
    <row r="11277" ht="14.25"/>
    <row r="11278" ht="14.25"/>
    <row r="11279" ht="14.25"/>
    <row r="11280" ht="14.25"/>
    <row r="11281" ht="14.25"/>
    <row r="11282" ht="14.25"/>
    <row r="11283" ht="14.25"/>
    <row r="11284" ht="14.25"/>
    <row r="11285" ht="14.25"/>
    <row r="11286" ht="14.25"/>
    <row r="11287" ht="14.25"/>
    <row r="11288" ht="14.25"/>
    <row r="11289" ht="14.25"/>
    <row r="11290" ht="14.25"/>
    <row r="11291" ht="14.25"/>
    <row r="11292" ht="14.25"/>
    <row r="11293" ht="14.25"/>
    <row r="11294" ht="14.25"/>
    <row r="11295" ht="14.25"/>
    <row r="11296" ht="14.25"/>
    <row r="11297" ht="14.25"/>
    <row r="11298" ht="14.25"/>
    <row r="11299" ht="14.25"/>
    <row r="11300" ht="14.25"/>
    <row r="11301" ht="14.25"/>
    <row r="11302" ht="14.25"/>
    <row r="11303" ht="14.25"/>
    <row r="11304" ht="14.25"/>
    <row r="11305" ht="14.25"/>
    <row r="11306" ht="14.25"/>
    <row r="11307" ht="14.25"/>
    <row r="11308" ht="14.25"/>
    <row r="11309" ht="14.25"/>
    <row r="11310" ht="14.25"/>
    <row r="11311" ht="14.25"/>
    <row r="11312" ht="14.25"/>
    <row r="11313" ht="14.25"/>
    <row r="11314" ht="14.25"/>
    <row r="11315" ht="14.25"/>
    <row r="11316" ht="14.25"/>
    <row r="11317" ht="14.25"/>
    <row r="11318" ht="14.25"/>
    <row r="11319" ht="14.25"/>
    <row r="11320" ht="14.25"/>
    <row r="11321" ht="14.25"/>
    <row r="11322" ht="14.25"/>
    <row r="11323" ht="14.25"/>
    <row r="11324" ht="14.25"/>
    <row r="11325" ht="14.25"/>
    <row r="11326" ht="14.25"/>
    <row r="11327" ht="14.25"/>
    <row r="11328" ht="14.25"/>
    <row r="11329" ht="14.25"/>
    <row r="11330" ht="14.25"/>
    <row r="11331" ht="14.25"/>
    <row r="11332" ht="14.25"/>
    <row r="11333" ht="14.25"/>
    <row r="11334" ht="14.25"/>
    <row r="11335" ht="14.25"/>
    <row r="11336" ht="14.25"/>
    <row r="11337" ht="14.25"/>
    <row r="11338" ht="14.25"/>
    <row r="11339" ht="14.25"/>
    <row r="11340" ht="14.25"/>
    <row r="11341" ht="14.25"/>
    <row r="11342" ht="14.25"/>
    <row r="11343" ht="14.25"/>
    <row r="11344" ht="14.25"/>
    <row r="11345" ht="14.25"/>
    <row r="11346" ht="14.25"/>
    <row r="11347" ht="14.25"/>
    <row r="11348" ht="14.25"/>
    <row r="11349" ht="14.25"/>
    <row r="11350" ht="14.25"/>
    <row r="11351" ht="14.25"/>
    <row r="11352" ht="14.25"/>
    <row r="11353" ht="14.25"/>
    <row r="11354" ht="14.25"/>
    <row r="11355" ht="14.25"/>
    <row r="11356" ht="14.25"/>
    <row r="11357" ht="14.25"/>
    <row r="11358" ht="14.25"/>
    <row r="11359" ht="14.25"/>
    <row r="11360" ht="14.25"/>
    <row r="11361" ht="14.25"/>
    <row r="11362" ht="14.25"/>
    <row r="11363" ht="14.25"/>
    <row r="11364" ht="14.25"/>
    <row r="11365" ht="14.25"/>
    <row r="11366" ht="14.25"/>
    <row r="11367" ht="14.25"/>
    <row r="11368" ht="14.25"/>
    <row r="11369" ht="14.25"/>
    <row r="11370" ht="14.25"/>
    <row r="11371" ht="14.25"/>
    <row r="11372" ht="14.25"/>
    <row r="11373" ht="14.25"/>
    <row r="11374" ht="14.25"/>
    <row r="11375" ht="14.25"/>
    <row r="11376" ht="14.25"/>
    <row r="11377" ht="14.25"/>
    <row r="11378" ht="14.25"/>
    <row r="11379" ht="14.25"/>
    <row r="11380" ht="14.25"/>
    <row r="11381" ht="14.25"/>
    <row r="11382" ht="14.25"/>
    <row r="11383" ht="14.25"/>
    <row r="11384" ht="14.25"/>
    <row r="11385" ht="14.25"/>
    <row r="11386" ht="14.25"/>
    <row r="11387" ht="14.25"/>
    <row r="11388" ht="14.25"/>
    <row r="11389" ht="14.25"/>
    <row r="11390" ht="14.25"/>
    <row r="11391" ht="14.25"/>
    <row r="11392" ht="14.25"/>
    <row r="11393" ht="14.25"/>
    <row r="11394" ht="14.25"/>
    <row r="11395" ht="14.25"/>
    <row r="11396" ht="14.25"/>
    <row r="11397" ht="14.25"/>
    <row r="11398" ht="14.25"/>
    <row r="11399" ht="14.25"/>
    <row r="11400" ht="14.25"/>
    <row r="11401" ht="14.25"/>
    <row r="11402" ht="14.25"/>
    <row r="11403" ht="14.25"/>
    <row r="11404" ht="14.25"/>
    <row r="11405" ht="14.25"/>
    <row r="11406" ht="14.25"/>
    <row r="11407" ht="14.25"/>
    <row r="11408" ht="14.25"/>
    <row r="11409" ht="14.25"/>
    <row r="11410" ht="14.25"/>
    <row r="11411" ht="14.25"/>
    <row r="11412" ht="14.25"/>
    <row r="11413" ht="14.25"/>
    <row r="11414" ht="14.25"/>
    <row r="11415" ht="14.25"/>
    <row r="11416" ht="14.25"/>
    <row r="11417" ht="14.25"/>
    <row r="11418" ht="14.25"/>
    <row r="11419" ht="14.25"/>
    <row r="11420" ht="14.25"/>
    <row r="11421" ht="14.25"/>
    <row r="11422" ht="14.25"/>
    <row r="11423" ht="14.25"/>
    <row r="11424" ht="14.25"/>
    <row r="11425" ht="14.25"/>
    <row r="11426" ht="14.25"/>
    <row r="11427" ht="14.25"/>
    <row r="11428" ht="14.25"/>
    <row r="11429" ht="14.25"/>
    <row r="11430" ht="14.25"/>
    <row r="11431" ht="14.25"/>
    <row r="11432" ht="14.25"/>
    <row r="11433" ht="14.25"/>
    <row r="11434" ht="14.25"/>
    <row r="11435" ht="14.25"/>
    <row r="11436" ht="14.25"/>
    <row r="11437" ht="14.25"/>
    <row r="11438" ht="14.25"/>
    <row r="11439" ht="14.25"/>
    <row r="11440" ht="14.25"/>
    <row r="11441" ht="14.25"/>
    <row r="11442" ht="14.25"/>
    <row r="11443" ht="14.25"/>
    <row r="11444" ht="14.25"/>
    <row r="11445" ht="14.25"/>
    <row r="11446" ht="14.25"/>
    <row r="11447" ht="14.25"/>
    <row r="11448" ht="14.25"/>
    <row r="11449" ht="14.25"/>
    <row r="11450" ht="14.25"/>
    <row r="11451" ht="14.25"/>
    <row r="11452" ht="14.25"/>
    <row r="11453" ht="14.25"/>
    <row r="11454" ht="14.25"/>
    <row r="11455" ht="14.25"/>
    <row r="11456" ht="14.25"/>
    <row r="11457" ht="14.25"/>
    <row r="11458" ht="14.25"/>
    <row r="11459" ht="14.25"/>
    <row r="11460" ht="14.25"/>
    <row r="11461" ht="14.25"/>
    <row r="11462" ht="14.25"/>
    <row r="11463" ht="14.25"/>
    <row r="11464" ht="14.25"/>
    <row r="11465" ht="14.25"/>
    <row r="11466" ht="14.25"/>
    <row r="11467" ht="14.25"/>
    <row r="11468" ht="14.25"/>
    <row r="11469" ht="14.25"/>
    <row r="11470" ht="14.25"/>
    <row r="11471" ht="14.25"/>
    <row r="11472" ht="14.25"/>
    <row r="11473" ht="14.25"/>
    <row r="11474" ht="14.25"/>
    <row r="11475" ht="14.25"/>
    <row r="11476" ht="14.25"/>
    <row r="11477" ht="14.25"/>
    <row r="11478" ht="14.25"/>
    <row r="11479" ht="14.25"/>
    <row r="11480" ht="14.25"/>
    <row r="11481" ht="14.25"/>
    <row r="11482" ht="14.25"/>
    <row r="11483" ht="14.25"/>
    <row r="11484" ht="14.25"/>
    <row r="11485" ht="14.25"/>
    <row r="11486" ht="14.25"/>
    <row r="11487" ht="14.25"/>
    <row r="11488" ht="14.25"/>
    <row r="11489" ht="14.25"/>
    <row r="11490" ht="14.25"/>
    <row r="11491" ht="14.25"/>
    <row r="11492" ht="14.25"/>
    <row r="11493" ht="14.25"/>
    <row r="11494" ht="14.25"/>
    <row r="11495" ht="14.25"/>
    <row r="11496" ht="14.25"/>
    <row r="11497" ht="14.25"/>
    <row r="11498" ht="14.25"/>
    <row r="11499" ht="14.25"/>
    <row r="11500" ht="14.25"/>
    <row r="11501" ht="14.25"/>
    <row r="11502" ht="14.25"/>
    <row r="11503" ht="14.25"/>
    <row r="11504" ht="14.25"/>
    <row r="11505" ht="14.25"/>
    <row r="11506" ht="14.25"/>
    <row r="11507" ht="14.25"/>
    <row r="11508" ht="14.25"/>
    <row r="11509" ht="14.25"/>
    <row r="11510" ht="14.25"/>
    <row r="11511" ht="14.25"/>
    <row r="11512" ht="14.25"/>
    <row r="11513" ht="14.25"/>
    <row r="11514" ht="14.25"/>
    <row r="11515" ht="14.25"/>
    <row r="11516" ht="14.25"/>
    <row r="11517" ht="14.25"/>
    <row r="11518" ht="14.25"/>
    <row r="11519" ht="14.25"/>
    <row r="11520" ht="14.25"/>
    <row r="11521" ht="14.25"/>
    <row r="11522" ht="14.25"/>
    <row r="11523" ht="14.25"/>
    <row r="11524" ht="14.25"/>
    <row r="11525" ht="14.25"/>
    <row r="11526" ht="14.25"/>
    <row r="11527" ht="14.25"/>
    <row r="11528" ht="14.25"/>
    <row r="11529" ht="14.25"/>
    <row r="11530" ht="14.25"/>
    <row r="11531" ht="14.25"/>
    <row r="11532" ht="14.25"/>
    <row r="11533" ht="14.25"/>
    <row r="11534" ht="14.25"/>
    <row r="11535" ht="14.25"/>
    <row r="11536" ht="14.25"/>
    <row r="11537" ht="14.25"/>
    <row r="11538" ht="14.25"/>
    <row r="11539" ht="14.25"/>
    <row r="11540" ht="14.25"/>
    <row r="11541" ht="14.25"/>
    <row r="11542" ht="14.25"/>
    <row r="11543" ht="14.25"/>
    <row r="11544" ht="14.25"/>
    <row r="11545" ht="14.25"/>
    <row r="11546" ht="14.25"/>
    <row r="11547" ht="14.25"/>
    <row r="11548" ht="14.25"/>
    <row r="11549" ht="14.25"/>
    <row r="11550" ht="14.25"/>
    <row r="11551" ht="14.25"/>
    <row r="11552" ht="14.25"/>
    <row r="11553" ht="14.25"/>
    <row r="11554" ht="14.25"/>
    <row r="11555" ht="14.25"/>
    <row r="11556" ht="14.25"/>
    <row r="11557" ht="14.25"/>
    <row r="11558" ht="14.25"/>
    <row r="11559" ht="14.25"/>
    <row r="11560" ht="14.25"/>
    <row r="11561" ht="14.25"/>
    <row r="11562" ht="14.25"/>
    <row r="11563" ht="14.25"/>
    <row r="11564" ht="14.25"/>
    <row r="11565" ht="14.25"/>
    <row r="11566" ht="14.25"/>
    <row r="11567" ht="14.25"/>
    <row r="11568" ht="14.25"/>
    <row r="11569" ht="14.25"/>
    <row r="11570" ht="14.25"/>
    <row r="11571" ht="14.25"/>
    <row r="11572" ht="14.25"/>
    <row r="11573" ht="14.25"/>
    <row r="11574" ht="14.25"/>
    <row r="11575" ht="14.25"/>
    <row r="11576" ht="14.25"/>
    <row r="11577" ht="14.25"/>
    <row r="11578" ht="14.25"/>
    <row r="11579" ht="14.25"/>
    <row r="11580" ht="14.25"/>
    <row r="11581" ht="14.25"/>
    <row r="11582" ht="14.25"/>
    <row r="11583" ht="14.25"/>
    <row r="11584" ht="14.25"/>
    <row r="11585" ht="14.25"/>
    <row r="11586" ht="14.25"/>
    <row r="11587" ht="14.25"/>
    <row r="11588" ht="14.25"/>
    <row r="11589" ht="14.25"/>
    <row r="11590" ht="14.25"/>
    <row r="11591" ht="14.25"/>
    <row r="11592" ht="14.25"/>
    <row r="11593" ht="14.25"/>
    <row r="11594" ht="14.25"/>
    <row r="11595" ht="14.25"/>
    <row r="11596" ht="14.25"/>
    <row r="11597" ht="14.25"/>
    <row r="11598" ht="14.25"/>
    <row r="11599" ht="14.25"/>
    <row r="11600" ht="14.25"/>
    <row r="11601" ht="14.25"/>
    <row r="11602" ht="14.25"/>
    <row r="11603" ht="14.25"/>
    <row r="11604" ht="14.25"/>
    <row r="11605" ht="14.25"/>
    <row r="11606" ht="14.25"/>
    <row r="11607" ht="14.25"/>
    <row r="11608" ht="14.25"/>
    <row r="11609" ht="14.25"/>
    <row r="11610" ht="14.25"/>
    <row r="11611" ht="14.25"/>
    <row r="11612" ht="14.25"/>
    <row r="11613" ht="14.25"/>
    <row r="11614" ht="14.25"/>
    <row r="11615" ht="14.25"/>
    <row r="11616" ht="14.25"/>
    <row r="11617" ht="14.25"/>
    <row r="11618" ht="14.25"/>
    <row r="11619" ht="14.25"/>
    <row r="11620" ht="14.25"/>
    <row r="11621" ht="14.25"/>
    <row r="11622" ht="14.25"/>
    <row r="11623" ht="14.25"/>
    <row r="11624" ht="14.25"/>
    <row r="11625" ht="14.25"/>
    <row r="11626" ht="14.25"/>
    <row r="11627" ht="14.25"/>
    <row r="11628" ht="14.25"/>
    <row r="11629" ht="14.25"/>
    <row r="11630" ht="14.25"/>
    <row r="11631" ht="14.25"/>
    <row r="11632" ht="14.25"/>
    <row r="11633" ht="14.25"/>
    <row r="11634" ht="14.25"/>
    <row r="11635" ht="14.25"/>
    <row r="11636" ht="14.25"/>
    <row r="11637" ht="14.25"/>
    <row r="11638" ht="14.25"/>
    <row r="11639" ht="14.25"/>
    <row r="11640" ht="14.25"/>
    <row r="11641" ht="14.25"/>
    <row r="11642" ht="14.25"/>
    <row r="11643" ht="14.25"/>
    <row r="11644" ht="14.25"/>
    <row r="11645" ht="14.25"/>
    <row r="11646" ht="14.25"/>
    <row r="11647" ht="14.25"/>
    <row r="11648" ht="14.25"/>
    <row r="11649" ht="14.25"/>
    <row r="11650" ht="14.25"/>
    <row r="11651" ht="14.25"/>
    <row r="11652" ht="14.25"/>
    <row r="11653" ht="14.25"/>
    <row r="11654" ht="14.25"/>
    <row r="11655" ht="14.25"/>
    <row r="11656" ht="14.25"/>
    <row r="11657" ht="14.25"/>
    <row r="11658" ht="14.25"/>
    <row r="11659" ht="14.25"/>
    <row r="11660" ht="14.25"/>
    <row r="11661" ht="14.25"/>
    <row r="11662" ht="14.25"/>
    <row r="11663" ht="14.25"/>
    <row r="11664" ht="14.25"/>
    <row r="11665" ht="14.25"/>
    <row r="11666" ht="14.25"/>
    <row r="11667" ht="14.25"/>
    <row r="11668" ht="14.25"/>
    <row r="11669" ht="14.25"/>
    <row r="11670" ht="14.25"/>
    <row r="11671" ht="14.25"/>
    <row r="11672" ht="14.25"/>
    <row r="11673" ht="14.25"/>
    <row r="11674" ht="14.25"/>
    <row r="11675" ht="14.25"/>
    <row r="11676" ht="14.25"/>
    <row r="11677" ht="14.25"/>
    <row r="11678" ht="14.25"/>
    <row r="11679" ht="14.25"/>
    <row r="11680" ht="14.25"/>
    <row r="11681" ht="14.25"/>
    <row r="11682" ht="14.25"/>
    <row r="11683" ht="14.25"/>
    <row r="11684" ht="14.25"/>
    <row r="11685" ht="14.25"/>
    <row r="11686" ht="14.25"/>
    <row r="11687" ht="14.25"/>
    <row r="11688" ht="14.25"/>
    <row r="11689" ht="14.25"/>
    <row r="11690" ht="14.25"/>
    <row r="11691" ht="14.25"/>
    <row r="11692" ht="14.25"/>
    <row r="11693" ht="14.25"/>
    <row r="11694" ht="14.25"/>
    <row r="11695" ht="14.25"/>
    <row r="11696" ht="14.25"/>
    <row r="11697" ht="14.25"/>
    <row r="11698" ht="14.25"/>
    <row r="11699" ht="14.25"/>
    <row r="11700" ht="14.25"/>
    <row r="11701" ht="14.25"/>
    <row r="11702" ht="14.25"/>
    <row r="11703" ht="14.25"/>
    <row r="11704" ht="14.25"/>
    <row r="11705" ht="14.25"/>
    <row r="11706" ht="14.25"/>
    <row r="11707" ht="14.25"/>
    <row r="11708" ht="14.25"/>
    <row r="11709" ht="14.25"/>
    <row r="11710" ht="14.25"/>
    <row r="11711" ht="14.25"/>
    <row r="11712" ht="14.25"/>
    <row r="11713" ht="14.25"/>
    <row r="11714" ht="14.25"/>
    <row r="11715" ht="14.25"/>
    <row r="11716" ht="14.25"/>
    <row r="11717" ht="14.25"/>
    <row r="11718" ht="14.25"/>
    <row r="11719" ht="14.25"/>
    <row r="11720" ht="14.25"/>
    <row r="11721" ht="14.25"/>
    <row r="11722" ht="14.25"/>
    <row r="11723" ht="14.25"/>
    <row r="11724" ht="14.25"/>
    <row r="11725" ht="14.25"/>
    <row r="11726" ht="14.25"/>
    <row r="11727" ht="14.25"/>
    <row r="11728" ht="14.25"/>
    <row r="11729" ht="14.25"/>
    <row r="11730" ht="14.25"/>
    <row r="11731" ht="14.25"/>
    <row r="11732" ht="14.25"/>
    <row r="11733" ht="14.25"/>
    <row r="11734" ht="14.25"/>
    <row r="11735" ht="14.25"/>
    <row r="11736" ht="14.25"/>
    <row r="11737" ht="14.25"/>
    <row r="11738" ht="14.25"/>
    <row r="11739" ht="14.25"/>
    <row r="11740" ht="14.25"/>
    <row r="11741" ht="14.25"/>
    <row r="11742" ht="14.25"/>
    <row r="11743" ht="14.25"/>
    <row r="11744" ht="14.25"/>
    <row r="11745" ht="14.25"/>
    <row r="11746" ht="14.25"/>
    <row r="11747" ht="14.25"/>
    <row r="11748" ht="14.25"/>
    <row r="11749" ht="14.25"/>
    <row r="11750" ht="14.25"/>
    <row r="11751" ht="14.25"/>
    <row r="11752" ht="14.25"/>
    <row r="11753" ht="14.25"/>
    <row r="11754" ht="14.25"/>
    <row r="11755" ht="14.25"/>
    <row r="11756" ht="14.25"/>
    <row r="11757" ht="14.25"/>
    <row r="11758" ht="14.25"/>
    <row r="11759" ht="14.25"/>
    <row r="11760" ht="14.25"/>
    <row r="11761" ht="14.25"/>
    <row r="11762" ht="14.25"/>
    <row r="11763" ht="14.25"/>
    <row r="11764" ht="14.25"/>
    <row r="11765" ht="14.25"/>
    <row r="11766" ht="14.25"/>
    <row r="11767" ht="14.25"/>
    <row r="11768" ht="14.25"/>
    <row r="11769" ht="14.25"/>
    <row r="11770" ht="14.25"/>
    <row r="11771" ht="14.25"/>
    <row r="11772" ht="14.25"/>
    <row r="11773" ht="14.25"/>
    <row r="11774" ht="14.25"/>
    <row r="11775" ht="14.25"/>
    <row r="11776" ht="14.25"/>
    <row r="11777" ht="14.25"/>
    <row r="11778" ht="14.25"/>
    <row r="11779" ht="14.25"/>
    <row r="11780" ht="14.25"/>
    <row r="11781" ht="14.25"/>
    <row r="11782" ht="14.25"/>
    <row r="11783" ht="14.25"/>
    <row r="11784" ht="14.25"/>
    <row r="11785" ht="14.25"/>
    <row r="11786" ht="14.25"/>
    <row r="11787" ht="14.25"/>
    <row r="11788" ht="14.25"/>
    <row r="11789" ht="14.25"/>
    <row r="11790" ht="14.25"/>
    <row r="11791" ht="14.25"/>
    <row r="11792" ht="14.25"/>
    <row r="11793" ht="14.25"/>
    <row r="11794" ht="14.25"/>
    <row r="11795" ht="14.25"/>
    <row r="11796" ht="14.25"/>
    <row r="11797" ht="14.25"/>
    <row r="11798" ht="14.25"/>
    <row r="11799" ht="14.25"/>
    <row r="11800" ht="14.25"/>
    <row r="11801" ht="14.25"/>
    <row r="11802" ht="14.25"/>
    <row r="11803" ht="14.25"/>
    <row r="11804" ht="14.25"/>
    <row r="11805" ht="14.25"/>
    <row r="11806" ht="14.25"/>
    <row r="11807" ht="14.25"/>
    <row r="11808" ht="14.25"/>
    <row r="11809" ht="14.25"/>
    <row r="11810" ht="14.25"/>
    <row r="11811" ht="14.25"/>
    <row r="11812" ht="14.25"/>
    <row r="11813" ht="14.25"/>
    <row r="11814" ht="14.25"/>
    <row r="11815" ht="14.25"/>
    <row r="11816" ht="14.25"/>
    <row r="11817" ht="14.25"/>
    <row r="11818" ht="14.25"/>
    <row r="11819" ht="14.25"/>
    <row r="11820" ht="14.25"/>
    <row r="11821" ht="14.25"/>
    <row r="11822" ht="14.25"/>
    <row r="11823" ht="14.25"/>
    <row r="11824" ht="14.25"/>
    <row r="11825" ht="14.25"/>
    <row r="11826" ht="14.25"/>
    <row r="11827" ht="14.25"/>
    <row r="11828" ht="14.25"/>
    <row r="11829" ht="14.25"/>
    <row r="11830" ht="14.25"/>
    <row r="11831" ht="14.25"/>
    <row r="11832" ht="14.25"/>
    <row r="11833" ht="14.25"/>
    <row r="11834" ht="14.25"/>
    <row r="11835" ht="14.25"/>
    <row r="11836" ht="14.25"/>
    <row r="11837" ht="14.25"/>
    <row r="11838" ht="14.25"/>
    <row r="11839" ht="14.25"/>
    <row r="11840" ht="14.25"/>
    <row r="11841" ht="14.25"/>
    <row r="11842" ht="14.25"/>
    <row r="11843" ht="14.25"/>
    <row r="11844" ht="14.25"/>
    <row r="11845" ht="14.25"/>
    <row r="11846" ht="14.25"/>
    <row r="11847" ht="14.25"/>
    <row r="11848" ht="14.25"/>
    <row r="11849" ht="14.25"/>
    <row r="11850" ht="14.25"/>
    <row r="11851" ht="14.25"/>
    <row r="11852" ht="14.25"/>
    <row r="11853" ht="14.25"/>
    <row r="11854" ht="14.25"/>
    <row r="11855" ht="14.25"/>
    <row r="11856" ht="14.25"/>
    <row r="11857" ht="14.25"/>
    <row r="11858" ht="14.25"/>
    <row r="11859" ht="14.25"/>
    <row r="11860" ht="14.25"/>
    <row r="11861" ht="14.25"/>
    <row r="11862" ht="14.25"/>
    <row r="11863" ht="14.25"/>
    <row r="11864" ht="14.25"/>
    <row r="11865" ht="14.25"/>
    <row r="11866" ht="14.25"/>
    <row r="11867" ht="14.25"/>
    <row r="11868" ht="14.25"/>
    <row r="11869" ht="14.25"/>
    <row r="11870" ht="14.25"/>
    <row r="11871" ht="14.25"/>
    <row r="11872" ht="14.25"/>
    <row r="11873" ht="14.25"/>
    <row r="11874" ht="14.25"/>
    <row r="11875" ht="14.25"/>
    <row r="11876" ht="14.25"/>
    <row r="11877" ht="14.25"/>
    <row r="11878" ht="14.25"/>
    <row r="11879" ht="14.25"/>
    <row r="11880" ht="14.25"/>
    <row r="11881" ht="14.25"/>
    <row r="11882" ht="14.25"/>
    <row r="11883" ht="14.25"/>
    <row r="11884" ht="14.25"/>
    <row r="11885" ht="14.25"/>
    <row r="11886" ht="14.25"/>
    <row r="11887" ht="14.25"/>
    <row r="11888" ht="14.25"/>
    <row r="11889" ht="14.25"/>
    <row r="11890" ht="14.25"/>
    <row r="11891" ht="14.25"/>
    <row r="11892" ht="14.25"/>
    <row r="11893" ht="14.25"/>
    <row r="11894" ht="14.25"/>
    <row r="11895" ht="14.25"/>
    <row r="11896" ht="14.25"/>
    <row r="11897" ht="14.25"/>
    <row r="11898" ht="14.25"/>
    <row r="11899" ht="14.25"/>
    <row r="11900" ht="14.25"/>
    <row r="11901" ht="14.25"/>
    <row r="11902" ht="14.25"/>
    <row r="11903" ht="14.25"/>
    <row r="11904" ht="14.25"/>
    <row r="11905" ht="14.25"/>
    <row r="11906" ht="14.25"/>
    <row r="11907" ht="14.25"/>
    <row r="11908" ht="14.25"/>
    <row r="11909" ht="14.25"/>
    <row r="11910" ht="14.25"/>
    <row r="11911" ht="14.25"/>
    <row r="11912" ht="14.25"/>
    <row r="11913" ht="14.25"/>
    <row r="11914" ht="14.25"/>
    <row r="11915" ht="14.25"/>
    <row r="11916" ht="14.25"/>
    <row r="11917" ht="14.25"/>
    <row r="11918" ht="14.25"/>
    <row r="11919" ht="14.25"/>
    <row r="11920" ht="14.25"/>
    <row r="11921" ht="14.25"/>
    <row r="11922" ht="14.25"/>
    <row r="11923" ht="14.25"/>
    <row r="11924" ht="14.25"/>
    <row r="11925" ht="14.25"/>
    <row r="11926" ht="14.25"/>
    <row r="11927" ht="14.25"/>
    <row r="11928" ht="14.25"/>
    <row r="11929" ht="14.25"/>
    <row r="11930" ht="14.25"/>
    <row r="11931" ht="14.25"/>
    <row r="11932" ht="14.25"/>
    <row r="11933" ht="14.25"/>
    <row r="11934" ht="14.25"/>
    <row r="11935" ht="14.25"/>
    <row r="11936" ht="14.25"/>
    <row r="11937" ht="14.25"/>
    <row r="11938" ht="14.25"/>
    <row r="11939" ht="14.25"/>
    <row r="11940" ht="14.25"/>
    <row r="11941" ht="14.25"/>
    <row r="11942" ht="14.25"/>
    <row r="11943" ht="14.25"/>
    <row r="11944" ht="14.25"/>
    <row r="11945" ht="14.25"/>
    <row r="11946" ht="14.25"/>
    <row r="11947" ht="14.25"/>
    <row r="11948" ht="14.25"/>
    <row r="11949" ht="14.25"/>
    <row r="11950" ht="14.25"/>
    <row r="11951" ht="14.25"/>
    <row r="11952" ht="14.25"/>
    <row r="11953" ht="14.25"/>
    <row r="11954" ht="14.25"/>
    <row r="11955" ht="14.25"/>
    <row r="11956" ht="14.25"/>
    <row r="11957" ht="14.25"/>
    <row r="11958" ht="14.25"/>
    <row r="11959" ht="14.25"/>
    <row r="11960" ht="14.25"/>
    <row r="11961" ht="14.25"/>
    <row r="11962" ht="14.25"/>
    <row r="11963" ht="14.25"/>
    <row r="11964" ht="14.25"/>
    <row r="11965" ht="14.25"/>
    <row r="11966" ht="14.25"/>
    <row r="11967" ht="14.25"/>
    <row r="11968" ht="14.25"/>
    <row r="11969" ht="14.25"/>
    <row r="11970" ht="14.25"/>
    <row r="11971" ht="14.25"/>
    <row r="11972" ht="14.25"/>
    <row r="11973" ht="14.25"/>
    <row r="11974" ht="14.25"/>
    <row r="11975" ht="14.25"/>
    <row r="11976" ht="14.25"/>
    <row r="11977" ht="14.25"/>
    <row r="11978" ht="14.25"/>
    <row r="11979" ht="14.25"/>
    <row r="11980" ht="14.25"/>
    <row r="11981" ht="14.25"/>
    <row r="11982" ht="14.25"/>
    <row r="11983" ht="14.25"/>
    <row r="11984" ht="14.25"/>
    <row r="11985" ht="14.25"/>
    <row r="11986" ht="14.25"/>
    <row r="11987" ht="14.25"/>
    <row r="11988" ht="14.25"/>
    <row r="11989" ht="14.25"/>
    <row r="11990" ht="14.25"/>
    <row r="11991" ht="14.25"/>
    <row r="11992" ht="14.25"/>
    <row r="11993" ht="14.25"/>
    <row r="11994" ht="14.25"/>
    <row r="11995" ht="14.25"/>
    <row r="11996" ht="14.25"/>
    <row r="11997" ht="14.25"/>
    <row r="11998" ht="14.25"/>
    <row r="11999" ht="14.25"/>
    <row r="12000" ht="14.25"/>
    <row r="12001" ht="14.25"/>
    <row r="12002" ht="14.25"/>
    <row r="12003" ht="14.25"/>
    <row r="12004" ht="14.25"/>
    <row r="12005" ht="14.25"/>
    <row r="12006" ht="14.25"/>
    <row r="12007" ht="14.25"/>
    <row r="12008" ht="14.25"/>
    <row r="12009" ht="14.25"/>
    <row r="12010" ht="14.25"/>
    <row r="12011" ht="14.25"/>
    <row r="12012" ht="14.25"/>
    <row r="12013" ht="14.25"/>
    <row r="12014" ht="14.25"/>
    <row r="12015" ht="14.25"/>
    <row r="12016" ht="14.25"/>
    <row r="12017" ht="14.25"/>
    <row r="12018" ht="14.25"/>
    <row r="12019" ht="14.25"/>
    <row r="12020" ht="14.25"/>
    <row r="12021" ht="14.25"/>
    <row r="12022" ht="14.25"/>
    <row r="12023" ht="14.25"/>
    <row r="12024" ht="14.25"/>
    <row r="12025" ht="14.25"/>
    <row r="12026" ht="14.25"/>
    <row r="12027" ht="14.25"/>
    <row r="12028" ht="14.25"/>
    <row r="12029" ht="14.25"/>
    <row r="12030" ht="14.25"/>
    <row r="12031" ht="14.25"/>
    <row r="12032" ht="14.25"/>
    <row r="12033" ht="14.25"/>
    <row r="12034" ht="14.25"/>
    <row r="12035" ht="14.25"/>
    <row r="12036" ht="14.25"/>
    <row r="12037" ht="14.25"/>
    <row r="12038" ht="14.25"/>
    <row r="12039" ht="14.25"/>
    <row r="12040" ht="14.25"/>
    <row r="12041" ht="14.25"/>
    <row r="12042" ht="14.25"/>
    <row r="12043" ht="14.25"/>
    <row r="12044" ht="14.25"/>
    <row r="12045" ht="14.25"/>
    <row r="12046" ht="14.25"/>
    <row r="12047" ht="14.25"/>
    <row r="12048" ht="14.25"/>
    <row r="12049" ht="14.25"/>
    <row r="12050" ht="14.25"/>
    <row r="12051" ht="14.25"/>
    <row r="12052" ht="14.25"/>
    <row r="12053" ht="14.25"/>
    <row r="12054" ht="14.25"/>
    <row r="12055" ht="14.25"/>
    <row r="12056" ht="14.25"/>
    <row r="12057" ht="14.25"/>
    <row r="12058" ht="14.25"/>
    <row r="12059" ht="14.25"/>
    <row r="12060" ht="14.25"/>
    <row r="12061" ht="14.25"/>
    <row r="12062" ht="14.25"/>
    <row r="12063" ht="14.25"/>
    <row r="12064" ht="14.25"/>
    <row r="12065" ht="14.25"/>
    <row r="12066" ht="14.25"/>
    <row r="12067" ht="14.25"/>
    <row r="12068" ht="14.25"/>
    <row r="12069" ht="14.25"/>
    <row r="12070" ht="14.25"/>
    <row r="12071" ht="14.25"/>
    <row r="12072" ht="14.25"/>
    <row r="12073" ht="14.25"/>
    <row r="12074" ht="14.25"/>
    <row r="12075" ht="14.25"/>
    <row r="12076" ht="14.25"/>
    <row r="12077" ht="14.25"/>
    <row r="12078" ht="14.25"/>
    <row r="12079" ht="14.25"/>
    <row r="12080" ht="14.25"/>
    <row r="12081" ht="14.25"/>
    <row r="12082" ht="14.25"/>
    <row r="12083" ht="14.25"/>
    <row r="12084" ht="14.25"/>
    <row r="12085" ht="14.25"/>
    <row r="12086" ht="14.25"/>
    <row r="12087" ht="14.25"/>
    <row r="12088" ht="14.25"/>
    <row r="12089" ht="14.25"/>
    <row r="12090" ht="14.25"/>
    <row r="12091" ht="14.25"/>
    <row r="12092" ht="14.25"/>
    <row r="12093" ht="14.25"/>
    <row r="12094" ht="14.25"/>
    <row r="12095" ht="14.25"/>
    <row r="12096" ht="14.25"/>
    <row r="12097" ht="14.25"/>
    <row r="12098" ht="14.25"/>
    <row r="12099" ht="14.25"/>
    <row r="12100" ht="14.25"/>
    <row r="12101" ht="14.25"/>
    <row r="12102" ht="14.25"/>
    <row r="12103" ht="14.25"/>
    <row r="12104" ht="14.25"/>
    <row r="12105" ht="14.25"/>
    <row r="12106" ht="14.25"/>
    <row r="12107" ht="14.25"/>
    <row r="12108" ht="14.25"/>
    <row r="12109" ht="14.25"/>
    <row r="12110" ht="14.25"/>
    <row r="12111" ht="14.25"/>
    <row r="12112" ht="14.25"/>
    <row r="12113" ht="14.25"/>
    <row r="12114" ht="14.25"/>
    <row r="12115" ht="14.25"/>
    <row r="12116" ht="14.25"/>
    <row r="12117" ht="14.25"/>
    <row r="12118" ht="14.25"/>
    <row r="12119" ht="14.25"/>
    <row r="12120" ht="14.25"/>
    <row r="12121" ht="14.25"/>
    <row r="12122" ht="14.25"/>
    <row r="12123" ht="14.25"/>
    <row r="12124" ht="14.25"/>
    <row r="12125" ht="14.25"/>
    <row r="12126" ht="14.25"/>
    <row r="12127" ht="14.25"/>
    <row r="12128" ht="14.25"/>
    <row r="12129" ht="14.25"/>
    <row r="12130" ht="14.25"/>
    <row r="12131" ht="14.25"/>
    <row r="12132" ht="14.25"/>
    <row r="12133" ht="14.25"/>
    <row r="12134" ht="14.25"/>
    <row r="12135" ht="14.25"/>
    <row r="12136" ht="14.25"/>
    <row r="12137" ht="14.25"/>
    <row r="12138" ht="14.25"/>
    <row r="12139" ht="14.25"/>
    <row r="12140" ht="14.25"/>
    <row r="12141" ht="14.25"/>
    <row r="12142" ht="14.25"/>
    <row r="12143" ht="14.25"/>
    <row r="12144" ht="14.25"/>
    <row r="12145" ht="14.25"/>
    <row r="12146" ht="14.25"/>
    <row r="12147" ht="14.25"/>
    <row r="12148" ht="14.25"/>
    <row r="12149" ht="14.25"/>
    <row r="12150" ht="14.25"/>
    <row r="12151" ht="14.25"/>
    <row r="12152" ht="14.25"/>
    <row r="12153" ht="14.25"/>
    <row r="12154" ht="14.25"/>
    <row r="12155" ht="14.25"/>
    <row r="12156" ht="14.25"/>
    <row r="12157" ht="14.25"/>
    <row r="12158" ht="14.25"/>
    <row r="12159" ht="14.25"/>
    <row r="12160" ht="14.25"/>
    <row r="12161" ht="14.25"/>
    <row r="12162" ht="14.25"/>
    <row r="12163" ht="14.25"/>
    <row r="12164" ht="14.25"/>
    <row r="12165" ht="14.25"/>
    <row r="12166" ht="14.25"/>
    <row r="12167" ht="14.25"/>
    <row r="12168" ht="14.25"/>
    <row r="12169" ht="14.25"/>
    <row r="12170" ht="14.25"/>
    <row r="12171" ht="14.25"/>
    <row r="12172" ht="14.25"/>
    <row r="12173" ht="14.25"/>
    <row r="12174" ht="14.25"/>
    <row r="12175" ht="14.25"/>
    <row r="12176" ht="14.25"/>
    <row r="12177" ht="14.25"/>
    <row r="12178" ht="14.25"/>
    <row r="12179" ht="14.25"/>
    <row r="12180" ht="14.25"/>
    <row r="12181" ht="14.25"/>
    <row r="12182" ht="14.25"/>
    <row r="12183" ht="14.25"/>
    <row r="12184" ht="14.25"/>
    <row r="12185" ht="14.25"/>
    <row r="12186" ht="14.25"/>
    <row r="12187" ht="14.25"/>
    <row r="12188" ht="14.25"/>
    <row r="12189" ht="14.25"/>
    <row r="12190" ht="14.25"/>
    <row r="12191" ht="14.25"/>
    <row r="12192" ht="14.25"/>
    <row r="12193" ht="14.25"/>
    <row r="12194" ht="14.25"/>
    <row r="12195" ht="14.25"/>
    <row r="12196" ht="14.25"/>
    <row r="12197" ht="14.25"/>
    <row r="12198" ht="14.25"/>
    <row r="12199" ht="14.25"/>
    <row r="12200" ht="14.25"/>
    <row r="12201" ht="14.25"/>
    <row r="12202" ht="14.25"/>
    <row r="12203" ht="14.25"/>
    <row r="12204" ht="14.25"/>
    <row r="12205" ht="14.25"/>
    <row r="12206" ht="14.25"/>
    <row r="12207" ht="14.25"/>
    <row r="12208" ht="14.25"/>
    <row r="12209" ht="14.25"/>
    <row r="12210" ht="14.25"/>
    <row r="12211" ht="14.25"/>
    <row r="12212" ht="14.25"/>
    <row r="12213" ht="14.25"/>
    <row r="12214" ht="14.25"/>
    <row r="12215" ht="14.25"/>
    <row r="12216" ht="14.25"/>
    <row r="12217" ht="14.25"/>
    <row r="12218" ht="14.25"/>
    <row r="12219" ht="14.25"/>
    <row r="12220" ht="14.25"/>
    <row r="12221" ht="14.25"/>
    <row r="12222" ht="14.25"/>
    <row r="12223" ht="14.25"/>
    <row r="12224" ht="14.25"/>
    <row r="12225" ht="14.25"/>
    <row r="12226" ht="14.25"/>
    <row r="12227" ht="14.25"/>
    <row r="12228" ht="14.25"/>
    <row r="12229" ht="14.25"/>
    <row r="12230" ht="14.25"/>
    <row r="12231" ht="14.25"/>
    <row r="12232" ht="14.25"/>
    <row r="12233" ht="14.25"/>
    <row r="12234" ht="14.25"/>
    <row r="12235" ht="14.25"/>
    <row r="12236" ht="14.25"/>
    <row r="12237" ht="14.25"/>
    <row r="12238" ht="14.25"/>
    <row r="12239" ht="14.25"/>
    <row r="12240" ht="14.25"/>
    <row r="12241" ht="14.25"/>
    <row r="12242" ht="14.25"/>
    <row r="12243" ht="14.25"/>
    <row r="12244" ht="14.25"/>
    <row r="12245" ht="14.25"/>
    <row r="12246" ht="14.25"/>
    <row r="12247" ht="14.25"/>
    <row r="12248" ht="14.25"/>
    <row r="12249" ht="14.25"/>
    <row r="12250" ht="14.25"/>
    <row r="12251" ht="14.25"/>
    <row r="12252" ht="14.25"/>
    <row r="12253" ht="14.25"/>
    <row r="12254" ht="14.25"/>
    <row r="12255" ht="14.25"/>
    <row r="12256" ht="14.25"/>
    <row r="12257" ht="14.25"/>
    <row r="12258" ht="14.25"/>
    <row r="12259" ht="14.25"/>
    <row r="12260" ht="14.25"/>
    <row r="12261" ht="14.25"/>
    <row r="12262" ht="14.25"/>
    <row r="12263" ht="14.25"/>
    <row r="12264" ht="14.25"/>
    <row r="12265" ht="14.25"/>
    <row r="12266" ht="14.25"/>
    <row r="12267" ht="14.25"/>
    <row r="12268" ht="14.25"/>
    <row r="12269" ht="14.25"/>
    <row r="12270" ht="14.25"/>
    <row r="12271" ht="14.25"/>
    <row r="12272" ht="14.25"/>
    <row r="12273" ht="14.25"/>
    <row r="12274" ht="14.25"/>
    <row r="12275" ht="14.25"/>
    <row r="12276" ht="14.25"/>
    <row r="12277" ht="14.25"/>
    <row r="12278" ht="14.25"/>
    <row r="12279" ht="14.25"/>
    <row r="12280" ht="14.25"/>
    <row r="12281" ht="14.25"/>
    <row r="12282" ht="14.25"/>
    <row r="12283" ht="14.25"/>
    <row r="12284" ht="14.25"/>
    <row r="12285" ht="14.25"/>
    <row r="12286" ht="14.25"/>
    <row r="12287" ht="14.25"/>
    <row r="12288" ht="14.25"/>
    <row r="12289" ht="14.25"/>
    <row r="12290" ht="14.25"/>
    <row r="12291" ht="14.25"/>
    <row r="12292" ht="14.25"/>
    <row r="12293" ht="14.25"/>
    <row r="12294" ht="14.25"/>
    <row r="12295" ht="14.25"/>
    <row r="12296" ht="14.25"/>
    <row r="12297" ht="14.25"/>
    <row r="12298" ht="14.25"/>
    <row r="12299" ht="14.25"/>
    <row r="12300" ht="14.25"/>
    <row r="12301" ht="14.25"/>
    <row r="12302" ht="14.25"/>
    <row r="12303" ht="14.25"/>
    <row r="12304" ht="14.25"/>
    <row r="12305" ht="14.25"/>
    <row r="12306" ht="14.25"/>
    <row r="12307" ht="14.25"/>
    <row r="12308" ht="14.25"/>
    <row r="12309" ht="14.25"/>
    <row r="12310" ht="14.25"/>
    <row r="12311" ht="14.25"/>
    <row r="12312" ht="14.25"/>
    <row r="12313" ht="14.25"/>
    <row r="12314" ht="14.25"/>
    <row r="12315" ht="14.25"/>
    <row r="12316" ht="14.25"/>
    <row r="12317" ht="14.25"/>
    <row r="12318" ht="14.25"/>
    <row r="12319" ht="14.25"/>
    <row r="12320" ht="14.25"/>
    <row r="12321" ht="14.25"/>
    <row r="12322" ht="14.25"/>
    <row r="12323" ht="14.25"/>
    <row r="12324" ht="14.25"/>
    <row r="12325" ht="14.25"/>
    <row r="12326" ht="14.25"/>
    <row r="12327" ht="14.25"/>
    <row r="12328" ht="14.25"/>
    <row r="12329" ht="14.25"/>
    <row r="12330" ht="14.25"/>
    <row r="12331" ht="14.25"/>
    <row r="12332" ht="14.25"/>
    <row r="12333" ht="14.25"/>
    <row r="12334" ht="14.25"/>
    <row r="12335" ht="14.25"/>
    <row r="12336" ht="14.25"/>
    <row r="12337" ht="14.25"/>
    <row r="12338" ht="14.25"/>
    <row r="12339" ht="14.25"/>
    <row r="12340" ht="14.25"/>
    <row r="12341" ht="14.25"/>
    <row r="12342" ht="14.25"/>
    <row r="12343" ht="14.25"/>
    <row r="12344" ht="14.25"/>
    <row r="12345" ht="14.25"/>
    <row r="12346" ht="14.25"/>
    <row r="12347" ht="14.25"/>
    <row r="12348" ht="14.25"/>
    <row r="12349" ht="14.25"/>
    <row r="12350" ht="14.25"/>
    <row r="12351" ht="14.25"/>
    <row r="12352" ht="14.25"/>
    <row r="12353" ht="14.25"/>
    <row r="12354" ht="14.25"/>
    <row r="12355" ht="14.25"/>
    <row r="12356" ht="14.25"/>
    <row r="12357" ht="14.25"/>
    <row r="12358" ht="14.25"/>
    <row r="12359" ht="14.25"/>
    <row r="12360" ht="14.25"/>
    <row r="12361" ht="14.25"/>
    <row r="12362" ht="14.25"/>
    <row r="12363" ht="14.25"/>
    <row r="12364" ht="14.25"/>
    <row r="12365" ht="14.25"/>
    <row r="12366" ht="14.25"/>
    <row r="12367" ht="14.25"/>
    <row r="12368" ht="14.25"/>
    <row r="12369" ht="14.25"/>
    <row r="12370" ht="14.25"/>
    <row r="12371" ht="14.25"/>
    <row r="12372" ht="14.25"/>
    <row r="12373" ht="14.25"/>
    <row r="12374" ht="14.25"/>
    <row r="12375" ht="14.25"/>
    <row r="12376" ht="14.25"/>
    <row r="12377" ht="14.25"/>
    <row r="12378" ht="14.25"/>
    <row r="12379" ht="14.25"/>
    <row r="12380" ht="14.25"/>
    <row r="12381" ht="14.25"/>
    <row r="12382" ht="14.25"/>
    <row r="12383" ht="14.25"/>
    <row r="12384" ht="14.25"/>
    <row r="12385" ht="14.25"/>
    <row r="12386" ht="14.25"/>
    <row r="12387" ht="14.25"/>
    <row r="12388" ht="14.25"/>
    <row r="12389" ht="14.25"/>
    <row r="12390" ht="14.25"/>
    <row r="12391" ht="14.25"/>
    <row r="12392" ht="14.25"/>
    <row r="12393" ht="14.25"/>
    <row r="12394" ht="14.25"/>
    <row r="12395" ht="14.25"/>
    <row r="12396" ht="14.25"/>
    <row r="12397" ht="14.25"/>
    <row r="12398" ht="14.25"/>
    <row r="12399" ht="14.25"/>
    <row r="12400" ht="14.25"/>
    <row r="12401" ht="14.25"/>
    <row r="12402" ht="14.25"/>
    <row r="12403" ht="14.25"/>
    <row r="12404" ht="14.25"/>
    <row r="12405" ht="14.25"/>
    <row r="12406" ht="14.25"/>
    <row r="12407" ht="14.25"/>
    <row r="12408" ht="14.25"/>
    <row r="12409" ht="14.25"/>
    <row r="12410" ht="14.25"/>
    <row r="12411" ht="14.25"/>
    <row r="12412" ht="14.25"/>
    <row r="12413" ht="14.25"/>
    <row r="12414" ht="14.25"/>
    <row r="12415" ht="14.25"/>
    <row r="12416" ht="14.25"/>
    <row r="12417" ht="14.25"/>
    <row r="12418" ht="14.25"/>
    <row r="12419" ht="14.25"/>
    <row r="12420" ht="14.25"/>
    <row r="12421" ht="14.25"/>
    <row r="12422" ht="14.25"/>
    <row r="12423" ht="14.25"/>
    <row r="12424" ht="14.25"/>
    <row r="12425" ht="14.25"/>
    <row r="12426" ht="14.25"/>
    <row r="12427" ht="14.25"/>
    <row r="12428" ht="14.25"/>
    <row r="12429" ht="14.25"/>
    <row r="12430" ht="14.25"/>
    <row r="12431" ht="14.25"/>
    <row r="12432" ht="14.25"/>
    <row r="12433" ht="14.25"/>
    <row r="12434" ht="14.25"/>
    <row r="12435" ht="14.25"/>
    <row r="12436" ht="14.25"/>
    <row r="12437" ht="14.25"/>
    <row r="12438" ht="14.25"/>
    <row r="12439" ht="14.25"/>
    <row r="12440" ht="14.25"/>
    <row r="12441" ht="14.25"/>
    <row r="12442" ht="14.25"/>
    <row r="12443" ht="14.25"/>
    <row r="12444" ht="14.25"/>
    <row r="12445" ht="14.25"/>
    <row r="12446" ht="14.25"/>
    <row r="12447" ht="14.25"/>
    <row r="12448" ht="14.25"/>
    <row r="12449" ht="14.25"/>
    <row r="12450" ht="14.25"/>
    <row r="12451" ht="14.25"/>
    <row r="12452" ht="14.25"/>
    <row r="12453" ht="14.25"/>
    <row r="12454" ht="14.25"/>
    <row r="12455" ht="14.25"/>
    <row r="12456" ht="14.25"/>
    <row r="12457" ht="14.25"/>
    <row r="12458" ht="14.25"/>
    <row r="12459" ht="14.25"/>
    <row r="12460" ht="14.25"/>
    <row r="12461" ht="14.25"/>
    <row r="12462" ht="14.25"/>
    <row r="12463" ht="14.25"/>
    <row r="12464" ht="14.25"/>
    <row r="12465" ht="14.25"/>
    <row r="12466" ht="14.25"/>
    <row r="12467" ht="14.25"/>
    <row r="12468" ht="14.25"/>
    <row r="12469" ht="14.25"/>
    <row r="12470" ht="14.25"/>
    <row r="12471" ht="14.25"/>
    <row r="12472" ht="14.25"/>
    <row r="12473" ht="14.25"/>
    <row r="12474" ht="14.25"/>
    <row r="12475" ht="14.25"/>
    <row r="12476" ht="14.25"/>
    <row r="12477" ht="14.25"/>
    <row r="12478" ht="14.25"/>
    <row r="12479" ht="14.25"/>
    <row r="12480" ht="14.25"/>
    <row r="12481" ht="14.25"/>
    <row r="12482" ht="14.25"/>
    <row r="12483" ht="14.25"/>
    <row r="12484" ht="14.25"/>
    <row r="12485" ht="14.25"/>
    <row r="12486" ht="14.25"/>
    <row r="12487" ht="14.25"/>
    <row r="12488" ht="14.25"/>
    <row r="12489" ht="14.25"/>
    <row r="12490" ht="14.25"/>
    <row r="12491" ht="14.25"/>
    <row r="12492" ht="14.25"/>
    <row r="12493" ht="14.25"/>
    <row r="12494" ht="14.25"/>
    <row r="12495" ht="14.25"/>
    <row r="12496" ht="14.25"/>
    <row r="12497" ht="14.25"/>
    <row r="12498" ht="14.25"/>
    <row r="12499" ht="14.25"/>
    <row r="12500" ht="14.25"/>
    <row r="12501" ht="14.25"/>
    <row r="12502" ht="14.25"/>
    <row r="12503" ht="14.25"/>
    <row r="12504" ht="14.25"/>
    <row r="12505" ht="14.25"/>
    <row r="12506" ht="14.25"/>
    <row r="12507" ht="14.25"/>
    <row r="12508" ht="14.25"/>
    <row r="12509" ht="14.25"/>
    <row r="12510" ht="14.25"/>
    <row r="12511" ht="14.25"/>
    <row r="12512" ht="14.25"/>
    <row r="12513" ht="14.25"/>
    <row r="12514" ht="14.25"/>
    <row r="12515" ht="14.25"/>
    <row r="12516" ht="14.25"/>
    <row r="12517" ht="14.25"/>
    <row r="12518" ht="14.25"/>
    <row r="12519" ht="14.25"/>
    <row r="12520" ht="14.25"/>
    <row r="12521" ht="14.25"/>
    <row r="12522" ht="14.25"/>
    <row r="12523" ht="14.25"/>
    <row r="12524" ht="14.25"/>
    <row r="12525" ht="14.25"/>
    <row r="12526" ht="14.25"/>
    <row r="12527" ht="14.25"/>
    <row r="12528" ht="14.25"/>
    <row r="12529" ht="14.25"/>
    <row r="12530" ht="14.25"/>
    <row r="12531" ht="14.25"/>
    <row r="12532" ht="14.25"/>
    <row r="12533" ht="14.25"/>
    <row r="12534" ht="14.25"/>
    <row r="12535" ht="14.25"/>
    <row r="12536" ht="14.25"/>
    <row r="12537" ht="14.25"/>
    <row r="12538" ht="14.25"/>
    <row r="12539" ht="14.25"/>
    <row r="12540" ht="14.25"/>
    <row r="12541" ht="14.25"/>
    <row r="12542" ht="14.25"/>
    <row r="12543" ht="14.25"/>
    <row r="12544" ht="14.25"/>
    <row r="12545" ht="14.25"/>
    <row r="12546" ht="14.25"/>
    <row r="12547" ht="14.25"/>
    <row r="12548" ht="14.25"/>
    <row r="12549" ht="14.25"/>
    <row r="12550" ht="14.25"/>
    <row r="12551" ht="14.25"/>
    <row r="12552" ht="14.25"/>
    <row r="12553" ht="14.25"/>
    <row r="12554" ht="14.25"/>
    <row r="12555" ht="14.25"/>
    <row r="12556" ht="14.25"/>
    <row r="12557" ht="14.25"/>
    <row r="12558" ht="14.25"/>
    <row r="12559" ht="14.25"/>
    <row r="12560" ht="14.25"/>
    <row r="12561" ht="14.25"/>
    <row r="12562" ht="14.25"/>
    <row r="12563" ht="14.25"/>
    <row r="12564" ht="14.25"/>
    <row r="12565" ht="14.25"/>
    <row r="12566" ht="14.25"/>
    <row r="12567" ht="14.25"/>
    <row r="12568" ht="14.25"/>
    <row r="12569" ht="14.25"/>
    <row r="12570" ht="14.25"/>
    <row r="12571" ht="14.25"/>
    <row r="12572" ht="14.25"/>
    <row r="12573" ht="14.25"/>
    <row r="12574" ht="14.25"/>
    <row r="12575" ht="14.25"/>
    <row r="12576" ht="14.25"/>
  </sheetData>
  <autoFilter ref="A1:J2438" xr:uid="{00000000-0009-0000-0000-000001000000}">
    <sortState xmlns:xlrd2="http://schemas.microsoft.com/office/spreadsheetml/2017/richdata2" ref="A2:J2438">
      <sortCondition ref="A1"/>
    </sortState>
  </autoFilter>
  <mergeCells count="23">
    <mergeCell ref="AF54:AG56"/>
    <mergeCell ref="AF57:AG60"/>
    <mergeCell ref="BD14:BD15"/>
    <mergeCell ref="BF14:BF15"/>
    <mergeCell ref="BA7:BC9"/>
    <mergeCell ref="AF6:AG8"/>
    <mergeCell ref="BA4:BC6"/>
    <mergeCell ref="BD6:BD7"/>
    <mergeCell ref="BE4:BG6"/>
    <mergeCell ref="BE7:BG9"/>
    <mergeCell ref="AQ1:AV1"/>
    <mergeCell ref="AX1:AY1"/>
    <mergeCell ref="BA11:BC11"/>
    <mergeCell ref="BA14:BC15"/>
    <mergeCell ref="W27:X27"/>
    <mergeCell ref="AF3:AG5"/>
    <mergeCell ref="W38:X38"/>
    <mergeCell ref="W42:X42"/>
    <mergeCell ref="AF10:AF14"/>
    <mergeCell ref="AG10:AG14"/>
    <mergeCell ref="AF31:AG31"/>
    <mergeCell ref="AF32:AF33"/>
    <mergeCell ref="AG32:AG33"/>
  </mergeCells>
  <conditionalFormatting sqref="AF10:AG14">
    <cfRule type="expression" dxfId="401" priority="42">
      <formula>AND($AG$15&gt;1,$AG$15&lt;200)</formula>
    </cfRule>
    <cfRule type="expression" dxfId="400" priority="43">
      <formula>OR($AG$15="-",$AG$15&gt;200)</formula>
    </cfRule>
  </conditionalFormatting>
  <conditionalFormatting sqref="AF31:AG33">
    <cfRule type="expression" dxfId="399" priority="34">
      <formula>$AG$32="OK"</formula>
    </cfRule>
    <cfRule type="expression" dxfId="398" priority="35">
      <formula>$AG$32="NG"</formula>
    </cfRule>
  </conditionalFormatting>
  <conditionalFormatting sqref="AM1:AM1048576">
    <cfRule type="containsText" dxfId="397" priority="28" stopIfTrue="1" operator="containsText" text="9">
      <formula>NOT(ISERROR(SEARCH("9",AM1)))</formula>
    </cfRule>
  </conditionalFormatting>
  <conditionalFormatting sqref="AO1">
    <cfRule type="containsText" dxfId="396" priority="22" operator="containsText" text="9">
      <formula>NOT(ISERROR(SEARCH("9",AO1)))</formula>
    </cfRule>
  </conditionalFormatting>
  <conditionalFormatting sqref="AF6:AG8">
    <cfRule type="expression" dxfId="395" priority="9">
      <formula>$BA$7&lt;&gt;$BE$7</formula>
    </cfRule>
  </conditionalFormatting>
  <conditionalFormatting sqref="E1:E1048576">
    <cfRule type="containsText" dxfId="394" priority="8" operator="containsText" text="2PS">
      <formula>NOT(ISERROR(SEARCH("2PS",E1)))</formula>
    </cfRule>
  </conditionalFormatting>
  <pageMargins left="0.75" right="0.75" top="1" bottom="1" header="0.51200000000000001" footer="0.51200000000000001"/>
  <pageSetup scale="1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5" operator="containsText" id="{08515A30-E3DC-4AD3-AAB3-EF59F19538CC}">
            <xm:f>NOT(ISERROR(SEARCH(9,AL1)))</xm:f>
            <xm:f>9</xm:f>
            <x14:dxf>
              <fill>
                <patternFill>
                  <bgColor rgb="FFFFFF00"/>
                </patternFill>
              </fill>
            </x14:dxf>
          </x14:cfRule>
          <xm:sqref>AL1:AL1048576</xm:sqref>
        </x14:conditionalFormatting>
        <x14:conditionalFormatting xmlns:xm="http://schemas.microsoft.com/office/excel/2006/main">
          <x14:cfRule type="containsText" priority="31" operator="containsText" id="{1F8AB7E9-EA24-46F6-BB26-226365CD851E}">
            <xm:f>NOT(ISERROR(SEARCH(8,BB177)))</xm:f>
            <xm:f>8</xm:f>
            <x14:dxf>
              <fill>
                <patternFill>
                  <bgColor rgb="FFFFFF00"/>
                </patternFill>
              </fill>
            </x14:dxf>
          </x14:cfRule>
          <xm:sqref>BB177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66"/>
  <dimension ref="A1:CH259"/>
  <sheetViews>
    <sheetView tabSelected="1" view="pageBreakPreview" zoomScale="70" zoomScaleNormal="100" zoomScaleSheetLayoutView="70" workbookViewId="0">
      <pane xSplit="4" ySplit="2" topLeftCell="E3" activePane="bottomRight" state="frozen"/>
      <selection sqref="A1:BJ45"/>
      <selection pane="topRight" sqref="A1:BJ45"/>
      <selection pane="bottomLeft" sqref="A1:BJ45"/>
      <selection pane="bottomRight" activeCell="K15" sqref="K15"/>
    </sheetView>
  </sheetViews>
  <sheetFormatPr defaultRowHeight="15"/>
  <cols>
    <col min="1" max="1" width="5.5" style="8" customWidth="1"/>
    <col min="2" max="2" width="5.5" style="8" hidden="1" customWidth="1"/>
    <col min="3" max="3" width="4.125" style="8" customWidth="1"/>
    <col min="4" max="4" width="5.875" style="10" customWidth="1"/>
    <col min="5" max="5" width="9.625" style="29" customWidth="1"/>
    <col min="6" max="6" width="7.25" style="10" customWidth="1"/>
    <col min="7" max="7" width="8.625" style="8" customWidth="1"/>
    <col min="8" max="8" width="7.5" style="8" customWidth="1"/>
    <col min="9" max="10" width="6.25" style="8" customWidth="1"/>
    <col min="11" max="11" width="9.625" style="8" customWidth="1"/>
    <col min="12" max="12" width="6.5" style="8" hidden="1" customWidth="1"/>
    <col min="13" max="13" width="1.875" style="11" customWidth="1"/>
    <col min="14" max="14" width="4.625" style="11" customWidth="1"/>
    <col min="15" max="15" width="3.625" style="11" hidden="1" customWidth="1"/>
    <col min="16" max="16" width="4.625" style="8" customWidth="1"/>
    <col min="17" max="17" width="6.125" style="8" customWidth="1"/>
    <col min="18" max="18" width="9.625" style="29" customWidth="1"/>
    <col min="19" max="19" width="7.25" style="10" customWidth="1"/>
    <col min="20" max="20" width="8.625" style="8" customWidth="1"/>
    <col min="21" max="21" width="7" style="8" customWidth="1"/>
    <col min="22" max="23" width="6.25" style="8" customWidth="1"/>
    <col min="24" max="24" width="9.625" style="8" customWidth="1"/>
    <col min="25" max="25" width="6.5" style="8" hidden="1" customWidth="1"/>
    <col min="26" max="26" width="11.875" style="8" customWidth="1"/>
    <col min="27" max="27" width="10.875" style="8" customWidth="1"/>
    <col min="28" max="28" width="10.375" style="8" customWidth="1"/>
    <col min="29" max="29" width="11.125" style="8" customWidth="1"/>
    <col min="30" max="30" width="14.5" style="8" customWidth="1"/>
    <col min="31" max="31" width="4.625" style="8" customWidth="1"/>
    <col min="32" max="32" width="6.625" style="8" customWidth="1"/>
    <col min="33" max="33" width="6.625" style="75" customWidth="1"/>
    <col min="34" max="35" width="7.5" style="75" customWidth="1"/>
    <col min="36" max="36" width="4.625" style="8" customWidth="1"/>
    <col min="37" max="37" width="6.625" style="8" customWidth="1"/>
    <col min="38" max="38" width="6.625" style="75" customWidth="1"/>
    <col min="39" max="40" width="7.5" style="75" customWidth="1"/>
    <col min="41" max="41" width="9" style="8" hidden="1" customWidth="1"/>
    <col min="42" max="42" width="9" style="10" hidden="1" customWidth="1"/>
    <col min="43" max="45" width="9" style="8" hidden="1" customWidth="1"/>
    <col min="46" max="46" width="15.125" style="8" hidden="1" customWidth="1"/>
    <col min="47" max="47" width="6.5" style="8" hidden="1" customWidth="1"/>
    <col min="48" max="48" width="8.375" hidden="1" customWidth="1"/>
    <col min="49" max="49" width="6.125" style="10" customWidth="1"/>
    <col min="50" max="50" width="7.75" style="10" customWidth="1"/>
    <col min="51" max="51" width="7.25" style="10" customWidth="1"/>
    <col min="52" max="52" width="9.75" style="10" customWidth="1"/>
    <col min="53" max="54" width="9" style="10" customWidth="1"/>
    <col min="55" max="55" width="2.375" style="10" customWidth="1"/>
    <col min="56" max="56" width="9" style="10" customWidth="1"/>
    <col min="57" max="64" width="9" style="8" customWidth="1"/>
    <col min="65" max="65" width="12.625" style="8" customWidth="1"/>
    <col min="66" max="71" width="9" style="8" customWidth="1"/>
    <col min="72" max="72" width="9" customWidth="1"/>
    <col min="73" max="73" width="10.25" customWidth="1"/>
    <col min="74" max="74" width="9" style="8" customWidth="1"/>
    <col min="75" max="75" width="9" customWidth="1"/>
    <col min="76" max="76" width="11.5" style="8" customWidth="1"/>
    <col min="77" max="77" width="10.125" style="8" customWidth="1"/>
    <col min="78" max="83" width="9" customWidth="1"/>
    <col min="84" max="16384" width="9" style="8"/>
  </cols>
  <sheetData>
    <row r="1" spans="1:85" ht="35.25" customHeight="1" thickBot="1">
      <c r="A1" s="602">
        <f ca="1">TODAY()</f>
        <v>45069</v>
      </c>
      <c r="B1" s="603"/>
      <c r="C1" s="603"/>
      <c r="D1" s="604"/>
      <c r="E1" s="605" t="s">
        <v>15</v>
      </c>
      <c r="F1" s="606"/>
      <c r="G1" s="606"/>
      <c r="H1" s="607" t="s">
        <v>150</v>
      </c>
      <c r="I1" s="608"/>
      <c r="J1" s="609"/>
      <c r="K1" s="610" t="s">
        <v>3</v>
      </c>
      <c r="L1" s="610"/>
      <c r="M1" s="610"/>
      <c r="N1" s="610"/>
      <c r="O1" s="610"/>
      <c r="P1" s="610"/>
      <c r="Q1" s="610"/>
      <c r="R1" s="610"/>
      <c r="S1" s="610"/>
      <c r="T1" s="610"/>
      <c r="U1" s="358"/>
      <c r="V1" s="358"/>
      <c r="W1" s="358"/>
      <c r="X1" s="359"/>
      <c r="Y1" s="35"/>
      <c r="Z1" s="629">
        <f>Расчет!AG10</f>
        <v>95</v>
      </c>
      <c r="AA1" s="630"/>
      <c r="AB1" s="631" t="s">
        <v>945</v>
      </c>
      <c r="AC1" s="631"/>
      <c r="AE1" s="611" t="s">
        <v>119</v>
      </c>
      <c r="AF1" s="611"/>
      <c r="AG1" s="612"/>
      <c r="AH1" s="121">
        <v>0</v>
      </c>
      <c r="AI1" s="121">
        <v>0</v>
      </c>
      <c r="AJ1" s="621" t="s">
        <v>1153</v>
      </c>
      <c r="AK1" s="622"/>
      <c r="AL1" s="623"/>
      <c r="AM1" s="624">
        <f>(COUNTBLANK(K3:K105)-COUNTBLANK(E3:E105))-(COUNTBLANK(R3:R105)-COUNTBLANK(X3:X105))</f>
        <v>0</v>
      </c>
      <c r="AN1" s="625"/>
      <c r="AO1" s="92"/>
      <c r="AP1" s="93"/>
      <c r="AQ1" s="92"/>
      <c r="AR1" s="92"/>
      <c r="AS1" s="92"/>
      <c r="AT1" s="92"/>
      <c r="AU1" s="11"/>
      <c r="AW1" s="626" t="s">
        <v>30</v>
      </c>
      <c r="AX1" s="626"/>
      <c r="AY1" s="626" t="s">
        <v>52</v>
      </c>
      <c r="AZ1" s="626"/>
      <c r="BA1" s="437" t="s">
        <v>53</v>
      </c>
      <c r="BB1" s="57" t="s">
        <v>56</v>
      </c>
      <c r="BD1" s="627" t="s">
        <v>73</v>
      </c>
      <c r="BE1" s="628"/>
      <c r="BF1" s="186" t="s">
        <v>147</v>
      </c>
      <c r="BH1" s="246">
        <f>BH2-1</f>
        <v>94</v>
      </c>
      <c r="BI1" s="246">
        <f>VLOOKUP(BH1,Расчет!BM2:BN895,2,FALSE)</f>
        <v>11174</v>
      </c>
      <c r="BJ1" s="246" t="str">
        <f>IFERROR(IF(VLOOKUP(BI1,Расчет!$A$2:$B$350,2,FALSE)="664W","Camry",IF(VLOOKUP(BI1,Расчет!$A$2:$B$350,2,FALSE)="813W","Goshi","RAV4")),"")</f>
        <v>Camry</v>
      </c>
      <c r="BK1" s="275" t="str">
        <f>IFERROR(IF(BJ1="Camry",VLOOKUP(BI1,Расчет!$A$2:$Q$650,17,FALSE),VLOOKUP(BI1,Расчет!$A$2:$R$650,18,FALSE)),"")</f>
        <v>Standard</v>
      </c>
      <c r="BL1" s="275" t="str">
        <f>IFERROR(VLOOKUP(VLOOKUP(BI1,Расчет!$A:$D,4,FALSE),$AT$6:$AV$15,3,FALSE),"")</f>
        <v/>
      </c>
      <c r="BO1" s="249" t="str">
        <f>IFERROR(IF(BJ1="Camry",VLOOKUP(BI1,Расчет!$A$2:$Q$650,17,FALSE),VLOOKUP(BI1,Расчет!$A$2:$R$650,18,FALSE)),"")</f>
        <v>Standard</v>
      </c>
      <c r="BP1" s="274" t="str">
        <f>IFERROR(VLOOKUP(VLOOKUP(BI1,Расчет!$A:$D,4,FALSE),$AT$6:$AV$15,3,FALSE),"")</f>
        <v/>
      </c>
      <c r="BQ1"/>
      <c r="BR1"/>
      <c r="BV1" s="600" t="s">
        <v>947</v>
      </c>
      <c r="BW1" s="601"/>
      <c r="BX1" s="324">
        <f>COUNT(K3:K105)+COUNT(X3:X105)</f>
        <v>0</v>
      </c>
      <c r="BY1" s="324">
        <f>IF(BX1&gt;103,BX1-103,BX1)</f>
        <v>0</v>
      </c>
      <c r="CG1" s="349" t="s">
        <v>950</v>
      </c>
    </row>
    <row r="2" spans="1:85" ht="24.75" customHeight="1" thickBot="1">
      <c r="A2" s="27" t="s">
        <v>72</v>
      </c>
      <c r="B2" s="12" t="s">
        <v>4</v>
      </c>
      <c r="C2" s="12" t="s">
        <v>4</v>
      </c>
      <c r="D2" s="17" t="s">
        <v>16</v>
      </c>
      <c r="E2" s="28" t="s">
        <v>5</v>
      </c>
      <c r="F2" s="442" t="s">
        <v>27</v>
      </c>
      <c r="G2" s="27" t="s">
        <v>35</v>
      </c>
      <c r="H2" s="27" t="s">
        <v>920</v>
      </c>
      <c r="I2" s="12" t="s">
        <v>7</v>
      </c>
      <c r="J2" s="12" t="s">
        <v>8</v>
      </c>
      <c r="K2" s="12" t="s">
        <v>9</v>
      </c>
      <c r="L2" s="27" t="s">
        <v>55</v>
      </c>
      <c r="M2" s="13"/>
      <c r="N2" s="27" t="s">
        <v>72</v>
      </c>
      <c r="O2" s="12" t="s">
        <v>4</v>
      </c>
      <c r="P2" s="12" t="s">
        <v>4</v>
      </c>
      <c r="Q2" s="14" t="s">
        <v>16</v>
      </c>
      <c r="R2" s="28" t="s">
        <v>5</v>
      </c>
      <c r="S2" s="17" t="s">
        <v>27</v>
      </c>
      <c r="T2" s="15" t="s">
        <v>6</v>
      </c>
      <c r="U2" s="27" t="s">
        <v>920</v>
      </c>
      <c r="V2" s="12" t="s">
        <v>7</v>
      </c>
      <c r="W2" s="12" t="s">
        <v>8</v>
      </c>
      <c r="X2" s="16" t="s">
        <v>9</v>
      </c>
      <c r="Y2" s="27" t="s">
        <v>55</v>
      </c>
      <c r="Z2" s="440"/>
      <c r="AA2" s="440"/>
      <c r="AB2" s="441">
        <v>-4</v>
      </c>
      <c r="AC2" s="441">
        <v>24</v>
      </c>
      <c r="AE2" s="70" t="s">
        <v>4</v>
      </c>
      <c r="AF2" s="85" t="s">
        <v>95</v>
      </c>
      <c r="AG2" s="80" t="s">
        <v>96</v>
      </c>
      <c r="AH2" s="71" t="s">
        <v>76</v>
      </c>
      <c r="AI2" s="72" t="s">
        <v>77</v>
      </c>
      <c r="AJ2" s="70" t="s">
        <v>4</v>
      </c>
      <c r="AK2" s="85" t="s">
        <v>95</v>
      </c>
      <c r="AL2" s="80" t="s">
        <v>96</v>
      </c>
      <c r="AM2" s="71" t="s">
        <v>76</v>
      </c>
      <c r="AN2" s="72" t="s">
        <v>77</v>
      </c>
      <c r="AO2" s="82"/>
      <c r="AP2" s="83"/>
      <c r="AQ2" s="84"/>
      <c r="AR2" s="92"/>
      <c r="AS2" s="92"/>
      <c r="AT2" s="642" t="s">
        <v>19</v>
      </c>
      <c r="AU2" s="643"/>
      <c r="AW2" s="81">
        <f>AQ16+AQ17</f>
        <v>0</v>
      </c>
      <c r="AX2" s="34" t="e">
        <f>AW2/BA2</f>
        <v>#DIV/0!</v>
      </c>
      <c r="AY2" s="20">
        <f>AS16+AS17</f>
        <v>0</v>
      </c>
      <c r="AZ2" s="34" t="e">
        <f>AY2/BA2</f>
        <v>#DIV/0!</v>
      </c>
      <c r="BA2" s="20">
        <f>AU16+AU17</f>
        <v>0</v>
      </c>
      <c r="BB2" s="58">
        <f>Расчет!AG1</f>
        <v>173</v>
      </c>
      <c r="BD2" s="644">
        <f>Расчет!AF6</f>
        <v>70</v>
      </c>
      <c r="BE2" s="628"/>
      <c r="BF2" s="187">
        <v>1.7708333333333332E-3</v>
      </c>
      <c r="BH2" s="246">
        <f>Расчет!AG10</f>
        <v>95</v>
      </c>
      <c r="BI2" s="246">
        <f>VLOOKUP(BH2,Расчет!BM2:BN895,2,FALSE)</f>
        <v>11186</v>
      </c>
      <c r="BJ2" s="246" t="str">
        <f>IFERROR(IF(VLOOKUP(BI2,Расчет!$A$2:$B$350,2,FALSE)="664W","Camry",IF(VLOOKUP(BI2,Расчет!$A$2:$B$350,2,FALSE)="813W","Goshi","RAV4")),"")</f>
        <v>RAV4</v>
      </c>
      <c r="BK2" s="275" t="str">
        <f>IFERROR(IF(BJ2="Camry",VLOOKUP(BI2,Расчет!$A$2:$Q$650,17,FALSE),VLOOKUP(BI2,Расчет!$A$2:$R$650,18,FALSE)),"")</f>
        <v>Auto</v>
      </c>
      <c r="BL2" s="455" t="str">
        <f>IFERROR(VLOOKUP(VLOOKUP(BI2,Расчет!$A:$D,4,FALSE),$AT$6:$AV$15,3,FALSE),"")</f>
        <v>4WD</v>
      </c>
      <c r="BO2" s="456" t="str">
        <f>IFERROR(IF(BJ2="Camry",VLOOKUP(BI2,Расчет!$A$2:$Q$650,17,FALSE),VLOOKUP(BI2,Расчет!$A$2:$R$650,18,FALSE)),"")</f>
        <v>Auto</v>
      </c>
      <c r="BP2" s="274" t="str">
        <f>IFERROR(VLOOKUP(VLOOKUP(BI2,Расчет!$A:$D,4,FALSE),$AT$6:$AV$15,3,FALSE),"")</f>
        <v>4WD</v>
      </c>
      <c r="CA2" s="206">
        <f>AH1</f>
        <v>0</v>
      </c>
      <c r="CB2" s="207">
        <f>AI1</f>
        <v>0</v>
      </c>
      <c r="CF2" s="10">
        <f>IF(CF3-1&lt;0,999,CF3-1)</f>
        <v>86</v>
      </c>
      <c r="CG2" s="20" t="str">
        <f>IF(VLOOKUP(CF2,Расчет!I:R,10,FALSE)="",VLOOKUP(CF2,Расчет!I:R,9,FALSE),VLOOKUP(CF2,Расчет!I:R,10,FALSE))</f>
        <v>CVT</v>
      </c>
    </row>
    <row r="3" spans="1:85" ht="23.1" customHeight="1" thickBot="1">
      <c r="A3" s="40" t="str">
        <f>IF(AND(IFERROR(VLOOKUP(E3,Расчет!A:J,10,FALSE),"  ")&lt;&gt;"  ",IFERROR(LEFT(VLOOKUP(E3,Расчет!A:J,10,FALSE),1)," ")&lt;&gt;"H"),0,IFERROR(IF(F3="Camry",IF(OR(J3="2PS",J3="2QL"),IF(E3-AP3&gt;100,E3-AP3-1000+$AD$12,E3-AP3+$AD$12),IF(E3-AP3&gt;100,E3-AP3-1000,E3-AP3)),IF(J3="2PS",IF(E3-AP3&gt;100,E3-AP3-1000+$AD$17,E3-AP3+$AD$17),IF(E3-AP3&gt;100,E3-AP3-1000,E3-AP3))),"-"))</f>
        <v>-</v>
      </c>
      <c r="B3" s="46">
        <v>1</v>
      </c>
      <c r="C3" s="19" t="str">
        <f>IF(E3="","",COUNTA($E$3:E3))</f>
        <v/>
      </c>
      <c r="D3" s="18" t="str">
        <f>IFERROR(IF(AO3&gt;=1000,AO3-1000,AO3),"")</f>
        <v/>
      </c>
      <c r="E3" s="30"/>
      <c r="F3" s="44" t="str">
        <f>IFERROR(IF(VLOOKUP(E3,Расчет!$A$2:$B$650,2,FALSE)="664W","Camry",IF(VLOOKUP(E3,Расчет!$A$2:$B$650,2,FALSE)="813W","Goshi","RAV4")),"")</f>
        <v/>
      </c>
      <c r="G3" s="32" t="str">
        <f>IFERROR(IF(F3="Camry",VLOOKUP(E3,Расчет!$A$2:$Q$650,17,FALSE),VLOOKUP(E3,Расчет!$A$2:$R$650,18,FALSE)),"")</f>
        <v/>
      </c>
      <c r="H3" s="32" t="str">
        <f>IFERROR(VLOOKUP(VLOOKUP(E3,Расчет!$A:$D,4,FALSE),$AT$6:$AV$15,3,FALSE),"")</f>
        <v/>
      </c>
      <c r="I3" s="31" t="str">
        <f>IFERROR(VLOOKUP(IFERROR(VLOOKUP(E3,Расчет!$A$2:$D$650,4,FALSE),0),$AT$3:$AU$15,2,FALSE),"")</f>
        <v/>
      </c>
      <c r="J3" s="33" t="str">
        <f>IFERROR(VLOOKUP(E3,Расчет!$A$2:$E$650,5,FALSE),"")</f>
        <v/>
      </c>
      <c r="K3" s="189"/>
      <c r="L3" s="32"/>
      <c r="M3" s="9"/>
      <c r="N3" s="40" t="str">
        <f>IF(AND(IFERROR(VLOOKUP(R3,Расчет!A:J,10,FALSE),"  ")&lt;&gt;"  ",IFERROR(LEFT(VLOOKUP(R3,Расчет!A:J,10,FALSE),1)," ")&lt;&gt;"H"),0,IFERROR(IF(S3="Camry",IF(OR(W3="2PS",W3="2QL"),IF(R3-AP106&gt;100,R3-AP106-1000+$AD$12,R3-AP106+$AD$12),IF(R3-AP106&gt;100,R3-AP106-1000,R3-AP106)),IF(W3="2PS",IF(R3-AP106&gt;100,R3-AP106-1000+$AD$17,R3-AP106+$AD$17),IF(R3-AP106&gt;100,R3-AP106-1000,R3-AP106))),"-"))</f>
        <v>-</v>
      </c>
      <c r="O3" s="46">
        <v>104</v>
      </c>
      <c r="P3" s="19" t="str">
        <f>IF(R3="","",COUNTA($R$3:R3)+$C$105)</f>
        <v/>
      </c>
      <c r="Q3" s="18" t="str">
        <f>IFERROR(IF(AO106&gt;=1000,AO106-1000,AO106),"")</f>
        <v/>
      </c>
      <c r="R3" s="30"/>
      <c r="S3" s="45" t="str">
        <f>IFERROR(IF(VLOOKUP(R3,Расчет!$A$2:$B$650,2,FALSE)="664W","Camry",IF(VLOOKUP(R3,Расчет!$A$2:$B$650,2,FALSE)="813W","Goshi","RAV4")),"")</f>
        <v/>
      </c>
      <c r="T3" s="32" t="str">
        <f>IFERROR(IF(S3="Camry",VLOOKUP(R3,Расчет!$A$2:$Q$650,17,FALSE),VLOOKUP(R3,Расчет!$A$2:$R$650,18,FALSE)),"")</f>
        <v/>
      </c>
      <c r="U3" s="32" t="str">
        <f>IFERROR(VLOOKUP(VLOOKUP(R3,Расчет!$A:$D,4,FALSE),$AT$6:$AV$15,3,FALSE),"")</f>
        <v/>
      </c>
      <c r="V3" s="31" t="str">
        <f>IFERROR(VLOOKUP(IFERROR(VLOOKUP(R3,Расчет!$A$2:$D$650,4,FALSE),0),$AT$3:$AU$15,2,FALSE),"")</f>
        <v/>
      </c>
      <c r="W3" s="33" t="str">
        <f>IFERROR(VLOOKUP(R3,Расчет!$A$2:$E$650,5,FALSE),"")</f>
        <v/>
      </c>
      <c r="X3" s="190"/>
      <c r="Y3" s="188">
        <f>X3-K105</f>
        <v>0</v>
      </c>
      <c r="Z3" s="11"/>
      <c r="AA3" s="11"/>
      <c r="AB3" s="11"/>
      <c r="AC3" s="11"/>
      <c r="AD3" s="11"/>
      <c r="AE3" s="86">
        <v>1</v>
      </c>
      <c r="AF3" s="44" t="str">
        <f>IF(VLOOKUP(AE3,Расчет!$AH$2:$AN$201,5,FALSE)="8","C",IF(VLOOKUP(AE3,Расчет!$AH$2:$AN$201,5,FALSE)="G","G","R"))</f>
        <v>R</v>
      </c>
      <c r="AG3" s="73" t="str">
        <f>IF(F3="","",IF(F3="RAV4","R",IF(F3="GOSHI","G","C")))</f>
        <v/>
      </c>
      <c r="AH3" s="87" t="str">
        <f>IF(AG3="","",COUNTIF($AG$2:AG3,"C")-COUNTIF($AF$2:AF3,"C")+$AH$1)</f>
        <v/>
      </c>
      <c r="AI3" s="87" t="str">
        <f>IF(AG3="","",COUNTIF($AG$2:AG3,"R")-COUNTIF($AF$2:AF3,"R")+$AI$1)</f>
        <v/>
      </c>
      <c r="AJ3" s="89">
        <v>104</v>
      </c>
      <c r="AK3" s="44" t="str">
        <f>IF(VLOOKUP(AJ3,Расчет!$AH$2:$AN$211,5,FALSE)="8","C",IF(VLOOKUP(AJ3,Расчет!$AH$2:$AN$211,5,FALSE)="G","G","R"))</f>
        <v>R</v>
      </c>
      <c r="AL3" s="74" t="str">
        <f>IF(S3="","",IF(S3="RAV4","R",IF(S3="GOSHI","G","C")))</f>
        <v/>
      </c>
      <c r="AM3" s="118" t="str">
        <f>IF(AL3="","",(COUNTIF($AG$2:$AG$105,"C")+COUNTIF($AL$2:$AL3,"C"))-(COUNTIF($AF$2:$AF$105,"C")+COUNTIF($AK$2:$AK3,"C"))+$AH$1)</f>
        <v/>
      </c>
      <c r="AN3" s="119" t="str">
        <f>IF(AL3="","",(COUNTIF($AG$2:$AG$105,"R")+COUNTIF($AL$2:$AL3,"R"))-(COUNTIF($AF$2:$AF$105,"R")+COUNTIF($AK$2:$AK3,"R"))+$AI$1)</f>
        <v/>
      </c>
      <c r="AO3" s="117" t="str">
        <f>IF(E3="","",COUNTA($E$3:E3)+$Z$1)</f>
        <v/>
      </c>
      <c r="AP3" s="88" t="str">
        <f>IF(AO3="","",IF(AO3+Расчет!$Y$57+$BD$2-Расчет!$X$57&gt;200,AO3+Расчет!$Y$57+$BD$2-1000,AO3+Расчет!$Y$57+$BD$2))</f>
        <v/>
      </c>
      <c r="AQ3"/>
      <c r="AR3" s="92"/>
      <c r="AS3" s="92"/>
      <c r="AT3" s="259" t="s">
        <v>907</v>
      </c>
      <c r="AU3" s="229" t="s">
        <v>11</v>
      </c>
      <c r="AW3" s="52"/>
      <c r="AX3" s="52"/>
      <c r="AY3" s="52"/>
      <c r="AZ3" s="52"/>
      <c r="BA3" s="52"/>
      <c r="BB3" s="52"/>
      <c r="BK3" s="174"/>
      <c r="BL3" s="645" t="s">
        <v>142</v>
      </c>
      <c r="BM3" s="646"/>
      <c r="BN3" s="646"/>
      <c r="BO3" s="647"/>
      <c r="BP3" s="632" t="s">
        <v>141</v>
      </c>
      <c r="BQ3" s="633"/>
      <c r="BT3" s="461" t="s">
        <v>1303</v>
      </c>
      <c r="BU3" s="461" t="s">
        <v>140</v>
      </c>
      <c r="BV3" s="201" t="s">
        <v>17</v>
      </c>
      <c r="BW3" s="202" t="s">
        <v>144</v>
      </c>
      <c r="BX3" s="203" t="s">
        <v>4</v>
      </c>
      <c r="BY3" s="206" t="s">
        <v>76</v>
      </c>
      <c r="BZ3" s="207" t="s">
        <v>77</v>
      </c>
      <c r="CA3" s="206" t="s">
        <v>30</v>
      </c>
      <c r="CB3" s="207" t="s">
        <v>52</v>
      </c>
      <c r="CC3" s="208" t="s">
        <v>153</v>
      </c>
      <c r="CD3" s="337" t="s">
        <v>945</v>
      </c>
      <c r="CE3" s="347" t="s">
        <v>946</v>
      </c>
      <c r="CF3" s="10">
        <f>IF(CF4-1&lt;0,999,CF4-1)</f>
        <v>87</v>
      </c>
      <c r="CG3" s="20" t="str">
        <f>IF(VLOOKUP(CF3,Расчет!I:R,10,FALSE)="",VLOOKUP(CF3,Расчет!I:R,9,FALSE),VLOOKUP(CF3,Расчет!I:R,10,FALSE))</f>
        <v>CVT</v>
      </c>
    </row>
    <row r="4" spans="1:85" ht="23.1" customHeight="1" thickBot="1">
      <c r="A4" s="40" t="str">
        <f>IF(AND(IFERROR(VLOOKUP(E4,Расчет!A:J,10,FALSE),"  ")&lt;&gt;"  ",IFERROR(LEFT(VLOOKUP(E4,Расчет!A:J,10,FALSE),1)," ")&lt;&gt;"H"),0,IFERROR(IF(F4="Camry",IF(OR(J4="2PS",J4="2QL"),IF(E4-AP4&gt;100,E4-AP4-1000+$AD$12,E4-AP4+$AD$12),IF(E4-AP4&gt;100,E4-AP4-1000,E4-AP4)),IF(J4="2PS",IF(E4-AP4&gt;100,E4-AP4-1000+$AD$17,E4-AP4+$AD$17),IF(E4-AP4&gt;100,E4-AP4-1000,E4-AP4))),"-"))</f>
        <v>-</v>
      </c>
      <c r="B4" s="46">
        <v>2</v>
      </c>
      <c r="C4" s="19" t="str">
        <f>IF(E4="","",COUNTA($E$3:E4))</f>
        <v/>
      </c>
      <c r="D4" s="18" t="str">
        <f t="shared" ref="D4:D67" si="0">IFERROR(IF(AO4&gt;=1000,AO4-1000,AO4),"")</f>
        <v/>
      </c>
      <c r="E4" s="30"/>
      <c r="F4" s="44" t="str">
        <f>IFERROR(IF(VLOOKUP(E4,Расчет!$A$2:$B$650,2,FALSE)="664W","Camry",IF(VLOOKUP(E4,Расчет!$A$2:$B$650,2,FALSE)="813W","Goshi","RAV4")),"")</f>
        <v/>
      </c>
      <c r="G4" s="32" t="str">
        <f>IFERROR(IF(F4="Camry",VLOOKUP(E4,Расчет!$A$2:$Q$650,17,FALSE),VLOOKUP(E4,Расчет!$A$2:$R$650,18,FALSE)),"")</f>
        <v/>
      </c>
      <c r="H4" s="32" t="str">
        <f>IFERROR(VLOOKUP(VLOOKUP(E4,Расчет!$A:$D,4,FALSE),$AT$6:$AV$15,3,FALSE),"")</f>
        <v/>
      </c>
      <c r="I4" s="31" t="str">
        <f>IFERROR(VLOOKUP(IFERROR(VLOOKUP(E4,Расчет!$A$2:$D$650,4,FALSE),0),$AT$3:$AU$15,2,FALSE),"")</f>
        <v/>
      </c>
      <c r="J4" s="33" t="str">
        <f>IFERROR(VLOOKUP(E4,Расчет!$A$2:$E$650,5,FALSE),"")</f>
        <v/>
      </c>
      <c r="K4" s="189"/>
      <c r="L4" s="188">
        <f>K4-K3</f>
        <v>0</v>
      </c>
      <c r="M4" s="9"/>
      <c r="N4" s="40" t="str">
        <f>IF(AND(IFERROR(VLOOKUP(R4,Расчет!A:J,10,FALSE),"  ")&lt;&gt;"  ",IFERROR(LEFT(VLOOKUP(R4,Расчет!A:J,10,FALSE),1)," ")&lt;&gt;"H"),0,IFERROR(IF(S4="Camry",IF(OR(W4="2PS",W4="2QL"),IF(R4-AP107&gt;100,R4-AP107-1000+$AD$12,R4-AP107+$AD$12),IF(R4-AP107&gt;100,R4-AP107-1000,R4-AP107)),IF(W4="2PS",IF(R4-AP107&gt;100,R4-AP107-1000+$AD$17,R4-AP107+$AD$17),IF(R4-AP107&gt;100,R4-AP107-1000,R4-AP107))),"-"))</f>
        <v>-</v>
      </c>
      <c r="O4" s="46">
        <v>105</v>
      </c>
      <c r="P4" s="19" t="str">
        <f>IF(R4="","",COUNTA($R$3:R4)+$C$105)</f>
        <v/>
      </c>
      <c r="Q4" s="18" t="str">
        <f t="shared" ref="Q4:Q67" si="1">IFERROR(IF(AO107&gt;=1000,AO107-1000,AO107),"")</f>
        <v/>
      </c>
      <c r="R4" s="30"/>
      <c r="S4" s="45" t="str">
        <f>IFERROR(IF(VLOOKUP(R4,Расчет!$A$2:$B$650,2,FALSE)="664W","Camry",IF(VLOOKUP(R4,Расчет!$A$2:$B$650,2,FALSE)="813W","Goshi","RAV4")),"")</f>
        <v/>
      </c>
      <c r="T4" s="32" t="str">
        <f>IFERROR(IF(S4="Camry",VLOOKUP(R4,Расчет!$A$2:$Q$650,17,FALSE),VLOOKUP(R4,Расчет!$A$2:$R$650,18,FALSE)),"")</f>
        <v/>
      </c>
      <c r="U4" s="32" t="str">
        <f>IFERROR(VLOOKUP(VLOOKUP(R4,Расчет!$A:$D,4,FALSE),$AT$6:$AV$15,3,FALSE),"")</f>
        <v/>
      </c>
      <c r="V4" s="31" t="str">
        <f>IFERROR(VLOOKUP(IFERROR(VLOOKUP(R4,Расчет!$A$2:$D$650,4,FALSE),0),$AT$3:$AU$15,2,FALSE),"")</f>
        <v/>
      </c>
      <c r="W4" s="33" t="str">
        <f>IFERROR(VLOOKUP(R4,Расчет!$A$2:$E$650,5,FALSE),"")</f>
        <v/>
      </c>
      <c r="X4" s="189"/>
      <c r="Y4" s="191">
        <f>X4-X3</f>
        <v>0</v>
      </c>
      <c r="Z4" s="613" t="s">
        <v>138</v>
      </c>
      <c r="AA4" s="614"/>
      <c r="AB4" s="613" t="s">
        <v>1147</v>
      </c>
      <c r="AC4" s="614"/>
      <c r="AD4" s="416"/>
      <c r="AE4" s="195">
        <v>2</v>
      </c>
      <c r="AF4" s="44" t="str">
        <f>IF(VLOOKUP(AE4,Расчет!$AH$2:$AN$201,5,FALSE)="8","C",IF(VLOOKUP(AE4,Расчет!$AH$2:$AN$201,5,FALSE)="G","G","R"))</f>
        <v>C</v>
      </c>
      <c r="AG4" s="73" t="str">
        <f t="shared" ref="AG4:AG67" si="2">IF(F4="","",IF(F4="RAV4","R",IF(F4="GOSHI","G","C")))</f>
        <v/>
      </c>
      <c r="AH4" s="87" t="str">
        <f>IF(AG4="","",COUNTIF($AG$2:AG4,"C")-COUNTIF($AF$2:AF4,"C")+$AH$1)</f>
        <v/>
      </c>
      <c r="AI4" s="87" t="str">
        <f>IF(AG4="","",COUNTIF($AG$2:AG4,"R")-COUNTIF($AF$2:AF4,"R")+$AI$1)</f>
        <v/>
      </c>
      <c r="AJ4" s="89">
        <v>105</v>
      </c>
      <c r="AK4" s="44" t="str">
        <f>IF(VLOOKUP(AJ4,Расчет!$AH$2:$AN$211,5,FALSE)="8","C",IF(VLOOKUP(AJ4,Расчет!$AH$2:$AN$211,5,FALSE)="G","G","R"))</f>
        <v>C</v>
      </c>
      <c r="AL4" s="74" t="str">
        <f t="shared" ref="AL4:AL67" si="3">IF(S4="","",IF(S4="RAV4","R",IF(S4="GOSHI","G","C")))</f>
        <v/>
      </c>
      <c r="AM4" s="118" t="str">
        <f>IF(AL4="","",(COUNTIF($AG$2:$AG$105,"C")+COUNTIF($AL$2:$AL4,"C"))-(COUNTIF($AF$2:$AF$105,"C")+COUNTIF($AK$2:$AK4,"C"))+$AH$1)</f>
        <v/>
      </c>
      <c r="AN4" s="119" t="str">
        <f>IF(AL4="","",(COUNTIF($AG$2:$AG$105,"R")+COUNTIF($AL$2:$AL4,"R"))-(COUNTIF($AF$2:$AF$105,"R")+COUNTIF($AK$2:$AK4,"R"))+$AI$1)</f>
        <v/>
      </c>
      <c r="AO4" s="117" t="str">
        <f>IF(E4="","",COUNTA($E$3:E4)+$Z$1)</f>
        <v/>
      </c>
      <c r="AP4" s="88" t="str">
        <f>IF(AO4="","",IF(AO4+Расчет!$Y$57+$BD$2-Расчет!$X$57&gt;200,AO4+Расчет!$Y$57+$BD$2-1000,AO4+Расчет!$Y$57+$BD$2))</f>
        <v/>
      </c>
      <c r="AQ4" s="90"/>
      <c r="AR4" s="92"/>
      <c r="AS4" s="92"/>
      <c r="AT4" s="258" t="s">
        <v>906</v>
      </c>
      <c r="AU4" s="232" t="s">
        <v>12</v>
      </c>
      <c r="AW4" s="48"/>
      <c r="AX4" s="615" t="s">
        <v>70</v>
      </c>
      <c r="AY4" s="616"/>
      <c r="AZ4" s="616"/>
      <c r="BA4" s="616"/>
      <c r="BB4" s="616"/>
      <c r="BC4" s="78"/>
      <c r="BD4" s="616" t="s">
        <v>66</v>
      </c>
      <c r="BE4" s="616"/>
      <c r="BF4" s="616"/>
      <c r="BG4" s="619"/>
      <c r="BH4" s="48"/>
      <c r="BI4" s="48"/>
      <c r="BJ4" s="48"/>
      <c r="BK4" s="48"/>
      <c r="BL4" s="182" t="s">
        <v>143</v>
      </c>
      <c r="BM4" s="179" t="s">
        <v>134</v>
      </c>
      <c r="BN4" s="179" t="s">
        <v>26</v>
      </c>
      <c r="BO4" s="457" t="s">
        <v>134</v>
      </c>
      <c r="BP4" s="182" t="s">
        <v>134</v>
      </c>
      <c r="BQ4" s="457" t="s">
        <v>26</v>
      </c>
      <c r="BR4" s="172" t="s">
        <v>74</v>
      </c>
      <c r="BS4" s="171"/>
      <c r="BT4" s="463" t="s">
        <v>134</v>
      </c>
      <c r="BU4" s="463" t="s">
        <v>134</v>
      </c>
      <c r="BV4" s="634">
        <f>COUNTIFS(A3:A105,"&lt;"&amp;AB2,C3:C105,"&lt;="&amp;AB58)+COUNTIFS(N3:N105,"&lt;"&amp;AB2,P3:P105,"&lt;="&amp;AB58)</f>
        <v>0</v>
      </c>
      <c r="BW4" s="635">
        <f>COUNTIFS(A3:A105,"&gt;"&amp;AC2,C3:C105,"&lt;="&amp;AB58)+COUNTIFS(N3:N105,"&gt;"&amp;AC2,P3:P105,"&lt;="&amp;AB58)</f>
        <v>0</v>
      </c>
      <c r="BX4" s="204">
        <f>COUNTIF($BY$4:BY4,"&lt;100")</f>
        <v>0</v>
      </c>
      <c r="BY4" s="211" t="str">
        <f t="shared" ref="BY4:BY35" si="4">AH3</f>
        <v/>
      </c>
      <c r="BZ4" s="215" t="str">
        <f t="shared" ref="BZ4:BZ35" si="5">AI3</f>
        <v/>
      </c>
      <c r="CA4" s="211" t="e">
        <f t="shared" ref="CA4:CA67" si="6">VLOOKUP(ROW(A1),$BX$4:$BY$209,2,FALSE)</f>
        <v>#N/A</v>
      </c>
      <c r="CB4" s="212" t="e">
        <f t="shared" ref="CB4:CB67" si="7">VLOOKUP(ROW(A1),$BX$4:$BZ$209,3,FALSE)</f>
        <v>#N/A</v>
      </c>
      <c r="CC4" s="218" t="str">
        <f>IFERROR(IF(OR(AND(CA4&gt;CA2,CA4&gt;=1),AND(CA4&lt;CA2,CA4&lt;=-1)),1,0),"")</f>
        <v/>
      </c>
      <c r="CD4" s="204" t="str">
        <f t="shared" ref="CD4:CD35" si="8">A3</f>
        <v>-</v>
      </c>
      <c r="CE4" s="204">
        <f>IF(OR(AND($G3="Rich",$BK2="Rich"),AND($G3="Rich",$BK1="Rich"),AND($BL1="TWIN-C",$BL2="4WD",$H3="TWIN-C"),AND($BL1="TWIN-C",$BK2="Rich",$H3="TWIN-C"),AND($BL2="TWIN-C",$H3="TWIN-C"),AND(COUNTIF($CG9:$CG12,"Rich")&gt;1,COUNTIF($CG9:$CG12,"Mech")&gt;1),AND($CG12="Sport",COUNTIF($CG7:$CG12,"Sport")&gt;1))=TRUE(),1,0)</f>
        <v>0</v>
      </c>
      <c r="CF4" s="10">
        <f t="shared" ref="CF4:CF10" si="9">IF(CF5-1&lt;0,999,CF5-1)</f>
        <v>88</v>
      </c>
      <c r="CG4" s="20" t="str">
        <f>IF(VLOOKUP(CF4,Расчет!I:R,10,FALSE)="",VLOOKUP(CF4,Расчет!I:R,9,FALSE),VLOOKUP(CF4,Расчет!I:R,10,FALSE))</f>
        <v>Sport</v>
      </c>
    </row>
    <row r="5" spans="1:85" ht="23.1" customHeight="1" thickBot="1">
      <c r="A5" s="40" t="str">
        <f>IF(AND(IFERROR(VLOOKUP(E5,Расчет!A:J,10,FALSE),"  ")&lt;&gt;"  ",IFERROR(LEFT(VLOOKUP(E5,Расчет!A:J,10,FALSE),1)," ")&lt;&gt;"H"),0,IFERROR(IF(F5="Camry",IF(OR(J5="2PS",J5="2QL"),IF(E5-AP5&gt;100,E5-AP5-1000+$AD$12,E5-AP5+$AD$12),IF(E5-AP5&gt;100,E5-AP5-1000,E5-AP5)),IF(J5="2PS",IF(E5-AP5&gt;100,E5-AP5-1000+$AD$17,E5-AP5+$AD$17),IF(E5-AP5&gt;100,E5-AP5-1000,E5-AP5))),"-"))</f>
        <v>-</v>
      </c>
      <c r="B5" s="46">
        <v>3</v>
      </c>
      <c r="C5" s="19" t="str">
        <f>IF(E5="","",COUNTA($E$3:E5))</f>
        <v/>
      </c>
      <c r="D5" s="18" t="str">
        <f t="shared" si="0"/>
        <v/>
      </c>
      <c r="E5" s="30"/>
      <c r="F5" s="44" t="str">
        <f>IFERROR(IF(VLOOKUP(E5,Расчет!$A$2:$B$650,2,FALSE)="664W","Camry",IF(VLOOKUP(E5,Расчет!$A$2:$B$650,2,FALSE)="813W","Goshi","RAV4")),"")</f>
        <v/>
      </c>
      <c r="G5" s="32" t="str">
        <f>IFERROR(IF(F5="Camry",VLOOKUP(E5,Расчет!$A$2:$Q$650,17,FALSE),VLOOKUP(E5,Расчет!$A$2:$R$650,18,FALSE)),"")</f>
        <v/>
      </c>
      <c r="H5" s="32" t="str">
        <f>IFERROR(VLOOKUP(VLOOKUP(E5,Расчет!$A:$D,4,FALSE),$AT$6:$AV$15,3,FALSE),"")</f>
        <v/>
      </c>
      <c r="I5" s="31" t="str">
        <f>IFERROR(VLOOKUP(IFERROR(VLOOKUP(E5,Расчет!$A$2:$D$650,4,FALSE),0),$AT$3:$AU$15,2,FALSE),"")</f>
        <v/>
      </c>
      <c r="J5" s="33" t="str">
        <f>IFERROR(VLOOKUP(E5,Расчет!$A$2:$E$650,5,FALSE),"")</f>
        <v/>
      </c>
      <c r="K5" s="189"/>
      <c r="L5" s="188">
        <f t="shared" ref="L5:L68" si="10">K5-K4</f>
        <v>0</v>
      </c>
      <c r="M5" s="9"/>
      <c r="N5" s="40" t="str">
        <f>IF(AND(IFERROR(VLOOKUP(R5,Расчет!A:J,10,FALSE),"  ")&lt;&gt;"  ",IFERROR(LEFT(VLOOKUP(R5,Расчет!A:J,10,FALSE),1)," ")&lt;&gt;"H"),0,IFERROR(IF(S5="Camry",IF(OR(W5="2PS",W5="2QL"),IF(R5-AP108&gt;100,R5-AP108-1000+$AD$12,R5-AP108+$AD$12),IF(R5-AP108&gt;100,R5-AP108-1000,R5-AP108)),IF(W5="2PS",IF(R5-AP108&gt;100,R5-AP108-1000+$AD$17,R5-AP108+$AD$17),IF(R5-AP108&gt;100,R5-AP108-1000,R5-AP108))),"-"))</f>
        <v>-</v>
      </c>
      <c r="O5" s="46">
        <v>106</v>
      </c>
      <c r="P5" s="19" t="str">
        <f>IF(R5="","",COUNTA($R$3:R5)+$C$105)</f>
        <v/>
      </c>
      <c r="Q5" s="18" t="str">
        <f t="shared" si="1"/>
        <v/>
      </c>
      <c r="R5" s="30"/>
      <c r="S5" s="45" t="str">
        <f>IFERROR(IF(VLOOKUP(R5,Расчет!$A$2:$B$650,2,FALSE)="664W","Camry",IF(VLOOKUP(R5,Расчет!$A$2:$B$650,2,FALSE)="813W","Goshi","RAV4")),"")</f>
        <v/>
      </c>
      <c r="T5" s="32" t="str">
        <f>IFERROR(IF(S5="Camry",VLOOKUP(R5,Расчет!$A$2:$Q$650,17,FALSE),VLOOKUP(R5,Расчет!$A$2:$R$650,18,FALSE)),"")</f>
        <v/>
      </c>
      <c r="U5" s="32" t="str">
        <f>IFERROR(VLOOKUP(VLOOKUP(R5,Расчет!$A:$D,4,FALSE),$AT$6:$AV$15,3,FALSE),"")</f>
        <v/>
      </c>
      <c r="V5" s="31" t="str">
        <f>IFERROR(VLOOKUP(IFERROR(VLOOKUP(R5,Расчет!$A$2:$D$650,4,FALSE),0),$AT$3:$AU$15,2,FALSE),"")</f>
        <v/>
      </c>
      <c r="W5" s="33" t="str">
        <f>IFERROR(VLOOKUP(R5,Расчет!$A$2:$E$650,5,FALSE),"")</f>
        <v/>
      </c>
      <c r="X5" s="189"/>
      <c r="Y5" s="191">
        <f t="shared" ref="Y5:Y68" si="11">X5-X4</f>
        <v>0</v>
      </c>
      <c r="Z5" s="155" t="s">
        <v>132</v>
      </c>
      <c r="AA5" s="155" t="s">
        <v>26</v>
      </c>
      <c r="AB5" s="155" t="s">
        <v>132</v>
      </c>
      <c r="AC5" s="155" t="s">
        <v>26</v>
      </c>
      <c r="AD5" s="415"/>
      <c r="AE5" s="195">
        <v>3</v>
      </c>
      <c r="AF5" s="44" t="str">
        <f>IF(VLOOKUP(AE5,Расчет!$AH$2:$AN$201,5,FALSE)="8","C",IF(VLOOKUP(AE5,Расчет!$AH$2:$AN$201,5,FALSE)="G","G","R"))</f>
        <v>R</v>
      </c>
      <c r="AG5" s="73" t="str">
        <f t="shared" si="2"/>
        <v/>
      </c>
      <c r="AH5" s="87" t="str">
        <f>IF(AG5="","",COUNTIF($AG$2:AG5,"C")-COUNTIF($AF$2:AF5,"C")+$AH$1)</f>
        <v/>
      </c>
      <c r="AI5" s="87" t="str">
        <f>IF(AG5="","",COUNTIF($AG$2:AG5,"R")-COUNTIF($AF$2:AF5,"R")+$AI$1)</f>
        <v/>
      </c>
      <c r="AJ5" s="89">
        <v>106</v>
      </c>
      <c r="AK5" s="44" t="str">
        <f>IF(VLOOKUP(AJ5,Расчет!$AH$2:$AN$211,5,FALSE)="8","C",IF(VLOOKUP(AJ5,Расчет!$AH$2:$AN$211,5,FALSE)="G","G","R"))</f>
        <v>R</v>
      </c>
      <c r="AL5" s="74" t="str">
        <f t="shared" si="3"/>
        <v/>
      </c>
      <c r="AM5" s="118" t="str">
        <f>IF(AL5="","",(COUNTIF($AG$2:$AG$105,"C")+COUNTIF($AL$2:$AL5,"C"))-(COUNTIF($AF$2:$AF$105,"C")+COUNTIF($AK$2:$AK5,"C"))+$AH$1)</f>
        <v/>
      </c>
      <c r="AN5" s="119" t="str">
        <f>IF(AL5="","",(COUNTIF($AG$2:$AG$105,"R")+COUNTIF($AL$2:$AL5,"R"))-(COUNTIF($AF$2:$AF$105,"R")+COUNTIF($AK$2:$AK5,"R"))+$AI$1)</f>
        <v/>
      </c>
      <c r="AO5" s="117" t="str">
        <f>IF(E5="","",COUNTA($E$3:E5)+$Z$1)</f>
        <v/>
      </c>
      <c r="AP5" s="88" t="str">
        <f>IF(AO5="","",IF(AO5+Расчет!$Y$57+$BD$2-Расчет!$X$57&gt;200,AO5+Расчет!$Y$57+$BD$2-1000,AO5+Расчет!$Y$57+$BD$2))</f>
        <v/>
      </c>
      <c r="AQ5" s="90"/>
      <c r="AR5" s="92"/>
      <c r="AS5" s="92"/>
      <c r="AT5" s="258" t="s">
        <v>908</v>
      </c>
      <c r="AU5" s="233" t="s">
        <v>13</v>
      </c>
      <c r="AW5" s="48"/>
      <c r="AX5" s="617"/>
      <c r="AY5" s="618"/>
      <c r="AZ5" s="618"/>
      <c r="BA5" s="618"/>
      <c r="BB5" s="618"/>
      <c r="BC5" s="79"/>
      <c r="BD5" s="618"/>
      <c r="BE5" s="618"/>
      <c r="BF5" s="618"/>
      <c r="BG5" s="620"/>
      <c r="BH5" s="48"/>
      <c r="BI5" s="48"/>
      <c r="BJ5" s="48"/>
      <c r="BK5" s="48"/>
      <c r="BL5" s="172">
        <f>COUNTIF($BM$5:BM5,"&lt;-115")</f>
        <v>0</v>
      </c>
      <c r="BM5" s="154" t="str">
        <f>IFERROR(IF(OR(IFERROR(VLOOKUP(BN5,$E$3:$E$105,1,FALSE),"0")=BN5,IFERROR(VLOOKUP(BN5,$R$3:$R$105,1,FALSE),"0")=BN5),BO5,IF(OR(VLOOKUP(BN5,Расчет!A:E,5,FALSE)="2PS",VLOOKUP(BN5,Расчет!A:E,5,FALSE)="2QL"),IF(VLOOKUP(BN5,Расчет!A:B,2,FALSE)="831W",BN5-$BS$7+$AD$17,BN5-$BS$7+$AD$12),BN5-$BS$7)),"-")</f>
        <v>-</v>
      </c>
      <c r="BN5" s="154">
        <f>IF(OR(Расчет!C2="A0",Расчет!C2="P9",Расчет!B2="722W"),"-",Расчет!A2)</f>
        <v>10383</v>
      </c>
      <c r="BO5" s="173">
        <f>IF(IFERROR(INDEX($A$3:$A$105,MATCH(BN5,$E$3:$E$105,0)),"-")&lt;&gt;"-",IFERROR(INDEX($A$3:$A$105,MATCH(BN5,$E$3:$E$105,0)),0),IFERROR(INDEX($N$3:$N$105,MATCH(BN5,$R$3:$R$105,0)),0))</f>
        <v>0</v>
      </c>
      <c r="BP5" s="172" t="str">
        <f>IF(BQ5="-","-",IFERROR(IF(OR(VLOOKUP(BN5,Расчет!$A$2:$E$582,5,FALSE)="2PS",VLOOKUP(BN5,Расчет!$A$2:$E$582,5,FALSE)="2QL"),IF(OR(VLOOKUP(BN5,Расчет!$A$2:$E$582,2,FALSE)="664W",VLOOKUP(BN5,Расчет!$A$2:$E$582,2,FALSE)="813W"),IF(BN5-$BS$7&gt;150,BN5-$BS$7-1000+$AD$12,BN5-$BS$7+$AD$12),IF(BN5-$BS$7&gt;150,BN5-$BS$7-1000+$AD$17,BN5-$BS$7+$AD$17)),IF(BN5-$BS$7&gt;150,BN5-$BS$7-1000,BN5-$BS$7)),"-"))</f>
        <v>-</v>
      </c>
      <c r="BQ5" s="173">
        <f t="shared" ref="BQ5:BQ68" si="12">IFERROR(IF(OR(IFERROR(VLOOKUP(BN5,$E$3:$E$105,1,FALSE),"0")=BN5,IFERROR(VLOOKUP(BN5,$R$3:$R$105,1,FALSE),"0")=BN5),"-",BN5),"-")</f>
        <v>10383</v>
      </c>
      <c r="BR5" s="459">
        <f>AB2</f>
        <v>-4</v>
      </c>
      <c r="BS5" s="171"/>
      <c r="BT5" s="464" t="str">
        <f t="shared" ref="BT5:BT68" si="13">IF(BQ5="-","-",IF(AND(BP5&gt;=$BR$5,BP5&lt;$BR$5+9),BP5,"-"))</f>
        <v>-</v>
      </c>
      <c r="BU5" s="464" t="str">
        <f t="shared" ref="BU5:BU68" si="14">IF(OR(BP5=$AC$2+1,BP5=$AC$2+2,BP5=$AC$2+3,BP5=$AC$2+4,BP5=$AC$2+5,BP5=$AC$2+6),BP5,"-")</f>
        <v>-</v>
      </c>
      <c r="BV5" s="634"/>
      <c r="BW5" s="635"/>
      <c r="BX5" s="204">
        <f>COUNTIF($BY$4:BY5,"&lt;100")</f>
        <v>0</v>
      </c>
      <c r="BY5" s="213" t="str">
        <f t="shared" si="4"/>
        <v/>
      </c>
      <c r="BZ5" s="216" t="str">
        <f t="shared" si="5"/>
        <v/>
      </c>
      <c r="CA5" s="213" t="e">
        <f t="shared" si="6"/>
        <v>#N/A</v>
      </c>
      <c r="CB5" s="209" t="e">
        <f t="shared" si="7"/>
        <v>#N/A</v>
      </c>
      <c r="CC5" s="205" t="str">
        <f>IFERROR(IF(OR(AND(CA5&gt;CA4,CA5&gt;=1),AND(CA5&lt;CA4,CA5&lt;=-1)),1,0),"")</f>
        <v/>
      </c>
      <c r="CD5" s="205" t="str">
        <f t="shared" si="8"/>
        <v>-</v>
      </c>
      <c r="CE5" s="204">
        <f>IF(OR(AND($G4="Rich",$G3="Rich"),AND($G4="Rich",$G3="Rich"),AND($BL2="TWIN-C",$H$3="4WD",$H4="TWIN-C"),AND($BL2="TWIN-C",$G$3="Rich",$H4="TWIN-C"),AND($H3="TWIN-C",$H4="TWIN-C"),AND(COUNTIF($CG10:$CG13,"Rich")&gt;1,COUNTIF($CG10:$CG13,"Mech")&gt;1),AND($CG13="Sport",COUNTIF($CG8:$CG13,"Sport")&gt;1))=TRUE(),1,0)</f>
        <v>0</v>
      </c>
      <c r="CF5" s="10">
        <f t="shared" si="9"/>
        <v>89</v>
      </c>
      <c r="CG5" s="20" t="str">
        <f>IF(VLOOKUP(CF5,Расчет!I:R,10,FALSE)="",VLOOKUP(CF5,Расчет!I:R,9,FALSE),VLOOKUP(CF5,Расчет!I:R,10,FALSE))</f>
        <v>Auto</v>
      </c>
    </row>
    <row r="6" spans="1:85" ht="23.1" customHeight="1" thickBot="1">
      <c r="A6" s="40" t="str">
        <f>IF(AND(IFERROR(VLOOKUP(E6,Расчет!A:J,10,FALSE),"  ")&lt;&gt;"  ",IFERROR(LEFT(VLOOKUP(E6,Расчет!A:J,10,FALSE),1)," ")&lt;&gt;"H"),0,IFERROR(IF(F6="Camry",IF(OR(J6="2PS",J6="2QL"),IF(E6-AP6&gt;100,E6-AP6-1000+$AD$12,E6-AP6+$AD$12),IF(E6-AP6&gt;100,E6-AP6-1000,E6-AP6)),IF(J6="2PS",IF(E6-AP6&gt;100,E6-AP6-1000+$AD$17,E6-AP6+$AD$17),IF(E6-AP6&gt;100,E6-AP6-1000,E6-AP6))),"-"))</f>
        <v>-</v>
      </c>
      <c r="B6" s="46">
        <v>4</v>
      </c>
      <c r="C6" s="19" t="str">
        <f>IF(E6="","",COUNTA($E$3:E6))</f>
        <v/>
      </c>
      <c r="D6" s="18" t="str">
        <f t="shared" si="0"/>
        <v/>
      </c>
      <c r="E6" s="30"/>
      <c r="F6" s="44" t="str">
        <f>IFERROR(IF(VLOOKUP(E6,Расчет!$A$2:$B$650,2,FALSE)="664W","Camry",IF(VLOOKUP(E6,Расчет!$A$2:$B$650,2,FALSE)="813W","Goshi","RAV4")),"")</f>
        <v/>
      </c>
      <c r="G6" s="32" t="str">
        <f>IFERROR(IF(F6="Camry",VLOOKUP(E6,Расчет!$A$2:$Q$650,17,FALSE),VLOOKUP(E6,Расчет!$A$2:$R$650,18,FALSE)),"")</f>
        <v/>
      </c>
      <c r="H6" s="32" t="str">
        <f>IFERROR(VLOOKUP(VLOOKUP(E6,Расчет!$A:$D,4,FALSE),$AT$6:$AV$15,3,FALSE),"")</f>
        <v/>
      </c>
      <c r="I6" s="31" t="str">
        <f>IFERROR(VLOOKUP(IFERROR(VLOOKUP(E6,Расчет!$A$2:$D$650,4,FALSE),0),$AT$3:$AU$15,2,FALSE),"")</f>
        <v/>
      </c>
      <c r="J6" s="33" t="str">
        <f>IFERROR(VLOOKUP(E6,Расчет!$A$2:$E$650,5,FALSE),"")</f>
        <v/>
      </c>
      <c r="K6" s="189"/>
      <c r="L6" s="188">
        <f t="shared" si="10"/>
        <v>0</v>
      </c>
      <c r="M6" s="9"/>
      <c r="N6" s="40" t="str">
        <f>IF(AND(IFERROR(VLOOKUP(R6,Расчет!A:J,10,FALSE),"  ")&lt;&gt;"  ",IFERROR(LEFT(VLOOKUP(R6,Расчет!A:J,10,FALSE),1)," ")&lt;&gt;"H"),0,IFERROR(IF(S6="Camry",IF(OR(W6="2PS",W6="2QL"),IF(R6-AP109&gt;100,R6-AP109-1000+$AD$12,R6-AP109+$AD$12),IF(R6-AP109&gt;100,R6-AP109-1000,R6-AP109)),IF(W6="2PS",IF(R6-AP109&gt;100,R6-AP109-1000+$AD$17,R6-AP109+$AD$17),IF(R6-AP109&gt;100,R6-AP109-1000,R6-AP109))),"-"))</f>
        <v>-</v>
      </c>
      <c r="O6" s="46">
        <v>107</v>
      </c>
      <c r="P6" s="19" t="str">
        <f>IF(R6="","",COUNTA($R$3:R6)+$C$105)</f>
        <v/>
      </c>
      <c r="Q6" s="18" t="str">
        <f t="shared" si="1"/>
        <v/>
      </c>
      <c r="R6" s="30"/>
      <c r="S6" s="45" t="str">
        <f>IFERROR(IF(VLOOKUP(R6,Расчет!$A$2:$B$650,2,FALSE)="664W","Camry",IF(VLOOKUP(R6,Расчет!$A$2:$B$650,2,FALSE)="813W","Goshi","RAV4")),"")</f>
        <v/>
      </c>
      <c r="T6" s="32" t="str">
        <f>IFERROR(IF(S6="Camry",VLOOKUP(R6,Расчет!$A$2:$Q$650,17,FALSE),VLOOKUP(R6,Расчет!$A$2:$R$650,18,FALSE)),"")</f>
        <v/>
      </c>
      <c r="U6" s="32" t="str">
        <f>IFERROR(VLOOKUP(VLOOKUP(R6,Расчет!$A:$D,4,FALSE),$AT$6:$AV$15,3,FALSE),"")</f>
        <v/>
      </c>
      <c r="V6" s="31" t="str">
        <f>IFERROR(VLOOKUP(IFERROR(VLOOKUP(R6,Расчет!$A$2:$D$650,4,FALSE),0),$AT$3:$AU$15,2,FALSE),"")</f>
        <v/>
      </c>
      <c r="W6" s="33" t="str">
        <f>IFERROR(VLOOKUP(R6,Расчет!$A$2:$E$650,5,FALSE),"")</f>
        <v/>
      </c>
      <c r="X6" s="189"/>
      <c r="Y6" s="191">
        <f t="shared" si="11"/>
        <v>0</v>
      </c>
      <c r="Z6" s="175" t="str">
        <f>IFERROR(VLOOKUP(AA6,Расчет!$BS:$BT,2,FALSE),"")</f>
        <v/>
      </c>
      <c r="AA6" s="148" t="str">
        <f>IF(IFERROR(VLOOKUP(ROW(A1),$BL$5:$BM$300,2,FALSE),"")&lt;0,VLOOKUP(ROW(A1),$BL$5:$BN$300,3,FALSE),"")</f>
        <v/>
      </c>
      <c r="AB6" s="400" t="str">
        <f>IFERROR(VLOOKUP(AC6,Расчет!$BS:$BT,2,FALSE),"")</f>
        <v/>
      </c>
      <c r="AC6" s="148"/>
      <c r="AD6" s="56"/>
      <c r="AE6" s="195">
        <v>4</v>
      </c>
      <c r="AF6" s="44" t="str">
        <f>IF(VLOOKUP(AE6,Расчет!$AH$2:$AN$201,5,FALSE)="8","C",IF(VLOOKUP(AE6,Расчет!$AH$2:$AN$201,5,FALSE)="G","G","R"))</f>
        <v>C</v>
      </c>
      <c r="AG6" s="73" t="str">
        <f t="shared" si="2"/>
        <v/>
      </c>
      <c r="AH6" s="87" t="str">
        <f>IF(AG6="","",COUNTIF($AG$2:AG6,"C")-COUNTIF($AF$2:AF6,"C")+$AH$1)</f>
        <v/>
      </c>
      <c r="AI6" s="87" t="str">
        <f>IF(AG6="","",COUNTIF($AG$2:AG6,"R")-COUNTIF($AF$2:AF6,"R")+$AI$1)</f>
        <v/>
      </c>
      <c r="AJ6" s="89">
        <v>107</v>
      </c>
      <c r="AK6" s="44" t="str">
        <f>IF(VLOOKUP(AJ6,Расчет!$AH$2:$AN$211,5,FALSE)="8","C",IF(VLOOKUP(AJ6,Расчет!$AH$2:$AN$211,5,FALSE)="G","G","R"))</f>
        <v>C</v>
      </c>
      <c r="AL6" s="74" t="str">
        <f t="shared" si="3"/>
        <v/>
      </c>
      <c r="AM6" s="118" t="str">
        <f>IF(AL6="","",(COUNTIF($AG$2:$AG$105,"C")+COUNTIF($AL$2:$AL6,"C"))-(COUNTIF($AF$2:$AF$105,"C")+COUNTIF($AK$2:$AK6,"C"))+$AH$1)</f>
        <v/>
      </c>
      <c r="AN6" s="119" t="str">
        <f>IF(AL6="","",(COUNTIF($AG$2:$AG$105,"R")+COUNTIF($AL$2:$AL6,"R"))-(COUNTIF($AF$2:$AF$105,"R")+COUNTIF($AK$2:$AK6,"R"))+$AI$1)</f>
        <v/>
      </c>
      <c r="AO6" s="117" t="str">
        <f>IF(E6="","",COUNTA($E$3:E6)+$Z$1)</f>
        <v/>
      </c>
      <c r="AP6" s="88" t="str">
        <f>IF(AO6="","",IF(AO6+Расчет!$Y$57+$BD$2-Расчет!$X$57&gt;200,AO6+Расчет!$Y$57+$BD$2-1000,AO6+Расчет!$Y$57+$BD$2))</f>
        <v/>
      </c>
      <c r="AQ6"/>
      <c r="AR6" s="92"/>
      <c r="AS6" s="92"/>
      <c r="AT6" s="230" t="s">
        <v>909</v>
      </c>
      <c r="AU6" s="230" t="s">
        <v>12</v>
      </c>
      <c r="AV6" s="271" t="s">
        <v>935</v>
      </c>
      <c r="AW6" s="48"/>
      <c r="AX6" s="47"/>
      <c r="AY6" s="48"/>
      <c r="AZ6" s="48"/>
      <c r="BA6" s="48"/>
      <c r="BB6" s="48"/>
      <c r="BC6" s="48"/>
      <c r="BD6" s="49"/>
      <c r="BE6" s="49"/>
      <c r="BF6" s="50"/>
      <c r="BG6" s="51"/>
      <c r="BH6" s="48"/>
      <c r="BI6" s="48"/>
      <c r="BJ6" s="48"/>
      <c r="BK6" s="48"/>
      <c r="BL6" s="172">
        <f>COUNTIF($BM$5:BM6,"&lt;-115")</f>
        <v>0</v>
      </c>
      <c r="BM6" s="154" t="str">
        <f>IFERROR(IF(OR(IFERROR(VLOOKUP(BN6,$E$3:$E$105,1,FALSE),"0")=BN6,IFERROR(VLOOKUP(BN6,$R$3:$R$105,1,FALSE),"0")=BN6),BO6,IF(OR(VLOOKUP(BN6,Расчет!A:E,5,FALSE)="2PS",VLOOKUP(BN6,Расчет!A:E,5,FALSE)="2QL"),IF(VLOOKUP(BN6,Расчет!A:B,2,FALSE)="831W",BN6-$BS$7+$AD$17,BN6-$BS$7+$AD$12),BN6-$BS$7)),"-")</f>
        <v>-</v>
      </c>
      <c r="BN6" s="154" t="str">
        <f>IF(OR(Расчет!C3="A0",Расчет!C3="P9",Расчет!B3="722W"),"-",Расчет!A3)</f>
        <v>-</v>
      </c>
      <c r="BO6" s="173">
        <f t="shared" ref="BO6:BO69" si="15">IF(IFERROR(INDEX($A$3:$A$105,MATCH(BN6,$E$3:$E$105,0)),"-")&lt;&gt;"-",IFERROR(INDEX($A$3:$A$105,MATCH(BN6,$E$3:$E$105,0)),0),IFERROR(INDEX($N$3:$N$105,MATCH(BN6,$R$3:$R$105,0)),0))</f>
        <v>0</v>
      </c>
      <c r="BP6" s="172" t="str">
        <f>IF(BQ6="-","-",IFERROR(IF(OR(VLOOKUP(BN6,Расчет!$A$2:$E$582,5,FALSE)="2PS",VLOOKUP(BN6,Расчет!$A$2:$E$582,5,FALSE)="2QL"),IF(OR(VLOOKUP(BN6,Расчет!$A$2:$E$582,2,FALSE)="664W",VLOOKUP(BN6,Расчет!$A$2:$E$582,2,FALSE)="813W"),IF(BN6-$BS$7&gt;150,BN6-$BS$7-1000+$AD$12,BN6-$BS$7+$AD$12),IF(BN6-$BS$7&gt;150,BN6-$BS$7-1000+$AD$17,BN6-$BS$7+$AD$17)),IF(BN6-$BS$7&gt;150,BN6-$BS$7-1000,BN6-$BS$7)),"-"))</f>
        <v>-</v>
      </c>
      <c r="BQ6" s="173" t="str">
        <f t="shared" si="12"/>
        <v>-</v>
      </c>
      <c r="BR6" s="460" t="s">
        <v>135</v>
      </c>
      <c r="BS6" s="462" t="s">
        <v>136</v>
      </c>
      <c r="BT6" s="464" t="str">
        <f t="shared" si="13"/>
        <v>-</v>
      </c>
      <c r="BU6" s="464" t="str">
        <f t="shared" si="14"/>
        <v>-</v>
      </c>
      <c r="BV6" s="634">
        <f>COUNTIFS(A3:A105,"&lt;"&amp;AB2,C3:C105,"&gt;"&amp;AB58)+COUNTIFS(N3:N105,"&lt;"&amp;AB2,P3:P105,"&gt;"&amp;AB58)</f>
        <v>0</v>
      </c>
      <c r="BW6" s="635">
        <f>COUNTIFS(A3:A105,"&gt;"&amp;AC2,C3:C105,"&gt;"&amp;AB58)+COUNTIFS(N3:N105,"&gt;"&amp;AC2,P3:P105,"&gt;"&amp;AB58)</f>
        <v>0</v>
      </c>
      <c r="BX6" s="204">
        <f>COUNTIF($BY$4:BY6,"&lt;100")</f>
        <v>0</v>
      </c>
      <c r="BY6" s="213" t="str">
        <f t="shared" si="4"/>
        <v/>
      </c>
      <c r="BZ6" s="216" t="str">
        <f t="shared" si="5"/>
        <v/>
      </c>
      <c r="CA6" s="213" t="e">
        <f t="shared" si="6"/>
        <v>#N/A</v>
      </c>
      <c r="CB6" s="209" t="e">
        <f t="shared" si="7"/>
        <v>#N/A</v>
      </c>
      <c r="CC6" s="205" t="str">
        <f t="shared" ref="CC6:CC69" si="16">IFERROR(IF(OR(AND(CA6&gt;CA5,CA6&gt;=1),AND(CA6&lt;CA5,CA6&lt;=-1)),1,0),"")</f>
        <v/>
      </c>
      <c r="CD6" s="205" t="str">
        <f t="shared" si="8"/>
        <v>-</v>
      </c>
      <c r="CE6" s="205">
        <f t="shared" ref="CE6:CE37" si="17">IF(OR(AND($G5="Rich",$G4="Rich"),AND($G5="Rich",$G3="Rich"),AND($H5="TWIN-C",$H4="4WD",$H3="TWIN-C"),AND($H5="TWIN-C",$G4="Rich",$H3="TWIN-C"),AND(COUNTIF($CG11:$CG14,"Rich")&gt;1,COUNTIF($CG11:$CG14,"Mech")&gt;1),AND($CG14="Sport",COUNTIF($CG9:$CG14,"Sport")&gt;1))=TRUE(),1,0)</f>
        <v>0</v>
      </c>
      <c r="CF6" s="10">
        <f t="shared" si="9"/>
        <v>90</v>
      </c>
      <c r="CG6" s="20" t="str">
        <f>IF(VLOOKUP(CF6,Расчет!I:R,10,FALSE)="",VLOOKUP(CF6,Расчет!I:R,9,FALSE),VLOOKUP(CF6,Расчет!I:R,10,FALSE))</f>
        <v>Rich</v>
      </c>
    </row>
    <row r="7" spans="1:85" ht="23.1" customHeight="1" thickBot="1">
      <c r="A7" s="40" t="str">
        <f>IF(AND(IFERROR(VLOOKUP(E7,Расчет!A:J,10,FALSE),"  ")&lt;&gt;"  ",IFERROR(LEFT(VLOOKUP(E7,Расчет!A:J,10,FALSE),1)," ")&lt;&gt;"H"),0,IFERROR(IF(F7="Camry",IF(OR(J7="2PS",J7="2QL"),IF(E7-AP7&gt;100,E7-AP7-1000+$AD$12,E7-AP7+$AD$12),IF(E7-AP7&gt;100,E7-AP7-1000,E7-AP7)),IF(J7="2PS",IF(E7-AP7&gt;100,E7-AP7-1000+$AD$17,E7-AP7+$AD$17),IF(E7-AP7&gt;100,E7-AP7-1000,E7-AP7))),"-"))</f>
        <v>-</v>
      </c>
      <c r="B7" s="46">
        <v>5</v>
      </c>
      <c r="C7" s="19" t="str">
        <f>IF(E7="","",COUNTA($E$3:E7))</f>
        <v/>
      </c>
      <c r="D7" s="18" t="str">
        <f t="shared" si="0"/>
        <v/>
      </c>
      <c r="E7" s="30"/>
      <c r="F7" s="44" t="str">
        <f>IFERROR(IF(VLOOKUP(E7,Расчет!$A$2:$B$650,2,FALSE)="664W","Camry",IF(VLOOKUP(E7,Расчет!$A$2:$B$650,2,FALSE)="813W","Goshi","RAV4")),"")</f>
        <v/>
      </c>
      <c r="G7" s="32" t="str">
        <f>IFERROR(IF(F7="Camry",VLOOKUP(E7,Расчет!$A$2:$Q$650,17,FALSE),VLOOKUP(E7,Расчет!$A$2:$R$650,18,FALSE)),"")</f>
        <v/>
      </c>
      <c r="H7" s="32" t="str">
        <f>IFERROR(VLOOKUP(VLOOKUP(E7,Расчет!$A:$D,4,FALSE),$AT$6:$AV$15,3,FALSE),"")</f>
        <v/>
      </c>
      <c r="I7" s="31" t="str">
        <f>IFERROR(VLOOKUP(IFERROR(VLOOKUP(E7,Расчет!$A$2:$D$650,4,FALSE),0),$AT$3:$AU$15,2,FALSE),"")</f>
        <v/>
      </c>
      <c r="J7" s="33" t="str">
        <f>IFERROR(VLOOKUP(E7,Расчет!$A$2:$E$650,5,FALSE),"")</f>
        <v/>
      </c>
      <c r="K7" s="189"/>
      <c r="L7" s="188">
        <f t="shared" si="10"/>
        <v>0</v>
      </c>
      <c r="M7" s="9"/>
      <c r="N7" s="40" t="str">
        <f>IF(AND(IFERROR(VLOOKUP(R7,Расчет!A:J,10,FALSE),"  ")&lt;&gt;"  ",IFERROR(LEFT(VLOOKUP(R7,Расчет!A:J,10,FALSE),1)," ")&lt;&gt;"H"),0,IFERROR(IF(S7="Camry",IF(OR(W7="2PS",W7="2QL"),IF(R7-AP110&gt;100,R7-AP110-1000+$AD$12,R7-AP110+$AD$12),IF(R7-AP110&gt;100,R7-AP110-1000,R7-AP110)),IF(W7="2PS",IF(R7-AP110&gt;100,R7-AP110-1000+$AD$17,R7-AP110+$AD$17),IF(R7-AP110&gt;100,R7-AP110-1000,R7-AP110))),"-"))</f>
        <v>-</v>
      </c>
      <c r="O7" s="46">
        <v>108</v>
      </c>
      <c r="P7" s="19" t="str">
        <f>IF(R7="","",COUNTA($R$3:R7)+$C$105)</f>
        <v/>
      </c>
      <c r="Q7" s="18" t="str">
        <f t="shared" si="1"/>
        <v/>
      </c>
      <c r="R7" s="30"/>
      <c r="S7" s="45" t="str">
        <f>IFERROR(IF(VLOOKUP(R7,Расчет!$A$2:$B$650,2,FALSE)="664W","Camry",IF(VLOOKUP(R7,Расчет!$A$2:$B$650,2,FALSE)="813W","Goshi","RAV4")),"")</f>
        <v/>
      </c>
      <c r="T7" s="32" t="str">
        <f>IFERROR(IF(S7="Camry",VLOOKUP(R7,Расчет!$A$2:$Q$650,17,FALSE),VLOOKUP(R7,Расчет!$A$2:$R$650,18,FALSE)),"")</f>
        <v/>
      </c>
      <c r="U7" s="32" t="str">
        <f>IFERROR(VLOOKUP(VLOOKUP(R7,Расчет!$A:$D,4,FALSE),$AT$6:$AV$15,3,FALSE),"")</f>
        <v/>
      </c>
      <c r="V7" s="31" t="str">
        <f>IFERROR(VLOOKUP(IFERROR(VLOOKUP(R7,Расчет!$A$2:$D$650,4,FALSE),0),$AT$3:$AU$15,2,FALSE),"")</f>
        <v/>
      </c>
      <c r="W7" s="33" t="str">
        <f>IFERROR(VLOOKUP(R7,Расчет!$A$2:$E$650,5,FALSE),"")</f>
        <v/>
      </c>
      <c r="X7" s="189"/>
      <c r="Y7" s="191">
        <f t="shared" si="11"/>
        <v>0</v>
      </c>
      <c r="Z7" s="176" t="str">
        <f>IFERROR(VLOOKUP(AA7,Расчет!$BS:$BT,2,FALSE),"")</f>
        <v/>
      </c>
      <c r="AA7" s="156" t="str">
        <f t="shared" ref="AA7:AA16" si="18">IF(IFERROR(VLOOKUP(ROW(A2),$BL$5:$BM$300,2,FALSE),"")&lt;0,VLOOKUP(ROW(A2),$BL$5:$BN$300,3,FALSE),"")</f>
        <v/>
      </c>
      <c r="AB7" s="401" t="str">
        <f>IFERROR(VLOOKUP(AC7,Расчет!$BS:$BT,2,FALSE),"")</f>
        <v/>
      </c>
      <c r="AC7" s="156"/>
      <c r="AD7" s="56"/>
      <c r="AE7" s="195">
        <v>5</v>
      </c>
      <c r="AF7" s="44" t="str">
        <f>IF(VLOOKUP(AE7,Расчет!$AH$2:$AN$201,5,FALSE)="8","C",IF(VLOOKUP(AE7,Расчет!$AH$2:$AN$201,5,FALSE)="G","G","R"))</f>
        <v>R</v>
      </c>
      <c r="AG7" s="73" t="str">
        <f t="shared" si="2"/>
        <v/>
      </c>
      <c r="AH7" s="87" t="str">
        <f>IF(AG7="","",COUNTIF($AG$2:AG7,"C")-COUNTIF($AF$2:AF7,"C")+$AH$1)</f>
        <v/>
      </c>
      <c r="AI7" s="87" t="str">
        <f>IF(AG7="","",COUNTIF($AG$2:AG7,"R")-COUNTIF($AF$2:AF7,"R")+$AI$1)</f>
        <v/>
      </c>
      <c r="AJ7" s="89">
        <v>108</v>
      </c>
      <c r="AK7" s="44" t="str">
        <f>IF(VLOOKUP(AJ7,Расчет!$AH$2:$AN$211,5,FALSE)="8","C",IF(VLOOKUP(AJ7,Расчет!$AH$2:$AN$211,5,FALSE)="G","G","R"))</f>
        <v>R</v>
      </c>
      <c r="AL7" s="74" t="str">
        <f t="shared" si="3"/>
        <v/>
      </c>
      <c r="AM7" s="118" t="str">
        <f>IF(AL7="","",(COUNTIF($AG$2:$AG$105,"C")+COUNTIF($AL$2:$AL7,"C"))-(COUNTIF($AF$2:$AF$105,"C")+COUNTIF($AK$2:$AK7,"C"))+$AH$1)</f>
        <v/>
      </c>
      <c r="AN7" s="119" t="str">
        <f>IF(AL7="","",(COUNTIF($AG$2:$AG$105,"R")+COUNTIF($AL$2:$AL7,"R"))-(COUNTIF($AF$2:$AF$105,"R")+COUNTIF($AK$2:$AK7,"R"))+$AI$1)</f>
        <v/>
      </c>
      <c r="AO7" s="117" t="str">
        <f>IF(E7="","",COUNTA($E$3:E7)+$Z$1)</f>
        <v/>
      </c>
      <c r="AP7" s="88" t="str">
        <f>IF(AO7="","",IF(AO7+Расчет!$Y$57+$BD$2-Расчет!$X$57&gt;200,AO7+Расчет!$Y$57+$BD$2-1000,AO7+Расчет!$Y$57+$BD$2))</f>
        <v/>
      </c>
      <c r="AR7" s="92"/>
      <c r="AS7" s="92"/>
      <c r="AT7" s="260" t="s">
        <v>910</v>
      </c>
      <c r="AU7" s="230" t="s">
        <v>12</v>
      </c>
      <c r="AV7" s="438" t="s">
        <v>918</v>
      </c>
      <c r="AW7" s="48"/>
      <c r="AX7" s="47"/>
      <c r="AY7" s="638" t="s">
        <v>61</v>
      </c>
      <c r="AZ7" s="639"/>
      <c r="BA7" s="63">
        <f>COUNTIFS(I2:I105,"2,0 L",F2:F105,"Camry")+COUNTIFS(V2:V105,"2,0 L",S2:S105,"Camry")</f>
        <v>0</v>
      </c>
      <c r="BB7" s="48"/>
      <c r="BC7" s="48"/>
      <c r="BD7" s="60" t="s">
        <v>8</v>
      </c>
      <c r="BE7" s="61" t="s">
        <v>30</v>
      </c>
      <c r="BF7" s="61" t="s">
        <v>24</v>
      </c>
      <c r="BG7" s="140" t="s">
        <v>71</v>
      </c>
      <c r="BH7" s="436" t="s">
        <v>127</v>
      </c>
      <c r="BI7" s="640" t="s">
        <v>18</v>
      </c>
      <c r="BJ7" s="641"/>
      <c r="BK7" s="424" t="s">
        <v>128</v>
      </c>
      <c r="BL7" s="172">
        <f>COUNTIF($BM$5:BM7,"&lt;-115")</f>
        <v>0</v>
      </c>
      <c r="BM7" s="154" t="str">
        <f>IFERROR(IF(OR(IFERROR(VLOOKUP(BN7,$E$3:$E$105,1,FALSE),"0")=BN7,IFERROR(VLOOKUP(BN7,$R$3:$R$105,1,FALSE),"0")=BN7),BO7,IF(OR(VLOOKUP(BN7,Расчет!A:E,5,FALSE)="2PS",VLOOKUP(BN7,Расчет!A:E,5,FALSE)="2QL"),IF(VLOOKUP(BN7,Расчет!A:B,2,FALSE)="831W",BN7-$BS$7+$AD$17,BN7-$BS$7+$AD$12),BN7-$BS$7)),"-")</f>
        <v>-</v>
      </c>
      <c r="BN7" s="154">
        <f>IF(OR(Расчет!C4="A0",Расчет!C4="P9",Расчет!B4="722W"),"-",Расчет!A4)</f>
        <v>11055</v>
      </c>
      <c r="BO7" s="173">
        <f t="shared" si="15"/>
        <v>0</v>
      </c>
      <c r="BP7" s="172" t="str">
        <f>IF(BQ7="-","-",IFERROR(IF(OR(VLOOKUP(BN7,Расчет!$A$2:$E$582,5,FALSE)="2PS",VLOOKUP(BN7,Расчет!$A$2:$E$582,5,FALSE)="2QL"),IF(OR(VLOOKUP(BN7,Расчет!$A$2:$E$582,2,FALSE)="664W",VLOOKUP(BN7,Расчет!$A$2:$E$582,2,FALSE)="813W"),IF(BN7-$BS$7&gt;150,BN7-$BS$7-1000+$AD$12,BN7-$BS$7+$AD$12),IF(BN7-$BS$7&gt;150,BN7-$BS$7-1000+$AD$17,BN7-$BS$7+$AD$17)),IF(BN7-$BS$7&gt;150,BN7-$BS$7-1000,BN7-$BS$7)),"-"))</f>
        <v>-</v>
      </c>
      <c r="BQ7" s="173">
        <f t="shared" si="12"/>
        <v>11055</v>
      </c>
      <c r="BR7" s="453">
        <f>MAX(AO3:AO211)</f>
        <v>0</v>
      </c>
      <c r="BS7" s="171" t="e">
        <f>VLOOKUP(BR7,AO3:AP211,2,FALSE)</f>
        <v>#N/A</v>
      </c>
      <c r="BT7" s="464" t="str">
        <f t="shared" si="13"/>
        <v>-</v>
      </c>
      <c r="BU7" s="464" t="str">
        <f t="shared" si="14"/>
        <v>-</v>
      </c>
      <c r="BV7" s="636"/>
      <c r="BW7" s="637"/>
      <c r="BX7" s="204">
        <f>COUNTIF($BY$4:BY7,"&lt;100")</f>
        <v>0</v>
      </c>
      <c r="BY7" s="213" t="str">
        <f t="shared" si="4"/>
        <v/>
      </c>
      <c r="BZ7" s="216" t="str">
        <f t="shared" si="5"/>
        <v/>
      </c>
      <c r="CA7" s="213" t="e">
        <f t="shared" si="6"/>
        <v>#N/A</v>
      </c>
      <c r="CB7" s="209" t="e">
        <f t="shared" si="7"/>
        <v>#N/A</v>
      </c>
      <c r="CC7" s="205" t="str">
        <f t="shared" si="16"/>
        <v/>
      </c>
      <c r="CD7" s="205" t="str">
        <f t="shared" si="8"/>
        <v>-</v>
      </c>
      <c r="CE7" s="205">
        <f t="shared" si="17"/>
        <v>0</v>
      </c>
      <c r="CF7" s="10">
        <f t="shared" si="9"/>
        <v>91</v>
      </c>
      <c r="CG7" s="20" t="str">
        <f>IF(VLOOKUP(CF7,Расчет!I:R,10,FALSE)="",VLOOKUP(CF7,Расчет!I:R,9,FALSE),VLOOKUP(CF7,Расчет!I:R,10,FALSE))</f>
        <v>Mech</v>
      </c>
    </row>
    <row r="8" spans="1:85" ht="23.1" customHeight="1" thickBot="1">
      <c r="A8" s="40" t="str">
        <f>IF(AND(IFERROR(VLOOKUP(E8,Расчет!A:J,10,FALSE),"  ")&lt;&gt;"  ",IFERROR(LEFT(VLOOKUP(E8,Расчет!A:J,10,FALSE),1)," ")&lt;&gt;"H"),0,IFERROR(IF(F8="Camry",IF(OR(J8="2PS",J8="2QL"),IF(E8-AP8&gt;100,E8-AP8-1000+$AD$12,E8-AP8+$AD$12),IF(E8-AP8&gt;100,E8-AP8-1000,E8-AP8)),IF(J8="2PS",IF(E8-AP8&gt;100,E8-AP8-1000+$AD$17,E8-AP8+$AD$17),IF(E8-AP8&gt;100,E8-AP8-1000,E8-AP8))),"-"))</f>
        <v>-</v>
      </c>
      <c r="B8" s="46">
        <v>6</v>
      </c>
      <c r="C8" s="19" t="str">
        <f>IF(E8="","",COUNTA($E$3:E8))</f>
        <v/>
      </c>
      <c r="D8" s="18" t="str">
        <f t="shared" si="0"/>
        <v/>
      </c>
      <c r="E8" s="30"/>
      <c r="F8" s="44" t="str">
        <f>IFERROR(IF(VLOOKUP(E8,Расчет!$A$2:$B$650,2,FALSE)="664W","Camry",IF(VLOOKUP(E8,Расчет!$A$2:$B$650,2,FALSE)="813W","Goshi","RAV4")),"")</f>
        <v/>
      </c>
      <c r="G8" s="32" t="str">
        <f>IFERROR(IF(F8="Camry",VLOOKUP(E8,Расчет!$A$2:$Q$650,17,FALSE),VLOOKUP(E8,Расчет!$A$2:$R$650,18,FALSE)),"")</f>
        <v/>
      </c>
      <c r="H8" s="32" t="str">
        <f>IFERROR(VLOOKUP(VLOOKUP(E8,Расчет!$A:$D,4,FALSE),$AT$6:$AV$15,3,FALSE),"")</f>
        <v/>
      </c>
      <c r="I8" s="31" t="str">
        <f>IFERROR(VLOOKUP(IFERROR(VLOOKUP(E8,Расчет!$A$2:$D$650,4,FALSE),0),$AT$3:$AU$15,2,FALSE),"")</f>
        <v/>
      </c>
      <c r="J8" s="33" t="str">
        <f>IFERROR(VLOOKUP(E8,Расчет!$A$2:$E$650,5,FALSE),"")</f>
        <v/>
      </c>
      <c r="K8" s="189"/>
      <c r="L8" s="188">
        <f t="shared" si="10"/>
        <v>0</v>
      </c>
      <c r="M8" s="43"/>
      <c r="N8" s="40" t="str">
        <f>IF(AND(IFERROR(VLOOKUP(R8,Расчет!A:J,10,FALSE),"  ")&lt;&gt;"  ",IFERROR(LEFT(VLOOKUP(R8,Расчет!A:J,10,FALSE),1)," ")&lt;&gt;"H"),0,IFERROR(IF(S8="Camry",IF(OR(W8="2PS",W8="2QL"),IF(R8-AP111&gt;100,R8-AP111-1000+$AD$12,R8-AP111+$AD$12),IF(R8-AP111&gt;100,R8-AP111-1000,R8-AP111)),IF(W8="2PS",IF(R8-AP111&gt;100,R8-AP111-1000+$AD$17,R8-AP111+$AD$17),IF(R8-AP111&gt;100,R8-AP111-1000,R8-AP111))),"-"))</f>
        <v>-</v>
      </c>
      <c r="O8" s="46">
        <v>109</v>
      </c>
      <c r="P8" s="19" t="str">
        <f>IF(R8="","",COUNTA($R$3:R8)+$C$105)</f>
        <v/>
      </c>
      <c r="Q8" s="18" t="str">
        <f t="shared" si="1"/>
        <v/>
      </c>
      <c r="R8" s="30"/>
      <c r="S8" s="45" t="str">
        <f>IFERROR(IF(VLOOKUP(R8,Расчет!$A$2:$B$650,2,FALSE)="664W","Camry",IF(VLOOKUP(R8,Расчет!$A$2:$B$650,2,FALSE)="813W","Goshi","RAV4")),"")</f>
        <v/>
      </c>
      <c r="T8" s="32" t="str">
        <f>IFERROR(IF(S8="Camry",VLOOKUP(R8,Расчет!$A$2:$Q$650,17,FALSE),VLOOKUP(R8,Расчет!$A$2:$R$650,18,FALSE)),"")</f>
        <v/>
      </c>
      <c r="U8" s="32" t="str">
        <f>IFERROR(VLOOKUP(VLOOKUP(R8,Расчет!$A:$D,4,FALSE),$AT$6:$AV$15,3,FALSE),"")</f>
        <v/>
      </c>
      <c r="V8" s="31" t="str">
        <f>IFERROR(VLOOKUP(IFERROR(VLOOKUP(R8,Расчет!$A$2:$D$650,4,FALSE),0),$AT$3:$AU$15,2,FALSE),"")</f>
        <v/>
      </c>
      <c r="W8" s="33" t="str">
        <f>IFERROR(VLOOKUP(R8,Расчет!$A$2:$E$650,5,FALSE),"")</f>
        <v/>
      </c>
      <c r="X8" s="189"/>
      <c r="Y8" s="191">
        <f t="shared" si="11"/>
        <v>0</v>
      </c>
      <c r="Z8" s="176" t="str">
        <f>IFERROR(VLOOKUP(AA8,Расчет!$BS:$BT,2,FALSE),"")</f>
        <v/>
      </c>
      <c r="AA8" s="156" t="str">
        <f t="shared" si="18"/>
        <v/>
      </c>
      <c r="AB8" s="401" t="str">
        <f>IFERROR(VLOOKUP(AC8,Расчет!$BS:$BT,2,FALSE),"")</f>
        <v/>
      </c>
      <c r="AC8" s="156"/>
      <c r="AD8" s="417"/>
      <c r="AE8" s="195">
        <v>6</v>
      </c>
      <c r="AF8" s="44" t="str">
        <f>IF(VLOOKUP(AE8,Расчет!$AH$2:$AN$201,5,FALSE)="8","C",IF(VLOOKUP(AE8,Расчет!$AH$2:$AN$201,5,FALSE)="G","G","R"))</f>
        <v>C</v>
      </c>
      <c r="AG8" s="73" t="str">
        <f t="shared" si="2"/>
        <v/>
      </c>
      <c r="AH8" s="87" t="str">
        <f>IF(AG8="","",COUNTIF($AG$2:AG8,"C")-COUNTIF($AF$2:AF8,"C")+$AH$1)</f>
        <v/>
      </c>
      <c r="AI8" s="87" t="str">
        <f>IF(AG8="","",COUNTIF($AG$2:AG8,"R")-COUNTIF($AF$2:AF8,"R")+$AI$1)</f>
        <v/>
      </c>
      <c r="AJ8" s="89">
        <v>109</v>
      </c>
      <c r="AK8" s="44" t="str">
        <f>IF(VLOOKUP(AJ8,Расчет!$AH$2:$AN$211,5,FALSE)="8","C",IF(VLOOKUP(AJ8,Расчет!$AH$2:$AN$211,5,FALSE)="G","G","R"))</f>
        <v>C</v>
      </c>
      <c r="AL8" s="74" t="str">
        <f t="shared" si="3"/>
        <v/>
      </c>
      <c r="AM8" s="118" t="str">
        <f>IF(AL8="","",(COUNTIF($AG$2:$AG$105,"C")+COUNTIF($AL$2:$AL8,"C"))-(COUNTIF($AF$2:$AF$105,"C")+COUNTIF($AK$2:$AK8,"C"))+$AH$1)</f>
        <v/>
      </c>
      <c r="AN8" s="119" t="str">
        <f>IF(AL8="","",(COUNTIF($AG$2:$AG$105,"R")+COUNTIF($AL$2:$AL8,"R"))-(COUNTIF($AF$2:$AF$105,"R")+COUNTIF($AK$2:$AK8,"R"))+$AI$1)</f>
        <v/>
      </c>
      <c r="AO8" s="22" t="str">
        <f>IF(E8="","",COUNTA($E$3:E8)+$Z$1)</f>
        <v/>
      </c>
      <c r="AP8" s="88" t="str">
        <f>IF(AO8="","",IF(AO8+Расчет!$Y$57+$BD$2-Расчет!$X$57&gt;200,AO8+Расчет!$Y$57+$BD$2-1000,AO8+Расчет!$Y$57+$BD$2))</f>
        <v/>
      </c>
      <c r="AR8" s="92"/>
      <c r="AS8" s="92"/>
      <c r="AT8" s="230" t="s">
        <v>911</v>
      </c>
      <c r="AU8" s="230" t="s">
        <v>11</v>
      </c>
      <c r="AV8" s="438" t="s">
        <v>919</v>
      </c>
      <c r="AW8" s="48"/>
      <c r="AX8" s="47"/>
      <c r="AY8" s="665" t="s">
        <v>60</v>
      </c>
      <c r="AZ8" s="666"/>
      <c r="BA8" s="64">
        <f>COUNTIFS(I2:I105,"2,5 L",F2:F105,"Camry")+COUNTIFS(V2:V105,"2,5 L",S2:S105,"Camry")</f>
        <v>0</v>
      </c>
      <c r="BB8" s="48"/>
      <c r="BC8" s="48"/>
      <c r="BD8" s="66" t="s">
        <v>20</v>
      </c>
      <c r="BE8" s="59">
        <f>COUNTIFS($J$2:$J$105,BD8,$F$2:$F$105,"Camry")+COUNTIFS($W$2:$W$105,BD8,$S$2:$S$105,"Camry")</f>
        <v>0</v>
      </c>
      <c r="BF8" s="39">
        <f>COUNTIFS($J$2:$J$105,BD8,$F$2:$F$105,"RAV4")+COUNTIFS($W$2:$W$105,BD8,$S$2:$S$105,"RAV4")</f>
        <v>0</v>
      </c>
      <c r="BG8" s="141">
        <f t="shared" ref="BG8:BG14" si="19">BE8+BF8</f>
        <v>0</v>
      </c>
      <c r="BH8" s="142" t="e">
        <f t="shared" ref="BH8:BH18" si="20">BG8/$BG$19</f>
        <v>#DIV/0!</v>
      </c>
      <c r="BI8" s="143">
        <f>COUNTIF(Расчет!$AY$2:$AY$500,BD8)</f>
        <v>57</v>
      </c>
      <c r="BJ8" s="142">
        <f t="shared" ref="BJ8:BJ18" si="21">BI8/$BI$19</f>
        <v>0.32947976878612717</v>
      </c>
      <c r="BK8" s="180" t="e">
        <f>BH8-BJ8</f>
        <v>#DIV/0!</v>
      </c>
      <c r="BL8" s="172">
        <f>COUNTIF($BM$5:BM8,"&lt;-115")</f>
        <v>0</v>
      </c>
      <c r="BM8" s="154" t="str">
        <f>IFERROR(IF(OR(IFERROR(VLOOKUP(BN8,$E$3:$E$105,1,FALSE),"0")=BN8,IFERROR(VLOOKUP(BN8,$R$3:$R$105,1,FALSE),"0")=BN8),BO8,IF(OR(VLOOKUP(BN8,Расчет!A:E,5,FALSE)="2PS",VLOOKUP(BN8,Расчет!A:E,5,FALSE)="2QL"),IF(VLOOKUP(BN8,Расчет!A:B,2,FALSE)="831W",BN8-$BS$7+$AD$17,BN8-$BS$7+$AD$12),BN8-$BS$7)),"-")</f>
        <v>-</v>
      </c>
      <c r="BN8" s="154">
        <f>IF(OR(Расчет!C5="A0",Расчет!C5="P9",Расчет!B5="722W"),"-",Расчет!A5)</f>
        <v>11065</v>
      </c>
      <c r="BO8" s="173">
        <f t="shared" si="15"/>
        <v>0</v>
      </c>
      <c r="BP8" s="172" t="str">
        <f>IF(BQ8="-","-",IFERROR(IF(OR(VLOOKUP(BN8,Расчет!$A$2:$E$582,5,FALSE)="2PS",VLOOKUP(BN8,Расчет!$A$2:$E$582,5,FALSE)="2QL"),IF(OR(VLOOKUP(BN8,Расчет!$A$2:$E$582,2,FALSE)="664W",VLOOKUP(BN8,Расчет!$A$2:$E$582,2,FALSE)="813W"),IF(BN8-$BS$7&gt;150,BN8-$BS$7-1000+$AD$12,BN8-$BS$7+$AD$12),IF(BN8-$BS$7&gt;150,BN8-$BS$7-1000+$AD$17,BN8-$BS$7+$AD$17)),IF(BN8-$BS$7&gt;150,BN8-$BS$7-1000,BN8-$BS$7)),"-"))</f>
        <v>-</v>
      </c>
      <c r="BQ8" s="173">
        <f t="shared" si="12"/>
        <v>11065</v>
      </c>
      <c r="BR8" s="453"/>
      <c r="BS8" s="171"/>
      <c r="BT8" s="464" t="str">
        <f t="shared" si="13"/>
        <v>-</v>
      </c>
      <c r="BU8" s="464" t="str">
        <f t="shared" si="14"/>
        <v>-</v>
      </c>
      <c r="BW8" s="8"/>
      <c r="BX8" s="204">
        <f>COUNTIF($BY$4:BY8,"&lt;100")</f>
        <v>0</v>
      </c>
      <c r="BY8" s="213" t="str">
        <f t="shared" si="4"/>
        <v/>
      </c>
      <c r="BZ8" s="216" t="str">
        <f t="shared" si="5"/>
        <v/>
      </c>
      <c r="CA8" s="213" t="e">
        <f t="shared" si="6"/>
        <v>#N/A</v>
      </c>
      <c r="CB8" s="209" t="e">
        <f t="shared" si="7"/>
        <v>#N/A</v>
      </c>
      <c r="CC8" s="205" t="str">
        <f t="shared" si="16"/>
        <v/>
      </c>
      <c r="CD8" s="205" t="str">
        <f t="shared" si="8"/>
        <v>-</v>
      </c>
      <c r="CE8" s="205">
        <f t="shared" si="17"/>
        <v>0</v>
      </c>
      <c r="CF8" s="10">
        <f t="shared" si="9"/>
        <v>92</v>
      </c>
      <c r="CG8" s="20" t="str">
        <f>IF(VLOOKUP(CF8,Расчет!I:R,10,FALSE)="",VLOOKUP(CF8,Расчет!I:R,9,FALSE),VLOOKUP(CF8,Расчет!I:R,10,FALSE))</f>
        <v>Standard</v>
      </c>
    </row>
    <row r="9" spans="1:85" ht="23.1" customHeight="1" thickBot="1">
      <c r="A9" s="40" t="str">
        <f>IF(AND(IFERROR(VLOOKUP(E9,Расчет!A:J,10,FALSE),"  ")&lt;&gt;"  ",IFERROR(LEFT(VLOOKUP(E9,Расчет!A:J,10,FALSE),1)," ")&lt;&gt;"H"),0,IFERROR(IF(F9="Camry",IF(OR(J9="2PS",J9="2QL"),IF(E9-AP9&gt;100,E9-AP9-1000+$AD$12,E9-AP9+$AD$12),IF(E9-AP9&gt;100,E9-AP9-1000,E9-AP9)),IF(J9="2PS",IF(E9-AP9&gt;100,E9-AP9-1000+$AD$17,E9-AP9+$AD$17),IF(E9-AP9&gt;100,E9-AP9-1000,E9-AP9))),"-"))</f>
        <v>-</v>
      </c>
      <c r="B9" s="46">
        <v>7</v>
      </c>
      <c r="C9" s="19" t="str">
        <f>IF(E9="","",COUNTA($E$3:E9))</f>
        <v/>
      </c>
      <c r="D9" s="18" t="str">
        <f t="shared" si="0"/>
        <v/>
      </c>
      <c r="E9" s="30"/>
      <c r="F9" s="44" t="str">
        <f>IFERROR(IF(VLOOKUP(E9,Расчет!$A$2:$B$650,2,FALSE)="664W","Camry",IF(VLOOKUP(E9,Расчет!$A$2:$B$650,2,FALSE)="813W","Goshi","RAV4")),"")</f>
        <v/>
      </c>
      <c r="G9" s="32" t="str">
        <f>IFERROR(IF(F9="Camry",VLOOKUP(E9,Расчет!$A$2:$Q$650,17,FALSE),VLOOKUP(E9,Расчет!$A$2:$R$650,18,FALSE)),"")</f>
        <v/>
      </c>
      <c r="H9" s="32" t="str">
        <f>IFERROR(VLOOKUP(VLOOKUP(E9,Расчет!$A:$D,4,FALSE),$AT$6:$AV$15,3,FALSE),"")</f>
        <v/>
      </c>
      <c r="I9" s="31" t="str">
        <f>IFERROR(VLOOKUP(IFERROR(VLOOKUP(E9,Расчет!$A$2:$D$650,4,FALSE),0),$AT$3:$AU$15,2,FALSE),"")</f>
        <v/>
      </c>
      <c r="J9" s="33" t="str">
        <f>IFERROR(VLOOKUP(E9,Расчет!$A$2:$E$650,5,FALSE),"")</f>
        <v/>
      </c>
      <c r="K9" s="189"/>
      <c r="L9" s="188">
        <f t="shared" si="10"/>
        <v>0</v>
      </c>
      <c r="M9" s="43"/>
      <c r="N9" s="40" t="str">
        <f>IF(AND(IFERROR(VLOOKUP(R9,Расчет!A:J,10,FALSE),"  ")&lt;&gt;"  ",IFERROR(LEFT(VLOOKUP(R9,Расчет!A:J,10,FALSE),1)," ")&lt;&gt;"H"),0,IFERROR(IF(S9="Camry",IF(OR(W9="2PS",W9="2QL"),IF(R9-AP112&gt;100,R9-AP112-1000+$AD$12,R9-AP112+$AD$12),IF(R9-AP112&gt;100,R9-AP112-1000,R9-AP112)),IF(W9="2PS",IF(R9-AP112&gt;100,R9-AP112-1000+$AD$17,R9-AP112+$AD$17),IF(R9-AP112&gt;100,R9-AP112-1000,R9-AP112))),"-"))</f>
        <v>-</v>
      </c>
      <c r="O9" s="46">
        <v>110</v>
      </c>
      <c r="P9" s="19" t="str">
        <f>IF(R9="","",COUNTA($R$3:R9)+$C$105)</f>
        <v/>
      </c>
      <c r="Q9" s="18" t="str">
        <f t="shared" si="1"/>
        <v/>
      </c>
      <c r="R9" s="30"/>
      <c r="S9" s="45" t="str">
        <f>IFERROR(IF(VLOOKUP(R9,Расчет!$A$2:$B$650,2,FALSE)="664W","Camry",IF(VLOOKUP(R9,Расчет!$A$2:$B$650,2,FALSE)="813W","Goshi","RAV4")),"")</f>
        <v/>
      </c>
      <c r="T9" s="32" t="str">
        <f>IFERROR(IF(S9="Camry",VLOOKUP(R9,Расчет!$A$2:$Q$650,17,FALSE),VLOOKUP(R9,Расчет!$A$2:$R$650,18,FALSE)),"")</f>
        <v/>
      </c>
      <c r="U9" s="32" t="str">
        <f>IFERROR(VLOOKUP(VLOOKUP(R9,Расчет!$A:$D,4,FALSE),$AT$6:$AV$15,3,FALSE),"")</f>
        <v/>
      </c>
      <c r="V9" s="31" t="str">
        <f>IFERROR(VLOOKUP(IFERROR(VLOOKUP(R9,Расчет!$A$2:$D$650,4,FALSE),0),$AT$3:$AU$15,2,FALSE),"")</f>
        <v/>
      </c>
      <c r="W9" s="33" t="str">
        <f>IFERROR(VLOOKUP(R9,Расчет!$A$2:$E$650,5,FALSE),"")</f>
        <v/>
      </c>
      <c r="X9" s="189"/>
      <c r="Y9" s="191">
        <f t="shared" si="11"/>
        <v>0</v>
      </c>
      <c r="Z9" s="177" t="str">
        <f>IFERROR(VLOOKUP(AA9,Расчет!$BS:$BT,2,FALSE),"")</f>
        <v/>
      </c>
      <c r="AA9" s="156" t="str">
        <f t="shared" si="18"/>
        <v/>
      </c>
      <c r="AB9" s="402" t="str">
        <f>IFERROR(VLOOKUP(AC9,Расчет!$BS:$BT,2,FALSE),"")</f>
        <v/>
      </c>
      <c r="AC9" s="156"/>
      <c r="AD9" s="648" t="s">
        <v>1151</v>
      </c>
      <c r="AE9" s="89">
        <v>7</v>
      </c>
      <c r="AF9" s="44" t="str">
        <f>IF(VLOOKUP(AE9,Расчет!$AH$2:$AN$201,5,FALSE)="8","C",IF(VLOOKUP(AE9,Расчет!$AH$2:$AN$201,5,FALSE)="G","G","R"))</f>
        <v>R</v>
      </c>
      <c r="AG9" s="73" t="str">
        <f t="shared" si="2"/>
        <v/>
      </c>
      <c r="AH9" s="87" t="str">
        <f>IF(AG9="","",COUNTIF($AG$2:AG9,"C")-COUNTIF($AF$2:AF9,"C")+$AH$1)</f>
        <v/>
      </c>
      <c r="AI9" s="87" t="str">
        <f>IF(AG9="","",COUNTIF($AG$2:AG9,"R")-COUNTIF($AF$2:AF9,"R")+$AI$1)</f>
        <v/>
      </c>
      <c r="AJ9" s="89">
        <v>110</v>
      </c>
      <c r="AK9" s="44" t="str">
        <f>IF(VLOOKUP(AJ9,Расчет!$AH$2:$AN$211,5,FALSE)="8","C",IF(VLOOKUP(AJ9,Расчет!$AH$2:$AN$211,5,FALSE)="G","G","R"))</f>
        <v>R</v>
      </c>
      <c r="AL9" s="74" t="str">
        <f t="shared" si="3"/>
        <v/>
      </c>
      <c r="AM9" s="118" t="str">
        <f>IF(AL9="","",(COUNTIF($AG$2:$AG$105,"C")+COUNTIF($AL$2:$AL9,"C"))-(COUNTIF($AF$2:$AF$105,"C")+COUNTIF($AK$2:$AK9,"C"))+$AH$1)</f>
        <v/>
      </c>
      <c r="AN9" s="119" t="str">
        <f>IF(AL9="","",(COUNTIF($AG$2:$AG$105,"R")+COUNTIF($AL$2:$AL9,"R"))-(COUNTIF($AF$2:$AF$105,"R")+COUNTIF($AK$2:$AK9,"R"))+$AI$1)</f>
        <v/>
      </c>
      <c r="AO9" s="22" t="str">
        <f>IF(E9="","",COUNTA($E$3:E9)+$Z$1)</f>
        <v/>
      </c>
      <c r="AP9" s="88" t="str">
        <f>IF(AO9="","",IF(AO9+Расчет!$Y$57+$BD$2-Расчет!$X$57&gt;200,AO9+Расчет!$Y$57+$BD$2-1000,AO9+Расчет!$Y$57+$BD$2))</f>
        <v/>
      </c>
      <c r="AQ9" s="325" t="s">
        <v>15</v>
      </c>
      <c r="AR9" s="92"/>
      <c r="AS9" s="92"/>
      <c r="AT9" s="231" t="s">
        <v>912</v>
      </c>
      <c r="AU9" s="230" t="s">
        <v>11</v>
      </c>
      <c r="AV9" s="438" t="s">
        <v>919</v>
      </c>
      <c r="AW9" s="48"/>
      <c r="AX9" s="47"/>
      <c r="AY9" s="667" t="s">
        <v>59</v>
      </c>
      <c r="AZ9" s="668"/>
      <c r="BA9" s="65">
        <f>COUNTIF(I2:I105,"3,5 L")+COUNTIF(V2:V105,"3,5 L")</f>
        <v>0</v>
      </c>
      <c r="BB9" s="48"/>
      <c r="BC9" s="48"/>
      <c r="BD9" s="67" t="s">
        <v>21</v>
      </c>
      <c r="BE9" s="59">
        <f t="shared" ref="BE9:BE18" si="22">COUNTIFS($J$2:$J$105,BD9,$F$2:$F$105,"Camry")+COUNTIFS($W$2:$W$105,BD9,$S$2:$S$105,"Camry")</f>
        <v>0</v>
      </c>
      <c r="BF9" s="39">
        <f t="shared" ref="BF9:BF18" si="23">COUNTIFS($J$2:$J$105,BD9,$F$2:$F$105,"RAV4")+COUNTIFS($W$2:$W$105,BD9,$S$2:$S$105,"RAV4")</f>
        <v>0</v>
      </c>
      <c r="BG9" s="141">
        <f t="shared" si="19"/>
        <v>0</v>
      </c>
      <c r="BH9" s="142" t="e">
        <f t="shared" si="20"/>
        <v>#DIV/0!</v>
      </c>
      <c r="BI9" s="143">
        <f>COUNTIF(Расчет!$AY$2:$AY$500,BD9)</f>
        <v>7</v>
      </c>
      <c r="BJ9" s="142">
        <f t="shared" si="21"/>
        <v>4.046242774566474E-2</v>
      </c>
      <c r="BK9" s="180" t="e">
        <f t="shared" ref="BK9:BK15" si="24">BH9-BJ9</f>
        <v>#DIV/0!</v>
      </c>
      <c r="BL9" s="172">
        <f>COUNTIF($BM$5:BM9,"&lt;-115")</f>
        <v>0</v>
      </c>
      <c r="BM9" s="154" t="str">
        <f>IFERROR(IF(OR(IFERROR(VLOOKUP(BN9,$E$3:$E$105,1,FALSE),"0")=BN9,IFERROR(VLOOKUP(BN9,$R$3:$R$105,1,FALSE),"0")=BN9),BO9,IF(OR(VLOOKUP(BN9,Расчет!A:E,5,FALSE)="2PS",VLOOKUP(BN9,Расчет!A:E,5,FALSE)="2QL"),IF(VLOOKUP(BN9,Расчет!A:B,2,FALSE)="831W",BN9-$BS$7+$AD$17,BN9-$BS$7+$AD$12),BN9-$BS$7)),"-")</f>
        <v>-</v>
      </c>
      <c r="BN9" s="154" t="str">
        <f>IF(OR(Расчет!C6="A0",Расчет!C6="P9",Расчет!B6="722W"),"-",Расчет!A6)</f>
        <v>-</v>
      </c>
      <c r="BO9" s="173">
        <f t="shared" si="15"/>
        <v>0</v>
      </c>
      <c r="BP9" s="172" t="str">
        <f>IF(BQ9="-","-",IFERROR(IF(OR(VLOOKUP(BN9,Расчет!$A$2:$E$582,5,FALSE)="2PS",VLOOKUP(BN9,Расчет!$A$2:$E$582,5,FALSE)="2QL"),IF(OR(VLOOKUP(BN9,Расчет!$A$2:$E$582,2,FALSE)="664W",VLOOKUP(BN9,Расчет!$A$2:$E$582,2,FALSE)="813W"),IF(BN9-$BS$7&gt;150,BN9-$BS$7-1000+$AD$12,BN9-$BS$7+$AD$12),IF(BN9-$BS$7&gt;150,BN9-$BS$7-1000+$AD$17,BN9-$BS$7+$AD$17)),IF(BN9-$BS$7&gt;150,BN9-$BS$7-1000,BN9-$BS$7)),"-"))</f>
        <v>-</v>
      </c>
      <c r="BQ9" s="173" t="str">
        <f t="shared" si="12"/>
        <v>-</v>
      </c>
      <c r="BR9" s="453"/>
      <c r="BS9" s="171"/>
      <c r="BT9" s="464" t="str">
        <f t="shared" si="13"/>
        <v>-</v>
      </c>
      <c r="BU9" s="464" t="str">
        <f t="shared" si="14"/>
        <v>-</v>
      </c>
      <c r="BW9" s="8"/>
      <c r="BX9" s="204">
        <f>COUNTIF($BY$4:BY9,"&lt;100")</f>
        <v>0</v>
      </c>
      <c r="BY9" s="213" t="str">
        <f t="shared" si="4"/>
        <v/>
      </c>
      <c r="BZ9" s="216" t="str">
        <f t="shared" si="5"/>
        <v/>
      </c>
      <c r="CA9" s="213" t="e">
        <f t="shared" si="6"/>
        <v>#N/A</v>
      </c>
      <c r="CB9" s="209" t="e">
        <f t="shared" si="7"/>
        <v>#N/A</v>
      </c>
      <c r="CC9" s="205" t="str">
        <f t="shared" si="16"/>
        <v/>
      </c>
      <c r="CD9" s="205" t="str">
        <f t="shared" si="8"/>
        <v>-</v>
      </c>
      <c r="CE9" s="205">
        <f t="shared" si="17"/>
        <v>0</v>
      </c>
      <c r="CF9" s="10">
        <f t="shared" si="9"/>
        <v>93</v>
      </c>
      <c r="CG9" s="20" t="str">
        <f>IF(VLOOKUP(CF9,Расчет!I:R,10,FALSE)="",VLOOKUP(CF9,Расчет!I:R,9,FALSE),VLOOKUP(CF9,Расчет!I:R,10,FALSE))</f>
        <v>CVT</v>
      </c>
    </row>
    <row r="10" spans="1:85" ht="23.1" customHeight="1">
      <c r="A10" s="40" t="str">
        <f>IF(AND(IFERROR(VLOOKUP(E10,Расчет!A:J,10,FALSE),"  ")&lt;&gt;"  ",IFERROR(LEFT(VLOOKUP(E10,Расчет!A:J,10,FALSE),1)," ")&lt;&gt;"H"),0,IFERROR(IF(F10="Camry",IF(OR(J10="2PS",J10="2QL"),IF(E10-AP10&gt;100,E10-AP10-1000+$AD$12,E10-AP10+$AD$12),IF(E10-AP10&gt;100,E10-AP10-1000,E10-AP10)),IF(J10="2PS",IF(E10-AP10&gt;100,E10-AP10-1000+$AD$17,E10-AP10+$AD$17),IF(E10-AP10&gt;100,E10-AP10-1000,E10-AP10))),"-"))</f>
        <v>-</v>
      </c>
      <c r="B10" s="46">
        <v>8</v>
      </c>
      <c r="C10" s="19" t="str">
        <f>IF(E10="","",COUNTA($E$3:E10))</f>
        <v/>
      </c>
      <c r="D10" s="18" t="str">
        <f t="shared" si="0"/>
        <v/>
      </c>
      <c r="E10" s="30"/>
      <c r="F10" s="44" t="str">
        <f>IFERROR(IF(VLOOKUP(E10,Расчет!$A$2:$B$650,2,FALSE)="664W","Camry",IF(VLOOKUP(E10,Расчет!$A$2:$B$650,2,FALSE)="813W","Goshi","RAV4")),"")</f>
        <v/>
      </c>
      <c r="G10" s="32" t="str">
        <f>IFERROR(IF(F10="Camry",VLOOKUP(E10,Расчет!$A$2:$Q$650,17,FALSE),VLOOKUP(E10,Расчет!$A$2:$R$650,18,FALSE)),"")</f>
        <v/>
      </c>
      <c r="H10" s="32" t="str">
        <f>IFERROR(VLOOKUP(VLOOKUP(E10,Расчет!$A:$D,4,FALSE),$AT$6:$AV$15,3,FALSE),"")</f>
        <v/>
      </c>
      <c r="I10" s="31" t="str">
        <f>IFERROR(VLOOKUP(IFERROR(VLOOKUP(E10,Расчет!$A$2:$D$650,4,FALSE),0),$AT$3:$AU$15,2,FALSE),"")</f>
        <v/>
      </c>
      <c r="J10" s="33" t="str">
        <f>IFERROR(VLOOKUP(E10,Расчет!$A$2:$E$650,5,FALSE),"")</f>
        <v/>
      </c>
      <c r="K10" s="189"/>
      <c r="L10" s="188">
        <f t="shared" si="10"/>
        <v>0</v>
      </c>
      <c r="M10" s="43"/>
      <c r="N10" s="40" t="str">
        <f>IF(AND(IFERROR(VLOOKUP(R10,Расчет!A:J,10,FALSE),"  ")&lt;&gt;"  ",IFERROR(LEFT(VLOOKUP(R10,Расчет!A:J,10,FALSE),1)," ")&lt;&gt;"H"),0,IFERROR(IF(S10="Camry",IF(OR(W10="2PS",W10="2QL"),IF(R10-AP113&gt;100,R10-AP113-1000+$AD$12,R10-AP113+$AD$12),IF(R10-AP113&gt;100,R10-AP113-1000,R10-AP113)),IF(W10="2PS",IF(R10-AP113&gt;100,R10-AP113-1000+$AD$17,R10-AP113+$AD$17),IF(R10-AP113&gt;100,R10-AP113-1000,R10-AP113))),"-"))</f>
        <v>-</v>
      </c>
      <c r="O10" s="46">
        <v>111</v>
      </c>
      <c r="P10" s="19" t="str">
        <f>IF(R10="","",COUNTA($R$3:R10)+$C$105)</f>
        <v/>
      </c>
      <c r="Q10" s="18" t="str">
        <f t="shared" si="1"/>
        <v/>
      </c>
      <c r="R10" s="30"/>
      <c r="S10" s="45" t="str">
        <f>IFERROR(IF(VLOOKUP(R10,Расчет!$A$2:$B$650,2,FALSE)="664W","Camry",IF(VLOOKUP(R10,Расчет!$A$2:$B$650,2,FALSE)="813W","Goshi","RAV4")),"")</f>
        <v/>
      </c>
      <c r="T10" s="32" t="str">
        <f>IFERROR(IF(S10="Camry",VLOOKUP(R10,Расчет!$A$2:$Q$650,17,FALSE),VLOOKUP(R10,Расчет!$A$2:$R$650,18,FALSE)),"")</f>
        <v/>
      </c>
      <c r="U10" s="32" t="str">
        <f>IFERROR(VLOOKUP(VLOOKUP(R10,Расчет!$A:$D,4,FALSE),$AT$6:$AV$15,3,FALSE),"")</f>
        <v/>
      </c>
      <c r="V10" s="31" t="str">
        <f>IFERROR(VLOOKUP(IFERROR(VLOOKUP(R10,Расчет!$A$2:$D$650,4,FALSE),0),$AT$3:$AU$15,2,FALSE),"")</f>
        <v/>
      </c>
      <c r="W10" s="33" t="str">
        <f>IFERROR(VLOOKUP(R10,Расчет!$A$2:$E$650,5,FALSE),"")</f>
        <v/>
      </c>
      <c r="X10" s="189"/>
      <c r="Y10" s="191">
        <f t="shared" si="11"/>
        <v>0</v>
      </c>
      <c r="Z10" s="177" t="str">
        <f>IFERROR(VLOOKUP(AA10,Расчет!$BS:$BT,2,FALSE),"")</f>
        <v/>
      </c>
      <c r="AA10" s="156" t="str">
        <f t="shared" si="18"/>
        <v/>
      </c>
      <c r="AB10" s="402" t="str">
        <f>IFERROR(VLOOKUP(AC10,Расчет!$BS:$BT,2,FALSE),"")</f>
        <v/>
      </c>
      <c r="AC10" s="156"/>
      <c r="AD10" s="649"/>
      <c r="AE10" s="89">
        <v>8</v>
      </c>
      <c r="AF10" s="44" t="str">
        <f>IF(VLOOKUP(AE10,Расчет!$AH$2:$AN$201,5,FALSE)="8","C",IF(VLOOKUP(AE10,Расчет!$AH$2:$AN$201,5,FALSE)="G","G","R"))</f>
        <v>R</v>
      </c>
      <c r="AG10" s="73" t="str">
        <f t="shared" si="2"/>
        <v/>
      </c>
      <c r="AH10" s="87" t="str">
        <f>IF(AG10="","",COUNTIF($AG$2:AG10,"C")-COUNTIF($AF$2:AF10,"C")+$AH$1)</f>
        <v/>
      </c>
      <c r="AI10" s="87" t="str">
        <f>IF(AG10="","",COUNTIF($AG$2:AG10,"R")-COUNTIF($AF$2:AF10,"R")+$AI$1)</f>
        <v/>
      </c>
      <c r="AJ10" s="89">
        <v>111</v>
      </c>
      <c r="AK10" s="44" t="str">
        <f>IF(VLOOKUP(AJ10,Расчет!$AH$2:$AN$211,5,FALSE)="8","C",IF(VLOOKUP(AJ10,Расчет!$AH$2:$AN$211,5,FALSE)="G","G","R"))</f>
        <v>C</v>
      </c>
      <c r="AL10" s="74" t="str">
        <f t="shared" si="3"/>
        <v/>
      </c>
      <c r="AM10" s="118" t="str">
        <f>IF(AL10="","",(COUNTIF($AG$2:$AG$105,"C")+COUNTIF($AL$2:$AL10,"C"))-(COUNTIF($AF$2:$AF$105,"C")+COUNTIF($AK$2:$AK10,"C"))+$AH$1)</f>
        <v/>
      </c>
      <c r="AN10" s="119" t="str">
        <f>IF(AL10="","",(COUNTIF($AG$2:$AG$105,"R")+COUNTIF($AL$2:$AL10,"R"))-(COUNTIF($AF$2:$AF$105,"R")+COUNTIF($AK$2:$AK10,"R"))+$AI$1)</f>
        <v/>
      </c>
      <c r="AO10" s="22" t="str">
        <f>IF(E10="","",COUNTA($E$3:E10)+$Z$1)</f>
        <v/>
      </c>
      <c r="AP10" s="88" t="str">
        <f>IF(AO10="","",IF(AO10+Расчет!$Y$57+$BD$2-Расчет!$X$57&gt;200,AO10+Расчет!$Y$57+$BD$2-1000,AO10+Расчет!$Y$57+$BD$2))</f>
        <v/>
      </c>
      <c r="AQ10" s="325" t="s">
        <v>948</v>
      </c>
      <c r="AR10" s="92"/>
      <c r="AS10" s="92"/>
      <c r="AT10" s="231" t="s">
        <v>913</v>
      </c>
      <c r="AU10" s="230" t="s">
        <v>11</v>
      </c>
      <c r="AV10" s="438" t="s">
        <v>919</v>
      </c>
      <c r="AW10" s="48"/>
      <c r="AX10" s="617" t="s">
        <v>69</v>
      </c>
      <c r="AY10" s="618"/>
      <c r="AZ10" s="618"/>
      <c r="BA10" s="618"/>
      <c r="BB10" s="618"/>
      <c r="BC10" s="48"/>
      <c r="BD10" s="68" t="s">
        <v>80</v>
      </c>
      <c r="BE10" s="59">
        <f t="shared" si="22"/>
        <v>0</v>
      </c>
      <c r="BF10" s="39">
        <f t="shared" si="23"/>
        <v>0</v>
      </c>
      <c r="BG10" s="141">
        <f t="shared" si="19"/>
        <v>0</v>
      </c>
      <c r="BH10" s="142" t="e">
        <f t="shared" si="20"/>
        <v>#DIV/0!</v>
      </c>
      <c r="BI10" s="143">
        <f>COUNTIF(Расчет!$AY$2:$AY$500,BD10)</f>
        <v>58</v>
      </c>
      <c r="BJ10" s="142">
        <f t="shared" si="21"/>
        <v>0.33526011560693642</v>
      </c>
      <c r="BK10" s="180" t="e">
        <f t="shared" si="24"/>
        <v>#DIV/0!</v>
      </c>
      <c r="BL10" s="172">
        <f>COUNTIF($BM$5:BM10,"&lt;-115")</f>
        <v>0</v>
      </c>
      <c r="BM10" s="154" t="str">
        <f>IFERROR(IF(OR(IFERROR(VLOOKUP(BN10,$E$3:$E$105,1,FALSE),"0")=BN10,IFERROR(VLOOKUP(BN10,$R$3:$R$105,1,FALSE),"0")=BN10),BO10,IF(OR(VLOOKUP(BN10,Расчет!A:E,5,FALSE)="2PS",VLOOKUP(BN10,Расчет!A:E,5,FALSE)="2QL"),IF(VLOOKUP(BN10,Расчет!A:B,2,FALSE)="831W",BN10-$BS$7+$AD$17,BN10-$BS$7+$AD$12),BN10-$BS$7)),"-")</f>
        <v>-</v>
      </c>
      <c r="BN10" s="154">
        <f>IF(OR(Расчет!C7="A0",Расчет!C7="P9",Расчет!B7="722W"),"-",Расчет!A7)</f>
        <v>11087</v>
      </c>
      <c r="BO10" s="173">
        <f t="shared" si="15"/>
        <v>0</v>
      </c>
      <c r="BP10" s="172" t="str">
        <f>IF(BQ10="-","-",IFERROR(IF(OR(VLOOKUP(BN10,Расчет!$A$2:$E$582,5,FALSE)="2PS",VLOOKUP(BN10,Расчет!$A$2:$E$582,5,FALSE)="2QL"),IF(OR(VLOOKUP(BN10,Расчет!$A$2:$E$582,2,FALSE)="664W",VLOOKUP(BN10,Расчет!$A$2:$E$582,2,FALSE)="813W"),IF(BN10-$BS$7&gt;150,BN10-$BS$7-1000+$AD$12,BN10-$BS$7+$AD$12),IF(BN10-$BS$7&gt;150,BN10-$BS$7-1000+$AD$17,BN10-$BS$7+$AD$17)),IF(BN10-$BS$7&gt;150,BN10-$BS$7-1000,BN10-$BS$7)),"-"))</f>
        <v>-</v>
      </c>
      <c r="BQ10" s="173">
        <f t="shared" si="12"/>
        <v>11087</v>
      </c>
      <c r="BR10" s="453"/>
      <c r="BS10" s="171"/>
      <c r="BT10" s="464" t="str">
        <f t="shared" si="13"/>
        <v>-</v>
      </c>
      <c r="BU10" s="464" t="str">
        <f t="shared" si="14"/>
        <v>-</v>
      </c>
      <c r="BW10" s="8"/>
      <c r="BX10" s="204">
        <f>COUNTIF($BY$4:BY10,"&lt;100")</f>
        <v>0</v>
      </c>
      <c r="BY10" s="213" t="str">
        <f t="shared" si="4"/>
        <v/>
      </c>
      <c r="BZ10" s="216" t="str">
        <f t="shared" si="5"/>
        <v/>
      </c>
      <c r="CA10" s="213" t="e">
        <f t="shared" si="6"/>
        <v>#N/A</v>
      </c>
      <c r="CB10" s="209" t="e">
        <f t="shared" si="7"/>
        <v>#N/A</v>
      </c>
      <c r="CC10" s="205" t="str">
        <f t="shared" si="16"/>
        <v/>
      </c>
      <c r="CD10" s="205" t="str">
        <f t="shared" si="8"/>
        <v>-</v>
      </c>
      <c r="CE10" s="205">
        <f t="shared" si="17"/>
        <v>0</v>
      </c>
      <c r="CF10" s="10">
        <f t="shared" si="9"/>
        <v>94</v>
      </c>
      <c r="CG10" s="20" t="str">
        <f>IF(VLOOKUP(CF10,Расчет!I:R,10,FALSE)="",VLOOKUP(CF10,Расчет!I:R,9,FALSE),VLOOKUP(CF10,Расчет!I:R,10,FALSE))</f>
        <v>Standard</v>
      </c>
    </row>
    <row r="11" spans="1:85" ht="23.1" customHeight="1" thickBot="1">
      <c r="A11" s="40" t="str">
        <f>IF(AND(IFERROR(VLOOKUP(E11,Расчет!A:J,10,FALSE),"  ")&lt;&gt;"  ",IFERROR(LEFT(VLOOKUP(E11,Расчет!A:J,10,FALSE),1)," ")&lt;&gt;"H"),0,IFERROR(IF(F11="Camry",IF(OR(J11="2PS",J11="2QL"),IF(E11-AP11&gt;100,E11-AP11-1000+$AD$12,E11-AP11+$AD$12),IF(E11-AP11&gt;100,E11-AP11-1000,E11-AP11)),IF(J11="2PS",IF(E11-AP11&gt;100,E11-AP11-1000+$AD$17,E11-AP11+$AD$17),IF(E11-AP11&gt;100,E11-AP11-1000,E11-AP11))),"-"))</f>
        <v>-</v>
      </c>
      <c r="B11" s="46">
        <v>9</v>
      </c>
      <c r="C11" s="19" t="str">
        <f>IF(E11="","",COUNTA($E$3:E11))</f>
        <v/>
      </c>
      <c r="D11" s="18" t="str">
        <f t="shared" si="0"/>
        <v/>
      </c>
      <c r="E11" s="30"/>
      <c r="F11" s="44" t="str">
        <f>IFERROR(IF(VLOOKUP(E11,Расчет!$A$2:$B$650,2,FALSE)="664W","Camry",IF(VLOOKUP(E11,Расчет!$A$2:$B$650,2,FALSE)="813W","Goshi","RAV4")),"")</f>
        <v/>
      </c>
      <c r="G11" s="32" t="str">
        <f>IFERROR(IF(F11="Camry",VLOOKUP(E11,Расчет!$A$2:$Q$650,17,FALSE),VLOOKUP(E11,Расчет!$A$2:$R$650,18,FALSE)),"")</f>
        <v/>
      </c>
      <c r="H11" s="32" t="str">
        <f>IFERROR(VLOOKUP(VLOOKUP(E11,Расчет!$A:$D,4,FALSE),$AT$6:$AV$15,3,FALSE),"")</f>
        <v/>
      </c>
      <c r="I11" s="31" t="str">
        <f>IFERROR(VLOOKUP(IFERROR(VLOOKUP(E11,Расчет!$A$2:$D$650,4,FALSE),0),$AT$3:$AU$15,2,FALSE),"")</f>
        <v/>
      </c>
      <c r="J11" s="33" t="str">
        <f>IFERROR(VLOOKUP(E11,Расчет!$A$2:$E$650,5,FALSE),"")</f>
        <v/>
      </c>
      <c r="K11" s="189"/>
      <c r="L11" s="188">
        <f t="shared" si="10"/>
        <v>0</v>
      </c>
      <c r="M11" s="43"/>
      <c r="N11" s="40" t="str">
        <f>IF(AND(IFERROR(VLOOKUP(R11,Расчет!A:J,10,FALSE),"  ")&lt;&gt;"  ",IFERROR(LEFT(VLOOKUP(R11,Расчет!A:J,10,FALSE),1)," ")&lt;&gt;"H"),0,IFERROR(IF(S11="Camry",IF(OR(W11="2PS",W11="2QL"),IF(R11-AP114&gt;100,R11-AP114-1000+$AD$12,R11-AP114+$AD$12),IF(R11-AP114&gt;100,R11-AP114-1000,R11-AP114)),IF(W11="2PS",IF(R11-AP114&gt;100,R11-AP114-1000+$AD$17,R11-AP114+$AD$17),IF(R11-AP114&gt;100,R11-AP114-1000,R11-AP114))),"-"))</f>
        <v>-</v>
      </c>
      <c r="O11" s="46">
        <v>112</v>
      </c>
      <c r="P11" s="19" t="str">
        <f>IF(R11="","",COUNTA($R$3:R11)+$C$105)</f>
        <v/>
      </c>
      <c r="Q11" s="18" t="str">
        <f t="shared" si="1"/>
        <v/>
      </c>
      <c r="R11" s="30"/>
      <c r="S11" s="45" t="str">
        <f>IFERROR(IF(VLOOKUP(R11,Расчет!$A$2:$B$650,2,FALSE)="664W","Camry",IF(VLOOKUP(R11,Расчет!$A$2:$B$650,2,FALSE)="813W","Goshi","RAV4")),"")</f>
        <v/>
      </c>
      <c r="T11" s="32" t="str">
        <f>IFERROR(IF(S11="Camry",VLOOKUP(R11,Расчет!$A$2:$Q$650,17,FALSE),VLOOKUP(R11,Расчет!$A$2:$R$650,18,FALSE)),"")</f>
        <v/>
      </c>
      <c r="U11" s="32" t="str">
        <f>IFERROR(VLOOKUP(VLOOKUP(R11,Расчет!$A:$D,4,FALSE),$AT$6:$AV$15,3,FALSE),"")</f>
        <v/>
      </c>
      <c r="V11" s="31" t="str">
        <f>IFERROR(VLOOKUP(IFERROR(VLOOKUP(R11,Расчет!$A$2:$D$650,4,FALSE),0),$AT$3:$AU$15,2,FALSE),"")</f>
        <v/>
      </c>
      <c r="W11" s="33" t="str">
        <f>IFERROR(VLOOKUP(R11,Расчет!$A$2:$E$650,5,FALSE),"")</f>
        <v/>
      </c>
      <c r="X11" s="189"/>
      <c r="Y11" s="191">
        <f t="shared" si="11"/>
        <v>0</v>
      </c>
      <c r="Z11" s="177" t="str">
        <f>IFERROR(VLOOKUP(AA11,Расчет!$BS:$BT,2,FALSE),"")</f>
        <v/>
      </c>
      <c r="AA11" s="156" t="str">
        <f t="shared" si="18"/>
        <v/>
      </c>
      <c r="AB11" s="402" t="str">
        <f>IFERROR(VLOOKUP(AC11,Расчет!$BS:$BT,2,FALSE),"")</f>
        <v/>
      </c>
      <c r="AC11" s="156"/>
      <c r="AD11" s="650"/>
      <c r="AE11" s="89">
        <v>9</v>
      </c>
      <c r="AF11" s="44" t="str">
        <f>IF(VLOOKUP(AE11,Расчет!$AH$2:$AN$201,5,FALSE)="8","C",IF(VLOOKUP(AE11,Расчет!$AH$2:$AN$201,5,FALSE)="G","G","R"))</f>
        <v>C</v>
      </c>
      <c r="AG11" s="73" t="str">
        <f t="shared" si="2"/>
        <v/>
      </c>
      <c r="AH11" s="87" t="str">
        <f>IF(AG11="","",COUNTIF($AG$2:AG11,"C")-COUNTIF($AF$2:AF11,"C")+$AH$1)</f>
        <v/>
      </c>
      <c r="AI11" s="87" t="str">
        <f>IF(AG11="","",COUNTIF($AG$2:AG11,"R")-COUNTIF($AF$2:AF11,"R")+$AI$1)</f>
        <v/>
      </c>
      <c r="AJ11" s="89">
        <v>112</v>
      </c>
      <c r="AK11" s="44" t="str">
        <f>IF(VLOOKUP(AJ11,Расчет!$AH$2:$AN$211,5,FALSE)="8","C",IF(VLOOKUP(AJ11,Расчет!$AH$2:$AN$211,5,FALSE)="G","G","R"))</f>
        <v>R</v>
      </c>
      <c r="AL11" s="74" t="str">
        <f t="shared" si="3"/>
        <v/>
      </c>
      <c r="AM11" s="118" t="str">
        <f>IF(AL11="","",(COUNTIF($AG$2:$AG$105,"C")+COUNTIF($AL$2:$AL11,"C"))-(COUNTIF($AF$2:$AF$105,"C")+COUNTIF($AK$2:$AK11,"C"))+$AH$1)</f>
        <v/>
      </c>
      <c r="AN11" s="119" t="str">
        <f>IF(AL11="","",(COUNTIF($AG$2:$AG$105,"R")+COUNTIF($AL$2:$AL11,"R"))-(COUNTIF($AF$2:$AF$105,"R")+COUNTIF($AK$2:$AK11,"R"))+$AI$1)</f>
        <v/>
      </c>
      <c r="AO11" s="22" t="str">
        <f>IF(E11="","",COUNTA($E$3:E11)+$Z$1)</f>
        <v/>
      </c>
      <c r="AP11" s="88" t="str">
        <f>IF(AO11="","",IF(AO11+Расчет!$Y$57+$BD$2-Расчет!$X$57&gt;200,AO11+Расчет!$Y$57+$BD$2-1000,AO11+Расчет!$Y$57+$BD$2))</f>
        <v/>
      </c>
      <c r="AQ11" s="91" t="s">
        <v>150</v>
      </c>
      <c r="AR11" s="92"/>
      <c r="AS11" s="92"/>
      <c r="AT11" s="231" t="s">
        <v>905</v>
      </c>
      <c r="AU11" s="230" t="s">
        <v>11</v>
      </c>
      <c r="AV11" s="438" t="s">
        <v>919</v>
      </c>
      <c r="AW11" s="48"/>
      <c r="AX11" s="617"/>
      <c r="AY11" s="618"/>
      <c r="AZ11" s="618"/>
      <c r="BA11" s="618"/>
      <c r="BB11" s="618"/>
      <c r="BC11" s="48"/>
      <c r="BD11" s="69" t="s">
        <v>10</v>
      </c>
      <c r="BE11" s="59">
        <f t="shared" si="22"/>
        <v>0</v>
      </c>
      <c r="BF11" s="39">
        <f t="shared" si="23"/>
        <v>0</v>
      </c>
      <c r="BG11" s="141">
        <f t="shared" si="19"/>
        <v>0</v>
      </c>
      <c r="BH11" s="142" t="e">
        <f t="shared" si="20"/>
        <v>#DIV/0!</v>
      </c>
      <c r="BI11" s="143">
        <f>COUNTIF(Расчет!$AY$2:$AY$500,BD11)</f>
        <v>12</v>
      </c>
      <c r="BJ11" s="142">
        <f t="shared" si="21"/>
        <v>6.9364161849710976E-2</v>
      </c>
      <c r="BK11" s="180" t="e">
        <f t="shared" si="24"/>
        <v>#DIV/0!</v>
      </c>
      <c r="BL11" s="172">
        <f>COUNTIF($BM$5:BM11,"&lt;-115")</f>
        <v>0</v>
      </c>
      <c r="BM11" s="154" t="str">
        <f>IFERROR(IF(OR(IFERROR(VLOOKUP(BN11,$E$3:$E$105,1,FALSE),"0")=BN11,IFERROR(VLOOKUP(BN11,$R$3:$R$105,1,FALSE),"0")=BN11),BO11,IF(OR(VLOOKUP(BN11,Расчет!A:E,5,FALSE)="2PS",VLOOKUP(BN11,Расчет!A:E,5,FALSE)="2QL"),IF(VLOOKUP(BN11,Расчет!A:B,2,FALSE)="831W",BN11-$BS$7+$AD$17,BN11-$BS$7+$AD$12),BN11-$BS$7)),"-")</f>
        <v>-</v>
      </c>
      <c r="BN11" s="154">
        <f>IF(OR(Расчет!C8="A0",Расчет!C8="P9",Расчет!B8="722W"),"-",Расчет!A8)</f>
        <v>11090</v>
      </c>
      <c r="BO11" s="173">
        <f t="shared" si="15"/>
        <v>0</v>
      </c>
      <c r="BP11" s="172" t="str">
        <f>IF(BQ11="-","-",IFERROR(IF(OR(VLOOKUP(BN11,Расчет!$A$2:$E$582,5,FALSE)="2PS",VLOOKUP(BN11,Расчет!$A$2:$E$582,5,FALSE)="2QL"),IF(OR(VLOOKUP(BN11,Расчет!$A$2:$E$582,2,FALSE)="664W",VLOOKUP(BN11,Расчет!$A$2:$E$582,2,FALSE)="813W"),IF(BN11-$BS$7&gt;150,BN11-$BS$7-1000+$AD$12,BN11-$BS$7+$AD$12),IF(BN11-$BS$7&gt;150,BN11-$BS$7-1000+$AD$17,BN11-$BS$7+$AD$17)),IF(BN11-$BS$7&gt;150,BN11-$BS$7-1000,BN11-$BS$7)),"-"))</f>
        <v>-</v>
      </c>
      <c r="BQ11" s="173">
        <f t="shared" si="12"/>
        <v>11090</v>
      </c>
      <c r="BR11" s="453"/>
      <c r="BS11" s="171"/>
      <c r="BT11" s="464" t="str">
        <f t="shared" si="13"/>
        <v>-</v>
      </c>
      <c r="BU11" s="464" t="str">
        <f t="shared" si="14"/>
        <v>-</v>
      </c>
      <c r="BV11"/>
      <c r="BX11" s="204">
        <f>COUNTIF($BY$4:BY11,"&lt;100")</f>
        <v>0</v>
      </c>
      <c r="BY11" s="213" t="str">
        <f t="shared" si="4"/>
        <v/>
      </c>
      <c r="BZ11" s="216" t="str">
        <f t="shared" si="5"/>
        <v/>
      </c>
      <c r="CA11" s="213" t="e">
        <f t="shared" si="6"/>
        <v>#N/A</v>
      </c>
      <c r="CB11" s="209" t="e">
        <f t="shared" si="7"/>
        <v>#N/A</v>
      </c>
      <c r="CC11" s="205" t="str">
        <f t="shared" si="16"/>
        <v/>
      </c>
      <c r="CD11" s="205" t="str">
        <f t="shared" si="8"/>
        <v>-</v>
      </c>
      <c r="CE11" s="205">
        <f t="shared" si="17"/>
        <v>0</v>
      </c>
      <c r="CF11" s="348">
        <f>Расчет!AG10</f>
        <v>95</v>
      </c>
      <c r="CG11" s="20" t="str">
        <f>IF(VLOOKUP(CF11,Расчет!I:R,10,FALSE)="",VLOOKUP(CF11,Расчет!I:R,9,FALSE),VLOOKUP(CF11,Расчет!I:R,10,FALSE))</f>
        <v>Auto</v>
      </c>
    </row>
    <row r="12" spans="1:85" ht="23.1" customHeight="1" thickBot="1">
      <c r="A12" s="40" t="str">
        <f>IF(AND(IFERROR(VLOOKUP(E12,Расчет!A:J,10,FALSE),"  ")&lt;&gt;"  ",IFERROR(LEFT(VLOOKUP(E12,Расчет!A:J,10,FALSE),1)," ")&lt;&gt;"H"),0,IFERROR(IF(F12="Camry",IF(OR(J12="2PS",J12="2QL"),IF(E12-AP12&gt;100,E12-AP12-1000+$AD$12,E12-AP12+$AD$12),IF(E12-AP12&gt;100,E12-AP12-1000,E12-AP12)),IF(J12="2PS",IF(E12-AP12&gt;100,E12-AP12-1000+$AD$17,E12-AP12+$AD$17),IF(E12-AP12&gt;100,E12-AP12-1000,E12-AP12))),"-"))</f>
        <v>-</v>
      </c>
      <c r="B12" s="46">
        <v>10</v>
      </c>
      <c r="C12" s="19" t="str">
        <f>IF(E12="","",COUNTA($E$3:E12))</f>
        <v/>
      </c>
      <c r="D12" s="18" t="str">
        <f t="shared" si="0"/>
        <v/>
      </c>
      <c r="E12" s="30"/>
      <c r="F12" s="44" t="str">
        <f>IFERROR(IF(VLOOKUP(E12,Расчет!$A$2:$B$650,2,FALSE)="664W","Camry",IF(VLOOKUP(E12,Расчет!$A$2:$B$650,2,FALSE)="813W","Goshi","RAV4")),"")</f>
        <v/>
      </c>
      <c r="G12" s="32" t="str">
        <f>IFERROR(IF(F12="Camry",VLOOKUP(E12,Расчет!$A$2:$Q$650,17,FALSE),VLOOKUP(E12,Расчет!$A$2:$R$650,18,FALSE)),"")</f>
        <v/>
      </c>
      <c r="H12" s="32" t="str">
        <f>IFERROR(VLOOKUP(VLOOKUP(E12,Расчет!$A:$D,4,FALSE),$AT$6:$AV$15,3,FALSE),"")</f>
        <v/>
      </c>
      <c r="I12" s="31" t="str">
        <f>IFERROR(VLOOKUP(IFERROR(VLOOKUP(E12,Расчет!$A$2:$D$650,4,FALSE),0),$AT$3:$AU$15,2,FALSE),"")</f>
        <v/>
      </c>
      <c r="J12" s="33" t="str">
        <f>IFERROR(VLOOKUP(E12,Расчет!$A$2:$E$650,5,FALSE),"")</f>
        <v/>
      </c>
      <c r="K12" s="189"/>
      <c r="L12" s="188">
        <f t="shared" si="10"/>
        <v>0</v>
      </c>
      <c r="M12" s="43"/>
      <c r="N12" s="40" t="str">
        <f>IF(AND(IFERROR(VLOOKUP(R12,Расчет!A:J,10,FALSE),"  ")&lt;&gt;"  ",IFERROR(LEFT(VLOOKUP(R12,Расчет!A:J,10,FALSE),1)," ")&lt;&gt;"H"),0,IFERROR(IF(S12="Camry",IF(OR(W12="2PS",W12="2QL"),IF(R12-AP115&gt;100,R12-AP115-1000+$AD$12,R12-AP115+$AD$12),IF(R12-AP115&gt;100,R12-AP115-1000,R12-AP115)),IF(W12="2PS",IF(R12-AP115&gt;100,R12-AP115-1000+$AD$17,R12-AP115+$AD$17),IF(R12-AP115&gt;100,R12-AP115-1000,R12-AP115))),"-"))</f>
        <v>-</v>
      </c>
      <c r="O12" s="46">
        <v>113</v>
      </c>
      <c r="P12" s="19" t="str">
        <f>IF(R12="","",COUNTA($R$3:R12)+$C$105)</f>
        <v/>
      </c>
      <c r="Q12" s="18" t="str">
        <f t="shared" si="1"/>
        <v/>
      </c>
      <c r="R12" s="30"/>
      <c r="S12" s="45" t="str">
        <f>IFERROR(IF(VLOOKUP(R12,Расчет!$A$2:$B$650,2,FALSE)="664W","Camry",IF(VLOOKUP(R12,Расчет!$A$2:$B$650,2,FALSE)="813W","Goshi","RAV4")),"")</f>
        <v/>
      </c>
      <c r="T12" s="32" t="str">
        <f>IFERROR(IF(S12="Camry",VLOOKUP(R12,Расчет!$A$2:$Q$650,17,FALSE),VLOOKUP(R12,Расчет!$A$2:$R$650,18,FALSE)),"")</f>
        <v/>
      </c>
      <c r="U12" s="32" t="str">
        <f>IFERROR(VLOOKUP(VLOOKUP(R12,Расчет!$A:$D,4,FALSE),$AT$6:$AV$15,3,FALSE),"")</f>
        <v/>
      </c>
      <c r="V12" s="31" t="str">
        <f>IFERROR(VLOOKUP(IFERROR(VLOOKUP(R12,Расчет!$A$2:$D$650,4,FALSE),0),$AT$3:$AU$15,2,FALSE),"")</f>
        <v/>
      </c>
      <c r="W12" s="33" t="str">
        <f>IFERROR(VLOOKUP(R12,Расчет!$A$2:$E$650,5,FALSE),"")</f>
        <v/>
      </c>
      <c r="X12" s="189"/>
      <c r="Y12" s="191">
        <f t="shared" si="11"/>
        <v>0</v>
      </c>
      <c r="Z12" s="177" t="str">
        <f>IFERROR(VLOOKUP(AA12,Расчет!$BS:$BT,2,FALSE),"")</f>
        <v/>
      </c>
      <c r="AA12" s="156" t="str">
        <f t="shared" si="18"/>
        <v/>
      </c>
      <c r="AB12" s="402" t="str">
        <f>IFERROR(VLOOKUP(AC12,Расчет!$BS:$BT,2,FALSE),"")</f>
        <v/>
      </c>
      <c r="AC12" s="156"/>
      <c r="AD12" s="418">
        <v>111</v>
      </c>
      <c r="AE12" s="89">
        <v>10</v>
      </c>
      <c r="AF12" s="44" t="str">
        <f>IF(VLOOKUP(AE12,Расчет!$AH$2:$AN$201,5,FALSE)="8","C",IF(VLOOKUP(AE12,Расчет!$AH$2:$AN$201,5,FALSE)="G","G","R"))</f>
        <v>R</v>
      </c>
      <c r="AG12" s="73" t="str">
        <f t="shared" si="2"/>
        <v/>
      </c>
      <c r="AH12" s="87" t="str">
        <f>IF(AG12="","",COUNTIF($AG$2:AG12,"C")-COUNTIF($AF$2:AF12,"C")+$AH$1)</f>
        <v/>
      </c>
      <c r="AI12" s="87" t="str">
        <f>IF(AG12="","",COUNTIF($AG$2:AG12,"R")-COUNTIF($AF$2:AF12,"R")+$AI$1)</f>
        <v/>
      </c>
      <c r="AJ12" s="89">
        <v>113</v>
      </c>
      <c r="AK12" s="44" t="str">
        <f>IF(VLOOKUP(AJ12,Расчет!$AH$2:$AN$211,5,FALSE)="8","C",IF(VLOOKUP(AJ12,Расчет!$AH$2:$AN$211,5,FALSE)="G","G","R"))</f>
        <v>R</v>
      </c>
      <c r="AL12" s="74" t="str">
        <f t="shared" si="3"/>
        <v/>
      </c>
      <c r="AM12" s="118" t="str">
        <f>IF(AL12="","",(COUNTIF($AG$2:$AG$105,"C")+COUNTIF($AL$2:$AL12,"C"))-(COUNTIF($AF$2:$AF$105,"C")+COUNTIF($AK$2:$AK12,"C"))+$AH$1)</f>
        <v/>
      </c>
      <c r="AN12" s="119" t="str">
        <f>IF(AL12="","",(COUNTIF($AG$2:$AG$105,"R")+COUNTIF($AL$2:$AL12,"R"))-(COUNTIF($AF$2:$AF$105,"R")+COUNTIF($AK$2:$AK12,"R"))+$AI$1)</f>
        <v/>
      </c>
      <c r="AO12" s="22" t="str">
        <f>IF(E12="","",COUNTA($E$3:E12)+$Z$1)</f>
        <v/>
      </c>
      <c r="AP12" s="88" t="str">
        <f>IF(AO12="","",IF(AO12+Расчет!$Y$57+$BD$2-Расчет!$X$57&gt;200,AO12+Расчет!$Y$57+$BD$2-1000,AO12+Расчет!$Y$57+$BD$2))</f>
        <v/>
      </c>
      <c r="AQ12" s="8" t="s">
        <v>151</v>
      </c>
      <c r="AT12" s="231" t="s">
        <v>914</v>
      </c>
      <c r="AU12" s="230" t="s">
        <v>11</v>
      </c>
      <c r="AV12" s="438" t="s">
        <v>918</v>
      </c>
      <c r="AW12" s="48"/>
      <c r="AX12" s="47"/>
      <c r="AY12" s="669" t="s">
        <v>62</v>
      </c>
      <c r="AZ12" s="670"/>
      <c r="BA12" s="63">
        <f>COUNTIF(G2:G105,"Auto")+COUNTIF(T2:T105,"Auto")</f>
        <v>0</v>
      </c>
      <c r="BB12" s="48"/>
      <c r="BC12" s="48"/>
      <c r="BD12" s="239">
        <v>221</v>
      </c>
      <c r="BE12" s="59">
        <f t="shared" si="22"/>
        <v>0</v>
      </c>
      <c r="BF12" s="39">
        <f t="shared" si="23"/>
        <v>0</v>
      </c>
      <c r="BG12" s="141">
        <f t="shared" si="19"/>
        <v>0</v>
      </c>
      <c r="BH12" s="142" t="e">
        <f t="shared" si="20"/>
        <v>#DIV/0!</v>
      </c>
      <c r="BI12" s="143">
        <f>COUNTIF(Расчет!$AY$2:$AY$500,BD12)</f>
        <v>2</v>
      </c>
      <c r="BJ12" s="142">
        <f t="shared" si="21"/>
        <v>1.1560693641618497E-2</v>
      </c>
      <c r="BK12" s="180" t="e">
        <f t="shared" si="24"/>
        <v>#DIV/0!</v>
      </c>
      <c r="BL12" s="172">
        <f>COUNTIF($BM$5:BM12,"&lt;-115")</f>
        <v>0</v>
      </c>
      <c r="BM12" s="154" t="str">
        <f>IFERROR(IF(OR(IFERROR(VLOOKUP(BN12,$E$3:$E$105,1,FALSE),"0")=BN12,IFERROR(VLOOKUP(BN12,$R$3:$R$105,1,FALSE),"0")=BN12),BO12,IF(OR(VLOOKUP(BN12,Расчет!A:E,5,FALSE)="2PS",VLOOKUP(BN12,Расчет!A:E,5,FALSE)="2QL"),IF(VLOOKUP(BN12,Расчет!A:B,2,FALSE)="831W",BN12-$BS$7+$AD$17,BN12-$BS$7+$AD$12),BN12-$BS$7)),"-")</f>
        <v>-</v>
      </c>
      <c r="BN12" s="154">
        <f>IF(OR(Расчет!C9="A0",Расчет!C9="P9",Расчет!B9="722W"),"-",Расчет!A9)</f>
        <v>11097</v>
      </c>
      <c r="BO12" s="173">
        <f t="shared" si="15"/>
        <v>0</v>
      </c>
      <c r="BP12" s="172" t="str">
        <f>IF(BQ12="-","-",IFERROR(IF(OR(VLOOKUP(BN12,Расчет!$A$2:$E$582,5,FALSE)="2PS",VLOOKUP(BN12,Расчет!$A$2:$E$582,5,FALSE)="2QL"),IF(OR(VLOOKUP(BN12,Расчет!$A$2:$E$582,2,FALSE)="664W",VLOOKUP(BN12,Расчет!$A$2:$E$582,2,FALSE)="813W"),IF(BN12-$BS$7&gt;150,BN12-$BS$7-1000+$AD$12,BN12-$BS$7+$AD$12),IF(BN12-$BS$7&gt;150,BN12-$BS$7-1000+$AD$17,BN12-$BS$7+$AD$17)),IF(BN12-$BS$7&gt;150,BN12-$BS$7-1000,BN12-$BS$7)),"-"))</f>
        <v>-</v>
      </c>
      <c r="BQ12" s="173">
        <f t="shared" si="12"/>
        <v>11097</v>
      </c>
      <c r="BR12" s="453"/>
      <c r="BS12" s="171"/>
      <c r="BT12" s="464" t="str">
        <f t="shared" si="13"/>
        <v>-</v>
      </c>
      <c r="BU12" s="464" t="str">
        <f t="shared" si="14"/>
        <v>-</v>
      </c>
      <c r="BV12"/>
      <c r="BX12" s="204">
        <f>COUNTIF($BY$4:BY12,"&lt;100")</f>
        <v>0</v>
      </c>
      <c r="BY12" s="213" t="str">
        <f t="shared" si="4"/>
        <v/>
      </c>
      <c r="BZ12" s="216" t="str">
        <f t="shared" si="5"/>
        <v/>
      </c>
      <c r="CA12" s="213" t="e">
        <f t="shared" si="6"/>
        <v>#N/A</v>
      </c>
      <c r="CB12" s="209" t="e">
        <f t="shared" si="7"/>
        <v>#N/A</v>
      </c>
      <c r="CC12" s="205" t="str">
        <f t="shared" si="16"/>
        <v/>
      </c>
      <c r="CD12" s="205" t="str">
        <f t="shared" si="8"/>
        <v>-</v>
      </c>
      <c r="CE12" s="205">
        <f t="shared" si="17"/>
        <v>0</v>
      </c>
      <c r="CG12" s="20" t="str">
        <f t="shared" ref="CG12:CG43" si="25">G3</f>
        <v/>
      </c>
    </row>
    <row r="13" spans="1:85" ht="23.1" customHeight="1" thickBot="1">
      <c r="A13" s="40" t="str">
        <f>IF(AND(IFERROR(VLOOKUP(E13,Расчет!A:J,10,FALSE),"  ")&lt;&gt;"  ",IFERROR(LEFT(VLOOKUP(E13,Расчет!A:J,10,FALSE),1)," ")&lt;&gt;"H"),0,IFERROR(IF(F13="Camry",IF(OR(J13="2PS",J13="2QL"),IF(E13-AP13&gt;100,E13-AP13-1000+$AD$12,E13-AP13+$AD$12),IF(E13-AP13&gt;100,E13-AP13-1000,E13-AP13)),IF(J13="2PS",IF(E13-AP13&gt;100,E13-AP13-1000+$AD$17,E13-AP13+$AD$17),IF(E13-AP13&gt;100,E13-AP13-1000,E13-AP13))),"-"))</f>
        <v>-</v>
      </c>
      <c r="B13" s="46">
        <v>11</v>
      </c>
      <c r="C13" s="19" t="str">
        <f>IF(E13="","",COUNTA($E$3:E13))</f>
        <v/>
      </c>
      <c r="D13" s="18" t="str">
        <f t="shared" si="0"/>
        <v/>
      </c>
      <c r="E13" s="30"/>
      <c r="F13" s="44" t="str">
        <f>IFERROR(IF(VLOOKUP(E13,Расчет!$A$2:$B$650,2,FALSE)="664W","Camry",IF(VLOOKUP(E13,Расчет!$A$2:$B$650,2,FALSE)="813W","Goshi","RAV4")),"")</f>
        <v/>
      </c>
      <c r="G13" s="32" t="str">
        <f>IFERROR(IF(F13="Camry",VLOOKUP(E13,Расчет!$A$2:$Q$650,17,FALSE),VLOOKUP(E13,Расчет!$A$2:$R$650,18,FALSE)),"")</f>
        <v/>
      </c>
      <c r="H13" s="32" t="str">
        <f>IFERROR(VLOOKUP(VLOOKUP(E13,Расчет!$A:$D,4,FALSE),$AT$6:$AV$15,3,FALSE),"")</f>
        <v/>
      </c>
      <c r="I13" s="31" t="str">
        <f>IFERROR(VLOOKUP(IFERROR(VLOOKUP(E13,Расчет!$A$2:$D$650,4,FALSE),0),$AT$3:$AU$15,2,FALSE),"")</f>
        <v/>
      </c>
      <c r="J13" s="33" t="str">
        <f>IFERROR(VLOOKUP(E13,Расчет!$A$2:$E$650,5,FALSE),"")</f>
        <v/>
      </c>
      <c r="K13" s="189"/>
      <c r="L13" s="188">
        <f t="shared" si="10"/>
        <v>0</v>
      </c>
      <c r="M13" s="43"/>
      <c r="N13" s="40" t="str">
        <f>IF(AND(IFERROR(VLOOKUP(R13,Расчет!A:J,10,FALSE),"  ")&lt;&gt;"  ",IFERROR(LEFT(VLOOKUP(R13,Расчет!A:J,10,FALSE),1)," ")&lt;&gt;"H"),0,IFERROR(IF(S13="Camry",IF(OR(W13="2PS",W13="2QL"),IF(R13-AP116&gt;100,R13-AP116-1000+$AD$12,R13-AP116+$AD$12),IF(R13-AP116&gt;100,R13-AP116-1000,R13-AP116)),IF(W13="2PS",IF(R13-AP116&gt;100,R13-AP116-1000+$AD$17,R13-AP116+$AD$17),IF(R13-AP116&gt;100,R13-AP116-1000,R13-AP116))),"-"))</f>
        <v>-</v>
      </c>
      <c r="O13" s="46">
        <v>114</v>
      </c>
      <c r="P13" s="19" t="str">
        <f>IF(R13="","",COUNTA($R$3:R13)+$C$105)</f>
        <v/>
      </c>
      <c r="Q13" s="18" t="str">
        <f t="shared" si="1"/>
        <v/>
      </c>
      <c r="R13" s="30"/>
      <c r="S13" s="45" t="str">
        <f>IFERROR(IF(VLOOKUP(R13,Расчет!$A$2:$B$650,2,FALSE)="664W","Camry",IF(VLOOKUP(R13,Расчет!$A$2:$B$650,2,FALSE)="813W","Goshi","RAV4")),"")</f>
        <v/>
      </c>
      <c r="T13" s="32" t="str">
        <f>IFERROR(IF(S13="Camry",VLOOKUP(R13,Расчет!$A$2:$Q$650,17,FALSE),VLOOKUP(R13,Расчет!$A$2:$R$650,18,FALSE)),"")</f>
        <v/>
      </c>
      <c r="U13" s="32" t="str">
        <f>IFERROR(VLOOKUP(VLOOKUP(R13,Расчет!$A:$D,4,FALSE),$AT$6:$AV$15,3,FALSE),"")</f>
        <v/>
      </c>
      <c r="V13" s="31" t="str">
        <f>IFERROR(VLOOKUP(IFERROR(VLOOKUP(R13,Расчет!$A$2:$D$650,4,FALSE),0),$AT$3:$AU$15,2,FALSE),"")</f>
        <v/>
      </c>
      <c r="W13" s="33" t="str">
        <f>IFERROR(VLOOKUP(R13,Расчет!$A$2:$E$650,5,FALSE),"")</f>
        <v/>
      </c>
      <c r="X13" s="189"/>
      <c r="Y13" s="191">
        <f t="shared" si="11"/>
        <v>0</v>
      </c>
      <c r="Z13" s="177" t="str">
        <f>IFERROR(VLOOKUP(AA13,Расчет!$BS:$BT,2,FALSE),"")</f>
        <v/>
      </c>
      <c r="AA13" s="156" t="str">
        <f t="shared" si="18"/>
        <v/>
      </c>
      <c r="AB13" s="402" t="str">
        <f>IFERROR(VLOOKUP(AC13,Расчет!$BS:$BT,2,FALSE),"")</f>
        <v/>
      </c>
      <c r="AC13" s="156"/>
      <c r="AD13" s="414"/>
      <c r="AE13" s="89">
        <v>11</v>
      </c>
      <c r="AF13" s="44" t="str">
        <f>IF(VLOOKUP(AE13,Расчет!$AH$2:$AN$201,5,FALSE)="8","C",IF(VLOOKUP(AE13,Расчет!$AH$2:$AN$201,5,FALSE)="G","G","R"))</f>
        <v>C</v>
      </c>
      <c r="AG13" s="73" t="str">
        <f t="shared" si="2"/>
        <v/>
      </c>
      <c r="AH13" s="87" t="str">
        <f>IF(AG13="","",COUNTIF($AG$2:AG13,"C")-COUNTIF($AF$2:AF13,"C")+$AH$1)</f>
        <v/>
      </c>
      <c r="AI13" s="87" t="str">
        <f>IF(AG13="","",COUNTIF($AG$2:AG13,"R")-COUNTIF($AF$2:AF13,"R")+$AI$1)</f>
        <v/>
      </c>
      <c r="AJ13" s="89">
        <v>114</v>
      </c>
      <c r="AK13" s="44" t="str">
        <f>IF(VLOOKUP(AJ13,Расчет!$AH$2:$AN$211,5,FALSE)="8","C",IF(VLOOKUP(AJ13,Расчет!$AH$2:$AN$211,5,FALSE)="G","G","R"))</f>
        <v>C</v>
      </c>
      <c r="AL13" s="74" t="str">
        <f t="shared" si="3"/>
        <v/>
      </c>
      <c r="AM13" s="118" t="str">
        <f>IF(AL13="","",(COUNTIF($AG$2:$AG$105,"C")+COUNTIF($AL$2:$AL13,"C"))-(COUNTIF($AF$2:$AF$105,"C")+COUNTIF($AK$2:$AK13,"C"))+$AH$1)</f>
        <v/>
      </c>
      <c r="AN13" s="119" t="str">
        <f>IF(AL13="","",(COUNTIF($AG$2:$AG$105,"R")+COUNTIF($AL$2:$AL13,"R"))-(COUNTIF($AF$2:$AF$105,"R")+COUNTIF($AK$2:$AK13,"R"))+$AI$1)</f>
        <v/>
      </c>
      <c r="AO13" s="22" t="str">
        <f>IF(E13="","",COUNTA($E$3:E13)+$Z$1)</f>
        <v/>
      </c>
      <c r="AP13" s="88" t="str">
        <f>IF(AO13="","",IF(AO13+Расчет!$Y$57+$BD$2-Расчет!$X$57&gt;200,AO13+Расчет!$Y$57+$BD$2-1000,AO13+Расчет!$Y$57+$BD$2))</f>
        <v/>
      </c>
      <c r="AT13" s="231" t="s">
        <v>915</v>
      </c>
      <c r="AU13" s="230" t="s">
        <v>11</v>
      </c>
      <c r="AV13" s="271" t="s">
        <v>935</v>
      </c>
      <c r="AW13" s="48"/>
      <c r="AX13" s="47"/>
      <c r="AY13" s="655" t="s">
        <v>63</v>
      </c>
      <c r="AZ13" s="656"/>
      <c r="BA13" s="64">
        <f>COUNTIF(G2:G105,"CVT")+COUNTIF(T2:T105,"CVT")</f>
        <v>0</v>
      </c>
      <c r="BB13" s="48"/>
      <c r="BC13" s="48"/>
      <c r="BD13" s="240" t="s">
        <v>79</v>
      </c>
      <c r="BE13" s="59">
        <f t="shared" si="22"/>
        <v>0</v>
      </c>
      <c r="BF13" s="39">
        <f t="shared" si="23"/>
        <v>0</v>
      </c>
      <c r="BG13" s="141">
        <f t="shared" si="19"/>
        <v>0</v>
      </c>
      <c r="BH13" s="142" t="e">
        <f t="shared" si="20"/>
        <v>#DIV/0!</v>
      </c>
      <c r="BI13" s="143">
        <f>COUNTIF(Расчет!$AY$2:$AY$500,BD13)</f>
        <v>9</v>
      </c>
      <c r="BJ13" s="142">
        <f t="shared" si="21"/>
        <v>5.2023121387283239E-2</v>
      </c>
      <c r="BK13" s="180" t="e">
        <f>BH13-BJ13</f>
        <v>#DIV/0!</v>
      </c>
      <c r="BL13" s="172">
        <f>COUNTIF($BM$5:BM13,"&lt;-115")</f>
        <v>0</v>
      </c>
      <c r="BM13" s="154" t="str">
        <f>IFERROR(IF(OR(IFERROR(VLOOKUP(BN13,$E$3:$E$105,1,FALSE),"0")=BN13,IFERROR(VLOOKUP(BN13,$R$3:$R$105,1,FALSE),"0")=BN13),BO13,IF(OR(VLOOKUP(BN13,Расчет!A:E,5,FALSE)="2PS",VLOOKUP(BN13,Расчет!A:E,5,FALSE)="2QL"),IF(VLOOKUP(BN13,Расчет!A:B,2,FALSE)="831W",BN13-$BS$7+$AD$17,BN13-$BS$7+$AD$12),BN13-$BS$7)),"-")</f>
        <v>-</v>
      </c>
      <c r="BN13" s="154">
        <f>IF(OR(Расчет!C10="A0",Расчет!C10="P9",Расчет!B10="722W"),"-",Расчет!A10)</f>
        <v>11108</v>
      </c>
      <c r="BO13" s="173">
        <f t="shared" si="15"/>
        <v>0</v>
      </c>
      <c r="BP13" s="172" t="str">
        <f>IF(BQ13="-","-",IFERROR(IF(OR(VLOOKUP(BN13,Расчет!$A$2:$E$582,5,FALSE)="2PS",VLOOKUP(BN13,Расчет!$A$2:$E$582,5,FALSE)="2QL"),IF(OR(VLOOKUP(BN13,Расчет!$A$2:$E$582,2,FALSE)="664W",VLOOKUP(BN13,Расчет!$A$2:$E$582,2,FALSE)="813W"),IF(BN13-$BS$7&gt;150,BN13-$BS$7-1000+$AD$12,BN13-$BS$7+$AD$12),IF(BN13-$BS$7&gt;150,BN13-$BS$7-1000+$AD$17,BN13-$BS$7+$AD$17)),IF(BN13-$BS$7&gt;150,BN13-$BS$7-1000,BN13-$BS$7)),"-"))</f>
        <v>-</v>
      </c>
      <c r="BQ13" s="173">
        <f t="shared" si="12"/>
        <v>11108</v>
      </c>
      <c r="BR13" s="453"/>
      <c r="BS13" s="171"/>
      <c r="BT13" s="464" t="str">
        <f t="shared" si="13"/>
        <v>-</v>
      </c>
      <c r="BU13" s="464" t="str">
        <f t="shared" si="14"/>
        <v>-</v>
      </c>
      <c r="BX13" s="204">
        <f>COUNTIF($BY$4:BY13,"&lt;100")</f>
        <v>0</v>
      </c>
      <c r="BY13" s="213" t="str">
        <f t="shared" si="4"/>
        <v/>
      </c>
      <c r="BZ13" s="216" t="str">
        <f t="shared" si="5"/>
        <v/>
      </c>
      <c r="CA13" s="213" t="e">
        <f t="shared" si="6"/>
        <v>#N/A</v>
      </c>
      <c r="CB13" s="209" t="e">
        <f t="shared" si="7"/>
        <v>#N/A</v>
      </c>
      <c r="CC13" s="205" t="str">
        <f t="shared" si="16"/>
        <v/>
      </c>
      <c r="CD13" s="205" t="str">
        <f t="shared" si="8"/>
        <v>-</v>
      </c>
      <c r="CE13" s="205">
        <f t="shared" si="17"/>
        <v>0</v>
      </c>
      <c r="CG13" s="20" t="str">
        <f t="shared" si="25"/>
        <v/>
      </c>
    </row>
    <row r="14" spans="1:85" ht="23.1" customHeight="1">
      <c r="A14" s="40" t="str">
        <f>IF(AND(IFERROR(VLOOKUP(E14,Расчет!A:J,10,FALSE),"  ")&lt;&gt;"  ",IFERROR(LEFT(VLOOKUP(E14,Расчет!A:J,10,FALSE),1)," ")&lt;&gt;"H"),0,IFERROR(IF(F14="Camry",IF(OR(J14="2PS",J14="2QL"),IF(E14-AP14&gt;100,E14-AP14-1000+$AD$12,E14-AP14+$AD$12),IF(E14-AP14&gt;100,E14-AP14-1000,E14-AP14)),IF(J14="2PS",IF(E14-AP14&gt;100,E14-AP14-1000+$AD$17,E14-AP14+$AD$17),IF(E14-AP14&gt;100,E14-AP14-1000,E14-AP14))),"-"))</f>
        <v>-</v>
      </c>
      <c r="B14" s="46">
        <v>12</v>
      </c>
      <c r="C14" s="19" t="str">
        <f>IF(E14="","",COUNTA($E$3:E14))</f>
        <v/>
      </c>
      <c r="D14" s="18" t="str">
        <f t="shared" si="0"/>
        <v/>
      </c>
      <c r="E14" s="30"/>
      <c r="F14" s="44" t="str">
        <f>IFERROR(IF(VLOOKUP(E14,Расчет!$A$2:$B$650,2,FALSE)="664W","Camry",IF(VLOOKUP(E14,Расчет!$A$2:$B$650,2,FALSE)="813W","Goshi","RAV4")),"")</f>
        <v/>
      </c>
      <c r="G14" s="32" t="str">
        <f>IFERROR(IF(F14="Camry",VLOOKUP(E14,Расчет!$A$2:$Q$650,17,FALSE),VLOOKUP(E14,Расчет!$A$2:$R$650,18,FALSE)),"")</f>
        <v/>
      </c>
      <c r="H14" s="32" t="str">
        <f>IFERROR(VLOOKUP(VLOOKUP(E14,Расчет!$A:$D,4,FALSE),$AT$6:$AV$15,3,FALSE),"")</f>
        <v/>
      </c>
      <c r="I14" s="31" t="str">
        <f>IFERROR(VLOOKUP(IFERROR(VLOOKUP(E14,Расчет!$A$2:$D$650,4,FALSE),0),$AT$3:$AU$15,2,FALSE),"")</f>
        <v/>
      </c>
      <c r="J14" s="33" t="str">
        <f>IFERROR(VLOOKUP(E14,Расчет!$A$2:$E$650,5,FALSE),"")</f>
        <v/>
      </c>
      <c r="K14" s="189"/>
      <c r="L14" s="188">
        <f t="shared" si="10"/>
        <v>0</v>
      </c>
      <c r="M14" s="43"/>
      <c r="N14" s="40" t="str">
        <f>IF(AND(IFERROR(VLOOKUP(R14,Расчет!A:J,10,FALSE),"  ")&lt;&gt;"  ",IFERROR(LEFT(VLOOKUP(R14,Расчет!A:J,10,FALSE),1)," ")&lt;&gt;"H"),0,IFERROR(IF(S14="Camry",IF(OR(W14="2PS",W14="2QL"),IF(R14-AP117&gt;100,R14-AP117-1000+$AD$12,R14-AP117+$AD$12),IF(R14-AP117&gt;100,R14-AP117-1000,R14-AP117)),IF(W14="2PS",IF(R14-AP117&gt;100,R14-AP117-1000+$AD$17,R14-AP117+$AD$17),IF(R14-AP117&gt;100,R14-AP117-1000,R14-AP117))),"-"))</f>
        <v>-</v>
      </c>
      <c r="O14" s="46">
        <v>115</v>
      </c>
      <c r="P14" s="19" t="str">
        <f>IF(R14="","",COUNTA($R$3:R14)+$C$105)</f>
        <v/>
      </c>
      <c r="Q14" s="18" t="str">
        <f t="shared" si="1"/>
        <v/>
      </c>
      <c r="R14" s="30"/>
      <c r="S14" s="45" t="str">
        <f>IFERROR(IF(VLOOKUP(R14,Расчет!$A$2:$B$650,2,FALSE)="664W","Camry",IF(VLOOKUP(R14,Расчет!$A$2:$B$650,2,FALSE)="813W","Goshi","RAV4")),"")</f>
        <v/>
      </c>
      <c r="T14" s="32" t="str">
        <f>IFERROR(IF(S14="Camry",VLOOKUP(R14,Расчет!$A$2:$Q$650,17,FALSE),VLOOKUP(R14,Расчет!$A$2:$R$650,18,FALSE)),"")</f>
        <v/>
      </c>
      <c r="U14" s="32" t="str">
        <f>IFERROR(VLOOKUP(VLOOKUP(R14,Расчет!$A:$D,4,FALSE),$AT$6:$AV$15,3,FALSE),"")</f>
        <v/>
      </c>
      <c r="V14" s="31" t="str">
        <f>IFERROR(VLOOKUP(IFERROR(VLOOKUP(R14,Расчет!$A$2:$D$650,4,FALSE),0),$AT$3:$AU$15,2,FALSE),"")</f>
        <v/>
      </c>
      <c r="W14" s="33" t="str">
        <f>IFERROR(VLOOKUP(R14,Расчет!$A$2:$E$650,5,FALSE),"")</f>
        <v/>
      </c>
      <c r="X14" s="189"/>
      <c r="Y14" s="191">
        <f t="shared" si="11"/>
        <v>0</v>
      </c>
      <c r="Z14" s="177" t="str">
        <f>IFERROR(VLOOKUP(AA14,Расчет!$BS:$BT,2,FALSE),"")</f>
        <v/>
      </c>
      <c r="AA14" s="156" t="str">
        <f t="shared" si="18"/>
        <v/>
      </c>
      <c r="AB14" s="402" t="str">
        <f>IFERROR(VLOOKUP(AC14,Расчет!$BS:$BT,2,FALSE),"")</f>
        <v/>
      </c>
      <c r="AC14" s="156"/>
      <c r="AD14" s="648" t="s">
        <v>1152</v>
      </c>
      <c r="AE14" s="89">
        <v>12</v>
      </c>
      <c r="AF14" s="44" t="str">
        <f>IF(VLOOKUP(AE14,Расчет!$AH$2:$AN$201,5,FALSE)="8","C",IF(VLOOKUP(AE14,Расчет!$AH$2:$AN$201,5,FALSE)="G","G","R"))</f>
        <v>R</v>
      </c>
      <c r="AG14" s="73" t="str">
        <f t="shared" si="2"/>
        <v/>
      </c>
      <c r="AH14" s="87" t="str">
        <f>IF(AG14="","",COUNTIF($AG$2:AG14,"C")-COUNTIF($AF$2:AF14,"C")+$AH$1)</f>
        <v/>
      </c>
      <c r="AI14" s="87" t="str">
        <f>IF(AG14="","",COUNTIF($AG$2:AG14,"R")-COUNTIF($AF$2:AF14,"R")+$AI$1)</f>
        <v/>
      </c>
      <c r="AJ14" s="89">
        <v>115</v>
      </c>
      <c r="AK14" s="44" t="str">
        <f>IF(VLOOKUP(AJ14,Расчет!$AH$2:$AN$211,5,FALSE)="8","C",IF(VLOOKUP(AJ14,Расчет!$AH$2:$AN$211,5,FALSE)="G","G","R"))</f>
        <v>R</v>
      </c>
      <c r="AL14" s="74" t="str">
        <f t="shared" si="3"/>
        <v/>
      </c>
      <c r="AM14" s="118" t="str">
        <f>IF(AL14="","",(COUNTIF($AG$2:$AG$105,"C")+COUNTIF($AL$2:$AL14,"C"))-(COUNTIF($AF$2:$AF$105,"C")+COUNTIF($AK$2:$AK14,"C"))+$AH$1)</f>
        <v/>
      </c>
      <c r="AN14" s="119" t="str">
        <f>IF(AL14="","",(COUNTIF($AG$2:$AG$105,"R")+COUNTIF($AL$2:$AL14,"R"))-(COUNTIF($AF$2:$AF$105,"R")+COUNTIF($AK$2:$AK14,"R"))+$AI$1)</f>
        <v/>
      </c>
      <c r="AO14" s="22" t="str">
        <f>IF(E14="","",COUNTA($E$3:E14)+$Z$1)</f>
        <v/>
      </c>
      <c r="AP14" s="88" t="str">
        <f>IF(AO14="","",IF(AO14+Расчет!$Y$57+$BD$2-Расчет!$X$57&gt;200,AO14+Расчет!$Y$57+$BD$2-1000,AO14+Расчет!$Y$57+$BD$2))</f>
        <v/>
      </c>
      <c r="AT14" s="231" t="s">
        <v>916</v>
      </c>
      <c r="AU14" s="230" t="s">
        <v>11</v>
      </c>
      <c r="AV14" s="438" t="s">
        <v>918</v>
      </c>
      <c r="AW14" s="48"/>
      <c r="AX14" s="47"/>
      <c r="AY14" s="651" t="s">
        <v>64</v>
      </c>
      <c r="AZ14" s="652"/>
      <c r="BA14" s="64">
        <f>COUNTIF(H2:H105,"Special")+COUNTIF(U2:U105,"Special")</f>
        <v>0</v>
      </c>
      <c r="BB14" s="48"/>
      <c r="BC14" s="48"/>
      <c r="BD14" s="238" t="s">
        <v>156</v>
      </c>
      <c r="BE14" s="59">
        <f t="shared" si="22"/>
        <v>0</v>
      </c>
      <c r="BF14" s="39">
        <f t="shared" si="23"/>
        <v>0</v>
      </c>
      <c r="BG14" s="141">
        <f t="shared" si="19"/>
        <v>0</v>
      </c>
      <c r="BH14" s="142" t="e">
        <f t="shared" si="20"/>
        <v>#DIV/0!</v>
      </c>
      <c r="BI14" s="143">
        <f>COUNTIF(Расчет!$AY$2:$AY$500,BD14)</f>
        <v>1</v>
      </c>
      <c r="BJ14" s="142">
        <f t="shared" si="21"/>
        <v>5.7803468208092483E-3</v>
      </c>
      <c r="BK14" s="180" t="e">
        <f t="shared" si="24"/>
        <v>#DIV/0!</v>
      </c>
      <c r="BL14" s="172">
        <f>COUNTIF($BM$5:BM14,"&lt;-115")</f>
        <v>0</v>
      </c>
      <c r="BM14" s="154" t="str">
        <f>IFERROR(IF(OR(IFERROR(VLOOKUP(BN14,$E$3:$E$105,1,FALSE),"0")=BN14,IFERROR(VLOOKUP(BN14,$R$3:$R$105,1,FALSE),"0")=BN14),BO14,IF(OR(VLOOKUP(BN14,Расчет!A:E,5,FALSE)="2PS",VLOOKUP(BN14,Расчет!A:E,5,FALSE)="2QL"),IF(VLOOKUP(BN14,Расчет!A:B,2,FALSE)="831W",BN14-$BS$7+$AD$17,BN14-$BS$7+$AD$12),BN14-$BS$7)),"-")</f>
        <v>-</v>
      </c>
      <c r="BN14" s="154">
        <f>IF(OR(Расчет!C11="A0",Расчет!C11="P9",Расчет!B11="722W"),"-",Расчет!A11)</f>
        <v>11118</v>
      </c>
      <c r="BO14" s="173">
        <f t="shared" si="15"/>
        <v>0</v>
      </c>
      <c r="BP14" s="172" t="str">
        <f>IF(BQ14="-","-",IFERROR(IF(OR(VLOOKUP(BN14,Расчет!$A$2:$E$582,5,FALSE)="2PS",VLOOKUP(BN14,Расчет!$A$2:$E$582,5,FALSE)="2QL"),IF(OR(VLOOKUP(BN14,Расчет!$A$2:$E$582,2,FALSE)="664W",VLOOKUP(BN14,Расчет!$A$2:$E$582,2,FALSE)="813W"),IF(BN14-$BS$7&gt;150,BN14-$BS$7-1000+$AD$12,BN14-$BS$7+$AD$12),IF(BN14-$BS$7&gt;150,BN14-$BS$7-1000+$AD$17,BN14-$BS$7+$AD$17)),IF(BN14-$BS$7&gt;150,BN14-$BS$7-1000,BN14-$BS$7)),"-"))</f>
        <v>-</v>
      </c>
      <c r="BQ14" s="173">
        <f t="shared" si="12"/>
        <v>11118</v>
      </c>
      <c r="BR14" s="453"/>
      <c r="BS14" s="171"/>
      <c r="BT14" s="464" t="str">
        <f t="shared" si="13"/>
        <v>-</v>
      </c>
      <c r="BU14" s="464" t="str">
        <f t="shared" si="14"/>
        <v>-</v>
      </c>
      <c r="BX14" s="204">
        <f>COUNTIF($BY$4:BY14,"&lt;100")</f>
        <v>0</v>
      </c>
      <c r="BY14" s="213" t="str">
        <f t="shared" si="4"/>
        <v/>
      </c>
      <c r="BZ14" s="216" t="str">
        <f t="shared" si="5"/>
        <v/>
      </c>
      <c r="CA14" s="213" t="e">
        <f t="shared" si="6"/>
        <v>#N/A</v>
      </c>
      <c r="CB14" s="209" t="e">
        <f t="shared" si="7"/>
        <v>#N/A</v>
      </c>
      <c r="CC14" s="205" t="str">
        <f t="shared" si="16"/>
        <v/>
      </c>
      <c r="CD14" s="205" t="str">
        <f t="shared" si="8"/>
        <v>-</v>
      </c>
      <c r="CE14" s="205">
        <f t="shared" si="17"/>
        <v>0</v>
      </c>
      <c r="CG14" s="20" t="str">
        <f t="shared" si="25"/>
        <v/>
      </c>
    </row>
    <row r="15" spans="1:85" ht="23.1" customHeight="1">
      <c r="A15" s="40" t="str">
        <f>IF(AND(IFERROR(VLOOKUP(E15,Расчет!A:J,10,FALSE),"  ")&lt;&gt;"  ",IFERROR(LEFT(VLOOKUP(E15,Расчет!A:J,10,FALSE),1)," ")&lt;&gt;"H"),0,IFERROR(IF(F15="Camry",IF(OR(J15="2PS",J15="2QL"),IF(E15-AP15&gt;100,E15-AP15-1000+$AD$12,E15-AP15+$AD$12),IF(E15-AP15&gt;100,E15-AP15-1000,E15-AP15)),IF(J15="2PS",IF(E15-AP15&gt;100,E15-AP15-1000+$AD$17,E15-AP15+$AD$17),IF(E15-AP15&gt;100,E15-AP15-1000,E15-AP15))),"-"))</f>
        <v>-</v>
      </c>
      <c r="B15" s="46">
        <v>13</v>
      </c>
      <c r="C15" s="19" t="str">
        <f>IF(E15="","",COUNTA($E$3:E15))</f>
        <v/>
      </c>
      <c r="D15" s="18" t="str">
        <f t="shared" si="0"/>
        <v/>
      </c>
      <c r="E15" s="30"/>
      <c r="F15" s="44" t="str">
        <f>IFERROR(IF(VLOOKUP(E15,Расчет!$A$2:$B$650,2,FALSE)="664W","Camry",IF(VLOOKUP(E15,Расчет!$A$2:$B$650,2,FALSE)="813W","Goshi","RAV4")),"")</f>
        <v/>
      </c>
      <c r="G15" s="32" t="str">
        <f>IFERROR(IF(F15="Camry",VLOOKUP(E15,Расчет!$A$2:$Q$650,17,FALSE),VLOOKUP(E15,Расчет!$A$2:$R$650,18,FALSE)),"")</f>
        <v/>
      </c>
      <c r="H15" s="32" t="str">
        <f>IFERROR(VLOOKUP(VLOOKUP(E15,Расчет!$A:$D,4,FALSE),$AT$6:$AV$15,3,FALSE),"")</f>
        <v/>
      </c>
      <c r="I15" s="31" t="str">
        <f>IFERROR(VLOOKUP(IFERROR(VLOOKUP(E15,Расчет!$A$2:$D$650,4,FALSE),0),$AT$3:$AU$15,2,FALSE),"")</f>
        <v/>
      </c>
      <c r="J15" s="33" t="str">
        <f>IFERROR(VLOOKUP(E15,Расчет!$A$2:$E$650,5,FALSE),"")</f>
        <v/>
      </c>
      <c r="K15" s="189"/>
      <c r="L15" s="188">
        <f t="shared" si="10"/>
        <v>0</v>
      </c>
      <c r="M15" s="43"/>
      <c r="N15" s="40" t="str">
        <f>IF(AND(IFERROR(VLOOKUP(R15,Расчет!A:J,10,FALSE),"  ")&lt;&gt;"  ",IFERROR(LEFT(VLOOKUP(R15,Расчет!A:J,10,FALSE),1)," ")&lt;&gt;"H"),0,IFERROR(IF(S15="Camry",IF(OR(W15="2PS",W15="2QL"),IF(R15-AP118&gt;100,R15-AP118-1000+$AD$12,R15-AP118+$AD$12),IF(R15-AP118&gt;100,R15-AP118-1000,R15-AP118)),IF(W15="2PS",IF(R15-AP118&gt;100,R15-AP118-1000+$AD$17,R15-AP118+$AD$17),IF(R15-AP118&gt;100,R15-AP118-1000,R15-AP118))),"-"))</f>
        <v>-</v>
      </c>
      <c r="O15" s="46">
        <v>116</v>
      </c>
      <c r="P15" s="19" t="str">
        <f>IF(R15="","",COUNTA($R$3:R15)+$C$105)</f>
        <v/>
      </c>
      <c r="Q15" s="18" t="str">
        <f t="shared" si="1"/>
        <v/>
      </c>
      <c r="R15" s="30"/>
      <c r="S15" s="45" t="str">
        <f>IFERROR(IF(VLOOKUP(R15,Расчет!$A$2:$B$650,2,FALSE)="664W","Camry",IF(VLOOKUP(R15,Расчет!$A$2:$B$650,2,FALSE)="813W","Goshi","RAV4")),"")</f>
        <v/>
      </c>
      <c r="T15" s="32" t="str">
        <f>IFERROR(IF(S15="Camry",VLOOKUP(R15,Расчет!$A$2:$Q$650,17,FALSE),VLOOKUP(R15,Расчет!$A$2:$R$650,18,FALSE)),"")</f>
        <v/>
      </c>
      <c r="U15" s="32" t="str">
        <f>IFERROR(VLOOKUP(VLOOKUP(R15,Расчет!$A:$D,4,FALSE),$AT$6:$AV$15,3,FALSE),"")</f>
        <v/>
      </c>
      <c r="V15" s="31" t="str">
        <f>IFERROR(VLOOKUP(IFERROR(VLOOKUP(R15,Расчет!$A$2:$D$650,4,FALSE),0),$AT$3:$AU$15,2,FALSE),"")</f>
        <v/>
      </c>
      <c r="W15" s="33" t="str">
        <f>IFERROR(VLOOKUP(R15,Расчет!$A$2:$E$650,5,FALSE),"")</f>
        <v/>
      </c>
      <c r="X15" s="189"/>
      <c r="Y15" s="191">
        <f t="shared" si="11"/>
        <v>0</v>
      </c>
      <c r="Z15" s="177" t="str">
        <f>IFERROR(VLOOKUP(AA15,Расчет!$BS:$BT,2,FALSE),"")</f>
        <v/>
      </c>
      <c r="AA15" s="156" t="str">
        <f t="shared" si="18"/>
        <v/>
      </c>
      <c r="AB15" s="402" t="str">
        <f>IFERROR(VLOOKUP(AC15,Расчет!$BS:$BT,2,FALSE),"")</f>
        <v/>
      </c>
      <c r="AC15" s="156"/>
      <c r="AD15" s="649"/>
      <c r="AE15" s="89">
        <v>13</v>
      </c>
      <c r="AF15" s="44" t="str">
        <f>IF(VLOOKUP(AE15,Расчет!$AH$2:$AN$201,5,FALSE)="8","C",IF(VLOOKUP(AE15,Расчет!$AH$2:$AN$201,5,FALSE)="G","G","R"))</f>
        <v>C</v>
      </c>
      <c r="AG15" s="73" t="str">
        <f t="shared" si="2"/>
        <v/>
      </c>
      <c r="AH15" s="87" t="str">
        <f>IF(AG15="","",COUNTIF($AG$2:AG15,"C")-COUNTIF($AF$2:AF15,"C")+$AH$1)</f>
        <v/>
      </c>
      <c r="AI15" s="87" t="str">
        <f>IF(AG15="","",COUNTIF($AG$2:AG15,"R")-COUNTIF($AF$2:AF15,"R")+$AI$1)</f>
        <v/>
      </c>
      <c r="AJ15" s="89">
        <v>116</v>
      </c>
      <c r="AK15" s="44" t="str">
        <f>IF(VLOOKUP(AJ15,Расчет!$AH$2:$AN$211,5,FALSE)="8","C",IF(VLOOKUP(AJ15,Расчет!$AH$2:$AN$211,5,FALSE)="G","G","R"))</f>
        <v>C</v>
      </c>
      <c r="AL15" s="74" t="str">
        <f t="shared" si="3"/>
        <v/>
      </c>
      <c r="AM15" s="118" t="str">
        <f>IF(AL15="","",(COUNTIF($AG$2:$AG$105,"C")+COUNTIF($AL$2:$AL15,"C"))-(COUNTIF($AF$2:$AF$105,"C")+COUNTIF($AK$2:$AK15,"C"))+$AH$1)</f>
        <v/>
      </c>
      <c r="AN15" s="119" t="str">
        <f>IF(AL15="","",(COUNTIF($AG$2:$AG$105,"R")+COUNTIF($AL$2:$AL15,"R"))-(COUNTIF($AF$2:$AF$105,"R")+COUNTIF($AK$2:$AK15,"R"))+$AI$1)</f>
        <v/>
      </c>
      <c r="AO15" s="22" t="str">
        <f>IF(E15="","",COUNTA($E$3:E15)+$Z$1)</f>
        <v/>
      </c>
      <c r="AP15" s="88" t="str">
        <f>IF(AO15="","",IF(AO15+Расчет!$Y$57+$BD$2-Расчет!$X$57&gt;200,AO15+Расчет!$Y$57+$BD$2-1000,AO15+Расчет!$Y$57+$BD$2))</f>
        <v/>
      </c>
      <c r="AQ15" s="88"/>
      <c r="AS15" s="8" t="s">
        <v>51</v>
      </c>
      <c r="AT15" s="231" t="s">
        <v>917</v>
      </c>
      <c r="AU15" s="230" t="s">
        <v>11</v>
      </c>
      <c r="AV15" s="438" t="s">
        <v>918</v>
      </c>
      <c r="AW15" s="48"/>
      <c r="AX15" s="47"/>
      <c r="AY15" s="653" t="s">
        <v>67</v>
      </c>
      <c r="AZ15" s="654"/>
      <c r="BA15" s="64">
        <f>COUNTIF(G2:G105,"Diesel")+COUNTIF(T2:T105,"Diesel")</f>
        <v>0</v>
      </c>
      <c r="BB15" s="48"/>
      <c r="BC15" s="48"/>
      <c r="BD15" s="443" t="s">
        <v>1172</v>
      </c>
      <c r="BE15" s="59">
        <f t="shared" si="22"/>
        <v>0</v>
      </c>
      <c r="BF15" s="39">
        <f t="shared" si="23"/>
        <v>0</v>
      </c>
      <c r="BG15" s="141">
        <f>BE15+BF15</f>
        <v>0</v>
      </c>
      <c r="BH15" s="142" t="e">
        <f t="shared" si="20"/>
        <v>#DIV/0!</v>
      </c>
      <c r="BI15" s="143">
        <f>COUNTIF(Расчет!$AY$2:$AY$500,BD15)</f>
        <v>0</v>
      </c>
      <c r="BJ15" s="142">
        <f t="shared" si="21"/>
        <v>0</v>
      </c>
      <c r="BK15" s="180" t="e">
        <f t="shared" si="24"/>
        <v>#DIV/0!</v>
      </c>
      <c r="BL15" s="172">
        <f>COUNTIF($BM$5:BM15,"&lt;-115")</f>
        <v>0</v>
      </c>
      <c r="BM15" s="154" t="str">
        <f>IFERROR(IF(OR(IFERROR(VLOOKUP(BN15,$E$3:$E$105,1,FALSE),"0")=BN15,IFERROR(VLOOKUP(BN15,$R$3:$R$105,1,FALSE),"0")=BN15),BO15,IF(OR(VLOOKUP(BN15,Расчет!A:E,5,FALSE)="2PS",VLOOKUP(BN15,Расчет!A:E,5,FALSE)="2QL"),IF(VLOOKUP(BN15,Расчет!A:B,2,FALSE)="831W",BN15-$BS$7+$AD$17,BN15-$BS$7+$AD$12),BN15-$BS$7)),"-")</f>
        <v>-</v>
      </c>
      <c r="BN15" s="154">
        <f>IF(OR(Расчет!C12="A0",Расчет!C12="P9",Расчет!B12="722W"),"-",Расчет!A12)</f>
        <v>11120</v>
      </c>
      <c r="BO15" s="173">
        <f t="shared" si="15"/>
        <v>0</v>
      </c>
      <c r="BP15" s="172" t="str">
        <f>IF(BQ15="-","-",IFERROR(IF(OR(VLOOKUP(BN15,Расчет!$A$2:$E$582,5,FALSE)="2PS",VLOOKUP(BN15,Расчет!$A$2:$E$582,5,FALSE)="2QL"),IF(OR(VLOOKUP(BN15,Расчет!$A$2:$E$582,2,FALSE)="664W",VLOOKUP(BN15,Расчет!$A$2:$E$582,2,FALSE)="813W"),IF(BN15-$BS$7&gt;150,BN15-$BS$7-1000+$AD$12,BN15-$BS$7+$AD$12),IF(BN15-$BS$7&gt;150,BN15-$BS$7-1000+$AD$17,BN15-$BS$7+$AD$17)),IF(BN15-$BS$7&gt;150,BN15-$BS$7-1000,BN15-$BS$7)),"-"))</f>
        <v>-</v>
      </c>
      <c r="BQ15" s="173">
        <f t="shared" si="12"/>
        <v>11120</v>
      </c>
      <c r="BR15" s="453"/>
      <c r="BS15" s="171"/>
      <c r="BT15" s="464" t="str">
        <f t="shared" si="13"/>
        <v>-</v>
      </c>
      <c r="BU15" s="464" t="str">
        <f t="shared" si="14"/>
        <v>-</v>
      </c>
      <c r="BX15" s="204">
        <f>COUNTIF($BY$4:BY15,"&lt;100")</f>
        <v>0</v>
      </c>
      <c r="BY15" s="213" t="str">
        <f t="shared" si="4"/>
        <v/>
      </c>
      <c r="BZ15" s="216" t="str">
        <f t="shared" si="5"/>
        <v/>
      </c>
      <c r="CA15" s="213" t="e">
        <f t="shared" si="6"/>
        <v>#N/A</v>
      </c>
      <c r="CB15" s="209" t="e">
        <f t="shared" si="7"/>
        <v>#N/A</v>
      </c>
      <c r="CC15" s="205" t="str">
        <f t="shared" si="16"/>
        <v/>
      </c>
      <c r="CD15" s="205" t="str">
        <f t="shared" si="8"/>
        <v>-</v>
      </c>
      <c r="CE15" s="205">
        <f t="shared" si="17"/>
        <v>0</v>
      </c>
      <c r="CG15" s="20" t="str">
        <f t="shared" si="25"/>
        <v/>
      </c>
    </row>
    <row r="16" spans="1:85" ht="23.1" customHeight="1" thickBot="1">
      <c r="A16" s="40" t="str">
        <f>IF(AND(IFERROR(VLOOKUP(E16,Расчет!A:J,10,FALSE),"  ")&lt;&gt;"  ",IFERROR(LEFT(VLOOKUP(E16,Расчет!A:J,10,FALSE),1)," ")&lt;&gt;"H"),0,IFERROR(IF(F16="Camry",IF(OR(J16="2PS",J16="2QL"),IF(E16-AP16&gt;100,E16-AP16-1000+$AD$12,E16-AP16+$AD$12),IF(E16-AP16&gt;100,E16-AP16-1000,E16-AP16)),IF(J16="2PS",IF(E16-AP16&gt;100,E16-AP16-1000+$AD$17,E16-AP16+$AD$17),IF(E16-AP16&gt;100,E16-AP16-1000,E16-AP16))),"-"))</f>
        <v>-</v>
      </c>
      <c r="B16" s="46">
        <v>14</v>
      </c>
      <c r="C16" s="19" t="str">
        <f>IF(E16="","",COUNTA($E$3:E16))</f>
        <v/>
      </c>
      <c r="D16" s="18" t="str">
        <f t="shared" si="0"/>
        <v/>
      </c>
      <c r="E16" s="30"/>
      <c r="F16" s="44" t="str">
        <f>IFERROR(IF(VLOOKUP(E16,Расчет!$A$2:$B$650,2,FALSE)="664W","Camry",IF(VLOOKUP(E16,Расчет!$A$2:$B$650,2,FALSE)="813W","Goshi","RAV4")),"")</f>
        <v/>
      </c>
      <c r="G16" s="32" t="str">
        <f>IFERROR(IF(F16="Camry",VLOOKUP(E16,Расчет!$A$2:$Q$650,17,FALSE),VLOOKUP(E16,Расчет!$A$2:$R$650,18,FALSE)),"")</f>
        <v/>
      </c>
      <c r="H16" s="32" t="str">
        <f>IFERROR(VLOOKUP(VLOOKUP(E16,Расчет!$A:$D,4,FALSE),$AT$6:$AV$15,3,FALSE),"")</f>
        <v/>
      </c>
      <c r="I16" s="31" t="str">
        <f>IFERROR(VLOOKUP(IFERROR(VLOOKUP(E16,Расчет!$A$2:$D$650,4,FALSE),0),$AT$3:$AU$15,2,FALSE),"")</f>
        <v/>
      </c>
      <c r="J16" s="33" t="str">
        <f>IFERROR(VLOOKUP(E16,Расчет!$A$2:$E$650,5,FALSE),"")</f>
        <v/>
      </c>
      <c r="K16" s="189"/>
      <c r="L16" s="188">
        <f t="shared" si="10"/>
        <v>0</v>
      </c>
      <c r="M16" s="43"/>
      <c r="N16" s="40" t="str">
        <f>IF(AND(IFERROR(VLOOKUP(R16,Расчет!A:J,10,FALSE),"  ")&lt;&gt;"  ",IFERROR(LEFT(VLOOKUP(R16,Расчет!A:J,10,FALSE),1)," ")&lt;&gt;"H"),0,IFERROR(IF(S16="Camry",IF(OR(W16="2PS",W16="2QL"),IF(R16-AP119&gt;100,R16-AP119-1000+$AD$12,R16-AP119+$AD$12),IF(R16-AP119&gt;100,R16-AP119-1000,R16-AP119)),IF(W16="2PS",IF(R16-AP119&gt;100,R16-AP119-1000+$AD$17,R16-AP119+$AD$17),IF(R16-AP119&gt;100,R16-AP119-1000,R16-AP119))),"-"))</f>
        <v>-</v>
      </c>
      <c r="O16" s="46">
        <v>117</v>
      </c>
      <c r="P16" s="19" t="str">
        <f>IF(R16="","",COUNTA($R$3:R16)+$C$105)</f>
        <v/>
      </c>
      <c r="Q16" s="18" t="str">
        <f t="shared" si="1"/>
        <v/>
      </c>
      <c r="R16" s="30"/>
      <c r="S16" s="45" t="str">
        <f>IFERROR(IF(VLOOKUP(R16,Расчет!$A$2:$B$650,2,FALSE)="664W","Camry",IF(VLOOKUP(R16,Расчет!$A$2:$B$650,2,FALSE)="813W","Goshi","RAV4")),"")</f>
        <v/>
      </c>
      <c r="T16" s="32" t="str">
        <f>IFERROR(IF(S16="Camry",VLOOKUP(R16,Расчет!$A$2:$Q$650,17,FALSE),VLOOKUP(R16,Расчет!$A$2:$R$650,18,FALSE)),"")</f>
        <v/>
      </c>
      <c r="U16" s="32" t="str">
        <f>IFERROR(VLOOKUP(VLOOKUP(R16,Расчет!$A:$D,4,FALSE),$AT$6:$AV$15,3,FALSE),"")</f>
        <v/>
      </c>
      <c r="V16" s="31" t="str">
        <f>IFERROR(VLOOKUP(IFERROR(VLOOKUP(R16,Расчет!$A$2:$D$650,4,FALSE),0),$AT$3:$AU$15,2,FALSE),"")</f>
        <v/>
      </c>
      <c r="W16" s="33" t="str">
        <f>IFERROR(VLOOKUP(R16,Расчет!$A$2:$E$650,5,FALSE),"")</f>
        <v/>
      </c>
      <c r="X16" s="189"/>
      <c r="Y16" s="191">
        <f t="shared" si="11"/>
        <v>0</v>
      </c>
      <c r="Z16" s="178" t="str">
        <f>IFERROR(VLOOKUP(AA16,Расчет!$BS:$BT,2,FALSE),"")</f>
        <v/>
      </c>
      <c r="AA16" s="157" t="str">
        <f t="shared" si="18"/>
        <v/>
      </c>
      <c r="AB16" s="402" t="str">
        <f>IFERROR(VLOOKUP(AC16,Расчет!$BS:$BT,2,FALSE),"")</f>
        <v/>
      </c>
      <c r="AC16" s="156"/>
      <c r="AD16" s="650"/>
      <c r="AE16" s="89">
        <v>14</v>
      </c>
      <c r="AF16" s="44" t="str">
        <f>IF(VLOOKUP(AE16,Расчет!$AH$2:$AN$201,5,FALSE)="8","C",IF(VLOOKUP(AE16,Расчет!$AH$2:$AN$201,5,FALSE)="G","G","R"))</f>
        <v>R</v>
      </c>
      <c r="AG16" s="73" t="str">
        <f t="shared" si="2"/>
        <v/>
      </c>
      <c r="AH16" s="87" t="str">
        <f>IF(AG16="","",COUNTIF($AG$2:AG16,"C")-COUNTIF($AF$2:AF16,"C")+$AH$1)</f>
        <v/>
      </c>
      <c r="AI16" s="87" t="str">
        <f>IF(AG16="","",COUNTIF($AG$2:AG16,"R")-COUNTIF($AF$2:AF16,"R")+$AI$1)</f>
        <v/>
      </c>
      <c r="AJ16" s="89">
        <v>117</v>
      </c>
      <c r="AK16" s="44" t="str">
        <f>IF(VLOOKUP(AJ16,Расчет!$AH$2:$AN$211,5,FALSE)="8","C",IF(VLOOKUP(AJ16,Расчет!$AH$2:$AN$211,5,FALSE)="G","G","R"))</f>
        <v>R</v>
      </c>
      <c r="AL16" s="74" t="str">
        <f t="shared" si="3"/>
        <v/>
      </c>
      <c r="AM16" s="118" t="str">
        <f>IF(AL16="","",(COUNTIF($AG$2:$AG$105,"C")+COUNTIF($AL$2:$AL16,"C"))-(COUNTIF($AF$2:$AF$105,"C")+COUNTIF($AK$2:$AK16,"C"))+$AH$1)</f>
        <v/>
      </c>
      <c r="AN16" s="119" t="str">
        <f>IF(AL16="","",(COUNTIF($AG$2:$AG$105,"R")+COUNTIF($AL$2:$AL16,"R"))-(COUNTIF($AF$2:$AF$105,"R")+COUNTIF($AK$2:$AK16,"R"))+$AI$1)</f>
        <v/>
      </c>
      <c r="AO16" s="22" t="str">
        <f>IF(E16="","",COUNTA($E$3:E16)+$Z$1)</f>
        <v/>
      </c>
      <c r="AP16" s="88" t="str">
        <f>IF(AO16="","",IF(AO16+Расчет!$Y$57+$BD$2-Расчет!$X$57&gt;200,AO16+Расчет!$Y$57+$BD$2-1000,AO16+Расчет!$Y$57+$BD$2))</f>
        <v/>
      </c>
      <c r="AQ16" s="20">
        <f>COUNTIF(F3:F105,"Camry")</f>
        <v>0</v>
      </c>
      <c r="AR16" s="34" t="e">
        <f>AQ16/AU16</f>
        <v>#DIV/0!</v>
      </c>
      <c r="AS16" s="20">
        <f>COUNTIF(F3:F105,"RAV4")</f>
        <v>0</v>
      </c>
      <c r="AT16" s="34" t="e">
        <f>AS16/AU16</f>
        <v>#DIV/0!</v>
      </c>
      <c r="AU16" s="437">
        <f>AQ16+AS16</f>
        <v>0</v>
      </c>
      <c r="AW16" s="48"/>
      <c r="AX16" s="47"/>
      <c r="AY16" s="655" t="s">
        <v>65</v>
      </c>
      <c r="AZ16" s="656"/>
      <c r="BA16" s="64">
        <f>BA13+BA17</f>
        <v>0</v>
      </c>
      <c r="BB16" s="48"/>
      <c r="BC16" s="48"/>
      <c r="BD16" s="444" t="s">
        <v>1171</v>
      </c>
      <c r="BE16" s="59">
        <f t="shared" si="22"/>
        <v>0</v>
      </c>
      <c r="BF16" s="39">
        <f t="shared" si="23"/>
        <v>0</v>
      </c>
      <c r="BG16" s="141">
        <f>BE16+BF16</f>
        <v>0</v>
      </c>
      <c r="BH16" s="142" t="e">
        <f t="shared" si="20"/>
        <v>#DIV/0!</v>
      </c>
      <c r="BI16" s="143">
        <f>COUNTIF(Расчет!$AY$2:$AY$500,BD16)</f>
        <v>0</v>
      </c>
      <c r="BJ16" s="142">
        <f t="shared" si="21"/>
        <v>0</v>
      </c>
      <c r="BK16" s="180" t="e">
        <f>BH16-BJ16</f>
        <v>#DIV/0!</v>
      </c>
      <c r="BL16" s="172">
        <f>COUNTIF($BM$5:BM16,"&lt;-115")</f>
        <v>0</v>
      </c>
      <c r="BM16" s="154" t="str">
        <f>IFERROR(IF(OR(IFERROR(VLOOKUP(BN16,$E$3:$E$105,1,FALSE),"0")=BN16,IFERROR(VLOOKUP(BN16,$R$3:$R$105,1,FALSE),"0")=BN16),BO16,IF(OR(VLOOKUP(BN16,Расчет!A:E,5,FALSE)="2PS",VLOOKUP(BN16,Расчет!A:E,5,FALSE)="2QL"),IF(VLOOKUP(BN16,Расчет!A:B,2,FALSE)="831W",BN16-$BS$7+$AD$17,BN16-$BS$7+$AD$12),BN16-$BS$7)),"-")</f>
        <v>-</v>
      </c>
      <c r="BN16" s="154">
        <f>IF(OR(Расчет!C13="A0",Расчет!C13="P9",Расчет!B13="722W"),"-",Расчет!A13)</f>
        <v>11123</v>
      </c>
      <c r="BO16" s="173">
        <f t="shared" si="15"/>
        <v>0</v>
      </c>
      <c r="BP16" s="172" t="str">
        <f>IF(BQ16="-","-",IFERROR(IF(OR(VLOOKUP(BN16,Расчет!$A$2:$E$582,5,FALSE)="2PS",VLOOKUP(BN16,Расчет!$A$2:$E$582,5,FALSE)="2QL"),IF(OR(VLOOKUP(BN16,Расчет!$A$2:$E$582,2,FALSE)="664W",VLOOKUP(BN16,Расчет!$A$2:$E$582,2,FALSE)="813W"),IF(BN16-$BS$7&gt;150,BN16-$BS$7-1000+$AD$12,BN16-$BS$7+$AD$12),IF(BN16-$BS$7&gt;150,BN16-$BS$7-1000+$AD$17,BN16-$BS$7+$AD$17)),IF(BN16-$BS$7&gt;150,BN16-$BS$7-1000,BN16-$BS$7)),"-"))</f>
        <v>-</v>
      </c>
      <c r="BQ16" s="173">
        <f t="shared" si="12"/>
        <v>11123</v>
      </c>
      <c r="BR16" s="453"/>
      <c r="BS16" s="171"/>
      <c r="BT16" s="464" t="str">
        <f t="shared" si="13"/>
        <v>-</v>
      </c>
      <c r="BU16" s="464" t="str">
        <f t="shared" si="14"/>
        <v>-</v>
      </c>
      <c r="BX16" s="204">
        <f>COUNTIF($BY$4:BY16,"&lt;100")</f>
        <v>0</v>
      </c>
      <c r="BY16" s="213" t="str">
        <f t="shared" si="4"/>
        <v/>
      </c>
      <c r="BZ16" s="216" t="str">
        <f t="shared" si="5"/>
        <v/>
      </c>
      <c r="CA16" s="213" t="e">
        <f t="shared" si="6"/>
        <v>#N/A</v>
      </c>
      <c r="CB16" s="209" t="e">
        <f t="shared" si="7"/>
        <v>#N/A</v>
      </c>
      <c r="CC16" s="205" t="str">
        <f t="shared" si="16"/>
        <v/>
      </c>
      <c r="CD16" s="205" t="str">
        <f t="shared" si="8"/>
        <v>-</v>
      </c>
      <c r="CE16" s="205">
        <f t="shared" si="17"/>
        <v>0</v>
      </c>
      <c r="CG16" s="20" t="str">
        <f t="shared" si="25"/>
        <v/>
      </c>
    </row>
    <row r="17" spans="1:85" ht="23.1" customHeight="1" thickBot="1">
      <c r="A17" s="40" t="str">
        <f>IF(AND(IFERROR(VLOOKUP(E17,Расчет!A:J,10,FALSE),"  ")&lt;&gt;"  ",IFERROR(LEFT(VLOOKUP(E17,Расчет!A:J,10,FALSE),1)," ")&lt;&gt;"H"),0,IFERROR(IF(F17="Camry",IF(OR(J17="2PS",J17="2QL"),IF(E17-AP17&gt;100,E17-AP17-1000+$AD$12,E17-AP17+$AD$12),IF(E17-AP17&gt;100,E17-AP17-1000,E17-AP17)),IF(J17="2PS",IF(E17-AP17&gt;100,E17-AP17-1000+$AD$17,E17-AP17+$AD$17),IF(E17-AP17&gt;100,E17-AP17-1000,E17-AP17))),"-"))</f>
        <v>-</v>
      </c>
      <c r="B17" s="46">
        <v>15</v>
      </c>
      <c r="C17" s="19" t="str">
        <f>IF(E17="","",COUNTA($E$3:E17))</f>
        <v/>
      </c>
      <c r="D17" s="18" t="str">
        <f t="shared" si="0"/>
        <v/>
      </c>
      <c r="E17" s="30"/>
      <c r="F17" s="44" t="str">
        <f>IFERROR(IF(VLOOKUP(E17,Расчет!$A$2:$B$650,2,FALSE)="664W","Camry",IF(VLOOKUP(E17,Расчет!$A$2:$B$650,2,FALSE)="813W","Goshi","RAV4")),"")</f>
        <v/>
      </c>
      <c r="G17" s="32" t="str">
        <f>IFERROR(IF(F17="Camry",VLOOKUP(E17,Расчет!$A$2:$Q$650,17,FALSE),VLOOKUP(E17,Расчет!$A$2:$R$650,18,FALSE)),"")</f>
        <v/>
      </c>
      <c r="H17" s="32" t="str">
        <f>IFERROR(VLOOKUP(VLOOKUP(E17,Расчет!$A:$D,4,FALSE),$AT$6:$AV$15,3,FALSE),"")</f>
        <v/>
      </c>
      <c r="I17" s="31" t="str">
        <f>IFERROR(VLOOKUP(IFERROR(VLOOKUP(E17,Расчет!$A$2:$D$650,4,FALSE),0),$AT$3:$AU$15,2,FALSE),"")</f>
        <v/>
      </c>
      <c r="J17" s="33" t="str">
        <f>IFERROR(VLOOKUP(E17,Расчет!$A$2:$E$650,5,FALSE),"")</f>
        <v/>
      </c>
      <c r="K17" s="189"/>
      <c r="L17" s="188">
        <f t="shared" si="10"/>
        <v>0</v>
      </c>
      <c r="M17" s="43"/>
      <c r="N17" s="40" t="str">
        <f>IF(AND(IFERROR(VLOOKUP(R17,Расчет!A:J,10,FALSE),"  ")&lt;&gt;"  ",IFERROR(LEFT(VLOOKUP(R17,Расчет!A:J,10,FALSE),1)," ")&lt;&gt;"H"),0,IFERROR(IF(S17="Camry",IF(OR(W17="2PS",W17="2QL"),IF(R17-AP120&gt;100,R17-AP120-1000+$AD$12,R17-AP120+$AD$12),IF(R17-AP120&gt;100,R17-AP120-1000,R17-AP120)),IF(W17="2PS",IF(R17-AP120&gt;100,R17-AP120-1000+$AD$17,R17-AP120+$AD$17),IF(R17-AP120&gt;100,R17-AP120-1000,R17-AP120))),"-"))</f>
        <v>-</v>
      </c>
      <c r="O17" s="46">
        <v>118</v>
      </c>
      <c r="P17" s="19" t="str">
        <f>IF(R17="","",COUNTA($R$3:R17)+$C$105)</f>
        <v/>
      </c>
      <c r="Q17" s="18" t="str">
        <f t="shared" si="1"/>
        <v/>
      </c>
      <c r="R17" s="30"/>
      <c r="S17" s="45" t="str">
        <f>IFERROR(IF(VLOOKUP(R17,Расчет!$A$2:$B$650,2,FALSE)="664W","Camry",IF(VLOOKUP(R17,Расчет!$A$2:$B$650,2,FALSE)="813W","Goshi","RAV4")),"")</f>
        <v/>
      </c>
      <c r="T17" s="32" t="str">
        <f>IFERROR(IF(S17="Camry",VLOOKUP(R17,Расчет!$A$2:$Q$650,17,FALSE),VLOOKUP(R17,Расчет!$A$2:$R$650,18,FALSE)),"")</f>
        <v/>
      </c>
      <c r="U17" s="32" t="str">
        <f>IFERROR(VLOOKUP(VLOOKUP(R17,Расчет!$A:$D,4,FALSE),$AT$6:$AV$15,3,FALSE),"")</f>
        <v/>
      </c>
      <c r="V17" s="31" t="str">
        <f>IFERROR(VLOOKUP(IFERROR(VLOOKUP(R17,Расчет!$A$2:$D$650,4,FALSE),0),$AT$3:$AU$15,2,FALSE),"")</f>
        <v/>
      </c>
      <c r="W17" s="33" t="str">
        <f>IFERROR(VLOOKUP(R17,Расчет!$A$2:$E$650,5,FALSE),"")</f>
        <v/>
      </c>
      <c r="X17" s="189"/>
      <c r="Y17" s="191">
        <f t="shared" si="11"/>
        <v>0</v>
      </c>
      <c r="Z17" s="397"/>
      <c r="AA17" s="398"/>
      <c r="AB17" s="402" t="str">
        <f>IFERROR(VLOOKUP(AC17,Расчет!$BS:$BT,2,FALSE),"")</f>
        <v/>
      </c>
      <c r="AC17" s="156"/>
      <c r="AD17" s="418">
        <v>100</v>
      </c>
      <c r="AE17" s="89">
        <v>15</v>
      </c>
      <c r="AF17" s="44" t="str">
        <f>IF(VLOOKUP(AE17,Расчет!$AH$2:$AN$201,5,FALSE)="8","C",IF(VLOOKUP(AE17,Расчет!$AH$2:$AN$201,5,FALSE)="G","G","R"))</f>
        <v>C</v>
      </c>
      <c r="AG17" s="73" t="str">
        <f t="shared" si="2"/>
        <v/>
      </c>
      <c r="AH17" s="87" t="str">
        <f>IF(AG17="","",COUNTIF($AG$2:AG17,"C")-COUNTIF($AF$2:AF17,"C")+$AH$1)</f>
        <v/>
      </c>
      <c r="AI17" s="87" t="str">
        <f>IF(AG17="","",COUNTIF($AG$2:AG17,"R")-COUNTIF($AF$2:AF17,"R")+$AI$1)</f>
        <v/>
      </c>
      <c r="AJ17" s="89">
        <v>118</v>
      </c>
      <c r="AK17" s="44" t="str">
        <f>IF(VLOOKUP(AJ17,Расчет!$AH$2:$AN$211,5,FALSE)="8","C",IF(VLOOKUP(AJ17,Расчет!$AH$2:$AN$211,5,FALSE)="G","G","R"))</f>
        <v>C</v>
      </c>
      <c r="AL17" s="74" t="str">
        <f t="shared" si="3"/>
        <v/>
      </c>
      <c r="AM17" s="118" t="str">
        <f>IF(AL17="","",(COUNTIF($AG$2:$AG$105,"C")+COUNTIF($AL$2:$AL17,"C"))-(COUNTIF($AF$2:$AF$105,"C")+COUNTIF($AK$2:$AK17,"C"))+$AH$1)</f>
        <v/>
      </c>
      <c r="AN17" s="119" t="str">
        <f>IF(AL17="","",(COUNTIF($AG$2:$AG$105,"R")+COUNTIF($AL$2:$AL17,"R"))-(COUNTIF($AF$2:$AF$105,"R")+COUNTIF($AK$2:$AK17,"R"))+$AI$1)</f>
        <v/>
      </c>
      <c r="AO17" s="22" t="str">
        <f>IF(E17="","",COUNTA($E$3:E17)+$Z$1)</f>
        <v/>
      </c>
      <c r="AP17" s="88" t="str">
        <f>IF(AO17="","",IF(AO17+Расчет!$Y$57+$BD$2-Расчет!$X$57&gt;200,AO17+Расчет!$Y$57+$BD$2-1000,AO17+Расчет!$Y$57+$BD$2))</f>
        <v/>
      </c>
      <c r="AQ17" s="20">
        <f>COUNTIF(S3:S105,"Camry")</f>
        <v>0</v>
      </c>
      <c r="AR17" s="34"/>
      <c r="AS17" s="20">
        <f>COUNTIF(S3:S105,"RAV4")</f>
        <v>0</v>
      </c>
      <c r="AT17" s="34"/>
      <c r="AU17" s="437">
        <f>AQ17+AS17</f>
        <v>0</v>
      </c>
      <c r="AW17" s="48"/>
      <c r="AX17" s="47"/>
      <c r="AY17" s="657" t="s">
        <v>68</v>
      </c>
      <c r="AZ17" s="658"/>
      <c r="BA17" s="65">
        <f>COUNTIF(G2:G105,"Mech")+COUNTIF(T2:T105,"Mech")</f>
        <v>0</v>
      </c>
      <c r="BB17" s="48"/>
      <c r="BC17" s="48"/>
      <c r="BD17" s="395" t="s">
        <v>1128</v>
      </c>
      <c r="BE17" s="59">
        <f t="shared" si="22"/>
        <v>0</v>
      </c>
      <c r="BF17" s="39">
        <f>COUNTIFS($J$2:$J$105,BD17,$F$2:$F$105,"RAV4")+COUNTIFS($W$2:$W$105,BD17,$S$2:$S$105,"RAV4")</f>
        <v>0</v>
      </c>
      <c r="BG17" s="141">
        <f>BE17+BF17</f>
        <v>0</v>
      </c>
      <c r="BH17" s="142" t="e">
        <f t="shared" si="20"/>
        <v>#DIV/0!</v>
      </c>
      <c r="BI17" s="143">
        <f>COUNTIF(Расчет!$AY$2:$AY$500,BD17)</f>
        <v>27</v>
      </c>
      <c r="BJ17" s="142">
        <f t="shared" si="21"/>
        <v>0.15606936416184972</v>
      </c>
      <c r="BK17" s="180" t="e">
        <f>BH17-BJ17</f>
        <v>#DIV/0!</v>
      </c>
      <c r="BL17" s="172">
        <f>COUNTIF($BM$5:BM17,"&lt;-115")</f>
        <v>0</v>
      </c>
      <c r="BM17" s="154" t="str">
        <f>IFERROR(IF(OR(IFERROR(VLOOKUP(BN17,$E$3:$E$105,1,FALSE),"0")=BN17,IFERROR(VLOOKUP(BN17,$R$3:$R$105,1,FALSE),"0")=BN17),BO17,IF(OR(VLOOKUP(BN17,Расчет!A:E,5,FALSE)="2PS",VLOOKUP(BN17,Расчет!A:E,5,FALSE)="2QL"),IF(VLOOKUP(BN17,Расчет!A:B,2,FALSE)="831W",BN17-$BS$7+$AD$17,BN17-$BS$7+$AD$12),BN17-$BS$7)),"-")</f>
        <v>-</v>
      </c>
      <c r="BN17" s="154">
        <f>IF(OR(Расчет!C14="A0",Расчет!C14="P9",Расчет!B14="722W"),"-",Расчет!A14)</f>
        <v>11134</v>
      </c>
      <c r="BO17" s="173">
        <f t="shared" si="15"/>
        <v>0</v>
      </c>
      <c r="BP17" s="172" t="str">
        <f>IF(BQ17="-","-",IFERROR(IF(OR(VLOOKUP(BN17,Расчет!$A$2:$E$582,5,FALSE)="2PS",VLOOKUP(BN17,Расчет!$A$2:$E$582,5,FALSE)="2QL"),IF(OR(VLOOKUP(BN17,Расчет!$A$2:$E$582,2,FALSE)="664W",VLOOKUP(BN17,Расчет!$A$2:$E$582,2,FALSE)="813W"),IF(BN17-$BS$7&gt;150,BN17-$BS$7-1000+$AD$12,BN17-$BS$7+$AD$12),IF(BN17-$BS$7&gt;150,BN17-$BS$7-1000+$AD$17,BN17-$BS$7+$AD$17)),IF(BN17-$BS$7&gt;150,BN17-$BS$7-1000,BN17-$BS$7)),"-"))</f>
        <v>-</v>
      </c>
      <c r="BQ17" s="173">
        <f t="shared" si="12"/>
        <v>11134</v>
      </c>
      <c r="BR17" s="453"/>
      <c r="BS17" s="171"/>
      <c r="BT17" s="464" t="str">
        <f t="shared" si="13"/>
        <v>-</v>
      </c>
      <c r="BU17" s="464" t="str">
        <f t="shared" si="14"/>
        <v>-</v>
      </c>
      <c r="BX17" s="204">
        <f>COUNTIF($BY$4:BY17,"&lt;100")</f>
        <v>0</v>
      </c>
      <c r="BY17" s="213" t="str">
        <f t="shared" si="4"/>
        <v/>
      </c>
      <c r="BZ17" s="216" t="str">
        <f t="shared" si="5"/>
        <v/>
      </c>
      <c r="CA17" s="213" t="e">
        <f t="shared" si="6"/>
        <v>#N/A</v>
      </c>
      <c r="CB17" s="209" t="e">
        <f t="shared" si="7"/>
        <v>#N/A</v>
      </c>
      <c r="CC17" s="205" t="str">
        <f t="shared" si="16"/>
        <v/>
      </c>
      <c r="CD17" s="205" t="str">
        <f t="shared" si="8"/>
        <v>-</v>
      </c>
      <c r="CE17" s="205">
        <f t="shared" si="17"/>
        <v>0</v>
      </c>
      <c r="CG17" s="20" t="str">
        <f t="shared" si="25"/>
        <v/>
      </c>
    </row>
    <row r="18" spans="1:85" ht="23.1" customHeight="1">
      <c r="A18" s="40" t="str">
        <f>IF(AND(IFERROR(VLOOKUP(E18,Расчет!A:J,10,FALSE),"  ")&lt;&gt;"  ",IFERROR(LEFT(VLOOKUP(E18,Расчет!A:J,10,FALSE),1)," ")&lt;&gt;"H"),0,IFERROR(IF(F18="Camry",IF(OR(J18="2PS",J18="2QL"),IF(E18-AP18&gt;100,E18-AP18-1000+$AD$12,E18-AP18+$AD$12),IF(E18-AP18&gt;100,E18-AP18-1000,E18-AP18)),IF(J18="2PS",IF(E18-AP18&gt;100,E18-AP18-1000+$AD$17,E18-AP18+$AD$17),IF(E18-AP18&gt;100,E18-AP18-1000,E18-AP18))),"-"))</f>
        <v>-</v>
      </c>
      <c r="B18" s="46">
        <v>16</v>
      </c>
      <c r="C18" s="19" t="str">
        <f>IF(E18="","",COUNTA($E$3:E18))</f>
        <v/>
      </c>
      <c r="D18" s="18" t="str">
        <f t="shared" si="0"/>
        <v/>
      </c>
      <c r="E18" s="30"/>
      <c r="F18" s="44" t="str">
        <f>IFERROR(IF(VLOOKUP(E18,Расчет!$A$2:$B$650,2,FALSE)="664W","Camry",IF(VLOOKUP(E18,Расчет!$A$2:$B$650,2,FALSE)="813W","Goshi","RAV4")),"")</f>
        <v/>
      </c>
      <c r="G18" s="32" t="str">
        <f>IFERROR(IF(F18="Camry",VLOOKUP(E18,Расчет!$A$2:$Q$650,17,FALSE),VLOOKUP(E18,Расчет!$A$2:$R$650,18,FALSE)),"")</f>
        <v/>
      </c>
      <c r="H18" s="32" t="str">
        <f>IFERROR(VLOOKUP(VLOOKUP(E18,Расчет!$A:$D,4,FALSE),$AT$6:$AV$15,3,FALSE),"")</f>
        <v/>
      </c>
      <c r="I18" s="31" t="str">
        <f>IFERROR(VLOOKUP(IFERROR(VLOOKUP(E18,Расчет!$A$2:$D$650,4,FALSE),0),$AT$3:$AU$15,2,FALSE),"")</f>
        <v/>
      </c>
      <c r="J18" s="33" t="str">
        <f>IFERROR(VLOOKUP(E18,Расчет!$A$2:$E$650,5,FALSE),"")</f>
        <v/>
      </c>
      <c r="K18" s="189"/>
      <c r="L18" s="188">
        <f t="shared" si="10"/>
        <v>0</v>
      </c>
      <c r="M18" s="43"/>
      <c r="N18" s="40" t="str">
        <f>IF(AND(IFERROR(VLOOKUP(R18,Расчет!A:J,10,FALSE),"  ")&lt;&gt;"  ",IFERROR(LEFT(VLOOKUP(R18,Расчет!A:J,10,FALSE),1)," ")&lt;&gt;"H"),0,IFERROR(IF(S18="Camry",IF(OR(W18="2PS",W18="2QL"),IF(R18-AP121&gt;100,R18-AP121-1000+$AD$12,R18-AP121+$AD$12),IF(R18-AP121&gt;100,R18-AP121-1000,R18-AP121)),IF(W18="2PS",IF(R18-AP121&gt;100,R18-AP121-1000+$AD$17,R18-AP121+$AD$17),IF(R18-AP121&gt;100,R18-AP121-1000,R18-AP121))),"-"))</f>
        <v>-</v>
      </c>
      <c r="O18" s="46">
        <v>119</v>
      </c>
      <c r="P18" s="19" t="str">
        <f>IF(R18="","",COUNTA($R$3:R18)+$C$105)</f>
        <v/>
      </c>
      <c r="Q18" s="18" t="str">
        <f t="shared" si="1"/>
        <v/>
      </c>
      <c r="R18" s="30"/>
      <c r="S18" s="45" t="str">
        <f>IFERROR(IF(VLOOKUP(R18,Расчет!$A$2:$B$650,2,FALSE)="664W","Camry",IF(VLOOKUP(R18,Расчет!$A$2:$B$650,2,FALSE)="813W","Goshi","RAV4")),"")</f>
        <v/>
      </c>
      <c r="T18" s="32" t="str">
        <f>IFERROR(IF(S18="Camry",VLOOKUP(R18,Расчет!$A$2:$Q$650,17,FALSE),VLOOKUP(R18,Расчет!$A$2:$R$650,18,FALSE)),"")</f>
        <v/>
      </c>
      <c r="U18" s="32" t="str">
        <f>IFERROR(VLOOKUP(VLOOKUP(R18,Расчет!$A:$D,4,FALSE),$AT$6:$AV$15,3,FALSE),"")</f>
        <v/>
      </c>
      <c r="V18" s="31" t="str">
        <f>IFERROR(VLOOKUP(IFERROR(VLOOKUP(R18,Расчет!$A$2:$D$650,4,FALSE),0),$AT$3:$AU$15,2,FALSE),"")</f>
        <v/>
      </c>
      <c r="W18" s="33" t="str">
        <f>IFERROR(VLOOKUP(R18,Расчет!$A$2:$E$650,5,FALSE),"")</f>
        <v/>
      </c>
      <c r="X18" s="189"/>
      <c r="Y18" s="191">
        <f t="shared" si="11"/>
        <v>0</v>
      </c>
      <c r="Z18" s="397"/>
      <c r="AA18" s="398"/>
      <c r="AB18" s="402" t="str">
        <f>IFERROR(VLOOKUP(AC18,Расчет!$BS:$BT,2,FALSE),"")</f>
        <v/>
      </c>
      <c r="AC18" s="156"/>
      <c r="AD18" s="414"/>
      <c r="AE18" s="89">
        <v>16</v>
      </c>
      <c r="AF18" s="44" t="str">
        <f>IF(VLOOKUP(AE18,Расчет!$AH$2:$AN$201,5,FALSE)="8","C",IF(VLOOKUP(AE18,Расчет!$AH$2:$AN$201,5,FALSE)="G","G","R"))</f>
        <v>R</v>
      </c>
      <c r="AG18" s="73" t="str">
        <f t="shared" si="2"/>
        <v/>
      </c>
      <c r="AH18" s="87" t="str">
        <f>IF(AG18="","",COUNTIF($AG$2:AG18,"C")-COUNTIF($AF$2:AF18,"C")+$AH$1)</f>
        <v/>
      </c>
      <c r="AI18" s="87" t="str">
        <f>IF(AG18="","",COUNTIF($AG$2:AG18,"R")-COUNTIF($AF$2:AF18,"R")+$AI$1)</f>
        <v/>
      </c>
      <c r="AJ18" s="89">
        <v>119</v>
      </c>
      <c r="AK18" s="44" t="str">
        <f>IF(VLOOKUP(AJ18,Расчет!$AH$2:$AN$211,5,FALSE)="8","C",IF(VLOOKUP(AJ18,Расчет!$AH$2:$AN$211,5,FALSE)="G","G","R"))</f>
        <v>R</v>
      </c>
      <c r="AL18" s="74" t="str">
        <f t="shared" si="3"/>
        <v/>
      </c>
      <c r="AM18" s="118" t="str">
        <f>IF(AL18="","",(COUNTIF($AG$2:$AG$105,"C")+COUNTIF($AL$2:$AL18,"C"))-(COUNTIF($AF$2:$AF$105,"C")+COUNTIF($AK$2:$AK18,"C"))+$AH$1)</f>
        <v/>
      </c>
      <c r="AN18" s="119" t="str">
        <f>IF(AL18="","",(COUNTIF($AG$2:$AG$105,"R")+COUNTIF($AL$2:$AL18,"R"))-(COUNTIF($AF$2:$AF$105,"R")+COUNTIF($AK$2:$AK18,"R"))+$AI$1)</f>
        <v/>
      </c>
      <c r="AO18" s="22" t="str">
        <f>IF(E18="","",COUNTA($E$3:E18)+$Z$1)</f>
        <v/>
      </c>
      <c r="AP18" s="88" t="str">
        <f>IF(AO18="","",IF(AO18+Расчет!$Y$57+$BD$2-Расчет!$X$57&gt;200,AO18+Расчет!$Y$57+$BD$2-1000,AO18+Расчет!$Y$57+$BD$2))</f>
        <v/>
      </c>
      <c r="AQ18" s="91"/>
      <c r="AR18" s="92"/>
      <c r="AS18" s="92"/>
      <c r="AT18" s="91"/>
      <c r="AU18" s="91"/>
      <c r="AW18" s="48"/>
      <c r="AX18" s="48"/>
      <c r="AY18" s="48"/>
      <c r="AZ18" s="48"/>
      <c r="BA18" s="48"/>
      <c r="BB18" s="48"/>
      <c r="BC18" s="48"/>
      <c r="BD18" s="445" t="s">
        <v>1170</v>
      </c>
      <c r="BE18" s="59">
        <f t="shared" si="22"/>
        <v>0</v>
      </c>
      <c r="BF18" s="39">
        <f t="shared" si="23"/>
        <v>0</v>
      </c>
      <c r="BG18" s="141">
        <f>BE18+BF18</f>
        <v>0</v>
      </c>
      <c r="BH18" s="142" t="e">
        <f t="shared" si="20"/>
        <v>#DIV/0!</v>
      </c>
      <c r="BI18" s="143">
        <f>COUNTIF(Расчет!$AY$2:$AY$500,BD18)</f>
        <v>0</v>
      </c>
      <c r="BJ18" s="142">
        <f t="shared" si="21"/>
        <v>0</v>
      </c>
      <c r="BK18" s="180" t="e">
        <f>BH18-BJ18</f>
        <v>#DIV/0!</v>
      </c>
      <c r="BL18" s="172">
        <f>COUNTIF($BM$5:BM18,"&lt;-115")</f>
        <v>0</v>
      </c>
      <c r="BM18" s="154" t="str">
        <f>IFERROR(IF(OR(IFERROR(VLOOKUP(BN18,$E$3:$E$105,1,FALSE),"0")=BN18,IFERROR(VLOOKUP(BN18,$R$3:$R$105,1,FALSE),"0")=BN18),BO18,IF(OR(VLOOKUP(BN18,Расчет!A:E,5,FALSE)="2PS",VLOOKUP(BN18,Расчет!A:E,5,FALSE)="2QL"),IF(VLOOKUP(BN18,Расчет!A:B,2,FALSE)="831W",BN18-$BS$7+$AD$17,BN18-$BS$7+$AD$12),BN18-$BS$7)),"-")</f>
        <v>-</v>
      </c>
      <c r="BN18" s="154">
        <f>IF(OR(Расчет!C15="A0",Расчет!C15="P9",Расчет!B15="722W"),"-",Расчет!A15)</f>
        <v>11144</v>
      </c>
      <c r="BO18" s="173">
        <f t="shared" si="15"/>
        <v>0</v>
      </c>
      <c r="BP18" s="172" t="str">
        <f>IF(BQ18="-","-",IFERROR(IF(OR(VLOOKUP(BN18,Расчет!$A$2:$E$582,5,FALSE)="2PS",VLOOKUP(BN18,Расчет!$A$2:$E$582,5,FALSE)="2QL"),IF(OR(VLOOKUP(BN18,Расчет!$A$2:$E$582,2,FALSE)="664W",VLOOKUP(BN18,Расчет!$A$2:$E$582,2,FALSE)="813W"),IF(BN18-$BS$7&gt;150,BN18-$BS$7-1000+$AD$12,BN18-$BS$7+$AD$12),IF(BN18-$BS$7&gt;150,BN18-$BS$7-1000+$AD$17,BN18-$BS$7+$AD$17)),IF(BN18-$BS$7&gt;150,BN18-$BS$7-1000,BN18-$BS$7)),"-"))</f>
        <v>-</v>
      </c>
      <c r="BQ18" s="173">
        <f t="shared" si="12"/>
        <v>11144</v>
      </c>
      <c r="BR18" s="453"/>
      <c r="BS18" s="171"/>
      <c r="BT18" s="464" t="str">
        <f t="shared" si="13"/>
        <v>-</v>
      </c>
      <c r="BU18" s="464" t="str">
        <f t="shared" si="14"/>
        <v>-</v>
      </c>
      <c r="BX18" s="204">
        <f>COUNTIF($BY$4:BY18,"&lt;100")</f>
        <v>0</v>
      </c>
      <c r="BY18" s="213" t="str">
        <f t="shared" si="4"/>
        <v/>
      </c>
      <c r="BZ18" s="216" t="str">
        <f t="shared" si="5"/>
        <v/>
      </c>
      <c r="CA18" s="213" t="e">
        <f t="shared" si="6"/>
        <v>#N/A</v>
      </c>
      <c r="CB18" s="209" t="e">
        <f t="shared" si="7"/>
        <v>#N/A</v>
      </c>
      <c r="CC18" s="205" t="str">
        <f t="shared" si="16"/>
        <v/>
      </c>
      <c r="CD18" s="205" t="str">
        <f t="shared" si="8"/>
        <v>-</v>
      </c>
      <c r="CE18" s="205">
        <f t="shared" si="17"/>
        <v>0</v>
      </c>
      <c r="CG18" s="20" t="str">
        <f t="shared" si="25"/>
        <v/>
      </c>
    </row>
    <row r="19" spans="1:85" ht="23.1" customHeight="1" thickBot="1">
      <c r="A19" s="40" t="str">
        <f>IF(AND(IFERROR(VLOOKUP(E19,Расчет!A:J,10,FALSE),"  ")&lt;&gt;"  ",IFERROR(LEFT(VLOOKUP(E19,Расчет!A:J,10,FALSE),1)," ")&lt;&gt;"H"),0,IFERROR(IF(F19="Camry",IF(OR(J19="2PS",J19="2QL"),IF(E19-AP19&gt;100,E19-AP19-1000+$AD$12,E19-AP19+$AD$12),IF(E19-AP19&gt;100,E19-AP19-1000,E19-AP19)),IF(J19="2PS",IF(E19-AP19&gt;100,E19-AP19-1000+$AD$17,E19-AP19+$AD$17),IF(E19-AP19&gt;100,E19-AP19-1000,E19-AP19))),"-"))</f>
        <v>-</v>
      </c>
      <c r="B19" s="46">
        <v>17</v>
      </c>
      <c r="C19" s="19" t="str">
        <f>IF(E19="","",COUNTA($E$3:E19))</f>
        <v/>
      </c>
      <c r="D19" s="18" t="str">
        <f t="shared" si="0"/>
        <v/>
      </c>
      <c r="E19" s="30"/>
      <c r="F19" s="44" t="str">
        <f>IFERROR(IF(VLOOKUP(E19,Расчет!$A$2:$B$650,2,FALSE)="664W","Camry",IF(VLOOKUP(E19,Расчет!$A$2:$B$650,2,FALSE)="813W","Goshi","RAV4")),"")</f>
        <v/>
      </c>
      <c r="G19" s="32" t="str">
        <f>IFERROR(IF(F19="Camry",VLOOKUP(E19,Расчет!$A$2:$Q$650,17,FALSE),VLOOKUP(E19,Расчет!$A$2:$R$650,18,FALSE)),"")</f>
        <v/>
      </c>
      <c r="H19" s="32" t="str">
        <f>IFERROR(VLOOKUP(VLOOKUP(E19,Расчет!$A:$D,4,FALSE),$AT$6:$AV$15,3,FALSE),"")</f>
        <v/>
      </c>
      <c r="I19" s="31" t="str">
        <f>IFERROR(VLOOKUP(IFERROR(VLOOKUP(E19,Расчет!$A$2:$D$650,4,FALSE),0),$AT$3:$AU$15,2,FALSE),"")</f>
        <v/>
      </c>
      <c r="J19" s="33" t="str">
        <f>IFERROR(VLOOKUP(E19,Расчет!$A$2:$E$650,5,FALSE),"")</f>
        <v/>
      </c>
      <c r="K19" s="189"/>
      <c r="L19" s="188">
        <f t="shared" si="10"/>
        <v>0</v>
      </c>
      <c r="M19" s="43"/>
      <c r="N19" s="40" t="str">
        <f>IF(AND(IFERROR(VLOOKUP(R19,Расчет!A:J,10,FALSE),"  ")&lt;&gt;"  ",IFERROR(LEFT(VLOOKUP(R19,Расчет!A:J,10,FALSE),1)," ")&lt;&gt;"H"),0,IFERROR(IF(S19="Camry",IF(OR(W19="2PS",W19="2QL"),IF(R19-AP122&gt;100,R19-AP122-1000+$AD$12,R19-AP122+$AD$12),IF(R19-AP122&gt;100,R19-AP122-1000,R19-AP122)),IF(W19="2PS",IF(R19-AP122&gt;100,R19-AP122-1000+$AD$17,R19-AP122+$AD$17),IF(R19-AP122&gt;100,R19-AP122-1000,R19-AP122))),"-"))</f>
        <v>-</v>
      </c>
      <c r="O19" s="46">
        <v>120</v>
      </c>
      <c r="P19" s="19" t="str">
        <f>IF(R19="","",COUNTA($R$3:R19)+$C$105)</f>
        <v/>
      </c>
      <c r="Q19" s="18" t="str">
        <f t="shared" si="1"/>
        <v/>
      </c>
      <c r="R19" s="30"/>
      <c r="S19" s="45" t="str">
        <f>IFERROR(IF(VLOOKUP(R19,Расчет!$A$2:$B$650,2,FALSE)="664W","Camry",IF(VLOOKUP(R19,Расчет!$A$2:$B$650,2,FALSE)="813W","Goshi","RAV4")),"")</f>
        <v/>
      </c>
      <c r="T19" s="32" t="str">
        <f>IFERROR(IF(S19="Camry",VLOOKUP(R19,Расчет!$A$2:$Q$650,17,FALSE),VLOOKUP(R19,Расчет!$A$2:$R$650,18,FALSE)),"")</f>
        <v/>
      </c>
      <c r="U19" s="32" t="str">
        <f>IFERROR(VLOOKUP(VLOOKUP(R19,Расчет!$A:$D,4,FALSE),$AT$6:$AV$15,3,FALSE),"")</f>
        <v/>
      </c>
      <c r="V19" s="31" t="str">
        <f>IFERROR(VLOOKUP(IFERROR(VLOOKUP(R19,Расчет!$A$2:$D$650,4,FALSE),0),$AT$3:$AU$15,2,FALSE),"")</f>
        <v/>
      </c>
      <c r="W19" s="33" t="str">
        <f>IFERROR(VLOOKUP(R19,Расчет!$A$2:$E$650,5,FALSE),"")</f>
        <v/>
      </c>
      <c r="X19" s="189"/>
      <c r="Y19" s="191">
        <f t="shared" si="11"/>
        <v>0</v>
      </c>
      <c r="Z19" s="397"/>
      <c r="AA19" s="398"/>
      <c r="AB19" s="402" t="str">
        <f>IFERROR(VLOOKUP(AC19,Расчет!$BS:$BT,2,FALSE),"")</f>
        <v/>
      </c>
      <c r="AC19" s="156"/>
      <c r="AD19" s="414"/>
      <c r="AE19" s="89">
        <v>17</v>
      </c>
      <c r="AF19" s="44" t="str">
        <f>IF(VLOOKUP(AE19,Расчет!$AH$2:$AN$201,5,FALSE)="8","C",IF(VLOOKUP(AE19,Расчет!$AH$2:$AN$201,5,FALSE)="G","G","R"))</f>
        <v>R</v>
      </c>
      <c r="AG19" s="73" t="str">
        <f t="shared" si="2"/>
        <v/>
      </c>
      <c r="AH19" s="87" t="str">
        <f>IF(AG19="","",COUNTIF($AG$2:AG19,"C")-COUNTIF($AF$2:AF19,"C")+$AH$1)</f>
        <v/>
      </c>
      <c r="AI19" s="87" t="str">
        <f>IF(AG19="","",COUNTIF($AG$2:AG19,"R")-COUNTIF($AF$2:AF19,"R")+$AI$1)</f>
        <v/>
      </c>
      <c r="AJ19" s="89">
        <v>120</v>
      </c>
      <c r="AK19" s="44" t="str">
        <f>IF(VLOOKUP(AJ19,Расчет!$AH$2:$AN$211,5,FALSE)="8","C",IF(VLOOKUP(AJ19,Расчет!$AH$2:$AN$211,5,FALSE)="G","G","R"))</f>
        <v>R</v>
      </c>
      <c r="AL19" s="74" t="str">
        <f t="shared" si="3"/>
        <v/>
      </c>
      <c r="AM19" s="118" t="str">
        <f>IF(AL19="","",(COUNTIF($AG$2:$AG$105,"C")+COUNTIF($AL$2:$AL19,"C"))-(COUNTIF($AF$2:$AF$105,"C")+COUNTIF($AK$2:$AK19,"C"))+$AH$1)</f>
        <v/>
      </c>
      <c r="AN19" s="119" t="str">
        <f>IF(AL19="","",(COUNTIF($AG$2:$AG$105,"R")+COUNTIF($AL$2:$AL19,"R"))-(COUNTIF($AF$2:$AF$105,"R")+COUNTIF($AK$2:$AK19,"R"))+$AI$1)</f>
        <v/>
      </c>
      <c r="AO19" s="22" t="str">
        <f>IF(E19="","",COUNTA($E$3:E19)+$Z$1)</f>
        <v/>
      </c>
      <c r="AP19" s="88" t="str">
        <f>IF(AO19="","",IF(AO19+Расчет!$Y$57+$BD$2-Расчет!$X$57&gt;200,AO19+Расчет!$Y$57+$BD$2-1000,AO19+Расчет!$Y$57+$BD$2))</f>
        <v/>
      </c>
      <c r="AQ19" s="91"/>
      <c r="AR19" s="92"/>
      <c r="AS19" s="92"/>
      <c r="AT19" s="91"/>
      <c r="AU19" s="91"/>
      <c r="AW19" s="48"/>
      <c r="AX19" s="48"/>
      <c r="AY19" s="48"/>
      <c r="AZ19" s="48"/>
      <c r="BA19" s="48"/>
      <c r="BB19" s="48"/>
      <c r="BC19" s="48"/>
      <c r="BD19" s="62" t="s">
        <v>53</v>
      </c>
      <c r="BE19" s="447">
        <f>SUM(BE8:BE18)</f>
        <v>0</v>
      </c>
      <c r="BF19" s="447">
        <f>SUM(BF8:BF18)</f>
        <v>0</v>
      </c>
      <c r="BG19" s="62">
        <f>SUM(BG8:BG18,BE19:BF19)/2</f>
        <v>0</v>
      </c>
      <c r="BH19" s="446"/>
      <c r="BI19" s="144">
        <f>SUM(BI8:BI18)</f>
        <v>173</v>
      </c>
      <c r="BJ19" s="145"/>
      <c r="BK19" s="181"/>
      <c r="BL19" s="172">
        <f>COUNTIF($BM$5:BM19,"&lt;-115")</f>
        <v>0</v>
      </c>
      <c r="BM19" s="154" t="str">
        <f>IFERROR(IF(OR(IFERROR(VLOOKUP(BN19,$E$3:$E$105,1,FALSE),"0")=BN19,IFERROR(VLOOKUP(BN19,$R$3:$R$105,1,FALSE),"0")=BN19),BO19,IF(OR(VLOOKUP(BN19,Расчет!A:E,5,FALSE)="2PS",VLOOKUP(BN19,Расчет!A:E,5,FALSE)="2QL"),IF(VLOOKUP(BN19,Расчет!A:B,2,FALSE)="831W",BN19-$BS$7+$AD$17,BN19-$BS$7+$AD$12),BN19-$BS$7)),"-")</f>
        <v>-</v>
      </c>
      <c r="BN19" s="154">
        <f>IF(OR(Расчет!C16="A0",Расчет!C16="P9",Расчет!B16="722W"),"-",Расчет!A16)</f>
        <v>11154</v>
      </c>
      <c r="BO19" s="173">
        <f t="shared" si="15"/>
        <v>0</v>
      </c>
      <c r="BP19" s="172" t="str">
        <f>IF(BQ19="-","-",IFERROR(IF(OR(VLOOKUP(BN19,Расчет!$A$2:$E$582,5,FALSE)="2PS",VLOOKUP(BN19,Расчет!$A$2:$E$582,5,FALSE)="2QL"),IF(OR(VLOOKUP(BN19,Расчет!$A$2:$E$582,2,FALSE)="664W",VLOOKUP(BN19,Расчет!$A$2:$E$582,2,FALSE)="813W"),IF(BN19-$BS$7&gt;150,BN19-$BS$7-1000+$AD$12,BN19-$BS$7+$AD$12),IF(BN19-$BS$7&gt;150,BN19-$BS$7-1000+$AD$17,BN19-$BS$7+$AD$17)),IF(BN19-$BS$7&gt;150,BN19-$BS$7-1000,BN19-$BS$7)),"-"))</f>
        <v>-</v>
      </c>
      <c r="BQ19" s="173">
        <f t="shared" si="12"/>
        <v>11154</v>
      </c>
      <c r="BR19" s="453"/>
      <c r="BS19" s="171"/>
      <c r="BT19" s="464" t="str">
        <f t="shared" si="13"/>
        <v>-</v>
      </c>
      <c r="BU19" s="464" t="str">
        <f t="shared" si="14"/>
        <v>-</v>
      </c>
      <c r="BX19" s="204">
        <f>COUNTIF($BY$4:BY19,"&lt;100")</f>
        <v>0</v>
      </c>
      <c r="BY19" s="213" t="str">
        <f t="shared" si="4"/>
        <v/>
      </c>
      <c r="BZ19" s="216" t="str">
        <f t="shared" si="5"/>
        <v/>
      </c>
      <c r="CA19" s="213" t="e">
        <f t="shared" si="6"/>
        <v>#N/A</v>
      </c>
      <c r="CB19" s="209" t="e">
        <f t="shared" si="7"/>
        <v>#N/A</v>
      </c>
      <c r="CC19" s="205" t="str">
        <f t="shared" si="16"/>
        <v/>
      </c>
      <c r="CD19" s="205" t="str">
        <f t="shared" si="8"/>
        <v>-</v>
      </c>
      <c r="CE19" s="205">
        <f t="shared" si="17"/>
        <v>0</v>
      </c>
      <c r="CG19" s="20" t="str">
        <f t="shared" si="25"/>
        <v/>
      </c>
    </row>
    <row r="20" spans="1:85" ht="23.1" customHeight="1" thickBot="1">
      <c r="A20" s="40" t="str">
        <f>IF(AND(IFERROR(VLOOKUP(E20,Расчет!A:J,10,FALSE),"  ")&lt;&gt;"  ",IFERROR(LEFT(VLOOKUP(E20,Расчет!A:J,10,FALSE),1)," ")&lt;&gt;"H"),0,IFERROR(IF(F20="Camry",IF(OR(J20="2PS",J20="2QL"),IF(E20-AP20&gt;100,E20-AP20-1000+$AD$12,E20-AP20+$AD$12),IF(E20-AP20&gt;100,E20-AP20-1000,E20-AP20)),IF(J20="2PS",IF(E20-AP20&gt;100,E20-AP20-1000+$AD$17,E20-AP20+$AD$17),IF(E20-AP20&gt;100,E20-AP20-1000,E20-AP20))),"-"))</f>
        <v>-</v>
      </c>
      <c r="B20" s="46">
        <v>18</v>
      </c>
      <c r="C20" s="19" t="str">
        <f>IF(E20="","",COUNTA($E$3:E20))</f>
        <v/>
      </c>
      <c r="D20" s="18" t="str">
        <f t="shared" si="0"/>
        <v/>
      </c>
      <c r="E20" s="30"/>
      <c r="F20" s="44" t="str">
        <f>IFERROR(IF(VLOOKUP(E20,Расчет!$A$2:$B$650,2,FALSE)="664W","Camry",IF(VLOOKUP(E20,Расчет!$A$2:$B$650,2,FALSE)="813W","Goshi","RAV4")),"")</f>
        <v/>
      </c>
      <c r="G20" s="32" t="str">
        <f>IFERROR(IF(F20="Camry",VLOOKUP(E20,Расчет!$A$2:$Q$650,17,FALSE),VLOOKUP(E20,Расчет!$A$2:$R$650,18,FALSE)),"")</f>
        <v/>
      </c>
      <c r="H20" s="32" t="str">
        <f>IFERROR(VLOOKUP(VLOOKUP(E20,Расчет!$A:$D,4,FALSE),$AT$6:$AV$15,3,FALSE),"")</f>
        <v/>
      </c>
      <c r="I20" s="31" t="str">
        <f>IFERROR(VLOOKUP(IFERROR(VLOOKUP(E20,Расчет!$A$2:$D$650,4,FALSE),0),$AT$3:$AU$15,2,FALSE),"")</f>
        <v/>
      </c>
      <c r="J20" s="33" t="str">
        <f>IFERROR(VLOOKUP(E20,Расчет!$A$2:$E$650,5,FALSE),"")</f>
        <v/>
      </c>
      <c r="K20" s="189"/>
      <c r="L20" s="188">
        <f t="shared" si="10"/>
        <v>0</v>
      </c>
      <c r="M20" s="43"/>
      <c r="N20" s="40" t="str">
        <f>IF(AND(IFERROR(VLOOKUP(R20,Расчет!A:J,10,FALSE),"  ")&lt;&gt;"  ",IFERROR(LEFT(VLOOKUP(R20,Расчет!A:J,10,FALSE),1)," ")&lt;&gt;"H"),0,IFERROR(IF(S20="Camry",IF(OR(W20="2PS",W20="2QL"),IF(R20-AP123&gt;100,R20-AP123-1000+$AD$12,R20-AP123+$AD$12),IF(R20-AP123&gt;100,R20-AP123-1000,R20-AP123)),IF(W20="2PS",IF(R20-AP123&gt;100,R20-AP123-1000+$AD$17,R20-AP123+$AD$17),IF(R20-AP123&gt;100,R20-AP123-1000,R20-AP123))),"-"))</f>
        <v>-</v>
      </c>
      <c r="O20" s="46">
        <v>121</v>
      </c>
      <c r="P20" s="19" t="str">
        <f>IF(R20="","",COUNTA($R$3:R20)+$C$105)</f>
        <v/>
      </c>
      <c r="Q20" s="18" t="str">
        <f t="shared" si="1"/>
        <v/>
      </c>
      <c r="R20" s="30"/>
      <c r="S20" s="45" t="str">
        <f>IFERROR(IF(VLOOKUP(R20,Расчет!$A$2:$B$650,2,FALSE)="664W","Camry",IF(VLOOKUP(R20,Расчет!$A$2:$B$650,2,FALSE)="813W","Goshi","RAV4")),"")</f>
        <v/>
      </c>
      <c r="T20" s="32" t="str">
        <f>IFERROR(IF(S20="Camry",VLOOKUP(R20,Расчет!$A$2:$Q$650,17,FALSE),VLOOKUP(R20,Расчет!$A$2:$R$650,18,FALSE)),"")</f>
        <v/>
      </c>
      <c r="U20" s="32" t="str">
        <f>IFERROR(VLOOKUP(VLOOKUP(R20,Расчет!$A:$D,4,FALSE),$AT$6:$AV$15,3,FALSE),"")</f>
        <v/>
      </c>
      <c r="V20" s="31" t="str">
        <f>IFERROR(VLOOKUP(IFERROR(VLOOKUP(R20,Расчет!$A$2:$D$650,4,FALSE),0),$AT$3:$AU$15,2,FALSE),"")</f>
        <v/>
      </c>
      <c r="W20" s="33" t="str">
        <f>IFERROR(VLOOKUP(R20,Расчет!$A$2:$E$650,5,FALSE),"")</f>
        <v/>
      </c>
      <c r="X20" s="189"/>
      <c r="Y20" s="191">
        <f t="shared" si="11"/>
        <v>0</v>
      </c>
      <c r="Z20" s="397"/>
      <c r="AA20" s="399"/>
      <c r="AB20" s="421" t="str">
        <f>IFERROR(VLOOKUP(AC20,Расчет!$BS:$BT,2,FALSE),"")</f>
        <v/>
      </c>
      <c r="AC20" s="403"/>
      <c r="AD20" s="413"/>
      <c r="AE20" s="195">
        <v>18</v>
      </c>
      <c r="AF20" s="44" t="str">
        <f>IF(VLOOKUP(AE20,Расчет!$AH$2:$AN$201,5,FALSE)="8","C",IF(VLOOKUP(AE20,Расчет!$AH$2:$AN$201,5,FALSE)="G","G","R"))</f>
        <v>C</v>
      </c>
      <c r="AG20" s="73" t="str">
        <f t="shared" si="2"/>
        <v/>
      </c>
      <c r="AH20" s="87" t="str">
        <f>IF(AG20="","",COUNTIF($AG$2:AG20,"C")-COUNTIF($AF$2:AF20,"C")+$AH$1)</f>
        <v/>
      </c>
      <c r="AI20" s="87" t="str">
        <f>IF(AG20="","",COUNTIF($AG$2:AG20,"R")-COUNTIF($AF$2:AF20,"R")+$AI$1)</f>
        <v/>
      </c>
      <c r="AJ20" s="89">
        <v>121</v>
      </c>
      <c r="AK20" s="44" t="str">
        <f>IF(VLOOKUP(AJ20,Расчет!$AH$2:$AN$211,5,FALSE)="8","C",IF(VLOOKUP(AJ20,Расчет!$AH$2:$AN$211,5,FALSE)="G","G","R"))</f>
        <v>C</v>
      </c>
      <c r="AL20" s="74" t="str">
        <f t="shared" si="3"/>
        <v/>
      </c>
      <c r="AM20" s="118" t="str">
        <f>IF(AL20="","",(COUNTIF($AG$2:$AG$105,"C")+COUNTIF($AL$2:$AL20,"C"))-(COUNTIF($AF$2:$AF$105,"C")+COUNTIF($AK$2:$AK20,"C"))+$AH$1)</f>
        <v/>
      </c>
      <c r="AN20" s="119" t="str">
        <f>IF(AL20="","",(COUNTIF($AG$2:$AG$105,"R")+COUNTIF($AL$2:$AL20,"R"))-(COUNTIF($AF$2:$AF$105,"R")+COUNTIF($AK$2:$AK20,"R"))+$AI$1)</f>
        <v/>
      </c>
      <c r="AO20" s="22" t="str">
        <f>IF(E20="","",COUNTA($E$3:E20)+$Z$1)</f>
        <v/>
      </c>
      <c r="AP20" s="88" t="str">
        <f>IF(AO20="","",IF(AO20+Расчет!$Y$57+$BD$2-Расчет!$X$57&gt;200,AO20+Расчет!$Y$57+$BD$2-1000,AO20+Расчет!$Y$57+$BD$2))</f>
        <v/>
      </c>
      <c r="AQ20" s="272"/>
      <c r="AR20" s="92"/>
      <c r="AS20" s="92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172">
        <f>COUNTIF($BM$5:BM20,"&lt;-115")</f>
        <v>0</v>
      </c>
      <c r="BM20" s="154" t="str">
        <f>IFERROR(IF(OR(IFERROR(VLOOKUP(BN20,$E$3:$E$105,1,FALSE),"0")=BN20,IFERROR(VLOOKUP(BN20,$R$3:$R$105,1,FALSE),"0")=BN20),BO20,IF(OR(VLOOKUP(BN20,Расчет!A:E,5,FALSE)="2PS",VLOOKUP(BN20,Расчет!A:E,5,FALSE)="2QL"),IF(VLOOKUP(BN20,Расчет!A:B,2,FALSE)="831W",BN20-$BS$7+$AD$17,BN20-$BS$7+$AD$12),BN20-$BS$7)),"-")</f>
        <v>-</v>
      </c>
      <c r="BN20" s="154" t="str">
        <f>IF(OR(Расчет!C17="A0",Расчет!C17="P9",Расчет!B17="722W"),"-",Расчет!A17)</f>
        <v>-</v>
      </c>
      <c r="BO20" s="173">
        <f t="shared" si="15"/>
        <v>0</v>
      </c>
      <c r="BP20" s="172" t="str">
        <f>IF(BQ20="-","-",IFERROR(IF(OR(VLOOKUP(BN20,Расчет!$A$2:$E$582,5,FALSE)="2PS",VLOOKUP(BN20,Расчет!$A$2:$E$582,5,FALSE)="2QL"),IF(OR(VLOOKUP(BN20,Расчет!$A$2:$E$582,2,FALSE)="664W",VLOOKUP(BN20,Расчет!$A$2:$E$582,2,FALSE)="813W"),IF(BN20-$BS$7&gt;150,BN20-$BS$7-1000+$AD$12,BN20-$BS$7+$AD$12),IF(BN20-$BS$7&gt;150,BN20-$BS$7-1000+$AD$17,BN20-$BS$7+$AD$17)),IF(BN20-$BS$7&gt;150,BN20-$BS$7-1000,BN20-$BS$7)),"-"))</f>
        <v>-</v>
      </c>
      <c r="BQ20" s="173" t="str">
        <f t="shared" si="12"/>
        <v>-</v>
      </c>
      <c r="BR20" s="453"/>
      <c r="BS20" s="171"/>
      <c r="BT20" s="464" t="str">
        <f t="shared" si="13"/>
        <v>-</v>
      </c>
      <c r="BU20" s="464" t="str">
        <f t="shared" si="14"/>
        <v>-</v>
      </c>
      <c r="BX20" s="204">
        <f>COUNTIF($BY$4:BY20,"&lt;100")</f>
        <v>0</v>
      </c>
      <c r="BY20" s="213" t="str">
        <f t="shared" si="4"/>
        <v/>
      </c>
      <c r="BZ20" s="216" t="str">
        <f t="shared" si="5"/>
        <v/>
      </c>
      <c r="CA20" s="213" t="e">
        <f t="shared" si="6"/>
        <v>#N/A</v>
      </c>
      <c r="CB20" s="209" t="e">
        <f t="shared" si="7"/>
        <v>#N/A</v>
      </c>
      <c r="CC20" s="205" t="str">
        <f t="shared" si="16"/>
        <v/>
      </c>
      <c r="CD20" s="205" t="str">
        <f t="shared" si="8"/>
        <v>-</v>
      </c>
      <c r="CE20" s="205">
        <f t="shared" si="17"/>
        <v>0</v>
      </c>
      <c r="CG20" s="20" t="str">
        <f t="shared" si="25"/>
        <v/>
      </c>
    </row>
    <row r="21" spans="1:85" ht="23.1" customHeight="1" thickBot="1">
      <c r="A21" s="40" t="str">
        <f>IF(AND(IFERROR(VLOOKUP(E21,Расчет!A:J,10,FALSE),"  ")&lt;&gt;"  ",IFERROR(LEFT(VLOOKUP(E21,Расчет!A:J,10,FALSE),1)," ")&lt;&gt;"H"),0,IFERROR(IF(F21="Camry",IF(OR(J21="2PS",J21="2QL"),IF(E21-AP21&gt;100,E21-AP21-1000+$AD$12,E21-AP21+$AD$12),IF(E21-AP21&gt;100,E21-AP21-1000,E21-AP21)),IF(J21="2PS",IF(E21-AP21&gt;100,E21-AP21-1000+$AD$17,E21-AP21+$AD$17),IF(E21-AP21&gt;100,E21-AP21-1000,E21-AP21))),"-"))</f>
        <v>-</v>
      </c>
      <c r="B21" s="46">
        <v>19</v>
      </c>
      <c r="C21" s="19" t="str">
        <f>IF(E21="","",COUNTA($E$3:E21))</f>
        <v/>
      </c>
      <c r="D21" s="18" t="str">
        <f t="shared" si="0"/>
        <v/>
      </c>
      <c r="E21" s="30"/>
      <c r="F21" s="44" t="str">
        <f>IFERROR(IF(VLOOKUP(E21,Расчет!$A$2:$B$650,2,FALSE)="664W","Camry",IF(VLOOKUP(E21,Расчет!$A$2:$B$650,2,FALSE)="813W","Goshi","RAV4")),"")</f>
        <v/>
      </c>
      <c r="G21" s="32" t="str">
        <f>IFERROR(IF(F21="Camry",VLOOKUP(E21,Расчет!$A$2:$Q$650,17,FALSE),VLOOKUP(E21,Расчет!$A$2:$R$650,18,FALSE)),"")</f>
        <v/>
      </c>
      <c r="H21" s="32" t="str">
        <f>IFERROR(VLOOKUP(VLOOKUP(E21,Расчет!$A:$D,4,FALSE),$AT$6:$AV$15,3,FALSE),"")</f>
        <v/>
      </c>
      <c r="I21" s="31" t="str">
        <f>IFERROR(VLOOKUP(IFERROR(VLOOKUP(E21,Расчет!$A$2:$D$650,4,FALSE),0),$AT$3:$AU$15,2,FALSE),"")</f>
        <v/>
      </c>
      <c r="J21" s="33" t="str">
        <f>IFERROR(VLOOKUP(E21,Расчет!$A$2:$E$650,5,FALSE),"")</f>
        <v/>
      </c>
      <c r="K21" s="189"/>
      <c r="L21" s="188">
        <f t="shared" si="10"/>
        <v>0</v>
      </c>
      <c r="M21" s="43"/>
      <c r="N21" s="40" t="str">
        <f>IF(AND(IFERROR(VLOOKUP(R21,Расчет!A:J,10,FALSE),"  ")&lt;&gt;"  ",IFERROR(LEFT(VLOOKUP(R21,Расчет!A:J,10,FALSE),1)," ")&lt;&gt;"H"),0,IFERROR(IF(S21="Camry",IF(OR(W21="2PS",W21="2QL"),IF(R21-AP124&gt;100,R21-AP124-1000+$AD$12,R21-AP124+$AD$12),IF(R21-AP124&gt;100,R21-AP124-1000,R21-AP124)),IF(W21="2PS",IF(R21-AP124&gt;100,R21-AP124-1000+$AD$17,R21-AP124+$AD$17),IF(R21-AP124&gt;100,R21-AP124-1000,R21-AP124))),"-"))</f>
        <v>-</v>
      </c>
      <c r="O21" s="46">
        <v>122</v>
      </c>
      <c r="P21" s="19" t="str">
        <f>IF(R21="","",COUNTA($R$3:R21)+$C$105)</f>
        <v/>
      </c>
      <c r="Q21" s="18" t="str">
        <f t="shared" si="1"/>
        <v/>
      </c>
      <c r="R21" s="30"/>
      <c r="S21" s="45" t="str">
        <f>IFERROR(IF(VLOOKUP(R21,Расчет!$A$2:$B$650,2,FALSE)="664W","Camry",IF(VLOOKUP(R21,Расчет!$A$2:$B$650,2,FALSE)="813W","Goshi","RAV4")),"")</f>
        <v/>
      </c>
      <c r="T21" s="32" t="str">
        <f>IFERROR(IF(S21="Camry",VLOOKUP(R21,Расчет!$A$2:$Q$650,17,FALSE),VLOOKUP(R21,Расчет!$A$2:$R$650,18,FALSE)),"")</f>
        <v/>
      </c>
      <c r="U21" s="32" t="str">
        <f>IFERROR(VLOOKUP(VLOOKUP(R21,Расчет!$A:$D,4,FALSE),$AT$6:$AV$15,3,FALSE),"")</f>
        <v/>
      </c>
      <c r="V21" s="31" t="str">
        <f>IFERROR(VLOOKUP(IFERROR(VLOOKUP(R21,Расчет!$A$2:$D$650,4,FALSE),0),$AT$3:$AU$15,2,FALSE),"")</f>
        <v/>
      </c>
      <c r="W21" s="33" t="str">
        <f>IFERROR(VLOOKUP(R21,Расчет!$A$2:$E$650,5,FALSE),"")</f>
        <v/>
      </c>
      <c r="X21" s="189"/>
      <c r="Y21" s="191">
        <f t="shared" si="11"/>
        <v>0</v>
      </c>
      <c r="Z21" s="613" t="s">
        <v>72</v>
      </c>
      <c r="AA21" s="688"/>
      <c r="AB21" s="688"/>
      <c r="AC21" s="688"/>
      <c r="AD21" s="614"/>
      <c r="AE21" s="195">
        <v>19</v>
      </c>
      <c r="AF21" s="44" t="str">
        <f>IF(VLOOKUP(AE21,Расчет!$AH$2:$AN$201,5,FALSE)="8","C",IF(VLOOKUP(AE21,Расчет!$AH$2:$AN$201,5,FALSE)="G","G","R"))</f>
        <v>R</v>
      </c>
      <c r="AG21" s="73" t="str">
        <f t="shared" si="2"/>
        <v/>
      </c>
      <c r="AH21" s="87" t="str">
        <f>IF(AG21="","",COUNTIF($AG$2:AG21,"C")-COUNTIF($AF$2:AF21,"C")+$AH$1)</f>
        <v/>
      </c>
      <c r="AI21" s="87" t="str">
        <f>IF(AG21="","",COUNTIF($AG$2:AG21,"R")-COUNTIF($AF$2:AF21,"R")+$AI$1)</f>
        <v/>
      </c>
      <c r="AJ21" s="89">
        <v>122</v>
      </c>
      <c r="AK21" s="44" t="str">
        <f>IF(VLOOKUP(AJ21,Расчет!$AH$2:$AN$211,5,FALSE)="8","C",IF(VLOOKUP(AJ21,Расчет!$AH$2:$AN$211,5,FALSE)="G","G","R"))</f>
        <v>R</v>
      </c>
      <c r="AL21" s="74" t="str">
        <f t="shared" si="3"/>
        <v/>
      </c>
      <c r="AM21" s="118" t="str">
        <f>IF(AL21="","",(COUNTIF($AG$2:$AG$105,"C")+COUNTIF($AL$2:$AL21,"C"))-(COUNTIF($AF$2:$AF$105,"C")+COUNTIF($AK$2:$AK21,"C"))+$AH$1)</f>
        <v/>
      </c>
      <c r="AN21" s="119" t="str">
        <f>IF(AL21="","",(COUNTIF($AG$2:$AG$105,"R")+COUNTIF($AL$2:$AL21,"R"))-(COUNTIF($AF$2:$AF$105,"R")+COUNTIF($AK$2:$AK21,"R"))+$AI$1)</f>
        <v/>
      </c>
      <c r="AO21" s="22" t="str">
        <f>IF(E21="","",COUNTA($E$3:E21)+$Z$1)</f>
        <v/>
      </c>
      <c r="AP21" s="88" t="str">
        <f>IF(AO21="","",IF(AO21+Расчет!$Y$57+$BD$2-Расчет!$X$57&gt;200,AO21+Расчет!$Y$57+$BD$2-1000,AO21+Расчет!$Y$57+$BD$2))</f>
        <v/>
      </c>
      <c r="AQ21" s="273"/>
      <c r="AR21" s="92"/>
      <c r="AS21" s="92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172">
        <f>COUNTIF($BM$5:BM21,"&lt;-115")</f>
        <v>0</v>
      </c>
      <c r="BM21" s="154" t="str">
        <f>IFERROR(IF(OR(IFERROR(VLOOKUP(BN21,$E$3:$E$105,1,FALSE),"0")=BN21,IFERROR(VLOOKUP(BN21,$R$3:$R$105,1,FALSE),"0")=BN21),BO21,IF(OR(VLOOKUP(BN21,Расчет!A:E,5,FALSE)="2PS",VLOOKUP(BN21,Расчет!A:E,5,FALSE)="2QL"),IF(VLOOKUP(BN21,Расчет!A:B,2,FALSE)="831W",BN21-$BS$7+$AD$17,BN21-$BS$7+$AD$12),BN21-$BS$7)),"-")</f>
        <v>-</v>
      </c>
      <c r="BN21" s="154" t="str">
        <f>IF(OR(Расчет!C18="A0",Расчет!C18="P9",Расчет!B18="722W"),"-",Расчет!A18)</f>
        <v>-</v>
      </c>
      <c r="BO21" s="173">
        <f t="shared" si="15"/>
        <v>0</v>
      </c>
      <c r="BP21" s="172" t="str">
        <f>IF(BQ21="-","-",IFERROR(IF(OR(VLOOKUP(BN21,Расчет!$A$2:$E$582,5,FALSE)="2PS",VLOOKUP(BN21,Расчет!$A$2:$E$582,5,FALSE)="2QL"),IF(OR(VLOOKUP(BN21,Расчет!$A$2:$E$582,2,FALSE)="664W",VLOOKUP(BN21,Расчет!$A$2:$E$582,2,FALSE)="813W"),IF(BN21-$BS$7&gt;150,BN21-$BS$7-1000+$AD$12,BN21-$BS$7+$AD$12),IF(BN21-$BS$7&gt;150,BN21-$BS$7-1000+$AD$17,BN21-$BS$7+$AD$17)),IF(BN21-$BS$7&gt;150,BN21-$BS$7-1000,BN21-$BS$7)),"-"))</f>
        <v>-</v>
      </c>
      <c r="BQ21" s="173" t="str">
        <f t="shared" si="12"/>
        <v>-</v>
      </c>
      <c r="BR21" s="453"/>
      <c r="BS21" s="171"/>
      <c r="BT21" s="464" t="str">
        <f t="shared" si="13"/>
        <v>-</v>
      </c>
      <c r="BU21" s="464" t="str">
        <f t="shared" si="14"/>
        <v>-</v>
      </c>
      <c r="BX21" s="204">
        <f>COUNTIF($BY$4:BY21,"&lt;100")</f>
        <v>0</v>
      </c>
      <c r="BY21" s="213" t="str">
        <f t="shared" si="4"/>
        <v/>
      </c>
      <c r="BZ21" s="216" t="str">
        <f t="shared" si="5"/>
        <v/>
      </c>
      <c r="CA21" s="213" t="e">
        <f t="shared" si="6"/>
        <v>#N/A</v>
      </c>
      <c r="CB21" s="209" t="e">
        <f t="shared" si="7"/>
        <v>#N/A</v>
      </c>
      <c r="CC21" s="205" t="str">
        <f t="shared" si="16"/>
        <v/>
      </c>
      <c r="CD21" s="205" t="str">
        <f t="shared" si="8"/>
        <v>-</v>
      </c>
      <c r="CE21" s="205">
        <f t="shared" si="17"/>
        <v>0</v>
      </c>
      <c r="CG21" s="20" t="str">
        <f t="shared" si="25"/>
        <v/>
      </c>
    </row>
    <row r="22" spans="1:85" ht="23.1" customHeight="1" thickBot="1">
      <c r="A22" s="40" t="str">
        <f>IF(AND(IFERROR(VLOOKUP(E22,Расчет!A:J,10,FALSE),"  ")&lt;&gt;"  ",IFERROR(LEFT(VLOOKUP(E22,Расчет!A:J,10,FALSE),1)," ")&lt;&gt;"H"),0,IFERROR(IF(F22="Camry",IF(OR(J22="2PS",J22="2QL"),IF(E22-AP22&gt;100,E22-AP22-1000+$AD$12,E22-AP22+$AD$12),IF(E22-AP22&gt;100,E22-AP22-1000,E22-AP22)),IF(J22="2PS",IF(E22-AP22&gt;100,E22-AP22-1000+$AD$17,E22-AP22+$AD$17),IF(E22-AP22&gt;100,E22-AP22-1000,E22-AP22))),"-"))</f>
        <v>-</v>
      </c>
      <c r="B22" s="46">
        <v>20</v>
      </c>
      <c r="C22" s="19" t="str">
        <f>IF(E22="","",COUNTA($E$3:E22))</f>
        <v/>
      </c>
      <c r="D22" s="18" t="str">
        <f t="shared" si="0"/>
        <v/>
      </c>
      <c r="E22" s="30"/>
      <c r="F22" s="44" t="str">
        <f>IFERROR(IF(VLOOKUP(E22,Расчет!$A$2:$B$650,2,FALSE)="664W","Camry",IF(VLOOKUP(E22,Расчет!$A$2:$B$650,2,FALSE)="813W","Goshi","RAV4")),"")</f>
        <v/>
      </c>
      <c r="G22" s="32" t="str">
        <f>IFERROR(IF(F22="Camry",VLOOKUP(E22,Расчет!$A$2:$Q$650,17,FALSE),VLOOKUP(E22,Расчет!$A$2:$R$650,18,FALSE)),"")</f>
        <v/>
      </c>
      <c r="H22" s="32" t="str">
        <f>IFERROR(VLOOKUP(VLOOKUP(E22,Расчет!$A:$D,4,FALSE),$AT$6:$AV$15,3,FALSE),"")</f>
        <v/>
      </c>
      <c r="I22" s="31" t="str">
        <f>IFERROR(VLOOKUP(IFERROR(VLOOKUP(E22,Расчет!$A$2:$D$650,4,FALSE),0),$AT$3:$AU$15,2,FALSE),"")</f>
        <v/>
      </c>
      <c r="J22" s="33" t="str">
        <f>IFERROR(VLOOKUP(E22,Расчет!$A$2:$E$650,5,FALSE),"")</f>
        <v/>
      </c>
      <c r="K22" s="189"/>
      <c r="L22" s="188">
        <f t="shared" si="10"/>
        <v>0</v>
      </c>
      <c r="M22" s="43"/>
      <c r="N22" s="40" t="str">
        <f>IF(AND(IFERROR(VLOOKUP(R22,Расчет!A:J,10,FALSE),"  ")&lt;&gt;"  ",IFERROR(LEFT(VLOOKUP(R22,Расчет!A:J,10,FALSE),1)," ")&lt;&gt;"H"),0,IFERROR(IF(S22="Camry",IF(OR(W22="2PS",W22="2QL"),IF(R22-AP125&gt;100,R22-AP125-1000+$AD$12,R22-AP125+$AD$12),IF(R22-AP125&gt;100,R22-AP125-1000,R22-AP125)),IF(W22="2PS",IF(R22-AP125&gt;100,R22-AP125-1000+$AD$17,R22-AP125+$AD$17),IF(R22-AP125&gt;100,R22-AP125-1000,R22-AP125))),"-"))</f>
        <v>-</v>
      </c>
      <c r="O22" s="46">
        <v>123</v>
      </c>
      <c r="P22" s="19" t="str">
        <f>IF(R22="","",COUNTA($R$3:R22)+$C$105)</f>
        <v/>
      </c>
      <c r="Q22" s="18" t="str">
        <f t="shared" si="1"/>
        <v/>
      </c>
      <c r="R22" s="30"/>
      <c r="S22" s="45" t="str">
        <f>IFERROR(IF(VLOOKUP(R22,Расчет!$A$2:$B$650,2,FALSE)="664W","Camry",IF(VLOOKUP(R22,Расчет!$A$2:$B$650,2,FALSE)="813W","Goshi","RAV4")),"")</f>
        <v/>
      </c>
      <c r="T22" s="32" t="str">
        <f>IFERROR(IF(S22="Camry",VLOOKUP(R22,Расчет!$A$2:$Q$650,17,FALSE),VLOOKUP(R22,Расчет!$A$2:$R$650,18,FALSE)),"")</f>
        <v/>
      </c>
      <c r="U22" s="32" t="str">
        <f>IFERROR(VLOOKUP(VLOOKUP(R22,Расчет!$A:$D,4,FALSE),$AT$6:$AV$15,3,FALSE),"")</f>
        <v/>
      </c>
      <c r="V22" s="31" t="str">
        <f>IFERROR(VLOOKUP(IFERROR(VLOOKUP(R22,Расчет!$A$2:$D$650,4,FALSE),0),$AT$3:$AU$15,2,FALSE),"")</f>
        <v/>
      </c>
      <c r="W22" s="33" t="str">
        <f>IFERROR(VLOOKUP(R22,Расчет!$A$2:$E$650,5,FALSE),"")</f>
        <v/>
      </c>
      <c r="X22" s="189"/>
      <c r="Y22" s="191">
        <f t="shared" si="11"/>
        <v>0</v>
      </c>
      <c r="Z22" s="691" t="s">
        <v>145</v>
      </c>
      <c r="AA22" s="692"/>
      <c r="AB22" s="692"/>
      <c r="AC22" s="692"/>
      <c r="AD22" s="693"/>
      <c r="AE22" s="195">
        <v>20</v>
      </c>
      <c r="AF22" s="44" t="str">
        <f>IF(VLOOKUP(AE22,Расчет!$AH$2:$AN$201,5,FALSE)="8","C",IF(VLOOKUP(AE22,Расчет!$AH$2:$AN$201,5,FALSE)="G","G","R"))</f>
        <v>C</v>
      </c>
      <c r="AG22" s="73" t="str">
        <f t="shared" si="2"/>
        <v/>
      </c>
      <c r="AH22" s="87" t="str">
        <f>IF(AG22="","",COUNTIF($AG$2:AG22,"C")-COUNTIF($AF$2:AF22,"C")+$AH$1)</f>
        <v/>
      </c>
      <c r="AI22" s="87" t="str">
        <f>IF(AG22="","",COUNTIF($AG$2:AG22,"R")-COUNTIF($AF$2:AF22,"R")+$AI$1)</f>
        <v/>
      </c>
      <c r="AJ22" s="89">
        <v>123</v>
      </c>
      <c r="AK22" s="44" t="str">
        <f>IF(VLOOKUP(AJ22,Расчет!$AH$2:$AN$211,5,FALSE)="8","C",IF(VLOOKUP(AJ22,Расчет!$AH$2:$AN$211,5,FALSE)="G","G","R"))</f>
        <v>C</v>
      </c>
      <c r="AL22" s="74" t="str">
        <f t="shared" si="3"/>
        <v/>
      </c>
      <c r="AM22" s="118" t="str">
        <f>IF(AL22="","",(COUNTIF($AG$2:$AG$105,"C")+COUNTIF($AL$2:$AL22,"C"))-(COUNTIF($AF$2:$AF$105,"C")+COUNTIF($AK$2:$AK22,"C"))+$AH$1)</f>
        <v/>
      </c>
      <c r="AN22" s="119" t="str">
        <f>IF(AL22="","",(COUNTIF($AG$2:$AG$105,"R")+COUNTIF($AL$2:$AL22,"R"))-(COUNTIF($AF$2:$AF$105,"R")+COUNTIF($AK$2:$AK22,"R"))+$AI$1)</f>
        <v/>
      </c>
      <c r="AO22" s="22" t="str">
        <f>IF(E22="","",COUNTA($E$3:E22)+$Z$1)</f>
        <v/>
      </c>
      <c r="AP22" s="88" t="str">
        <f>IF(AO22="","",IF(AO22+Расчет!$Y$57+$BD$2-Расчет!$X$57&gt;200,AO22+Расчет!$Y$57+$BD$2-1000,AO22+Расчет!$Y$57+$BD$2))</f>
        <v/>
      </c>
      <c r="AR22" s="92"/>
      <c r="AS22" s="92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172">
        <f>COUNTIF($BM$5:BM22,"&lt;-115")</f>
        <v>0</v>
      </c>
      <c r="BM22" s="154" t="str">
        <f>IFERROR(IF(OR(IFERROR(VLOOKUP(BN22,$E$3:$E$105,1,FALSE),"0")=BN22,IFERROR(VLOOKUP(BN22,$R$3:$R$105,1,FALSE),"0")=BN22),BO22,IF(OR(VLOOKUP(BN22,Расчет!A:E,5,FALSE)="2PS",VLOOKUP(BN22,Расчет!A:E,5,FALSE)="2QL"),IF(VLOOKUP(BN22,Расчет!A:B,2,FALSE)="831W",BN22-$BS$7+$AD$17,BN22-$BS$7+$AD$12),BN22-$BS$7)),"-")</f>
        <v>-</v>
      </c>
      <c r="BN22" s="154" t="str">
        <f>IF(OR(Расчет!C19="A0",Расчет!C19="P9",Расчет!B19="722W"),"-",Расчет!A19)</f>
        <v>-</v>
      </c>
      <c r="BO22" s="173">
        <f t="shared" si="15"/>
        <v>0</v>
      </c>
      <c r="BP22" s="172" t="str">
        <f>IF(BQ22="-","-",IFERROR(IF(OR(VLOOKUP(BN22,Расчет!$A$2:$E$582,5,FALSE)="2PS",VLOOKUP(BN22,Расчет!$A$2:$E$582,5,FALSE)="2QL"),IF(OR(VLOOKUP(BN22,Расчет!$A$2:$E$582,2,FALSE)="664W",VLOOKUP(BN22,Расчет!$A$2:$E$582,2,FALSE)="813W"),IF(BN22-$BS$7&gt;150,BN22-$BS$7-1000+$AD$12,BN22-$BS$7+$AD$12),IF(BN22-$BS$7&gt;150,BN22-$BS$7-1000+$AD$17,BN22-$BS$7+$AD$17)),IF(BN22-$BS$7&gt;150,BN22-$BS$7-1000,BN22-$BS$7)),"-"))</f>
        <v>-</v>
      </c>
      <c r="BQ22" s="173" t="str">
        <f t="shared" si="12"/>
        <v>-</v>
      </c>
      <c r="BR22" s="453"/>
      <c r="BS22" s="171"/>
      <c r="BT22" s="464" t="str">
        <f t="shared" si="13"/>
        <v>-</v>
      </c>
      <c r="BU22" s="464" t="str">
        <f t="shared" si="14"/>
        <v>-</v>
      </c>
      <c r="BX22" s="204">
        <f>COUNTIF($BY$4:BY22,"&lt;100")</f>
        <v>0</v>
      </c>
      <c r="BY22" s="213" t="str">
        <f t="shared" si="4"/>
        <v/>
      </c>
      <c r="BZ22" s="216" t="str">
        <f t="shared" si="5"/>
        <v/>
      </c>
      <c r="CA22" s="213" t="e">
        <f t="shared" si="6"/>
        <v>#N/A</v>
      </c>
      <c r="CB22" s="209" t="e">
        <f t="shared" si="7"/>
        <v>#N/A</v>
      </c>
      <c r="CC22" s="205" t="str">
        <f t="shared" si="16"/>
        <v/>
      </c>
      <c r="CD22" s="205" t="str">
        <f t="shared" si="8"/>
        <v>-</v>
      </c>
      <c r="CE22" s="205">
        <f t="shared" si="17"/>
        <v>0</v>
      </c>
      <c r="CG22" s="20" t="str">
        <f t="shared" si="25"/>
        <v/>
      </c>
    </row>
    <row r="23" spans="1:85" ht="23.1" customHeight="1" thickBot="1">
      <c r="A23" s="40" t="str">
        <f>IF(AND(IFERROR(VLOOKUP(E23,Расчет!A:J,10,FALSE),"  ")&lt;&gt;"  ",IFERROR(LEFT(VLOOKUP(E23,Расчет!A:J,10,FALSE),1)," ")&lt;&gt;"H"),0,IFERROR(IF(F23="Camry",IF(OR(J23="2PS",J23="2QL"),IF(E23-AP23&gt;100,E23-AP23-1000+$AD$12,E23-AP23+$AD$12),IF(E23-AP23&gt;100,E23-AP23-1000,E23-AP23)),IF(J23="2PS",IF(E23-AP23&gt;100,E23-AP23-1000+$AD$17,E23-AP23+$AD$17),IF(E23-AP23&gt;100,E23-AP23-1000,E23-AP23))),"-"))</f>
        <v>-</v>
      </c>
      <c r="B23" s="46">
        <v>21</v>
      </c>
      <c r="C23" s="19" t="str">
        <f>IF(E23="","",COUNTA($E$3:E23))</f>
        <v/>
      </c>
      <c r="D23" s="18" t="str">
        <f t="shared" si="0"/>
        <v/>
      </c>
      <c r="E23" s="30"/>
      <c r="F23" s="44" t="str">
        <f>IFERROR(IF(VLOOKUP(E23,Расчет!$A$2:$B$650,2,FALSE)="664W","Camry",IF(VLOOKUP(E23,Расчет!$A$2:$B$650,2,FALSE)="813W","Goshi","RAV4")),"")</f>
        <v/>
      </c>
      <c r="G23" s="32" t="str">
        <f>IFERROR(IF(F23="Camry",VLOOKUP(E23,Расчет!$A$2:$Q$650,17,FALSE),VLOOKUP(E23,Расчет!$A$2:$R$650,18,FALSE)),"")</f>
        <v/>
      </c>
      <c r="H23" s="32" t="str">
        <f>IFERROR(VLOOKUP(VLOOKUP(E23,Расчет!$A:$D,4,FALSE),$AT$6:$AV$15,3,FALSE),"")</f>
        <v/>
      </c>
      <c r="I23" s="31" t="str">
        <f>IFERROR(VLOOKUP(IFERROR(VLOOKUP(E23,Расчет!$A$2:$D$650,4,FALSE),0),$AT$3:$AU$15,2,FALSE),"")</f>
        <v/>
      </c>
      <c r="J23" s="33" t="str">
        <f>IFERROR(VLOOKUP(E23,Расчет!$A$2:$E$650,5,FALSE),"")</f>
        <v/>
      </c>
      <c r="K23" s="189"/>
      <c r="L23" s="188">
        <f t="shared" si="10"/>
        <v>0</v>
      </c>
      <c r="M23" s="43"/>
      <c r="N23" s="40" t="str">
        <f>IF(AND(IFERROR(VLOOKUP(R23,Расчет!A:J,10,FALSE),"  ")&lt;&gt;"  ",IFERROR(LEFT(VLOOKUP(R23,Расчет!A:J,10,FALSE),1)," ")&lt;&gt;"H"),0,IFERROR(IF(S23="Camry",IF(OR(W23="2PS",W23="2QL"),IF(R23-AP126&gt;100,R23-AP126-1000+$AD$12,R23-AP126+$AD$12),IF(R23-AP126&gt;100,R23-AP126-1000,R23-AP126)),IF(W23="2PS",IF(R23-AP126&gt;100,R23-AP126-1000+$AD$17,R23-AP126+$AD$17),IF(R23-AP126&gt;100,R23-AP126-1000,R23-AP126))),"-"))</f>
        <v>-</v>
      </c>
      <c r="O23" s="46">
        <v>124</v>
      </c>
      <c r="P23" s="19" t="str">
        <f>IF(R23="","",COUNTA($R$3:R23)+$C$105)</f>
        <v/>
      </c>
      <c r="Q23" s="18" t="str">
        <f t="shared" si="1"/>
        <v/>
      </c>
      <c r="R23" s="30"/>
      <c r="S23" s="45" t="str">
        <f>IFERROR(IF(VLOOKUP(R23,Расчет!$A$2:$B$650,2,FALSE)="664W","Camry",IF(VLOOKUP(R23,Расчет!$A$2:$B$650,2,FALSE)="813W","Goshi","RAV4")),"")</f>
        <v/>
      </c>
      <c r="T23" s="32" t="str">
        <f>IFERROR(IF(S23="Camry",VLOOKUP(R23,Расчет!$A$2:$Q$650,17,FALSE),VLOOKUP(R23,Расчет!$A$2:$R$650,18,FALSE)),"")</f>
        <v/>
      </c>
      <c r="U23" s="32" t="str">
        <f>IFERROR(VLOOKUP(VLOOKUP(R23,Расчет!$A:$D,4,FALSE),$AT$6:$AV$15,3,FALSE),"")</f>
        <v/>
      </c>
      <c r="V23" s="31" t="str">
        <f>IFERROR(VLOOKUP(IFERROR(VLOOKUP(R23,Расчет!$A$2:$D$650,4,FALSE),0),$AT$3:$AU$15,2,FALSE),"")</f>
        <v/>
      </c>
      <c r="W23" s="33" t="str">
        <f>IFERROR(VLOOKUP(R23,Расчет!$A$2:$E$650,5,FALSE),"")</f>
        <v/>
      </c>
      <c r="X23" s="189"/>
      <c r="Y23" s="191">
        <f t="shared" si="11"/>
        <v>0</v>
      </c>
      <c r="Z23" s="155" t="s">
        <v>27</v>
      </c>
      <c r="AA23" s="161" t="s">
        <v>8</v>
      </c>
      <c r="AB23" s="155" t="s">
        <v>137</v>
      </c>
      <c r="AC23" s="155" t="s">
        <v>26</v>
      </c>
      <c r="AD23" s="146" t="s">
        <v>132</v>
      </c>
      <c r="AE23" s="89">
        <v>21</v>
      </c>
      <c r="AF23" s="44" t="str">
        <f>IF(VLOOKUP(AE23,Расчет!$AH$2:$AN$201,5,FALSE)="8","C",IF(VLOOKUP(AE23,Расчет!$AH$2:$AN$201,5,FALSE)="G","G","R"))</f>
        <v>R</v>
      </c>
      <c r="AG23" s="73" t="str">
        <f t="shared" si="2"/>
        <v/>
      </c>
      <c r="AH23" s="87" t="str">
        <f>IF(AG23="","",COUNTIF($AG$2:AG23,"C")-COUNTIF($AF$2:AF23,"C")+$AH$1)</f>
        <v/>
      </c>
      <c r="AI23" s="87" t="str">
        <f>IF(AG23="","",COUNTIF($AG$2:AG23,"R")-COUNTIF($AF$2:AF23,"R")+$AI$1)</f>
        <v/>
      </c>
      <c r="AJ23" s="89">
        <v>124</v>
      </c>
      <c r="AK23" s="44" t="str">
        <f>IF(VLOOKUP(AJ23,Расчет!$AH$2:$AN$211,5,FALSE)="8","C",IF(VLOOKUP(AJ23,Расчет!$AH$2:$AN$211,5,FALSE)="G","G","R"))</f>
        <v>R</v>
      </c>
      <c r="AL23" s="74" t="str">
        <f t="shared" si="3"/>
        <v/>
      </c>
      <c r="AM23" s="118" t="str">
        <f>IF(AL23="","",(COUNTIF($AG$2:$AG$105,"C")+COUNTIF($AL$2:$AL23,"C"))-(COUNTIF($AF$2:$AF$105,"C")+COUNTIF($AK$2:$AK23,"C"))+$AH$1)</f>
        <v/>
      </c>
      <c r="AN23" s="119" t="str">
        <f>IF(AL23="","",(COUNTIF($AG$2:$AG$105,"R")+COUNTIF($AL$2:$AL23,"R"))-(COUNTIF($AF$2:$AF$105,"R")+COUNTIF($AK$2:$AK23,"R"))+$AI$1)</f>
        <v/>
      </c>
      <c r="AO23" s="22" t="str">
        <f>IF(E23="","",COUNTA($E$3:E23)+$Z$1)</f>
        <v/>
      </c>
      <c r="AP23" s="88" t="str">
        <f>IF(AO23="","",IF(AO23+Расчет!$Y$57+$BD$2-Расчет!$X$57&gt;200,AO23+Расчет!$Y$57+$BD$2-1000,AO23+Расчет!$Y$57+$BD$2))</f>
        <v/>
      </c>
      <c r="AQ23" s="272"/>
      <c r="AR23" s="92"/>
      <c r="AS23" s="92"/>
      <c r="AW23" s="48"/>
      <c r="AX23" s="659" t="s">
        <v>100</v>
      </c>
      <c r="AY23" s="660"/>
      <c r="AZ23" s="660"/>
      <c r="BA23" s="660"/>
      <c r="BB23" s="660"/>
      <c r="BC23" s="660"/>
      <c r="BD23" s="660"/>
      <c r="BE23" s="660"/>
      <c r="BF23" s="660"/>
      <c r="BG23" s="661"/>
      <c r="BH23" s="686" t="s">
        <v>18</v>
      </c>
      <c r="BI23" s="687"/>
      <c r="BJ23" s="146" t="s">
        <v>2</v>
      </c>
      <c r="BK23" s="146" t="s">
        <v>133</v>
      </c>
      <c r="BL23" s="172">
        <f>COUNTIF($BM$5:BM23,"&lt;-115")</f>
        <v>0</v>
      </c>
      <c r="BM23" s="154" t="str">
        <f>IFERROR(IF(OR(IFERROR(VLOOKUP(BN23,$E$3:$E$105,1,FALSE),"0")=BN23,IFERROR(VLOOKUP(BN23,$R$3:$R$105,1,FALSE),"0")=BN23),BO23,IF(OR(VLOOKUP(BN23,Расчет!A:E,5,FALSE)="2PS",VLOOKUP(BN23,Расчет!A:E,5,FALSE)="2QL"),IF(VLOOKUP(BN23,Расчет!A:B,2,FALSE)="831W",BN23-$BS$7+$AD$17,BN23-$BS$7+$AD$12),BN23-$BS$7)),"-")</f>
        <v>-</v>
      </c>
      <c r="BN23" s="154" t="str">
        <f>IF(OR(Расчет!C20="A0",Расчет!C20="P9",Расчет!B20="722W"),"-",Расчет!A20)</f>
        <v>-</v>
      </c>
      <c r="BO23" s="173">
        <f t="shared" si="15"/>
        <v>0</v>
      </c>
      <c r="BP23" s="172" t="str">
        <f>IF(BQ23="-","-",IFERROR(IF(OR(VLOOKUP(BN23,Расчет!$A$2:$E$582,5,FALSE)="2PS",VLOOKUP(BN23,Расчет!$A$2:$E$582,5,FALSE)="2QL"),IF(OR(VLOOKUP(BN23,Расчет!$A$2:$E$582,2,FALSE)="664W",VLOOKUP(BN23,Расчет!$A$2:$E$582,2,FALSE)="813W"),IF(BN23-$BS$7&gt;150,BN23-$BS$7-1000+$AD$12,BN23-$BS$7+$AD$12),IF(BN23-$BS$7&gt;150,BN23-$BS$7-1000+$AD$17,BN23-$BS$7+$AD$17)),IF(BN23-$BS$7&gt;150,BN23-$BS$7-1000,BN23-$BS$7)),"-"))</f>
        <v>-</v>
      </c>
      <c r="BQ23" s="173" t="str">
        <f t="shared" si="12"/>
        <v>-</v>
      </c>
      <c r="BR23" s="453"/>
      <c r="BS23" s="171"/>
      <c r="BT23" s="464" t="str">
        <f t="shared" si="13"/>
        <v>-</v>
      </c>
      <c r="BU23" s="464" t="str">
        <f t="shared" si="14"/>
        <v>-</v>
      </c>
      <c r="BX23" s="204">
        <f>COUNTIF($BY$4:BY23,"&lt;100")</f>
        <v>0</v>
      </c>
      <c r="BY23" s="213" t="str">
        <f t="shared" si="4"/>
        <v/>
      </c>
      <c r="BZ23" s="216" t="str">
        <f t="shared" si="5"/>
        <v/>
      </c>
      <c r="CA23" s="213" t="e">
        <f t="shared" si="6"/>
        <v>#N/A</v>
      </c>
      <c r="CB23" s="209" t="e">
        <f t="shared" si="7"/>
        <v>#N/A</v>
      </c>
      <c r="CC23" s="205" t="str">
        <f t="shared" si="16"/>
        <v/>
      </c>
      <c r="CD23" s="205" t="str">
        <f t="shared" si="8"/>
        <v>-</v>
      </c>
      <c r="CE23" s="205">
        <f t="shared" si="17"/>
        <v>0</v>
      </c>
      <c r="CG23" s="20" t="str">
        <f t="shared" si="25"/>
        <v/>
      </c>
    </row>
    <row r="24" spans="1:85" ht="23.1" customHeight="1">
      <c r="A24" s="40" t="str">
        <f>IF(AND(IFERROR(VLOOKUP(E24,Расчет!A:J,10,FALSE),"  ")&lt;&gt;"  ",IFERROR(LEFT(VLOOKUP(E24,Расчет!A:J,10,FALSE),1)," ")&lt;&gt;"H"),0,IFERROR(IF(F24="Camry",IF(OR(J24="2PS",J24="2QL"),IF(E24-AP24&gt;100,E24-AP24-1000+$AD$12,E24-AP24+$AD$12),IF(E24-AP24&gt;100,E24-AP24-1000,E24-AP24)),IF(J24="2PS",IF(E24-AP24&gt;100,E24-AP24-1000+$AD$17,E24-AP24+$AD$17),IF(E24-AP24&gt;100,E24-AP24-1000,E24-AP24))),"-"))</f>
        <v>-</v>
      </c>
      <c r="B24" s="46">
        <v>22</v>
      </c>
      <c r="C24" s="19" t="str">
        <f>IF(E24="","",COUNTA($E$3:E24))</f>
        <v/>
      </c>
      <c r="D24" s="18" t="str">
        <f t="shared" si="0"/>
        <v/>
      </c>
      <c r="E24" s="30"/>
      <c r="F24" s="44" t="str">
        <f>IFERROR(IF(VLOOKUP(E24,Расчет!$A$2:$B$650,2,FALSE)="664W","Camry",IF(VLOOKUP(E24,Расчет!$A$2:$B$650,2,FALSE)="813W","Goshi","RAV4")),"")</f>
        <v/>
      </c>
      <c r="G24" s="32" t="str">
        <f>IFERROR(IF(F24="Camry",VLOOKUP(E24,Расчет!$A$2:$Q$650,17,FALSE),VLOOKUP(E24,Расчет!$A$2:$R$650,18,FALSE)),"")</f>
        <v/>
      </c>
      <c r="H24" s="32" t="str">
        <f>IFERROR(VLOOKUP(VLOOKUP(E24,Расчет!$A:$D,4,FALSE),$AT$6:$AV$15,3,FALSE),"")</f>
        <v/>
      </c>
      <c r="I24" s="31" t="str">
        <f>IFERROR(VLOOKUP(IFERROR(VLOOKUP(E24,Расчет!$A$2:$D$650,4,FALSE),0),$AT$3:$AU$15,2,FALSE),"")</f>
        <v/>
      </c>
      <c r="J24" s="33" t="str">
        <f>IFERROR(VLOOKUP(E24,Расчет!$A$2:$E$650,5,FALSE),"")</f>
        <v/>
      </c>
      <c r="K24" s="189"/>
      <c r="L24" s="188">
        <f t="shared" si="10"/>
        <v>0</v>
      </c>
      <c r="M24" s="43"/>
      <c r="N24" s="40" t="str">
        <f>IF(AND(IFERROR(VLOOKUP(R24,Расчет!A:J,10,FALSE),"  ")&lt;&gt;"  ",IFERROR(LEFT(VLOOKUP(R24,Расчет!A:J,10,FALSE),1)," ")&lt;&gt;"H"),0,IFERROR(IF(S24="Camry",IF(OR(W24="2PS",W24="2QL"),IF(R24-AP127&gt;100,R24-AP127-1000+$AD$12,R24-AP127+$AD$12),IF(R24-AP127&gt;100,R24-AP127-1000,R24-AP127)),IF(W24="2PS",IF(R24-AP127&gt;100,R24-AP127-1000+$AD$17,R24-AP127+$AD$17),IF(R24-AP127&gt;100,R24-AP127-1000,R24-AP127))),"-"))</f>
        <v>-</v>
      </c>
      <c r="O24" s="46">
        <v>125</v>
      </c>
      <c r="P24" s="19" t="str">
        <f>IF(R24="","",COUNTA($R$3:R24)+$C$105)</f>
        <v/>
      </c>
      <c r="Q24" s="18" t="str">
        <f t="shared" si="1"/>
        <v/>
      </c>
      <c r="R24" s="30"/>
      <c r="S24" s="45" t="str">
        <f>IFERROR(IF(VLOOKUP(R24,Расчет!$A$2:$B$650,2,FALSE)="664W","Camry",IF(VLOOKUP(R24,Расчет!$A$2:$B$650,2,FALSE)="813W","Goshi","RAV4")),"")</f>
        <v/>
      </c>
      <c r="T24" s="32" t="str">
        <f>IFERROR(IF(S24="Camry",VLOOKUP(R24,Расчет!$A$2:$Q$650,17,FALSE),VLOOKUP(R24,Расчет!$A$2:$R$650,18,FALSE)),"")</f>
        <v/>
      </c>
      <c r="U24" s="32" t="str">
        <f>IFERROR(VLOOKUP(VLOOKUP(R24,Расчет!$A:$D,4,FALSE),$AT$6:$AV$15,3,FALSE),"")</f>
        <v/>
      </c>
      <c r="V24" s="31" t="str">
        <f>IFERROR(VLOOKUP(IFERROR(VLOOKUP(R24,Расчет!$A$2:$D$650,4,FALSE),0),$AT$3:$AU$15,2,FALSE),"")</f>
        <v/>
      </c>
      <c r="W24" s="33" t="str">
        <f>IFERROR(VLOOKUP(R24,Расчет!$A$2:$E$650,5,FALSE),"")</f>
        <v/>
      </c>
      <c r="X24" s="189"/>
      <c r="Y24" s="191">
        <f t="shared" si="11"/>
        <v>0</v>
      </c>
      <c r="Z24" s="148" t="str">
        <f>IFERROR(IF(VLOOKUP(AC24,Расчет!$A$2:$B$236,2,FALSE)="831W","RAV4","Camry"),"-")</f>
        <v>-</v>
      </c>
      <c r="AA24" s="165" t="str">
        <f>IFERROR(VLOOKUP(AC24,Расчет!$A$2:$E$236,5,FALSE),"-")</f>
        <v>-</v>
      </c>
      <c r="AB24" s="158" t="str">
        <f>IFERROR(SMALL($BT$5:$BT$500,1),"")</f>
        <v/>
      </c>
      <c r="AC24" s="169" t="str">
        <f>IF(VLOOKUP2($BP$5:$BQ$500,1,AB24,COUNTIF($AB$24:AB24,AB24),2)=0,"-",VLOOKUP2($BP$5:$BQ$500,1,AB24,COUNTIF($AB$24:AB24,AB24),2))</f>
        <v>-</v>
      </c>
      <c r="AD24" s="245" t="str">
        <f>IFERROR(VLOOKUP(AC24,Расчет!$BS:$BT,2,FALSE),"")</f>
        <v/>
      </c>
      <c r="AE24" s="89">
        <v>22</v>
      </c>
      <c r="AF24" s="44" t="str">
        <f>IF(VLOOKUP(AE24,Расчет!$AH$2:$AN$201,5,FALSE)="8","C",IF(VLOOKUP(AE24,Расчет!$AH$2:$AN$201,5,FALSE)="G","G","R"))</f>
        <v>C</v>
      </c>
      <c r="AG24" s="73" t="str">
        <f t="shared" si="2"/>
        <v/>
      </c>
      <c r="AH24" s="87" t="str">
        <f>IF(AG24="","",COUNTIF($AG$2:AG24,"C")-COUNTIF($AF$2:AF24,"C")+$AH$1)</f>
        <v/>
      </c>
      <c r="AI24" s="87" t="str">
        <f>IF(AG24="","",COUNTIF($AG$2:AG24,"R")-COUNTIF($AF$2:AF24,"R")+$AI$1)</f>
        <v/>
      </c>
      <c r="AJ24" s="89">
        <v>125</v>
      </c>
      <c r="AK24" s="44" t="str">
        <f>IF(VLOOKUP(AJ24,Расчет!$AH$2:$AN$211,5,FALSE)="8","C",IF(VLOOKUP(AJ24,Расчет!$AH$2:$AN$211,5,FALSE)="G","G","R"))</f>
        <v>C</v>
      </c>
      <c r="AL24" s="74" t="str">
        <f t="shared" si="3"/>
        <v/>
      </c>
      <c r="AM24" s="118" t="str">
        <f>IF(AL24="","",(COUNTIF($AG$2:$AG$105,"C")+COUNTIF($AL$2:$AL24,"C"))-(COUNTIF($AF$2:$AF$105,"C")+COUNTIF($AK$2:$AK24,"C"))+$AH$1)</f>
        <v/>
      </c>
      <c r="AN24" s="119" t="str">
        <f>IF(AL24="","",(COUNTIF($AG$2:$AG$105,"R")+COUNTIF($AL$2:$AL24,"R"))-(COUNTIF($AF$2:$AF$105,"R")+COUNTIF($AK$2:$AK24,"R"))+$AI$1)</f>
        <v/>
      </c>
      <c r="AO24" s="22" t="str">
        <f>IF(E24="","",COUNTA($E$3:E24)+$Z$1)</f>
        <v/>
      </c>
      <c r="AP24" s="88" t="str">
        <f>IF(AO24="","",IF(AO24+Расчет!$Y$57+$BD$2-Расчет!$X$57&gt;200,AO24+Расчет!$Y$57+$BD$2-1000,AO24+Расчет!$Y$57+$BD$2))</f>
        <v/>
      </c>
      <c r="AQ24" s="272"/>
      <c r="AR24" s="92"/>
      <c r="AS24" s="92"/>
      <c r="AW24" s="48"/>
      <c r="AX24" s="662"/>
      <c r="AY24" s="663"/>
      <c r="AZ24" s="663"/>
      <c r="BA24" s="663"/>
      <c r="BB24" s="663"/>
      <c r="BC24" s="663"/>
      <c r="BD24" s="663"/>
      <c r="BE24" s="663"/>
      <c r="BF24" s="663"/>
      <c r="BG24" s="664"/>
      <c r="BH24" s="689" t="s">
        <v>34</v>
      </c>
      <c r="BI24" s="690"/>
      <c r="BJ24" s="152">
        <f>Расчет!Y32</f>
        <v>24.714285714285715</v>
      </c>
      <c r="BK24" s="149">
        <f>Расчет!X32</f>
        <v>7</v>
      </c>
      <c r="BL24" s="172">
        <f>COUNTIF($BM$5:BM24,"&lt;-115")</f>
        <v>0</v>
      </c>
      <c r="BM24" s="154" t="str">
        <f>IFERROR(IF(OR(IFERROR(VLOOKUP(BN24,$E$3:$E$105,1,FALSE),"0")=BN24,IFERROR(VLOOKUP(BN24,$R$3:$R$105,1,FALSE),"0")=BN24),BO24,IF(OR(VLOOKUP(BN24,Расчет!A:E,5,FALSE)="2PS",VLOOKUP(BN24,Расчет!A:E,5,FALSE)="2QL"),IF(VLOOKUP(BN24,Расчет!A:B,2,FALSE)="831W",BN24-$BS$7+$AD$17,BN24-$BS$7+$AD$12),BN24-$BS$7)),"-")</f>
        <v>-</v>
      </c>
      <c r="BN24" s="154" t="str">
        <f>IF(OR(Расчет!C21="A0",Расчет!C21="P9",Расчет!B21="722W"),"-",Расчет!A21)</f>
        <v>-</v>
      </c>
      <c r="BO24" s="173">
        <f t="shared" si="15"/>
        <v>0</v>
      </c>
      <c r="BP24" s="172" t="str">
        <f>IF(BQ24="-","-",IFERROR(IF(OR(VLOOKUP(BN24,Расчет!$A$2:$E$582,5,FALSE)="2PS",VLOOKUP(BN24,Расчет!$A$2:$E$582,5,FALSE)="2QL"),IF(OR(VLOOKUP(BN24,Расчет!$A$2:$E$582,2,FALSE)="664W",VLOOKUP(BN24,Расчет!$A$2:$E$582,2,FALSE)="813W"),IF(BN24-$BS$7&gt;150,BN24-$BS$7-1000+$AD$12,BN24-$BS$7+$AD$12),IF(BN24-$BS$7&gt;150,BN24-$BS$7-1000+$AD$17,BN24-$BS$7+$AD$17)),IF(BN24-$BS$7&gt;150,BN24-$BS$7-1000,BN24-$BS$7)),"-"))</f>
        <v>-</v>
      </c>
      <c r="BQ24" s="173" t="str">
        <f t="shared" si="12"/>
        <v>-</v>
      </c>
      <c r="BR24" s="453"/>
      <c r="BS24" s="171"/>
      <c r="BT24" s="464" t="str">
        <f t="shared" si="13"/>
        <v>-</v>
      </c>
      <c r="BU24" s="464" t="str">
        <f t="shared" si="14"/>
        <v>-</v>
      </c>
      <c r="BX24" s="204">
        <f>COUNTIF($BY$4:BY24,"&lt;100")</f>
        <v>0</v>
      </c>
      <c r="BY24" s="213" t="str">
        <f t="shared" si="4"/>
        <v/>
      </c>
      <c r="BZ24" s="216" t="str">
        <f t="shared" si="5"/>
        <v/>
      </c>
      <c r="CA24" s="213" t="e">
        <f t="shared" si="6"/>
        <v>#N/A</v>
      </c>
      <c r="CB24" s="209" t="e">
        <f t="shared" si="7"/>
        <v>#N/A</v>
      </c>
      <c r="CC24" s="205" t="str">
        <f t="shared" si="16"/>
        <v/>
      </c>
      <c r="CD24" s="205" t="str">
        <f t="shared" si="8"/>
        <v>-</v>
      </c>
      <c r="CE24" s="205">
        <f t="shared" si="17"/>
        <v>0</v>
      </c>
      <c r="CG24" s="20" t="str">
        <f t="shared" si="25"/>
        <v/>
      </c>
    </row>
    <row r="25" spans="1:85" ht="23.1" customHeight="1">
      <c r="A25" s="40" t="str">
        <f>IF(AND(IFERROR(VLOOKUP(E25,Расчет!A:J,10,FALSE),"  ")&lt;&gt;"  ",IFERROR(LEFT(VLOOKUP(E25,Расчет!A:J,10,FALSE),1)," ")&lt;&gt;"H"),0,IFERROR(IF(F25="Camry",IF(OR(J25="2PS",J25="2QL"),IF(E25-AP25&gt;100,E25-AP25-1000+$AD$12,E25-AP25+$AD$12),IF(E25-AP25&gt;100,E25-AP25-1000,E25-AP25)),IF(J25="2PS",IF(E25-AP25&gt;100,E25-AP25-1000+$AD$17,E25-AP25+$AD$17),IF(E25-AP25&gt;100,E25-AP25-1000,E25-AP25))),"-"))</f>
        <v>-</v>
      </c>
      <c r="B25" s="46">
        <v>23</v>
      </c>
      <c r="C25" s="19" t="str">
        <f>IF(E25="","",COUNTA($E$3:E25))</f>
        <v/>
      </c>
      <c r="D25" s="18" t="str">
        <f t="shared" si="0"/>
        <v/>
      </c>
      <c r="E25" s="30"/>
      <c r="F25" s="44" t="str">
        <f>IFERROR(IF(VLOOKUP(E25,Расчет!$A$2:$B$650,2,FALSE)="664W","Camry",IF(VLOOKUP(E25,Расчет!$A$2:$B$650,2,FALSE)="813W","Goshi","RAV4")),"")</f>
        <v/>
      </c>
      <c r="G25" s="32" t="str">
        <f>IFERROR(IF(F25="Camry",VLOOKUP(E25,Расчет!$A$2:$Q$650,17,FALSE),VLOOKUP(E25,Расчет!$A$2:$R$650,18,FALSE)),"")</f>
        <v/>
      </c>
      <c r="H25" s="32" t="str">
        <f>IFERROR(VLOOKUP(VLOOKUP(E25,Расчет!$A:$D,4,FALSE),$AT$6:$AV$15,3,FALSE),"")</f>
        <v/>
      </c>
      <c r="I25" s="31" t="str">
        <f>IFERROR(VLOOKUP(IFERROR(VLOOKUP(E25,Расчет!$A$2:$D$650,4,FALSE),0),$AT$3:$AU$15,2,FALSE),"")</f>
        <v/>
      </c>
      <c r="J25" s="33" t="str">
        <f>IFERROR(VLOOKUP(E25,Расчет!$A$2:$E$650,5,FALSE),"")</f>
        <v/>
      </c>
      <c r="K25" s="189"/>
      <c r="L25" s="188">
        <f t="shared" si="10"/>
        <v>0</v>
      </c>
      <c r="M25" s="43"/>
      <c r="N25" s="40" t="str">
        <f>IF(AND(IFERROR(VLOOKUP(R25,Расчет!A:J,10,FALSE),"  ")&lt;&gt;"  ",IFERROR(LEFT(VLOOKUP(R25,Расчет!A:J,10,FALSE),1)," ")&lt;&gt;"H"),0,IFERROR(IF(S25="Camry",IF(OR(W25="2PS",W25="2QL"),IF(R25-AP128&gt;100,R25-AP128-1000+$AD$12,R25-AP128+$AD$12),IF(R25-AP128&gt;100,R25-AP128-1000,R25-AP128)),IF(W25="2PS",IF(R25-AP128&gt;100,R25-AP128-1000+$AD$17,R25-AP128+$AD$17),IF(R25-AP128&gt;100,R25-AP128-1000,R25-AP128))),"-"))</f>
        <v>-</v>
      </c>
      <c r="O25" s="46">
        <v>126</v>
      </c>
      <c r="P25" s="19" t="str">
        <f>IF(R25="","",COUNTA($R$3:R25)+$C$105)</f>
        <v/>
      </c>
      <c r="Q25" s="18" t="str">
        <f t="shared" si="1"/>
        <v/>
      </c>
      <c r="R25" s="30"/>
      <c r="S25" s="45" t="str">
        <f>IFERROR(IF(VLOOKUP(R25,Расчет!$A$2:$B$650,2,FALSE)="664W","Camry",IF(VLOOKUP(R25,Расчет!$A$2:$B$650,2,FALSE)="813W","Goshi","RAV4")),"")</f>
        <v/>
      </c>
      <c r="T25" s="32" t="str">
        <f>IFERROR(IF(S25="Camry",VLOOKUP(R25,Расчет!$A$2:$Q$650,17,FALSE),VLOOKUP(R25,Расчет!$A$2:$R$650,18,FALSE)),"")</f>
        <v/>
      </c>
      <c r="U25" s="32" t="str">
        <f>IFERROR(VLOOKUP(VLOOKUP(R25,Расчет!$A:$D,4,FALSE),$AT$6:$AV$15,3,FALSE),"")</f>
        <v/>
      </c>
      <c r="V25" s="31" t="str">
        <f>IFERROR(VLOOKUP(IFERROR(VLOOKUP(R25,Расчет!$A$2:$D$650,4,FALSE),0),$AT$3:$AU$15,2,FALSE),"")</f>
        <v/>
      </c>
      <c r="W25" s="33" t="str">
        <f>IFERROR(VLOOKUP(R25,Расчет!$A$2:$E$650,5,FALSE),"")</f>
        <v/>
      </c>
      <c r="X25" s="189"/>
      <c r="Y25" s="191">
        <f t="shared" si="11"/>
        <v>0</v>
      </c>
      <c r="Z25" s="156" t="str">
        <f>IFERROR(IF(VLOOKUP(AC25,Расчет!$A$2:$B$236,2,FALSE)="831W","RAV4","Camry"),"-")</f>
        <v>-</v>
      </c>
      <c r="AA25" s="166" t="str">
        <f>IFERROR(VLOOKUP(AC25,Расчет!$A$2:$E$236,5,FALSE),"-")</f>
        <v>-</v>
      </c>
      <c r="AB25" s="159" t="str">
        <f>IFERROR(SMALL($BT$5:$BT$500,2),"")</f>
        <v/>
      </c>
      <c r="AC25" s="162" t="str">
        <f>IF(VLOOKUP2($BP$5:$BQ$500,1,AB25,COUNTIF($AB$24:AB25,AB25),2)=0,"-",VLOOKUP2($BP$5:$BQ$500,1,AB25,COUNTIF($AB$24:AB25,AB25),2))</f>
        <v>-</v>
      </c>
      <c r="AD25" s="353" t="str">
        <f>IFERROR(VLOOKUP(AC25,Расчет!$BS:$BT,2,FALSE),"")</f>
        <v/>
      </c>
      <c r="AE25" s="89">
        <v>23</v>
      </c>
      <c r="AF25" s="44" t="str">
        <f>IF(VLOOKUP(AE25,Расчет!$AH$2:$AN$201,5,FALSE)="8","C",IF(VLOOKUP(AE25,Расчет!$AH$2:$AN$201,5,FALSE)="G","G","R"))</f>
        <v>R</v>
      </c>
      <c r="AG25" s="73" t="str">
        <f t="shared" si="2"/>
        <v/>
      </c>
      <c r="AH25" s="87" t="str">
        <f>IF(AG25="","",COUNTIF($AG$2:AG25,"C")-COUNTIF($AF$2:AF25,"C")+$AH$1)</f>
        <v/>
      </c>
      <c r="AI25" s="87" t="str">
        <f>IF(AG25="","",COUNTIF($AG$2:AG25,"R")-COUNTIF($AF$2:AF25,"R")+$AI$1)</f>
        <v/>
      </c>
      <c r="AJ25" s="89">
        <v>126</v>
      </c>
      <c r="AK25" s="44" t="str">
        <f>IF(VLOOKUP(AJ25,Расчет!$AH$2:$AN$211,5,FALSE)="8","C",IF(VLOOKUP(AJ25,Расчет!$AH$2:$AN$211,5,FALSE)="G","G","R"))</f>
        <v>R</v>
      </c>
      <c r="AL25" s="74" t="str">
        <f t="shared" si="3"/>
        <v/>
      </c>
      <c r="AM25" s="118" t="str">
        <f>IF(AL25="","",(COUNTIF($AG$2:$AG$105,"C")+COUNTIF($AL$2:$AL25,"C"))-(COUNTIF($AF$2:$AF$105,"C")+COUNTIF($AK$2:$AK25,"C"))+$AH$1)</f>
        <v/>
      </c>
      <c r="AN25" s="119" t="str">
        <f>IF(AL25="","",(COUNTIF($AG$2:$AG$105,"R")+COUNTIF($AL$2:$AL25,"R"))-(COUNTIF($AF$2:$AF$105,"R")+COUNTIF($AK$2:$AK25,"R"))+$AI$1)</f>
        <v/>
      </c>
      <c r="AO25" s="22" t="str">
        <f>IF(E25="","",COUNTA($E$3:E25)+$Z$1)</f>
        <v/>
      </c>
      <c r="AP25" s="88" t="str">
        <f>IF(AO25="","",IF(AO25+Расчет!$Y$57+$BD$2-Расчет!$X$57&gt;200,AO25+Расчет!$Y$57+$BD$2-1000,AO25+Расчет!$Y$57+$BD$2))</f>
        <v/>
      </c>
      <c r="AQ25" s="272"/>
      <c r="AR25" s="92"/>
      <c r="AS25" s="92"/>
      <c r="AW25" s="48"/>
      <c r="AX25" s="662"/>
      <c r="AY25" s="663"/>
      <c r="AZ25" s="663"/>
      <c r="BA25" s="663"/>
      <c r="BB25" s="663"/>
      <c r="BC25" s="663"/>
      <c r="BD25" s="663"/>
      <c r="BE25" s="663"/>
      <c r="BF25" s="663"/>
      <c r="BG25" s="664"/>
      <c r="BH25" s="694" t="s">
        <v>927</v>
      </c>
      <c r="BI25" s="695"/>
      <c r="BJ25" s="152">
        <f>Расчет!Y46</f>
        <v>6.1785714285714288</v>
      </c>
      <c r="BK25" s="149">
        <f>Расчет!X46</f>
        <v>28</v>
      </c>
      <c r="BL25" s="172">
        <f>COUNTIF($BM$5:BM25,"&lt;-115")</f>
        <v>0</v>
      </c>
      <c r="BM25" s="154" t="str">
        <f>IFERROR(IF(OR(IFERROR(VLOOKUP(BN25,$E$3:$E$105,1,FALSE),"0")=BN25,IFERROR(VLOOKUP(BN25,$R$3:$R$105,1,FALSE),"0")=BN25),BO25,IF(OR(VLOOKUP(BN25,Расчет!A:E,5,FALSE)="2PS",VLOOKUP(BN25,Расчет!A:E,5,FALSE)="2QL"),IF(VLOOKUP(BN25,Расчет!A:B,2,FALSE)="831W",BN25-$BS$7+$AD$17,BN25-$BS$7+$AD$12),BN25-$BS$7)),"-")</f>
        <v>-</v>
      </c>
      <c r="BN25" s="154">
        <f>IF(OR(Расчет!C22="A0",Расчет!C22="P9",Расчет!B22="722W"),"-",Расчет!A22)</f>
        <v>11166</v>
      </c>
      <c r="BO25" s="173">
        <f t="shared" si="15"/>
        <v>0</v>
      </c>
      <c r="BP25" s="172" t="str">
        <f>IF(BQ25="-","-",IFERROR(IF(OR(VLOOKUP(BN25,Расчет!$A$2:$E$582,5,FALSE)="2PS",VLOOKUP(BN25,Расчет!$A$2:$E$582,5,FALSE)="2QL"),IF(OR(VLOOKUP(BN25,Расчет!$A$2:$E$582,2,FALSE)="664W",VLOOKUP(BN25,Расчет!$A$2:$E$582,2,FALSE)="813W"),IF(BN25-$BS$7&gt;150,BN25-$BS$7-1000+$AD$12,BN25-$BS$7+$AD$12),IF(BN25-$BS$7&gt;150,BN25-$BS$7-1000+$AD$17,BN25-$BS$7+$AD$17)),IF(BN25-$BS$7&gt;150,BN25-$BS$7-1000,BN25-$BS$7)),"-"))</f>
        <v>-</v>
      </c>
      <c r="BQ25" s="173">
        <f t="shared" si="12"/>
        <v>11166</v>
      </c>
      <c r="BR25" s="453"/>
      <c r="BS25" s="171"/>
      <c r="BT25" s="464" t="str">
        <f t="shared" si="13"/>
        <v>-</v>
      </c>
      <c r="BU25" s="464" t="str">
        <f t="shared" si="14"/>
        <v>-</v>
      </c>
      <c r="BX25" s="204">
        <f>COUNTIF($BY$4:BY25,"&lt;100")</f>
        <v>0</v>
      </c>
      <c r="BY25" s="213" t="str">
        <f t="shared" si="4"/>
        <v/>
      </c>
      <c r="BZ25" s="216" t="str">
        <f t="shared" si="5"/>
        <v/>
      </c>
      <c r="CA25" s="213" t="e">
        <f t="shared" si="6"/>
        <v>#N/A</v>
      </c>
      <c r="CB25" s="209" t="e">
        <f t="shared" si="7"/>
        <v>#N/A</v>
      </c>
      <c r="CC25" s="205" t="str">
        <f t="shared" si="16"/>
        <v/>
      </c>
      <c r="CD25" s="205" t="str">
        <f t="shared" si="8"/>
        <v>-</v>
      </c>
      <c r="CE25" s="205">
        <f t="shared" si="17"/>
        <v>0</v>
      </c>
      <c r="CG25" s="20" t="str">
        <f t="shared" si="25"/>
        <v/>
      </c>
    </row>
    <row r="26" spans="1:85" ht="23.1" customHeight="1">
      <c r="A26" s="40" t="str">
        <f>IF(AND(IFERROR(VLOOKUP(E26,Расчет!A:J,10,FALSE),"  ")&lt;&gt;"  ",IFERROR(LEFT(VLOOKUP(E26,Расчет!A:J,10,FALSE),1)," ")&lt;&gt;"H"),0,IFERROR(IF(F26="Camry",IF(OR(J26="2PS",J26="2QL"),IF(E26-AP26&gt;100,E26-AP26-1000+$AD$12,E26-AP26+$AD$12),IF(E26-AP26&gt;100,E26-AP26-1000,E26-AP26)),IF(J26="2PS",IF(E26-AP26&gt;100,E26-AP26-1000+$AD$17,E26-AP26+$AD$17),IF(E26-AP26&gt;100,E26-AP26-1000,E26-AP26))),"-"))</f>
        <v>-</v>
      </c>
      <c r="B26" s="46">
        <v>24</v>
      </c>
      <c r="C26" s="19" t="str">
        <f>IF(E26="","",COUNTA($E$3:E26))</f>
        <v/>
      </c>
      <c r="D26" s="18" t="str">
        <f t="shared" si="0"/>
        <v/>
      </c>
      <c r="E26" s="30"/>
      <c r="F26" s="44" t="str">
        <f>IFERROR(IF(VLOOKUP(E26,Расчет!$A$2:$B$650,2,FALSE)="664W","Camry",IF(VLOOKUP(E26,Расчет!$A$2:$B$650,2,FALSE)="813W","Goshi","RAV4")),"")</f>
        <v/>
      </c>
      <c r="G26" s="32" t="str">
        <f>IFERROR(IF(F26="Camry",VLOOKUP(E26,Расчет!$A$2:$Q$650,17,FALSE),VLOOKUP(E26,Расчет!$A$2:$R$650,18,FALSE)),"")</f>
        <v/>
      </c>
      <c r="H26" s="32" t="str">
        <f>IFERROR(VLOOKUP(VLOOKUP(E26,Расчет!$A:$D,4,FALSE),$AT$6:$AV$15,3,FALSE),"")</f>
        <v/>
      </c>
      <c r="I26" s="31" t="str">
        <f>IFERROR(VLOOKUP(IFERROR(VLOOKUP(E26,Расчет!$A$2:$D$650,4,FALSE),0),$AT$3:$AU$15,2,FALSE),"")</f>
        <v/>
      </c>
      <c r="J26" s="33" t="str">
        <f>IFERROR(VLOOKUP(E26,Расчет!$A$2:$E$650,5,FALSE),"")</f>
        <v/>
      </c>
      <c r="K26" s="189"/>
      <c r="L26" s="188">
        <f t="shared" si="10"/>
        <v>0</v>
      </c>
      <c r="M26" s="9"/>
      <c r="N26" s="40" t="str">
        <f>IF(AND(IFERROR(VLOOKUP(R26,Расчет!A:J,10,FALSE),"  ")&lt;&gt;"  ",IFERROR(LEFT(VLOOKUP(R26,Расчет!A:J,10,FALSE),1)," ")&lt;&gt;"H"),0,IFERROR(IF(S26="Camry",IF(OR(W26="2PS",W26="2QL"),IF(R26-AP129&gt;100,R26-AP129-1000+$AD$12,R26-AP129+$AD$12),IF(R26-AP129&gt;100,R26-AP129-1000,R26-AP129)),IF(W26="2PS",IF(R26-AP129&gt;100,R26-AP129-1000+$AD$17,R26-AP129+$AD$17),IF(R26-AP129&gt;100,R26-AP129-1000,R26-AP129))),"-"))</f>
        <v>-</v>
      </c>
      <c r="O26" s="46">
        <v>127</v>
      </c>
      <c r="P26" s="19" t="str">
        <f>IF(R26="","",COUNTA($R$3:R26)+$C$105)</f>
        <v/>
      </c>
      <c r="Q26" s="18" t="str">
        <f t="shared" si="1"/>
        <v/>
      </c>
      <c r="R26" s="30"/>
      <c r="S26" s="45" t="str">
        <f>IFERROR(IF(VLOOKUP(R26,Расчет!$A$2:$B$650,2,FALSE)="664W","Camry",IF(VLOOKUP(R26,Расчет!$A$2:$B$650,2,FALSE)="813W","Goshi","RAV4")),"")</f>
        <v/>
      </c>
      <c r="T26" s="32" t="str">
        <f>IFERROR(IF(S26="Camry",VLOOKUP(R26,Расчет!$A$2:$Q$650,17,FALSE),VLOOKUP(R26,Расчет!$A$2:$R$650,18,FALSE)),"")</f>
        <v/>
      </c>
      <c r="U26" s="32" t="str">
        <f>IFERROR(VLOOKUP(VLOOKUP(R26,Расчет!$A:$D,4,FALSE),$AT$6:$AV$15,3,FALSE),"")</f>
        <v/>
      </c>
      <c r="V26" s="31" t="str">
        <f>IFERROR(VLOOKUP(IFERROR(VLOOKUP(R26,Расчет!$A$2:$D$650,4,FALSE),0),$AT$3:$AU$15,2,FALSE),"")</f>
        <v/>
      </c>
      <c r="W26" s="33" t="str">
        <f>IFERROR(VLOOKUP(R26,Расчет!$A$2:$E$650,5,FALSE),"")</f>
        <v/>
      </c>
      <c r="X26" s="189"/>
      <c r="Y26" s="191">
        <f t="shared" si="11"/>
        <v>0</v>
      </c>
      <c r="Z26" s="156" t="str">
        <f>IFERROR(IF(VLOOKUP(AC26,Расчет!$A$2:$B$236,2,FALSE)="831W","RAV4","Camry"),"-")</f>
        <v>-</v>
      </c>
      <c r="AA26" s="166" t="str">
        <f>IFERROR(VLOOKUP(AC26,Расчет!$A$2:$E$236,5,FALSE),"-")</f>
        <v>-</v>
      </c>
      <c r="AB26" s="159" t="str">
        <f>IFERROR(SMALL($BT$5:$BT$500,3),"")</f>
        <v/>
      </c>
      <c r="AC26" s="162" t="str">
        <f>IF(VLOOKUP2($BP$5:$BQ$500,1,AB26,COUNTIF($AB$24:AB26,AB26),2)=0,"-",VLOOKUP2($BP$5:$BQ$500,1,AB26,COUNTIF($AB$24:AB26,AB26),2))</f>
        <v>-</v>
      </c>
      <c r="AD26" s="353" t="str">
        <f>IFERROR(VLOOKUP(AC26,Расчет!$BS:$BT,2,FALSE),"")</f>
        <v/>
      </c>
      <c r="AE26" s="89">
        <v>24</v>
      </c>
      <c r="AF26" s="44" t="str">
        <f>IF(VLOOKUP(AE26,Расчет!$AH$2:$AN$201,5,FALSE)="8","C",IF(VLOOKUP(AE26,Расчет!$AH$2:$AN$201,5,FALSE)="G","G","R"))</f>
        <v>R</v>
      </c>
      <c r="AG26" s="73" t="str">
        <f t="shared" si="2"/>
        <v/>
      </c>
      <c r="AH26" s="87" t="str">
        <f>IF(AG26="","",COUNTIF($AG$2:AG26,"C")-COUNTIF($AF$2:AF26,"C")+$AH$1)</f>
        <v/>
      </c>
      <c r="AI26" s="87" t="str">
        <f>IF(AG26="","",COUNTIF($AG$2:AG26,"R")-COUNTIF($AF$2:AF26,"R")+$AI$1)</f>
        <v/>
      </c>
      <c r="AJ26" s="89">
        <v>127</v>
      </c>
      <c r="AK26" s="44" t="str">
        <f>IF(VLOOKUP(AJ26,Расчет!$AH$2:$AN$211,5,FALSE)="8","C",IF(VLOOKUP(AJ26,Расчет!$AH$2:$AN$211,5,FALSE)="G","G","R"))</f>
        <v>C</v>
      </c>
      <c r="AL26" s="74" t="str">
        <f t="shared" si="3"/>
        <v/>
      </c>
      <c r="AM26" s="118" t="str">
        <f>IF(AL26="","",(COUNTIF($AG$2:$AG$105,"C")+COUNTIF($AL$2:$AL26,"C"))-(COUNTIF($AF$2:$AF$105,"C")+COUNTIF($AK$2:$AK26,"C"))+$AH$1)</f>
        <v/>
      </c>
      <c r="AN26" s="119" t="str">
        <f>IF(AL26="","",(COUNTIF($AG$2:$AG$105,"R")+COUNTIF($AL$2:$AL26,"R"))-(COUNTIF($AF$2:$AF$105,"R")+COUNTIF($AK$2:$AK26,"R"))+$AI$1)</f>
        <v/>
      </c>
      <c r="AO26" s="22" t="str">
        <f>IF(E26="","",COUNTA($E$3:E26)+$Z$1)</f>
        <v/>
      </c>
      <c r="AP26" s="88" t="str">
        <f>IF(AO26="","",IF(AO26+Расчет!$Y$57+$BD$2-Расчет!$X$57&gt;200,AO26+Расчет!$Y$57+$BD$2-1000,AO26+Расчет!$Y$57+$BD$2))</f>
        <v/>
      </c>
      <c r="AQ26" s="272"/>
      <c r="AR26" s="92"/>
      <c r="AS26" s="92"/>
      <c r="AW26" s="48"/>
      <c r="AX26" s="696" t="s">
        <v>98</v>
      </c>
      <c r="AY26" s="697"/>
      <c r="AZ26" s="698" t="s">
        <v>94</v>
      </c>
      <c r="BA26" s="699"/>
      <c r="BB26" s="48"/>
      <c r="BC26" s="48"/>
      <c r="BD26" s="702" t="s">
        <v>97</v>
      </c>
      <c r="BE26" s="702"/>
      <c r="BF26" s="702"/>
      <c r="BG26" s="703"/>
      <c r="BH26" s="694" t="s">
        <v>928</v>
      </c>
      <c r="BI26" s="695"/>
      <c r="BJ26" s="152">
        <f>Расчет!Y35</f>
        <v>2.0352941176470587</v>
      </c>
      <c r="BK26" s="150">
        <f>Расчет!X35</f>
        <v>85</v>
      </c>
      <c r="BL26" s="172">
        <f>COUNTIF($BM$5:BM26,"&lt;-115")</f>
        <v>0</v>
      </c>
      <c r="BM26" s="154" t="str">
        <f>IFERROR(IF(OR(IFERROR(VLOOKUP(BN26,$E$3:$E$105,1,FALSE),"0")=BN26,IFERROR(VLOOKUP(BN26,$R$3:$R$105,1,FALSE),"0")=BN26),BO26,IF(OR(VLOOKUP(BN26,Расчет!A:E,5,FALSE)="2PS",VLOOKUP(BN26,Расчет!A:E,5,FALSE)="2QL"),IF(VLOOKUP(BN26,Расчет!A:B,2,FALSE)="831W",BN26-$BS$7+$AD$17,BN26-$BS$7+$AD$12),BN26-$BS$7)),"-")</f>
        <v>-</v>
      </c>
      <c r="BN26" s="154" t="str">
        <f>IF(OR(Расчет!C23="A0",Расчет!C23="P9",Расчет!B23="722W"),"-",Расчет!A23)</f>
        <v>-</v>
      </c>
      <c r="BO26" s="173">
        <f t="shared" si="15"/>
        <v>0</v>
      </c>
      <c r="BP26" s="172" t="str">
        <f>IF(BQ26="-","-",IFERROR(IF(OR(VLOOKUP(BN26,Расчет!$A$2:$E$582,5,FALSE)="2PS",VLOOKUP(BN26,Расчет!$A$2:$E$582,5,FALSE)="2QL"),IF(OR(VLOOKUP(BN26,Расчет!$A$2:$E$582,2,FALSE)="664W",VLOOKUP(BN26,Расчет!$A$2:$E$582,2,FALSE)="813W"),IF(BN26-$BS$7&gt;150,BN26-$BS$7-1000+$AD$12,BN26-$BS$7+$AD$12),IF(BN26-$BS$7&gt;150,BN26-$BS$7-1000+$AD$17,BN26-$BS$7+$AD$17)),IF(BN26-$BS$7&gt;150,BN26-$BS$7-1000,BN26-$BS$7)),"-"))</f>
        <v>-</v>
      </c>
      <c r="BQ26" s="173" t="str">
        <f t="shared" si="12"/>
        <v>-</v>
      </c>
      <c r="BR26" s="453"/>
      <c r="BS26" s="171"/>
      <c r="BT26" s="464" t="str">
        <f t="shared" si="13"/>
        <v>-</v>
      </c>
      <c r="BU26" s="464" t="str">
        <f t="shared" si="14"/>
        <v>-</v>
      </c>
      <c r="BX26" s="204">
        <f>COUNTIF($BY$4:BY26,"&lt;100")</f>
        <v>0</v>
      </c>
      <c r="BY26" s="213" t="str">
        <f t="shared" si="4"/>
        <v/>
      </c>
      <c r="BZ26" s="216" t="str">
        <f t="shared" si="5"/>
        <v/>
      </c>
      <c r="CA26" s="213" t="e">
        <f t="shared" si="6"/>
        <v>#N/A</v>
      </c>
      <c r="CB26" s="209" t="e">
        <f t="shared" si="7"/>
        <v>#N/A</v>
      </c>
      <c r="CC26" s="205" t="str">
        <f t="shared" si="16"/>
        <v/>
      </c>
      <c r="CD26" s="205" t="str">
        <f t="shared" si="8"/>
        <v>-</v>
      </c>
      <c r="CE26" s="205">
        <f t="shared" si="17"/>
        <v>0</v>
      </c>
      <c r="CG26" s="20" t="str">
        <f t="shared" si="25"/>
        <v/>
      </c>
    </row>
    <row r="27" spans="1:85" ht="23.1" customHeight="1" thickBot="1">
      <c r="A27" s="40" t="str">
        <f>IF(AND(IFERROR(VLOOKUP(E27,Расчет!A:J,10,FALSE),"  ")&lt;&gt;"  ",IFERROR(LEFT(VLOOKUP(E27,Расчет!A:J,10,FALSE),1)," ")&lt;&gt;"H"),0,IFERROR(IF(F27="Camry",IF(OR(J27="2PS",J27="2QL"),IF(E27-AP27&gt;100,E27-AP27-1000+$AD$12,E27-AP27+$AD$12),IF(E27-AP27&gt;100,E27-AP27-1000,E27-AP27)),IF(J27="2PS",IF(E27-AP27&gt;100,E27-AP27-1000+$AD$17,E27-AP27+$AD$17),IF(E27-AP27&gt;100,E27-AP27-1000,E27-AP27))),"-"))</f>
        <v>-</v>
      </c>
      <c r="B27" s="46">
        <v>25</v>
      </c>
      <c r="C27" s="19" t="str">
        <f>IF(E27="","",COUNTA($E$3:E27))</f>
        <v/>
      </c>
      <c r="D27" s="18" t="str">
        <f t="shared" si="0"/>
        <v/>
      </c>
      <c r="E27" s="30"/>
      <c r="F27" s="44" t="str">
        <f>IFERROR(IF(VLOOKUP(E27,Расчет!$A$2:$B$650,2,FALSE)="664W","Camry",IF(VLOOKUP(E27,Расчет!$A$2:$B$650,2,FALSE)="813W","Goshi","RAV4")),"")</f>
        <v/>
      </c>
      <c r="G27" s="32" t="str">
        <f>IFERROR(IF(F27="Camry",VLOOKUP(E27,Расчет!$A$2:$Q$650,17,FALSE),VLOOKUP(E27,Расчет!$A$2:$R$650,18,FALSE)),"")</f>
        <v/>
      </c>
      <c r="H27" s="32" t="str">
        <f>IFERROR(VLOOKUP(VLOOKUP(E27,Расчет!$A:$D,4,FALSE),$AT$6:$AV$15,3,FALSE),"")</f>
        <v/>
      </c>
      <c r="I27" s="31" t="str">
        <f>IFERROR(VLOOKUP(IFERROR(VLOOKUP(E27,Расчет!$A$2:$D$650,4,FALSE),0),$AT$3:$AU$15,2,FALSE),"")</f>
        <v/>
      </c>
      <c r="J27" s="33" t="str">
        <f>IFERROR(VLOOKUP(E27,Расчет!$A$2:$E$650,5,FALSE),"")</f>
        <v/>
      </c>
      <c r="K27" s="189"/>
      <c r="L27" s="188">
        <f t="shared" si="10"/>
        <v>0</v>
      </c>
      <c r="M27" s="9"/>
      <c r="N27" s="40" t="str">
        <f>IF(AND(IFERROR(VLOOKUP(R27,Расчет!A:J,10,FALSE),"  ")&lt;&gt;"  ",IFERROR(LEFT(VLOOKUP(R27,Расчет!A:J,10,FALSE),1)," ")&lt;&gt;"H"),0,IFERROR(IF(S27="Camry",IF(OR(W27="2PS",W27="2QL"),IF(R27-AP130&gt;100,R27-AP130-1000+$AD$12,R27-AP130+$AD$12),IF(R27-AP130&gt;100,R27-AP130-1000,R27-AP130)),IF(W27="2PS",IF(R27-AP130&gt;100,R27-AP130-1000+$AD$17,R27-AP130+$AD$17),IF(R27-AP130&gt;100,R27-AP130-1000,R27-AP130))),"-"))</f>
        <v>-</v>
      </c>
      <c r="O27" s="46">
        <v>128</v>
      </c>
      <c r="P27" s="19" t="str">
        <f>IF(R27="","",COUNTA($R$3:R27)+$C$105)</f>
        <v/>
      </c>
      <c r="Q27" s="18" t="str">
        <f t="shared" si="1"/>
        <v/>
      </c>
      <c r="R27" s="30"/>
      <c r="S27" s="45" t="str">
        <f>IFERROR(IF(VLOOKUP(R27,Расчет!$A$2:$B$650,2,FALSE)="664W","Camry",IF(VLOOKUP(R27,Расчет!$A$2:$B$650,2,FALSE)="813W","Goshi","RAV4")),"")</f>
        <v/>
      </c>
      <c r="T27" s="32" t="str">
        <f>IFERROR(IF(S27="Camry",VLOOKUP(R27,Расчет!$A$2:$Q$650,17,FALSE),VLOOKUP(R27,Расчет!$A$2:$R$650,18,FALSE)),"")</f>
        <v/>
      </c>
      <c r="U27" s="32" t="str">
        <f>IFERROR(VLOOKUP(VLOOKUP(R27,Расчет!$A:$D,4,FALSE),$AT$6:$AV$15,3,FALSE),"")</f>
        <v/>
      </c>
      <c r="V27" s="31" t="str">
        <f>IFERROR(VLOOKUP(IFERROR(VLOOKUP(R27,Расчет!$A$2:$D$650,4,FALSE),0),$AT$3:$AU$15,2,FALSE),"")</f>
        <v/>
      </c>
      <c r="W27" s="33" t="str">
        <f>IFERROR(VLOOKUP(R27,Расчет!$A$2:$E$650,5,FALSE),"")</f>
        <v/>
      </c>
      <c r="X27" s="189"/>
      <c r="Y27" s="191">
        <f t="shared" si="11"/>
        <v>0</v>
      </c>
      <c r="Z27" s="156" t="str">
        <f>IFERROR(IF(VLOOKUP(AC27,Расчет!$A$2:$B$236,2,FALSE)="831W","RAV4","Camry"),"-")</f>
        <v>-</v>
      </c>
      <c r="AA27" s="166" t="str">
        <f>IFERROR(VLOOKUP(AC27,Расчет!$A$2:$E$236,5,FALSE),"-")</f>
        <v>-</v>
      </c>
      <c r="AB27" s="159" t="str">
        <f>IFERROR(SMALL($BT$5:$BT$500,4),"")</f>
        <v/>
      </c>
      <c r="AC27" s="162" t="str">
        <f>IF(VLOOKUP2($BP$5:$BQ$500,1,AB27,COUNTIF($AB$24:AB27,AB27),2)=0,"-",VLOOKUP2($BP$5:$BQ$500,1,AB27,COUNTIF($AB$24:AB27,AB27),2))</f>
        <v>-</v>
      </c>
      <c r="AD27" s="353" t="str">
        <f>IFERROR(VLOOKUP(AC27,Расчет!$BS:$BT,2,FALSE),"")</f>
        <v/>
      </c>
      <c r="AE27" s="89">
        <v>25</v>
      </c>
      <c r="AF27" s="44" t="str">
        <f>IF(VLOOKUP(AE27,Расчет!$AH$2:$AN$201,5,FALSE)="8","C",IF(VLOOKUP(AE27,Расчет!$AH$2:$AN$201,5,FALSE)="G","G","R"))</f>
        <v>C</v>
      </c>
      <c r="AG27" s="73" t="str">
        <f t="shared" si="2"/>
        <v/>
      </c>
      <c r="AH27" s="87" t="str">
        <f>IF(AG27="","",COUNTIF($AG$2:AG27,"C")-COUNTIF($AF$2:AF27,"C")+$AH$1)</f>
        <v/>
      </c>
      <c r="AI27" s="87" t="str">
        <f>IF(AG27="","",COUNTIF($AG$2:AG27,"R")-COUNTIF($AF$2:AF27,"R")+$AI$1)</f>
        <v/>
      </c>
      <c r="AJ27" s="89">
        <v>128</v>
      </c>
      <c r="AK27" s="44" t="str">
        <f>IF(VLOOKUP(AJ27,Расчет!$AH$2:$AN$211,5,FALSE)="8","C",IF(VLOOKUP(AJ27,Расчет!$AH$2:$AN$211,5,FALSE)="G","G","R"))</f>
        <v>R</v>
      </c>
      <c r="AL27" s="74" t="str">
        <f t="shared" si="3"/>
        <v/>
      </c>
      <c r="AM27" s="118" t="str">
        <f>IF(AL27="","",(COUNTIF($AG$2:$AG$105,"C")+COUNTIF($AL$2:$AL27,"C"))-(COUNTIF($AF$2:$AF$105,"C")+COUNTIF($AK$2:$AK27,"C"))+$AH$1)</f>
        <v/>
      </c>
      <c r="AN27" s="119" t="str">
        <f>IF(AL27="","",(COUNTIF($AG$2:$AG$105,"R")+COUNTIF($AL$2:$AL27,"R"))-(COUNTIF($AF$2:$AF$105,"R")+COUNTIF($AK$2:$AK27,"R"))+$AI$1)</f>
        <v/>
      </c>
      <c r="AO27" s="22" t="str">
        <f>IF(E27="","",COUNTA($E$3:E27)+$Z$1)</f>
        <v/>
      </c>
      <c r="AP27" s="88" t="str">
        <f>IF(AO27="","",IF(AO27+Расчет!$Y$57+$BD$2-Расчет!$X$57&gt;200,AO27+Расчет!$Y$57+$BD$2-1000,AO27+Расчет!$Y$57+$BD$2))</f>
        <v/>
      </c>
      <c r="AQ27" s="272"/>
      <c r="AR27" s="92"/>
      <c r="AS27" s="92"/>
      <c r="AW27" s="48"/>
      <c r="AX27" s="696"/>
      <c r="AY27" s="697"/>
      <c r="AZ27" s="700"/>
      <c r="BA27" s="701"/>
      <c r="BB27" s="48"/>
      <c r="BC27" s="48"/>
      <c r="BD27" s="702"/>
      <c r="BE27" s="702"/>
      <c r="BF27" s="702"/>
      <c r="BG27" s="703"/>
      <c r="BH27" s="704" t="s">
        <v>929</v>
      </c>
      <c r="BI27" s="705"/>
      <c r="BJ27" s="153">
        <f>Расчет!Y36</f>
        <v>13.307692307692308</v>
      </c>
      <c r="BK27" s="151">
        <f>Расчет!X36</f>
        <v>13</v>
      </c>
      <c r="BL27" s="172">
        <f>COUNTIF($BM$5:BM27,"&lt;-115")</f>
        <v>0</v>
      </c>
      <c r="BM27" s="154" t="str">
        <f>IFERROR(IF(OR(IFERROR(VLOOKUP(BN27,$E$3:$E$105,1,FALSE),"0")=BN27,IFERROR(VLOOKUP(BN27,$R$3:$R$105,1,FALSE),"0")=BN27),BO27,IF(OR(VLOOKUP(BN27,Расчет!A:E,5,FALSE)="2PS",VLOOKUP(BN27,Расчет!A:E,5,FALSE)="2QL"),IF(VLOOKUP(BN27,Расчет!A:B,2,FALSE)="831W",BN27-$BS$7+$AD$17,BN27-$BS$7+$AD$12),BN27-$BS$7)),"-")</f>
        <v>-</v>
      </c>
      <c r="BN27" s="154" t="str">
        <f>IF(OR(Расчет!C24="A0",Расчет!C24="P9",Расчет!B24="722W"),"-",Расчет!A24)</f>
        <v>-</v>
      </c>
      <c r="BO27" s="173">
        <f t="shared" si="15"/>
        <v>0</v>
      </c>
      <c r="BP27" s="172" t="str">
        <f>IF(BQ27="-","-",IFERROR(IF(OR(VLOOKUP(BN27,Расчет!$A$2:$E$582,5,FALSE)="2PS",VLOOKUP(BN27,Расчет!$A$2:$E$582,5,FALSE)="2QL"),IF(OR(VLOOKUP(BN27,Расчет!$A$2:$E$582,2,FALSE)="664W",VLOOKUP(BN27,Расчет!$A$2:$E$582,2,FALSE)="813W"),IF(BN27-$BS$7&gt;150,BN27-$BS$7-1000+$AD$12,BN27-$BS$7+$AD$12),IF(BN27-$BS$7&gt;150,BN27-$BS$7-1000+$AD$17,BN27-$BS$7+$AD$17)),IF(BN27-$BS$7&gt;150,BN27-$BS$7-1000,BN27-$BS$7)),"-"))</f>
        <v>-</v>
      </c>
      <c r="BQ27" s="173" t="str">
        <f t="shared" si="12"/>
        <v>-</v>
      </c>
      <c r="BR27" s="453"/>
      <c r="BS27" s="171"/>
      <c r="BT27" s="464" t="str">
        <f t="shared" si="13"/>
        <v>-</v>
      </c>
      <c r="BU27" s="464" t="str">
        <f t="shared" si="14"/>
        <v>-</v>
      </c>
      <c r="BX27" s="204">
        <f>COUNTIF($BY$4:BY27,"&lt;100")</f>
        <v>0</v>
      </c>
      <c r="BY27" s="213" t="str">
        <f t="shared" si="4"/>
        <v/>
      </c>
      <c r="BZ27" s="216" t="str">
        <f t="shared" si="5"/>
        <v/>
      </c>
      <c r="CA27" s="213" t="e">
        <f t="shared" si="6"/>
        <v>#N/A</v>
      </c>
      <c r="CB27" s="209" t="e">
        <f t="shared" si="7"/>
        <v>#N/A</v>
      </c>
      <c r="CC27" s="205" t="str">
        <f t="shared" si="16"/>
        <v/>
      </c>
      <c r="CD27" s="205" t="str">
        <f t="shared" si="8"/>
        <v>-</v>
      </c>
      <c r="CE27" s="205">
        <f t="shared" si="17"/>
        <v>0</v>
      </c>
      <c r="CG27" s="20" t="str">
        <f t="shared" si="25"/>
        <v/>
      </c>
    </row>
    <row r="28" spans="1:85" ht="23.1" customHeight="1">
      <c r="A28" s="40" t="str">
        <f>IF(AND(IFERROR(VLOOKUP(E28,Расчет!A:J,10,FALSE),"  ")&lt;&gt;"  ",IFERROR(LEFT(VLOOKUP(E28,Расчет!A:J,10,FALSE),1)," ")&lt;&gt;"H"),0,IFERROR(IF(F28="Camry",IF(OR(J28="2PS",J28="2QL"),IF(E28-AP28&gt;100,E28-AP28-1000+$AD$12,E28-AP28+$AD$12),IF(E28-AP28&gt;100,E28-AP28-1000,E28-AP28)),IF(J28="2PS",IF(E28-AP28&gt;100,E28-AP28-1000+$AD$17,E28-AP28+$AD$17),IF(E28-AP28&gt;100,E28-AP28-1000,E28-AP28))),"-"))</f>
        <v>-</v>
      </c>
      <c r="B28" s="46">
        <v>26</v>
      </c>
      <c r="C28" s="19" t="str">
        <f>IF(E28="","",COUNTA($E$3:E28))</f>
        <v/>
      </c>
      <c r="D28" s="18" t="str">
        <f t="shared" si="0"/>
        <v/>
      </c>
      <c r="E28" s="30"/>
      <c r="F28" s="44" t="str">
        <f>IFERROR(IF(VLOOKUP(E28,Расчет!$A$2:$B$650,2,FALSE)="664W","Camry",IF(VLOOKUP(E28,Расчет!$A$2:$B$650,2,FALSE)="813W","Goshi","RAV4")),"")</f>
        <v/>
      </c>
      <c r="G28" s="32" t="str">
        <f>IFERROR(IF(F28="Camry",VLOOKUP(E28,Расчет!$A$2:$Q$650,17,FALSE),VLOOKUP(E28,Расчет!$A$2:$R$650,18,FALSE)),"")</f>
        <v/>
      </c>
      <c r="H28" s="32" t="str">
        <f>IFERROR(VLOOKUP(VLOOKUP(E28,Расчет!$A:$D,4,FALSE),$AT$6:$AV$15,3,FALSE),"")</f>
        <v/>
      </c>
      <c r="I28" s="31" t="str">
        <f>IFERROR(VLOOKUP(IFERROR(VLOOKUP(E28,Расчет!$A$2:$D$650,4,FALSE),0),$AT$3:$AU$15,2,FALSE),"")</f>
        <v/>
      </c>
      <c r="J28" s="33" t="str">
        <f>IFERROR(VLOOKUP(E28,Расчет!$A$2:$E$650,5,FALSE),"")</f>
        <v/>
      </c>
      <c r="K28" s="189"/>
      <c r="L28" s="188">
        <f t="shared" si="10"/>
        <v>0</v>
      </c>
      <c r="M28" s="9"/>
      <c r="N28" s="40" t="str">
        <f>IF(AND(IFERROR(VLOOKUP(R28,Расчет!A:J,10,FALSE),"  ")&lt;&gt;"  ",IFERROR(LEFT(VLOOKUP(R28,Расчет!A:J,10,FALSE),1)," ")&lt;&gt;"H"),0,IFERROR(IF(S28="Camry",IF(OR(W28="2PS",W28="2QL"),IF(R28-AP131&gt;100,R28-AP131-1000+$AD$12,R28-AP131+$AD$12),IF(R28-AP131&gt;100,R28-AP131-1000,R28-AP131)),IF(W28="2PS",IF(R28-AP131&gt;100,R28-AP131-1000+$AD$17,R28-AP131+$AD$17),IF(R28-AP131&gt;100,R28-AP131-1000,R28-AP131))),"-"))</f>
        <v>-</v>
      </c>
      <c r="O28" s="46">
        <v>129</v>
      </c>
      <c r="P28" s="19" t="str">
        <f>IF(R28="","",COUNTA($R$3:R28)+$C$105)</f>
        <v/>
      </c>
      <c r="Q28" s="18" t="str">
        <f t="shared" si="1"/>
        <v/>
      </c>
      <c r="R28" s="30"/>
      <c r="S28" s="45" t="str">
        <f>IFERROR(IF(VLOOKUP(R28,Расчет!$A$2:$B$650,2,FALSE)="664W","Camry",IF(VLOOKUP(R28,Расчет!$A$2:$B$650,2,FALSE)="813W","Goshi","RAV4")),"")</f>
        <v/>
      </c>
      <c r="T28" s="32" t="str">
        <f>IFERROR(IF(S28="Camry",VLOOKUP(R28,Расчет!$A$2:$Q$650,17,FALSE),VLOOKUP(R28,Расчет!$A$2:$R$650,18,FALSE)),"")</f>
        <v/>
      </c>
      <c r="U28" s="32" t="str">
        <f>IFERROR(VLOOKUP(VLOOKUP(R28,Расчет!$A:$D,4,FALSE),$AT$6:$AV$15,3,FALSE),"")</f>
        <v/>
      </c>
      <c r="V28" s="31" t="str">
        <f>IFERROR(VLOOKUP(IFERROR(VLOOKUP(R28,Расчет!$A$2:$D$650,4,FALSE),0),$AT$3:$AU$15,2,FALSE),"")</f>
        <v/>
      </c>
      <c r="W28" s="33" t="str">
        <f>IFERROR(VLOOKUP(R28,Расчет!$A$2:$E$650,5,FALSE),"")</f>
        <v/>
      </c>
      <c r="X28" s="189"/>
      <c r="Y28" s="191">
        <f t="shared" si="11"/>
        <v>0</v>
      </c>
      <c r="Z28" s="156" t="str">
        <f>IFERROR(IF(VLOOKUP(AC28,Расчет!$A$2:$B$236,2,FALSE)="831W","RAV4","Camry"),"-")</f>
        <v>-</v>
      </c>
      <c r="AA28" s="166" t="str">
        <f>IFERROR(VLOOKUP(AC28,Расчет!$A$2:$E$236,5,FALSE),"-")</f>
        <v>-</v>
      </c>
      <c r="AB28" s="159" t="str">
        <f>IFERROR(SMALL($BT$5:$BT$500,5),"")</f>
        <v/>
      </c>
      <c r="AC28" s="162" t="str">
        <f>IF(VLOOKUP2($BP$5:$BQ$500,1,AB28,COUNTIF($AB$24:AB28,AB28),2)=0,"-",VLOOKUP2($BP$5:$BQ$500,1,AB28,COUNTIF($AB$24:AB28,AB28),2))</f>
        <v>-</v>
      </c>
      <c r="AD28" s="353" t="str">
        <f>IFERROR(VLOOKUP(AC28,Расчет!$BS:$BT,2,FALSE),"")</f>
        <v/>
      </c>
      <c r="AE28" s="89">
        <v>26</v>
      </c>
      <c r="AF28" s="44" t="str">
        <f>IF(VLOOKUP(AE28,Расчет!$AH$2:$AN$201,5,FALSE)="8","C",IF(VLOOKUP(AE28,Расчет!$AH$2:$AN$201,5,FALSE)="G","G","R"))</f>
        <v>R</v>
      </c>
      <c r="AG28" s="73" t="str">
        <f t="shared" si="2"/>
        <v/>
      </c>
      <c r="AH28" s="87" t="str">
        <f>IF(AG28="","",COUNTIF($AG$2:AG28,"C")-COUNTIF($AF$2:AF28,"C")+$AH$1)</f>
        <v/>
      </c>
      <c r="AI28" s="87" t="str">
        <f>IF(AG28="","",COUNTIF($AG$2:AG28,"R")-COUNTIF($AF$2:AF28,"R")+$AI$1)</f>
        <v/>
      </c>
      <c r="AJ28" s="89">
        <v>129</v>
      </c>
      <c r="AK28" s="44" t="str">
        <f>IF(VLOOKUP(AJ28,Расчет!$AH$2:$AN$211,5,FALSE)="8","C",IF(VLOOKUP(AJ28,Расчет!$AH$2:$AN$211,5,FALSE)="G","G","R"))</f>
        <v>R</v>
      </c>
      <c r="AL28" s="74" t="str">
        <f t="shared" si="3"/>
        <v/>
      </c>
      <c r="AM28" s="118" t="str">
        <f>IF(AL28="","",(COUNTIF($AG$2:$AG$105,"C")+COUNTIF($AL$2:$AL28,"C"))-(COUNTIF($AF$2:$AF$105,"C")+COUNTIF($AK$2:$AK28,"C"))+$AH$1)</f>
        <v/>
      </c>
      <c r="AN28" s="119" t="str">
        <f>IF(AL28="","",(COUNTIF($AG$2:$AG$105,"R")+COUNTIF($AL$2:$AL28,"R"))-(COUNTIF($AF$2:$AF$105,"R")+COUNTIF($AK$2:$AK28,"R"))+$AI$1)</f>
        <v/>
      </c>
      <c r="AO28" s="22" t="str">
        <f>IF(E28="","",COUNTA($E$3:E28)+$Z$1)</f>
        <v/>
      </c>
      <c r="AP28" s="88" t="str">
        <f>IF(AO28="","",IF(AO28+Расчет!$Y$57+$BD$2-Расчет!$X$57&gt;200,AO28+Расчет!$Y$57+$BD$2-1000,AO28+Расчет!$Y$57+$BD$2))</f>
        <v/>
      </c>
      <c r="AR28" s="92"/>
      <c r="AS28" s="92"/>
      <c r="AW28" s="48"/>
      <c r="AX28" s="671" t="s">
        <v>30</v>
      </c>
      <c r="AY28" s="672"/>
      <c r="AZ28" s="673">
        <v>0.44</v>
      </c>
      <c r="BA28" s="674"/>
      <c r="BB28" s="48"/>
      <c r="BC28" s="48"/>
      <c r="BD28" s="677" t="s">
        <v>30</v>
      </c>
      <c r="BE28" s="678"/>
      <c r="BF28" s="681">
        <f>BD34-AZ34</f>
        <v>-0.59999999999999432</v>
      </c>
      <c r="BG28" s="682"/>
      <c r="BH28" s="48"/>
      <c r="BI28" s="685"/>
      <c r="BJ28" s="685"/>
      <c r="BK28" s="48"/>
      <c r="BL28" s="172">
        <f>COUNTIF($BM$5:BM28,"&lt;-115")</f>
        <v>0</v>
      </c>
      <c r="BM28" s="154" t="str">
        <f>IFERROR(IF(OR(IFERROR(VLOOKUP(BN28,$E$3:$E$105,1,FALSE),"0")=BN28,IFERROR(VLOOKUP(BN28,$R$3:$R$105,1,FALSE),"0")=BN28),BO28,IF(OR(VLOOKUP(BN28,Расчет!A:E,5,FALSE)="2PS",VLOOKUP(BN28,Расчет!A:E,5,FALSE)="2QL"),IF(VLOOKUP(BN28,Расчет!A:B,2,FALSE)="831W",BN28-$BS$7+$AD$17,BN28-$BS$7+$AD$12),BN28-$BS$7)),"-")</f>
        <v>-</v>
      </c>
      <c r="BN28" s="154" t="str">
        <f>IF(OR(Расчет!C25="A0",Расчет!C25="P9",Расчет!B25="722W"),"-",Расчет!A25)</f>
        <v>-</v>
      </c>
      <c r="BO28" s="173">
        <f t="shared" si="15"/>
        <v>0</v>
      </c>
      <c r="BP28" s="172" t="str">
        <f>IF(BQ28="-","-",IFERROR(IF(OR(VLOOKUP(BN28,Расчет!$A$2:$E$582,5,FALSE)="2PS",VLOOKUP(BN28,Расчет!$A$2:$E$582,5,FALSE)="2QL"),IF(OR(VLOOKUP(BN28,Расчет!$A$2:$E$582,2,FALSE)="664W",VLOOKUP(BN28,Расчет!$A$2:$E$582,2,FALSE)="813W"),IF(BN28-$BS$7&gt;150,BN28-$BS$7-1000+$AD$12,BN28-$BS$7+$AD$12),IF(BN28-$BS$7&gt;150,BN28-$BS$7-1000+$AD$17,BN28-$BS$7+$AD$17)),IF(BN28-$BS$7&gt;150,BN28-$BS$7-1000,BN28-$BS$7)),"-"))</f>
        <v>-</v>
      </c>
      <c r="BQ28" s="173" t="str">
        <f t="shared" si="12"/>
        <v>-</v>
      </c>
      <c r="BR28" s="453"/>
      <c r="BS28" s="171"/>
      <c r="BT28" s="464" t="str">
        <f t="shared" si="13"/>
        <v>-</v>
      </c>
      <c r="BU28" s="464" t="str">
        <f t="shared" si="14"/>
        <v>-</v>
      </c>
      <c r="BX28" s="204">
        <f>COUNTIF($BY$4:BY28,"&lt;100")</f>
        <v>0</v>
      </c>
      <c r="BY28" s="213" t="str">
        <f t="shared" si="4"/>
        <v/>
      </c>
      <c r="BZ28" s="216" t="str">
        <f t="shared" si="5"/>
        <v/>
      </c>
      <c r="CA28" s="213" t="e">
        <f t="shared" si="6"/>
        <v>#N/A</v>
      </c>
      <c r="CB28" s="209" t="e">
        <f t="shared" si="7"/>
        <v>#N/A</v>
      </c>
      <c r="CC28" s="205" t="str">
        <f t="shared" si="16"/>
        <v/>
      </c>
      <c r="CD28" s="205" t="str">
        <f t="shared" si="8"/>
        <v>-</v>
      </c>
      <c r="CE28" s="205">
        <f t="shared" si="17"/>
        <v>0</v>
      </c>
      <c r="CG28" s="20" t="str">
        <f t="shared" si="25"/>
        <v/>
      </c>
    </row>
    <row r="29" spans="1:85" ht="23.1" customHeight="1">
      <c r="A29" s="40" t="str">
        <f>IF(AND(IFERROR(VLOOKUP(E29,Расчет!A:J,10,FALSE),"  ")&lt;&gt;"  ",IFERROR(LEFT(VLOOKUP(E29,Расчет!A:J,10,FALSE),1)," ")&lt;&gt;"H"),0,IFERROR(IF(F29="Camry",IF(OR(J29="2PS",J29="2QL"),IF(E29-AP29&gt;100,E29-AP29-1000+$AD$12,E29-AP29+$AD$12),IF(E29-AP29&gt;100,E29-AP29-1000,E29-AP29)),IF(J29="2PS",IF(E29-AP29&gt;100,E29-AP29-1000+$AD$17,E29-AP29+$AD$17),IF(E29-AP29&gt;100,E29-AP29-1000,E29-AP29))),"-"))</f>
        <v>-</v>
      </c>
      <c r="B29" s="46">
        <v>27</v>
      </c>
      <c r="C29" s="19" t="str">
        <f>IF(E29="","",COUNTA($E$3:E29))</f>
        <v/>
      </c>
      <c r="D29" s="18" t="str">
        <f t="shared" si="0"/>
        <v/>
      </c>
      <c r="E29" s="30"/>
      <c r="F29" s="44" t="str">
        <f>IFERROR(IF(VLOOKUP(E29,Расчет!$A$2:$B$650,2,FALSE)="664W","Camry",IF(VLOOKUP(E29,Расчет!$A$2:$B$650,2,FALSE)="813W","Goshi","RAV4")),"")</f>
        <v/>
      </c>
      <c r="G29" s="32" t="str">
        <f>IFERROR(IF(F29="Camry",VLOOKUP(E29,Расчет!$A$2:$Q$650,17,FALSE),VLOOKUP(E29,Расчет!$A$2:$R$650,18,FALSE)),"")</f>
        <v/>
      </c>
      <c r="H29" s="32" t="str">
        <f>IFERROR(VLOOKUP(VLOOKUP(E29,Расчет!$A:$D,4,FALSE),$AT$6:$AV$15,3,FALSE),"")</f>
        <v/>
      </c>
      <c r="I29" s="31" t="str">
        <f>IFERROR(VLOOKUP(IFERROR(VLOOKUP(E29,Расчет!$A$2:$D$650,4,FALSE),0),$AT$3:$AU$15,2,FALSE),"")</f>
        <v/>
      </c>
      <c r="J29" s="33" t="str">
        <f>IFERROR(VLOOKUP(E29,Расчет!$A$2:$E$650,5,FALSE),"")</f>
        <v/>
      </c>
      <c r="K29" s="189"/>
      <c r="L29" s="188">
        <f t="shared" si="10"/>
        <v>0</v>
      </c>
      <c r="M29" s="9"/>
      <c r="N29" s="40" t="str">
        <f>IF(AND(IFERROR(VLOOKUP(R29,Расчет!A:J,10,FALSE),"  ")&lt;&gt;"  ",IFERROR(LEFT(VLOOKUP(R29,Расчет!A:J,10,FALSE),1)," ")&lt;&gt;"H"),0,IFERROR(IF(S29="Camry",IF(OR(W29="2PS",W29="2QL"),IF(R29-AP132&gt;100,R29-AP132-1000+$AD$12,R29-AP132+$AD$12),IF(R29-AP132&gt;100,R29-AP132-1000,R29-AP132)),IF(W29="2PS",IF(R29-AP132&gt;100,R29-AP132-1000+$AD$17,R29-AP132+$AD$17),IF(R29-AP132&gt;100,R29-AP132-1000,R29-AP132))),"-"))</f>
        <v>-</v>
      </c>
      <c r="O29" s="46">
        <v>130</v>
      </c>
      <c r="P29" s="19" t="str">
        <f>IF(R29="","",COUNTA($R$3:R29)+$C$105)</f>
        <v/>
      </c>
      <c r="Q29" s="18" t="str">
        <f t="shared" si="1"/>
        <v/>
      </c>
      <c r="R29" s="30"/>
      <c r="S29" s="45" t="str">
        <f>IFERROR(IF(VLOOKUP(R29,Расчет!$A$2:$B$650,2,FALSE)="664W","Camry",IF(VLOOKUP(R29,Расчет!$A$2:$B$650,2,FALSE)="813W","Goshi","RAV4")),"")</f>
        <v/>
      </c>
      <c r="T29" s="32" t="str">
        <f>IFERROR(IF(S29="Camry",VLOOKUP(R29,Расчет!$A$2:$Q$650,17,FALSE),VLOOKUP(R29,Расчет!$A$2:$R$650,18,FALSE)),"")</f>
        <v/>
      </c>
      <c r="U29" s="32" t="str">
        <f>IFERROR(VLOOKUP(VLOOKUP(R29,Расчет!$A:$D,4,FALSE),$AT$6:$AV$15,3,FALSE),"")</f>
        <v/>
      </c>
      <c r="V29" s="31" t="str">
        <f>IFERROR(VLOOKUP(IFERROR(VLOOKUP(R29,Расчет!$A$2:$D$650,4,FALSE),0),$AT$3:$AU$15,2,FALSE),"")</f>
        <v/>
      </c>
      <c r="W29" s="33" t="str">
        <f>IFERROR(VLOOKUP(R29,Расчет!$A$2:$E$650,5,FALSE),"")</f>
        <v/>
      </c>
      <c r="X29" s="189"/>
      <c r="Y29" s="191">
        <f t="shared" si="11"/>
        <v>0</v>
      </c>
      <c r="Z29" s="156" t="str">
        <f>IFERROR(IF(VLOOKUP(AC29,Расчет!$A$2:$B$236,2,FALSE)="831W","RAV4","Camry"),"-")</f>
        <v>-</v>
      </c>
      <c r="AA29" s="166" t="str">
        <f>IFERROR(VLOOKUP(AC29,Расчет!$A$2:$E$236,5,FALSE),"-")</f>
        <v>-</v>
      </c>
      <c r="AB29" s="159" t="str">
        <f>IFERROR(SMALL($BT$5:$BT$500,6),"")</f>
        <v/>
      </c>
      <c r="AC29" s="162" t="str">
        <f>IF(VLOOKUP2($BP$5:$BQ$500,1,AB29,COUNTIF($AB$24:AB29,AB29),2)=0,"-",VLOOKUP2($BP$5:$BQ$500,1,AB29,COUNTIF($AB$24:AB29,AB29),2))</f>
        <v>-</v>
      </c>
      <c r="AD29" s="353" t="str">
        <f>IFERROR(VLOOKUP(AC29,Расчет!$BS:$BT,2,FALSE),"")</f>
        <v/>
      </c>
      <c r="AE29" s="89">
        <v>27</v>
      </c>
      <c r="AF29" s="44" t="str">
        <f>IF(VLOOKUP(AE29,Расчет!$AH$2:$AN$201,5,FALSE)="8","C",IF(VLOOKUP(AE29,Расчет!$AH$2:$AN$201,5,FALSE)="G","G","R"))</f>
        <v>C</v>
      </c>
      <c r="AG29" s="73" t="str">
        <f t="shared" si="2"/>
        <v/>
      </c>
      <c r="AH29" s="87" t="str">
        <f>IF(AG29="","",COUNTIF($AG$2:AG29,"C")-COUNTIF($AF$2:AF29,"C")+$AH$1)</f>
        <v/>
      </c>
      <c r="AI29" s="87" t="str">
        <f>IF(AG29="","",COUNTIF($AG$2:AG29,"R")-COUNTIF($AF$2:AF29,"R")+$AI$1)</f>
        <v/>
      </c>
      <c r="AJ29" s="89">
        <v>130</v>
      </c>
      <c r="AK29" s="44" t="str">
        <f>IF(VLOOKUP(AJ29,Расчет!$AH$2:$AN$211,5,FALSE)="8","C",IF(VLOOKUP(AJ29,Расчет!$AH$2:$AN$211,5,FALSE)="G","G","R"))</f>
        <v>C</v>
      </c>
      <c r="AL29" s="74" t="str">
        <f t="shared" si="3"/>
        <v/>
      </c>
      <c r="AM29" s="118" t="str">
        <f>IF(AL29="","",(COUNTIF($AG$2:$AG$105,"C")+COUNTIF($AL$2:$AL29,"C"))-(COUNTIF($AF$2:$AF$105,"C")+COUNTIF($AK$2:$AK29,"C"))+$AH$1)</f>
        <v/>
      </c>
      <c r="AN29" s="119" t="str">
        <f>IF(AL29="","",(COUNTIF($AG$2:$AG$105,"R")+COUNTIF($AL$2:$AL29,"R"))-(COUNTIF($AF$2:$AF$105,"R")+COUNTIF($AK$2:$AK29,"R"))+$AI$1)</f>
        <v/>
      </c>
      <c r="AO29" s="22" t="str">
        <f>IF(E29="","",COUNTA($E$3:E29)+$Z$1)</f>
        <v/>
      </c>
      <c r="AP29" s="88" t="str">
        <f>IF(AO29="","",IF(AO29+Расчет!$Y$57+$BD$2-Расчет!$X$57&gt;200,AO29+Расчет!$Y$57+$BD$2-1000,AO29+Расчет!$Y$57+$BD$2))</f>
        <v/>
      </c>
      <c r="AR29" s="92"/>
      <c r="AS29" s="92"/>
      <c r="AW29" s="48"/>
      <c r="AX29" s="671"/>
      <c r="AY29" s="672"/>
      <c r="AZ29" s="675"/>
      <c r="BA29" s="676"/>
      <c r="BB29" s="48"/>
      <c r="BC29" s="48"/>
      <c r="BD29" s="679"/>
      <c r="BE29" s="680"/>
      <c r="BF29" s="683"/>
      <c r="BG29" s="684"/>
      <c r="BH29" s="48"/>
      <c r="BI29" s="685"/>
      <c r="BJ29" s="685"/>
      <c r="BK29" s="48"/>
      <c r="BL29" s="172">
        <f>COUNTIF($BM$5:BM29,"&lt;-115")</f>
        <v>0</v>
      </c>
      <c r="BM29" s="154" t="str">
        <f>IFERROR(IF(OR(IFERROR(VLOOKUP(BN29,$E$3:$E$105,1,FALSE),"0")=BN29,IFERROR(VLOOKUP(BN29,$R$3:$R$105,1,FALSE),"0")=BN29),BO29,IF(OR(VLOOKUP(BN29,Расчет!A:E,5,FALSE)="2PS",VLOOKUP(BN29,Расчет!A:E,5,FALSE)="2QL"),IF(VLOOKUP(BN29,Расчет!A:B,2,FALSE)="831W",BN29-$BS$7+$AD$17,BN29-$BS$7+$AD$12),BN29-$BS$7)),"-")</f>
        <v>-</v>
      </c>
      <c r="BN29" s="154" t="str">
        <f>IF(OR(Расчет!C26="A0",Расчет!C26="P9",Расчет!B26="722W"),"-",Расчет!A26)</f>
        <v>-</v>
      </c>
      <c r="BO29" s="173">
        <f t="shared" si="15"/>
        <v>0</v>
      </c>
      <c r="BP29" s="172" t="str">
        <f>IF(BQ29="-","-",IFERROR(IF(OR(VLOOKUP(BN29,Расчет!$A$2:$E$582,5,FALSE)="2PS",VLOOKUP(BN29,Расчет!$A$2:$E$582,5,FALSE)="2QL"),IF(OR(VLOOKUP(BN29,Расчет!$A$2:$E$582,2,FALSE)="664W",VLOOKUP(BN29,Расчет!$A$2:$E$582,2,FALSE)="813W"),IF(BN29-$BS$7&gt;150,BN29-$BS$7-1000+$AD$12,BN29-$BS$7+$AD$12),IF(BN29-$BS$7&gt;150,BN29-$BS$7-1000+$AD$17,BN29-$BS$7+$AD$17)),IF(BN29-$BS$7&gt;150,BN29-$BS$7-1000,BN29-$BS$7)),"-"))</f>
        <v>-</v>
      </c>
      <c r="BQ29" s="173" t="str">
        <f t="shared" si="12"/>
        <v>-</v>
      </c>
      <c r="BR29" s="453"/>
      <c r="BS29" s="171"/>
      <c r="BT29" s="464" t="str">
        <f t="shared" si="13"/>
        <v>-</v>
      </c>
      <c r="BU29" s="464" t="str">
        <f t="shared" si="14"/>
        <v>-</v>
      </c>
      <c r="BX29" s="204">
        <f>COUNTIF($BY$4:BY29,"&lt;100")</f>
        <v>0</v>
      </c>
      <c r="BY29" s="213" t="str">
        <f t="shared" si="4"/>
        <v/>
      </c>
      <c r="BZ29" s="216" t="str">
        <f t="shared" si="5"/>
        <v/>
      </c>
      <c r="CA29" s="213" t="e">
        <f t="shared" si="6"/>
        <v>#N/A</v>
      </c>
      <c r="CB29" s="209" t="e">
        <f t="shared" si="7"/>
        <v>#N/A</v>
      </c>
      <c r="CC29" s="205" t="str">
        <f t="shared" si="16"/>
        <v/>
      </c>
      <c r="CD29" s="205" t="str">
        <f t="shared" si="8"/>
        <v>-</v>
      </c>
      <c r="CE29" s="205">
        <f t="shared" si="17"/>
        <v>0</v>
      </c>
      <c r="CG29" s="20" t="str">
        <f t="shared" si="25"/>
        <v/>
      </c>
    </row>
    <row r="30" spans="1:85" ht="23.1" customHeight="1">
      <c r="A30" s="40" t="str">
        <f>IF(AND(IFERROR(VLOOKUP(E30,Расчет!A:J,10,FALSE),"  ")&lt;&gt;"  ",IFERROR(LEFT(VLOOKUP(E30,Расчет!A:J,10,FALSE),1)," ")&lt;&gt;"H"),0,IFERROR(IF(F30="Camry",IF(OR(J30="2PS",J30="2QL"),IF(E30-AP30&gt;100,E30-AP30-1000+$AD$12,E30-AP30+$AD$12),IF(E30-AP30&gt;100,E30-AP30-1000,E30-AP30)),IF(J30="2PS",IF(E30-AP30&gt;100,E30-AP30-1000+$AD$17,E30-AP30+$AD$17),IF(E30-AP30&gt;100,E30-AP30-1000,E30-AP30))),"-"))</f>
        <v>-</v>
      </c>
      <c r="B30" s="46">
        <v>28</v>
      </c>
      <c r="C30" s="19" t="str">
        <f>IF(E30="","",COUNTA($E$3:E30))</f>
        <v/>
      </c>
      <c r="D30" s="18" t="str">
        <f t="shared" si="0"/>
        <v/>
      </c>
      <c r="E30" s="30"/>
      <c r="F30" s="44" t="str">
        <f>IFERROR(IF(VLOOKUP(E30,Расчет!$A$2:$B$650,2,FALSE)="664W","Camry",IF(VLOOKUP(E30,Расчет!$A$2:$B$650,2,FALSE)="813W","Goshi","RAV4")),"")</f>
        <v/>
      </c>
      <c r="G30" s="32" t="str">
        <f>IFERROR(IF(F30="Camry",VLOOKUP(E30,Расчет!$A$2:$Q$650,17,FALSE),VLOOKUP(E30,Расчет!$A$2:$R$650,18,FALSE)),"")</f>
        <v/>
      </c>
      <c r="H30" s="32" t="str">
        <f>IFERROR(VLOOKUP(VLOOKUP(E30,Расчет!$A:$D,4,FALSE),$AT$6:$AV$15,3,FALSE),"")</f>
        <v/>
      </c>
      <c r="I30" s="31" t="str">
        <f>IFERROR(VLOOKUP(IFERROR(VLOOKUP(E30,Расчет!$A$2:$D$650,4,FALSE),0),$AT$3:$AU$15,2,FALSE),"")</f>
        <v/>
      </c>
      <c r="J30" s="33" t="str">
        <f>IFERROR(VLOOKUP(E30,Расчет!$A$2:$E$650,5,FALSE),"")</f>
        <v/>
      </c>
      <c r="K30" s="189"/>
      <c r="L30" s="188">
        <f t="shared" si="10"/>
        <v>0</v>
      </c>
      <c r="M30" s="9"/>
      <c r="N30" s="40" t="str">
        <f>IF(AND(IFERROR(VLOOKUP(R30,Расчет!A:J,10,FALSE),"  ")&lt;&gt;"  ",IFERROR(LEFT(VLOOKUP(R30,Расчет!A:J,10,FALSE),1)," ")&lt;&gt;"H"),0,IFERROR(IF(S30="Camry",IF(OR(W30="2PS",W30="2QL"),IF(R30-AP133&gt;100,R30-AP133-1000+$AD$12,R30-AP133+$AD$12),IF(R30-AP133&gt;100,R30-AP133-1000,R30-AP133)),IF(W30="2PS",IF(R30-AP133&gt;100,R30-AP133-1000+$AD$17,R30-AP133+$AD$17),IF(R30-AP133&gt;100,R30-AP133-1000,R30-AP133))),"-"))</f>
        <v>-</v>
      </c>
      <c r="O30" s="46">
        <v>131</v>
      </c>
      <c r="P30" s="19" t="str">
        <f>IF(R30="","",COUNTA($R$3:R30)+$C$105)</f>
        <v/>
      </c>
      <c r="Q30" s="18" t="str">
        <f t="shared" si="1"/>
        <v/>
      </c>
      <c r="R30" s="30"/>
      <c r="S30" s="45" t="str">
        <f>IFERROR(IF(VLOOKUP(R30,Расчет!$A$2:$B$650,2,FALSE)="664W","Camry",IF(VLOOKUP(R30,Расчет!$A$2:$B$650,2,FALSE)="813W","Goshi","RAV4")),"")</f>
        <v/>
      </c>
      <c r="T30" s="32" t="str">
        <f>IFERROR(IF(S30="Camry",VLOOKUP(R30,Расчет!$A$2:$Q$650,17,FALSE),VLOOKUP(R30,Расчет!$A$2:$R$650,18,FALSE)),"")</f>
        <v/>
      </c>
      <c r="U30" s="32" t="str">
        <f>IFERROR(VLOOKUP(VLOOKUP(R30,Расчет!$A:$D,4,FALSE),$AT$6:$AV$15,3,FALSE),"")</f>
        <v/>
      </c>
      <c r="V30" s="31" t="str">
        <f>IFERROR(VLOOKUP(IFERROR(VLOOKUP(R30,Расчет!$A$2:$D$650,4,FALSE),0),$AT$3:$AU$15,2,FALSE),"")</f>
        <v/>
      </c>
      <c r="W30" s="33" t="str">
        <f>IFERROR(VLOOKUP(R30,Расчет!$A$2:$E$650,5,FALSE),"")</f>
        <v/>
      </c>
      <c r="X30" s="189"/>
      <c r="Y30" s="191">
        <f t="shared" si="11"/>
        <v>0</v>
      </c>
      <c r="Z30" s="156" t="str">
        <f>IFERROR(IF(VLOOKUP(AC30,Расчет!$A$2:$B$236,2,FALSE)="831W","RAV4","Camry"),"-")</f>
        <v>-</v>
      </c>
      <c r="AA30" s="166" t="str">
        <f>IFERROR(VLOOKUP(AC30,Расчет!$A$2:$E$236,5,FALSE),"-")</f>
        <v>-</v>
      </c>
      <c r="AB30" s="159" t="str">
        <f>IFERROR(SMALL($BT$5:$BT$500,7),"")</f>
        <v/>
      </c>
      <c r="AC30" s="162" t="str">
        <f>IF(VLOOKUP2($BP$5:$BQ$500,1,AB30,COUNTIF($AB$24:AB30,AB30),2)=0,"-",VLOOKUP2($BP$5:$BQ$500,1,AB30,COUNTIF($AB$24:AB30,AB30),2))</f>
        <v>-</v>
      </c>
      <c r="AD30" s="353" t="str">
        <f>IFERROR(VLOOKUP(AC30,Расчет!$BS:$BT,2,FALSE),"")</f>
        <v/>
      </c>
      <c r="AE30" s="89">
        <v>28</v>
      </c>
      <c r="AF30" s="44" t="str">
        <f>IF(VLOOKUP(AE30,Расчет!$AH$2:$AN$201,5,FALSE)="8","C",IF(VLOOKUP(AE30,Расчет!$AH$2:$AN$201,5,FALSE)="G","G","R"))</f>
        <v>R</v>
      </c>
      <c r="AG30" s="73" t="str">
        <f t="shared" si="2"/>
        <v/>
      </c>
      <c r="AH30" s="87" t="str">
        <f>IF(AG30="","",COUNTIF($AG$2:AG30,"C")-COUNTIF($AF$2:AF30,"C")+$AH$1)</f>
        <v/>
      </c>
      <c r="AI30" s="87" t="str">
        <f>IF(AG30="","",COUNTIF($AG$2:AG30,"R")-COUNTIF($AF$2:AF30,"R")+$AI$1)</f>
        <v/>
      </c>
      <c r="AJ30" s="89">
        <v>131</v>
      </c>
      <c r="AK30" s="44" t="str">
        <f>IF(VLOOKUP(AJ30,Расчет!$AH$2:$AN$211,5,FALSE)="8","C",IF(VLOOKUP(AJ30,Расчет!$AH$2:$AN$211,5,FALSE)="G","G","R"))</f>
        <v>R</v>
      </c>
      <c r="AL30" s="74" t="str">
        <f t="shared" si="3"/>
        <v/>
      </c>
      <c r="AM30" s="118" t="str">
        <f>IF(AL30="","",(COUNTIF($AG$2:$AG$105,"C")+COUNTIF($AL$2:$AL30,"C"))-(COUNTIF($AF$2:$AF$105,"C")+COUNTIF($AK$2:$AK30,"C"))+$AH$1)</f>
        <v/>
      </c>
      <c r="AN30" s="119" t="str">
        <f>IF(AL30="","",(COUNTIF($AG$2:$AG$105,"R")+COUNTIF($AL$2:$AL30,"R"))-(COUNTIF($AF$2:$AF$105,"R")+COUNTIF($AK$2:$AK30,"R"))+$AI$1)</f>
        <v/>
      </c>
      <c r="AO30" s="22" t="str">
        <f>IF(E30="","",COUNTA($E$3:E30)+$Z$1)</f>
        <v/>
      </c>
      <c r="AP30" s="88" t="str">
        <f>IF(AO30="","",IF(AO30+Расчет!$Y$57+$BD$2-Расчет!$X$57&gt;200,AO30+Расчет!$Y$57+$BD$2-1000,AO30+Расчет!$Y$57+$BD$2))</f>
        <v/>
      </c>
      <c r="AR30" s="92"/>
      <c r="AS30" s="92"/>
      <c r="AW30" s="48"/>
      <c r="AX30" s="722" t="s">
        <v>24</v>
      </c>
      <c r="AY30" s="723"/>
      <c r="AZ30" s="673">
        <v>0.56000000000000005</v>
      </c>
      <c r="BA30" s="674"/>
      <c r="BB30" s="48"/>
      <c r="BC30" s="48"/>
      <c r="BD30" s="720" t="s">
        <v>24</v>
      </c>
      <c r="BE30" s="716"/>
      <c r="BF30" s="681">
        <f>BD36-AZ36</f>
        <v>0.59999999999999432</v>
      </c>
      <c r="BG30" s="682"/>
      <c r="BH30" s="448"/>
      <c r="BI30" s="48"/>
      <c r="BJ30" s="48"/>
      <c r="BK30" s="48"/>
      <c r="BL30" s="172">
        <f>COUNTIF($BM$5:BM30,"&lt;-115")</f>
        <v>0</v>
      </c>
      <c r="BM30" s="154" t="str">
        <f>IFERROR(IF(OR(IFERROR(VLOOKUP(BN30,$E$3:$E$105,1,FALSE),"0")=BN30,IFERROR(VLOOKUP(BN30,$R$3:$R$105,1,FALSE),"0")=BN30),BO30,IF(OR(VLOOKUP(BN30,Расчет!A:E,5,FALSE)="2PS",VLOOKUP(BN30,Расчет!A:E,5,FALSE)="2QL"),IF(VLOOKUP(BN30,Расчет!A:B,2,FALSE)="831W",BN30-$BS$7+$AD$17,BN30-$BS$7+$AD$12),BN30-$BS$7)),"-")</f>
        <v>-</v>
      </c>
      <c r="BN30" s="154" t="str">
        <f>IF(OR(Расчет!C27="A0",Расчет!C27="P9",Расчет!B27="722W"),"-",Расчет!A27)</f>
        <v>-</v>
      </c>
      <c r="BO30" s="173">
        <f t="shared" si="15"/>
        <v>0</v>
      </c>
      <c r="BP30" s="172" t="str">
        <f>IF(BQ30="-","-",IFERROR(IF(OR(VLOOKUP(BN30,Расчет!$A$2:$E$582,5,FALSE)="2PS",VLOOKUP(BN30,Расчет!$A$2:$E$582,5,FALSE)="2QL"),IF(OR(VLOOKUP(BN30,Расчет!$A$2:$E$582,2,FALSE)="664W",VLOOKUP(BN30,Расчет!$A$2:$E$582,2,FALSE)="813W"),IF(BN30-$BS$7&gt;150,BN30-$BS$7-1000+$AD$12,BN30-$BS$7+$AD$12),IF(BN30-$BS$7&gt;150,BN30-$BS$7-1000+$AD$17,BN30-$BS$7+$AD$17)),IF(BN30-$BS$7&gt;150,BN30-$BS$7-1000,BN30-$BS$7)),"-"))</f>
        <v>-</v>
      </c>
      <c r="BQ30" s="173" t="str">
        <f t="shared" si="12"/>
        <v>-</v>
      </c>
      <c r="BR30" s="453"/>
      <c r="BS30" s="171"/>
      <c r="BT30" s="464" t="str">
        <f t="shared" si="13"/>
        <v>-</v>
      </c>
      <c r="BU30" s="464" t="str">
        <f t="shared" si="14"/>
        <v>-</v>
      </c>
      <c r="BX30" s="204">
        <f>COUNTIF($BY$4:BY30,"&lt;100")</f>
        <v>0</v>
      </c>
      <c r="BY30" s="213" t="str">
        <f t="shared" si="4"/>
        <v/>
      </c>
      <c r="BZ30" s="216" t="str">
        <f t="shared" si="5"/>
        <v/>
      </c>
      <c r="CA30" s="213" t="e">
        <f t="shared" si="6"/>
        <v>#N/A</v>
      </c>
      <c r="CB30" s="209" t="e">
        <f t="shared" si="7"/>
        <v>#N/A</v>
      </c>
      <c r="CC30" s="205" t="str">
        <f t="shared" si="16"/>
        <v/>
      </c>
      <c r="CD30" s="205" t="str">
        <f t="shared" si="8"/>
        <v>-</v>
      </c>
      <c r="CE30" s="205">
        <f t="shared" si="17"/>
        <v>0</v>
      </c>
      <c r="CG30" s="20" t="str">
        <f t="shared" si="25"/>
        <v/>
      </c>
    </row>
    <row r="31" spans="1:85" ht="23.1" customHeight="1">
      <c r="A31" s="40" t="str">
        <f>IF(AND(IFERROR(VLOOKUP(E31,Расчет!A:J,10,FALSE),"  ")&lt;&gt;"  ",IFERROR(LEFT(VLOOKUP(E31,Расчет!A:J,10,FALSE),1)," ")&lt;&gt;"H"),0,IFERROR(IF(F31="Camry",IF(OR(J31="2PS",J31="2QL"),IF(E31-AP31&gt;100,E31-AP31-1000+$AD$12,E31-AP31+$AD$12),IF(E31-AP31&gt;100,E31-AP31-1000,E31-AP31)),IF(J31="2PS",IF(E31-AP31&gt;100,E31-AP31-1000+$AD$17,E31-AP31+$AD$17),IF(E31-AP31&gt;100,E31-AP31-1000,E31-AP31))),"-"))</f>
        <v>-</v>
      </c>
      <c r="B31" s="46">
        <v>29</v>
      </c>
      <c r="C31" s="19" t="str">
        <f>IF(E31="","",COUNTA($E$3:E31))</f>
        <v/>
      </c>
      <c r="D31" s="18" t="str">
        <f t="shared" si="0"/>
        <v/>
      </c>
      <c r="E31" s="30"/>
      <c r="F31" s="44" t="str">
        <f>IFERROR(IF(VLOOKUP(E31,Расчет!$A$2:$B$650,2,FALSE)="664W","Camry",IF(VLOOKUP(E31,Расчет!$A$2:$B$650,2,FALSE)="813W","Goshi","RAV4")),"")</f>
        <v/>
      </c>
      <c r="G31" s="32" t="str">
        <f>IFERROR(IF(F31="Camry",VLOOKUP(E31,Расчет!$A$2:$Q$650,17,FALSE),VLOOKUP(E31,Расчет!$A$2:$R$650,18,FALSE)),"")</f>
        <v/>
      </c>
      <c r="H31" s="32" t="str">
        <f>IFERROR(VLOOKUP(VLOOKUP(E31,Расчет!$A:$D,4,FALSE),$AT$6:$AV$15,3,FALSE),"")</f>
        <v/>
      </c>
      <c r="I31" s="31" t="str">
        <f>IFERROR(VLOOKUP(IFERROR(VLOOKUP(E31,Расчет!$A$2:$D$650,4,FALSE),0),$AT$3:$AU$15,2,FALSE),"")</f>
        <v/>
      </c>
      <c r="J31" s="33" t="str">
        <f>IFERROR(VLOOKUP(E31,Расчет!$A$2:$E$650,5,FALSE),"")</f>
        <v/>
      </c>
      <c r="K31" s="189"/>
      <c r="L31" s="188">
        <f t="shared" si="10"/>
        <v>0</v>
      </c>
      <c r="M31" s="9"/>
      <c r="N31" s="40" t="str">
        <f>IF(AND(IFERROR(VLOOKUP(R31,Расчет!A:J,10,FALSE),"  ")&lt;&gt;"  ",IFERROR(LEFT(VLOOKUP(R31,Расчет!A:J,10,FALSE),1)," ")&lt;&gt;"H"),0,IFERROR(IF(S31="Camry",IF(OR(W31="2PS",W31="2QL"),IF(R31-AP134&gt;100,R31-AP134-1000+$AD$12,R31-AP134+$AD$12),IF(R31-AP134&gt;100,R31-AP134-1000,R31-AP134)),IF(W31="2PS",IF(R31-AP134&gt;100,R31-AP134-1000+$AD$17,R31-AP134+$AD$17),IF(R31-AP134&gt;100,R31-AP134-1000,R31-AP134))),"-"))</f>
        <v>-</v>
      </c>
      <c r="O31" s="46">
        <v>132</v>
      </c>
      <c r="P31" s="19" t="str">
        <f>IF(R31="","",COUNTA($R$3:R31)+$C$105)</f>
        <v/>
      </c>
      <c r="Q31" s="18" t="str">
        <f t="shared" si="1"/>
        <v/>
      </c>
      <c r="R31" s="30"/>
      <c r="S31" s="45" t="str">
        <f>IFERROR(IF(VLOOKUP(R31,Расчет!$A$2:$B$650,2,FALSE)="664W","Camry",IF(VLOOKUP(R31,Расчет!$A$2:$B$650,2,FALSE)="813W","Goshi","RAV4")),"")</f>
        <v/>
      </c>
      <c r="T31" s="32" t="str">
        <f>IFERROR(IF(S31="Camry",VLOOKUP(R31,Расчет!$A$2:$Q$650,17,FALSE),VLOOKUP(R31,Расчет!$A$2:$R$650,18,FALSE)),"")</f>
        <v/>
      </c>
      <c r="U31" s="32" t="str">
        <f>IFERROR(VLOOKUP(VLOOKUP(R31,Расчет!$A:$D,4,FALSE),$AT$6:$AV$15,3,FALSE),"")</f>
        <v/>
      </c>
      <c r="V31" s="31" t="str">
        <f>IFERROR(VLOOKUP(IFERROR(VLOOKUP(R31,Расчет!$A$2:$D$650,4,FALSE),0),$AT$3:$AU$15,2,FALSE),"")</f>
        <v/>
      </c>
      <c r="W31" s="33" t="str">
        <f>IFERROR(VLOOKUP(R31,Расчет!$A$2:$E$650,5,FALSE),"")</f>
        <v/>
      </c>
      <c r="X31" s="189"/>
      <c r="Y31" s="191">
        <f t="shared" si="11"/>
        <v>0</v>
      </c>
      <c r="Z31" s="156" t="str">
        <f>IFERROR(IF(VLOOKUP(AC31,Расчет!$A$2:$B$236,2,FALSE)="831W","RAV4","Camry"),"-")</f>
        <v>-</v>
      </c>
      <c r="AA31" s="166" t="str">
        <f>IFERROR(VLOOKUP(AC31,Расчет!$A$2:$E$236,5,FALSE),"-")</f>
        <v>-</v>
      </c>
      <c r="AB31" s="159" t="str">
        <f>IFERROR(SMALL($BT$5:$BT$500,8),"")</f>
        <v/>
      </c>
      <c r="AC31" s="162" t="str">
        <f>IF(VLOOKUP2($BP$5:$BQ$500,1,AB31,COUNTIF($AB$24:AB31,AB31),2)=0,"-",VLOOKUP2($BP$5:$BQ$500,1,AB31,COUNTIF($AB$24:AB31,AB31),2))</f>
        <v>-</v>
      </c>
      <c r="AD31" s="353" t="str">
        <f>IFERROR(VLOOKUP(AC31,Расчет!$BS:$BT,2,FALSE),"")</f>
        <v/>
      </c>
      <c r="AE31" s="89">
        <v>29</v>
      </c>
      <c r="AF31" s="44" t="str">
        <f>IF(VLOOKUP(AE31,Расчет!$AH$2:$AN$201,5,FALSE)="8","C",IF(VLOOKUP(AE31,Расчет!$AH$2:$AN$201,5,FALSE)="G","G","R"))</f>
        <v>C</v>
      </c>
      <c r="AG31" s="73" t="str">
        <f t="shared" si="2"/>
        <v/>
      </c>
      <c r="AH31" s="87" t="str">
        <f>IF(AG31="","",COUNTIF($AG$2:AG31,"C")-COUNTIF($AF$2:AF31,"C")+$AH$1)</f>
        <v/>
      </c>
      <c r="AI31" s="87" t="str">
        <f>IF(AG31="","",COUNTIF($AG$2:AG31,"R")-COUNTIF($AF$2:AF31,"R")+$AI$1)</f>
        <v/>
      </c>
      <c r="AJ31" s="89">
        <v>132</v>
      </c>
      <c r="AK31" s="44" t="str">
        <f>IF(VLOOKUP(AJ31,Расчет!$AH$2:$AN$211,5,FALSE)="8","C",IF(VLOOKUP(AJ31,Расчет!$AH$2:$AN$211,5,FALSE)="G","G","R"))</f>
        <v>C</v>
      </c>
      <c r="AL31" s="74" t="str">
        <f t="shared" si="3"/>
        <v/>
      </c>
      <c r="AM31" s="118" t="str">
        <f>IF(AL31="","",(COUNTIF($AG$2:$AG$105,"C")+COUNTIF($AL$2:$AL31,"C"))-(COUNTIF($AF$2:$AF$105,"C")+COUNTIF($AK$2:$AK31,"C"))+$AH$1)</f>
        <v/>
      </c>
      <c r="AN31" s="119" t="str">
        <f>IF(AL31="","",(COUNTIF($AG$2:$AG$105,"R")+COUNTIF($AL$2:$AL31,"R"))-(COUNTIF($AF$2:$AF$105,"R")+COUNTIF($AK$2:$AK31,"R"))+$AI$1)</f>
        <v/>
      </c>
      <c r="AO31" s="22" t="str">
        <f>IF(E31="","",COUNTA($E$3:E31)+$Z$1)</f>
        <v/>
      </c>
      <c r="AP31" s="88" t="str">
        <f>IF(AO31="","",IF(AO31+Расчет!$Y$57+$BD$2-Расчет!$X$57&gt;200,AO31+Расчет!$Y$57+$BD$2-1000,AO31+Расчет!$Y$57+$BD$2))</f>
        <v/>
      </c>
      <c r="AR31" s="92"/>
      <c r="AS31" s="92"/>
      <c r="AW31" s="48"/>
      <c r="AX31" s="722"/>
      <c r="AY31" s="723"/>
      <c r="AZ31" s="675"/>
      <c r="BA31" s="676"/>
      <c r="BB31" s="48"/>
      <c r="BC31" s="48"/>
      <c r="BD31" s="724"/>
      <c r="BE31" s="725"/>
      <c r="BF31" s="683"/>
      <c r="BG31" s="684"/>
      <c r="BH31" s="48"/>
      <c r="BI31" s="48"/>
      <c r="BJ31" s="48"/>
      <c r="BK31" s="48"/>
      <c r="BL31" s="172">
        <f>COUNTIF($BM$5:BM31,"&lt;-115")</f>
        <v>0</v>
      </c>
      <c r="BM31" s="154" t="str">
        <f>IFERROR(IF(OR(IFERROR(VLOOKUP(BN31,$E$3:$E$105,1,FALSE),"0")=BN31,IFERROR(VLOOKUP(BN31,$R$3:$R$105,1,FALSE),"0")=BN31),BO31,IF(OR(VLOOKUP(BN31,Расчет!A:E,5,FALSE)="2PS",VLOOKUP(BN31,Расчет!A:E,5,FALSE)="2QL"),IF(VLOOKUP(BN31,Расчет!A:B,2,FALSE)="831W",BN31-$BS$7+$AD$17,BN31-$BS$7+$AD$12),BN31-$BS$7)),"-")</f>
        <v>-</v>
      </c>
      <c r="BN31" s="154" t="str">
        <f>IF(OR(Расчет!C28="A0",Расчет!C28="P9",Расчет!B28="722W"),"-",Расчет!A28)</f>
        <v>-</v>
      </c>
      <c r="BO31" s="173">
        <f t="shared" si="15"/>
        <v>0</v>
      </c>
      <c r="BP31" s="172" t="str">
        <f>IF(BQ31="-","-",IFERROR(IF(OR(VLOOKUP(BN31,Расчет!$A$2:$E$582,5,FALSE)="2PS",VLOOKUP(BN31,Расчет!$A$2:$E$582,5,FALSE)="2QL"),IF(OR(VLOOKUP(BN31,Расчет!$A$2:$E$582,2,FALSE)="664W",VLOOKUP(BN31,Расчет!$A$2:$E$582,2,FALSE)="813W"),IF(BN31-$BS$7&gt;150,BN31-$BS$7-1000+$AD$12,BN31-$BS$7+$AD$12),IF(BN31-$BS$7&gt;150,BN31-$BS$7-1000+$AD$17,BN31-$BS$7+$AD$17)),IF(BN31-$BS$7&gt;150,BN31-$BS$7-1000,BN31-$BS$7)),"-"))</f>
        <v>-</v>
      </c>
      <c r="BQ31" s="173" t="str">
        <f t="shared" si="12"/>
        <v>-</v>
      </c>
      <c r="BR31" s="453"/>
      <c r="BS31" s="171"/>
      <c r="BT31" s="464" t="str">
        <f t="shared" si="13"/>
        <v>-</v>
      </c>
      <c r="BU31" s="464" t="str">
        <f t="shared" si="14"/>
        <v>-</v>
      </c>
      <c r="BX31" s="204">
        <f>COUNTIF($BY$4:BY31,"&lt;100")</f>
        <v>0</v>
      </c>
      <c r="BY31" s="213" t="str">
        <f t="shared" si="4"/>
        <v/>
      </c>
      <c r="BZ31" s="216" t="str">
        <f t="shared" si="5"/>
        <v/>
      </c>
      <c r="CA31" s="213" t="e">
        <f t="shared" si="6"/>
        <v>#N/A</v>
      </c>
      <c r="CB31" s="209" t="e">
        <f t="shared" si="7"/>
        <v>#N/A</v>
      </c>
      <c r="CC31" s="205" t="str">
        <f t="shared" si="16"/>
        <v/>
      </c>
      <c r="CD31" s="205" t="str">
        <f t="shared" si="8"/>
        <v>-</v>
      </c>
      <c r="CE31" s="205">
        <f t="shared" si="17"/>
        <v>0</v>
      </c>
      <c r="CG31" s="20" t="str">
        <f t="shared" si="25"/>
        <v/>
      </c>
    </row>
    <row r="32" spans="1:85" ht="23.1" customHeight="1" thickBot="1">
      <c r="A32" s="40" t="str">
        <f>IF(AND(IFERROR(VLOOKUP(E32,Расчет!A:J,10,FALSE),"  ")&lt;&gt;"  ",IFERROR(LEFT(VLOOKUP(E32,Расчет!A:J,10,FALSE),1)," ")&lt;&gt;"H"),0,IFERROR(IF(F32="Camry",IF(OR(J32="2PS",J32="2QL"),IF(E32-AP32&gt;100,E32-AP32-1000+$AD$12,E32-AP32+$AD$12),IF(E32-AP32&gt;100,E32-AP32-1000,E32-AP32)),IF(J32="2PS",IF(E32-AP32&gt;100,E32-AP32-1000+$AD$17,E32-AP32+$AD$17),IF(E32-AP32&gt;100,E32-AP32-1000,E32-AP32))),"-"))</f>
        <v>-</v>
      </c>
      <c r="B32" s="46">
        <v>30</v>
      </c>
      <c r="C32" s="19" t="str">
        <f>IF(E32="","",COUNTA($E$3:E32))</f>
        <v/>
      </c>
      <c r="D32" s="18" t="str">
        <f t="shared" si="0"/>
        <v/>
      </c>
      <c r="E32" s="30"/>
      <c r="F32" s="44" t="str">
        <f>IFERROR(IF(VLOOKUP(E32,Расчет!$A$2:$B$650,2,FALSE)="664W","Camry",IF(VLOOKUP(E32,Расчет!$A$2:$B$650,2,FALSE)="813W","Goshi","RAV4")),"")</f>
        <v/>
      </c>
      <c r="G32" s="32" t="str">
        <f>IFERROR(IF(F32="Camry",VLOOKUP(E32,Расчет!$A$2:$Q$650,17,FALSE),VLOOKUP(E32,Расчет!$A$2:$R$650,18,FALSE)),"")</f>
        <v/>
      </c>
      <c r="H32" s="32" t="str">
        <f>IFERROR(VLOOKUP(VLOOKUP(E32,Расчет!$A:$D,4,FALSE),$AT$6:$AV$15,3,FALSE),"")</f>
        <v/>
      </c>
      <c r="I32" s="31" t="str">
        <f>IFERROR(VLOOKUP(IFERROR(VLOOKUP(E32,Расчет!$A$2:$D$650,4,FALSE),0),$AT$3:$AU$15,2,FALSE),"")</f>
        <v/>
      </c>
      <c r="J32" s="33" t="str">
        <f>IFERROR(VLOOKUP(E32,Расчет!$A$2:$E$650,5,FALSE),"")</f>
        <v/>
      </c>
      <c r="K32" s="189"/>
      <c r="L32" s="188">
        <f t="shared" si="10"/>
        <v>0</v>
      </c>
      <c r="M32" s="9"/>
      <c r="N32" s="40" t="str">
        <f>IF(AND(IFERROR(VLOOKUP(R32,Расчет!A:J,10,FALSE),"  ")&lt;&gt;"  ",IFERROR(LEFT(VLOOKUP(R32,Расчет!A:J,10,FALSE),1)," ")&lt;&gt;"H"),0,IFERROR(IF(S32="Camry",IF(OR(W32="2PS",W32="2QL"),IF(R32-AP135&gt;100,R32-AP135-1000+$AD$12,R32-AP135+$AD$12),IF(R32-AP135&gt;100,R32-AP135-1000,R32-AP135)),IF(W32="2PS",IF(R32-AP135&gt;100,R32-AP135-1000+$AD$17,R32-AP135+$AD$17),IF(R32-AP135&gt;100,R32-AP135-1000,R32-AP135))),"-"))</f>
        <v>-</v>
      </c>
      <c r="O32" s="46">
        <v>133</v>
      </c>
      <c r="P32" s="19" t="str">
        <f>IF(R32="","",COUNTA($R$3:R32)+$C$105)</f>
        <v/>
      </c>
      <c r="Q32" s="18" t="str">
        <f t="shared" si="1"/>
        <v/>
      </c>
      <c r="R32" s="30"/>
      <c r="S32" s="45" t="str">
        <f>IFERROR(IF(VLOOKUP(R32,Расчет!$A$2:$B$650,2,FALSE)="664W","Camry",IF(VLOOKUP(R32,Расчет!$A$2:$B$650,2,FALSE)="813W","Goshi","RAV4")),"")</f>
        <v/>
      </c>
      <c r="T32" s="32" t="str">
        <f>IFERROR(IF(S32="Camry",VLOOKUP(R32,Расчет!$A$2:$Q$650,17,FALSE),VLOOKUP(R32,Расчет!$A$2:$R$650,18,FALSE)),"")</f>
        <v/>
      </c>
      <c r="U32" s="32" t="str">
        <f>IFERROR(VLOOKUP(VLOOKUP(R32,Расчет!$A:$D,4,FALSE),$AT$6:$AV$15,3,FALSE),"")</f>
        <v/>
      </c>
      <c r="V32" s="31" t="str">
        <f>IFERROR(VLOOKUP(IFERROR(VLOOKUP(R32,Расчет!$A$2:$D$650,4,FALSE),0),$AT$3:$AU$15,2,FALSE),"")</f>
        <v/>
      </c>
      <c r="W32" s="33" t="str">
        <f>IFERROR(VLOOKUP(R32,Расчет!$A$2:$E$650,5,FALSE),"")</f>
        <v/>
      </c>
      <c r="X32" s="189"/>
      <c r="Y32" s="191">
        <f t="shared" si="11"/>
        <v>0</v>
      </c>
      <c r="Z32" s="156" t="str">
        <f>IFERROR(IF(VLOOKUP(AC32,Расчет!$A$2:$B$236,2,FALSE)="831W","RAV4","Camry"),"-")</f>
        <v>-</v>
      </c>
      <c r="AA32" s="166" t="str">
        <f>IFERROR(VLOOKUP(AC32,Расчет!$A$2:$E$236,5,FALSE),"-")</f>
        <v>-</v>
      </c>
      <c r="AB32" s="160" t="str">
        <f>IFERROR(SMALL($BT$5:$BT$500,9),"")</f>
        <v/>
      </c>
      <c r="AC32" s="163" t="str">
        <f>IF(VLOOKUP2($BP$5:$BQ$500,1,AB32,COUNTIF($AB$24:AB32,AB32),2)=0,"-",VLOOKUP2($BP$5:$BQ$500,1,AB32,COUNTIF($AB$24:AB32,AB32),2))</f>
        <v>-</v>
      </c>
      <c r="AD32" s="147" t="str">
        <f>IFERROR(VLOOKUP(AC32,Расчет!$BS:$BT,2,FALSE),"")</f>
        <v/>
      </c>
      <c r="AE32" s="89">
        <v>30</v>
      </c>
      <c r="AF32" s="44" t="str">
        <f>IF(VLOOKUP(AE32,Расчет!$AH$2:$AN$201,5,FALSE)="8","C",IF(VLOOKUP(AE32,Расчет!$AH$2:$AN$201,5,FALSE)="G","G","R"))</f>
        <v>R</v>
      </c>
      <c r="AG32" s="73" t="str">
        <f t="shared" si="2"/>
        <v/>
      </c>
      <c r="AH32" s="87" t="str">
        <f>IF(AG32="","",COUNTIF($AG$2:AG32,"C")-COUNTIF($AF$2:AF32,"C")+$AH$1)</f>
        <v/>
      </c>
      <c r="AI32" s="87" t="str">
        <f>IF(AG32="","",COUNTIF($AG$2:AG32,"R")-COUNTIF($AF$2:AF32,"R")+$AI$1)</f>
        <v/>
      </c>
      <c r="AJ32" s="89">
        <v>133</v>
      </c>
      <c r="AK32" s="44" t="str">
        <f>IF(VLOOKUP(AJ32,Расчет!$AH$2:$AN$211,5,FALSE)="8","C",IF(VLOOKUP(AJ32,Расчет!$AH$2:$AN$211,5,FALSE)="G","G","R"))</f>
        <v>R</v>
      </c>
      <c r="AL32" s="74" t="str">
        <f t="shared" si="3"/>
        <v/>
      </c>
      <c r="AM32" s="118" t="str">
        <f>IF(AL32="","",(COUNTIF($AG$2:$AG$105,"C")+COUNTIF($AL$2:$AL32,"C"))-(COUNTIF($AF$2:$AF$105,"C")+COUNTIF($AK$2:$AK32,"C"))+$AH$1)</f>
        <v/>
      </c>
      <c r="AN32" s="119" t="str">
        <f>IF(AL32="","",(COUNTIF($AG$2:$AG$105,"R")+COUNTIF($AL$2:$AL32,"R"))-(COUNTIF($AF$2:$AF$105,"R")+COUNTIF($AK$2:$AK32,"R"))+$AI$1)</f>
        <v/>
      </c>
      <c r="AO32" s="22" t="str">
        <f>IF(E32="","",COUNTA($E$3:E32)+$Z$1)</f>
        <v/>
      </c>
      <c r="AP32" s="88" t="str">
        <f>IF(AO32="","",IF(AO32+Расчет!$Y$57+$BD$2-Расчет!$X$57&gt;200,AO32+Расчет!$Y$57+$BD$2-1000,AO32+Расчет!$Y$57+$BD$2))</f>
        <v/>
      </c>
      <c r="AR32" s="92"/>
      <c r="AS32" s="92"/>
      <c r="AW32" s="48"/>
      <c r="AX32" s="726" t="s">
        <v>27</v>
      </c>
      <c r="AY32" s="727"/>
      <c r="AZ32" s="730" t="s">
        <v>18</v>
      </c>
      <c r="BA32" s="727"/>
      <c r="BB32" s="730" t="s">
        <v>27</v>
      </c>
      <c r="BC32" s="727"/>
      <c r="BD32" s="730" t="s">
        <v>93</v>
      </c>
      <c r="BE32" s="727"/>
      <c r="BF32" s="730" t="s">
        <v>53</v>
      </c>
      <c r="BG32" s="732"/>
      <c r="BH32" s="48"/>
      <c r="BI32" s="48"/>
      <c r="BJ32" s="48"/>
      <c r="BK32" s="48"/>
      <c r="BL32" s="172">
        <f>COUNTIF($BM$5:BM32,"&lt;-115")</f>
        <v>0</v>
      </c>
      <c r="BM32" s="154" t="str">
        <f>IFERROR(IF(OR(IFERROR(VLOOKUP(BN32,$E$3:$E$105,1,FALSE),"0")=BN32,IFERROR(VLOOKUP(BN32,$R$3:$R$105,1,FALSE),"0")=BN32),BO32,IF(OR(VLOOKUP(BN32,Расчет!A:E,5,FALSE)="2PS",VLOOKUP(BN32,Расчет!A:E,5,FALSE)="2QL"),IF(VLOOKUP(BN32,Расчет!A:B,2,FALSE)="831W",BN32-$BS$7+$AD$17,BN32-$BS$7+$AD$12),BN32-$BS$7)),"-")</f>
        <v>-</v>
      </c>
      <c r="BN32" s="154" t="str">
        <f>IF(OR(Расчет!C29="A0",Расчет!C29="P9",Расчет!B29="722W"),"-",Расчет!A29)</f>
        <v>-</v>
      </c>
      <c r="BO32" s="173">
        <f t="shared" si="15"/>
        <v>0</v>
      </c>
      <c r="BP32" s="172" t="str">
        <f>IF(BQ32="-","-",IFERROR(IF(OR(VLOOKUP(BN32,Расчет!$A$2:$E$582,5,FALSE)="2PS",VLOOKUP(BN32,Расчет!$A$2:$E$582,5,FALSE)="2QL"),IF(OR(VLOOKUP(BN32,Расчет!$A$2:$E$582,2,FALSE)="664W",VLOOKUP(BN32,Расчет!$A$2:$E$582,2,FALSE)="813W"),IF(BN32-$BS$7&gt;150,BN32-$BS$7-1000+$AD$12,BN32-$BS$7+$AD$12),IF(BN32-$BS$7&gt;150,BN32-$BS$7-1000+$AD$17,BN32-$BS$7+$AD$17)),IF(BN32-$BS$7&gt;150,BN32-$BS$7-1000,BN32-$BS$7)),"-"))</f>
        <v>-</v>
      </c>
      <c r="BQ32" s="173" t="str">
        <f t="shared" si="12"/>
        <v>-</v>
      </c>
      <c r="BR32" s="453"/>
      <c r="BS32" s="171"/>
      <c r="BT32" s="464" t="str">
        <f t="shared" si="13"/>
        <v>-</v>
      </c>
      <c r="BU32" s="464" t="str">
        <f t="shared" si="14"/>
        <v>-</v>
      </c>
      <c r="BX32" s="204">
        <f>COUNTIF($BY$4:BY32,"&lt;100")</f>
        <v>0</v>
      </c>
      <c r="BY32" s="213" t="str">
        <f t="shared" si="4"/>
        <v/>
      </c>
      <c r="BZ32" s="216" t="str">
        <f t="shared" si="5"/>
        <v/>
      </c>
      <c r="CA32" s="213" t="e">
        <f t="shared" si="6"/>
        <v>#N/A</v>
      </c>
      <c r="CB32" s="209" t="e">
        <f t="shared" si="7"/>
        <v>#N/A</v>
      </c>
      <c r="CC32" s="205" t="str">
        <f t="shared" si="16"/>
        <v/>
      </c>
      <c r="CD32" s="205" t="str">
        <f t="shared" si="8"/>
        <v>-</v>
      </c>
      <c r="CE32" s="205">
        <f t="shared" si="17"/>
        <v>0</v>
      </c>
      <c r="CG32" s="20" t="str">
        <f t="shared" si="25"/>
        <v/>
      </c>
    </row>
    <row r="33" spans="1:85" ht="23.1" customHeight="1" thickBot="1">
      <c r="A33" s="40" t="str">
        <f>IF(AND(IFERROR(VLOOKUP(E33,Расчет!A:J,10,FALSE),"  ")&lt;&gt;"  ",IFERROR(LEFT(VLOOKUP(E33,Расчет!A:J,10,FALSE),1)," ")&lt;&gt;"H"),0,IFERROR(IF(F33="Camry",IF(OR(J33="2PS",J33="2QL"),IF(E33-AP33&gt;100,E33-AP33-1000+$AD$12,E33-AP33+$AD$12),IF(E33-AP33&gt;100,E33-AP33-1000,E33-AP33)),IF(J33="2PS",IF(E33-AP33&gt;100,E33-AP33-1000+$AD$17,E33-AP33+$AD$17),IF(E33-AP33&gt;100,E33-AP33-1000,E33-AP33))),"-"))</f>
        <v>-</v>
      </c>
      <c r="B33" s="46">
        <v>31</v>
      </c>
      <c r="C33" s="19" t="str">
        <f>IF(E33="","",COUNTA($E$3:E33))</f>
        <v/>
      </c>
      <c r="D33" s="18" t="str">
        <f t="shared" si="0"/>
        <v/>
      </c>
      <c r="E33" s="30"/>
      <c r="F33" s="44" t="str">
        <f>IFERROR(IF(VLOOKUP(E33,Расчет!$A$2:$B$650,2,FALSE)="664W","Camry",IF(VLOOKUP(E33,Расчет!$A$2:$B$650,2,FALSE)="813W","Goshi","RAV4")),"")</f>
        <v/>
      </c>
      <c r="G33" s="32" t="str">
        <f>IFERROR(IF(F33="Camry",VLOOKUP(E33,Расчет!$A$2:$Q$650,17,FALSE),VLOOKUP(E33,Расчет!$A$2:$R$650,18,FALSE)),"")</f>
        <v/>
      </c>
      <c r="H33" s="32" t="str">
        <f>IFERROR(VLOOKUP(VLOOKUP(E33,Расчет!$A:$D,4,FALSE),$AT$6:$AV$15,3,FALSE),"")</f>
        <v/>
      </c>
      <c r="I33" s="31" t="str">
        <f>IFERROR(VLOOKUP(IFERROR(VLOOKUP(E33,Расчет!$A$2:$D$650,4,FALSE),0),$AT$3:$AU$15,2,FALSE),"")</f>
        <v/>
      </c>
      <c r="J33" s="33" t="str">
        <f>IFERROR(VLOOKUP(E33,Расчет!$A$2:$E$650,5,FALSE),"")</f>
        <v/>
      </c>
      <c r="K33" s="189"/>
      <c r="L33" s="188">
        <f t="shared" si="10"/>
        <v>0</v>
      </c>
      <c r="M33" s="9"/>
      <c r="N33" s="40" t="str">
        <f>IF(AND(IFERROR(VLOOKUP(R33,Расчет!A:J,10,FALSE),"  ")&lt;&gt;"  ",IFERROR(LEFT(VLOOKUP(R33,Расчет!A:J,10,FALSE),1)," ")&lt;&gt;"H"),0,IFERROR(IF(S33="Camry",IF(OR(W33="2PS",W33="2QL"),IF(R33-AP136&gt;100,R33-AP136-1000+$AD$12,R33-AP136+$AD$12),IF(R33-AP136&gt;100,R33-AP136-1000,R33-AP136)),IF(W33="2PS",IF(R33-AP136&gt;100,R33-AP136-1000+$AD$17,R33-AP136+$AD$17),IF(R33-AP136&gt;100,R33-AP136-1000,R33-AP136))),"-"))</f>
        <v>-</v>
      </c>
      <c r="O33" s="46">
        <v>134</v>
      </c>
      <c r="P33" s="19" t="str">
        <f>IF(R33="","",COUNTA($R$3:R33)+$C$105)</f>
        <v/>
      </c>
      <c r="Q33" s="18" t="str">
        <f t="shared" si="1"/>
        <v/>
      </c>
      <c r="R33" s="30"/>
      <c r="S33" s="45" t="str">
        <f>IFERROR(IF(VLOOKUP(R33,Расчет!$A$2:$B$650,2,FALSE)="664W","Camry",IF(VLOOKUP(R33,Расчет!$A$2:$B$650,2,FALSE)="813W","Goshi","RAV4")),"")</f>
        <v/>
      </c>
      <c r="T33" s="32" t="str">
        <f>IFERROR(IF(S33="Camry",VLOOKUP(R33,Расчет!$A$2:$Q$650,17,FALSE),VLOOKUP(R33,Расчет!$A$2:$R$650,18,FALSE)),"")</f>
        <v/>
      </c>
      <c r="U33" s="32" t="str">
        <f>IFERROR(VLOOKUP(VLOOKUP(R33,Расчет!$A:$D,4,FALSE),$AT$6:$AV$15,3,FALSE),"")</f>
        <v/>
      </c>
      <c r="V33" s="31" t="str">
        <f>IFERROR(VLOOKUP(IFERROR(VLOOKUP(R33,Расчет!$A$2:$D$650,4,FALSE),0),$AT$3:$AU$15,2,FALSE),"")</f>
        <v/>
      </c>
      <c r="W33" s="33" t="str">
        <f>IFERROR(VLOOKUP(R33,Расчет!$A$2:$E$650,5,FALSE),"")</f>
        <v/>
      </c>
      <c r="X33" s="189"/>
      <c r="Y33" s="191">
        <f t="shared" si="11"/>
        <v>0</v>
      </c>
      <c r="Z33" s="613" t="s">
        <v>146</v>
      </c>
      <c r="AA33" s="688"/>
      <c r="AB33" s="688"/>
      <c r="AC33" s="688"/>
      <c r="AD33" s="614"/>
      <c r="AE33" s="89">
        <v>31</v>
      </c>
      <c r="AF33" s="44" t="str">
        <f>IF(VLOOKUP(AE33,Расчет!$AH$2:$AN$201,5,FALSE)="8","C",IF(VLOOKUP(AE33,Расчет!$AH$2:$AN$201,5,FALSE)="G","G","R"))</f>
        <v>C</v>
      </c>
      <c r="AG33" s="73" t="str">
        <f t="shared" si="2"/>
        <v/>
      </c>
      <c r="AH33" s="87" t="str">
        <f>IF(AG33="","",COUNTIF($AG$2:AG33,"C")-COUNTIF($AF$2:AF33,"C")+$AH$1)</f>
        <v/>
      </c>
      <c r="AI33" s="87" t="str">
        <f>IF(AG33="","",COUNTIF($AG$2:AG33,"R")-COUNTIF($AF$2:AF33,"R")+$AI$1)</f>
        <v/>
      </c>
      <c r="AJ33" s="89">
        <v>134</v>
      </c>
      <c r="AK33" s="44" t="str">
        <f>IF(VLOOKUP(AJ33,Расчет!$AH$2:$AN$211,5,FALSE)="8","C",IF(VLOOKUP(AJ33,Расчет!$AH$2:$AN$211,5,FALSE)="G","G","R"))</f>
        <v>C</v>
      </c>
      <c r="AL33" s="74" t="str">
        <f t="shared" si="3"/>
        <v/>
      </c>
      <c r="AM33" s="118" t="str">
        <f>IF(AL33="","",(COUNTIF($AG$2:$AG$105,"C")+COUNTIF($AL$2:$AL33,"C"))-(COUNTIF($AF$2:$AF$105,"C")+COUNTIF($AK$2:$AK33,"C"))+$AH$1)</f>
        <v/>
      </c>
      <c r="AN33" s="119" t="str">
        <f>IF(AL33="","",(COUNTIF($AG$2:$AG$105,"R")+COUNTIF($AL$2:$AL33,"R"))-(COUNTIF($AF$2:$AF$105,"R")+COUNTIF($AK$2:$AK33,"R"))+$AI$1)</f>
        <v/>
      </c>
      <c r="AO33" s="22" t="str">
        <f>IF(E33="","",COUNTA($E$3:E33)+$Z$1)</f>
        <v/>
      </c>
      <c r="AP33" s="88" t="str">
        <f>IF(AO33="","",IF(AO33+Расчет!$Y$57+$BD$2-Расчет!$X$57&gt;200,AO33+Расчет!$Y$57+$BD$2-1000,AO33+Расчет!$Y$57+$BD$2))</f>
        <v/>
      </c>
      <c r="AR33" s="92"/>
      <c r="AS33" s="92"/>
      <c r="AW33" s="48"/>
      <c r="AX33" s="728"/>
      <c r="AY33" s="729"/>
      <c r="AZ33" s="731"/>
      <c r="BA33" s="729"/>
      <c r="BB33" s="731"/>
      <c r="BC33" s="729"/>
      <c r="BD33" s="731" t="s">
        <v>92</v>
      </c>
      <c r="BE33" s="729"/>
      <c r="BF33" s="731" t="s">
        <v>92</v>
      </c>
      <c r="BG33" s="733"/>
      <c r="BH33" s="48"/>
      <c r="BI33" s="48"/>
      <c r="BJ33" s="48"/>
      <c r="BK33" s="48"/>
      <c r="BL33" s="172">
        <f>COUNTIF($BM$5:BM33,"&lt;-115")</f>
        <v>0</v>
      </c>
      <c r="BM33" s="154" t="str">
        <f>IFERROR(IF(OR(IFERROR(VLOOKUP(BN33,$E$3:$E$105,1,FALSE),"0")=BN33,IFERROR(VLOOKUP(BN33,$R$3:$R$105,1,FALSE),"0")=BN33),BO33,IF(OR(VLOOKUP(BN33,Расчет!A:E,5,FALSE)="2PS",VLOOKUP(BN33,Расчет!A:E,5,FALSE)="2QL"),IF(VLOOKUP(BN33,Расчет!A:B,2,FALSE)="831W",BN33-$BS$7+$AD$17,BN33-$BS$7+$AD$12),BN33-$BS$7)),"-")</f>
        <v>-</v>
      </c>
      <c r="BN33" s="154">
        <f>IF(OR(Расчет!C30="A0",Расчет!C30="P9",Расчет!B30="722W"),"-",Расчет!A30)</f>
        <v>11175</v>
      </c>
      <c r="BO33" s="173">
        <f t="shared" si="15"/>
        <v>0</v>
      </c>
      <c r="BP33" s="172" t="str">
        <f>IF(BQ33="-","-",IFERROR(IF(OR(VLOOKUP(BN33,Расчет!$A$2:$E$582,5,FALSE)="2PS",VLOOKUP(BN33,Расчет!$A$2:$E$582,5,FALSE)="2QL"),IF(OR(VLOOKUP(BN33,Расчет!$A$2:$E$582,2,FALSE)="664W",VLOOKUP(BN33,Расчет!$A$2:$E$582,2,FALSE)="813W"),IF(BN33-$BS$7&gt;150,BN33-$BS$7-1000+$AD$12,BN33-$BS$7+$AD$12),IF(BN33-$BS$7&gt;150,BN33-$BS$7-1000+$AD$17,BN33-$BS$7+$AD$17)),IF(BN33-$BS$7&gt;150,BN33-$BS$7-1000,BN33-$BS$7)),"-"))</f>
        <v>-</v>
      </c>
      <c r="BQ33" s="173">
        <f t="shared" si="12"/>
        <v>11175</v>
      </c>
      <c r="BR33" s="453"/>
      <c r="BS33" s="171"/>
      <c r="BT33" s="464" t="str">
        <f t="shared" si="13"/>
        <v>-</v>
      </c>
      <c r="BU33" s="464" t="str">
        <f t="shared" si="14"/>
        <v>-</v>
      </c>
      <c r="BX33" s="204">
        <f>COUNTIF($BY$4:BY33,"&lt;100")</f>
        <v>0</v>
      </c>
      <c r="BY33" s="213" t="str">
        <f t="shared" si="4"/>
        <v/>
      </c>
      <c r="BZ33" s="216" t="str">
        <f t="shared" si="5"/>
        <v/>
      </c>
      <c r="CA33" s="213" t="e">
        <f t="shared" si="6"/>
        <v>#N/A</v>
      </c>
      <c r="CB33" s="209" t="e">
        <f t="shared" si="7"/>
        <v>#N/A</v>
      </c>
      <c r="CC33" s="205" t="str">
        <f t="shared" si="16"/>
        <v/>
      </c>
      <c r="CD33" s="205" t="str">
        <f t="shared" si="8"/>
        <v>-</v>
      </c>
      <c r="CE33" s="205">
        <f t="shared" si="17"/>
        <v>0</v>
      </c>
      <c r="CG33" s="20" t="str">
        <f t="shared" si="25"/>
        <v/>
      </c>
    </row>
    <row r="34" spans="1:85" ht="22.5" customHeight="1" thickBot="1">
      <c r="A34" s="40" t="str">
        <f>IF(AND(IFERROR(VLOOKUP(E34,Расчет!A:J,10,FALSE),"  ")&lt;&gt;"  ",IFERROR(LEFT(VLOOKUP(E34,Расчет!A:J,10,FALSE),1)," ")&lt;&gt;"H"),0,IFERROR(IF(F34="Camry",IF(OR(J34="2PS",J34="2QL"),IF(E34-AP34&gt;100,E34-AP34-1000+$AD$12,E34-AP34+$AD$12),IF(E34-AP34&gt;100,E34-AP34-1000,E34-AP34)),IF(J34="2PS",IF(E34-AP34&gt;100,E34-AP34-1000+$AD$17,E34-AP34+$AD$17),IF(E34-AP34&gt;100,E34-AP34-1000,E34-AP34))),"-"))</f>
        <v>-</v>
      </c>
      <c r="B34" s="46">
        <v>32</v>
      </c>
      <c r="C34" s="19" t="str">
        <f>IF(E34="","",COUNTA($E$3:E34))</f>
        <v/>
      </c>
      <c r="D34" s="18" t="str">
        <f t="shared" si="0"/>
        <v/>
      </c>
      <c r="E34" s="30"/>
      <c r="F34" s="44" t="str">
        <f>IFERROR(IF(VLOOKUP(E34,Расчет!$A$2:$B$650,2,FALSE)="664W","Camry",IF(VLOOKUP(E34,Расчет!$A$2:$B$650,2,FALSE)="813W","Goshi","RAV4")),"")</f>
        <v/>
      </c>
      <c r="G34" s="32" t="str">
        <f>IFERROR(IF(F34="Camry",VLOOKUP(E34,Расчет!$A$2:$Q$650,17,FALSE),VLOOKUP(E34,Расчет!$A$2:$R$650,18,FALSE)),"")</f>
        <v/>
      </c>
      <c r="H34" s="32" t="str">
        <f>IFERROR(VLOOKUP(VLOOKUP(E34,Расчет!$A:$D,4,FALSE),$AT$6:$AV$15,3,FALSE),"")</f>
        <v/>
      </c>
      <c r="I34" s="31" t="str">
        <f>IFERROR(VLOOKUP(IFERROR(VLOOKUP(E34,Расчет!$A$2:$D$650,4,FALSE),0),$AT$3:$AU$15,2,FALSE),"")</f>
        <v/>
      </c>
      <c r="J34" s="33" t="str">
        <f>IFERROR(VLOOKUP(E34,Расчет!$A$2:$E$650,5,FALSE),"")</f>
        <v/>
      </c>
      <c r="K34" s="189"/>
      <c r="L34" s="188">
        <f t="shared" si="10"/>
        <v>0</v>
      </c>
      <c r="M34" s="38"/>
      <c r="N34" s="40" t="str">
        <f>IF(AND(IFERROR(VLOOKUP(R34,Расчет!A:J,10,FALSE),"  ")&lt;&gt;"  ",IFERROR(LEFT(VLOOKUP(R34,Расчет!A:J,10,FALSE),1)," ")&lt;&gt;"H"),0,IFERROR(IF(S34="Camry",IF(OR(W34="2PS",W34="2QL"),IF(R34-AP137&gt;100,R34-AP137-1000+$AD$12,R34-AP137+$AD$12),IF(R34-AP137&gt;100,R34-AP137-1000,R34-AP137)),IF(W34="2PS",IF(R34-AP137&gt;100,R34-AP137-1000+$AD$17,R34-AP137+$AD$17),IF(R34-AP137&gt;100,R34-AP137-1000,R34-AP137))),"-"))</f>
        <v>-</v>
      </c>
      <c r="O34" s="46">
        <v>135</v>
      </c>
      <c r="P34" s="19" t="str">
        <f>IF(R34="","",COUNTA($R$3:R34)+$C$105)</f>
        <v/>
      </c>
      <c r="Q34" s="18" t="str">
        <f t="shared" si="1"/>
        <v/>
      </c>
      <c r="R34" s="30"/>
      <c r="S34" s="45" t="str">
        <f>IFERROR(IF(VLOOKUP(R34,Расчет!$A$2:$B$650,2,FALSE)="664W","Camry",IF(VLOOKUP(R34,Расчет!$A$2:$B$650,2,FALSE)="813W","Goshi","RAV4")),"")</f>
        <v/>
      </c>
      <c r="T34" s="32" t="str">
        <f>IFERROR(IF(S34="Camry",VLOOKUP(R34,Расчет!$A$2:$Q$650,17,FALSE),VLOOKUP(R34,Расчет!$A$2:$R$650,18,FALSE)),"")</f>
        <v/>
      </c>
      <c r="U34" s="32" t="str">
        <f>IFERROR(VLOOKUP(VLOOKUP(R34,Расчет!$A:$D,4,FALSE),$AT$6:$AV$15,3,FALSE),"")</f>
        <v/>
      </c>
      <c r="V34" s="31" t="str">
        <f>IFERROR(VLOOKUP(IFERROR(VLOOKUP(R34,Расчет!$A$2:$D$650,4,FALSE),0),$AT$3:$AU$15,2,FALSE),"")</f>
        <v/>
      </c>
      <c r="W34" s="33" t="str">
        <f>IFERROR(VLOOKUP(R34,Расчет!$A$2:$E$650,5,FALSE),"")</f>
        <v/>
      </c>
      <c r="X34" s="189"/>
      <c r="Y34" s="191">
        <f t="shared" si="11"/>
        <v>0</v>
      </c>
      <c r="Z34" s="146" t="s">
        <v>27</v>
      </c>
      <c r="AA34" s="161" t="s">
        <v>8</v>
      </c>
      <c r="AB34" s="155" t="s">
        <v>137</v>
      </c>
      <c r="AC34" s="155" t="s">
        <v>26</v>
      </c>
      <c r="AD34" s="155" t="s">
        <v>132</v>
      </c>
      <c r="AE34" s="89">
        <v>32</v>
      </c>
      <c r="AF34" s="44" t="str">
        <f>IF(VLOOKUP(AE34,Расчет!$AH$2:$AN$201,5,FALSE)="8","C",IF(VLOOKUP(AE34,Расчет!$AH$2:$AN$201,5,FALSE)="G","G","R"))</f>
        <v>R</v>
      </c>
      <c r="AG34" s="73" t="str">
        <f t="shared" si="2"/>
        <v/>
      </c>
      <c r="AH34" s="87" t="str">
        <f>IF(AG34="","",COUNTIF($AG$2:AG34,"C")-COUNTIF($AF$2:AF34,"C")+$AH$1)</f>
        <v/>
      </c>
      <c r="AI34" s="87" t="str">
        <f>IF(AG34="","",COUNTIF($AG$2:AG34,"R")-COUNTIF($AF$2:AF34,"R")+$AI$1)</f>
        <v/>
      </c>
      <c r="AJ34" s="89">
        <v>135</v>
      </c>
      <c r="AK34" s="44" t="str">
        <f>IF(VLOOKUP(AJ34,Расчет!$AH$2:$AN$211,5,FALSE)="8","C",IF(VLOOKUP(AJ34,Расчет!$AH$2:$AN$211,5,FALSE)="G","G","R"))</f>
        <v>R</v>
      </c>
      <c r="AL34" s="74" t="str">
        <f t="shared" si="3"/>
        <v/>
      </c>
      <c r="AM34" s="118" t="str">
        <f>IF(AL34="","",(COUNTIF($AG$2:$AG$105,"C")+COUNTIF($AL$2:$AL34,"C"))-(COUNTIF($AF$2:$AF$105,"C")+COUNTIF($AK$2:$AK34,"C"))+$AH$1)</f>
        <v/>
      </c>
      <c r="AN34" s="119" t="str">
        <f>IF(AL34="","",(COUNTIF($AG$2:$AG$105,"R")+COUNTIF($AL$2:$AL34,"R"))-(COUNTIF($AF$2:$AF$105,"R")+COUNTIF($AK$2:$AK34,"R"))+$AI$1)</f>
        <v/>
      </c>
      <c r="AO34" s="22" t="str">
        <f>IF(E34="","",COUNTA($E$3:E34)+$Z$1)</f>
        <v/>
      </c>
      <c r="AP34" s="88" t="str">
        <f>IF(AO34="","",IF(AO34+Расчет!$Y$57+$BD$2-Расчет!$X$57&gt;200,AO34+Расчет!$Y$57+$BD$2-1000,AO34+Расчет!$Y$57+$BD$2))</f>
        <v/>
      </c>
      <c r="AR34" s="92"/>
      <c r="AS34" s="92"/>
      <c r="AW34" s="48"/>
      <c r="AX34" s="736" t="s">
        <v>30</v>
      </c>
      <c r="AY34" s="678"/>
      <c r="AZ34" s="706">
        <f>BF34*AZ28</f>
        <v>83.6</v>
      </c>
      <c r="BA34" s="707"/>
      <c r="BB34" s="677" t="s">
        <v>30</v>
      </c>
      <c r="BC34" s="678"/>
      <c r="BD34" s="706">
        <f>COUNTIF(Расчет!AD:AD,"664W")+COUNTIF(Расчет!AD:AD,"813W")</f>
        <v>83</v>
      </c>
      <c r="BE34" s="707"/>
      <c r="BF34" s="706">
        <f>BD34+BD36</f>
        <v>190</v>
      </c>
      <c r="BG34" s="710"/>
      <c r="BH34" s="48"/>
      <c r="BI34" s="48"/>
      <c r="BJ34" s="48"/>
      <c r="BK34" s="48"/>
      <c r="BL34" s="172">
        <f>COUNTIF($BM$5:BM34,"&lt;-115")</f>
        <v>0</v>
      </c>
      <c r="BM34" s="154" t="str">
        <f>IFERROR(IF(OR(IFERROR(VLOOKUP(BN34,$E$3:$E$105,1,FALSE),"0")=BN34,IFERROR(VLOOKUP(BN34,$R$3:$R$105,1,FALSE),"0")=BN34),BO34,IF(OR(VLOOKUP(BN34,Расчет!A:E,5,FALSE)="2PS",VLOOKUP(BN34,Расчет!A:E,5,FALSE)="2QL"),IF(VLOOKUP(BN34,Расчет!A:B,2,FALSE)="831W",BN34-$BS$7+$AD$17,BN34-$BS$7+$AD$12),BN34-$BS$7)),"-")</f>
        <v>-</v>
      </c>
      <c r="BN34" s="154">
        <f>IF(OR(Расчет!C31="A0",Расчет!C31="P9",Расчет!B31="722W"),"-",Расчет!A31)</f>
        <v>11176</v>
      </c>
      <c r="BO34" s="173">
        <f t="shared" si="15"/>
        <v>0</v>
      </c>
      <c r="BP34" s="172" t="str">
        <f>IF(BQ34="-","-",IFERROR(IF(OR(VLOOKUP(BN34,Расчет!$A$2:$E$582,5,FALSE)="2PS",VLOOKUP(BN34,Расчет!$A$2:$E$582,5,FALSE)="2QL"),IF(OR(VLOOKUP(BN34,Расчет!$A$2:$E$582,2,FALSE)="664W",VLOOKUP(BN34,Расчет!$A$2:$E$582,2,FALSE)="813W"),IF(BN34-$BS$7&gt;150,BN34-$BS$7-1000+$AD$12,BN34-$BS$7+$AD$12),IF(BN34-$BS$7&gt;150,BN34-$BS$7-1000+$AD$17,BN34-$BS$7+$AD$17)),IF(BN34-$BS$7&gt;150,BN34-$BS$7-1000,BN34-$BS$7)),"-"))</f>
        <v>-</v>
      </c>
      <c r="BQ34" s="173">
        <f t="shared" si="12"/>
        <v>11176</v>
      </c>
      <c r="BR34" s="453"/>
      <c r="BS34" s="171"/>
      <c r="BT34" s="464" t="str">
        <f t="shared" si="13"/>
        <v>-</v>
      </c>
      <c r="BU34" s="464" t="str">
        <f t="shared" si="14"/>
        <v>-</v>
      </c>
      <c r="BX34" s="204">
        <f>COUNTIF($BY$4:BY34,"&lt;100")</f>
        <v>0</v>
      </c>
      <c r="BY34" s="213" t="str">
        <f t="shared" si="4"/>
        <v/>
      </c>
      <c r="BZ34" s="216" t="str">
        <f t="shared" si="5"/>
        <v/>
      </c>
      <c r="CA34" s="213" t="e">
        <f t="shared" si="6"/>
        <v>#N/A</v>
      </c>
      <c r="CB34" s="209" t="e">
        <f t="shared" si="7"/>
        <v>#N/A</v>
      </c>
      <c r="CC34" s="205" t="str">
        <f t="shared" si="16"/>
        <v/>
      </c>
      <c r="CD34" s="205" t="str">
        <f t="shared" si="8"/>
        <v>-</v>
      </c>
      <c r="CE34" s="205">
        <f t="shared" si="17"/>
        <v>0</v>
      </c>
      <c r="CG34" s="20" t="str">
        <f t="shared" si="25"/>
        <v/>
      </c>
    </row>
    <row r="35" spans="1:85" ht="23.1" customHeight="1">
      <c r="A35" s="40" t="str">
        <f>IF(AND(IFERROR(VLOOKUP(E35,Расчет!A:J,10,FALSE),"  ")&lt;&gt;"  ",IFERROR(LEFT(VLOOKUP(E35,Расчет!A:J,10,FALSE),1)," ")&lt;&gt;"H"),0,IFERROR(IF(F35="Camry",IF(OR(J35="2PS",J35="2QL"),IF(E35-AP35&gt;100,E35-AP35-1000+$AD$12,E35-AP35+$AD$12),IF(E35-AP35&gt;100,E35-AP35-1000,E35-AP35)),IF(J35="2PS",IF(E35-AP35&gt;100,E35-AP35-1000+$AD$17,E35-AP35+$AD$17),IF(E35-AP35&gt;100,E35-AP35-1000,E35-AP35))),"-"))</f>
        <v>-</v>
      </c>
      <c r="B35" s="46">
        <v>33</v>
      </c>
      <c r="C35" s="19" t="str">
        <f>IF(E35="","",COUNTA($E$3:E35))</f>
        <v/>
      </c>
      <c r="D35" s="18" t="str">
        <f t="shared" si="0"/>
        <v/>
      </c>
      <c r="E35" s="30"/>
      <c r="F35" s="44" t="str">
        <f>IFERROR(IF(VLOOKUP(E35,Расчет!$A$2:$B$650,2,FALSE)="664W","Camry",IF(VLOOKUP(E35,Расчет!$A$2:$B$650,2,FALSE)="813W","Goshi","RAV4")),"")</f>
        <v/>
      </c>
      <c r="G35" s="32" t="str">
        <f>IFERROR(IF(F35="Camry",VLOOKUP(E35,Расчет!$A$2:$Q$650,17,FALSE),VLOOKUP(E35,Расчет!$A$2:$R$650,18,FALSE)),"")</f>
        <v/>
      </c>
      <c r="H35" s="32" t="str">
        <f>IFERROR(VLOOKUP(VLOOKUP(E35,Расчет!$A:$D,4,FALSE),$AT$6:$AV$15,3,FALSE),"")</f>
        <v/>
      </c>
      <c r="I35" s="31" t="str">
        <f>IFERROR(VLOOKUP(IFERROR(VLOOKUP(E35,Расчет!$A$2:$D$650,4,FALSE),0),$AT$3:$AU$15,2,FALSE),"")</f>
        <v/>
      </c>
      <c r="J35" s="33" t="str">
        <f>IFERROR(VLOOKUP(E35,Расчет!$A$2:$E$650,5,FALSE),"")</f>
        <v/>
      </c>
      <c r="K35" s="189"/>
      <c r="L35" s="188">
        <f t="shared" si="10"/>
        <v>0</v>
      </c>
      <c r="M35" s="38"/>
      <c r="N35" s="40" t="str">
        <f>IF(AND(IFERROR(VLOOKUP(R35,Расчет!A:J,10,FALSE),"  ")&lt;&gt;"  ",IFERROR(LEFT(VLOOKUP(R35,Расчет!A:J,10,FALSE),1)," ")&lt;&gt;"H"),0,IFERROR(IF(S35="Camry",IF(OR(W35="2PS",W35="2QL"),IF(R35-AP138&gt;100,R35-AP138-1000+$AD$12,R35-AP138+$AD$12),IF(R35-AP138&gt;100,R35-AP138-1000,R35-AP138)),IF(W35="2PS",IF(R35-AP138&gt;100,R35-AP138-1000+$AD$17,R35-AP138+$AD$17),IF(R35-AP138&gt;100,R35-AP138-1000,R35-AP138))),"-"))</f>
        <v>-</v>
      </c>
      <c r="O35" s="46">
        <v>136</v>
      </c>
      <c r="P35" s="19" t="str">
        <f>IF(R35="","",COUNTA($R$3:R35)+$C$105)</f>
        <v/>
      </c>
      <c r="Q35" s="18" t="str">
        <f t="shared" si="1"/>
        <v/>
      </c>
      <c r="R35" s="30"/>
      <c r="S35" s="45" t="str">
        <f>IFERROR(IF(VLOOKUP(R35,Расчет!$A$2:$B$650,2,FALSE)="664W","Camry",IF(VLOOKUP(R35,Расчет!$A$2:$B$650,2,FALSE)="813W","Goshi","RAV4")),"")</f>
        <v/>
      </c>
      <c r="T35" s="32" t="str">
        <f>IFERROR(IF(S35="Camry",VLOOKUP(R35,Расчет!$A$2:$Q$650,17,FALSE),VLOOKUP(R35,Расчет!$A$2:$R$650,18,FALSE)),"")</f>
        <v/>
      </c>
      <c r="U35" s="32" t="str">
        <f>IFERROR(VLOOKUP(VLOOKUP(R35,Расчет!$A:$D,4,FALSE),$AT$6:$AV$15,3,FALSE),"")</f>
        <v/>
      </c>
      <c r="V35" s="31" t="str">
        <f>IFERROR(VLOOKUP(IFERROR(VLOOKUP(R35,Расчет!$A$2:$D$650,4,FALSE),0),$AT$3:$AU$15,2,FALSE),"")</f>
        <v/>
      </c>
      <c r="W35" s="33" t="str">
        <f>IFERROR(VLOOKUP(R35,Расчет!$A$2:$E$650,5,FALSE),"")</f>
        <v/>
      </c>
      <c r="X35" s="189"/>
      <c r="Y35" s="191">
        <f t="shared" si="11"/>
        <v>0</v>
      </c>
      <c r="Z35" s="148" t="str">
        <f>IFERROR(IF(VLOOKUP(AC35,Расчет!$A$2:$B$236,2,FALSE)="831W","RAV4","Camry"),"-")</f>
        <v>-</v>
      </c>
      <c r="AA35" s="165" t="str">
        <f>IFERROR(VLOOKUP(AC35,Расчет!$A$2:$E$236,5,FALSE),"-")</f>
        <v>-</v>
      </c>
      <c r="AB35" s="164" t="str">
        <f>IFERROR(SMALL($BU$5:$BU$259,1),"")</f>
        <v/>
      </c>
      <c r="AC35" s="148" t="str">
        <f>IF(VLOOKUP2($BP$5:$BQ$500,1,AB35,COUNTIF($AB$35:AB35,AB35),2)=0,"-",VLOOKUP2($BP$5:$BQ$500,1,AB35,COUNTIF($AB$35:AB35,AB35),2))</f>
        <v>-</v>
      </c>
      <c r="AD35" s="245" t="str">
        <f>IFERROR(VLOOKUP(AC35,Расчет!$BS:$BT,2,FALSE),"")</f>
        <v/>
      </c>
      <c r="AE35" s="89">
        <v>33</v>
      </c>
      <c r="AF35" s="44" t="str">
        <f>IF(VLOOKUP(AE35,Расчет!$AH$2:$AN$201,5,FALSE)="8","C",IF(VLOOKUP(AE35,Расчет!$AH$2:$AN$201,5,FALSE)="G","G","R"))</f>
        <v>R</v>
      </c>
      <c r="AG35" s="73" t="str">
        <f t="shared" si="2"/>
        <v/>
      </c>
      <c r="AH35" s="87" t="str">
        <f>IF(AG35="","",COUNTIF($AG$2:AG35,"C")-COUNTIF($AF$2:AF35,"C")+$AH$1)</f>
        <v/>
      </c>
      <c r="AI35" s="87" t="str">
        <f>IF(AG35="","",COUNTIF($AG$2:AG35,"R")-COUNTIF($AF$2:AF35,"R")+$AI$1)</f>
        <v/>
      </c>
      <c r="AJ35" s="89">
        <v>136</v>
      </c>
      <c r="AK35" s="44" t="str">
        <f>IF(VLOOKUP(AJ35,Расчет!$AH$2:$AN$211,5,FALSE)="8","C",IF(VLOOKUP(AJ35,Расчет!$AH$2:$AN$211,5,FALSE)="G","G","R"))</f>
        <v>R</v>
      </c>
      <c r="AL35" s="74" t="str">
        <f t="shared" si="3"/>
        <v/>
      </c>
      <c r="AM35" s="118" t="str">
        <f>IF(AL35="","",(COUNTIF($AG$2:$AG$105,"C")+COUNTIF($AL$2:$AL35,"C"))-(COUNTIF($AF$2:$AF$105,"C")+COUNTIF($AK$2:$AK35,"C"))+$AH$1)</f>
        <v/>
      </c>
      <c r="AN35" s="119" t="str">
        <f>IF(AL35="","",(COUNTIF($AG$2:$AG$105,"R")+COUNTIF($AL$2:$AL35,"R"))-(COUNTIF($AF$2:$AF$105,"R")+COUNTIF($AK$2:$AK35,"R"))+$AI$1)</f>
        <v/>
      </c>
      <c r="AO35" s="22" t="str">
        <f>IF(E35="","",COUNTA($E$3:E35)+$Z$1)</f>
        <v/>
      </c>
      <c r="AP35" s="88" t="str">
        <f>IF(AO35="","",IF(AO35+Расчет!$Y$57+$BD$2-Расчет!$X$57&gt;200,AO35+Расчет!$Y$57+$BD$2-1000,AO35+Расчет!$Y$57+$BD$2))</f>
        <v/>
      </c>
      <c r="AR35" s="92"/>
      <c r="AS35" s="92"/>
      <c r="AX35" s="737"/>
      <c r="AY35" s="680"/>
      <c r="AZ35" s="708"/>
      <c r="BA35" s="709"/>
      <c r="BB35" s="679"/>
      <c r="BC35" s="680"/>
      <c r="BD35" s="708"/>
      <c r="BE35" s="709"/>
      <c r="BF35" s="711"/>
      <c r="BG35" s="712"/>
      <c r="BH35" s="48"/>
      <c r="BI35" s="48"/>
      <c r="BJ35" s="48"/>
      <c r="BK35" s="48"/>
      <c r="BL35" s="172">
        <f>COUNTIF($BM$5:BM35,"&lt;-115")</f>
        <v>0</v>
      </c>
      <c r="BM35" s="154" t="str">
        <f>IFERROR(IF(OR(IFERROR(VLOOKUP(BN35,$E$3:$E$105,1,FALSE),"0")=BN35,IFERROR(VLOOKUP(BN35,$R$3:$R$105,1,FALSE),"0")=BN35),BO35,IF(OR(VLOOKUP(BN35,Расчет!A:E,5,FALSE)="2PS",VLOOKUP(BN35,Расчет!A:E,5,FALSE)="2QL"),IF(VLOOKUP(BN35,Расчет!A:B,2,FALSE)="831W",BN35-$BS$7+$AD$17,BN35-$BS$7+$AD$12),BN35-$BS$7)),"-")</f>
        <v>-</v>
      </c>
      <c r="BN35" s="154">
        <f>IF(OR(Расчет!C32="A0",Расчет!C32="P9",Расчет!B32="722W"),"-",Расчет!A32)</f>
        <v>11177</v>
      </c>
      <c r="BO35" s="173">
        <f t="shared" si="15"/>
        <v>0</v>
      </c>
      <c r="BP35" s="172" t="str">
        <f>IF(BQ35="-","-",IFERROR(IF(OR(VLOOKUP(BN35,Расчет!$A$2:$E$582,5,FALSE)="2PS",VLOOKUP(BN35,Расчет!$A$2:$E$582,5,FALSE)="2QL"),IF(OR(VLOOKUP(BN35,Расчет!$A$2:$E$582,2,FALSE)="664W",VLOOKUP(BN35,Расчет!$A$2:$E$582,2,FALSE)="813W"),IF(BN35-$BS$7&gt;150,BN35-$BS$7-1000+$AD$12,BN35-$BS$7+$AD$12),IF(BN35-$BS$7&gt;150,BN35-$BS$7-1000+$AD$17,BN35-$BS$7+$AD$17)),IF(BN35-$BS$7&gt;150,BN35-$BS$7-1000,BN35-$BS$7)),"-"))</f>
        <v>-</v>
      </c>
      <c r="BQ35" s="173">
        <f t="shared" si="12"/>
        <v>11177</v>
      </c>
      <c r="BR35" s="453"/>
      <c r="BS35" s="171"/>
      <c r="BT35" s="464" t="str">
        <f t="shared" si="13"/>
        <v>-</v>
      </c>
      <c r="BU35" s="464" t="str">
        <f t="shared" si="14"/>
        <v>-</v>
      </c>
      <c r="BX35" s="204">
        <f>COUNTIF($BY$4:BY35,"&lt;100")</f>
        <v>0</v>
      </c>
      <c r="BY35" s="213" t="str">
        <f t="shared" si="4"/>
        <v/>
      </c>
      <c r="BZ35" s="216" t="str">
        <f t="shared" si="5"/>
        <v/>
      </c>
      <c r="CA35" s="213" t="e">
        <f t="shared" si="6"/>
        <v>#N/A</v>
      </c>
      <c r="CB35" s="209" t="e">
        <f t="shared" si="7"/>
        <v>#N/A</v>
      </c>
      <c r="CC35" s="205" t="str">
        <f t="shared" si="16"/>
        <v/>
      </c>
      <c r="CD35" s="205" t="str">
        <f t="shared" si="8"/>
        <v>-</v>
      </c>
      <c r="CE35" s="205">
        <f t="shared" si="17"/>
        <v>0</v>
      </c>
      <c r="CG35" s="20" t="str">
        <f t="shared" si="25"/>
        <v/>
      </c>
    </row>
    <row r="36" spans="1:85" ht="23.1" customHeight="1">
      <c r="A36" s="40" t="str">
        <f>IF(AND(IFERROR(VLOOKUP(E36,Расчет!A:J,10,FALSE),"  ")&lt;&gt;"  ",IFERROR(LEFT(VLOOKUP(E36,Расчет!A:J,10,FALSE),1)," ")&lt;&gt;"H"),0,IFERROR(IF(F36="Camry",IF(OR(J36="2PS",J36="2QL"),IF(E36-AP36&gt;100,E36-AP36-1000+$AD$12,E36-AP36+$AD$12),IF(E36-AP36&gt;100,E36-AP36-1000,E36-AP36)),IF(J36="2PS",IF(E36-AP36&gt;100,E36-AP36-1000+$AD$17,E36-AP36+$AD$17),IF(E36-AP36&gt;100,E36-AP36-1000,E36-AP36))),"-"))</f>
        <v>-</v>
      </c>
      <c r="B36" s="46">
        <v>34</v>
      </c>
      <c r="C36" s="19" t="str">
        <f>IF(E36="","",COUNTA($E$3:E36))</f>
        <v/>
      </c>
      <c r="D36" s="18" t="str">
        <f t="shared" si="0"/>
        <v/>
      </c>
      <c r="E36" s="30"/>
      <c r="F36" s="44" t="str">
        <f>IFERROR(IF(VLOOKUP(E36,Расчет!$A$2:$B$650,2,FALSE)="664W","Camry",IF(VLOOKUP(E36,Расчет!$A$2:$B$650,2,FALSE)="813W","Goshi","RAV4")),"")</f>
        <v/>
      </c>
      <c r="G36" s="32" t="str">
        <f>IFERROR(IF(F36="Camry",VLOOKUP(E36,Расчет!$A$2:$Q$650,17,FALSE),VLOOKUP(E36,Расчет!$A$2:$R$650,18,FALSE)),"")</f>
        <v/>
      </c>
      <c r="H36" s="32" t="str">
        <f>IFERROR(VLOOKUP(VLOOKUP(E36,Расчет!$A:$D,4,FALSE),$AT$6:$AV$15,3,FALSE),"")</f>
        <v/>
      </c>
      <c r="I36" s="31" t="str">
        <f>IFERROR(VLOOKUP(IFERROR(VLOOKUP(E36,Расчет!$A$2:$D$650,4,FALSE),0),$AT$3:$AU$15,2,FALSE),"")</f>
        <v/>
      </c>
      <c r="J36" s="33" t="str">
        <f>IFERROR(VLOOKUP(E36,Расчет!$A$2:$E$650,5,FALSE),"")</f>
        <v/>
      </c>
      <c r="K36" s="189"/>
      <c r="L36" s="188">
        <f t="shared" si="10"/>
        <v>0</v>
      </c>
      <c r="M36" s="38"/>
      <c r="N36" s="40" t="str">
        <f>IF(AND(IFERROR(VLOOKUP(R36,Расчет!A:J,10,FALSE),"  ")&lt;&gt;"  ",IFERROR(LEFT(VLOOKUP(R36,Расчет!A:J,10,FALSE),1)," ")&lt;&gt;"H"),0,IFERROR(IF(S36="Camry",IF(OR(W36="2PS",W36="2QL"),IF(R36-AP139&gt;100,R36-AP139-1000+$AD$12,R36-AP139+$AD$12),IF(R36-AP139&gt;100,R36-AP139-1000,R36-AP139)),IF(W36="2PS",IF(R36-AP139&gt;100,R36-AP139-1000+$AD$17,R36-AP139+$AD$17),IF(R36-AP139&gt;100,R36-AP139-1000,R36-AP139))),"-"))</f>
        <v>-</v>
      </c>
      <c r="O36" s="46">
        <v>137</v>
      </c>
      <c r="P36" s="19" t="str">
        <f>IF(R36="","",COUNTA($R$3:R36)+$C$105)</f>
        <v/>
      </c>
      <c r="Q36" s="18" t="str">
        <f t="shared" si="1"/>
        <v/>
      </c>
      <c r="R36" s="30"/>
      <c r="S36" s="45" t="str">
        <f>IFERROR(IF(VLOOKUP(R36,Расчет!$A$2:$B$650,2,FALSE)="664W","Camry",IF(VLOOKUP(R36,Расчет!$A$2:$B$650,2,FALSE)="813W","Goshi","RAV4")),"")</f>
        <v/>
      </c>
      <c r="T36" s="32" t="str">
        <f>IFERROR(IF(S36="Camry",VLOOKUP(R36,Расчет!$A$2:$Q$650,17,FALSE),VLOOKUP(R36,Расчет!$A$2:$R$650,18,FALSE)),"")</f>
        <v/>
      </c>
      <c r="U36" s="32" t="str">
        <f>IFERROR(VLOOKUP(VLOOKUP(R36,Расчет!$A:$D,4,FALSE),$AT$6:$AV$15,3,FALSE),"")</f>
        <v/>
      </c>
      <c r="V36" s="31" t="str">
        <f>IFERROR(VLOOKUP(IFERROR(VLOOKUP(R36,Расчет!$A$2:$D$650,4,FALSE),0),$AT$3:$AU$15,2,FALSE),"")</f>
        <v/>
      </c>
      <c r="W36" s="33" t="str">
        <f>IFERROR(VLOOKUP(R36,Расчет!$A$2:$E$650,5,FALSE),"")</f>
        <v/>
      </c>
      <c r="X36" s="189"/>
      <c r="Y36" s="191">
        <f t="shared" si="11"/>
        <v>0</v>
      </c>
      <c r="Z36" s="156" t="str">
        <f>IFERROR(IF(VLOOKUP(AC36,Расчет!$A$2:$B$236,2,FALSE)="831W","RAV4","Camry"),"-")</f>
        <v>-</v>
      </c>
      <c r="AA36" s="166" t="str">
        <f>IFERROR(VLOOKUP(AC36,Расчет!$A$2:$E$236,5,FALSE),"-")</f>
        <v>-</v>
      </c>
      <c r="AB36" s="167" t="str">
        <f>IFERROR(SMALL($BU$5:$BU$259,2),"")</f>
        <v/>
      </c>
      <c r="AC36" s="156" t="str">
        <f>IF(VLOOKUP2($BP$5:$BQ$500,1,AB36,COUNTIF($AB$35:AB36,AB36),2)=0,"-",VLOOKUP2($BP$5:$BQ$500,1,AB36,COUNTIF($AB$35:AB36,AB36),2))</f>
        <v>-</v>
      </c>
      <c r="AD36" s="353" t="str">
        <f>IFERROR(VLOOKUP(AC36,Расчет!$BS:$BT,2,FALSE),"")</f>
        <v/>
      </c>
      <c r="AE36" s="89">
        <v>34</v>
      </c>
      <c r="AF36" s="44" t="str">
        <f>IF(VLOOKUP(AE36,Расчет!$AH$2:$AN$201,5,FALSE)="8","C",IF(VLOOKUP(AE36,Расчет!$AH$2:$AN$201,5,FALSE)="G","G","R"))</f>
        <v>C</v>
      </c>
      <c r="AG36" s="73" t="str">
        <f t="shared" si="2"/>
        <v/>
      </c>
      <c r="AH36" s="87" t="str">
        <f>IF(AG36="","",COUNTIF($AG$2:AG36,"C")-COUNTIF($AF$2:AF36,"C")+$AH$1)</f>
        <v/>
      </c>
      <c r="AI36" s="87" t="str">
        <f>IF(AG36="","",COUNTIF($AG$2:AG36,"R")-COUNTIF($AF$2:AF36,"R")+$AI$1)</f>
        <v/>
      </c>
      <c r="AJ36" s="89">
        <v>137</v>
      </c>
      <c r="AK36" s="44" t="str">
        <f>IF(VLOOKUP(AJ36,Расчет!$AH$2:$AN$211,5,FALSE)="8","C",IF(VLOOKUP(AJ36,Расчет!$AH$2:$AN$211,5,FALSE)="G","G","R"))</f>
        <v>C</v>
      </c>
      <c r="AL36" s="74" t="str">
        <f t="shared" si="3"/>
        <v/>
      </c>
      <c r="AM36" s="118" t="str">
        <f>IF(AL36="","",(COUNTIF($AG$2:$AG$105,"C")+COUNTIF($AL$2:$AL36,"C"))-(COUNTIF($AF$2:$AF$105,"C")+COUNTIF($AK$2:$AK36,"C"))+$AH$1)</f>
        <v/>
      </c>
      <c r="AN36" s="119" t="str">
        <f>IF(AL36="","",(COUNTIF($AG$2:$AG$105,"R")+COUNTIF($AL$2:$AL36,"R"))-(COUNTIF($AF$2:$AF$105,"R")+COUNTIF($AK$2:$AK36,"R"))+$AI$1)</f>
        <v/>
      </c>
      <c r="AO36" s="22" t="str">
        <f>IF(E36="","",COUNTA($E$3:E36)+$Z$1)</f>
        <v/>
      </c>
      <c r="AP36" s="88" t="str">
        <f>IF(AO36="","",IF(AO36+Расчет!$Y$57+$BD$2-Расчет!$X$57&gt;200,AO36+Расчет!$Y$57+$BD$2-1000,AO36+Расчет!$Y$57+$BD$2))</f>
        <v/>
      </c>
      <c r="AR36" s="92"/>
      <c r="AS36" s="92"/>
      <c r="AX36" s="715" t="s">
        <v>24</v>
      </c>
      <c r="AY36" s="716"/>
      <c r="AZ36" s="706">
        <f>BF34*AZ30</f>
        <v>106.4</v>
      </c>
      <c r="BA36" s="707"/>
      <c r="BB36" s="720" t="s">
        <v>24</v>
      </c>
      <c r="BC36" s="716"/>
      <c r="BD36" s="706">
        <f>COUNTIF(Расчет!AD:AD,"831W")</f>
        <v>107</v>
      </c>
      <c r="BE36" s="707"/>
      <c r="BF36" s="711"/>
      <c r="BG36" s="712"/>
      <c r="BH36" s="48"/>
      <c r="BI36" s="48"/>
      <c r="BJ36" s="48"/>
      <c r="BK36" s="48"/>
      <c r="BL36" s="172">
        <f>COUNTIF($BM$5:BM36,"&lt;-115")</f>
        <v>0</v>
      </c>
      <c r="BM36" s="154" t="str">
        <f>IFERROR(IF(OR(IFERROR(VLOOKUP(BN36,$E$3:$E$105,1,FALSE),"0")=BN36,IFERROR(VLOOKUP(BN36,$R$3:$R$105,1,FALSE),"0")=BN36),BO36,IF(OR(VLOOKUP(BN36,Расчет!A:E,5,FALSE)="2PS",VLOOKUP(BN36,Расчет!A:E,5,FALSE)="2QL"),IF(VLOOKUP(BN36,Расчет!A:B,2,FALSE)="831W",BN36-$BS$7+$AD$17,BN36-$BS$7+$AD$12),BN36-$BS$7)),"-")</f>
        <v>-</v>
      </c>
      <c r="BN36" s="154">
        <f>IF(OR(Расчет!C33="A0",Расчет!C33="P9",Расчет!B33="722W"),"-",Расчет!A33)</f>
        <v>11178</v>
      </c>
      <c r="BO36" s="173">
        <f t="shared" si="15"/>
        <v>0</v>
      </c>
      <c r="BP36" s="172" t="str">
        <f>IF(BQ36="-","-",IFERROR(IF(OR(VLOOKUP(BN36,Расчет!$A$2:$E$582,5,FALSE)="2PS",VLOOKUP(BN36,Расчет!$A$2:$E$582,5,FALSE)="2QL"),IF(OR(VLOOKUP(BN36,Расчет!$A$2:$E$582,2,FALSE)="664W",VLOOKUP(BN36,Расчет!$A$2:$E$582,2,FALSE)="813W"),IF(BN36-$BS$7&gt;150,BN36-$BS$7-1000+$AD$12,BN36-$BS$7+$AD$12),IF(BN36-$BS$7&gt;150,BN36-$BS$7-1000+$AD$17,BN36-$BS$7+$AD$17)),IF(BN36-$BS$7&gt;150,BN36-$BS$7-1000,BN36-$BS$7)),"-"))</f>
        <v>-</v>
      </c>
      <c r="BQ36" s="173">
        <f t="shared" si="12"/>
        <v>11178</v>
      </c>
      <c r="BR36" s="453"/>
      <c r="BS36" s="171"/>
      <c r="BT36" s="464" t="str">
        <f t="shared" si="13"/>
        <v>-</v>
      </c>
      <c r="BU36" s="464" t="str">
        <f t="shared" si="14"/>
        <v>-</v>
      </c>
      <c r="BX36" s="204">
        <f>COUNTIF($BY$4:BY36,"&lt;100")</f>
        <v>0</v>
      </c>
      <c r="BY36" s="213" t="str">
        <f t="shared" ref="BY36:BY67" si="26">AH35</f>
        <v/>
      </c>
      <c r="BZ36" s="216" t="str">
        <f t="shared" ref="BZ36:BZ67" si="27">AI35</f>
        <v/>
      </c>
      <c r="CA36" s="213" t="e">
        <f t="shared" si="6"/>
        <v>#N/A</v>
      </c>
      <c r="CB36" s="209" t="e">
        <f t="shared" si="7"/>
        <v>#N/A</v>
      </c>
      <c r="CC36" s="205" t="str">
        <f t="shared" si="16"/>
        <v/>
      </c>
      <c r="CD36" s="205" t="str">
        <f t="shared" ref="CD36:CD67" si="28">A35</f>
        <v>-</v>
      </c>
      <c r="CE36" s="205">
        <f t="shared" si="17"/>
        <v>0</v>
      </c>
      <c r="CG36" s="20" t="str">
        <f t="shared" si="25"/>
        <v/>
      </c>
    </row>
    <row r="37" spans="1:85" ht="23.1" customHeight="1" thickBot="1">
      <c r="A37" s="40" t="str">
        <f>IF(AND(IFERROR(VLOOKUP(E37,Расчет!A:J,10,FALSE),"  ")&lt;&gt;"  ",IFERROR(LEFT(VLOOKUP(E37,Расчет!A:J,10,FALSE),1)," ")&lt;&gt;"H"),0,IFERROR(IF(F37="Camry",IF(OR(J37="2PS",J37="2QL"),IF(E37-AP37&gt;100,E37-AP37-1000+$AD$12,E37-AP37+$AD$12),IF(E37-AP37&gt;100,E37-AP37-1000,E37-AP37)),IF(J37="2PS",IF(E37-AP37&gt;100,E37-AP37-1000+$AD$17,E37-AP37+$AD$17),IF(E37-AP37&gt;100,E37-AP37-1000,E37-AP37))),"-"))</f>
        <v>-</v>
      </c>
      <c r="B37" s="46">
        <v>35</v>
      </c>
      <c r="C37" s="19" t="str">
        <f>IF(E37="","",COUNTA($E$3:E37))</f>
        <v/>
      </c>
      <c r="D37" s="18" t="str">
        <f t="shared" si="0"/>
        <v/>
      </c>
      <c r="E37" s="30"/>
      <c r="F37" s="44" t="str">
        <f>IFERROR(IF(VLOOKUP(E37,Расчет!$A$2:$B$650,2,FALSE)="664W","Camry",IF(VLOOKUP(E37,Расчет!$A$2:$B$650,2,FALSE)="813W","Goshi","RAV4")),"")</f>
        <v/>
      </c>
      <c r="G37" s="32" t="str">
        <f>IFERROR(IF(F37="Camry",VLOOKUP(E37,Расчет!$A$2:$Q$650,17,FALSE),VLOOKUP(E37,Расчет!$A$2:$R$650,18,FALSE)),"")</f>
        <v/>
      </c>
      <c r="H37" s="32" t="str">
        <f>IFERROR(VLOOKUP(VLOOKUP(E37,Расчет!$A:$D,4,FALSE),$AT$6:$AV$15,3,FALSE),"")</f>
        <v/>
      </c>
      <c r="I37" s="31" t="str">
        <f>IFERROR(VLOOKUP(IFERROR(VLOOKUP(E37,Расчет!$A$2:$D$650,4,FALSE),0),$AT$3:$AU$15,2,FALSE),"")</f>
        <v/>
      </c>
      <c r="J37" s="33" t="str">
        <f>IFERROR(VLOOKUP(E37,Расчет!$A$2:$E$650,5,FALSE),"")</f>
        <v/>
      </c>
      <c r="K37" s="189"/>
      <c r="L37" s="188">
        <f t="shared" si="10"/>
        <v>0</v>
      </c>
      <c r="M37" s="38"/>
      <c r="N37" s="40" t="str">
        <f>IF(AND(IFERROR(VLOOKUP(R37,Расчет!A:J,10,FALSE),"  ")&lt;&gt;"  ",IFERROR(LEFT(VLOOKUP(R37,Расчет!A:J,10,FALSE),1)," ")&lt;&gt;"H"),0,IFERROR(IF(S37="Camry",IF(OR(W37="2PS",W37="2QL"),IF(R37-AP140&gt;100,R37-AP140-1000+$AD$12,R37-AP140+$AD$12),IF(R37-AP140&gt;100,R37-AP140-1000,R37-AP140)),IF(W37="2PS",IF(R37-AP140&gt;100,R37-AP140-1000+$AD$17,R37-AP140+$AD$17),IF(R37-AP140&gt;100,R37-AP140-1000,R37-AP140))),"-"))</f>
        <v>-</v>
      </c>
      <c r="O37" s="46">
        <v>138</v>
      </c>
      <c r="P37" s="19" t="str">
        <f>IF(R37="","",COUNTA($R$3:R37)+$C$105)</f>
        <v/>
      </c>
      <c r="Q37" s="18" t="str">
        <f t="shared" si="1"/>
        <v/>
      </c>
      <c r="R37" s="30"/>
      <c r="S37" s="45" t="str">
        <f>IFERROR(IF(VLOOKUP(R37,Расчет!$A$2:$B$650,2,FALSE)="664W","Camry",IF(VLOOKUP(R37,Расчет!$A$2:$B$650,2,FALSE)="813W","Goshi","RAV4")),"")</f>
        <v/>
      </c>
      <c r="T37" s="32" t="str">
        <f>IFERROR(IF(S37="Camry",VLOOKUP(R37,Расчет!$A$2:$Q$650,17,FALSE),VLOOKUP(R37,Расчет!$A$2:$R$650,18,FALSE)),"")</f>
        <v/>
      </c>
      <c r="U37" s="32" t="str">
        <f>IFERROR(VLOOKUP(VLOOKUP(R37,Расчет!$A:$D,4,FALSE),$AT$6:$AV$15,3,FALSE),"")</f>
        <v/>
      </c>
      <c r="V37" s="31" t="str">
        <f>IFERROR(VLOOKUP(IFERROR(VLOOKUP(R37,Расчет!$A$2:$D$650,4,FALSE),0),$AT$3:$AU$15,2,FALSE),"")</f>
        <v/>
      </c>
      <c r="W37" s="33" t="str">
        <f>IFERROR(VLOOKUP(R37,Расчет!$A$2:$E$650,5,FALSE),"")</f>
        <v/>
      </c>
      <c r="X37" s="189"/>
      <c r="Y37" s="191">
        <f t="shared" si="11"/>
        <v>0</v>
      </c>
      <c r="Z37" s="156" t="str">
        <f>IFERROR(IF(VLOOKUP(AC37,Расчет!$A$2:$B$236,2,FALSE)="831W","RAV4","Camry"),"-")</f>
        <v>-</v>
      </c>
      <c r="AA37" s="166" t="str">
        <f>IFERROR(VLOOKUP(AC37,Расчет!$A$2:$E$236,5,FALSE),"-")</f>
        <v>-</v>
      </c>
      <c r="AB37" s="167" t="str">
        <f>IFERROR(SMALL($BU$5:$BU$259,3),"")</f>
        <v/>
      </c>
      <c r="AC37" s="156" t="str">
        <f>IF(VLOOKUP2($BP$5:$BQ$500,1,AB37,COUNTIF($AB$35:AB37,AB37),2)=0,"-",VLOOKUP2($BP$5:$BQ$500,1,AB37,COUNTIF($AB$35:AB37,AB37),2))</f>
        <v>-</v>
      </c>
      <c r="AD37" s="353" t="str">
        <f>IFERROR(VLOOKUP(AC37,Расчет!$BS:$BT,2,FALSE),"")</f>
        <v/>
      </c>
      <c r="AE37" s="89">
        <v>35</v>
      </c>
      <c r="AF37" s="44" t="str">
        <f>IF(VLOOKUP(AE37,Расчет!$AH$2:$AN$201,5,FALSE)="8","C",IF(VLOOKUP(AE37,Расчет!$AH$2:$AN$201,5,FALSE)="G","G","R"))</f>
        <v>R</v>
      </c>
      <c r="AG37" s="73" t="str">
        <f t="shared" si="2"/>
        <v/>
      </c>
      <c r="AH37" s="87" t="str">
        <f>IF(AG37="","",COUNTIF($AG$2:AG37,"C")-COUNTIF($AF$2:AF37,"C")+$AH$1)</f>
        <v/>
      </c>
      <c r="AI37" s="87" t="str">
        <f>IF(AG37="","",COUNTIF($AG$2:AG37,"R")-COUNTIF($AF$2:AF37,"R")+$AI$1)</f>
        <v/>
      </c>
      <c r="AJ37" s="89">
        <v>138</v>
      </c>
      <c r="AK37" s="44" t="str">
        <f>IF(VLOOKUP(AJ37,Расчет!$AH$2:$AN$211,5,FALSE)="8","C",IF(VLOOKUP(AJ37,Расчет!$AH$2:$AN$211,5,FALSE)="G","G","R"))</f>
        <v>R</v>
      </c>
      <c r="AL37" s="74" t="str">
        <f t="shared" si="3"/>
        <v/>
      </c>
      <c r="AM37" s="118" t="str">
        <f>IF(AL37="","",(COUNTIF($AG$2:$AG$105,"C")+COUNTIF($AL$2:$AL37,"C"))-(COUNTIF($AF$2:$AF$105,"C")+COUNTIF($AK$2:$AK37,"C"))+$AH$1)</f>
        <v/>
      </c>
      <c r="AN37" s="119" t="str">
        <f>IF(AL37="","",(COUNTIF($AG$2:$AG$105,"R")+COUNTIF($AL$2:$AL37,"R"))-(COUNTIF($AF$2:$AF$105,"R")+COUNTIF($AK$2:$AK37,"R"))+$AI$1)</f>
        <v/>
      </c>
      <c r="AO37" s="22" t="str">
        <f>IF(E37="","",COUNTA($E$3:E37)+$Z$1)</f>
        <v/>
      </c>
      <c r="AP37" s="88" t="str">
        <f>IF(AO37="","",IF(AO37+Расчет!$Y$57+$BD$2-Расчет!$X$57&gt;200,AO37+Расчет!$Y$57+$BD$2-1000,AO37+Расчет!$Y$57+$BD$2))</f>
        <v/>
      </c>
      <c r="AR37" s="92"/>
      <c r="AS37" s="92"/>
      <c r="AX37" s="717"/>
      <c r="AY37" s="718"/>
      <c r="AZ37" s="713"/>
      <c r="BA37" s="719"/>
      <c r="BB37" s="721"/>
      <c r="BC37" s="718"/>
      <c r="BD37" s="713"/>
      <c r="BE37" s="719"/>
      <c r="BF37" s="713"/>
      <c r="BG37" s="714"/>
      <c r="BH37" s="48"/>
      <c r="BI37" s="48"/>
      <c r="BJ37" s="48"/>
      <c r="BK37" s="48"/>
      <c r="BL37" s="172">
        <f>COUNTIF($BM$5:BM37,"&lt;-115")</f>
        <v>0</v>
      </c>
      <c r="BM37" s="154" t="str">
        <f>IFERROR(IF(OR(IFERROR(VLOOKUP(BN37,$E$3:$E$105,1,FALSE),"0")=BN37,IFERROR(VLOOKUP(BN37,$R$3:$R$105,1,FALSE),"0")=BN37),BO37,IF(OR(VLOOKUP(BN37,Расчет!A:E,5,FALSE)="2PS",VLOOKUP(BN37,Расчет!A:E,5,FALSE)="2QL"),IF(VLOOKUP(BN37,Расчет!A:B,2,FALSE)="831W",BN37-$BS$7+$AD$17,BN37-$BS$7+$AD$12),BN37-$BS$7)),"-")</f>
        <v>-</v>
      </c>
      <c r="BN37" s="154" t="str">
        <f>IF(OR(Расчет!C34="A0",Расчет!C34="P9",Расчет!B34="722W"),"-",Расчет!A34)</f>
        <v>-</v>
      </c>
      <c r="BO37" s="173">
        <f t="shared" si="15"/>
        <v>0</v>
      </c>
      <c r="BP37" s="172" t="str">
        <f>IF(BQ37="-","-",IFERROR(IF(OR(VLOOKUP(BN37,Расчет!$A$2:$E$582,5,FALSE)="2PS",VLOOKUP(BN37,Расчет!$A$2:$E$582,5,FALSE)="2QL"),IF(OR(VLOOKUP(BN37,Расчет!$A$2:$E$582,2,FALSE)="664W",VLOOKUP(BN37,Расчет!$A$2:$E$582,2,FALSE)="813W"),IF(BN37-$BS$7&gt;150,BN37-$BS$7-1000+$AD$12,BN37-$BS$7+$AD$12),IF(BN37-$BS$7&gt;150,BN37-$BS$7-1000+$AD$17,BN37-$BS$7+$AD$17)),IF(BN37-$BS$7&gt;150,BN37-$BS$7-1000,BN37-$BS$7)),"-"))</f>
        <v>-</v>
      </c>
      <c r="BQ37" s="173" t="str">
        <f t="shared" si="12"/>
        <v>-</v>
      </c>
      <c r="BR37" s="453"/>
      <c r="BS37" s="171"/>
      <c r="BT37" s="464" t="str">
        <f t="shared" si="13"/>
        <v>-</v>
      </c>
      <c r="BU37" s="464" t="str">
        <f t="shared" si="14"/>
        <v>-</v>
      </c>
      <c r="BX37" s="204">
        <f>COUNTIF($BY$4:BY37,"&lt;100")</f>
        <v>0</v>
      </c>
      <c r="BY37" s="213" t="str">
        <f t="shared" si="26"/>
        <v/>
      </c>
      <c r="BZ37" s="216" t="str">
        <f t="shared" si="27"/>
        <v/>
      </c>
      <c r="CA37" s="213" t="e">
        <f t="shared" si="6"/>
        <v>#N/A</v>
      </c>
      <c r="CB37" s="209" t="e">
        <f t="shared" si="7"/>
        <v>#N/A</v>
      </c>
      <c r="CC37" s="205" t="str">
        <f t="shared" si="16"/>
        <v/>
      </c>
      <c r="CD37" s="205" t="str">
        <f t="shared" si="28"/>
        <v>-</v>
      </c>
      <c r="CE37" s="205">
        <f t="shared" si="17"/>
        <v>0</v>
      </c>
      <c r="CG37" s="20" t="str">
        <f t="shared" si="25"/>
        <v/>
      </c>
    </row>
    <row r="38" spans="1:85" ht="23.1" customHeight="1">
      <c r="A38" s="40" t="str">
        <f>IF(AND(IFERROR(VLOOKUP(E38,Расчет!A:J,10,FALSE),"  ")&lt;&gt;"  ",IFERROR(LEFT(VLOOKUP(E38,Расчет!A:J,10,FALSE),1)," ")&lt;&gt;"H"),0,IFERROR(IF(F38="Camry",IF(OR(J38="2PS",J38="2QL"),IF(E38-AP38&gt;100,E38-AP38-1000+$AD$12,E38-AP38+$AD$12),IF(E38-AP38&gt;100,E38-AP38-1000,E38-AP38)),IF(J38="2PS",IF(E38-AP38&gt;100,E38-AP38-1000+$AD$17,E38-AP38+$AD$17),IF(E38-AP38&gt;100,E38-AP38-1000,E38-AP38))),"-"))</f>
        <v>-</v>
      </c>
      <c r="B38" s="46">
        <v>36</v>
      </c>
      <c r="C38" s="19" t="str">
        <f>IF(E38="","",COUNTA($E$3:E38))</f>
        <v/>
      </c>
      <c r="D38" s="18" t="str">
        <f t="shared" si="0"/>
        <v/>
      </c>
      <c r="E38" s="30"/>
      <c r="F38" s="44" t="str">
        <f>IFERROR(IF(VLOOKUP(E38,Расчет!$A$2:$B$650,2,FALSE)="664W","Camry",IF(VLOOKUP(E38,Расчет!$A$2:$B$650,2,FALSE)="813W","Goshi","RAV4")),"")</f>
        <v/>
      </c>
      <c r="G38" s="32" t="str">
        <f>IFERROR(IF(F38="Camry",VLOOKUP(E38,Расчет!$A$2:$Q$650,17,FALSE),VLOOKUP(E38,Расчет!$A$2:$R$650,18,FALSE)),"")</f>
        <v/>
      </c>
      <c r="H38" s="32" t="str">
        <f>IFERROR(VLOOKUP(VLOOKUP(E38,Расчет!$A:$D,4,FALSE),$AT$6:$AV$15,3,FALSE),"")</f>
        <v/>
      </c>
      <c r="I38" s="31" t="str">
        <f>IFERROR(VLOOKUP(IFERROR(VLOOKUP(E38,Расчет!$A$2:$D$650,4,FALSE),0),$AT$3:$AU$15,2,FALSE),"")</f>
        <v/>
      </c>
      <c r="J38" s="33" t="str">
        <f>IFERROR(VLOOKUP(E38,Расчет!$A$2:$E$650,5,FALSE),"")</f>
        <v/>
      </c>
      <c r="K38" s="189"/>
      <c r="L38" s="188">
        <f t="shared" si="10"/>
        <v>0</v>
      </c>
      <c r="M38" s="38"/>
      <c r="N38" s="40" t="str">
        <f>IF(AND(IFERROR(VLOOKUP(R38,Расчет!A:J,10,FALSE),"  ")&lt;&gt;"  ",IFERROR(LEFT(VLOOKUP(R38,Расчет!A:J,10,FALSE),1)," ")&lt;&gt;"H"),0,IFERROR(IF(S38="Camry",IF(OR(W38="2PS",W38="2QL"),IF(R38-AP141&gt;100,R38-AP141-1000+$AD$12,R38-AP141+$AD$12),IF(R38-AP141&gt;100,R38-AP141-1000,R38-AP141)),IF(W38="2PS",IF(R38-AP141&gt;100,R38-AP141-1000+$AD$17,R38-AP141+$AD$17),IF(R38-AP141&gt;100,R38-AP141-1000,R38-AP141))),"-"))</f>
        <v>-</v>
      </c>
      <c r="O38" s="46">
        <v>139</v>
      </c>
      <c r="P38" s="19" t="str">
        <f>IF(R38="","",COUNTA($R$3:R38)+$C$105)</f>
        <v/>
      </c>
      <c r="Q38" s="18" t="str">
        <f t="shared" si="1"/>
        <v/>
      </c>
      <c r="R38" s="30"/>
      <c r="S38" s="45" t="str">
        <f>IFERROR(IF(VLOOKUP(R38,Расчет!$A$2:$B$650,2,FALSE)="664W","Camry",IF(VLOOKUP(R38,Расчет!$A$2:$B$650,2,FALSE)="813W","Goshi","RAV4")),"")</f>
        <v/>
      </c>
      <c r="T38" s="32" t="str">
        <f>IFERROR(IF(S38="Camry",VLOOKUP(R38,Расчет!$A$2:$Q$650,17,FALSE),VLOOKUP(R38,Расчет!$A$2:$R$650,18,FALSE)),"")</f>
        <v/>
      </c>
      <c r="U38" s="32" t="str">
        <f>IFERROR(VLOOKUP(VLOOKUP(R38,Расчет!$A:$D,4,FALSE),$AT$6:$AV$15,3,FALSE),"")</f>
        <v/>
      </c>
      <c r="V38" s="31" t="str">
        <f>IFERROR(VLOOKUP(IFERROR(VLOOKUP(R38,Расчет!$A$2:$D$650,4,FALSE),0),$AT$3:$AU$15,2,FALSE),"")</f>
        <v/>
      </c>
      <c r="W38" s="33" t="str">
        <f>IFERROR(VLOOKUP(R38,Расчет!$A$2:$E$650,5,FALSE),"")</f>
        <v/>
      </c>
      <c r="X38" s="189"/>
      <c r="Y38" s="191">
        <f t="shared" si="11"/>
        <v>0</v>
      </c>
      <c r="Z38" s="156" t="str">
        <f>IFERROR(IF(VLOOKUP(AC38,Расчет!$A$2:$B$236,2,FALSE)="831W","RAV4","Camry"),"-")</f>
        <v>-</v>
      </c>
      <c r="AA38" s="166" t="str">
        <f>IFERROR(VLOOKUP(AC38,Расчет!$A$2:$E$236,5,FALSE),"-")</f>
        <v>-</v>
      </c>
      <c r="AB38" s="167" t="str">
        <f>IFERROR(SMALL($BU$5:$BU$259,4),"")</f>
        <v/>
      </c>
      <c r="AC38" s="156" t="str">
        <f>IF(VLOOKUP2($BP$5:$BQ$500,1,AB38,COUNTIF($AB$35:AB38,AB38),2)=0,"-",VLOOKUP2($BP$5:$BQ$500,1,AB38,COUNTIF($AB$35:AB38,AB38),2))</f>
        <v>-</v>
      </c>
      <c r="AD38" s="353" t="str">
        <f>IFERROR(VLOOKUP(AC38,Расчет!$BS:$BT,2,FALSE),"")</f>
        <v/>
      </c>
      <c r="AE38" s="89">
        <v>36</v>
      </c>
      <c r="AF38" s="44" t="str">
        <f>IF(VLOOKUP(AE38,Расчет!$AH$2:$AN$201,5,FALSE)="8","C",IF(VLOOKUP(AE38,Расчет!$AH$2:$AN$201,5,FALSE)="G","G","R"))</f>
        <v>C</v>
      </c>
      <c r="AG38" s="73" t="str">
        <f t="shared" si="2"/>
        <v/>
      </c>
      <c r="AH38" s="87" t="str">
        <f>IF(AG38="","",COUNTIF($AG$2:AG38,"C")-COUNTIF($AF$2:AF38,"C")+$AH$1)</f>
        <v/>
      </c>
      <c r="AI38" s="87" t="str">
        <f>IF(AG38="","",COUNTIF($AG$2:AG38,"R")-COUNTIF($AF$2:AF38,"R")+$AI$1)</f>
        <v/>
      </c>
      <c r="AJ38" s="89">
        <v>139</v>
      </c>
      <c r="AK38" s="44" t="str">
        <f>IF(VLOOKUP(AJ38,Расчет!$AH$2:$AN$211,5,FALSE)="8","C",IF(VLOOKUP(AJ38,Расчет!$AH$2:$AN$211,5,FALSE)="G","G","R"))</f>
        <v>C</v>
      </c>
      <c r="AL38" s="74" t="str">
        <f t="shared" si="3"/>
        <v/>
      </c>
      <c r="AM38" s="118" t="str">
        <f>IF(AL38="","",(COUNTIF($AG$2:$AG$105,"C")+COUNTIF($AL$2:$AL38,"C"))-(COUNTIF($AF$2:$AF$105,"C")+COUNTIF($AK$2:$AK38,"C"))+$AH$1)</f>
        <v/>
      </c>
      <c r="AN38" s="119" t="str">
        <f>IF(AL38="","",(COUNTIF($AG$2:$AG$105,"R")+COUNTIF($AL$2:$AL38,"R"))-(COUNTIF($AF$2:$AF$105,"R")+COUNTIF($AK$2:$AK38,"R"))+$AI$1)</f>
        <v/>
      </c>
      <c r="AO38" s="22" t="str">
        <f>IF(E38="","",COUNTA($E$3:E38)+$Z$1)</f>
        <v/>
      </c>
      <c r="AP38" s="88" t="str">
        <f>IF(AO38="","",IF(AO38+Расчет!$Y$57+$BD$2-Расчет!$X$57&gt;200,AO38+Расчет!$Y$57+$BD$2-1000,AO38+Расчет!$Y$57+$BD$2))</f>
        <v/>
      </c>
      <c r="AR38" s="92"/>
      <c r="AS38" s="92"/>
      <c r="AX38" s="53"/>
      <c r="AY38" s="53"/>
      <c r="AZ38" s="53"/>
      <c r="BA38" s="53"/>
      <c r="BB38" s="53"/>
      <c r="BC38" s="53"/>
      <c r="BD38" s="76"/>
      <c r="BE38" s="77"/>
      <c r="BF38" s="77"/>
      <c r="BG38" s="77"/>
      <c r="BL38" s="172">
        <f>COUNTIF($BM$5:BM38,"&lt;-115")</f>
        <v>0</v>
      </c>
      <c r="BM38" s="154" t="str">
        <f>IFERROR(IF(OR(IFERROR(VLOOKUP(BN38,$E$3:$E$105,1,FALSE),"0")=BN38,IFERROR(VLOOKUP(BN38,$R$3:$R$105,1,FALSE),"0")=BN38),BO38,IF(OR(VLOOKUP(BN38,Расчет!A:E,5,FALSE)="2PS",VLOOKUP(BN38,Расчет!A:E,5,FALSE)="2QL"),IF(VLOOKUP(BN38,Расчет!A:B,2,FALSE)="831W",BN38-$BS$7+$AD$17,BN38-$BS$7+$AD$12),BN38-$BS$7)),"-")</f>
        <v>-</v>
      </c>
      <c r="BN38" s="154">
        <f>IF(OR(Расчет!C35="A0",Расчет!C35="P9",Расчет!B35="722W"),"-",Расчет!A35)</f>
        <v>11180</v>
      </c>
      <c r="BO38" s="173">
        <f t="shared" si="15"/>
        <v>0</v>
      </c>
      <c r="BP38" s="172" t="str">
        <f>IF(BQ38="-","-",IFERROR(IF(OR(VLOOKUP(BN38,Расчет!$A$2:$E$582,5,FALSE)="2PS",VLOOKUP(BN38,Расчет!$A$2:$E$582,5,FALSE)="2QL"),IF(OR(VLOOKUP(BN38,Расчет!$A$2:$E$582,2,FALSE)="664W",VLOOKUP(BN38,Расчет!$A$2:$E$582,2,FALSE)="813W"),IF(BN38-$BS$7&gt;150,BN38-$BS$7-1000+$AD$12,BN38-$BS$7+$AD$12),IF(BN38-$BS$7&gt;150,BN38-$BS$7-1000+$AD$17,BN38-$BS$7+$AD$17)),IF(BN38-$BS$7&gt;150,BN38-$BS$7-1000,BN38-$BS$7)),"-"))</f>
        <v>-</v>
      </c>
      <c r="BQ38" s="173">
        <f t="shared" si="12"/>
        <v>11180</v>
      </c>
      <c r="BR38" s="453"/>
      <c r="BS38" s="171"/>
      <c r="BT38" s="464" t="str">
        <f t="shared" si="13"/>
        <v>-</v>
      </c>
      <c r="BU38" s="464" t="str">
        <f t="shared" si="14"/>
        <v>-</v>
      </c>
      <c r="BX38" s="204">
        <f>COUNTIF($BY$4:BY38,"&lt;100")</f>
        <v>0</v>
      </c>
      <c r="BY38" s="213" t="str">
        <f t="shared" si="26"/>
        <v/>
      </c>
      <c r="BZ38" s="216" t="str">
        <f t="shared" si="27"/>
        <v/>
      </c>
      <c r="CA38" s="213" t="e">
        <f t="shared" si="6"/>
        <v>#N/A</v>
      </c>
      <c r="CB38" s="209" t="e">
        <f t="shared" si="7"/>
        <v>#N/A</v>
      </c>
      <c r="CC38" s="205" t="str">
        <f t="shared" si="16"/>
        <v/>
      </c>
      <c r="CD38" s="205" t="str">
        <f t="shared" si="28"/>
        <v>-</v>
      </c>
      <c r="CE38" s="205">
        <f t="shared" ref="CE38:CE69" si="29">IF(OR(AND($G37="Rich",$G36="Rich"),AND($G37="Rich",$G35="Rich"),AND($H37="TWIN-C",$H36="4WD",$H35="TWIN-C"),AND($H37="TWIN-C",$G36="Rich",$H35="TWIN-C"),AND(COUNTIF($CG43:$CG46,"Rich")&gt;1,COUNTIF($CG43:$CG46,"Mech")&gt;1),AND($CG46="Sport",COUNTIF($CG41:$CG46,"Sport")&gt;1))=TRUE(),1,0)</f>
        <v>0</v>
      </c>
      <c r="CG38" s="20" t="str">
        <f t="shared" si="25"/>
        <v/>
      </c>
    </row>
    <row r="39" spans="1:85" ht="23.1" customHeight="1">
      <c r="A39" s="40" t="str">
        <f>IF(AND(IFERROR(VLOOKUP(E39,Расчет!A:J,10,FALSE),"  ")&lt;&gt;"  ",IFERROR(LEFT(VLOOKUP(E39,Расчет!A:J,10,FALSE),1)," ")&lt;&gt;"H"),0,IFERROR(IF(F39="Camry",IF(OR(J39="2PS",J39="2QL"),IF(E39-AP39&gt;100,E39-AP39-1000+$AD$12,E39-AP39+$AD$12),IF(E39-AP39&gt;100,E39-AP39-1000,E39-AP39)),IF(J39="2PS",IF(E39-AP39&gt;100,E39-AP39-1000+$AD$17,E39-AP39+$AD$17),IF(E39-AP39&gt;100,E39-AP39-1000,E39-AP39))),"-"))</f>
        <v>-</v>
      </c>
      <c r="B39" s="46">
        <v>37</v>
      </c>
      <c r="C39" s="19" t="str">
        <f>IF(E39="","",COUNTA($E$3:E39))</f>
        <v/>
      </c>
      <c r="D39" s="18" t="str">
        <f t="shared" si="0"/>
        <v/>
      </c>
      <c r="E39" s="30"/>
      <c r="F39" s="44" t="str">
        <f>IFERROR(IF(VLOOKUP(E39,Расчет!$A$2:$B$650,2,FALSE)="664W","Camry",IF(VLOOKUP(E39,Расчет!$A$2:$B$650,2,FALSE)="813W","Goshi","RAV4")),"")</f>
        <v/>
      </c>
      <c r="G39" s="32" t="str">
        <f>IFERROR(IF(F39="Camry",VLOOKUP(E39,Расчет!$A$2:$Q$650,17,FALSE),VLOOKUP(E39,Расчет!$A$2:$R$650,18,FALSE)),"")</f>
        <v/>
      </c>
      <c r="H39" s="32" t="str">
        <f>IFERROR(VLOOKUP(VLOOKUP(E39,Расчет!$A:$D,4,FALSE),$AT$6:$AV$15,3,FALSE),"")</f>
        <v/>
      </c>
      <c r="I39" s="31" t="str">
        <f>IFERROR(VLOOKUP(IFERROR(VLOOKUP(E39,Расчет!$A$2:$D$650,4,FALSE),0),$AT$3:$AU$15,2,FALSE),"")</f>
        <v/>
      </c>
      <c r="J39" s="33" t="str">
        <f>IFERROR(VLOOKUP(E39,Расчет!$A$2:$E$650,5,FALSE),"")</f>
        <v/>
      </c>
      <c r="K39" s="189"/>
      <c r="L39" s="188">
        <f t="shared" si="10"/>
        <v>0</v>
      </c>
      <c r="M39" s="38"/>
      <c r="N39" s="40" t="str">
        <f>IF(AND(IFERROR(VLOOKUP(R39,Расчет!A:J,10,FALSE),"  ")&lt;&gt;"  ",IFERROR(LEFT(VLOOKUP(R39,Расчет!A:J,10,FALSE),1)," ")&lt;&gt;"H"),0,IFERROR(IF(S39="Camry",IF(OR(W39="2PS",W39="2QL"),IF(R39-AP142&gt;100,R39-AP142-1000+$AD$12,R39-AP142+$AD$12),IF(R39-AP142&gt;100,R39-AP142-1000,R39-AP142)),IF(W39="2PS",IF(R39-AP142&gt;100,R39-AP142-1000+$AD$17,R39-AP142+$AD$17),IF(R39-AP142&gt;100,R39-AP142-1000,R39-AP142))),"-"))</f>
        <v>-</v>
      </c>
      <c r="O39" s="46">
        <v>140</v>
      </c>
      <c r="P39" s="19" t="str">
        <f>IF(R39="","",COUNTA($R$3:R39)+$C$105)</f>
        <v/>
      </c>
      <c r="Q39" s="18" t="str">
        <f t="shared" si="1"/>
        <v/>
      </c>
      <c r="R39" s="30"/>
      <c r="S39" s="45" t="str">
        <f>IFERROR(IF(VLOOKUP(R39,Расчет!$A$2:$B$650,2,FALSE)="664W","Camry",IF(VLOOKUP(R39,Расчет!$A$2:$B$650,2,FALSE)="813W","Goshi","RAV4")),"")</f>
        <v/>
      </c>
      <c r="T39" s="32" t="str">
        <f>IFERROR(IF(S39="Camry",VLOOKUP(R39,Расчет!$A$2:$Q$650,17,FALSE),VLOOKUP(R39,Расчет!$A$2:$R$650,18,FALSE)),"")</f>
        <v/>
      </c>
      <c r="U39" s="32" t="str">
        <f>IFERROR(VLOOKUP(VLOOKUP(R39,Расчет!$A:$D,4,FALSE),$AT$6:$AV$15,3,FALSE),"")</f>
        <v/>
      </c>
      <c r="V39" s="31" t="str">
        <f>IFERROR(VLOOKUP(IFERROR(VLOOKUP(R39,Расчет!$A$2:$D$650,4,FALSE),0),$AT$3:$AU$15,2,FALSE),"")</f>
        <v/>
      </c>
      <c r="W39" s="33" t="str">
        <f>IFERROR(VLOOKUP(R39,Расчет!$A$2:$E$650,5,FALSE),"")</f>
        <v/>
      </c>
      <c r="X39" s="189"/>
      <c r="Y39" s="191">
        <f t="shared" si="11"/>
        <v>0</v>
      </c>
      <c r="Z39" s="156" t="str">
        <f>IFERROR(IF(VLOOKUP(AC39,Расчет!$A$2:$B$236,2,FALSE)="831W","RAV4","Camry"),"-")</f>
        <v>-</v>
      </c>
      <c r="AA39" s="166" t="str">
        <f>IFERROR(VLOOKUP(AC39,Расчет!$A$2:$E$236,5,FALSE),"-")</f>
        <v>-</v>
      </c>
      <c r="AB39" s="167" t="str">
        <f>IFERROR(SMALL($BU$5:$BU$259,5),"")</f>
        <v/>
      </c>
      <c r="AC39" s="156" t="str">
        <f>IF(VLOOKUP2($BP$5:$BQ$500,1,AB39,COUNTIF($AB$35:AB39,AB39),2)=0,"-",VLOOKUP2($BP$5:$BQ$500,1,AB39,COUNTIF($AB$35:AB39,AB39),2))</f>
        <v>-</v>
      </c>
      <c r="AD39" s="353" t="str">
        <f>IFERROR(VLOOKUP(AC39,Расчет!$BS:$BT,2,FALSE),"")</f>
        <v/>
      </c>
      <c r="AE39" s="89">
        <v>37</v>
      </c>
      <c r="AF39" s="44" t="str">
        <f>IF(VLOOKUP(AE39,Расчет!$AH$2:$AN$201,5,FALSE)="8","C",IF(VLOOKUP(AE39,Расчет!$AH$2:$AN$201,5,FALSE)="G","G","R"))</f>
        <v>R</v>
      </c>
      <c r="AG39" s="73" t="str">
        <f t="shared" si="2"/>
        <v/>
      </c>
      <c r="AH39" s="87" t="str">
        <f>IF(AG39="","",COUNTIF($AG$2:AG39,"C")-COUNTIF($AF$2:AF39,"C")+$AH$1)</f>
        <v/>
      </c>
      <c r="AI39" s="87" t="str">
        <f>IF(AG39="","",COUNTIF($AG$2:AG39,"R")-COUNTIF($AF$2:AF39,"R")+$AI$1)</f>
        <v/>
      </c>
      <c r="AJ39" s="89">
        <v>140</v>
      </c>
      <c r="AK39" s="44" t="str">
        <f>IF(VLOOKUP(AJ39,Расчет!$AH$2:$AN$211,5,FALSE)="8","C",IF(VLOOKUP(AJ39,Расчет!$AH$2:$AN$211,5,FALSE)="G","G","R"))</f>
        <v>R</v>
      </c>
      <c r="AL39" s="74" t="str">
        <f t="shared" si="3"/>
        <v/>
      </c>
      <c r="AM39" s="118" t="str">
        <f>IF(AL39="","",(COUNTIF($AG$2:$AG$105,"C")+COUNTIF($AL$2:$AL39,"C"))-(COUNTIF($AF$2:$AF$105,"C")+COUNTIF($AK$2:$AK39,"C"))+$AH$1)</f>
        <v/>
      </c>
      <c r="AN39" s="119" t="str">
        <f>IF(AL39="","",(COUNTIF($AG$2:$AG$105,"R")+COUNTIF($AL$2:$AL39,"R"))-(COUNTIF($AF$2:$AF$105,"R")+COUNTIF($AK$2:$AK39,"R"))+$AI$1)</f>
        <v/>
      </c>
      <c r="AO39" s="22" t="str">
        <f>IF(E39="","",COUNTA($E$3:E39)+$Z$1)</f>
        <v/>
      </c>
      <c r="AP39" s="88" t="str">
        <f>IF(AO39="","",IF(AO39+Расчет!$Y$57+$BD$2-Расчет!$X$57&gt;200,AO39+Расчет!$Y$57+$BD$2-1000,AO39+Расчет!$Y$57+$BD$2))</f>
        <v/>
      </c>
      <c r="AR39" s="92"/>
      <c r="AS39" s="92"/>
      <c r="BL39" s="172">
        <f>COUNTIF($BM$5:BM39,"&lt;-115")</f>
        <v>0</v>
      </c>
      <c r="BM39" s="154" t="str">
        <f>IFERROR(IF(OR(IFERROR(VLOOKUP(BN39,$E$3:$E$105,1,FALSE),"0")=BN39,IFERROR(VLOOKUP(BN39,$R$3:$R$105,1,FALSE),"0")=BN39),BO39,IF(OR(VLOOKUP(BN39,Расчет!A:E,5,FALSE)="2PS",VLOOKUP(BN39,Расчет!A:E,5,FALSE)="2QL"),IF(VLOOKUP(BN39,Расчет!A:B,2,FALSE)="831W",BN39-$BS$7+$AD$17,BN39-$BS$7+$AD$12),BN39-$BS$7)),"-")</f>
        <v>-</v>
      </c>
      <c r="BN39" s="154" t="str">
        <f>IF(OR(Расчет!C36="A0",Расчет!C36="P9",Расчет!B36="722W"),"-",Расчет!A36)</f>
        <v>-</v>
      </c>
      <c r="BO39" s="173">
        <f t="shared" si="15"/>
        <v>0</v>
      </c>
      <c r="BP39" s="172" t="str">
        <f>IF(BQ39="-","-",IFERROR(IF(OR(VLOOKUP(BN39,Расчет!$A$2:$E$582,5,FALSE)="2PS",VLOOKUP(BN39,Расчет!$A$2:$E$582,5,FALSE)="2QL"),IF(OR(VLOOKUP(BN39,Расчет!$A$2:$E$582,2,FALSE)="664W",VLOOKUP(BN39,Расчет!$A$2:$E$582,2,FALSE)="813W"),IF(BN39-$BS$7&gt;150,BN39-$BS$7-1000+$AD$12,BN39-$BS$7+$AD$12),IF(BN39-$BS$7&gt;150,BN39-$BS$7-1000+$AD$17,BN39-$BS$7+$AD$17)),IF(BN39-$BS$7&gt;150,BN39-$BS$7-1000,BN39-$BS$7)),"-"))</f>
        <v>-</v>
      </c>
      <c r="BQ39" s="173" t="str">
        <f t="shared" si="12"/>
        <v>-</v>
      </c>
      <c r="BR39" s="453"/>
      <c r="BS39" s="171"/>
      <c r="BT39" s="464" t="str">
        <f t="shared" si="13"/>
        <v>-</v>
      </c>
      <c r="BU39" s="464" t="str">
        <f t="shared" si="14"/>
        <v>-</v>
      </c>
      <c r="BX39" s="204">
        <f>COUNTIF($BY$4:BY39,"&lt;100")</f>
        <v>0</v>
      </c>
      <c r="BY39" s="213" t="str">
        <f t="shared" si="26"/>
        <v/>
      </c>
      <c r="BZ39" s="216" t="str">
        <f t="shared" si="27"/>
        <v/>
      </c>
      <c r="CA39" s="213" t="e">
        <f t="shared" si="6"/>
        <v>#N/A</v>
      </c>
      <c r="CB39" s="209" t="e">
        <f t="shared" si="7"/>
        <v>#N/A</v>
      </c>
      <c r="CC39" s="205" t="str">
        <f t="shared" si="16"/>
        <v/>
      </c>
      <c r="CD39" s="205" t="str">
        <f t="shared" si="28"/>
        <v>-</v>
      </c>
      <c r="CE39" s="205">
        <f t="shared" si="29"/>
        <v>0</v>
      </c>
      <c r="CG39" s="20" t="str">
        <f t="shared" si="25"/>
        <v/>
      </c>
    </row>
    <row r="40" spans="1:85" ht="23.1" customHeight="1" thickBot="1">
      <c r="A40" s="40" t="str">
        <f>IF(AND(IFERROR(VLOOKUP(E40,Расчет!A:J,10,FALSE),"  ")&lt;&gt;"  ",IFERROR(LEFT(VLOOKUP(E40,Расчет!A:J,10,FALSE),1)," ")&lt;&gt;"H"),0,IFERROR(IF(F40="Camry",IF(OR(J40="2PS",J40="2QL"),IF(E40-AP40&gt;100,E40-AP40-1000+$AD$12,E40-AP40+$AD$12),IF(E40-AP40&gt;100,E40-AP40-1000,E40-AP40)),IF(J40="2PS",IF(E40-AP40&gt;100,E40-AP40-1000+$AD$17,E40-AP40+$AD$17),IF(E40-AP40&gt;100,E40-AP40-1000,E40-AP40))),"-"))</f>
        <v>-</v>
      </c>
      <c r="B40" s="46">
        <v>38</v>
      </c>
      <c r="C40" s="19" t="str">
        <f>IF(E40="","",COUNTA($E$3:E40))</f>
        <v/>
      </c>
      <c r="D40" s="18" t="str">
        <f>IFERROR(IF(AO40&gt;=1000,AO40-1000,AO40),"")</f>
        <v/>
      </c>
      <c r="E40" s="30"/>
      <c r="F40" s="44" t="str">
        <f>IFERROR(IF(VLOOKUP(E40,Расчет!$A$2:$B$650,2,FALSE)="664W","Camry",IF(VLOOKUP(E40,Расчет!$A$2:$B$650,2,FALSE)="813W","Goshi","RAV4")),"")</f>
        <v/>
      </c>
      <c r="G40" s="32" t="str">
        <f>IFERROR(IF(F40="Camry",VLOOKUP(E40,Расчет!$A$2:$Q$650,17,FALSE),VLOOKUP(E40,Расчет!$A$2:$R$650,18,FALSE)),"")</f>
        <v/>
      </c>
      <c r="H40" s="32" t="str">
        <f>IFERROR(VLOOKUP(VLOOKUP(E40,Расчет!$A:$D,4,FALSE),$AT$6:$AV$15,3,FALSE),"")</f>
        <v/>
      </c>
      <c r="I40" s="31" t="str">
        <f>IFERROR(VLOOKUP(IFERROR(VLOOKUP(E40,Расчет!$A$2:$D$650,4,FALSE),0),$AT$3:$AU$15,2,FALSE),"")</f>
        <v/>
      </c>
      <c r="J40" s="33" t="str">
        <f>IFERROR(VLOOKUP(E40,Расчет!$A$2:$E$650,5,FALSE),"")</f>
        <v/>
      </c>
      <c r="K40" s="189"/>
      <c r="L40" s="188">
        <f t="shared" si="10"/>
        <v>0</v>
      </c>
      <c r="M40" s="38"/>
      <c r="N40" s="40" t="str">
        <f>IF(AND(IFERROR(VLOOKUP(R40,Расчет!A:J,10,FALSE),"  ")&lt;&gt;"  ",IFERROR(LEFT(VLOOKUP(R40,Расчет!A:J,10,FALSE),1)," ")&lt;&gt;"H"),0,IFERROR(IF(S40="Camry",IF(OR(W40="2PS",W40="2QL"),IF(R40-AP143&gt;100,R40-AP143-1000+$AD$12,R40-AP143+$AD$12),IF(R40-AP143&gt;100,R40-AP143-1000,R40-AP143)),IF(W40="2PS",IF(R40-AP143&gt;100,R40-AP143-1000+$AD$17,R40-AP143+$AD$17),IF(R40-AP143&gt;100,R40-AP143-1000,R40-AP143))),"-"))</f>
        <v>-</v>
      </c>
      <c r="O40" s="46">
        <v>141</v>
      </c>
      <c r="P40" s="19" t="str">
        <f>IF(R40="","",COUNTA($R$3:R40)+$C$105)</f>
        <v/>
      </c>
      <c r="Q40" s="18" t="str">
        <f t="shared" si="1"/>
        <v/>
      </c>
      <c r="R40" s="30"/>
      <c r="S40" s="45" t="str">
        <f>IFERROR(IF(VLOOKUP(R40,Расчет!$A$2:$B$650,2,FALSE)="664W","Camry",IF(VLOOKUP(R40,Расчет!$A$2:$B$650,2,FALSE)="813W","Goshi","RAV4")),"")</f>
        <v/>
      </c>
      <c r="T40" s="32" t="str">
        <f>IFERROR(IF(S40="Camry",VLOOKUP(R40,Расчет!$A$2:$Q$650,17,FALSE),VLOOKUP(R40,Расчет!$A$2:$R$650,18,FALSE)),"")</f>
        <v/>
      </c>
      <c r="U40" s="32" t="str">
        <f>IFERROR(VLOOKUP(VLOOKUP(R40,Расчет!$A:$D,4,FALSE),$AT$6:$AV$15,3,FALSE),"")</f>
        <v/>
      </c>
      <c r="V40" s="31" t="str">
        <f>IFERROR(VLOOKUP(IFERROR(VLOOKUP(R40,Расчет!$A$2:$D$650,4,FALSE),0),$AT$3:$AU$15,2,FALSE),"")</f>
        <v/>
      </c>
      <c r="W40" s="33" t="str">
        <f>IFERROR(VLOOKUP(R40,Расчет!$A$2:$E$650,5,FALSE),"")</f>
        <v/>
      </c>
      <c r="X40" s="189"/>
      <c r="Y40" s="191">
        <f t="shared" si="11"/>
        <v>0</v>
      </c>
      <c r="Z40" s="157" t="str">
        <f>IFERROR(IF(VLOOKUP(AC40,Расчет!$A$2:$B$236,2,FALSE)="831W","RAV4","Camry"),"-")</f>
        <v>-</v>
      </c>
      <c r="AA40" s="170" t="str">
        <f>IFERROR(VLOOKUP(AC40,Расчет!$A$2:$E$236,5,FALSE),"-")</f>
        <v>-</v>
      </c>
      <c r="AB40" s="168" t="str">
        <f>IFERROR(SMALL($BU$5:$BU$259,6),"")</f>
        <v/>
      </c>
      <c r="AC40" s="157" t="str">
        <f>IF(VLOOKUP2($BP$5:$BQ$500,1,AB40,COUNTIF($AB$35:AB40,AB40),2)=0,"-",VLOOKUP2($BP$5:$BQ$500,1,AB40,COUNTIF($AB$35:AB40,AB40),2))</f>
        <v>-</v>
      </c>
      <c r="AD40" s="147" t="str">
        <f>IFERROR(VLOOKUP(AC40,Расчет!$BS:$BT,2,FALSE),"")</f>
        <v/>
      </c>
      <c r="AE40" s="89">
        <v>38</v>
      </c>
      <c r="AF40" s="44" t="str">
        <f>IF(VLOOKUP(AE40,Расчет!$AH$2:$AN$201,5,FALSE)="8","C",IF(VLOOKUP(AE40,Расчет!$AH$2:$AN$201,5,FALSE)="G","G","R"))</f>
        <v>C</v>
      </c>
      <c r="AG40" s="73" t="str">
        <f t="shared" si="2"/>
        <v/>
      </c>
      <c r="AH40" s="87" t="str">
        <f>IF(AG40="","",COUNTIF($AG$2:AG40,"C")-COUNTIF($AF$2:AF40,"C")+$AH$1)</f>
        <v/>
      </c>
      <c r="AI40" s="87" t="str">
        <f>IF(AG40="","",COUNTIF($AG$2:AG40,"R")-COUNTIF($AF$2:AF40,"R")+$AI$1)</f>
        <v/>
      </c>
      <c r="AJ40" s="89">
        <v>141</v>
      </c>
      <c r="AK40" s="44" t="str">
        <f>IF(VLOOKUP(AJ40,Расчет!$AH$2:$AN$211,5,FALSE)="8","C",IF(VLOOKUP(AJ40,Расчет!$AH$2:$AN$211,5,FALSE)="G","G","R"))</f>
        <v>C</v>
      </c>
      <c r="AL40" s="74" t="str">
        <f t="shared" si="3"/>
        <v/>
      </c>
      <c r="AM40" s="118" t="str">
        <f>IF(AL40="","",(COUNTIF($AG$2:$AG$105,"C")+COUNTIF($AL$2:$AL40,"C"))-(COUNTIF($AF$2:$AF$105,"C")+COUNTIF($AK$2:$AK40,"C"))+$AH$1)</f>
        <v/>
      </c>
      <c r="AN40" s="119" t="str">
        <f>IF(AL40="","",(COUNTIF($AG$2:$AG$105,"R")+COUNTIF($AL$2:$AL40,"R"))-(COUNTIF($AF$2:$AF$105,"R")+COUNTIF($AK$2:$AK40,"R"))+$AI$1)</f>
        <v/>
      </c>
      <c r="AO40" s="22" t="str">
        <f>IF(E40="","",COUNTA($E$3:E40)+$Z$1)</f>
        <v/>
      </c>
      <c r="AP40" s="88" t="str">
        <f>IF(AO40="","",IF(AO40+Расчет!$Y$57+$BD$2-Расчет!$X$57&gt;200,AO40+Расчет!$Y$57+$BD$2-1000,AO40+Расчет!$Y$57+$BD$2))</f>
        <v/>
      </c>
      <c r="AR40" s="92"/>
      <c r="AS40" s="92"/>
      <c r="BL40" s="172">
        <f>COUNTIF($BM$5:BM40,"&lt;-115")</f>
        <v>0</v>
      </c>
      <c r="BM40" s="154" t="str">
        <f>IFERROR(IF(OR(IFERROR(VLOOKUP(BN40,$E$3:$E$105,1,FALSE),"0")=BN40,IFERROR(VLOOKUP(BN40,$R$3:$R$105,1,FALSE),"0")=BN40),BO40,IF(OR(VLOOKUP(BN40,Расчет!A:E,5,FALSE)="2PS",VLOOKUP(BN40,Расчет!A:E,5,FALSE)="2QL"),IF(VLOOKUP(BN40,Расчет!A:B,2,FALSE)="831W",BN40-$BS$7+$AD$17,BN40-$BS$7+$AD$12),BN40-$BS$7)),"-")</f>
        <v>-</v>
      </c>
      <c r="BN40" s="154" t="str">
        <f>IF(OR(Расчет!C37="A0",Расчет!C37="P9",Расчет!B37="722W"),"-",Расчет!A37)</f>
        <v>-</v>
      </c>
      <c r="BO40" s="173">
        <f t="shared" si="15"/>
        <v>0</v>
      </c>
      <c r="BP40" s="172" t="str">
        <f>IF(BQ40="-","-",IFERROR(IF(OR(VLOOKUP(BN40,Расчет!$A$2:$E$582,5,FALSE)="2PS",VLOOKUP(BN40,Расчет!$A$2:$E$582,5,FALSE)="2QL"),IF(OR(VLOOKUP(BN40,Расчет!$A$2:$E$582,2,FALSE)="664W",VLOOKUP(BN40,Расчет!$A$2:$E$582,2,FALSE)="813W"),IF(BN40-$BS$7&gt;150,BN40-$BS$7-1000+$AD$12,BN40-$BS$7+$AD$12),IF(BN40-$BS$7&gt;150,BN40-$BS$7-1000+$AD$17,BN40-$BS$7+$AD$17)),IF(BN40-$BS$7&gt;150,BN40-$BS$7-1000,BN40-$BS$7)),"-"))</f>
        <v>-</v>
      </c>
      <c r="BQ40" s="173" t="str">
        <f t="shared" si="12"/>
        <v>-</v>
      </c>
      <c r="BR40" s="453"/>
      <c r="BS40" s="171"/>
      <c r="BT40" s="464" t="str">
        <f t="shared" si="13"/>
        <v>-</v>
      </c>
      <c r="BU40" s="464" t="str">
        <f t="shared" si="14"/>
        <v>-</v>
      </c>
      <c r="BX40" s="204">
        <f>COUNTIF($BY$4:BY40,"&lt;100")</f>
        <v>0</v>
      </c>
      <c r="BY40" s="213" t="str">
        <f t="shared" si="26"/>
        <v/>
      </c>
      <c r="BZ40" s="216" t="str">
        <f t="shared" si="27"/>
        <v/>
      </c>
      <c r="CA40" s="213" t="e">
        <f t="shared" si="6"/>
        <v>#N/A</v>
      </c>
      <c r="CB40" s="209" t="e">
        <f t="shared" si="7"/>
        <v>#N/A</v>
      </c>
      <c r="CC40" s="205" t="str">
        <f t="shared" si="16"/>
        <v/>
      </c>
      <c r="CD40" s="205" t="str">
        <f t="shared" si="28"/>
        <v>-</v>
      </c>
      <c r="CE40" s="205">
        <f t="shared" si="29"/>
        <v>0</v>
      </c>
      <c r="CG40" s="20" t="str">
        <f t="shared" si="25"/>
        <v/>
      </c>
    </row>
    <row r="41" spans="1:85" ht="23.1" customHeight="1" thickBot="1">
      <c r="A41" s="40" t="str">
        <f>IF(AND(IFERROR(VLOOKUP(E41,Расчет!A:J,10,FALSE),"  ")&lt;&gt;"  ",IFERROR(LEFT(VLOOKUP(E41,Расчет!A:J,10,FALSE),1)," ")&lt;&gt;"H"),0,IFERROR(IF(F41="Camry",IF(OR(J41="2PS",J41="2QL"),IF(E41-AP41&gt;100,E41-AP41-1000+$AD$12,E41-AP41+$AD$12),IF(E41-AP41&gt;100,E41-AP41-1000,E41-AP41)),IF(J41="2PS",IF(E41-AP41&gt;100,E41-AP41-1000+$AD$17,E41-AP41+$AD$17),IF(E41-AP41&gt;100,E41-AP41-1000,E41-AP41))),"-"))</f>
        <v>-</v>
      </c>
      <c r="B41" s="46">
        <v>39</v>
      </c>
      <c r="C41" s="19" t="str">
        <f>IF(E41="","",COUNTA($E$3:E41))</f>
        <v/>
      </c>
      <c r="D41" s="18" t="str">
        <f t="shared" si="0"/>
        <v/>
      </c>
      <c r="E41" s="30"/>
      <c r="F41" s="44" t="str">
        <f>IFERROR(IF(VLOOKUP(E41,Расчет!$A$2:$B$650,2,FALSE)="664W","Camry",IF(VLOOKUP(E41,Расчет!$A$2:$B$650,2,FALSE)="813W","Goshi","RAV4")),"")</f>
        <v/>
      </c>
      <c r="G41" s="32" t="str">
        <f>IFERROR(IF(F41="Camry",VLOOKUP(E41,Расчет!$A$2:$Q$650,17,FALSE),VLOOKUP(E41,Расчет!$A$2:$R$650,18,FALSE)),"")</f>
        <v/>
      </c>
      <c r="H41" s="32" t="str">
        <f>IFERROR(VLOOKUP(VLOOKUP(E41,Расчет!$A:$D,4,FALSE),$AT$6:$AV$15,3,FALSE),"")</f>
        <v/>
      </c>
      <c r="I41" s="31" t="str">
        <f>IFERROR(VLOOKUP(IFERROR(VLOOKUP(E41,Расчет!$A$2:$D$650,4,FALSE),0),$AT$3:$AU$15,2,FALSE),"")</f>
        <v/>
      </c>
      <c r="J41" s="33" t="str">
        <f>IFERROR(VLOOKUP(E41,Расчет!$A$2:$E$650,5,FALSE),"")</f>
        <v/>
      </c>
      <c r="K41" s="189"/>
      <c r="L41" s="188">
        <f t="shared" si="10"/>
        <v>0</v>
      </c>
      <c r="M41" s="38"/>
      <c r="N41" s="40" t="str">
        <f>IF(AND(IFERROR(VLOOKUP(R41,Расчет!A:J,10,FALSE),"  ")&lt;&gt;"  ",IFERROR(LEFT(VLOOKUP(R41,Расчет!A:J,10,FALSE),1)," ")&lt;&gt;"H"),0,IFERROR(IF(S41="Camry",IF(OR(W41="2PS",W41="2QL"),IF(R41-AP144&gt;100,R41-AP144-1000+$AD$12,R41-AP144+$AD$12),IF(R41-AP144&gt;100,R41-AP144-1000,R41-AP144)),IF(W41="2PS",IF(R41-AP144&gt;100,R41-AP144-1000+$AD$17,R41-AP144+$AD$17),IF(R41-AP144&gt;100,R41-AP144-1000,R41-AP144))),"-"))</f>
        <v>-</v>
      </c>
      <c r="O41" s="46">
        <v>142</v>
      </c>
      <c r="P41" s="19" t="str">
        <f>IF(R41="","",COUNTA($R$3:R41)+$C$105)</f>
        <v/>
      </c>
      <c r="Q41" s="18" t="str">
        <f t="shared" si="1"/>
        <v/>
      </c>
      <c r="R41" s="30"/>
      <c r="S41" s="45" t="str">
        <f>IFERROR(IF(VLOOKUP(R41,Расчет!$A$2:$B$650,2,FALSE)="664W","Camry",IF(VLOOKUP(R41,Расчет!$A$2:$B$650,2,FALSE)="813W","Goshi","RAV4")),"")</f>
        <v/>
      </c>
      <c r="T41" s="32" t="str">
        <f>IFERROR(IF(S41="Camry",VLOOKUP(R41,Расчет!$A$2:$Q$650,17,FALSE),VLOOKUP(R41,Расчет!$A$2:$R$650,18,FALSE)),"")</f>
        <v/>
      </c>
      <c r="U41" s="32" t="str">
        <f>IFERROR(VLOOKUP(VLOOKUP(R41,Расчет!$A:$D,4,FALSE),$AT$6:$AV$15,3,FALSE),"")</f>
        <v/>
      </c>
      <c r="V41" s="31" t="str">
        <f>IFERROR(VLOOKUP(IFERROR(VLOOKUP(R41,Расчет!$A$2:$D$650,4,FALSE),0),$AT$3:$AU$15,2,FALSE),"")</f>
        <v/>
      </c>
      <c r="W41" s="33" t="str">
        <f>IFERROR(VLOOKUP(R41,Расчет!$A$2:$E$650,5,FALSE),"")</f>
        <v/>
      </c>
      <c r="X41" s="189"/>
      <c r="Y41" s="191">
        <f t="shared" si="11"/>
        <v>0</v>
      </c>
      <c r="Z41" s="613" t="s">
        <v>139</v>
      </c>
      <c r="AA41" s="688"/>
      <c r="AB41" s="688"/>
      <c r="AC41" s="688"/>
      <c r="AD41" s="614"/>
      <c r="AE41" s="89">
        <v>39</v>
      </c>
      <c r="AF41" s="44" t="str">
        <f>IF(VLOOKUP(AE41,Расчет!$AH$2:$AN$201,5,FALSE)="8","C",IF(VLOOKUP(AE41,Расчет!$AH$2:$AN$201,5,FALSE)="G","G","R"))</f>
        <v>R</v>
      </c>
      <c r="AG41" s="73" t="str">
        <f t="shared" si="2"/>
        <v/>
      </c>
      <c r="AH41" s="87" t="str">
        <f>IF(AG41="","",COUNTIF($AG$2:AG41,"C")-COUNTIF($AF$2:AF41,"C")+$AH$1)</f>
        <v/>
      </c>
      <c r="AI41" s="87" t="str">
        <f>IF(AG41="","",COUNTIF($AG$2:AG41,"R")-COUNTIF($AF$2:AF41,"R")+$AI$1)</f>
        <v/>
      </c>
      <c r="AJ41" s="89">
        <v>142</v>
      </c>
      <c r="AK41" s="44" t="str">
        <f>IF(VLOOKUP(AJ41,Расчет!$AH$2:$AN$211,5,FALSE)="8","C",IF(VLOOKUP(AJ41,Расчет!$AH$2:$AN$211,5,FALSE)="G","G","R"))</f>
        <v>R</v>
      </c>
      <c r="AL41" s="74" t="str">
        <f t="shared" si="3"/>
        <v/>
      </c>
      <c r="AM41" s="118" t="str">
        <f>IF(AL41="","",(COUNTIF($AG$2:$AG$105,"C")+COUNTIF($AL$2:$AL41,"C"))-(COUNTIF($AF$2:$AF$105,"C")+COUNTIF($AK$2:$AK41,"C"))+$AH$1)</f>
        <v/>
      </c>
      <c r="AN41" s="119" t="str">
        <f>IF(AL41="","",(COUNTIF($AG$2:$AG$105,"R")+COUNTIF($AL$2:$AL41,"R"))-(COUNTIF($AF$2:$AF$105,"R")+COUNTIF($AK$2:$AK41,"R"))+$AI$1)</f>
        <v/>
      </c>
      <c r="AO41" s="22" t="str">
        <f>IF(E41="","",COUNTA($E$3:E41)+$Z$1)</f>
        <v/>
      </c>
      <c r="AP41" s="88" t="str">
        <f>IF(AO41="","",IF(AO41+Расчет!$Y$57+$BD$2-Расчет!$X$57&gt;200,AO41+Расчет!$Y$57+$BD$2-1000,AO41+Расчет!$Y$57+$BD$2))</f>
        <v/>
      </c>
      <c r="AR41" s="92"/>
      <c r="AS41" s="92"/>
      <c r="BL41" s="172">
        <f>COUNTIF($BM$5:BM41,"&lt;-115")</f>
        <v>0</v>
      </c>
      <c r="BM41" s="154" t="str">
        <f>IFERROR(IF(OR(IFERROR(VLOOKUP(BN41,$E$3:$E$105,1,FALSE),"0")=BN41,IFERROR(VLOOKUP(BN41,$R$3:$R$105,1,FALSE),"0")=BN41),BO41,IF(OR(VLOOKUP(BN41,Расчет!A:E,5,FALSE)="2PS",VLOOKUP(BN41,Расчет!A:E,5,FALSE)="2QL"),IF(VLOOKUP(BN41,Расчет!A:B,2,FALSE)="831W",BN41-$BS$7+$AD$17,BN41-$BS$7+$AD$12),BN41-$BS$7)),"-")</f>
        <v>-</v>
      </c>
      <c r="BN41" s="154">
        <f>IF(OR(Расчет!C38="A0",Расчет!C38="P9",Расчет!B38="722W"),"-",Расчет!A38)</f>
        <v>11183</v>
      </c>
      <c r="BO41" s="173">
        <f t="shared" si="15"/>
        <v>0</v>
      </c>
      <c r="BP41" s="172" t="str">
        <f>IF(BQ41="-","-",IFERROR(IF(OR(VLOOKUP(BN41,Расчет!$A$2:$E$582,5,FALSE)="2PS",VLOOKUP(BN41,Расчет!$A$2:$E$582,5,FALSE)="2QL"),IF(OR(VLOOKUP(BN41,Расчет!$A$2:$E$582,2,FALSE)="664W",VLOOKUP(BN41,Расчет!$A$2:$E$582,2,FALSE)="813W"),IF(BN41-$BS$7&gt;150,BN41-$BS$7-1000+$AD$12,BN41-$BS$7+$AD$12),IF(BN41-$BS$7&gt;150,BN41-$BS$7-1000+$AD$17,BN41-$BS$7+$AD$17)),IF(BN41-$BS$7&gt;150,BN41-$BS$7-1000,BN41-$BS$7)),"-"))</f>
        <v>-</v>
      </c>
      <c r="BQ41" s="173">
        <f t="shared" si="12"/>
        <v>11183</v>
      </c>
      <c r="BR41" s="453"/>
      <c r="BS41" s="171"/>
      <c r="BT41" s="464" t="str">
        <f t="shared" si="13"/>
        <v>-</v>
      </c>
      <c r="BU41" s="464" t="str">
        <f t="shared" si="14"/>
        <v>-</v>
      </c>
      <c r="BX41" s="204">
        <f>COUNTIF($BY$4:BY41,"&lt;100")</f>
        <v>0</v>
      </c>
      <c r="BY41" s="213" t="str">
        <f t="shared" si="26"/>
        <v/>
      </c>
      <c r="BZ41" s="216" t="str">
        <f t="shared" si="27"/>
        <v/>
      </c>
      <c r="CA41" s="213" t="e">
        <f t="shared" si="6"/>
        <v>#N/A</v>
      </c>
      <c r="CB41" s="209" t="e">
        <f t="shared" si="7"/>
        <v>#N/A</v>
      </c>
      <c r="CC41" s="205" t="str">
        <f t="shared" si="16"/>
        <v/>
      </c>
      <c r="CD41" s="205" t="str">
        <f t="shared" si="28"/>
        <v>-</v>
      </c>
      <c r="CE41" s="205">
        <f t="shared" si="29"/>
        <v>0</v>
      </c>
      <c r="CG41" s="20" t="str">
        <f t="shared" si="25"/>
        <v/>
      </c>
    </row>
    <row r="42" spans="1:85" ht="23.1" customHeight="1" thickBot="1">
      <c r="A42" s="40" t="str">
        <f>IF(AND(IFERROR(VLOOKUP(E42,Расчет!A:J,10,FALSE),"  ")&lt;&gt;"  ",IFERROR(LEFT(VLOOKUP(E42,Расчет!A:J,10,FALSE),1)," ")&lt;&gt;"H"),0,IFERROR(IF(F42="Camry",IF(OR(J42="2PS",J42="2QL"),IF(E42-AP42&gt;100,E42-AP42-1000+$AD$12,E42-AP42+$AD$12),IF(E42-AP42&gt;100,E42-AP42-1000,E42-AP42)),IF(J42="2PS",IF(E42-AP42&gt;100,E42-AP42-1000+$AD$17,E42-AP42+$AD$17),IF(E42-AP42&gt;100,E42-AP42-1000,E42-AP42))),"-"))</f>
        <v>-</v>
      </c>
      <c r="B42" s="46">
        <v>40</v>
      </c>
      <c r="C42" s="19" t="str">
        <f>IF(E42="","",COUNTA($E$3:E42))</f>
        <v/>
      </c>
      <c r="D42" s="18" t="str">
        <f t="shared" si="0"/>
        <v/>
      </c>
      <c r="E42" s="30"/>
      <c r="F42" s="44" t="str">
        <f>IFERROR(IF(VLOOKUP(E42,Расчет!$A$2:$B$650,2,FALSE)="664W","Camry",IF(VLOOKUP(E42,Расчет!$A$2:$B$650,2,FALSE)="813W","Goshi","RAV4")),"")</f>
        <v/>
      </c>
      <c r="G42" s="32" t="str">
        <f>IFERROR(IF(F42="Camry",VLOOKUP(E42,Расчет!$A$2:$Q$650,17,FALSE),VLOOKUP(E42,Расчет!$A$2:$R$650,18,FALSE)),"")</f>
        <v/>
      </c>
      <c r="H42" s="32" t="str">
        <f>IFERROR(VLOOKUP(VLOOKUP(E42,Расчет!$A:$D,4,FALSE),$AT$6:$AV$15,3,FALSE),"")</f>
        <v/>
      </c>
      <c r="I42" s="31" t="str">
        <f>IFERROR(VLOOKUP(IFERROR(VLOOKUP(E42,Расчет!$A$2:$D$650,4,FALSE),0),$AT$3:$AU$15,2,FALSE),"")</f>
        <v/>
      </c>
      <c r="J42" s="33" t="str">
        <f>IFERROR(VLOOKUP(E42,Расчет!$A$2:$E$650,5,FALSE),"")</f>
        <v/>
      </c>
      <c r="K42" s="189"/>
      <c r="L42" s="188">
        <f>K42-K41</f>
        <v>0</v>
      </c>
      <c r="M42" s="38"/>
      <c r="N42" s="40" t="str">
        <f>IF(AND(IFERROR(VLOOKUP(R42,Расчет!A:J,10,FALSE),"  ")&lt;&gt;"  ",IFERROR(LEFT(VLOOKUP(R42,Расчет!A:J,10,FALSE),1)," ")&lt;&gt;"H"),0,IFERROR(IF(S42="Camry",IF(OR(W42="2PS",W42="2QL"),IF(R42-AP145&gt;100,R42-AP145-1000+$AD$12,R42-AP145+$AD$12),IF(R42-AP145&gt;100,R42-AP145-1000,R42-AP145)),IF(W42="2PS",IF(R42-AP145&gt;100,R42-AP145-1000+$AD$17,R42-AP145+$AD$17),IF(R42-AP145&gt;100,R42-AP145-1000,R42-AP145))),"-"))</f>
        <v>-</v>
      </c>
      <c r="O42" s="46">
        <v>143</v>
      </c>
      <c r="P42" s="19" t="str">
        <f>IF(R42="","",COUNTA($R$3:R42)+$C$105)</f>
        <v/>
      </c>
      <c r="Q42" s="18" t="str">
        <f t="shared" si="1"/>
        <v/>
      </c>
      <c r="R42" s="30"/>
      <c r="S42" s="45" t="str">
        <f>IFERROR(IF(VLOOKUP(R42,Расчет!$A$2:$B$650,2,FALSE)="664W","Camry",IF(VLOOKUP(R42,Расчет!$A$2:$B$650,2,FALSE)="813W","Goshi","RAV4")),"")</f>
        <v/>
      </c>
      <c r="T42" s="32" t="str">
        <f>IFERROR(IF(S42="Camry",VLOOKUP(R42,Расчет!$A$2:$Q$650,17,FALSE),VLOOKUP(R42,Расчет!$A$2:$R$650,18,FALSE)),"")</f>
        <v/>
      </c>
      <c r="U42" s="32" t="str">
        <f>IFERROR(VLOOKUP(VLOOKUP(R42,Расчет!$A:$D,4,FALSE),$AT$6:$AV$15,3,FALSE),"")</f>
        <v/>
      </c>
      <c r="V42" s="31" t="str">
        <f>IFERROR(VLOOKUP(IFERROR(VLOOKUP(R42,Расчет!$A$2:$D$650,4,FALSE),0),$AT$3:$AU$15,2,FALSE),"")</f>
        <v/>
      </c>
      <c r="W42" s="33" t="str">
        <f>IFERROR(VLOOKUP(R42,Расчет!$A$2:$E$650,5,FALSE),"")</f>
        <v/>
      </c>
      <c r="X42" s="189"/>
      <c r="Y42" s="191">
        <f t="shared" si="11"/>
        <v>0</v>
      </c>
      <c r="Z42" s="734" t="s">
        <v>36</v>
      </c>
      <c r="AA42" s="735"/>
      <c r="AB42" s="146" t="s">
        <v>132</v>
      </c>
      <c r="AC42" s="439" t="s">
        <v>26</v>
      </c>
      <c r="AD42" s="146" t="s">
        <v>27</v>
      </c>
      <c r="AE42" s="195">
        <v>40</v>
      </c>
      <c r="AF42" s="44" t="str">
        <f>IF(VLOOKUP(AE42,Расчет!$AH$2:$AN$201,5,FALSE)="8","C",IF(VLOOKUP(AE42,Расчет!$AH$2:$AN$201,5,FALSE)="G","G","R"))</f>
        <v>R</v>
      </c>
      <c r="AG42" s="73" t="str">
        <f t="shared" si="2"/>
        <v/>
      </c>
      <c r="AH42" s="87" t="str">
        <f>IF(AG42="","",COUNTIF($AG$2:AG42,"C")-COUNTIF($AF$2:AF42,"C")+$AH$1)</f>
        <v/>
      </c>
      <c r="AI42" s="87" t="str">
        <f>IF(AG42="","",COUNTIF($AG$2:AG42,"R")-COUNTIF($AF$2:AF42,"R")+$AI$1)</f>
        <v/>
      </c>
      <c r="AJ42" s="89">
        <v>143</v>
      </c>
      <c r="AK42" s="44" t="str">
        <f>IF(VLOOKUP(AJ42,Расчет!$AH$2:$AN$211,5,FALSE)="8","C",IF(VLOOKUP(AJ42,Расчет!$AH$2:$AN$211,5,FALSE)="G","G","R"))</f>
        <v>C</v>
      </c>
      <c r="AL42" s="74" t="str">
        <f t="shared" si="3"/>
        <v/>
      </c>
      <c r="AM42" s="118" t="str">
        <f>IF(AL42="","",(COUNTIF($AG$2:$AG$105,"C")+COUNTIF($AL$2:$AL42,"C"))-(COUNTIF($AF$2:$AF$105,"C")+COUNTIF($AK$2:$AK42,"C"))+$AH$1)</f>
        <v/>
      </c>
      <c r="AN42" s="119" t="str">
        <f>IF(AL42="","",(COUNTIF($AG$2:$AG$105,"R")+COUNTIF($AL$2:$AL42,"R"))-(COUNTIF($AF$2:$AF$105,"R")+COUNTIF($AK$2:$AK42,"R"))+$AI$1)</f>
        <v/>
      </c>
      <c r="AO42" s="22" t="str">
        <f>IF(E42="","",COUNTA($E$3:E42)+$Z$1)</f>
        <v/>
      </c>
      <c r="AP42" s="88" t="str">
        <f>IF(AO42="","",IF(AO42+Расчет!$Y$57+$BD$2-Расчет!$X$57&gt;200,AO42+Расчет!$Y$57+$BD$2-1000,AO42+Расчет!$Y$57+$BD$2))</f>
        <v/>
      </c>
      <c r="AR42" s="92"/>
      <c r="AS42" s="92"/>
      <c r="BL42" s="172">
        <f>COUNTIF($BM$5:BM42,"&lt;-115")</f>
        <v>0</v>
      </c>
      <c r="BM42" s="154" t="str">
        <f>IFERROR(IF(OR(IFERROR(VLOOKUP(BN42,$E$3:$E$105,1,FALSE),"0")=BN42,IFERROR(VLOOKUP(BN42,$R$3:$R$105,1,FALSE),"0")=BN42),BO42,IF(OR(VLOOKUP(BN42,Расчет!A:E,5,FALSE)="2PS",VLOOKUP(BN42,Расчет!A:E,5,FALSE)="2QL"),IF(VLOOKUP(BN42,Расчет!A:B,2,FALSE)="831W",BN42-$BS$7+$AD$17,BN42-$BS$7+$AD$12),BN42-$BS$7)),"-")</f>
        <v>-</v>
      </c>
      <c r="BN42" s="154" t="str">
        <f>IF(OR(Расчет!C39="A0",Расчет!C39="P9",Расчет!B39="722W"),"-",Расчет!A39)</f>
        <v>-</v>
      </c>
      <c r="BO42" s="173">
        <f t="shared" si="15"/>
        <v>0</v>
      </c>
      <c r="BP42" s="172" t="str">
        <f>IF(BQ42="-","-",IFERROR(IF(OR(VLOOKUP(BN42,Расчет!$A$2:$E$582,5,FALSE)="2PS",VLOOKUP(BN42,Расчет!$A$2:$E$582,5,FALSE)="2QL"),IF(OR(VLOOKUP(BN42,Расчет!$A$2:$E$582,2,FALSE)="664W",VLOOKUP(BN42,Расчет!$A$2:$E$582,2,FALSE)="813W"),IF(BN42-$BS$7&gt;150,BN42-$BS$7-1000+$AD$12,BN42-$BS$7+$AD$12),IF(BN42-$BS$7&gt;150,BN42-$BS$7-1000+$AD$17,BN42-$BS$7+$AD$17)),IF(BN42-$BS$7&gt;150,BN42-$BS$7-1000,BN42-$BS$7)),"-"))</f>
        <v>-</v>
      </c>
      <c r="BQ42" s="173" t="str">
        <f t="shared" si="12"/>
        <v>-</v>
      </c>
      <c r="BR42" s="453"/>
      <c r="BS42" s="171"/>
      <c r="BT42" s="464" t="str">
        <f t="shared" si="13"/>
        <v>-</v>
      </c>
      <c r="BU42" s="464" t="str">
        <f t="shared" si="14"/>
        <v>-</v>
      </c>
      <c r="BX42" s="204">
        <f>COUNTIF($BY$4:BY42,"&lt;100")</f>
        <v>0</v>
      </c>
      <c r="BY42" s="213" t="str">
        <f t="shared" si="26"/>
        <v/>
      </c>
      <c r="BZ42" s="216" t="str">
        <f t="shared" si="27"/>
        <v/>
      </c>
      <c r="CA42" s="213" t="e">
        <f t="shared" si="6"/>
        <v>#N/A</v>
      </c>
      <c r="CB42" s="209" t="e">
        <f t="shared" si="7"/>
        <v>#N/A</v>
      </c>
      <c r="CC42" s="205" t="str">
        <f t="shared" si="16"/>
        <v/>
      </c>
      <c r="CD42" s="205" t="str">
        <f t="shared" si="28"/>
        <v>-</v>
      </c>
      <c r="CE42" s="205">
        <f t="shared" si="29"/>
        <v>0</v>
      </c>
      <c r="CG42" s="20" t="str">
        <f t="shared" si="25"/>
        <v/>
      </c>
    </row>
    <row r="43" spans="1:85" ht="23.1" customHeight="1">
      <c r="A43" s="40" t="str">
        <f>IF(AND(IFERROR(VLOOKUP(E43,Расчет!A:J,10,FALSE),"  ")&lt;&gt;"  ",IFERROR(LEFT(VLOOKUP(E43,Расчет!A:J,10,FALSE),1)," ")&lt;&gt;"H"),0,IFERROR(IF(F43="Camry",IF(OR(J43="2PS",J43="2QL"),IF(E43-AP43&gt;100,E43-AP43-1000+$AD$12,E43-AP43+$AD$12),IF(E43-AP43&gt;100,E43-AP43-1000,E43-AP43)),IF(J43="2PS",IF(E43-AP43&gt;100,E43-AP43-1000+$AD$17,E43-AP43+$AD$17),IF(E43-AP43&gt;100,E43-AP43-1000,E43-AP43))),"-"))</f>
        <v>-</v>
      </c>
      <c r="B43" s="46">
        <v>41</v>
      </c>
      <c r="C43" s="19" t="str">
        <f>IF(E43="","",COUNTA($E$3:E43))</f>
        <v/>
      </c>
      <c r="D43" s="18" t="str">
        <f t="shared" si="0"/>
        <v/>
      </c>
      <c r="E43" s="30"/>
      <c r="F43" s="44" t="str">
        <f>IFERROR(IF(VLOOKUP(E43,Расчет!$A$2:$B$650,2,FALSE)="664W","Camry",IF(VLOOKUP(E43,Расчет!$A$2:$B$650,2,FALSE)="813W","Goshi","RAV4")),"")</f>
        <v/>
      </c>
      <c r="G43" s="32" t="str">
        <f>IFERROR(IF(F43="Camry",VLOOKUP(E43,Расчет!$A$2:$Q$650,17,FALSE),VLOOKUP(E43,Расчет!$A$2:$R$650,18,FALSE)),"")</f>
        <v/>
      </c>
      <c r="H43" s="32" t="str">
        <f>IFERROR(VLOOKUP(VLOOKUP(E43,Расчет!$A:$D,4,FALSE),$AT$6:$AV$15,3,FALSE),"")</f>
        <v/>
      </c>
      <c r="I43" s="31" t="str">
        <f>IFERROR(VLOOKUP(IFERROR(VLOOKUP(E43,Расчет!$A$2:$D$650,4,FALSE),0),$AT$3:$AU$15,2,FALSE),"")</f>
        <v/>
      </c>
      <c r="J43" s="33" t="str">
        <f>IFERROR(VLOOKUP(E43,Расчет!$A$2:$E$650,5,FALSE),"")</f>
        <v/>
      </c>
      <c r="K43" s="189"/>
      <c r="L43" s="188">
        <f t="shared" si="10"/>
        <v>0</v>
      </c>
      <c r="M43" s="38"/>
      <c r="N43" s="40" t="str">
        <f>IF(AND(IFERROR(VLOOKUP(R43,Расчет!A:J,10,FALSE),"  ")&lt;&gt;"  ",IFERROR(LEFT(VLOOKUP(R43,Расчет!A:J,10,FALSE),1)," ")&lt;&gt;"H"),0,IFERROR(IF(S43="Camry",IF(OR(W43="2PS",W43="2QL"),IF(R43-AP146&gt;100,R43-AP146-1000+$AD$12,R43-AP146+$AD$12),IF(R43-AP146&gt;100,R43-AP146-1000,R43-AP146)),IF(W43="2PS",IF(R43-AP146&gt;100,R43-AP146-1000+$AD$17,R43-AP146+$AD$17),IF(R43-AP146&gt;100,R43-AP146-1000,R43-AP146))),"-"))</f>
        <v>-</v>
      </c>
      <c r="O43" s="46">
        <v>144</v>
      </c>
      <c r="P43" s="19" t="str">
        <f>IF(R43="","",COUNTA($R$3:R43)+$C$105)</f>
        <v/>
      </c>
      <c r="Q43" s="18" t="str">
        <f t="shared" si="1"/>
        <v/>
      </c>
      <c r="R43" s="30"/>
      <c r="S43" s="45" t="str">
        <f>IFERROR(IF(VLOOKUP(R43,Расчет!$A$2:$B$650,2,FALSE)="664W","Camry",IF(VLOOKUP(R43,Расчет!$A$2:$B$650,2,FALSE)="813W","Goshi","RAV4")),"")</f>
        <v/>
      </c>
      <c r="T43" s="32" t="str">
        <f>IFERROR(IF(S43="Camry",VLOOKUP(R43,Расчет!$A$2:$Q$650,17,FALSE),VLOOKUP(R43,Расчет!$A$2:$R$650,18,FALSE)),"")</f>
        <v/>
      </c>
      <c r="U43" s="32" t="str">
        <f>IFERROR(VLOOKUP(VLOOKUP(R43,Расчет!$A:$D,4,FALSE),$AT$6:$AV$15,3,FALSE),"")</f>
        <v/>
      </c>
      <c r="V43" s="31" t="str">
        <f>IFERROR(VLOOKUP(IFERROR(VLOOKUP(R43,Расчет!$A$2:$D$650,4,FALSE),0),$AT$3:$AU$15,2,FALSE),"")</f>
        <v/>
      </c>
      <c r="W43" s="33" t="str">
        <f>IFERROR(VLOOKUP(R43,Расчет!$A$2:$E$650,5,FALSE),"")</f>
        <v/>
      </c>
      <c r="X43" s="189"/>
      <c r="Y43" s="191">
        <f t="shared" si="11"/>
        <v>0</v>
      </c>
      <c r="Z43" s="524"/>
      <c r="AA43" s="525"/>
      <c r="AB43" s="245" t="str">
        <f>IFERROR(VLOOKUP(AC43,Расчет!$BS:$BT,2,FALSE),"")</f>
        <v/>
      </c>
      <c r="AC43" s="226"/>
      <c r="AD43" s="419" t="str">
        <f>IFERROR(IF(VLOOKUP(AC43,Расчет!$A$2:$B$350,2,FALSE)="664W","Camry","RAV4"),"-")</f>
        <v>-</v>
      </c>
      <c r="AE43" s="195">
        <v>41</v>
      </c>
      <c r="AF43" s="44" t="str">
        <f>IF(VLOOKUP(AE43,Расчет!$AH$2:$AN$201,5,FALSE)="8","C",IF(VLOOKUP(AE43,Расчет!$AH$2:$AN$201,5,FALSE)="G","G","R"))</f>
        <v>C</v>
      </c>
      <c r="AG43" s="73" t="str">
        <f t="shared" si="2"/>
        <v/>
      </c>
      <c r="AH43" s="87" t="str">
        <f>IF(AG43="","",COUNTIF($AG$2:AG43,"C")-COUNTIF($AF$2:AF43,"C")+$AH$1)</f>
        <v/>
      </c>
      <c r="AI43" s="87" t="str">
        <f>IF(AG43="","",COUNTIF($AG$2:AG43,"R")-COUNTIF($AF$2:AF43,"R")+$AI$1)</f>
        <v/>
      </c>
      <c r="AJ43" s="89">
        <v>144</v>
      </c>
      <c r="AK43" s="44" t="str">
        <f>IF(VLOOKUP(AJ43,Расчет!$AH$2:$AN$211,5,FALSE)="8","C",IF(VLOOKUP(AJ43,Расчет!$AH$2:$AN$211,5,FALSE)="G","G","R"))</f>
        <v>R</v>
      </c>
      <c r="AL43" s="74" t="str">
        <f t="shared" si="3"/>
        <v/>
      </c>
      <c r="AM43" s="118" t="str">
        <f>IF(AL43="","",(COUNTIF($AG$2:$AG$105,"C")+COUNTIF($AL$2:$AL43,"C"))-(COUNTIF($AF$2:$AF$105,"C")+COUNTIF($AK$2:$AK43,"C"))+$AH$1)</f>
        <v/>
      </c>
      <c r="AN43" s="119" t="str">
        <f>IF(AL43="","",(COUNTIF($AG$2:$AG$105,"R")+COUNTIF($AL$2:$AL43,"R"))-(COUNTIF($AF$2:$AF$105,"R")+COUNTIF($AK$2:$AK43,"R"))+$AI$1)</f>
        <v/>
      </c>
      <c r="AO43" s="22" t="str">
        <f>IF(E43="","",COUNTA($E$3:E43)+$Z$1)</f>
        <v/>
      </c>
      <c r="AP43" s="88" t="str">
        <f>IF(AO43="","",IF(AO43+Расчет!$Y$57+$BD$2-Расчет!$X$57&gt;200,AO43+Расчет!$Y$57+$BD$2-1000,AO43+Расчет!$Y$57+$BD$2))</f>
        <v/>
      </c>
      <c r="AR43" s="92"/>
      <c r="AS43" s="92"/>
      <c r="BL43" s="172">
        <f>COUNTIF($BM$5:BM43,"&lt;-115")</f>
        <v>0</v>
      </c>
      <c r="BM43" s="154" t="str">
        <f>IFERROR(IF(OR(IFERROR(VLOOKUP(BN43,$E$3:$E$105,1,FALSE),"0")=BN43,IFERROR(VLOOKUP(BN43,$R$3:$R$105,1,FALSE),"0")=BN43),BO43,IF(OR(VLOOKUP(BN43,Расчет!A:E,5,FALSE)="2PS",VLOOKUP(BN43,Расчет!A:E,5,FALSE)="2QL"),IF(VLOOKUP(BN43,Расчет!A:B,2,FALSE)="831W",BN43-$BS$7+$AD$17,BN43-$BS$7+$AD$12),BN43-$BS$7)),"-")</f>
        <v>-</v>
      </c>
      <c r="BN43" s="154">
        <f>IF(OR(Расчет!C40="A0",Расчет!C40="P9",Расчет!B40="722W"),"-",Расчет!A40)</f>
        <v>11185</v>
      </c>
      <c r="BO43" s="173">
        <f t="shared" si="15"/>
        <v>0</v>
      </c>
      <c r="BP43" s="172" t="str">
        <f>IF(BQ43="-","-",IFERROR(IF(OR(VLOOKUP(BN43,Расчет!$A$2:$E$582,5,FALSE)="2PS",VLOOKUP(BN43,Расчет!$A$2:$E$582,5,FALSE)="2QL"),IF(OR(VLOOKUP(BN43,Расчет!$A$2:$E$582,2,FALSE)="664W",VLOOKUP(BN43,Расчет!$A$2:$E$582,2,FALSE)="813W"),IF(BN43-$BS$7&gt;150,BN43-$BS$7-1000+$AD$12,BN43-$BS$7+$AD$12),IF(BN43-$BS$7&gt;150,BN43-$BS$7-1000+$AD$17,BN43-$BS$7+$AD$17)),IF(BN43-$BS$7&gt;150,BN43-$BS$7-1000,BN43-$BS$7)),"-"))</f>
        <v>-</v>
      </c>
      <c r="BQ43" s="173">
        <f t="shared" si="12"/>
        <v>11185</v>
      </c>
      <c r="BR43" s="453"/>
      <c r="BS43" s="171"/>
      <c r="BT43" s="464" t="str">
        <f t="shared" si="13"/>
        <v>-</v>
      </c>
      <c r="BU43" s="464" t="str">
        <f t="shared" si="14"/>
        <v>-</v>
      </c>
      <c r="BX43" s="204">
        <f>COUNTIF($BY$4:BY43,"&lt;100")</f>
        <v>0</v>
      </c>
      <c r="BY43" s="213" t="str">
        <f t="shared" si="26"/>
        <v/>
      </c>
      <c r="BZ43" s="216" t="str">
        <f t="shared" si="27"/>
        <v/>
      </c>
      <c r="CA43" s="213" t="e">
        <f t="shared" si="6"/>
        <v>#N/A</v>
      </c>
      <c r="CB43" s="209" t="e">
        <f t="shared" si="7"/>
        <v>#N/A</v>
      </c>
      <c r="CC43" s="205" t="str">
        <f t="shared" si="16"/>
        <v/>
      </c>
      <c r="CD43" s="205" t="str">
        <f t="shared" si="28"/>
        <v>-</v>
      </c>
      <c r="CE43" s="205">
        <f t="shared" si="29"/>
        <v>0</v>
      </c>
      <c r="CG43" s="20" t="str">
        <f t="shared" si="25"/>
        <v/>
      </c>
    </row>
    <row r="44" spans="1:85" ht="23.1" customHeight="1">
      <c r="A44" s="40" t="str">
        <f>IF(AND(IFERROR(VLOOKUP(E44,Расчет!A:J,10,FALSE),"  ")&lt;&gt;"  ",IFERROR(LEFT(VLOOKUP(E44,Расчет!A:J,10,FALSE),1)," ")&lt;&gt;"H"),0,IFERROR(IF(F44="Camry",IF(OR(J44="2PS",J44="2QL"),IF(E44-AP44&gt;100,E44-AP44-1000+$AD$12,E44-AP44+$AD$12),IF(E44-AP44&gt;100,E44-AP44-1000,E44-AP44)),IF(J44="2PS",IF(E44-AP44&gt;100,E44-AP44-1000+$AD$17,E44-AP44+$AD$17),IF(E44-AP44&gt;100,E44-AP44-1000,E44-AP44))),"-"))</f>
        <v>-</v>
      </c>
      <c r="B44" s="46">
        <v>42</v>
      </c>
      <c r="C44" s="19" t="str">
        <f>IF(E44="","",COUNTA($E$3:E44))</f>
        <v/>
      </c>
      <c r="D44" s="18" t="str">
        <f t="shared" si="0"/>
        <v/>
      </c>
      <c r="E44" s="30"/>
      <c r="F44" s="44" t="str">
        <f>IFERROR(IF(VLOOKUP(E44,Расчет!$A$2:$B$650,2,FALSE)="664W","Camry",IF(VLOOKUP(E44,Расчет!$A$2:$B$650,2,FALSE)="813W","Goshi","RAV4")),"")</f>
        <v/>
      </c>
      <c r="G44" s="32" t="str">
        <f>IFERROR(IF(F44="Camry",VLOOKUP(E44,Расчет!$A$2:$Q$650,17,FALSE),VLOOKUP(E44,Расчет!$A$2:$R$650,18,FALSE)),"")</f>
        <v/>
      </c>
      <c r="H44" s="32" t="str">
        <f>IFERROR(VLOOKUP(VLOOKUP(E44,Расчет!$A:$D,4,FALSE),$AT$6:$AV$15,3,FALSE),"")</f>
        <v/>
      </c>
      <c r="I44" s="31" t="str">
        <f>IFERROR(VLOOKUP(IFERROR(VLOOKUP(E44,Расчет!$A$2:$D$650,4,FALSE),0),$AT$3:$AU$15,2,FALSE),"")</f>
        <v/>
      </c>
      <c r="J44" s="33" t="str">
        <f>IFERROR(VLOOKUP(E44,Расчет!$A$2:$E$650,5,FALSE),"")</f>
        <v/>
      </c>
      <c r="K44" s="189"/>
      <c r="L44" s="188">
        <f t="shared" si="10"/>
        <v>0</v>
      </c>
      <c r="M44" s="38"/>
      <c r="N44" s="40" t="str">
        <f>IF(AND(IFERROR(VLOOKUP(R44,Расчет!A:J,10,FALSE),"  ")&lt;&gt;"  ",IFERROR(LEFT(VLOOKUP(R44,Расчет!A:J,10,FALSE),1)," ")&lt;&gt;"H"),0,IFERROR(IF(S44="Camry",IF(OR(W44="2PS",W44="2QL"),IF(R44-AP147&gt;100,R44-AP147-1000+$AD$12,R44-AP147+$AD$12),IF(R44-AP147&gt;100,R44-AP147-1000,R44-AP147)),IF(W44="2PS",IF(R44-AP147&gt;100,R44-AP147-1000+$AD$17,R44-AP147+$AD$17),IF(R44-AP147&gt;100,R44-AP147-1000,R44-AP147))),"-"))</f>
        <v>-</v>
      </c>
      <c r="O44" s="46">
        <v>145</v>
      </c>
      <c r="P44" s="19" t="str">
        <f>IF(R44="","",COUNTA($R$3:R44)+$C$105)</f>
        <v/>
      </c>
      <c r="Q44" s="18" t="str">
        <f t="shared" si="1"/>
        <v/>
      </c>
      <c r="R44" s="30"/>
      <c r="S44" s="45" t="str">
        <f>IFERROR(IF(VLOOKUP(R44,Расчет!$A$2:$B$650,2,FALSE)="664W","Camry",IF(VLOOKUP(R44,Расчет!$A$2:$B$650,2,FALSE)="813W","Goshi","RAV4")),"")</f>
        <v/>
      </c>
      <c r="T44" s="32" t="str">
        <f>IFERROR(IF(S44="Camry",VLOOKUP(R44,Расчет!$A$2:$Q$650,17,FALSE),VLOOKUP(R44,Расчет!$A$2:$R$650,18,FALSE)),"")</f>
        <v/>
      </c>
      <c r="U44" s="32" t="str">
        <f>IFERROR(VLOOKUP(VLOOKUP(R44,Расчет!$A:$D,4,FALSE),$AT$6:$AV$15,3,FALSE),"")</f>
        <v/>
      </c>
      <c r="V44" s="31" t="str">
        <f>IFERROR(VLOOKUP(IFERROR(VLOOKUP(R44,Расчет!$A$2:$D$650,4,FALSE),0),$AT$3:$AU$15,2,FALSE),"")</f>
        <v/>
      </c>
      <c r="W44" s="33" t="str">
        <f>IFERROR(VLOOKUP(R44,Расчет!$A$2:$E$650,5,FALSE),"")</f>
        <v/>
      </c>
      <c r="X44" s="189"/>
      <c r="Y44" s="191">
        <f t="shared" si="11"/>
        <v>0</v>
      </c>
      <c r="Z44" s="524"/>
      <c r="AA44" s="525"/>
      <c r="AB44" s="420" t="str">
        <f>IFERROR(VLOOKUP(AC44,Расчет!$BS:$BT,2,FALSE),"")</f>
        <v/>
      </c>
      <c r="AC44" s="193"/>
      <c r="AD44" s="196" t="str">
        <f>IFERROR(IF(VLOOKUP(AC44,Расчет!$A$2:$B$350,2,FALSE)="664W","Camry","RAV4"),"-")</f>
        <v>-</v>
      </c>
      <c r="AE44" s="195">
        <v>42</v>
      </c>
      <c r="AF44" s="44" t="str">
        <f>IF(VLOOKUP(AE44,Расчет!$AH$2:$AN$201,5,FALSE)="8","C",IF(VLOOKUP(AE44,Расчет!$AH$2:$AN$201,5,FALSE)="G","G","R"))</f>
        <v>R</v>
      </c>
      <c r="AG44" s="73" t="str">
        <f t="shared" si="2"/>
        <v/>
      </c>
      <c r="AH44" s="87" t="str">
        <f>IF(AG44="","",COUNTIF($AG$2:AG44,"C")-COUNTIF($AF$2:AF44,"C")+$AH$1)</f>
        <v/>
      </c>
      <c r="AI44" s="87" t="str">
        <f>IF(AG44="","",COUNTIF($AG$2:AG44,"R")-COUNTIF($AF$2:AF44,"R")+$AI$1)</f>
        <v/>
      </c>
      <c r="AJ44" s="89">
        <v>145</v>
      </c>
      <c r="AK44" s="44" t="str">
        <f>IF(VLOOKUP(AJ44,Расчет!$AH$2:$AN$211,5,FALSE)="8","C",IF(VLOOKUP(AJ44,Расчет!$AH$2:$AN$211,5,FALSE)="G","G","R"))</f>
        <v>R</v>
      </c>
      <c r="AL44" s="74" t="str">
        <f t="shared" si="3"/>
        <v/>
      </c>
      <c r="AM44" s="118" t="str">
        <f>IF(AL44="","",(COUNTIF($AG$2:$AG$105,"C")+COUNTIF($AL$2:$AL44,"C"))-(COUNTIF($AF$2:$AF$105,"C")+COUNTIF($AK$2:$AK44,"C"))+$AH$1)</f>
        <v/>
      </c>
      <c r="AN44" s="119" t="str">
        <f>IF(AL44="","",(COUNTIF($AG$2:$AG$105,"R")+COUNTIF($AL$2:$AL44,"R"))-(COUNTIF($AF$2:$AF$105,"R")+COUNTIF($AK$2:$AK44,"R"))+$AI$1)</f>
        <v/>
      </c>
      <c r="AO44" s="22" t="str">
        <f>IF(E44="","",COUNTA($E$3:E44)+$Z$1)</f>
        <v/>
      </c>
      <c r="AP44" s="88" t="str">
        <f>IF(AO44="","",IF(AO44+Расчет!$Y$57+$BD$2-Расчет!$X$57&gt;200,AO44+Расчет!$Y$57+$BD$2-1000,AO44+Расчет!$Y$57+$BD$2))</f>
        <v/>
      </c>
      <c r="AR44" s="92"/>
      <c r="AS44" s="92"/>
      <c r="BL44" s="172">
        <f>COUNTIF($BM$5:BM44,"&lt;-115")</f>
        <v>0</v>
      </c>
      <c r="BM44" s="154" t="str">
        <f>IFERROR(IF(OR(IFERROR(VLOOKUP(BN44,$E$3:$E$105,1,FALSE),"0")=BN44,IFERROR(VLOOKUP(BN44,$R$3:$R$105,1,FALSE),"0")=BN44),BO44,IF(OR(VLOOKUP(BN44,Расчет!A:E,5,FALSE)="2PS",VLOOKUP(BN44,Расчет!A:E,5,FALSE)="2QL"),IF(VLOOKUP(BN44,Расчет!A:B,2,FALSE)="831W",BN44-$BS$7+$AD$17,BN44-$BS$7+$AD$12),BN44-$BS$7)),"-")</f>
        <v>-</v>
      </c>
      <c r="BN44" s="154" t="str">
        <f>IF(OR(Расчет!C41="A0",Расчет!C41="P9",Расчет!B41="722W"),"-",Расчет!A41)</f>
        <v>-</v>
      </c>
      <c r="BO44" s="173">
        <f t="shared" si="15"/>
        <v>0</v>
      </c>
      <c r="BP44" s="172" t="str">
        <f>IF(BQ44="-","-",IFERROR(IF(OR(VLOOKUP(BN44,Расчет!$A$2:$E$582,5,FALSE)="2PS",VLOOKUP(BN44,Расчет!$A$2:$E$582,5,FALSE)="2QL"),IF(OR(VLOOKUP(BN44,Расчет!$A$2:$E$582,2,FALSE)="664W",VLOOKUP(BN44,Расчет!$A$2:$E$582,2,FALSE)="813W"),IF(BN44-$BS$7&gt;150,BN44-$BS$7-1000+$AD$12,BN44-$BS$7+$AD$12),IF(BN44-$BS$7&gt;150,BN44-$BS$7-1000+$AD$17,BN44-$BS$7+$AD$17)),IF(BN44-$BS$7&gt;150,BN44-$BS$7-1000,BN44-$BS$7)),"-"))</f>
        <v>-</v>
      </c>
      <c r="BQ44" s="173" t="str">
        <f t="shared" si="12"/>
        <v>-</v>
      </c>
      <c r="BR44" s="453"/>
      <c r="BS44" s="171"/>
      <c r="BT44" s="464" t="str">
        <f t="shared" si="13"/>
        <v>-</v>
      </c>
      <c r="BU44" s="464" t="str">
        <f t="shared" si="14"/>
        <v>-</v>
      </c>
      <c r="BX44" s="204">
        <f>COUNTIF($BY$4:BY44,"&lt;100")</f>
        <v>0</v>
      </c>
      <c r="BY44" s="213" t="str">
        <f t="shared" si="26"/>
        <v/>
      </c>
      <c r="BZ44" s="216" t="str">
        <f t="shared" si="27"/>
        <v/>
      </c>
      <c r="CA44" s="213" t="e">
        <f t="shared" si="6"/>
        <v>#N/A</v>
      </c>
      <c r="CB44" s="209" t="e">
        <f t="shared" si="7"/>
        <v>#N/A</v>
      </c>
      <c r="CC44" s="205" t="str">
        <f t="shared" si="16"/>
        <v/>
      </c>
      <c r="CD44" s="205" t="str">
        <f t="shared" si="28"/>
        <v>-</v>
      </c>
      <c r="CE44" s="205">
        <f t="shared" si="29"/>
        <v>0</v>
      </c>
      <c r="CG44" s="20" t="str">
        <f t="shared" ref="CG44:CG75" si="30">G35</f>
        <v/>
      </c>
    </row>
    <row r="45" spans="1:85" ht="23.1" customHeight="1">
      <c r="A45" s="40" t="str">
        <f>IF(AND(IFERROR(VLOOKUP(E45,Расчет!A:J,10,FALSE),"  ")&lt;&gt;"  ",IFERROR(LEFT(VLOOKUP(E45,Расчет!A:J,10,FALSE),1)," ")&lt;&gt;"H"),0,IFERROR(IF(F45="Camry",IF(OR(J45="2PS",J45="2QL"),IF(E45-AP45&gt;100,E45-AP45-1000+$AD$12,E45-AP45+$AD$12),IF(E45-AP45&gt;100,E45-AP45-1000,E45-AP45)),IF(J45="2PS",IF(E45-AP45&gt;100,E45-AP45-1000+$AD$17,E45-AP45+$AD$17),IF(E45-AP45&gt;100,E45-AP45-1000,E45-AP45))),"-"))</f>
        <v>-</v>
      </c>
      <c r="B45" s="46">
        <v>43</v>
      </c>
      <c r="C45" s="19" t="str">
        <f>IF(E45="","",COUNTA($E$3:E45))</f>
        <v/>
      </c>
      <c r="D45" s="18" t="str">
        <f t="shared" si="0"/>
        <v/>
      </c>
      <c r="E45" s="30"/>
      <c r="F45" s="44" t="str">
        <f>IFERROR(IF(VLOOKUP(E45,Расчет!$A$2:$B$650,2,FALSE)="664W","Camry",IF(VLOOKUP(E45,Расчет!$A$2:$B$650,2,FALSE)="813W","Goshi","RAV4")),"")</f>
        <v/>
      </c>
      <c r="G45" s="32" t="str">
        <f>IFERROR(IF(F45="Camry",VLOOKUP(E45,Расчет!$A$2:$Q$650,17,FALSE),VLOOKUP(E45,Расчет!$A$2:$R$650,18,FALSE)),"")</f>
        <v/>
      </c>
      <c r="H45" s="32" t="str">
        <f>IFERROR(VLOOKUP(VLOOKUP(E45,Расчет!$A:$D,4,FALSE),$AT$6:$AV$15,3,FALSE),"")</f>
        <v/>
      </c>
      <c r="I45" s="31" t="str">
        <f>IFERROR(VLOOKUP(IFERROR(VLOOKUP(E45,Расчет!$A$2:$D$650,4,FALSE),0),$AT$3:$AU$15,2,FALSE),"")</f>
        <v/>
      </c>
      <c r="J45" s="33" t="str">
        <f>IFERROR(VLOOKUP(E45,Расчет!$A$2:$E$650,5,FALSE),"")</f>
        <v/>
      </c>
      <c r="K45" s="189"/>
      <c r="L45" s="188">
        <f t="shared" si="10"/>
        <v>0</v>
      </c>
      <c r="M45" s="38"/>
      <c r="N45" s="40" t="str">
        <f>IF(AND(IFERROR(VLOOKUP(R45,Расчет!A:J,10,FALSE),"  ")&lt;&gt;"  ",IFERROR(LEFT(VLOOKUP(R45,Расчет!A:J,10,FALSE),1)," ")&lt;&gt;"H"),0,IFERROR(IF(S45="Camry",IF(OR(W45="2PS",W45="2QL"),IF(R45-AP148&gt;100,R45-AP148-1000+$AD$12,R45-AP148+$AD$12),IF(R45-AP148&gt;100,R45-AP148-1000,R45-AP148)),IF(W45="2PS",IF(R45-AP148&gt;100,R45-AP148-1000+$AD$17,R45-AP148+$AD$17),IF(R45-AP148&gt;100,R45-AP148-1000,R45-AP148))),"-"))</f>
        <v>-</v>
      </c>
      <c r="O45" s="46">
        <v>146</v>
      </c>
      <c r="P45" s="19" t="str">
        <f>IF(R45="","",COUNTA($R$3:R45)+$C$105)</f>
        <v/>
      </c>
      <c r="Q45" s="18" t="str">
        <f t="shared" si="1"/>
        <v/>
      </c>
      <c r="R45" s="30"/>
      <c r="S45" s="45" t="str">
        <f>IFERROR(IF(VLOOKUP(R45,Расчет!$A$2:$B$650,2,FALSE)="664W","Camry",IF(VLOOKUP(R45,Расчет!$A$2:$B$650,2,FALSE)="813W","Goshi","RAV4")),"")</f>
        <v/>
      </c>
      <c r="T45" s="32" t="str">
        <f>IFERROR(IF(S45="Camry",VLOOKUP(R45,Расчет!$A$2:$Q$650,17,FALSE),VLOOKUP(R45,Расчет!$A$2:$R$650,18,FALSE)),"")</f>
        <v/>
      </c>
      <c r="U45" s="32" t="str">
        <f>IFERROR(VLOOKUP(VLOOKUP(R45,Расчет!$A:$D,4,FALSE),$AT$6:$AV$15,3,FALSE),"")</f>
        <v/>
      </c>
      <c r="V45" s="31" t="str">
        <f>IFERROR(VLOOKUP(IFERROR(VLOOKUP(R45,Расчет!$A$2:$D$650,4,FALSE),0),$AT$3:$AU$15,2,FALSE),"")</f>
        <v/>
      </c>
      <c r="W45" s="33" t="str">
        <f>IFERROR(VLOOKUP(R45,Расчет!$A$2:$E$650,5,FALSE),"")</f>
        <v/>
      </c>
      <c r="X45" s="189"/>
      <c r="Y45" s="191">
        <f t="shared" si="11"/>
        <v>0</v>
      </c>
      <c r="Z45" s="524"/>
      <c r="AA45" s="525"/>
      <c r="AB45" s="420" t="str">
        <f>IFERROR(VLOOKUP(AC45,Расчет!$BS:$BT,2,FALSE),"")</f>
        <v/>
      </c>
      <c r="AC45" s="193"/>
      <c r="AD45" s="196" t="str">
        <f>IFERROR(IF(VLOOKUP(AC45,Расчет!$A$2:$B$350,2,FALSE)="664W","Camry","RAV4"),"-")</f>
        <v>-</v>
      </c>
      <c r="AE45" s="195">
        <v>43</v>
      </c>
      <c r="AF45" s="44" t="str">
        <f>IF(VLOOKUP(AE45,Расчет!$AH$2:$AN$201,5,FALSE)="8","C",IF(VLOOKUP(AE45,Расчет!$AH$2:$AN$201,5,FALSE)="G","G","R"))</f>
        <v>C</v>
      </c>
      <c r="AG45" s="73" t="str">
        <f t="shared" si="2"/>
        <v/>
      </c>
      <c r="AH45" s="87" t="str">
        <f>IF(AG45="","",COUNTIF($AG$2:AG45,"C")-COUNTIF($AF$2:AF45,"C")+$AH$1)</f>
        <v/>
      </c>
      <c r="AI45" s="87" t="str">
        <f>IF(AG45="","",COUNTIF($AG$2:AG45,"R")-COUNTIF($AF$2:AF45,"R")+$AI$1)</f>
        <v/>
      </c>
      <c r="AJ45" s="89">
        <v>146</v>
      </c>
      <c r="AK45" s="44" t="str">
        <f>IF(VLOOKUP(AJ45,Расчет!$AH$2:$AN$211,5,FALSE)="8","C",IF(VLOOKUP(AJ45,Расчет!$AH$2:$AN$211,5,FALSE)="G","G","R"))</f>
        <v>C</v>
      </c>
      <c r="AL45" s="74" t="str">
        <f t="shared" si="3"/>
        <v/>
      </c>
      <c r="AM45" s="118" t="str">
        <f>IF(AL45="","",(COUNTIF($AG$2:$AG$105,"C")+COUNTIF($AL$2:$AL45,"C"))-(COUNTIF($AF$2:$AF$105,"C")+COUNTIF($AK$2:$AK45,"C"))+$AH$1)</f>
        <v/>
      </c>
      <c r="AN45" s="119" t="str">
        <f>IF(AL45="","",(COUNTIF($AG$2:$AG$105,"R")+COUNTIF($AL$2:$AL45,"R"))-(COUNTIF($AF$2:$AF$105,"R")+COUNTIF($AK$2:$AK45,"R"))+$AI$1)</f>
        <v/>
      </c>
      <c r="AO45" s="22" t="str">
        <f>IF(E45="","",COUNTA($E$3:E45)+$Z$1)</f>
        <v/>
      </c>
      <c r="AP45" s="88" t="str">
        <f>IF(AO45="","",IF(AO45+Расчет!$Y$57+$BD$2-Расчет!$X$57&gt;200,AO45+Расчет!$Y$57+$BD$2-1000,AO45+Расчет!$Y$57+$BD$2))</f>
        <v/>
      </c>
      <c r="AR45" s="92"/>
      <c r="AS45" s="92"/>
      <c r="BL45" s="172">
        <f>COUNTIF($BM$5:BM45,"&lt;-115")</f>
        <v>0</v>
      </c>
      <c r="BM45" s="154" t="str">
        <f>IFERROR(IF(OR(IFERROR(VLOOKUP(BN45,$E$3:$E$105,1,FALSE),"0")=BN45,IFERROR(VLOOKUP(BN45,$R$3:$R$105,1,FALSE),"0")=BN45),BO45,IF(OR(VLOOKUP(BN45,Расчет!A:E,5,FALSE)="2PS",VLOOKUP(BN45,Расчет!A:E,5,FALSE)="2QL"),IF(VLOOKUP(BN45,Расчет!A:B,2,FALSE)="831W",BN45-$BS$7+$AD$17,BN45-$BS$7+$AD$12),BN45-$BS$7)),"-")</f>
        <v>-</v>
      </c>
      <c r="BN45" s="154">
        <f>IF(OR(Расчет!C42="A0",Расчет!C42="P9",Расчет!B42="722W"),"-",Расчет!A42)</f>
        <v>11187</v>
      </c>
      <c r="BO45" s="173">
        <f t="shared" si="15"/>
        <v>0</v>
      </c>
      <c r="BP45" s="172" t="str">
        <f>IF(BQ45="-","-",IFERROR(IF(OR(VLOOKUP(BN45,Расчет!$A$2:$E$582,5,FALSE)="2PS",VLOOKUP(BN45,Расчет!$A$2:$E$582,5,FALSE)="2QL"),IF(OR(VLOOKUP(BN45,Расчет!$A$2:$E$582,2,FALSE)="664W",VLOOKUP(BN45,Расчет!$A$2:$E$582,2,FALSE)="813W"),IF(BN45-$BS$7&gt;150,BN45-$BS$7-1000+$AD$12,BN45-$BS$7+$AD$12),IF(BN45-$BS$7&gt;150,BN45-$BS$7-1000+$AD$17,BN45-$BS$7+$AD$17)),IF(BN45-$BS$7&gt;150,BN45-$BS$7-1000,BN45-$BS$7)),"-"))</f>
        <v>-</v>
      </c>
      <c r="BQ45" s="173">
        <f t="shared" si="12"/>
        <v>11187</v>
      </c>
      <c r="BR45" s="453"/>
      <c r="BS45" s="171"/>
      <c r="BT45" s="464" t="str">
        <f t="shared" si="13"/>
        <v>-</v>
      </c>
      <c r="BU45" s="464" t="str">
        <f t="shared" si="14"/>
        <v>-</v>
      </c>
      <c r="BX45" s="204">
        <f>COUNTIF($BY$4:BY45,"&lt;100")</f>
        <v>0</v>
      </c>
      <c r="BY45" s="213" t="str">
        <f t="shared" si="26"/>
        <v/>
      </c>
      <c r="BZ45" s="216" t="str">
        <f t="shared" si="27"/>
        <v/>
      </c>
      <c r="CA45" s="213" t="e">
        <f t="shared" si="6"/>
        <v>#N/A</v>
      </c>
      <c r="CB45" s="209" t="e">
        <f t="shared" si="7"/>
        <v>#N/A</v>
      </c>
      <c r="CC45" s="205" t="str">
        <f t="shared" si="16"/>
        <v/>
      </c>
      <c r="CD45" s="205" t="str">
        <f t="shared" si="28"/>
        <v>-</v>
      </c>
      <c r="CE45" s="205">
        <f t="shared" si="29"/>
        <v>0</v>
      </c>
      <c r="CG45" s="20" t="str">
        <f t="shared" si="30"/>
        <v/>
      </c>
    </row>
    <row r="46" spans="1:85" ht="23.1" customHeight="1">
      <c r="A46" s="40" t="str">
        <f>IF(AND(IFERROR(VLOOKUP(E46,Расчет!A:J,10,FALSE),"  ")&lt;&gt;"  ",IFERROR(LEFT(VLOOKUP(E46,Расчет!A:J,10,FALSE),1)," ")&lt;&gt;"H"),0,IFERROR(IF(F46="Camry",IF(OR(J46="2PS",J46="2QL"),IF(E46-AP46&gt;100,E46-AP46-1000+$AD$12,E46-AP46+$AD$12),IF(E46-AP46&gt;100,E46-AP46-1000,E46-AP46)),IF(J46="2PS",IF(E46-AP46&gt;100,E46-AP46-1000+$AD$17,E46-AP46+$AD$17),IF(E46-AP46&gt;100,E46-AP46-1000,E46-AP46))),"-"))</f>
        <v>-</v>
      </c>
      <c r="B46" s="46">
        <v>44</v>
      </c>
      <c r="C46" s="19" t="str">
        <f>IF(E46="","",COUNTA($E$3:E46))</f>
        <v/>
      </c>
      <c r="D46" s="18" t="str">
        <f t="shared" si="0"/>
        <v/>
      </c>
      <c r="E46" s="30"/>
      <c r="F46" s="44" t="str">
        <f>IFERROR(IF(VLOOKUP(E46,Расчет!$A$2:$B$650,2,FALSE)="664W","Camry",IF(VLOOKUP(E46,Расчет!$A$2:$B$650,2,FALSE)="813W","Goshi","RAV4")),"")</f>
        <v/>
      </c>
      <c r="G46" s="32" t="str">
        <f>IFERROR(IF(F46="Camry",VLOOKUP(E46,Расчет!$A$2:$Q$650,17,FALSE),VLOOKUP(E46,Расчет!$A$2:$R$650,18,FALSE)),"")</f>
        <v/>
      </c>
      <c r="H46" s="32" t="str">
        <f>IFERROR(VLOOKUP(VLOOKUP(E46,Расчет!$A:$D,4,FALSE),$AT$6:$AV$15,3,FALSE),"")</f>
        <v/>
      </c>
      <c r="I46" s="31" t="str">
        <f>IFERROR(VLOOKUP(IFERROR(VLOOKUP(E46,Расчет!$A$2:$D$650,4,FALSE),0),$AT$3:$AU$15,2,FALSE),"")</f>
        <v/>
      </c>
      <c r="J46" s="33" t="str">
        <f>IFERROR(VLOOKUP(E46,Расчет!$A$2:$E$650,5,FALSE),"")</f>
        <v/>
      </c>
      <c r="K46" s="189"/>
      <c r="L46" s="188">
        <f t="shared" si="10"/>
        <v>0</v>
      </c>
      <c r="M46" s="38"/>
      <c r="N46" s="40" t="str">
        <f>IF(AND(IFERROR(VLOOKUP(R46,Расчет!A:J,10,FALSE),"  ")&lt;&gt;"  ",IFERROR(LEFT(VLOOKUP(R46,Расчет!A:J,10,FALSE),1)," ")&lt;&gt;"H"),0,IFERROR(IF(S46="Camry",IF(OR(W46="2PS",W46="2QL"),IF(R46-AP149&gt;100,R46-AP149-1000+$AD$12,R46-AP149+$AD$12),IF(R46-AP149&gt;100,R46-AP149-1000,R46-AP149)),IF(W46="2PS",IF(R46-AP149&gt;100,R46-AP149-1000+$AD$17,R46-AP149+$AD$17),IF(R46-AP149&gt;100,R46-AP149-1000,R46-AP149))),"-"))</f>
        <v>-</v>
      </c>
      <c r="O46" s="46">
        <v>147</v>
      </c>
      <c r="P46" s="19" t="str">
        <f>IF(R46="","",COUNTA($R$3:R46)+$C$105)</f>
        <v/>
      </c>
      <c r="Q46" s="18" t="str">
        <f t="shared" si="1"/>
        <v/>
      </c>
      <c r="R46" s="30"/>
      <c r="S46" s="45" t="str">
        <f>IFERROR(IF(VLOOKUP(R46,Расчет!$A$2:$B$650,2,FALSE)="664W","Camry",IF(VLOOKUP(R46,Расчет!$A$2:$B$650,2,FALSE)="813W","Goshi","RAV4")),"")</f>
        <v/>
      </c>
      <c r="T46" s="32" t="str">
        <f>IFERROR(IF(S46="Camry",VLOOKUP(R46,Расчет!$A$2:$Q$650,17,FALSE),VLOOKUP(R46,Расчет!$A$2:$R$650,18,FALSE)),"")</f>
        <v/>
      </c>
      <c r="U46" s="32" t="str">
        <f>IFERROR(VLOOKUP(VLOOKUP(R46,Расчет!$A:$D,4,FALSE),$AT$6:$AV$15,3,FALSE),"")</f>
        <v/>
      </c>
      <c r="V46" s="31" t="str">
        <f>IFERROR(VLOOKUP(IFERROR(VLOOKUP(R46,Расчет!$A$2:$D$650,4,FALSE),0),$AT$3:$AU$15,2,FALSE),"")</f>
        <v/>
      </c>
      <c r="W46" s="33" t="str">
        <f>IFERROR(VLOOKUP(R46,Расчет!$A$2:$E$650,5,FALSE),"")</f>
        <v/>
      </c>
      <c r="X46" s="189"/>
      <c r="Y46" s="191">
        <f t="shared" si="11"/>
        <v>0</v>
      </c>
      <c r="Z46" s="524"/>
      <c r="AA46" s="525"/>
      <c r="AB46" s="420" t="str">
        <f>IFERROR(VLOOKUP(AC46,Расчет!$BS:$BT,2,FALSE),"")</f>
        <v/>
      </c>
      <c r="AC46" s="193"/>
      <c r="AD46" s="196" t="str">
        <f>IFERROR(IF(VLOOKUP(AC46,Расчет!$A$2:$B$350,2,FALSE)="664W","Camry","RAV4"),"-")</f>
        <v>-</v>
      </c>
      <c r="AE46" s="195">
        <v>44</v>
      </c>
      <c r="AF46" s="44" t="str">
        <f>IF(VLOOKUP(AE46,Расчет!$AH$2:$AN$201,5,FALSE)="8","C",IF(VLOOKUP(AE46,Расчет!$AH$2:$AN$201,5,FALSE)="G","G","R"))</f>
        <v>R</v>
      </c>
      <c r="AG46" s="73" t="str">
        <f t="shared" si="2"/>
        <v/>
      </c>
      <c r="AH46" s="87" t="str">
        <f>IF(AG46="","",COUNTIF($AG$2:AG46,"C")-COUNTIF($AF$2:AF46,"C")+$AH$1)</f>
        <v/>
      </c>
      <c r="AI46" s="87" t="str">
        <f>IF(AG46="","",COUNTIF($AG$2:AG46,"R")-COUNTIF($AF$2:AF46,"R")+$AI$1)</f>
        <v/>
      </c>
      <c r="AJ46" s="89">
        <v>147</v>
      </c>
      <c r="AK46" s="44" t="str">
        <f>IF(VLOOKUP(AJ46,Расчет!$AH$2:$AN$211,5,FALSE)="8","C",IF(VLOOKUP(AJ46,Расчет!$AH$2:$AN$211,5,FALSE)="G","G","R"))</f>
        <v>R</v>
      </c>
      <c r="AL46" s="74" t="str">
        <f t="shared" si="3"/>
        <v/>
      </c>
      <c r="AM46" s="118" t="str">
        <f>IF(AL46="","",(COUNTIF($AG$2:$AG$105,"C")+COUNTIF($AL$2:$AL46,"C"))-(COUNTIF($AF$2:$AF$105,"C")+COUNTIF($AK$2:$AK46,"C"))+$AH$1)</f>
        <v/>
      </c>
      <c r="AN46" s="119" t="str">
        <f>IF(AL46="","",(COUNTIF($AG$2:$AG$105,"R")+COUNTIF($AL$2:$AL46,"R"))-(COUNTIF($AF$2:$AF$105,"R")+COUNTIF($AK$2:$AK46,"R"))+$AI$1)</f>
        <v/>
      </c>
      <c r="AO46" s="22" t="str">
        <f>IF(E46="","",COUNTA($E$3:E46)+$Z$1)</f>
        <v/>
      </c>
      <c r="AP46" s="88" t="str">
        <f>IF(AO46="","",IF(AO46+Расчет!$Y$57+$BD$2-Расчет!$X$57&gt;200,AO46+Расчет!$Y$57+$BD$2-1000,AO46+Расчет!$Y$57+$BD$2))</f>
        <v/>
      </c>
      <c r="AR46" s="92"/>
      <c r="AS46" s="92"/>
      <c r="BL46" s="172">
        <f>COUNTIF($BM$5:BM46,"&lt;-115")</f>
        <v>0</v>
      </c>
      <c r="BM46" s="154" t="str">
        <f>IFERROR(IF(OR(IFERROR(VLOOKUP(BN46,$E$3:$E$105,1,FALSE),"0")=BN46,IFERROR(VLOOKUP(BN46,$R$3:$R$105,1,FALSE),"0")=BN46),BO46,IF(OR(VLOOKUP(BN46,Расчет!A:E,5,FALSE)="2PS",VLOOKUP(BN46,Расчет!A:E,5,FALSE)="2QL"),IF(VLOOKUP(BN46,Расчет!A:B,2,FALSE)="831W",BN46-$BS$7+$AD$17,BN46-$BS$7+$AD$12),BN46-$BS$7)),"-")</f>
        <v>-</v>
      </c>
      <c r="BN46" s="154">
        <f>IF(OR(Расчет!C43="A0",Расчет!C43="P9",Расчет!B43="722W"),"-",Расчет!A43)</f>
        <v>11188</v>
      </c>
      <c r="BO46" s="173">
        <f t="shared" si="15"/>
        <v>0</v>
      </c>
      <c r="BP46" s="172" t="str">
        <f>IF(BQ46="-","-",IFERROR(IF(OR(VLOOKUP(BN46,Расчет!$A$2:$E$582,5,FALSE)="2PS",VLOOKUP(BN46,Расчет!$A$2:$E$582,5,FALSE)="2QL"),IF(OR(VLOOKUP(BN46,Расчет!$A$2:$E$582,2,FALSE)="664W",VLOOKUP(BN46,Расчет!$A$2:$E$582,2,FALSE)="813W"),IF(BN46-$BS$7&gt;150,BN46-$BS$7-1000+$AD$12,BN46-$BS$7+$AD$12),IF(BN46-$BS$7&gt;150,BN46-$BS$7-1000+$AD$17,BN46-$BS$7+$AD$17)),IF(BN46-$BS$7&gt;150,BN46-$BS$7-1000,BN46-$BS$7)),"-"))</f>
        <v>-</v>
      </c>
      <c r="BQ46" s="173">
        <f t="shared" si="12"/>
        <v>11188</v>
      </c>
      <c r="BR46" s="453"/>
      <c r="BS46" s="171"/>
      <c r="BT46" s="464" t="str">
        <f t="shared" si="13"/>
        <v>-</v>
      </c>
      <c r="BU46" s="464" t="str">
        <f t="shared" si="14"/>
        <v>-</v>
      </c>
      <c r="BX46" s="204">
        <f>COUNTIF($BY$4:BY46,"&lt;100")</f>
        <v>0</v>
      </c>
      <c r="BY46" s="213" t="str">
        <f t="shared" si="26"/>
        <v/>
      </c>
      <c r="BZ46" s="216" t="str">
        <f t="shared" si="27"/>
        <v/>
      </c>
      <c r="CA46" s="213" t="e">
        <f t="shared" si="6"/>
        <v>#N/A</v>
      </c>
      <c r="CB46" s="209" t="e">
        <f t="shared" si="7"/>
        <v>#N/A</v>
      </c>
      <c r="CC46" s="205" t="str">
        <f t="shared" si="16"/>
        <v/>
      </c>
      <c r="CD46" s="205" t="str">
        <f t="shared" si="28"/>
        <v>-</v>
      </c>
      <c r="CE46" s="205">
        <f t="shared" si="29"/>
        <v>0</v>
      </c>
      <c r="CG46" s="20" t="str">
        <f t="shared" si="30"/>
        <v/>
      </c>
    </row>
    <row r="47" spans="1:85" ht="23.1" customHeight="1">
      <c r="A47" s="40" t="str">
        <f>IF(AND(IFERROR(VLOOKUP(E47,Расчет!A:J,10,FALSE),"  ")&lt;&gt;"  ",IFERROR(LEFT(VLOOKUP(E47,Расчет!A:J,10,FALSE),1)," ")&lt;&gt;"H"),0,IFERROR(IF(F47="Camry",IF(OR(J47="2PS",J47="2QL"),IF(E47-AP47&gt;100,E47-AP47-1000+$AD$12,E47-AP47+$AD$12),IF(E47-AP47&gt;100,E47-AP47-1000,E47-AP47)),IF(J47="2PS",IF(E47-AP47&gt;100,E47-AP47-1000+$AD$17,E47-AP47+$AD$17),IF(E47-AP47&gt;100,E47-AP47-1000,E47-AP47))),"-"))</f>
        <v>-</v>
      </c>
      <c r="B47" s="46">
        <v>45</v>
      </c>
      <c r="C47" s="19" t="str">
        <f>IF(E47="","",COUNTA($E$3:E47))</f>
        <v/>
      </c>
      <c r="D47" s="18" t="str">
        <f t="shared" si="0"/>
        <v/>
      </c>
      <c r="E47" s="30"/>
      <c r="F47" s="44" t="str">
        <f>IFERROR(IF(VLOOKUP(E47,Расчет!$A$2:$B$650,2,FALSE)="664W","Camry",IF(VLOOKUP(E47,Расчет!$A$2:$B$650,2,FALSE)="813W","Goshi","RAV4")),"")</f>
        <v/>
      </c>
      <c r="G47" s="32" t="str">
        <f>IFERROR(IF(F47="Camry",VLOOKUP(E47,Расчет!$A$2:$Q$650,17,FALSE),VLOOKUP(E47,Расчет!$A$2:$R$650,18,FALSE)),"")</f>
        <v/>
      </c>
      <c r="H47" s="32" t="str">
        <f>IFERROR(VLOOKUP(VLOOKUP(E47,Расчет!$A:$D,4,FALSE),$AT$6:$AV$15,3,FALSE),"")</f>
        <v/>
      </c>
      <c r="I47" s="31" t="str">
        <f>IFERROR(VLOOKUP(IFERROR(VLOOKUP(E47,Расчет!$A$2:$D$650,4,FALSE),0),$AT$3:$AU$15,2,FALSE),"")</f>
        <v/>
      </c>
      <c r="J47" s="33" t="str">
        <f>IFERROR(VLOOKUP(E47,Расчет!$A$2:$E$650,5,FALSE),"")</f>
        <v/>
      </c>
      <c r="K47" s="189"/>
      <c r="L47" s="188">
        <f t="shared" si="10"/>
        <v>0</v>
      </c>
      <c r="M47" s="38"/>
      <c r="N47" s="40" t="str">
        <f>IF(AND(IFERROR(VLOOKUP(R47,Расчет!A:J,10,FALSE),"  ")&lt;&gt;"  ",IFERROR(LEFT(VLOOKUP(R47,Расчет!A:J,10,FALSE),1)," ")&lt;&gt;"H"),0,IFERROR(IF(S47="Camry",IF(OR(W47="2PS",W47="2QL"),IF(R47-AP150&gt;100,R47-AP150-1000+$AD$12,R47-AP150+$AD$12),IF(R47-AP150&gt;100,R47-AP150-1000,R47-AP150)),IF(W47="2PS",IF(R47-AP150&gt;100,R47-AP150-1000+$AD$17,R47-AP150+$AD$17),IF(R47-AP150&gt;100,R47-AP150-1000,R47-AP150))),"-"))</f>
        <v>-</v>
      </c>
      <c r="O47" s="46">
        <v>148</v>
      </c>
      <c r="P47" s="19" t="str">
        <f>IF(R47="","",COUNTA($R$3:R47)+$C$105)</f>
        <v/>
      </c>
      <c r="Q47" s="18" t="str">
        <f t="shared" si="1"/>
        <v/>
      </c>
      <c r="R47" s="30"/>
      <c r="S47" s="45" t="str">
        <f>IFERROR(IF(VLOOKUP(R47,Расчет!$A$2:$B$650,2,FALSE)="664W","Camry",IF(VLOOKUP(R47,Расчет!$A$2:$B$650,2,FALSE)="813W","Goshi","RAV4")),"")</f>
        <v/>
      </c>
      <c r="T47" s="32" t="str">
        <f>IFERROR(IF(S47="Camry",VLOOKUP(R47,Расчет!$A$2:$Q$650,17,FALSE),VLOOKUP(R47,Расчет!$A$2:$R$650,18,FALSE)),"")</f>
        <v/>
      </c>
      <c r="U47" s="32" t="str">
        <f>IFERROR(VLOOKUP(VLOOKUP(R47,Расчет!$A:$D,4,FALSE),$AT$6:$AV$15,3,FALSE),"")</f>
        <v/>
      </c>
      <c r="V47" s="31" t="str">
        <f>IFERROR(VLOOKUP(IFERROR(VLOOKUP(R47,Расчет!$A$2:$D$650,4,FALSE),0),$AT$3:$AU$15,2,FALSE),"")</f>
        <v/>
      </c>
      <c r="W47" s="33" t="str">
        <f>IFERROR(VLOOKUP(R47,Расчет!$A$2:$E$650,5,FALSE),"")</f>
        <v/>
      </c>
      <c r="X47" s="189"/>
      <c r="Y47" s="191">
        <f t="shared" si="11"/>
        <v>0</v>
      </c>
      <c r="Z47" s="524"/>
      <c r="AA47" s="525"/>
      <c r="AB47" s="420" t="str">
        <f>IFERROR(VLOOKUP(AC47,Расчет!$BS:$BT,2,FALSE),"")</f>
        <v/>
      </c>
      <c r="AC47" s="193"/>
      <c r="AD47" s="196" t="str">
        <f>IFERROR(IF(VLOOKUP(AC47,Расчет!$A$2:$B$350,2,FALSE)="664W","Camry","RAV4"),"-")</f>
        <v>-</v>
      </c>
      <c r="AE47" s="195">
        <v>45</v>
      </c>
      <c r="AF47" s="44" t="str">
        <f>IF(VLOOKUP(AE47,Расчет!$AH$2:$AN$201,5,FALSE)="8","C",IF(VLOOKUP(AE47,Расчет!$AH$2:$AN$201,5,FALSE)="G","G","R"))</f>
        <v>C</v>
      </c>
      <c r="AG47" s="73" t="str">
        <f t="shared" si="2"/>
        <v/>
      </c>
      <c r="AH47" s="87" t="str">
        <f>IF(AG47="","",COUNTIF($AG$2:AG47,"C")-COUNTIF($AF$2:AF47,"C")+$AH$1)</f>
        <v/>
      </c>
      <c r="AI47" s="87" t="str">
        <f>IF(AG47="","",COUNTIF($AG$2:AG47,"R")-COUNTIF($AF$2:AF47,"R")+$AI$1)</f>
        <v/>
      </c>
      <c r="AJ47" s="89">
        <v>148</v>
      </c>
      <c r="AK47" s="44" t="str">
        <f>IF(VLOOKUP(AJ47,Расчет!$AH$2:$AN$211,5,FALSE)="8","C",IF(VLOOKUP(AJ47,Расчет!$AH$2:$AN$211,5,FALSE)="G","G","R"))</f>
        <v>C</v>
      </c>
      <c r="AL47" s="74" t="str">
        <f t="shared" si="3"/>
        <v/>
      </c>
      <c r="AM47" s="118" t="str">
        <f>IF(AL47="","",(COUNTIF($AG$2:$AG$105,"C")+COUNTIF($AL$2:$AL47,"C"))-(COUNTIF($AF$2:$AF$105,"C")+COUNTIF($AK$2:$AK47,"C"))+$AH$1)</f>
        <v/>
      </c>
      <c r="AN47" s="119" t="str">
        <f>IF(AL47="","",(COUNTIF($AG$2:$AG$105,"R")+COUNTIF($AL$2:$AL47,"R"))-(COUNTIF($AF$2:$AF$105,"R")+COUNTIF($AK$2:$AK47,"R"))+$AI$1)</f>
        <v/>
      </c>
      <c r="AO47" s="22" t="str">
        <f>IF(E47="","",COUNTA($E$3:E47)+$Z$1)</f>
        <v/>
      </c>
      <c r="AP47" s="88" t="str">
        <f>IF(AO47="","",IF(AO47+Расчет!$Y$57+$BD$2-Расчет!$X$57&gt;200,AO47+Расчет!$Y$57+$BD$2-1000,AO47+Расчет!$Y$57+$BD$2))</f>
        <v/>
      </c>
      <c r="AR47" s="92"/>
      <c r="AS47" s="92"/>
      <c r="BL47" s="172">
        <f>COUNTIF($BM$5:BM47,"&lt;-115")</f>
        <v>0</v>
      </c>
      <c r="BM47" s="154" t="str">
        <f>IFERROR(IF(OR(IFERROR(VLOOKUP(BN47,$E$3:$E$105,1,FALSE),"0")=BN47,IFERROR(VLOOKUP(BN47,$R$3:$R$105,1,FALSE),"0")=BN47),BO47,IF(OR(VLOOKUP(BN47,Расчет!A:E,5,FALSE)="2PS",VLOOKUP(BN47,Расчет!A:E,5,FALSE)="2QL"),IF(VLOOKUP(BN47,Расчет!A:B,2,FALSE)="831W",BN47-$BS$7+$AD$17,BN47-$BS$7+$AD$12),BN47-$BS$7)),"-")</f>
        <v>-</v>
      </c>
      <c r="BN47" s="154">
        <f>IF(OR(Расчет!C44="A0",Расчет!C44="P9",Расчет!B44="722W"),"-",Расчет!A44)</f>
        <v>11189</v>
      </c>
      <c r="BO47" s="173">
        <f t="shared" si="15"/>
        <v>0</v>
      </c>
      <c r="BP47" s="172" t="str">
        <f>IF(BQ47="-","-",IFERROR(IF(OR(VLOOKUP(BN47,Расчет!$A$2:$E$582,5,FALSE)="2PS",VLOOKUP(BN47,Расчет!$A$2:$E$582,5,FALSE)="2QL"),IF(OR(VLOOKUP(BN47,Расчет!$A$2:$E$582,2,FALSE)="664W",VLOOKUP(BN47,Расчет!$A$2:$E$582,2,FALSE)="813W"),IF(BN47-$BS$7&gt;150,BN47-$BS$7-1000+$AD$12,BN47-$BS$7+$AD$12),IF(BN47-$BS$7&gt;150,BN47-$BS$7-1000+$AD$17,BN47-$BS$7+$AD$17)),IF(BN47-$BS$7&gt;150,BN47-$BS$7-1000,BN47-$BS$7)),"-"))</f>
        <v>-</v>
      </c>
      <c r="BQ47" s="173">
        <f t="shared" si="12"/>
        <v>11189</v>
      </c>
      <c r="BR47" s="453"/>
      <c r="BS47" s="171"/>
      <c r="BT47" s="464" t="str">
        <f t="shared" si="13"/>
        <v>-</v>
      </c>
      <c r="BU47" s="464" t="str">
        <f t="shared" si="14"/>
        <v>-</v>
      </c>
      <c r="BX47" s="204">
        <f>COUNTIF($BY$4:BY47,"&lt;100")</f>
        <v>0</v>
      </c>
      <c r="BY47" s="213" t="str">
        <f t="shared" si="26"/>
        <v/>
      </c>
      <c r="BZ47" s="216" t="str">
        <f t="shared" si="27"/>
        <v/>
      </c>
      <c r="CA47" s="213" t="e">
        <f t="shared" si="6"/>
        <v>#N/A</v>
      </c>
      <c r="CB47" s="209" t="e">
        <f t="shared" si="7"/>
        <v>#N/A</v>
      </c>
      <c r="CC47" s="205" t="str">
        <f t="shared" si="16"/>
        <v/>
      </c>
      <c r="CD47" s="205" t="str">
        <f t="shared" si="28"/>
        <v>-</v>
      </c>
      <c r="CE47" s="205">
        <f t="shared" si="29"/>
        <v>0</v>
      </c>
      <c r="CG47" s="20" t="str">
        <f t="shared" si="30"/>
        <v/>
      </c>
    </row>
    <row r="48" spans="1:85" ht="23.1" customHeight="1">
      <c r="A48" s="40" t="str">
        <f>IF(AND(IFERROR(VLOOKUP(E48,Расчет!A:J,10,FALSE),"  ")&lt;&gt;"  ",IFERROR(LEFT(VLOOKUP(E48,Расчет!A:J,10,FALSE),1)," ")&lt;&gt;"H"),0,IFERROR(IF(F48="Camry",IF(OR(J48="2PS",J48="2QL"),IF(E48-AP48&gt;100,E48-AP48-1000+$AD$12,E48-AP48+$AD$12),IF(E48-AP48&gt;100,E48-AP48-1000,E48-AP48)),IF(J48="2PS",IF(E48-AP48&gt;100,E48-AP48-1000+$AD$17,E48-AP48+$AD$17),IF(E48-AP48&gt;100,E48-AP48-1000,E48-AP48))),"-"))</f>
        <v>-</v>
      </c>
      <c r="B48" s="46">
        <v>46</v>
      </c>
      <c r="C48" s="19" t="str">
        <f>IF(E48="","",COUNTA($E$3:E48))</f>
        <v/>
      </c>
      <c r="D48" s="18" t="str">
        <f t="shared" si="0"/>
        <v/>
      </c>
      <c r="E48" s="30"/>
      <c r="F48" s="44" t="str">
        <f>IFERROR(IF(VLOOKUP(E48,Расчет!$A$2:$B$650,2,FALSE)="664W","Camry",IF(VLOOKUP(E48,Расчет!$A$2:$B$650,2,FALSE)="813W","Goshi","RAV4")),"")</f>
        <v/>
      </c>
      <c r="G48" s="32" t="str">
        <f>IFERROR(IF(F48="Camry",VLOOKUP(E48,Расчет!$A$2:$Q$650,17,FALSE),VLOOKUP(E48,Расчет!$A$2:$R$650,18,FALSE)),"")</f>
        <v/>
      </c>
      <c r="H48" s="32" t="str">
        <f>IFERROR(VLOOKUP(VLOOKUP(E48,Расчет!$A:$D,4,FALSE),$AT$6:$AV$15,3,FALSE),"")</f>
        <v/>
      </c>
      <c r="I48" s="31" t="str">
        <f>IFERROR(VLOOKUP(IFERROR(VLOOKUP(E48,Расчет!$A$2:$D$650,4,FALSE),0),$AT$3:$AU$15,2,FALSE),"")</f>
        <v/>
      </c>
      <c r="J48" s="33" t="str">
        <f>IFERROR(VLOOKUP(E48,Расчет!$A$2:$E$650,5,FALSE),"")</f>
        <v/>
      </c>
      <c r="K48" s="189"/>
      <c r="L48" s="188">
        <f t="shared" si="10"/>
        <v>0</v>
      </c>
      <c r="M48" s="38"/>
      <c r="N48" s="40" t="str">
        <f>IF(AND(IFERROR(VLOOKUP(R48,Расчет!A:J,10,FALSE),"  ")&lt;&gt;"  ",IFERROR(LEFT(VLOOKUP(R48,Расчет!A:J,10,FALSE),1)," ")&lt;&gt;"H"),0,IFERROR(IF(S48="Camry",IF(OR(W48="2PS",W48="2QL"),IF(R48-AP151&gt;100,R48-AP151-1000+$AD$12,R48-AP151+$AD$12),IF(R48-AP151&gt;100,R48-AP151-1000,R48-AP151)),IF(W48="2PS",IF(R48-AP151&gt;100,R48-AP151-1000+$AD$17,R48-AP151+$AD$17),IF(R48-AP151&gt;100,R48-AP151-1000,R48-AP151))),"-"))</f>
        <v>-</v>
      </c>
      <c r="O48" s="46">
        <v>149</v>
      </c>
      <c r="P48" s="19" t="str">
        <f>IF(R48="","",COUNTA($R$3:R48)+$C$105)</f>
        <v/>
      </c>
      <c r="Q48" s="18" t="str">
        <f t="shared" si="1"/>
        <v/>
      </c>
      <c r="R48" s="30"/>
      <c r="S48" s="45" t="str">
        <f>IFERROR(IF(VLOOKUP(R48,Расчет!$A$2:$B$650,2,FALSE)="664W","Camry",IF(VLOOKUP(R48,Расчет!$A$2:$B$650,2,FALSE)="813W","Goshi","RAV4")),"")</f>
        <v/>
      </c>
      <c r="T48" s="32" t="str">
        <f>IFERROR(IF(S48="Camry",VLOOKUP(R48,Расчет!$A$2:$Q$650,17,FALSE),VLOOKUP(R48,Расчет!$A$2:$R$650,18,FALSE)),"")</f>
        <v/>
      </c>
      <c r="U48" s="32" t="str">
        <f>IFERROR(VLOOKUP(VLOOKUP(R48,Расчет!$A:$D,4,FALSE),$AT$6:$AV$15,3,FALSE),"")</f>
        <v/>
      </c>
      <c r="V48" s="31" t="str">
        <f>IFERROR(VLOOKUP(IFERROR(VLOOKUP(R48,Расчет!$A$2:$D$650,4,FALSE),0),$AT$3:$AU$15,2,FALSE),"")</f>
        <v/>
      </c>
      <c r="W48" s="33" t="str">
        <f>IFERROR(VLOOKUP(R48,Расчет!$A$2:$E$650,5,FALSE),"")</f>
        <v/>
      </c>
      <c r="X48" s="189"/>
      <c r="Y48" s="191">
        <f t="shared" si="11"/>
        <v>0</v>
      </c>
      <c r="Z48" s="524"/>
      <c r="AA48" s="525"/>
      <c r="AB48" s="420" t="str">
        <f>IFERROR(VLOOKUP(AC48,Расчет!$BS:$BT,2,FALSE),"")</f>
        <v/>
      </c>
      <c r="AC48" s="193"/>
      <c r="AD48" s="196" t="str">
        <f>IFERROR(IF(VLOOKUP(AC48,Расчет!$A$2:$B$350,2,FALSE)="664W","Camry","RAV4"),"-")</f>
        <v>-</v>
      </c>
      <c r="AE48" s="195">
        <v>46</v>
      </c>
      <c r="AF48" s="44" t="str">
        <f>IF(VLOOKUP(AE48,Расчет!$AH$2:$AN$201,5,FALSE)="8","C",IF(VLOOKUP(AE48,Расчет!$AH$2:$AN$201,5,FALSE)="G","G","R"))</f>
        <v>R</v>
      </c>
      <c r="AG48" s="73" t="str">
        <f t="shared" si="2"/>
        <v/>
      </c>
      <c r="AH48" s="87" t="str">
        <f>IF(AG48="","",COUNTIF($AG$2:AG48,"C")-COUNTIF($AF$2:AF48,"C")+$AH$1)</f>
        <v/>
      </c>
      <c r="AI48" s="87" t="str">
        <f>IF(AG48="","",COUNTIF($AG$2:AG48,"R")-COUNTIF($AF$2:AF48,"R")+$AI$1)</f>
        <v/>
      </c>
      <c r="AJ48" s="89">
        <v>149</v>
      </c>
      <c r="AK48" s="44" t="str">
        <f>IF(VLOOKUP(AJ48,Расчет!$AH$2:$AN$211,5,FALSE)="8","C",IF(VLOOKUP(AJ48,Расчет!$AH$2:$AN$211,5,FALSE)="G","G","R"))</f>
        <v>R</v>
      </c>
      <c r="AL48" s="74" t="str">
        <f t="shared" si="3"/>
        <v/>
      </c>
      <c r="AM48" s="118" t="str">
        <f>IF(AL48="","",(COUNTIF($AG$2:$AG$105,"C")+COUNTIF($AL$2:$AL48,"C"))-(COUNTIF($AF$2:$AF$105,"C")+COUNTIF($AK$2:$AK48,"C"))+$AH$1)</f>
        <v/>
      </c>
      <c r="AN48" s="119" t="str">
        <f>IF(AL48="","",(COUNTIF($AG$2:$AG$105,"R")+COUNTIF($AL$2:$AL48,"R"))-(COUNTIF($AF$2:$AF$105,"R")+COUNTIF($AK$2:$AK48,"R"))+$AI$1)</f>
        <v/>
      </c>
      <c r="AO48" s="22" t="str">
        <f>IF(E48="","",COUNTA($E$3:E48)+$Z$1)</f>
        <v/>
      </c>
      <c r="AP48" s="88" t="str">
        <f>IF(AO48="","",IF(AO48+Расчет!$Y$57+$BD$2-Расчет!$X$57&gt;200,AO48+Расчет!$Y$57+$BD$2-1000,AO48+Расчет!$Y$57+$BD$2))</f>
        <v/>
      </c>
      <c r="AR48" s="92"/>
      <c r="AS48" s="92"/>
      <c r="AX48" s="53"/>
      <c r="AY48" s="53"/>
      <c r="AZ48" s="53"/>
      <c r="BA48" s="53"/>
      <c r="BB48" s="53"/>
      <c r="BC48" s="53"/>
      <c r="BD48" s="53"/>
      <c r="BE48" s="77"/>
      <c r="BF48" s="77"/>
      <c r="BG48" s="77"/>
      <c r="BL48" s="172">
        <f>COUNTIF($BM$5:BM48,"&lt;-115")</f>
        <v>0</v>
      </c>
      <c r="BM48" s="154" t="str">
        <f>IFERROR(IF(OR(IFERROR(VLOOKUP(BN48,$E$3:$E$105,1,FALSE),"0")=BN48,IFERROR(VLOOKUP(BN48,$R$3:$R$105,1,FALSE),"0")=BN48),BO48,IF(OR(VLOOKUP(BN48,Расчет!A:E,5,FALSE)="2PS",VLOOKUP(BN48,Расчет!A:E,5,FALSE)="2QL"),IF(VLOOKUP(BN48,Расчет!A:B,2,FALSE)="831W",BN48-$BS$7+$AD$17,BN48-$BS$7+$AD$12),BN48-$BS$7)),"-")</f>
        <v>-</v>
      </c>
      <c r="BN48" s="154">
        <f>IF(OR(Расчет!C45="A0",Расчет!C45="P9",Расчет!B45="722W"),"-",Расчет!A45)</f>
        <v>11190</v>
      </c>
      <c r="BO48" s="173">
        <f t="shared" si="15"/>
        <v>0</v>
      </c>
      <c r="BP48" s="172" t="str">
        <f>IF(BQ48="-","-",IFERROR(IF(OR(VLOOKUP(BN48,Расчет!$A$2:$E$582,5,FALSE)="2PS",VLOOKUP(BN48,Расчет!$A$2:$E$582,5,FALSE)="2QL"),IF(OR(VLOOKUP(BN48,Расчет!$A$2:$E$582,2,FALSE)="664W",VLOOKUP(BN48,Расчет!$A$2:$E$582,2,FALSE)="813W"),IF(BN48-$BS$7&gt;150,BN48-$BS$7-1000+$AD$12,BN48-$BS$7+$AD$12),IF(BN48-$BS$7&gt;150,BN48-$BS$7-1000+$AD$17,BN48-$BS$7+$AD$17)),IF(BN48-$BS$7&gt;150,BN48-$BS$7-1000,BN48-$BS$7)),"-"))</f>
        <v>-</v>
      </c>
      <c r="BQ48" s="173">
        <f t="shared" si="12"/>
        <v>11190</v>
      </c>
      <c r="BR48" s="453"/>
      <c r="BS48" s="171"/>
      <c r="BT48" s="464" t="str">
        <f t="shared" si="13"/>
        <v>-</v>
      </c>
      <c r="BU48" s="464" t="str">
        <f t="shared" si="14"/>
        <v>-</v>
      </c>
      <c r="BX48" s="204">
        <f>COUNTIF($BY$4:BY48,"&lt;100")</f>
        <v>0</v>
      </c>
      <c r="BY48" s="213" t="str">
        <f t="shared" si="26"/>
        <v/>
      </c>
      <c r="BZ48" s="216" t="str">
        <f t="shared" si="27"/>
        <v/>
      </c>
      <c r="CA48" s="213" t="e">
        <f t="shared" si="6"/>
        <v>#N/A</v>
      </c>
      <c r="CB48" s="209" t="e">
        <f t="shared" si="7"/>
        <v>#N/A</v>
      </c>
      <c r="CC48" s="205" t="str">
        <f t="shared" si="16"/>
        <v/>
      </c>
      <c r="CD48" s="205" t="str">
        <f t="shared" si="28"/>
        <v>-</v>
      </c>
      <c r="CE48" s="205">
        <f t="shared" si="29"/>
        <v>0</v>
      </c>
      <c r="CG48" s="20" t="str">
        <f t="shared" si="30"/>
        <v/>
      </c>
    </row>
    <row r="49" spans="1:85" ht="23.1" customHeight="1">
      <c r="A49" s="40" t="str">
        <f>IF(AND(IFERROR(VLOOKUP(E49,Расчет!A:J,10,FALSE),"  ")&lt;&gt;"  ",IFERROR(LEFT(VLOOKUP(E49,Расчет!A:J,10,FALSE),1)," ")&lt;&gt;"H"),0,IFERROR(IF(F49="Camry",IF(OR(J49="2PS",J49="2QL"),IF(E49-AP49&gt;100,E49-AP49-1000+$AD$12,E49-AP49+$AD$12),IF(E49-AP49&gt;100,E49-AP49-1000,E49-AP49)),IF(J49="2PS",IF(E49-AP49&gt;100,E49-AP49-1000+$AD$17,E49-AP49+$AD$17),IF(E49-AP49&gt;100,E49-AP49-1000,E49-AP49))),"-"))</f>
        <v>-</v>
      </c>
      <c r="B49" s="46">
        <v>47</v>
      </c>
      <c r="C49" s="19" t="str">
        <f>IF(E49="","",COUNTA($E$3:E49))</f>
        <v/>
      </c>
      <c r="D49" s="18" t="str">
        <f t="shared" si="0"/>
        <v/>
      </c>
      <c r="E49" s="30"/>
      <c r="F49" s="44" t="str">
        <f>IFERROR(IF(VLOOKUP(E49,Расчет!$A$2:$B$650,2,FALSE)="664W","Camry",IF(VLOOKUP(E49,Расчет!$A$2:$B$650,2,FALSE)="813W","Goshi","RAV4")),"")</f>
        <v/>
      </c>
      <c r="G49" s="32" t="str">
        <f>IFERROR(IF(F49="Camry",VLOOKUP(E49,Расчет!$A$2:$Q$650,17,FALSE),VLOOKUP(E49,Расчет!$A$2:$R$650,18,FALSE)),"")</f>
        <v/>
      </c>
      <c r="H49" s="32" t="str">
        <f>IFERROR(VLOOKUP(VLOOKUP(E49,Расчет!$A:$D,4,FALSE),$AT$6:$AV$15,3,FALSE),"")</f>
        <v/>
      </c>
      <c r="I49" s="31" t="str">
        <f>IFERROR(VLOOKUP(IFERROR(VLOOKUP(E49,Расчет!$A$2:$D$650,4,FALSE),0),$AT$3:$AU$15,2,FALSE),"")</f>
        <v/>
      </c>
      <c r="J49" s="33" t="str">
        <f>IFERROR(VLOOKUP(E49,Расчет!$A$2:$E$650,5,FALSE),"")</f>
        <v/>
      </c>
      <c r="K49" s="189"/>
      <c r="L49" s="188">
        <f t="shared" si="10"/>
        <v>0</v>
      </c>
      <c r="M49" s="38"/>
      <c r="N49" s="40" t="str">
        <f>IF(AND(IFERROR(VLOOKUP(R49,Расчет!A:J,10,FALSE),"  ")&lt;&gt;"  ",IFERROR(LEFT(VLOOKUP(R49,Расчет!A:J,10,FALSE),1)," ")&lt;&gt;"H"),0,IFERROR(IF(S49="Camry",IF(OR(W49="2PS",W49="2QL"),IF(R49-AP152&gt;100,R49-AP152-1000+$AD$12,R49-AP152+$AD$12),IF(R49-AP152&gt;100,R49-AP152-1000,R49-AP152)),IF(W49="2PS",IF(R49-AP152&gt;100,R49-AP152-1000+$AD$17,R49-AP152+$AD$17),IF(R49-AP152&gt;100,R49-AP152-1000,R49-AP152))),"-"))</f>
        <v>-</v>
      </c>
      <c r="O49" s="46">
        <v>150</v>
      </c>
      <c r="P49" s="19" t="str">
        <f>IF(R49="","",COUNTA($R$3:R49)+$C$105)</f>
        <v/>
      </c>
      <c r="Q49" s="18" t="str">
        <f t="shared" si="1"/>
        <v/>
      </c>
      <c r="R49" s="30"/>
      <c r="S49" s="45" t="str">
        <f>IFERROR(IF(VLOOKUP(R49,Расчет!$A$2:$B$650,2,FALSE)="664W","Camry",IF(VLOOKUP(R49,Расчет!$A$2:$B$650,2,FALSE)="813W","Goshi","RAV4")),"")</f>
        <v/>
      </c>
      <c r="T49" s="32" t="str">
        <f>IFERROR(IF(S49="Camry",VLOOKUP(R49,Расчет!$A$2:$Q$650,17,FALSE),VLOOKUP(R49,Расчет!$A$2:$R$650,18,FALSE)),"")</f>
        <v/>
      </c>
      <c r="U49" s="32" t="str">
        <f>IFERROR(VLOOKUP(VLOOKUP(R49,Расчет!$A:$D,4,FALSE),$AT$6:$AV$15,3,FALSE),"")</f>
        <v/>
      </c>
      <c r="V49" s="31" t="str">
        <f>IFERROR(VLOOKUP(IFERROR(VLOOKUP(R49,Расчет!$A$2:$D$650,4,FALSE),0),$AT$3:$AU$15,2,FALSE),"")</f>
        <v/>
      </c>
      <c r="W49" s="33" t="str">
        <f>IFERROR(VLOOKUP(R49,Расчет!$A$2:$E$650,5,FALSE),"")</f>
        <v/>
      </c>
      <c r="X49" s="189"/>
      <c r="Y49" s="191">
        <f t="shared" si="11"/>
        <v>0</v>
      </c>
      <c r="Z49" s="524"/>
      <c r="AA49" s="525"/>
      <c r="AB49" s="420" t="str">
        <f>IFERROR(VLOOKUP(AC49,Расчет!$BS:$BT,2,FALSE),"")</f>
        <v/>
      </c>
      <c r="AC49" s="193"/>
      <c r="AD49" s="196" t="str">
        <f>IFERROR(IF(VLOOKUP(AC49,Расчет!$A$2:$B$350,2,FALSE)="664W","Camry","RAV4"),"-")</f>
        <v>-</v>
      </c>
      <c r="AE49" s="195">
        <v>47</v>
      </c>
      <c r="AF49" s="44" t="str">
        <f>IF(VLOOKUP(AE49,Расчет!$AH$2:$AN$201,5,FALSE)="8","C",IF(VLOOKUP(AE49,Расчет!$AH$2:$AN$201,5,FALSE)="G","G","R"))</f>
        <v>C</v>
      </c>
      <c r="AG49" s="73" t="str">
        <f t="shared" si="2"/>
        <v/>
      </c>
      <c r="AH49" s="87" t="str">
        <f>IF(AG49="","",COUNTIF($AG$2:AG49,"C")-COUNTIF($AF$2:AF49,"C")+$AH$1)</f>
        <v/>
      </c>
      <c r="AI49" s="87" t="str">
        <f>IF(AG49="","",COUNTIF($AG$2:AG49,"R")-COUNTIF($AF$2:AF49,"R")+$AI$1)</f>
        <v/>
      </c>
      <c r="AJ49" s="89">
        <v>150</v>
      </c>
      <c r="AK49" s="44" t="str">
        <f>IF(VLOOKUP(AJ49,Расчет!$AH$2:$AN$211,5,FALSE)="8","C",IF(VLOOKUP(AJ49,Расчет!$AH$2:$AN$211,5,FALSE)="G","G","R"))</f>
        <v>C</v>
      </c>
      <c r="AL49" s="74" t="str">
        <f t="shared" si="3"/>
        <v/>
      </c>
      <c r="AM49" s="118" t="str">
        <f>IF(AL49="","",(COUNTIF($AG$2:$AG$105,"C")+COUNTIF($AL$2:$AL49,"C"))-(COUNTIF($AF$2:$AF$105,"C")+COUNTIF($AK$2:$AK49,"C"))+$AH$1)</f>
        <v/>
      </c>
      <c r="AN49" s="119" t="str">
        <f>IF(AL49="","",(COUNTIF($AG$2:$AG$105,"R")+COUNTIF($AL$2:$AL49,"R"))-(COUNTIF($AF$2:$AF$105,"R")+COUNTIF($AK$2:$AK49,"R"))+$AI$1)</f>
        <v/>
      </c>
      <c r="AO49" s="22" t="str">
        <f>IF(E49="","",COUNTA($E$3:E49)+$Z$1)</f>
        <v/>
      </c>
      <c r="AP49" s="88" t="str">
        <f>IF(AO49="","",IF(AO49+Расчет!$Y$57+$BD$2-Расчет!$X$57&gt;200,AO49+Расчет!$Y$57+$BD$2-1000,AO49+Расчет!$Y$57+$BD$2))</f>
        <v/>
      </c>
      <c r="AR49" s="92"/>
      <c r="AS49" s="92"/>
      <c r="AX49" s="53"/>
      <c r="AY49" s="53"/>
      <c r="AZ49" s="53"/>
      <c r="BA49" s="53"/>
      <c r="BB49" s="53"/>
      <c r="BC49" s="53"/>
      <c r="BD49" s="53"/>
      <c r="BE49" s="77"/>
      <c r="BF49" s="77"/>
      <c r="BG49" s="77"/>
      <c r="BL49" s="172">
        <f>COUNTIF($BM$5:BM49,"&lt;-115")</f>
        <v>0</v>
      </c>
      <c r="BM49" s="154" t="str">
        <f>IFERROR(IF(OR(IFERROR(VLOOKUP(BN49,$E$3:$E$105,1,FALSE),"0")=BN49,IFERROR(VLOOKUP(BN49,$R$3:$R$105,1,FALSE),"0")=BN49),BO49,IF(OR(VLOOKUP(BN49,Расчет!A:E,5,FALSE)="2PS",VLOOKUP(BN49,Расчет!A:E,5,FALSE)="2QL"),IF(VLOOKUP(BN49,Расчет!A:B,2,FALSE)="831W",BN49-$BS$7+$AD$17,BN49-$BS$7+$AD$12),BN49-$BS$7)),"-")</f>
        <v>-</v>
      </c>
      <c r="BN49" s="154">
        <f>IF(OR(Расчет!C46="A0",Расчет!C46="P9",Расчет!B46="722W"),"-",Расчет!A46)</f>
        <v>11191</v>
      </c>
      <c r="BO49" s="173">
        <f t="shared" si="15"/>
        <v>0</v>
      </c>
      <c r="BP49" s="172" t="str">
        <f>IF(BQ49="-","-",IFERROR(IF(OR(VLOOKUP(BN49,Расчет!$A$2:$E$582,5,FALSE)="2PS",VLOOKUP(BN49,Расчет!$A$2:$E$582,5,FALSE)="2QL"),IF(OR(VLOOKUP(BN49,Расчет!$A$2:$E$582,2,FALSE)="664W",VLOOKUP(BN49,Расчет!$A$2:$E$582,2,FALSE)="813W"),IF(BN49-$BS$7&gt;150,BN49-$BS$7-1000+$AD$12,BN49-$BS$7+$AD$12),IF(BN49-$BS$7&gt;150,BN49-$BS$7-1000+$AD$17,BN49-$BS$7+$AD$17)),IF(BN49-$BS$7&gt;150,BN49-$BS$7-1000,BN49-$BS$7)),"-"))</f>
        <v>-</v>
      </c>
      <c r="BQ49" s="173">
        <f t="shared" si="12"/>
        <v>11191</v>
      </c>
      <c r="BR49" s="453"/>
      <c r="BS49" s="171"/>
      <c r="BT49" s="464" t="str">
        <f t="shared" si="13"/>
        <v>-</v>
      </c>
      <c r="BU49" s="464" t="str">
        <f t="shared" si="14"/>
        <v>-</v>
      </c>
      <c r="BX49" s="204">
        <f>COUNTIF($BY$4:BY49,"&lt;100")</f>
        <v>0</v>
      </c>
      <c r="BY49" s="213" t="str">
        <f t="shared" si="26"/>
        <v/>
      </c>
      <c r="BZ49" s="216" t="str">
        <f t="shared" si="27"/>
        <v/>
      </c>
      <c r="CA49" s="213" t="e">
        <f t="shared" si="6"/>
        <v>#N/A</v>
      </c>
      <c r="CB49" s="209" t="e">
        <f t="shared" si="7"/>
        <v>#N/A</v>
      </c>
      <c r="CC49" s="205" t="str">
        <f t="shared" si="16"/>
        <v/>
      </c>
      <c r="CD49" s="205" t="str">
        <f t="shared" si="28"/>
        <v>-</v>
      </c>
      <c r="CE49" s="205">
        <f t="shared" si="29"/>
        <v>0</v>
      </c>
      <c r="CG49" s="20" t="str">
        <f t="shared" si="30"/>
        <v/>
      </c>
    </row>
    <row r="50" spans="1:85" ht="23.1" customHeight="1">
      <c r="A50" s="40" t="str">
        <f>IF(AND(IFERROR(VLOOKUP(E50,Расчет!A:J,10,FALSE),"  ")&lt;&gt;"  ",IFERROR(LEFT(VLOOKUP(E50,Расчет!A:J,10,FALSE),1)," ")&lt;&gt;"H"),0,IFERROR(IF(F50="Camry",IF(OR(J50="2PS",J50="2QL"),IF(E50-AP50&gt;100,E50-AP50-1000+$AD$12,E50-AP50+$AD$12),IF(E50-AP50&gt;100,E50-AP50-1000,E50-AP50)),IF(J50="2PS",IF(E50-AP50&gt;100,E50-AP50-1000+$AD$17,E50-AP50+$AD$17),IF(E50-AP50&gt;100,E50-AP50-1000,E50-AP50))),"-"))</f>
        <v>-</v>
      </c>
      <c r="B50" s="46">
        <v>48</v>
      </c>
      <c r="C50" s="19" t="str">
        <f>IF(E50="","",COUNTA($E$3:E50))</f>
        <v/>
      </c>
      <c r="D50" s="18" t="str">
        <f t="shared" si="0"/>
        <v/>
      </c>
      <c r="E50" s="30"/>
      <c r="F50" s="44" t="str">
        <f>IFERROR(IF(VLOOKUP(E50,Расчет!$A$2:$B$650,2,FALSE)="664W","Camry",IF(VLOOKUP(E50,Расчет!$A$2:$B$650,2,FALSE)="813W","Goshi","RAV4")),"")</f>
        <v/>
      </c>
      <c r="G50" s="32" t="str">
        <f>IFERROR(IF(F50="Camry",VLOOKUP(E50,Расчет!$A$2:$Q$650,17,FALSE),VLOOKUP(E50,Расчет!$A$2:$R$650,18,FALSE)),"")</f>
        <v/>
      </c>
      <c r="H50" s="32" t="str">
        <f>IFERROR(VLOOKUP(VLOOKUP(E50,Расчет!$A:$D,4,FALSE),$AT$6:$AV$15,3,FALSE),"")</f>
        <v/>
      </c>
      <c r="I50" s="31" t="str">
        <f>IFERROR(VLOOKUP(IFERROR(VLOOKUP(E50,Расчет!$A$2:$D$650,4,FALSE),0),$AT$3:$AU$15,2,FALSE),"")</f>
        <v/>
      </c>
      <c r="J50" s="33" t="str">
        <f>IFERROR(VLOOKUP(E50,Расчет!$A$2:$E$650,5,FALSE),"")</f>
        <v/>
      </c>
      <c r="K50" s="189"/>
      <c r="L50" s="188">
        <f t="shared" si="10"/>
        <v>0</v>
      </c>
      <c r="M50" s="38"/>
      <c r="N50" s="40" t="str">
        <f>IF(AND(IFERROR(VLOOKUP(R50,Расчет!A:J,10,FALSE),"  ")&lt;&gt;"  ",IFERROR(LEFT(VLOOKUP(R50,Расчет!A:J,10,FALSE),1)," ")&lt;&gt;"H"),0,IFERROR(IF(S50="Camry",IF(OR(W50="2PS",W50="2QL"),IF(R50-AP153&gt;100,R50-AP153-1000+$AD$12,R50-AP153+$AD$12),IF(R50-AP153&gt;100,R50-AP153-1000,R50-AP153)),IF(W50="2PS",IF(R50-AP153&gt;100,R50-AP153-1000+$AD$17,R50-AP153+$AD$17),IF(R50-AP153&gt;100,R50-AP153-1000,R50-AP153))),"-"))</f>
        <v>-</v>
      </c>
      <c r="O50" s="46">
        <v>151</v>
      </c>
      <c r="P50" s="19" t="str">
        <f>IF(R50="","",COUNTA($R$3:R50)+$C$105)</f>
        <v/>
      </c>
      <c r="Q50" s="18" t="str">
        <f t="shared" si="1"/>
        <v/>
      </c>
      <c r="R50" s="30"/>
      <c r="S50" s="45" t="str">
        <f>IFERROR(IF(VLOOKUP(R50,Расчет!$A$2:$B$650,2,FALSE)="664W","Camry",IF(VLOOKUP(R50,Расчет!$A$2:$B$650,2,FALSE)="813W","Goshi","RAV4")),"")</f>
        <v/>
      </c>
      <c r="T50" s="32" t="str">
        <f>IFERROR(IF(S50="Camry",VLOOKUP(R50,Расчет!$A$2:$Q$650,17,FALSE),VLOOKUP(R50,Расчет!$A$2:$R$650,18,FALSE)),"")</f>
        <v/>
      </c>
      <c r="U50" s="32" t="str">
        <f>IFERROR(VLOOKUP(VLOOKUP(R50,Расчет!$A:$D,4,FALSE),$AT$6:$AV$15,3,FALSE),"")</f>
        <v/>
      </c>
      <c r="V50" s="31" t="str">
        <f>IFERROR(VLOOKUP(IFERROR(VLOOKUP(R50,Расчет!$A$2:$D$650,4,FALSE),0),$AT$3:$AU$15,2,FALSE),"")</f>
        <v/>
      </c>
      <c r="W50" s="33" t="str">
        <f>IFERROR(VLOOKUP(R50,Расчет!$A$2:$E$650,5,FALSE),"")</f>
        <v/>
      </c>
      <c r="X50" s="189"/>
      <c r="Y50" s="191">
        <f t="shared" si="11"/>
        <v>0</v>
      </c>
      <c r="Z50" s="524"/>
      <c r="AA50" s="525"/>
      <c r="AB50" s="420" t="str">
        <f>IFERROR(VLOOKUP(AC50,Расчет!$BS:$BT,2,FALSE),"")</f>
        <v/>
      </c>
      <c r="AC50" s="193"/>
      <c r="AD50" s="196" t="str">
        <f>IFERROR(IF(VLOOKUP(AC50,Расчет!$A$2:$B$350,2,FALSE)="664W","Camry","RAV4"),"-")</f>
        <v>-</v>
      </c>
      <c r="AE50" s="195">
        <v>48</v>
      </c>
      <c r="AF50" s="44" t="str">
        <f>IF(VLOOKUP(AE50,Расчет!$AH$2:$AN$201,5,FALSE)="8","C",IF(VLOOKUP(AE50,Расчет!$AH$2:$AN$201,5,FALSE)="G","G","R"))</f>
        <v>R</v>
      </c>
      <c r="AG50" s="73" t="str">
        <f t="shared" si="2"/>
        <v/>
      </c>
      <c r="AH50" s="87" t="str">
        <f>IF(AG50="","",COUNTIF($AG$2:AG50,"C")-COUNTIF($AF$2:AF50,"C")+$AH$1)</f>
        <v/>
      </c>
      <c r="AI50" s="87" t="str">
        <f>IF(AG50="","",COUNTIF($AG$2:AG50,"R")-COUNTIF($AF$2:AF50,"R")+$AI$1)</f>
        <v/>
      </c>
      <c r="AJ50" s="89">
        <v>151</v>
      </c>
      <c r="AK50" s="44" t="str">
        <f>IF(VLOOKUP(AJ50,Расчет!$AH$2:$AN$211,5,FALSE)="8","C",IF(VLOOKUP(AJ50,Расчет!$AH$2:$AN$211,5,FALSE)="G","G","R"))</f>
        <v>R</v>
      </c>
      <c r="AL50" s="74" t="str">
        <f t="shared" si="3"/>
        <v/>
      </c>
      <c r="AM50" s="118" t="str">
        <f>IF(AL50="","",(COUNTIF($AG$2:$AG$105,"C")+COUNTIF($AL$2:$AL50,"C"))-(COUNTIF($AF$2:$AF$105,"C")+COUNTIF($AK$2:$AK50,"C"))+$AH$1)</f>
        <v/>
      </c>
      <c r="AN50" s="119" t="str">
        <f>IF(AL50="","",(COUNTIF($AG$2:$AG$105,"R")+COUNTIF($AL$2:$AL50,"R"))-(COUNTIF($AF$2:$AF$105,"R")+COUNTIF($AK$2:$AK50,"R"))+$AI$1)</f>
        <v/>
      </c>
      <c r="AO50" s="22" t="str">
        <f>IF(E50="","",COUNTA($E$3:E50)+$Z$1)</f>
        <v/>
      </c>
      <c r="AP50" s="88" t="str">
        <f>IF(AO50="","",IF(AO50+Расчет!$Y$57+$BD$2-Расчет!$X$57&gt;200,AO50+Расчет!$Y$57+$BD$2-1000,AO50+Расчет!$Y$57+$BD$2))</f>
        <v/>
      </c>
      <c r="AR50" s="92"/>
      <c r="AS50" s="92"/>
      <c r="BL50" s="172">
        <f>COUNTIF($BM$5:BM50,"&lt;-115")</f>
        <v>0</v>
      </c>
      <c r="BM50" s="154" t="str">
        <f>IFERROR(IF(OR(IFERROR(VLOOKUP(BN50,$E$3:$E$105,1,FALSE),"0")=BN50,IFERROR(VLOOKUP(BN50,$R$3:$R$105,1,FALSE),"0")=BN50),BO50,IF(OR(VLOOKUP(BN50,Расчет!A:E,5,FALSE)="2PS",VLOOKUP(BN50,Расчет!A:E,5,FALSE)="2QL"),IF(VLOOKUP(BN50,Расчет!A:B,2,FALSE)="831W",BN50-$BS$7+$AD$17,BN50-$BS$7+$AD$12),BN50-$BS$7)),"-")</f>
        <v>-</v>
      </c>
      <c r="BN50" s="154">
        <f>IF(OR(Расчет!C47="A0",Расчет!C47="P9",Расчет!B47="722W"),"-",Расчет!A47)</f>
        <v>11192</v>
      </c>
      <c r="BO50" s="173">
        <f t="shared" si="15"/>
        <v>0</v>
      </c>
      <c r="BP50" s="172" t="str">
        <f>IF(BQ50="-","-",IFERROR(IF(OR(VLOOKUP(BN50,Расчет!$A$2:$E$582,5,FALSE)="2PS",VLOOKUP(BN50,Расчет!$A$2:$E$582,5,FALSE)="2QL"),IF(OR(VLOOKUP(BN50,Расчет!$A$2:$E$582,2,FALSE)="664W",VLOOKUP(BN50,Расчет!$A$2:$E$582,2,FALSE)="813W"),IF(BN50-$BS$7&gt;150,BN50-$BS$7-1000+$AD$12,BN50-$BS$7+$AD$12),IF(BN50-$BS$7&gt;150,BN50-$BS$7-1000+$AD$17,BN50-$BS$7+$AD$17)),IF(BN50-$BS$7&gt;150,BN50-$BS$7-1000,BN50-$BS$7)),"-"))</f>
        <v>-</v>
      </c>
      <c r="BQ50" s="173">
        <f t="shared" si="12"/>
        <v>11192</v>
      </c>
      <c r="BR50" s="453"/>
      <c r="BS50" s="171"/>
      <c r="BT50" s="464" t="str">
        <f t="shared" si="13"/>
        <v>-</v>
      </c>
      <c r="BU50" s="464" t="str">
        <f t="shared" si="14"/>
        <v>-</v>
      </c>
      <c r="BX50" s="204">
        <f>COUNTIF($BY$4:BY50,"&lt;100")</f>
        <v>0</v>
      </c>
      <c r="BY50" s="213" t="str">
        <f t="shared" si="26"/>
        <v/>
      </c>
      <c r="BZ50" s="216" t="str">
        <f t="shared" si="27"/>
        <v/>
      </c>
      <c r="CA50" s="213" t="e">
        <f t="shared" si="6"/>
        <v>#N/A</v>
      </c>
      <c r="CB50" s="209" t="e">
        <f t="shared" si="7"/>
        <v>#N/A</v>
      </c>
      <c r="CC50" s="205" t="str">
        <f t="shared" si="16"/>
        <v/>
      </c>
      <c r="CD50" s="205" t="str">
        <f t="shared" si="28"/>
        <v>-</v>
      </c>
      <c r="CE50" s="205">
        <f t="shared" si="29"/>
        <v>0</v>
      </c>
      <c r="CG50" s="20" t="str">
        <f t="shared" si="30"/>
        <v/>
      </c>
    </row>
    <row r="51" spans="1:85" ht="23.1" customHeight="1">
      <c r="A51" s="40" t="str">
        <f>IF(AND(IFERROR(VLOOKUP(E51,Расчет!A:J,10,FALSE),"  ")&lt;&gt;"  ",IFERROR(LEFT(VLOOKUP(E51,Расчет!A:J,10,FALSE),1)," ")&lt;&gt;"H"),0,IFERROR(IF(F51="Camry",IF(OR(J51="2PS",J51="2QL"),IF(E51-AP51&gt;100,E51-AP51-1000+$AD$12,E51-AP51+$AD$12),IF(E51-AP51&gt;100,E51-AP51-1000,E51-AP51)),IF(J51="2PS",IF(E51-AP51&gt;100,E51-AP51-1000+$AD$17,E51-AP51+$AD$17),IF(E51-AP51&gt;100,E51-AP51-1000,E51-AP51))),"-"))</f>
        <v>-</v>
      </c>
      <c r="B51" s="46">
        <v>49</v>
      </c>
      <c r="C51" s="19" t="str">
        <f>IF(E51="","",COUNTA($E$3:E51))</f>
        <v/>
      </c>
      <c r="D51" s="18" t="str">
        <f t="shared" si="0"/>
        <v/>
      </c>
      <c r="E51" s="30"/>
      <c r="F51" s="44" t="str">
        <f>IFERROR(IF(VLOOKUP(E51,Расчет!$A$2:$B$650,2,FALSE)="664W","Camry",IF(VLOOKUP(E51,Расчет!$A$2:$B$650,2,FALSE)="813W","Goshi","RAV4")),"")</f>
        <v/>
      </c>
      <c r="G51" s="32" t="str">
        <f>IFERROR(IF(F51="Camry",VLOOKUP(E51,Расчет!$A$2:$Q$650,17,FALSE),VLOOKUP(E51,Расчет!$A$2:$R$650,18,FALSE)),"")</f>
        <v/>
      </c>
      <c r="H51" s="32" t="str">
        <f>IFERROR(VLOOKUP(VLOOKUP(E51,Расчет!$A:$D,4,FALSE),$AT$6:$AV$15,3,FALSE),"")</f>
        <v/>
      </c>
      <c r="I51" s="31" t="str">
        <f>IFERROR(VLOOKUP(IFERROR(VLOOKUP(E51,Расчет!$A$2:$D$650,4,FALSE),0),$AT$3:$AU$15,2,FALSE),"")</f>
        <v/>
      </c>
      <c r="J51" s="33" t="str">
        <f>IFERROR(VLOOKUP(E51,Расчет!$A$2:$E$650,5,FALSE),"")</f>
        <v/>
      </c>
      <c r="K51" s="189"/>
      <c r="L51" s="188">
        <f t="shared" si="10"/>
        <v>0</v>
      </c>
      <c r="M51" s="38"/>
      <c r="N51" s="40" t="str">
        <f>IF(AND(IFERROR(VLOOKUP(R51,Расчет!A:J,10,FALSE),"  ")&lt;&gt;"  ",IFERROR(LEFT(VLOOKUP(R51,Расчет!A:J,10,FALSE),1)," ")&lt;&gt;"H"),0,IFERROR(IF(S51="Camry",IF(OR(W51="2PS",W51="2QL"),IF(R51-AP154&gt;100,R51-AP154-1000+$AD$12,R51-AP154+$AD$12),IF(R51-AP154&gt;100,R51-AP154-1000,R51-AP154)),IF(W51="2PS",IF(R51-AP154&gt;100,R51-AP154-1000+$AD$17,R51-AP154+$AD$17),IF(R51-AP154&gt;100,R51-AP154-1000,R51-AP154))),"-"))</f>
        <v>-</v>
      </c>
      <c r="O51" s="46">
        <v>152</v>
      </c>
      <c r="P51" s="19" t="str">
        <f>IF(R51="","",COUNTA($R$3:R51)+$C$105)</f>
        <v/>
      </c>
      <c r="Q51" s="18" t="str">
        <f t="shared" si="1"/>
        <v/>
      </c>
      <c r="R51" s="30"/>
      <c r="S51" s="45" t="str">
        <f>IFERROR(IF(VLOOKUP(R51,Расчет!$A$2:$B$650,2,FALSE)="664W","Camry",IF(VLOOKUP(R51,Расчет!$A$2:$B$650,2,FALSE)="813W","Goshi","RAV4")),"")</f>
        <v/>
      </c>
      <c r="T51" s="32" t="str">
        <f>IFERROR(IF(S51="Camry",VLOOKUP(R51,Расчет!$A$2:$Q$650,17,FALSE),VLOOKUP(R51,Расчет!$A$2:$R$650,18,FALSE)),"")</f>
        <v/>
      </c>
      <c r="U51" s="32" t="str">
        <f>IFERROR(VLOOKUP(VLOOKUP(R51,Расчет!$A:$D,4,FALSE),$AT$6:$AV$15,3,FALSE),"")</f>
        <v/>
      </c>
      <c r="V51" s="31" t="str">
        <f>IFERROR(VLOOKUP(IFERROR(VLOOKUP(R51,Расчет!$A$2:$D$650,4,FALSE),0),$AT$3:$AU$15,2,FALSE),"")</f>
        <v/>
      </c>
      <c r="W51" s="33" t="str">
        <f>IFERROR(VLOOKUP(R51,Расчет!$A$2:$E$650,5,FALSE),"")</f>
        <v/>
      </c>
      <c r="X51" s="189"/>
      <c r="Y51" s="191">
        <f t="shared" si="11"/>
        <v>0</v>
      </c>
      <c r="Z51" s="524"/>
      <c r="AA51" s="525"/>
      <c r="AB51" s="420" t="str">
        <f>IFERROR(VLOOKUP(AC51,Расчет!$BS:$BT,2,FALSE),"")</f>
        <v/>
      </c>
      <c r="AC51" s="193"/>
      <c r="AD51" s="196" t="str">
        <f>IFERROR(IF(VLOOKUP(AC51,Расчет!$A$2:$B$350,2,FALSE)="664W","Camry","RAV4"),"-")</f>
        <v>-</v>
      </c>
      <c r="AE51" s="195">
        <v>49</v>
      </c>
      <c r="AF51" s="44" t="str">
        <f>IF(VLOOKUP(AE51,Расчет!$AH$2:$AN$201,5,FALSE)="8","C",IF(VLOOKUP(AE51,Расчет!$AH$2:$AN$201,5,FALSE)="G","G","R"))</f>
        <v>R</v>
      </c>
      <c r="AG51" s="73" t="str">
        <f t="shared" si="2"/>
        <v/>
      </c>
      <c r="AH51" s="87" t="str">
        <f>IF(AG51="","",COUNTIF($AG$2:AG51,"C")-COUNTIF($AF$2:AF51,"C")+$AH$1)</f>
        <v/>
      </c>
      <c r="AI51" s="87" t="str">
        <f>IF(AG51="","",COUNTIF($AG$2:AG51,"R")-COUNTIF($AF$2:AF51,"R")+$AI$1)</f>
        <v/>
      </c>
      <c r="AJ51" s="89">
        <v>152</v>
      </c>
      <c r="AK51" s="44" t="str">
        <f>IF(VLOOKUP(AJ51,Расчет!$AH$2:$AN$211,5,FALSE)="8","C",IF(VLOOKUP(AJ51,Расчет!$AH$2:$AN$211,5,FALSE)="G","G","R"))</f>
        <v>R</v>
      </c>
      <c r="AL51" s="74" t="str">
        <f t="shared" si="3"/>
        <v/>
      </c>
      <c r="AM51" s="118" t="str">
        <f>IF(AL51="","",(COUNTIF($AG$2:$AG$105,"C")+COUNTIF($AL$2:$AL51,"C"))-(COUNTIF($AF$2:$AF$105,"C")+COUNTIF($AK$2:$AK51,"C"))+$AH$1)</f>
        <v/>
      </c>
      <c r="AN51" s="119" t="str">
        <f>IF(AL51="","",(COUNTIF($AG$2:$AG$105,"R")+COUNTIF($AL$2:$AL51,"R"))-(COUNTIF($AF$2:$AF$105,"R")+COUNTIF($AK$2:$AK51,"R"))+$AI$1)</f>
        <v/>
      </c>
      <c r="AO51" s="22" t="str">
        <f>IF(E51="","",COUNTA($E$3:E51)+$Z$1)</f>
        <v/>
      </c>
      <c r="AP51" s="88" t="str">
        <f>IF(AO51="","",IF(AO51+Расчет!$Y$57+$BD$2-Расчет!$X$57&gt;200,AO51+Расчет!$Y$57+$BD$2-1000,AO51+Расчет!$Y$57+$BD$2))</f>
        <v/>
      </c>
      <c r="AR51" s="92"/>
      <c r="AS51" s="92"/>
      <c r="BL51" s="172">
        <f>COUNTIF($BM$5:BM51,"&lt;-115")</f>
        <v>0</v>
      </c>
      <c r="BM51" s="154" t="str">
        <f>IFERROR(IF(OR(IFERROR(VLOOKUP(BN51,$E$3:$E$105,1,FALSE),"0")=BN51,IFERROR(VLOOKUP(BN51,$R$3:$R$105,1,FALSE),"0")=BN51),BO51,IF(OR(VLOOKUP(BN51,Расчет!A:E,5,FALSE)="2PS",VLOOKUP(BN51,Расчет!A:E,5,FALSE)="2QL"),IF(VLOOKUP(BN51,Расчет!A:B,2,FALSE)="831W",BN51-$BS$7+$AD$17,BN51-$BS$7+$AD$12),BN51-$BS$7)),"-")</f>
        <v>-</v>
      </c>
      <c r="BN51" s="154">
        <f>IF(OR(Расчет!C48="A0",Расчет!C48="P9",Расчет!B48="722W"),"-",Расчет!A48)</f>
        <v>11193</v>
      </c>
      <c r="BO51" s="173">
        <f t="shared" si="15"/>
        <v>0</v>
      </c>
      <c r="BP51" s="172" t="str">
        <f>IF(BQ51="-","-",IFERROR(IF(OR(VLOOKUP(BN51,Расчет!$A$2:$E$582,5,FALSE)="2PS",VLOOKUP(BN51,Расчет!$A$2:$E$582,5,FALSE)="2QL"),IF(OR(VLOOKUP(BN51,Расчет!$A$2:$E$582,2,FALSE)="664W",VLOOKUP(BN51,Расчет!$A$2:$E$582,2,FALSE)="813W"),IF(BN51-$BS$7&gt;150,BN51-$BS$7-1000+$AD$12,BN51-$BS$7+$AD$12),IF(BN51-$BS$7&gt;150,BN51-$BS$7-1000+$AD$17,BN51-$BS$7+$AD$17)),IF(BN51-$BS$7&gt;150,BN51-$BS$7-1000,BN51-$BS$7)),"-"))</f>
        <v>-</v>
      </c>
      <c r="BQ51" s="173">
        <f t="shared" si="12"/>
        <v>11193</v>
      </c>
      <c r="BR51" s="453"/>
      <c r="BS51" s="171"/>
      <c r="BT51" s="464" t="str">
        <f t="shared" si="13"/>
        <v>-</v>
      </c>
      <c r="BU51" s="464" t="str">
        <f t="shared" si="14"/>
        <v>-</v>
      </c>
      <c r="BX51" s="204">
        <f>COUNTIF($BY$4:BY51,"&lt;100")</f>
        <v>0</v>
      </c>
      <c r="BY51" s="213" t="str">
        <f t="shared" si="26"/>
        <v/>
      </c>
      <c r="BZ51" s="216" t="str">
        <f t="shared" si="27"/>
        <v/>
      </c>
      <c r="CA51" s="213" t="e">
        <f t="shared" si="6"/>
        <v>#N/A</v>
      </c>
      <c r="CB51" s="209" t="e">
        <f t="shared" si="7"/>
        <v>#N/A</v>
      </c>
      <c r="CC51" s="205" t="str">
        <f t="shared" si="16"/>
        <v/>
      </c>
      <c r="CD51" s="205" t="str">
        <f t="shared" si="28"/>
        <v>-</v>
      </c>
      <c r="CE51" s="205">
        <f t="shared" si="29"/>
        <v>0</v>
      </c>
      <c r="CG51" s="20" t="str">
        <f t="shared" si="30"/>
        <v/>
      </c>
    </row>
    <row r="52" spans="1:85" ht="23.1" customHeight="1">
      <c r="A52" s="40" t="str">
        <f>IF(AND(IFERROR(VLOOKUP(E52,Расчет!A:J,10,FALSE),"  ")&lt;&gt;"  ",IFERROR(LEFT(VLOOKUP(E52,Расчет!A:J,10,FALSE),1)," ")&lt;&gt;"H"),0,IFERROR(IF(F52="Camry",IF(OR(J52="2PS",J52="2QL"),IF(E52-AP52&gt;100,E52-AP52-1000+$AD$12,E52-AP52+$AD$12),IF(E52-AP52&gt;100,E52-AP52-1000,E52-AP52)),IF(J52="2PS",IF(E52-AP52&gt;100,E52-AP52-1000+$AD$17,E52-AP52+$AD$17),IF(E52-AP52&gt;100,E52-AP52-1000,E52-AP52))),"-"))</f>
        <v>-</v>
      </c>
      <c r="B52" s="46">
        <v>50</v>
      </c>
      <c r="C52" s="19" t="str">
        <f>IF(E52="","",COUNTA($E$3:E52))</f>
        <v/>
      </c>
      <c r="D52" s="18" t="str">
        <f t="shared" si="0"/>
        <v/>
      </c>
      <c r="E52" s="30"/>
      <c r="F52" s="44" t="str">
        <f>IFERROR(IF(VLOOKUP(E52,Расчет!$A$2:$B$650,2,FALSE)="664W","Camry",IF(VLOOKUP(E52,Расчет!$A$2:$B$650,2,FALSE)="813W","Goshi","RAV4")),"")</f>
        <v/>
      </c>
      <c r="G52" s="32" t="str">
        <f>IFERROR(IF(F52="Camry",VLOOKUP(E52,Расчет!$A$2:$Q$650,17,FALSE),VLOOKUP(E52,Расчет!$A$2:$R$650,18,FALSE)),"")</f>
        <v/>
      </c>
      <c r="H52" s="32" t="str">
        <f>IFERROR(VLOOKUP(VLOOKUP(E52,Расчет!$A:$D,4,FALSE),$AT$6:$AV$15,3,FALSE),"")</f>
        <v/>
      </c>
      <c r="I52" s="31" t="str">
        <f>IFERROR(VLOOKUP(IFERROR(VLOOKUP(E52,Расчет!$A$2:$D$650,4,FALSE),0),$AT$3:$AU$15,2,FALSE),"")</f>
        <v/>
      </c>
      <c r="J52" s="33" t="str">
        <f>IFERROR(VLOOKUP(E52,Расчет!$A$2:$E$650,5,FALSE),"")</f>
        <v/>
      </c>
      <c r="K52" s="189"/>
      <c r="L52" s="188">
        <f t="shared" si="10"/>
        <v>0</v>
      </c>
      <c r="M52" s="38"/>
      <c r="N52" s="40" t="str">
        <f>IF(AND(IFERROR(VLOOKUP(R52,Расчет!A:J,10,FALSE),"  ")&lt;&gt;"  ",IFERROR(LEFT(VLOOKUP(R52,Расчет!A:J,10,FALSE),1)," ")&lt;&gt;"H"),0,IFERROR(IF(S52="Camry",IF(OR(W52="2PS",W52="2QL"),IF(R52-AP155&gt;100,R52-AP155-1000+$AD$12,R52-AP155+$AD$12),IF(R52-AP155&gt;100,R52-AP155-1000,R52-AP155)),IF(W52="2PS",IF(R52-AP155&gt;100,R52-AP155-1000+$AD$17,R52-AP155+$AD$17),IF(R52-AP155&gt;100,R52-AP155-1000,R52-AP155))),"-"))</f>
        <v>-</v>
      </c>
      <c r="O52" s="46">
        <v>153</v>
      </c>
      <c r="P52" s="19" t="str">
        <f>IF(R52="","",COUNTA($R$3:R52)+$C$105)</f>
        <v/>
      </c>
      <c r="Q52" s="18" t="str">
        <f t="shared" si="1"/>
        <v/>
      </c>
      <c r="R52" s="30"/>
      <c r="S52" s="45" t="str">
        <f>IFERROR(IF(VLOOKUP(R52,Расчет!$A$2:$B$650,2,FALSE)="664W","Camry",IF(VLOOKUP(R52,Расчет!$A$2:$B$650,2,FALSE)="813W","Goshi","RAV4")),"")</f>
        <v/>
      </c>
      <c r="T52" s="32" t="str">
        <f>IFERROR(IF(S52="Camry",VLOOKUP(R52,Расчет!$A$2:$Q$650,17,FALSE),VLOOKUP(R52,Расчет!$A$2:$R$650,18,FALSE)),"")</f>
        <v/>
      </c>
      <c r="U52" s="32" t="str">
        <f>IFERROR(VLOOKUP(VLOOKUP(R52,Расчет!$A:$D,4,FALSE),$AT$6:$AV$15,3,FALSE),"")</f>
        <v/>
      </c>
      <c r="V52" s="31" t="str">
        <f>IFERROR(VLOOKUP(IFERROR(VLOOKUP(R52,Расчет!$A$2:$D$650,4,FALSE),0),$AT$3:$AU$15,2,FALSE),"")</f>
        <v/>
      </c>
      <c r="W52" s="33" t="str">
        <f>IFERROR(VLOOKUP(R52,Расчет!$A$2:$E$650,5,FALSE),"")</f>
        <v/>
      </c>
      <c r="X52" s="189"/>
      <c r="Y52" s="191">
        <f t="shared" si="11"/>
        <v>0</v>
      </c>
      <c r="Z52" s="524"/>
      <c r="AA52" s="525"/>
      <c r="AB52" s="420" t="str">
        <f>IFERROR(VLOOKUP(AC52,Расчет!$BS:$BT,2,FALSE),"")</f>
        <v/>
      </c>
      <c r="AC52" s="193"/>
      <c r="AD52" s="196" t="str">
        <f>IFERROR(IF(VLOOKUP(AC52,Расчет!$A$2:$B$350,2,FALSE)="664W","Camry","RAV4"),"-")</f>
        <v>-</v>
      </c>
      <c r="AE52" s="195">
        <v>50</v>
      </c>
      <c r="AF52" s="44" t="str">
        <f>IF(VLOOKUP(AE52,Расчет!$AH$2:$AN$201,5,FALSE)="8","C",IF(VLOOKUP(AE52,Расчет!$AH$2:$AN$201,5,FALSE)="G","G","R"))</f>
        <v>C</v>
      </c>
      <c r="AG52" s="73" t="str">
        <f t="shared" si="2"/>
        <v/>
      </c>
      <c r="AH52" s="87" t="str">
        <f>IF(AG52="","",COUNTIF($AG$2:AG52,"C")-COUNTIF($AF$2:AF52,"C")+$AH$1)</f>
        <v/>
      </c>
      <c r="AI52" s="87" t="str">
        <f>IF(AG52="","",COUNTIF($AG$2:AG52,"R")-COUNTIF($AF$2:AF52,"R")+$AI$1)</f>
        <v/>
      </c>
      <c r="AJ52" s="89">
        <v>153</v>
      </c>
      <c r="AK52" s="44" t="str">
        <f>IF(VLOOKUP(AJ52,Расчет!$AH$2:$AN$211,5,FALSE)="8","C",IF(VLOOKUP(AJ52,Расчет!$AH$2:$AN$211,5,FALSE)="G","G","R"))</f>
        <v>C</v>
      </c>
      <c r="AL52" s="74" t="str">
        <f t="shared" si="3"/>
        <v/>
      </c>
      <c r="AM52" s="118" t="str">
        <f>IF(AL52="","",(COUNTIF($AG$2:$AG$105,"C")+COUNTIF($AL$2:$AL52,"C"))-(COUNTIF($AF$2:$AF$105,"C")+COUNTIF($AK$2:$AK52,"C"))+$AH$1)</f>
        <v/>
      </c>
      <c r="AN52" s="119" t="str">
        <f>IF(AL52="","",(COUNTIF($AG$2:$AG$105,"R")+COUNTIF($AL$2:$AL52,"R"))-(COUNTIF($AF$2:$AF$105,"R")+COUNTIF($AK$2:$AK52,"R"))+$AI$1)</f>
        <v/>
      </c>
      <c r="AO52" s="22" t="str">
        <f>IF(E52="","",COUNTA($E$3:E52)+$Z$1)</f>
        <v/>
      </c>
      <c r="AP52" s="88" t="str">
        <f>IF(AO52="","",IF(AO52+Расчет!$Y$57+$BD$2-Расчет!$X$57&gt;200,AO52+Расчет!$Y$57+$BD$2-1000,AO52+Расчет!$Y$57+$BD$2))</f>
        <v/>
      </c>
      <c r="AR52" s="92"/>
      <c r="AS52" s="92"/>
      <c r="AY52" s="392"/>
      <c r="BL52" s="172">
        <f>COUNTIF($BM$5:BM52,"&lt;-115")</f>
        <v>0</v>
      </c>
      <c r="BM52" s="154" t="str">
        <f>IFERROR(IF(OR(IFERROR(VLOOKUP(BN52,$E$3:$E$105,1,FALSE),"0")=BN52,IFERROR(VLOOKUP(BN52,$R$3:$R$105,1,FALSE),"0")=BN52),BO52,IF(OR(VLOOKUP(BN52,Расчет!A:E,5,FALSE)="2PS",VLOOKUP(BN52,Расчет!A:E,5,FALSE)="2QL"),IF(VLOOKUP(BN52,Расчет!A:B,2,FALSE)="831W",BN52-$BS$7+$AD$17,BN52-$BS$7+$AD$12),BN52-$BS$7)),"-")</f>
        <v>-</v>
      </c>
      <c r="BN52" s="154">
        <f>IF(OR(Расчет!C49="A0",Расчет!C49="P9",Расчет!B49="722W"),"-",Расчет!A49)</f>
        <v>11194</v>
      </c>
      <c r="BO52" s="173">
        <f t="shared" si="15"/>
        <v>0</v>
      </c>
      <c r="BP52" s="172" t="str">
        <f>IF(BQ52="-","-",IFERROR(IF(OR(VLOOKUP(BN52,Расчет!$A$2:$E$582,5,FALSE)="2PS",VLOOKUP(BN52,Расчет!$A$2:$E$582,5,FALSE)="2QL"),IF(OR(VLOOKUP(BN52,Расчет!$A$2:$E$582,2,FALSE)="664W",VLOOKUP(BN52,Расчет!$A$2:$E$582,2,FALSE)="813W"),IF(BN52-$BS$7&gt;150,BN52-$BS$7-1000+$AD$12,BN52-$BS$7+$AD$12),IF(BN52-$BS$7&gt;150,BN52-$BS$7-1000+$AD$17,BN52-$BS$7+$AD$17)),IF(BN52-$BS$7&gt;150,BN52-$BS$7-1000,BN52-$BS$7)),"-"))</f>
        <v>-</v>
      </c>
      <c r="BQ52" s="173">
        <f t="shared" si="12"/>
        <v>11194</v>
      </c>
      <c r="BR52" s="453"/>
      <c r="BS52" s="171"/>
      <c r="BT52" s="464" t="str">
        <f t="shared" si="13"/>
        <v>-</v>
      </c>
      <c r="BU52" s="464" t="str">
        <f t="shared" si="14"/>
        <v>-</v>
      </c>
      <c r="BX52" s="204">
        <f>COUNTIF($BY$4:BY52,"&lt;100")</f>
        <v>0</v>
      </c>
      <c r="BY52" s="213" t="str">
        <f t="shared" si="26"/>
        <v/>
      </c>
      <c r="BZ52" s="216" t="str">
        <f t="shared" si="27"/>
        <v/>
      </c>
      <c r="CA52" s="213" t="e">
        <f t="shared" si="6"/>
        <v>#N/A</v>
      </c>
      <c r="CB52" s="209" t="e">
        <f t="shared" si="7"/>
        <v>#N/A</v>
      </c>
      <c r="CC52" s="205" t="str">
        <f t="shared" si="16"/>
        <v/>
      </c>
      <c r="CD52" s="205" t="str">
        <f t="shared" si="28"/>
        <v>-</v>
      </c>
      <c r="CE52" s="205">
        <f t="shared" si="29"/>
        <v>0</v>
      </c>
      <c r="CG52" s="20" t="str">
        <f t="shared" si="30"/>
        <v/>
      </c>
    </row>
    <row r="53" spans="1:85" ht="23.1" customHeight="1">
      <c r="A53" s="40" t="str">
        <f>IF(AND(IFERROR(VLOOKUP(E53,Расчет!A:J,10,FALSE),"  ")&lt;&gt;"  ",IFERROR(LEFT(VLOOKUP(E53,Расчет!A:J,10,FALSE),1)," ")&lt;&gt;"H"),0,IFERROR(IF(F53="Camry",IF(OR(J53="2PS",J53="2QL"),IF(E53-AP53&gt;100,E53-AP53-1000+$AD$12,E53-AP53+$AD$12),IF(E53-AP53&gt;100,E53-AP53-1000,E53-AP53)),IF(J53="2PS",IF(E53-AP53&gt;100,E53-AP53-1000+$AD$17,E53-AP53+$AD$17),IF(E53-AP53&gt;100,E53-AP53-1000,E53-AP53))),"-"))</f>
        <v>-</v>
      </c>
      <c r="B53" s="46">
        <v>51</v>
      </c>
      <c r="C53" s="19" t="str">
        <f>IF(E53="","",COUNTA($E$3:E53))</f>
        <v/>
      </c>
      <c r="D53" s="18" t="str">
        <f t="shared" si="0"/>
        <v/>
      </c>
      <c r="E53" s="30"/>
      <c r="F53" s="44" t="str">
        <f>IFERROR(IF(VLOOKUP(E53,Расчет!$A$2:$B$650,2,FALSE)="664W","Camry",IF(VLOOKUP(E53,Расчет!$A$2:$B$650,2,FALSE)="813W","Goshi","RAV4")),"")</f>
        <v/>
      </c>
      <c r="G53" s="32" t="str">
        <f>IFERROR(IF(F53="Camry",VLOOKUP(E53,Расчет!$A$2:$Q$650,17,FALSE),VLOOKUP(E53,Расчет!$A$2:$R$650,18,FALSE)),"")</f>
        <v/>
      </c>
      <c r="H53" s="32" t="str">
        <f>IFERROR(VLOOKUP(VLOOKUP(E53,Расчет!$A:$D,4,FALSE),$AT$6:$AV$15,3,FALSE),"")</f>
        <v/>
      </c>
      <c r="I53" s="31" t="str">
        <f>IFERROR(VLOOKUP(IFERROR(VLOOKUP(E53,Расчет!$A$2:$D$650,4,FALSE),0),$AT$3:$AU$15,2,FALSE),"")</f>
        <v/>
      </c>
      <c r="J53" s="33" t="str">
        <f>IFERROR(VLOOKUP(E53,Расчет!$A$2:$E$650,5,FALSE),"")</f>
        <v/>
      </c>
      <c r="K53" s="189"/>
      <c r="L53" s="188">
        <f t="shared" si="10"/>
        <v>0</v>
      </c>
      <c r="M53" s="9"/>
      <c r="N53" s="40" t="str">
        <f>IF(AND(IFERROR(VLOOKUP(R53,Расчет!A:J,10,FALSE),"  ")&lt;&gt;"  ",IFERROR(LEFT(VLOOKUP(R53,Расчет!A:J,10,FALSE),1)," ")&lt;&gt;"H"),0,IFERROR(IF(S53="Camry",IF(OR(W53="2PS",W53="2QL"),IF(R53-AP156&gt;100,R53-AP156-1000+$AD$12,R53-AP156+$AD$12),IF(R53-AP156&gt;100,R53-AP156-1000,R53-AP156)),IF(W53="2PS",IF(R53-AP156&gt;100,R53-AP156-1000+$AD$17,R53-AP156+$AD$17),IF(R53-AP156&gt;100,R53-AP156-1000,R53-AP156))),"-"))</f>
        <v>-</v>
      </c>
      <c r="O53" s="46">
        <v>154</v>
      </c>
      <c r="P53" s="19" t="str">
        <f>IF(R53="","",COUNTA($R$3:R53)+$C$105)</f>
        <v/>
      </c>
      <c r="Q53" s="18" t="str">
        <f t="shared" si="1"/>
        <v/>
      </c>
      <c r="R53" s="30"/>
      <c r="S53" s="45" t="str">
        <f>IFERROR(IF(VLOOKUP(R53,Расчет!$A$2:$B$650,2,FALSE)="664W","Camry",IF(VLOOKUP(R53,Расчет!$A$2:$B$650,2,FALSE)="813W","Goshi","RAV4")),"")</f>
        <v/>
      </c>
      <c r="T53" s="32" t="str">
        <f>IFERROR(IF(S53="Camry",VLOOKUP(R53,Расчет!$A$2:$Q$650,17,FALSE),VLOOKUP(R53,Расчет!$A$2:$R$650,18,FALSE)),"")</f>
        <v/>
      </c>
      <c r="U53" s="32" t="str">
        <f>IFERROR(VLOOKUP(VLOOKUP(R53,Расчет!$A:$D,4,FALSE),$AT$6:$AV$15,3,FALSE),"")</f>
        <v/>
      </c>
      <c r="V53" s="31" t="str">
        <f>IFERROR(VLOOKUP(IFERROR(VLOOKUP(R53,Расчет!$A$2:$D$650,4,FALSE),0),$AT$3:$AU$15,2,FALSE),"")</f>
        <v/>
      </c>
      <c r="W53" s="33" t="str">
        <f>IFERROR(VLOOKUP(R53,Расчет!$A$2:$E$650,5,FALSE),"")</f>
        <v/>
      </c>
      <c r="X53" s="189"/>
      <c r="Y53" s="191">
        <f t="shared" si="11"/>
        <v>0</v>
      </c>
      <c r="Z53" s="524"/>
      <c r="AA53" s="525"/>
      <c r="AB53" s="420" t="str">
        <f>IFERROR(VLOOKUP(AC53,Расчет!$BS:$BT,2,FALSE),"")</f>
        <v/>
      </c>
      <c r="AC53" s="193"/>
      <c r="AD53" s="196" t="str">
        <f>IFERROR(IF(VLOOKUP(AC53,Расчет!$A$2:$B$350,2,FALSE)="664W","Camry","RAV4"),"-")</f>
        <v>-</v>
      </c>
      <c r="AE53" s="195">
        <v>51</v>
      </c>
      <c r="AF53" s="44" t="str">
        <f>IF(VLOOKUP(AE53,Расчет!$AH$2:$AN$201,5,FALSE)="8","C",IF(VLOOKUP(AE53,Расчет!$AH$2:$AN$201,5,FALSE)="G","G","R"))</f>
        <v>R</v>
      </c>
      <c r="AG53" s="73" t="str">
        <f t="shared" si="2"/>
        <v/>
      </c>
      <c r="AH53" s="87" t="str">
        <f>IF(AG53="","",COUNTIF($AG$2:AG53,"C")-COUNTIF($AF$2:AF53,"C")+$AH$1)</f>
        <v/>
      </c>
      <c r="AI53" s="87" t="str">
        <f>IF(AG53="","",COUNTIF($AG$2:AG53,"R")-COUNTIF($AF$2:AF53,"R")+$AI$1)</f>
        <v/>
      </c>
      <c r="AJ53" s="89">
        <v>154</v>
      </c>
      <c r="AK53" s="44" t="str">
        <f>IF(VLOOKUP(AJ53,Расчет!$AH$2:$AN$211,5,FALSE)="8","C",IF(VLOOKUP(AJ53,Расчет!$AH$2:$AN$211,5,FALSE)="G","G","R"))</f>
        <v>R</v>
      </c>
      <c r="AL53" s="74" t="str">
        <f t="shared" si="3"/>
        <v/>
      </c>
      <c r="AM53" s="118" t="str">
        <f>IF(AL53="","",(COUNTIF($AG$2:$AG$105,"C")+COUNTIF($AL$2:$AL53,"C"))-(COUNTIF($AF$2:$AF$105,"C")+COUNTIF($AK$2:$AK53,"C"))+$AH$1)</f>
        <v/>
      </c>
      <c r="AN53" s="119" t="str">
        <f>IF(AL53="","",(COUNTIF($AG$2:$AG$105,"R")+COUNTIF($AL$2:$AL53,"R"))-(COUNTIF($AF$2:$AF$105,"R")+COUNTIF($AK$2:$AK53,"R"))+$AI$1)</f>
        <v/>
      </c>
      <c r="AO53" s="22" t="str">
        <f>IF(E53="","",COUNTA($E$3:E53)+$Z$1)</f>
        <v/>
      </c>
      <c r="AP53" s="88" t="str">
        <f>IF(AO53="","",IF(AO53+Расчет!$Y$57+$BD$2-Расчет!$X$57&gt;200,AO53+Расчет!$Y$57+$BD$2-1000,AO53+Расчет!$Y$57+$BD$2))</f>
        <v/>
      </c>
      <c r="AR53" s="92"/>
      <c r="AS53" s="92"/>
      <c r="AY53" s="393"/>
      <c r="AZ53" s="391"/>
      <c r="BL53" s="172">
        <f>COUNTIF($BM$5:BM53,"&lt;-115")</f>
        <v>0</v>
      </c>
      <c r="BM53" s="154" t="str">
        <f>IFERROR(IF(OR(IFERROR(VLOOKUP(BN53,$E$3:$E$105,1,FALSE),"0")=BN53,IFERROR(VLOOKUP(BN53,$R$3:$R$105,1,FALSE),"0")=BN53),BO53,IF(OR(VLOOKUP(BN53,Расчет!A:E,5,FALSE)="2PS",VLOOKUP(BN53,Расчет!A:E,5,FALSE)="2QL"),IF(VLOOKUP(BN53,Расчет!A:B,2,FALSE)="831W",BN53-$BS$7+$AD$17,BN53-$BS$7+$AD$12),BN53-$BS$7)),"-")</f>
        <v>-</v>
      </c>
      <c r="BN53" s="154">
        <f>IF(OR(Расчет!C50="A0",Расчет!C50="P9",Расчет!B50="722W"),"-",Расчет!A50)</f>
        <v>11195</v>
      </c>
      <c r="BO53" s="173">
        <f t="shared" si="15"/>
        <v>0</v>
      </c>
      <c r="BP53" s="172" t="str">
        <f>IF(BQ53="-","-",IFERROR(IF(OR(VLOOKUP(BN53,Расчет!$A$2:$E$582,5,FALSE)="2PS",VLOOKUP(BN53,Расчет!$A$2:$E$582,5,FALSE)="2QL"),IF(OR(VLOOKUP(BN53,Расчет!$A$2:$E$582,2,FALSE)="664W",VLOOKUP(BN53,Расчет!$A$2:$E$582,2,FALSE)="813W"),IF(BN53-$BS$7&gt;150,BN53-$BS$7-1000+$AD$12,BN53-$BS$7+$AD$12),IF(BN53-$BS$7&gt;150,BN53-$BS$7-1000+$AD$17,BN53-$BS$7+$AD$17)),IF(BN53-$BS$7&gt;150,BN53-$BS$7-1000,BN53-$BS$7)),"-"))</f>
        <v>-</v>
      </c>
      <c r="BQ53" s="173">
        <f t="shared" si="12"/>
        <v>11195</v>
      </c>
      <c r="BR53" s="453"/>
      <c r="BS53" s="171"/>
      <c r="BT53" s="464" t="str">
        <f t="shared" si="13"/>
        <v>-</v>
      </c>
      <c r="BU53" s="464" t="str">
        <f t="shared" si="14"/>
        <v>-</v>
      </c>
      <c r="BX53" s="204">
        <f>COUNTIF($BY$4:BY53,"&lt;100")</f>
        <v>0</v>
      </c>
      <c r="BY53" s="213" t="str">
        <f t="shared" si="26"/>
        <v/>
      </c>
      <c r="BZ53" s="216" t="str">
        <f t="shared" si="27"/>
        <v/>
      </c>
      <c r="CA53" s="213" t="e">
        <f t="shared" si="6"/>
        <v>#N/A</v>
      </c>
      <c r="CB53" s="209" t="e">
        <f t="shared" si="7"/>
        <v>#N/A</v>
      </c>
      <c r="CC53" s="205" t="str">
        <f t="shared" si="16"/>
        <v/>
      </c>
      <c r="CD53" s="205" t="str">
        <f t="shared" si="28"/>
        <v>-</v>
      </c>
      <c r="CE53" s="205">
        <f t="shared" si="29"/>
        <v>0</v>
      </c>
      <c r="CG53" s="20" t="str">
        <f t="shared" si="30"/>
        <v/>
      </c>
    </row>
    <row r="54" spans="1:85" ht="23.1" customHeight="1">
      <c r="A54" s="40" t="str">
        <f>IF(AND(IFERROR(VLOOKUP(E54,Расчет!A:J,10,FALSE),"  ")&lt;&gt;"  ",IFERROR(LEFT(VLOOKUP(E54,Расчет!A:J,10,FALSE),1)," ")&lt;&gt;"H"),0,IFERROR(IF(F54="Camry",IF(OR(J54="2PS",J54="2QL"),IF(E54-AP54&gt;100,E54-AP54-1000+$AD$12,E54-AP54+$AD$12),IF(E54-AP54&gt;100,E54-AP54-1000,E54-AP54)),IF(J54="2PS",IF(E54-AP54&gt;100,E54-AP54-1000+$AD$17,E54-AP54+$AD$17),IF(E54-AP54&gt;100,E54-AP54-1000,E54-AP54))),"-"))</f>
        <v>-</v>
      </c>
      <c r="B54" s="46">
        <v>52</v>
      </c>
      <c r="C54" s="19" t="str">
        <f>IF(E54="","",COUNTA($E$3:E54))</f>
        <v/>
      </c>
      <c r="D54" s="18" t="str">
        <f t="shared" si="0"/>
        <v/>
      </c>
      <c r="E54" s="30"/>
      <c r="F54" s="44" t="str">
        <f>IFERROR(IF(VLOOKUP(E54,Расчет!$A$2:$B$650,2,FALSE)="664W","Camry",IF(VLOOKUP(E54,Расчет!$A$2:$B$650,2,FALSE)="813W","Goshi","RAV4")),"")</f>
        <v/>
      </c>
      <c r="G54" s="32" t="str">
        <f>IFERROR(IF(F54="Camry",VLOOKUP(E54,Расчет!$A$2:$Q$650,17,FALSE),VLOOKUP(E54,Расчет!$A$2:$R$650,18,FALSE)),"")</f>
        <v/>
      </c>
      <c r="H54" s="32" t="str">
        <f>IFERROR(VLOOKUP(VLOOKUP(E54,Расчет!$A:$D,4,FALSE),$AT$6:$AV$15,3,FALSE),"")</f>
        <v/>
      </c>
      <c r="I54" s="31" t="str">
        <f>IFERROR(VLOOKUP(IFERROR(VLOOKUP(E54,Расчет!$A$2:$D$650,4,FALSE),0),$AT$3:$AU$15,2,FALSE),"")</f>
        <v/>
      </c>
      <c r="J54" s="33" t="str">
        <f>IFERROR(VLOOKUP(E54,Расчет!$A$2:$E$650,5,FALSE),"")</f>
        <v/>
      </c>
      <c r="K54" s="189"/>
      <c r="L54" s="188">
        <f t="shared" si="10"/>
        <v>0</v>
      </c>
      <c r="M54" s="9"/>
      <c r="N54" s="40" t="str">
        <f>IF(AND(IFERROR(VLOOKUP(R54,Расчет!A:J,10,FALSE),"  ")&lt;&gt;"  ",IFERROR(LEFT(VLOOKUP(R54,Расчет!A:J,10,FALSE),1)," ")&lt;&gt;"H"),0,IFERROR(IF(S54="Camry",IF(OR(W54="2PS",W54="2QL"),IF(R54-AP157&gt;100,R54-AP157-1000+$AD$12,R54-AP157+$AD$12),IF(R54-AP157&gt;100,R54-AP157-1000,R54-AP157)),IF(W54="2PS",IF(R54-AP157&gt;100,R54-AP157-1000+$AD$17,R54-AP157+$AD$17),IF(R54-AP157&gt;100,R54-AP157-1000,R54-AP157))),"-"))</f>
        <v>-</v>
      </c>
      <c r="O54" s="46">
        <v>155</v>
      </c>
      <c r="P54" s="19" t="str">
        <f>IF(R54="","",COUNTA($R$3:R54)+$C$105)</f>
        <v/>
      </c>
      <c r="Q54" s="18" t="str">
        <f t="shared" si="1"/>
        <v/>
      </c>
      <c r="R54" s="30"/>
      <c r="S54" s="45" t="str">
        <f>IFERROR(IF(VLOOKUP(R54,Расчет!$A$2:$B$650,2,FALSE)="664W","Camry",IF(VLOOKUP(R54,Расчет!$A$2:$B$650,2,FALSE)="813W","Goshi","RAV4")),"")</f>
        <v/>
      </c>
      <c r="T54" s="32" t="str">
        <f>IFERROR(IF(S54="Camry",VLOOKUP(R54,Расчет!$A$2:$Q$650,17,FALSE),VLOOKUP(R54,Расчет!$A$2:$R$650,18,FALSE)),"")</f>
        <v/>
      </c>
      <c r="U54" s="32" t="str">
        <f>IFERROR(VLOOKUP(VLOOKUP(R54,Расчет!$A:$D,4,FALSE),$AT$6:$AV$15,3,FALSE),"")</f>
        <v/>
      </c>
      <c r="V54" s="31" t="str">
        <f>IFERROR(VLOOKUP(IFERROR(VLOOKUP(R54,Расчет!$A$2:$D$650,4,FALSE),0),$AT$3:$AU$15,2,FALSE),"")</f>
        <v/>
      </c>
      <c r="W54" s="33" t="str">
        <f>IFERROR(VLOOKUP(R54,Расчет!$A$2:$E$650,5,FALSE),"")</f>
        <v/>
      </c>
      <c r="X54" s="189"/>
      <c r="Y54" s="191">
        <f t="shared" si="11"/>
        <v>0</v>
      </c>
      <c r="Z54" s="524"/>
      <c r="AA54" s="525"/>
      <c r="AB54" s="420" t="str">
        <f>IFERROR(VLOOKUP(AC54,Расчет!$BS:$BT,2,FALSE),"")</f>
        <v/>
      </c>
      <c r="AC54" s="193"/>
      <c r="AD54" s="196" t="str">
        <f>IFERROR(IF(VLOOKUP(AC54,Расчет!$A$2:$B$350,2,FALSE)="664W","Camry","RAV4"),"-")</f>
        <v>-</v>
      </c>
      <c r="AE54" s="195">
        <v>52</v>
      </c>
      <c r="AF54" s="44" t="str">
        <f>IF(VLOOKUP(AE54,Расчет!$AH$2:$AN$201,5,FALSE)="8","C",IF(VLOOKUP(AE54,Расчет!$AH$2:$AN$201,5,FALSE)="G","G","R"))</f>
        <v>C</v>
      </c>
      <c r="AG54" s="73" t="str">
        <f t="shared" si="2"/>
        <v/>
      </c>
      <c r="AH54" s="87" t="str">
        <f>IF(AG54="","",COUNTIF($AG$2:AG54,"C")-COUNTIF($AF$2:AF54,"C")+$AH$1)</f>
        <v/>
      </c>
      <c r="AI54" s="87" t="str">
        <f>IF(AG54="","",COUNTIF($AG$2:AG54,"R")-COUNTIF($AF$2:AF54,"R")+$AI$1)</f>
        <v/>
      </c>
      <c r="AJ54" s="89">
        <v>155</v>
      </c>
      <c r="AK54" s="44" t="str">
        <f>IF(VLOOKUP(AJ54,Расчет!$AH$2:$AN$211,5,FALSE)="8","C",IF(VLOOKUP(AJ54,Расчет!$AH$2:$AN$211,5,FALSE)="G","G","R"))</f>
        <v>C</v>
      </c>
      <c r="AL54" s="74" t="str">
        <f t="shared" si="3"/>
        <v/>
      </c>
      <c r="AM54" s="118" t="str">
        <f>IF(AL54="","",(COUNTIF($AG$2:$AG$105,"C")+COUNTIF($AL$2:$AL54,"C"))-(COUNTIF($AF$2:$AF$105,"C")+COUNTIF($AK$2:$AK54,"C"))+$AH$1)</f>
        <v/>
      </c>
      <c r="AN54" s="119" t="str">
        <f>IF(AL54="","",(COUNTIF($AG$2:$AG$105,"R")+COUNTIF($AL$2:$AL54,"R"))-(COUNTIF($AF$2:$AF$105,"R")+COUNTIF($AK$2:$AK54,"R"))+$AI$1)</f>
        <v/>
      </c>
      <c r="AO54" s="22" t="str">
        <f>IF(E54="","",COUNTA($E$3:E54)+$Z$1)</f>
        <v/>
      </c>
      <c r="AP54" s="88" t="str">
        <f>IF(AO54="","",IF(AO54+Расчет!$Y$57+$BD$2-Расчет!$X$57&gt;200,AO54+Расчет!$Y$57+$BD$2-1000,AO54+Расчет!$Y$57+$BD$2))</f>
        <v/>
      </c>
      <c r="AR54" s="92"/>
      <c r="AS54" s="92"/>
      <c r="AY54" s="393"/>
      <c r="BL54" s="172">
        <f>COUNTIF($BM$5:BM54,"&lt;-115")</f>
        <v>0</v>
      </c>
      <c r="BM54" s="154" t="str">
        <f>IFERROR(IF(OR(IFERROR(VLOOKUP(BN54,$E$3:$E$105,1,FALSE),"0")=BN54,IFERROR(VLOOKUP(BN54,$R$3:$R$105,1,FALSE),"0")=BN54),BO54,IF(OR(VLOOKUP(BN54,Расчет!A:E,5,FALSE)="2PS",VLOOKUP(BN54,Расчет!A:E,5,FALSE)="2QL"),IF(VLOOKUP(BN54,Расчет!A:B,2,FALSE)="831W",BN54-$BS$7+$AD$17,BN54-$BS$7+$AD$12),BN54-$BS$7)),"-")</f>
        <v>-</v>
      </c>
      <c r="BN54" s="154">
        <f>IF(OR(Расчет!C51="A0",Расчет!C51="P9",Расчет!B51="722W"),"-",Расчет!A51)</f>
        <v>11196</v>
      </c>
      <c r="BO54" s="173">
        <f t="shared" si="15"/>
        <v>0</v>
      </c>
      <c r="BP54" s="172" t="str">
        <f>IF(BQ54="-","-",IFERROR(IF(OR(VLOOKUP(BN54,Расчет!$A$2:$E$582,5,FALSE)="2PS",VLOOKUP(BN54,Расчет!$A$2:$E$582,5,FALSE)="2QL"),IF(OR(VLOOKUP(BN54,Расчет!$A$2:$E$582,2,FALSE)="664W",VLOOKUP(BN54,Расчет!$A$2:$E$582,2,FALSE)="813W"),IF(BN54-$BS$7&gt;150,BN54-$BS$7-1000+$AD$12,BN54-$BS$7+$AD$12),IF(BN54-$BS$7&gt;150,BN54-$BS$7-1000+$AD$17,BN54-$BS$7+$AD$17)),IF(BN54-$BS$7&gt;150,BN54-$BS$7-1000,BN54-$BS$7)),"-"))</f>
        <v>-</v>
      </c>
      <c r="BQ54" s="173">
        <f t="shared" si="12"/>
        <v>11196</v>
      </c>
      <c r="BR54" s="453"/>
      <c r="BS54" s="171"/>
      <c r="BT54" s="464" t="str">
        <f t="shared" si="13"/>
        <v>-</v>
      </c>
      <c r="BU54" s="464" t="str">
        <f t="shared" si="14"/>
        <v>-</v>
      </c>
      <c r="BX54" s="204">
        <f>COUNTIF($BY$4:BY54,"&lt;100")</f>
        <v>0</v>
      </c>
      <c r="BY54" s="213" t="str">
        <f t="shared" si="26"/>
        <v/>
      </c>
      <c r="BZ54" s="216" t="str">
        <f t="shared" si="27"/>
        <v/>
      </c>
      <c r="CA54" s="213" t="e">
        <f t="shared" si="6"/>
        <v>#N/A</v>
      </c>
      <c r="CB54" s="209" t="e">
        <f t="shared" si="7"/>
        <v>#N/A</v>
      </c>
      <c r="CC54" s="205" t="str">
        <f t="shared" si="16"/>
        <v/>
      </c>
      <c r="CD54" s="205" t="str">
        <f t="shared" si="28"/>
        <v>-</v>
      </c>
      <c r="CE54" s="205">
        <f t="shared" si="29"/>
        <v>0</v>
      </c>
      <c r="CG54" s="20" t="str">
        <f t="shared" si="30"/>
        <v/>
      </c>
    </row>
    <row r="55" spans="1:85" ht="23.1" customHeight="1" thickBot="1">
      <c r="A55" s="40" t="str">
        <f>IF(AND(IFERROR(VLOOKUP(E55,Расчет!A:J,10,FALSE),"  ")&lt;&gt;"  ",IFERROR(LEFT(VLOOKUP(E55,Расчет!A:J,10,FALSE),1)," ")&lt;&gt;"H"),0,IFERROR(IF(F55="Camry",IF(OR(J55="2PS",J55="2QL"),IF(E55-AP55&gt;100,E55-AP55-1000+$AD$12,E55-AP55+$AD$12),IF(E55-AP55&gt;100,E55-AP55-1000,E55-AP55)),IF(J55="2PS",IF(E55-AP55&gt;100,E55-AP55-1000+$AD$17,E55-AP55+$AD$17),IF(E55-AP55&gt;100,E55-AP55-1000,E55-AP55))),"-"))</f>
        <v>-</v>
      </c>
      <c r="B55" s="46">
        <v>53</v>
      </c>
      <c r="C55" s="19" t="str">
        <f>IF(E55="","",COUNTA($E$3:E55))</f>
        <v/>
      </c>
      <c r="D55" s="18" t="str">
        <f t="shared" si="0"/>
        <v/>
      </c>
      <c r="E55" s="30"/>
      <c r="F55" s="44" t="str">
        <f>IFERROR(IF(VLOOKUP(E55,Расчет!$A$2:$B$650,2,FALSE)="664W","Camry",IF(VLOOKUP(E55,Расчет!$A$2:$B$650,2,FALSE)="813W","Goshi","RAV4")),"")</f>
        <v/>
      </c>
      <c r="G55" s="32" t="str">
        <f>IFERROR(IF(F55="Camry",VLOOKUP(E55,Расчет!$A$2:$Q$650,17,FALSE),VLOOKUP(E55,Расчет!$A$2:$R$650,18,FALSE)),"")</f>
        <v/>
      </c>
      <c r="H55" s="32" t="str">
        <f>IFERROR(VLOOKUP(VLOOKUP(E55,Расчет!$A:$D,4,FALSE),$AT$6:$AV$15,3,FALSE),"")</f>
        <v/>
      </c>
      <c r="I55" s="31" t="str">
        <f>IFERROR(VLOOKUP(IFERROR(VLOOKUP(E55,Расчет!$A$2:$D$650,4,FALSE),0),$AT$3:$AU$15,2,FALSE),"")</f>
        <v/>
      </c>
      <c r="J55" s="33" t="str">
        <f>IFERROR(VLOOKUP(E55,Расчет!$A$2:$E$650,5,FALSE),"")</f>
        <v/>
      </c>
      <c r="K55" s="189"/>
      <c r="L55" s="188">
        <f t="shared" si="10"/>
        <v>0</v>
      </c>
      <c r="M55" s="9"/>
      <c r="N55" s="40" t="str">
        <f>IF(AND(IFERROR(VLOOKUP(R55,Расчет!A:J,10,FALSE),"  ")&lt;&gt;"  ",IFERROR(LEFT(VLOOKUP(R55,Расчет!A:J,10,FALSE),1)," ")&lt;&gt;"H"),0,IFERROR(IF(S55="Camry",IF(OR(W55="2PS",W55="2QL"),IF(R55-AP158&gt;100,R55-AP158-1000+$AD$12,R55-AP158+$AD$12),IF(R55-AP158&gt;100,R55-AP158-1000,R55-AP158)),IF(W55="2PS",IF(R55-AP158&gt;100,R55-AP158-1000+$AD$17,R55-AP158+$AD$17),IF(R55-AP158&gt;100,R55-AP158-1000,R55-AP158))),"-"))</f>
        <v>-</v>
      </c>
      <c r="O55" s="46">
        <v>156</v>
      </c>
      <c r="P55" s="19" t="str">
        <f>IF(R55="","",COUNTA($R$3:R55)+$C$105)</f>
        <v/>
      </c>
      <c r="Q55" s="18" t="str">
        <f t="shared" si="1"/>
        <v/>
      </c>
      <c r="R55" s="30"/>
      <c r="S55" s="45" t="str">
        <f>IFERROR(IF(VLOOKUP(R55,Расчет!$A$2:$B$650,2,FALSE)="664W","Camry",IF(VLOOKUP(R55,Расчет!$A$2:$B$650,2,FALSE)="813W","Goshi","RAV4")),"")</f>
        <v/>
      </c>
      <c r="T55" s="32" t="str">
        <f>IFERROR(IF(S55="Camry",VLOOKUP(R55,Расчет!$A$2:$Q$650,17,FALSE),VLOOKUP(R55,Расчет!$A$2:$R$650,18,FALSE)),"")</f>
        <v/>
      </c>
      <c r="U55" s="32" t="str">
        <f>IFERROR(VLOOKUP(VLOOKUP(R55,Расчет!$A:$D,4,FALSE),$AT$6:$AV$15,3,FALSE),"")</f>
        <v/>
      </c>
      <c r="V55" s="31" t="str">
        <f>IFERROR(VLOOKUP(IFERROR(VLOOKUP(R55,Расчет!$A$2:$D$650,4,FALSE),0),$AT$3:$AU$15,2,FALSE),"")</f>
        <v/>
      </c>
      <c r="W55" s="33" t="str">
        <f>IFERROR(VLOOKUP(R55,Расчет!$A$2:$E$650,5,FALSE),"")</f>
        <v/>
      </c>
      <c r="X55" s="189"/>
      <c r="Y55" s="191">
        <f t="shared" si="11"/>
        <v>0</v>
      </c>
      <c r="Z55" s="524"/>
      <c r="AA55" s="525"/>
      <c r="AB55" s="147" t="str">
        <f>IFERROR(VLOOKUP(AC55,Расчет!$BS:$BT,2,FALSE),"")</f>
        <v/>
      </c>
      <c r="AC55" s="194"/>
      <c r="AD55" s="197" t="str">
        <f>IFERROR(IF(VLOOKUP(AC55,Расчет!$A$2:$B$350,2,FALSE)="664W","Camry","RAV4"),"-")</f>
        <v>-</v>
      </c>
      <c r="AE55" s="195">
        <v>53</v>
      </c>
      <c r="AF55" s="44" t="str">
        <f>IF(VLOOKUP(AE55,Расчет!$AH$2:$AN$201,5,FALSE)="8","C",IF(VLOOKUP(AE55,Расчет!$AH$2:$AN$201,5,FALSE)="G","G","R"))</f>
        <v>R</v>
      </c>
      <c r="AG55" s="73" t="str">
        <f t="shared" si="2"/>
        <v/>
      </c>
      <c r="AH55" s="87" t="str">
        <f>IF(AG55="","",COUNTIF($AG$2:AG55,"C")-COUNTIF($AF$2:AF55,"C")+$AH$1)</f>
        <v/>
      </c>
      <c r="AI55" s="87" t="str">
        <f>IF(AG55="","",COUNTIF($AG$2:AG55,"R")-COUNTIF($AF$2:AF55,"R")+$AI$1)</f>
        <v/>
      </c>
      <c r="AJ55" s="89">
        <v>156</v>
      </c>
      <c r="AK55" s="44" t="str">
        <f>IF(VLOOKUP(AJ55,Расчет!$AH$2:$AN$211,5,FALSE)="8","C",IF(VLOOKUP(AJ55,Расчет!$AH$2:$AN$211,5,FALSE)="G","G","R"))</f>
        <v>R</v>
      </c>
      <c r="AL55" s="74" t="str">
        <f t="shared" si="3"/>
        <v/>
      </c>
      <c r="AM55" s="118" t="str">
        <f>IF(AL55="","",(COUNTIF($AG$2:$AG$105,"C")+COUNTIF($AL$2:$AL55,"C"))-(COUNTIF($AF$2:$AF$105,"C")+COUNTIF($AK$2:$AK55,"C"))+$AH$1)</f>
        <v/>
      </c>
      <c r="AN55" s="119" t="str">
        <f>IF(AL55="","",(COUNTIF($AG$2:$AG$105,"R")+COUNTIF($AL$2:$AL55,"R"))-(COUNTIF($AF$2:$AF$105,"R")+COUNTIF($AK$2:$AK55,"R"))+$AI$1)</f>
        <v/>
      </c>
      <c r="AO55" s="22" t="str">
        <f>IF(E55="","",COUNTA($E$3:E55)+$Z$1)</f>
        <v/>
      </c>
      <c r="AP55" s="88" t="str">
        <f>IF(AO55="","",IF(AO55+Расчет!$Y$57+$BD$2-Расчет!$X$57&gt;200,AO55+Расчет!$Y$57+$BD$2-1000,AO55+Расчет!$Y$57+$BD$2))</f>
        <v/>
      </c>
      <c r="AR55" s="92"/>
      <c r="AS55" s="92"/>
      <c r="AY55" s="393"/>
      <c r="BL55" s="172">
        <f>COUNTIF($BM$5:BM55,"&lt;-115")</f>
        <v>0</v>
      </c>
      <c r="BM55" s="154" t="str">
        <f>IFERROR(IF(OR(IFERROR(VLOOKUP(BN55,$E$3:$E$105,1,FALSE),"0")=BN55,IFERROR(VLOOKUP(BN55,$R$3:$R$105,1,FALSE),"0")=BN55),BO55,IF(OR(VLOOKUP(BN55,Расчет!A:E,5,FALSE)="2PS",VLOOKUP(BN55,Расчет!A:E,5,FALSE)="2QL"),IF(VLOOKUP(BN55,Расчет!A:B,2,FALSE)="831W",BN55-$BS$7+$AD$17,BN55-$BS$7+$AD$12),BN55-$BS$7)),"-")</f>
        <v>-</v>
      </c>
      <c r="BN55" s="154">
        <f>IF(OR(Расчет!C52="A0",Расчет!C52="P9",Расчет!B52="722W"),"-",Расчет!A52)</f>
        <v>11197</v>
      </c>
      <c r="BO55" s="173">
        <f t="shared" si="15"/>
        <v>0</v>
      </c>
      <c r="BP55" s="172" t="str">
        <f>IF(BQ55="-","-",IFERROR(IF(OR(VLOOKUP(BN55,Расчет!$A$2:$E$582,5,FALSE)="2PS",VLOOKUP(BN55,Расчет!$A$2:$E$582,5,FALSE)="2QL"),IF(OR(VLOOKUP(BN55,Расчет!$A$2:$E$582,2,FALSE)="664W",VLOOKUP(BN55,Расчет!$A$2:$E$582,2,FALSE)="813W"),IF(BN55-$BS$7&gt;150,BN55-$BS$7-1000+$AD$12,BN55-$BS$7+$AD$12),IF(BN55-$BS$7&gt;150,BN55-$BS$7-1000+$AD$17,BN55-$BS$7+$AD$17)),IF(BN55-$BS$7&gt;150,BN55-$BS$7-1000,BN55-$BS$7)),"-"))</f>
        <v>-</v>
      </c>
      <c r="BQ55" s="173">
        <f t="shared" si="12"/>
        <v>11197</v>
      </c>
      <c r="BR55" s="453"/>
      <c r="BS55" s="171"/>
      <c r="BT55" s="464" t="str">
        <f t="shared" si="13"/>
        <v>-</v>
      </c>
      <c r="BU55" s="464" t="str">
        <f t="shared" si="14"/>
        <v>-</v>
      </c>
      <c r="BX55" s="204">
        <f>COUNTIF($BY$4:BY55,"&lt;100")</f>
        <v>0</v>
      </c>
      <c r="BY55" s="213" t="str">
        <f t="shared" si="26"/>
        <v/>
      </c>
      <c r="BZ55" s="216" t="str">
        <f t="shared" si="27"/>
        <v/>
      </c>
      <c r="CA55" s="213" t="e">
        <f t="shared" si="6"/>
        <v>#N/A</v>
      </c>
      <c r="CB55" s="209" t="e">
        <f t="shared" si="7"/>
        <v>#N/A</v>
      </c>
      <c r="CC55" s="205" t="str">
        <f t="shared" si="16"/>
        <v/>
      </c>
      <c r="CD55" s="205" t="str">
        <f t="shared" si="28"/>
        <v>-</v>
      </c>
      <c r="CE55" s="205">
        <f t="shared" si="29"/>
        <v>0</v>
      </c>
      <c r="CG55" s="20" t="str">
        <f t="shared" si="30"/>
        <v/>
      </c>
    </row>
    <row r="56" spans="1:85" ht="23.1" customHeight="1" thickBot="1">
      <c r="A56" s="40" t="str">
        <f>IF(AND(IFERROR(VLOOKUP(E56,Расчет!A:J,10,FALSE),"  ")&lt;&gt;"  ",IFERROR(LEFT(VLOOKUP(E56,Расчет!A:J,10,FALSE),1)," ")&lt;&gt;"H"),0,IFERROR(IF(F56="Camry",IF(OR(J56="2PS",J56="2QL"),IF(E56-AP56&gt;100,E56-AP56-1000+$AD$12,E56-AP56+$AD$12),IF(E56-AP56&gt;100,E56-AP56-1000,E56-AP56)),IF(J56="2PS",IF(E56-AP56&gt;100,E56-AP56-1000+$AD$17,E56-AP56+$AD$17),IF(E56-AP56&gt;100,E56-AP56-1000,E56-AP56))),"-"))</f>
        <v>-</v>
      </c>
      <c r="B56" s="46">
        <v>54</v>
      </c>
      <c r="C56" s="19" t="str">
        <f>IF(E56="","",COUNTA($E$3:E56))</f>
        <v/>
      </c>
      <c r="D56" s="18" t="str">
        <f t="shared" si="0"/>
        <v/>
      </c>
      <c r="E56" s="30"/>
      <c r="F56" s="44" t="str">
        <f>IFERROR(IF(VLOOKUP(E56,Расчет!$A$2:$B$650,2,FALSE)="664W","Camry",IF(VLOOKUP(E56,Расчет!$A$2:$B$650,2,FALSE)="813W","Goshi","RAV4")),"")</f>
        <v/>
      </c>
      <c r="G56" s="32" t="str">
        <f>IFERROR(IF(F56="Camry",VLOOKUP(E56,Расчет!$A$2:$Q$650,17,FALSE),VLOOKUP(E56,Расчет!$A$2:$R$650,18,FALSE)),"")</f>
        <v/>
      </c>
      <c r="H56" s="32" t="str">
        <f>IFERROR(VLOOKUP(VLOOKUP(E56,Расчет!$A:$D,4,FALSE),$AT$6:$AV$15,3,FALSE),"")</f>
        <v/>
      </c>
      <c r="I56" s="31" t="str">
        <f>IFERROR(VLOOKUP(IFERROR(VLOOKUP(E56,Расчет!$A$2:$D$650,4,FALSE),0),$AT$3:$AU$15,2,FALSE),"")</f>
        <v/>
      </c>
      <c r="J56" s="33" t="str">
        <f>IFERROR(VLOOKUP(E56,Расчет!$A$2:$E$650,5,FALSE),"")</f>
        <v/>
      </c>
      <c r="K56" s="189"/>
      <c r="L56" s="188">
        <f>K56-K55</f>
        <v>0</v>
      </c>
      <c r="M56" s="9"/>
      <c r="N56" s="40" t="str">
        <f>IF(AND(IFERROR(VLOOKUP(R56,Расчет!A:J,10,FALSE),"  ")&lt;&gt;"  ",IFERROR(LEFT(VLOOKUP(R56,Расчет!A:J,10,FALSE),1)," ")&lt;&gt;"H"),0,IFERROR(IF(S56="Camry",IF(OR(W56="2PS",W56="2QL"),IF(R56-AP159&gt;100,R56-AP159-1000+$AD$12,R56-AP159+$AD$12),IF(R56-AP159&gt;100,R56-AP159-1000,R56-AP159)),IF(W56="2PS",IF(R56-AP159&gt;100,R56-AP159-1000+$AD$17,R56-AP159+$AD$17),IF(R56-AP159&gt;100,R56-AP159-1000,R56-AP159))),"-"))</f>
        <v>-</v>
      </c>
      <c r="O56" s="46">
        <v>157</v>
      </c>
      <c r="P56" s="19" t="str">
        <f>IF(R56="","",COUNTA($R$3:R56)+$C$105)</f>
        <v/>
      </c>
      <c r="Q56" s="18" t="str">
        <f t="shared" si="1"/>
        <v/>
      </c>
      <c r="R56" s="30"/>
      <c r="S56" s="45" t="str">
        <f>IFERROR(IF(VLOOKUP(R56,Расчет!$A$2:$B$650,2,FALSE)="664W","Camry",IF(VLOOKUP(R56,Расчет!$A$2:$B$650,2,FALSE)="813W","Goshi","RAV4")),"")</f>
        <v/>
      </c>
      <c r="T56" s="32" t="str">
        <f>IFERROR(IF(S56="Camry",VLOOKUP(R56,Расчет!$A$2:$Q$650,17,FALSE),VLOOKUP(R56,Расчет!$A$2:$R$650,18,FALSE)),"")</f>
        <v/>
      </c>
      <c r="U56" s="32" t="str">
        <f>IFERROR(VLOOKUP(VLOOKUP(R56,Расчет!$A:$D,4,FALSE),$AT$6:$AV$15,3,FALSE),"")</f>
        <v/>
      </c>
      <c r="V56" s="31" t="str">
        <f>IFERROR(VLOOKUP(IFERROR(VLOOKUP(R56,Расчет!$A$2:$D$650,4,FALSE),0),$AT$3:$AU$15,2,FALSE),"")</f>
        <v/>
      </c>
      <c r="W56" s="33" t="str">
        <f>IFERROR(VLOOKUP(R56,Расчет!$A$2:$E$650,5,FALSE),"")</f>
        <v/>
      </c>
      <c r="X56" s="189"/>
      <c r="Y56" s="191">
        <f t="shared" si="11"/>
        <v>0</v>
      </c>
      <c r="AE56" s="89">
        <v>54</v>
      </c>
      <c r="AF56" s="44" t="str">
        <f>IF(VLOOKUP(AE56,Расчет!$AH$2:$AN$201,5,FALSE)="8","C",IF(VLOOKUP(AE56,Расчет!$AH$2:$AN$201,5,FALSE)="G","G","R"))</f>
        <v>C</v>
      </c>
      <c r="AG56" s="73" t="str">
        <f t="shared" si="2"/>
        <v/>
      </c>
      <c r="AH56" s="87" t="str">
        <f>IF(AG56="","",COUNTIF($AG$2:AG56,"C")-COUNTIF($AF$2:AF56,"C")+$AH$1)</f>
        <v/>
      </c>
      <c r="AI56" s="87" t="str">
        <f>IF(AG56="","",COUNTIF($AG$2:AG56,"R")-COUNTIF($AF$2:AF56,"R")+$AI$1)</f>
        <v/>
      </c>
      <c r="AJ56" s="89">
        <v>157</v>
      </c>
      <c r="AK56" s="44" t="str">
        <f>IF(VLOOKUP(AJ56,Расчет!$AH$2:$AN$211,5,FALSE)="8","C",IF(VLOOKUP(AJ56,Расчет!$AH$2:$AN$211,5,FALSE)="G","G","R"))</f>
        <v>C</v>
      </c>
      <c r="AL56" s="74" t="str">
        <f t="shared" si="3"/>
        <v/>
      </c>
      <c r="AM56" s="118" t="str">
        <f>IF(AL56="","",(COUNTIF($AG$2:$AG$105,"C")+COUNTIF($AL$2:$AL56,"C"))-(COUNTIF($AF$2:$AF$105,"C")+COUNTIF($AK$2:$AK56,"C"))+$AH$1)</f>
        <v/>
      </c>
      <c r="AN56" s="119" t="str">
        <f>IF(AL56="","",(COUNTIF($AG$2:$AG$105,"R")+COUNTIF($AL$2:$AL56,"R"))-(COUNTIF($AF$2:$AF$105,"R")+COUNTIF($AK$2:$AK56,"R"))+$AI$1)</f>
        <v/>
      </c>
      <c r="AO56" s="22" t="str">
        <f>IF(E56="","",COUNTA($E$3:E56)+$Z$1)</f>
        <v/>
      </c>
      <c r="AP56" s="88" t="str">
        <f>IF(AO56="","",IF(AO56+Расчет!$Y$57+$BD$2-Расчет!$X$57&gt;200,AO56+Расчет!$Y$57+$BD$2-1000,AO56+Расчет!$Y$57+$BD$2))</f>
        <v/>
      </c>
      <c r="AR56" s="92"/>
      <c r="AS56" s="92"/>
      <c r="AY56" s="393"/>
      <c r="BL56" s="172">
        <f>COUNTIF($BM$5:BM56,"&lt;-115")</f>
        <v>0</v>
      </c>
      <c r="BM56" s="154" t="str">
        <f>IFERROR(IF(OR(IFERROR(VLOOKUP(BN56,$E$3:$E$105,1,FALSE),"0")=BN56,IFERROR(VLOOKUP(BN56,$R$3:$R$105,1,FALSE),"0")=BN56),BO56,IF(OR(VLOOKUP(BN56,Расчет!A:E,5,FALSE)="2PS",VLOOKUP(BN56,Расчет!A:E,5,FALSE)="2QL"),IF(VLOOKUP(BN56,Расчет!A:B,2,FALSE)="831W",BN56-$BS$7+$AD$17,BN56-$BS$7+$AD$12),BN56-$BS$7)),"-")</f>
        <v>-</v>
      </c>
      <c r="BN56" s="154">
        <f>IF(OR(Расчет!C53="A0",Расчет!C53="P9",Расчет!B53="722W"),"-",Расчет!A53)</f>
        <v>11198</v>
      </c>
      <c r="BO56" s="173">
        <f t="shared" si="15"/>
        <v>0</v>
      </c>
      <c r="BP56" s="172" t="str">
        <f>IF(BQ56="-","-",IFERROR(IF(OR(VLOOKUP(BN56,Расчет!$A$2:$E$582,5,FALSE)="2PS",VLOOKUP(BN56,Расчет!$A$2:$E$582,5,FALSE)="2QL"),IF(OR(VLOOKUP(BN56,Расчет!$A$2:$E$582,2,FALSE)="664W",VLOOKUP(BN56,Расчет!$A$2:$E$582,2,FALSE)="813W"),IF(BN56-$BS$7&gt;150,BN56-$BS$7-1000+$AD$12,BN56-$BS$7+$AD$12),IF(BN56-$BS$7&gt;150,BN56-$BS$7-1000+$AD$17,BN56-$BS$7+$AD$17)),IF(BN56-$BS$7&gt;150,BN56-$BS$7-1000,BN56-$BS$7)),"-"))</f>
        <v>-</v>
      </c>
      <c r="BQ56" s="173">
        <f t="shared" si="12"/>
        <v>11198</v>
      </c>
      <c r="BR56" s="453"/>
      <c r="BS56" s="171"/>
      <c r="BT56" s="464" t="str">
        <f t="shared" si="13"/>
        <v>-</v>
      </c>
      <c r="BU56" s="464" t="str">
        <f t="shared" si="14"/>
        <v>-</v>
      </c>
      <c r="BX56" s="204">
        <f>COUNTIF($BY$4:BY56,"&lt;100")</f>
        <v>0</v>
      </c>
      <c r="BY56" s="213" t="str">
        <f t="shared" si="26"/>
        <v/>
      </c>
      <c r="BZ56" s="216" t="str">
        <f t="shared" si="27"/>
        <v/>
      </c>
      <c r="CA56" s="213" t="e">
        <f t="shared" si="6"/>
        <v>#N/A</v>
      </c>
      <c r="CB56" s="209" t="e">
        <f t="shared" si="7"/>
        <v>#N/A</v>
      </c>
      <c r="CC56" s="205" t="str">
        <f t="shared" si="16"/>
        <v/>
      </c>
      <c r="CD56" s="205" t="str">
        <f t="shared" si="28"/>
        <v>-</v>
      </c>
      <c r="CE56" s="205">
        <f t="shared" si="29"/>
        <v>0</v>
      </c>
      <c r="CG56" s="20" t="str">
        <f t="shared" si="30"/>
        <v/>
      </c>
    </row>
    <row r="57" spans="1:85" ht="23.1" customHeight="1" thickBot="1">
      <c r="A57" s="40" t="str">
        <f>IF(AND(IFERROR(VLOOKUP(E57,Расчет!A:J,10,FALSE),"  ")&lt;&gt;"  ",IFERROR(LEFT(VLOOKUP(E57,Расчет!A:J,10,FALSE),1)," ")&lt;&gt;"H"),0,IFERROR(IF(F57="Camry",IF(OR(J57="2PS",J57="2QL"),IF(E57-AP57&gt;100,E57-AP57-1000+$AD$12,E57-AP57+$AD$12),IF(E57-AP57&gt;100,E57-AP57-1000,E57-AP57)),IF(J57="2PS",IF(E57-AP57&gt;100,E57-AP57-1000+$AD$17,E57-AP57+$AD$17),IF(E57-AP57&gt;100,E57-AP57-1000,E57-AP57))),"-"))</f>
        <v>-</v>
      </c>
      <c r="B57" s="46">
        <v>55</v>
      </c>
      <c r="C57" s="19" t="str">
        <f>IF(E57="","",COUNTA($E$3:E57))</f>
        <v/>
      </c>
      <c r="D57" s="18" t="str">
        <f t="shared" si="0"/>
        <v/>
      </c>
      <c r="E57" s="30"/>
      <c r="F57" s="44" t="str">
        <f>IFERROR(IF(VLOOKUP(E57,Расчет!$A$2:$B$650,2,FALSE)="664W","Camry",IF(VLOOKUP(E57,Расчет!$A$2:$B$650,2,FALSE)="813W","Goshi","RAV4")),"")</f>
        <v/>
      </c>
      <c r="G57" s="32" t="str">
        <f>IFERROR(IF(F57="Camry",VLOOKUP(E57,Расчет!$A$2:$Q$650,17,FALSE),VLOOKUP(E57,Расчет!$A$2:$R$650,18,FALSE)),"")</f>
        <v/>
      </c>
      <c r="H57" s="32" t="str">
        <f>IFERROR(VLOOKUP(VLOOKUP(E57,Расчет!$A:$D,4,FALSE),$AT$6:$AV$15,3,FALSE),"")</f>
        <v/>
      </c>
      <c r="I57" s="31" t="str">
        <f>IFERROR(VLOOKUP(IFERROR(VLOOKUP(E57,Расчет!$A$2:$D$650,4,FALSE),0),$AT$3:$AU$15,2,FALSE),"")</f>
        <v/>
      </c>
      <c r="J57" s="33" t="str">
        <f>IFERROR(VLOOKUP(E57,Расчет!$A$2:$E$650,5,FALSE),"")</f>
        <v/>
      </c>
      <c r="K57" s="189"/>
      <c r="L57" s="188">
        <f>K57-K56</f>
        <v>0</v>
      </c>
      <c r="M57" s="9"/>
      <c r="N57" s="40" t="str">
        <f>IF(AND(IFERROR(VLOOKUP(R57,Расчет!A:J,10,FALSE),"  ")&lt;&gt;"  ",IFERROR(LEFT(VLOOKUP(R57,Расчет!A:J,10,FALSE),1)," ")&lt;&gt;"H"),0,IFERROR(IF(S57="Camry",IF(OR(W57="2PS",W57="2QL"),IF(R57-AP160&gt;100,R57-AP160-1000+$AD$12,R57-AP160+$AD$12),IF(R57-AP160&gt;100,R57-AP160-1000,R57-AP160)),IF(W57="2PS",IF(R57-AP160&gt;100,R57-AP160-1000+$AD$17,R57-AP160+$AD$17),IF(R57-AP160&gt;100,R57-AP160-1000,R57-AP160))),"-"))</f>
        <v>-</v>
      </c>
      <c r="O57" s="46">
        <v>158</v>
      </c>
      <c r="P57" s="19" t="str">
        <f>IF(R57="","",COUNTA($R$3:R57)+$C$105)</f>
        <v/>
      </c>
      <c r="Q57" s="18" t="str">
        <f t="shared" si="1"/>
        <v/>
      </c>
      <c r="R57" s="30"/>
      <c r="S57" s="45" t="str">
        <f>IFERROR(IF(VLOOKUP(R57,Расчет!$A$2:$B$650,2,FALSE)="664W","Camry",IF(VLOOKUP(R57,Расчет!$A$2:$B$650,2,FALSE)="813W","Goshi","RAV4")),"")</f>
        <v/>
      </c>
      <c r="T57" s="32" t="str">
        <f>IFERROR(IF(S57="Camry",VLOOKUP(R57,Расчет!$A$2:$Q$650,17,FALSE),VLOOKUP(R57,Расчет!$A$2:$R$650,18,FALSE)),"")</f>
        <v/>
      </c>
      <c r="U57" s="32" t="str">
        <f>IFERROR(VLOOKUP(VLOOKUP(R57,Расчет!$A:$D,4,FALSE),$AT$6:$AV$15,3,FALSE),"")</f>
        <v/>
      </c>
      <c r="V57" s="31" t="str">
        <f>IFERROR(VLOOKUP(IFERROR(VLOOKUP(R57,Расчет!$A$2:$D$650,4,FALSE),0),$AT$3:$AU$15,2,FALSE),"")</f>
        <v/>
      </c>
      <c r="W57" s="33" t="str">
        <f>IFERROR(VLOOKUP(R57,Расчет!$A$2:$E$650,5,FALSE),"")</f>
        <v/>
      </c>
      <c r="X57" s="189"/>
      <c r="Y57" s="191">
        <f t="shared" si="11"/>
        <v>0</v>
      </c>
      <c r="AB57" s="738" t="s">
        <v>154</v>
      </c>
      <c r="AC57" s="739"/>
      <c r="AE57" s="89">
        <v>55</v>
      </c>
      <c r="AF57" s="44" t="str">
        <f>IF(VLOOKUP(AE57,Расчет!$AH$2:$AN$201,5,FALSE)="8","C",IF(VLOOKUP(AE57,Расчет!$AH$2:$AN$201,5,FALSE)="G","G","R"))</f>
        <v>R</v>
      </c>
      <c r="AG57" s="73" t="str">
        <f t="shared" si="2"/>
        <v/>
      </c>
      <c r="AH57" s="87" t="str">
        <f>IF(AG57="","",COUNTIF($AG$2:AG57,"C")-COUNTIF($AF$2:AF57,"C")+$AH$1)</f>
        <v/>
      </c>
      <c r="AI57" s="87" t="str">
        <f>IF(AG57="","",COUNTIF($AG$2:AG57,"R")-COUNTIF($AF$2:AF57,"R")+$AI$1)</f>
        <v/>
      </c>
      <c r="AJ57" s="89">
        <v>158</v>
      </c>
      <c r="AK57" s="44" t="str">
        <f>IF(VLOOKUP(AJ57,Расчет!$AH$2:$AN$211,5,FALSE)="8","C",IF(VLOOKUP(AJ57,Расчет!$AH$2:$AN$211,5,FALSE)="G","G","R"))</f>
        <v>R</v>
      </c>
      <c r="AL57" s="74" t="str">
        <f t="shared" si="3"/>
        <v/>
      </c>
      <c r="AM57" s="118" t="str">
        <f>IF(AL57="","",(COUNTIF($AG$2:$AG$105,"C")+COUNTIF($AL$2:$AL57,"C"))-(COUNTIF($AF$2:$AF$105,"C")+COUNTIF($AK$2:$AK57,"C"))+$AH$1)</f>
        <v/>
      </c>
      <c r="AN57" s="119" t="str">
        <f>IF(AL57="","",(COUNTIF($AG$2:$AG$105,"R")+COUNTIF($AL$2:$AL57,"R"))-(COUNTIF($AF$2:$AF$105,"R")+COUNTIF($AK$2:$AK57,"R"))+$AI$1)</f>
        <v/>
      </c>
      <c r="AO57" s="22" t="str">
        <f>IF(E57="","",COUNTA($E$3:E57)+$Z$1)</f>
        <v/>
      </c>
      <c r="AP57" s="88" t="str">
        <f>IF(AO57="","",IF(AO57+Расчет!$Y$57+$BD$2-Расчет!$X$57&gt;200,AO57+Расчет!$Y$57+$BD$2-1000,AO57+Расчет!$Y$57+$BD$2))</f>
        <v/>
      </c>
      <c r="AR57" s="92"/>
      <c r="AS57" s="92"/>
      <c r="AY57" s="393"/>
      <c r="BL57" s="172">
        <f>COUNTIF($BM$5:BM57,"&lt;-115")</f>
        <v>0</v>
      </c>
      <c r="BM57" s="154" t="str">
        <f>IFERROR(IF(OR(IFERROR(VLOOKUP(BN57,$E$3:$E$105,1,FALSE),"0")=BN57,IFERROR(VLOOKUP(BN57,$R$3:$R$105,1,FALSE),"0")=BN57),BO57,IF(OR(VLOOKUP(BN57,Расчет!A:E,5,FALSE)="2PS",VLOOKUP(BN57,Расчет!A:E,5,FALSE)="2QL"),IF(VLOOKUP(BN57,Расчет!A:B,2,FALSE)="831W",BN57-$BS$7+$AD$17,BN57-$BS$7+$AD$12),BN57-$BS$7)),"-")</f>
        <v>-</v>
      </c>
      <c r="BN57" s="154">
        <f>IF(OR(Расчет!C54="A0",Расчет!C54="P9",Расчет!B54="722W"),"-",Расчет!A54)</f>
        <v>11199</v>
      </c>
      <c r="BO57" s="173">
        <f t="shared" si="15"/>
        <v>0</v>
      </c>
      <c r="BP57" s="172" t="str">
        <f>IF(BQ57="-","-",IFERROR(IF(OR(VLOOKUP(BN57,Расчет!$A$2:$E$582,5,FALSE)="2PS",VLOOKUP(BN57,Расчет!$A$2:$E$582,5,FALSE)="2QL"),IF(OR(VLOOKUP(BN57,Расчет!$A$2:$E$582,2,FALSE)="664W",VLOOKUP(BN57,Расчет!$A$2:$E$582,2,FALSE)="813W"),IF(BN57-$BS$7&gt;150,BN57-$BS$7-1000+$AD$12,BN57-$BS$7+$AD$12),IF(BN57-$BS$7&gt;150,BN57-$BS$7-1000+$AD$17,BN57-$BS$7+$AD$17)),IF(BN57-$BS$7&gt;150,BN57-$BS$7-1000,BN57-$BS$7)),"-"))</f>
        <v>-</v>
      </c>
      <c r="BQ57" s="173">
        <f t="shared" si="12"/>
        <v>11199</v>
      </c>
      <c r="BR57" s="453"/>
      <c r="BS57" s="171"/>
      <c r="BT57" s="464" t="str">
        <f t="shared" si="13"/>
        <v>-</v>
      </c>
      <c r="BU57" s="464" t="str">
        <f t="shared" si="14"/>
        <v>-</v>
      </c>
      <c r="BX57" s="204">
        <f>COUNTIF($BY$4:BY57,"&lt;100")</f>
        <v>0</v>
      </c>
      <c r="BY57" s="213" t="str">
        <f t="shared" si="26"/>
        <v/>
      </c>
      <c r="BZ57" s="216" t="str">
        <f t="shared" si="27"/>
        <v/>
      </c>
      <c r="CA57" s="213" t="e">
        <f t="shared" si="6"/>
        <v>#N/A</v>
      </c>
      <c r="CB57" s="209" t="e">
        <f t="shared" si="7"/>
        <v>#N/A</v>
      </c>
      <c r="CC57" s="205" t="str">
        <f t="shared" si="16"/>
        <v/>
      </c>
      <c r="CD57" s="205" t="str">
        <f t="shared" si="28"/>
        <v>-</v>
      </c>
      <c r="CE57" s="205">
        <f t="shared" si="29"/>
        <v>0</v>
      </c>
      <c r="CG57" s="20" t="str">
        <f t="shared" si="30"/>
        <v/>
      </c>
    </row>
    <row r="58" spans="1:85" ht="23.1" customHeight="1">
      <c r="A58" s="40" t="str">
        <f>IF(AND(IFERROR(VLOOKUP(E58,Расчет!A:J,10,FALSE),"  ")&lt;&gt;"  ",IFERROR(LEFT(VLOOKUP(E58,Расчет!A:J,10,FALSE),1)," ")&lt;&gt;"H"),0,IFERROR(IF(F58="Camry",IF(OR(J58="2PS",J58="2QL"),IF(E58-AP58&gt;100,E58-AP58-1000+$AD$12,E58-AP58+$AD$12),IF(E58-AP58&gt;100,E58-AP58-1000,E58-AP58)),IF(J58="2PS",IF(E58-AP58&gt;100,E58-AP58-1000+$AD$17,E58-AP58+$AD$17),IF(E58-AP58&gt;100,E58-AP58-1000,E58-AP58))),"-"))</f>
        <v>-</v>
      </c>
      <c r="B58" s="46">
        <v>56</v>
      </c>
      <c r="C58" s="19" t="str">
        <f>IF(E58="","",COUNTA($E$3:E58))</f>
        <v/>
      </c>
      <c r="D58" s="18" t="str">
        <f t="shared" si="0"/>
        <v/>
      </c>
      <c r="E58" s="30"/>
      <c r="F58" s="44" t="str">
        <f>IFERROR(IF(VLOOKUP(E58,Расчет!$A$2:$B$650,2,FALSE)="664W","Camry",IF(VLOOKUP(E58,Расчет!$A$2:$B$650,2,FALSE)="813W","Goshi","RAV4")),"")</f>
        <v/>
      </c>
      <c r="G58" s="32" t="str">
        <f>IFERROR(IF(F58="Camry",VLOOKUP(E58,Расчет!$A$2:$Q$650,17,FALSE),VLOOKUP(E58,Расчет!$A$2:$R$650,18,FALSE)),"")</f>
        <v/>
      </c>
      <c r="H58" s="32" t="str">
        <f>IFERROR(VLOOKUP(VLOOKUP(E58,Расчет!$A:$D,4,FALSE),$AT$6:$AV$15,3,FALSE),"")</f>
        <v/>
      </c>
      <c r="I58" s="31" t="str">
        <f>IFERROR(VLOOKUP(IFERROR(VLOOKUP(E58,Расчет!$A$2:$D$650,4,FALSE),0),$AT$3:$AU$15,2,FALSE),"")</f>
        <v/>
      </c>
      <c r="J58" s="33" t="str">
        <f>IFERROR(VLOOKUP(E58,Расчет!$A$2:$E$650,5,FALSE),"")</f>
        <v/>
      </c>
      <c r="K58" s="189"/>
      <c r="L58" s="188">
        <f t="shared" si="10"/>
        <v>0</v>
      </c>
      <c r="M58" s="9"/>
      <c r="N58" s="40" t="str">
        <f>IF(AND(IFERROR(VLOOKUP(R58,Расчет!A:J,10,FALSE),"  ")&lt;&gt;"  ",IFERROR(LEFT(VLOOKUP(R58,Расчет!A:J,10,FALSE),1)," ")&lt;&gt;"H"),0,IFERROR(IF(S58="Camry",IF(OR(W58="2PS",W58="2QL"),IF(R58-AP161&gt;100,R58-AP161-1000+$AD$12,R58-AP161+$AD$12),IF(R58-AP161&gt;100,R58-AP161-1000,R58-AP161)),IF(W58="2PS",IF(R58-AP161&gt;100,R58-AP161-1000+$AD$17,R58-AP161+$AD$17),IF(R58-AP161&gt;100,R58-AP161-1000,R58-AP161))),"-"))</f>
        <v>-</v>
      </c>
      <c r="O58" s="46">
        <v>159</v>
      </c>
      <c r="P58" s="19" t="str">
        <f>IF(R58="","",COUNTA($R$3:R58)+$C$105)</f>
        <v/>
      </c>
      <c r="Q58" s="18" t="str">
        <f t="shared" si="1"/>
        <v/>
      </c>
      <c r="R58" s="30"/>
      <c r="S58" s="45" t="str">
        <f>IFERROR(IF(VLOOKUP(R58,Расчет!$A$2:$B$650,2,FALSE)="664W","Camry",IF(VLOOKUP(R58,Расчет!$A$2:$B$650,2,FALSE)="813W","Goshi","RAV4")),"")</f>
        <v/>
      </c>
      <c r="T58" s="32" t="str">
        <f>IFERROR(IF(S58="Camry",VLOOKUP(R58,Расчет!$A$2:$Q$650,17,FALSE),VLOOKUP(R58,Расчет!$A$2:$R$650,18,FALSE)),"")</f>
        <v/>
      </c>
      <c r="U58" s="32" t="str">
        <f>IFERROR(VLOOKUP(VLOOKUP(R58,Расчет!$A:$D,4,FALSE),$AT$6:$AV$15,3,FALSE),"")</f>
        <v/>
      </c>
      <c r="V58" s="31" t="str">
        <f>IFERROR(VLOOKUP(IFERROR(VLOOKUP(R58,Расчет!$A$2:$D$650,4,FALSE),0),$AT$3:$AU$15,2,FALSE),"")</f>
        <v/>
      </c>
      <c r="W58" s="33" t="str">
        <f>IFERROR(VLOOKUP(R58,Расчет!$A$2:$E$650,5,FALSE),"")</f>
        <v/>
      </c>
      <c r="X58" s="189"/>
      <c r="Y58" s="191">
        <f t="shared" si="11"/>
        <v>0</v>
      </c>
      <c r="AB58" s="740" t="s">
        <v>152</v>
      </c>
      <c r="AC58" s="741"/>
      <c r="AE58" s="89">
        <v>56</v>
      </c>
      <c r="AF58" s="44" t="str">
        <f>IF(VLOOKUP(AE58,Расчет!$AH$2:$AN$201,5,FALSE)="8","C",IF(VLOOKUP(AE58,Расчет!$AH$2:$AN$201,5,FALSE)="G","G","R"))</f>
        <v>R</v>
      </c>
      <c r="AG58" s="73" t="str">
        <f t="shared" si="2"/>
        <v/>
      </c>
      <c r="AH58" s="87" t="str">
        <f>IF(AG58="","",COUNTIF($AG$2:AG58,"C")-COUNTIF($AF$2:AF58,"C")+$AH$1)</f>
        <v/>
      </c>
      <c r="AI58" s="87" t="str">
        <f>IF(AG58="","",COUNTIF($AG$2:AG58,"R")-COUNTIF($AF$2:AF58,"R")+$AI$1)</f>
        <v/>
      </c>
      <c r="AJ58" s="89">
        <v>159</v>
      </c>
      <c r="AK58" s="44" t="str">
        <f>IF(VLOOKUP(AJ58,Расчет!$AH$2:$AN$211,5,FALSE)="8","C",IF(VLOOKUP(AJ58,Расчет!$AH$2:$AN$211,5,FALSE)="G","G","R"))</f>
        <v>C</v>
      </c>
      <c r="AL58" s="74" t="str">
        <f t="shared" si="3"/>
        <v/>
      </c>
      <c r="AM58" s="118" t="str">
        <f>IF(AL58="","",(COUNTIF($AG$2:$AG$105,"C")+COUNTIF($AL$2:$AL58,"C"))-(COUNTIF($AF$2:$AF$105,"C")+COUNTIF($AK$2:$AK58,"C"))+$AH$1)</f>
        <v/>
      </c>
      <c r="AN58" s="119" t="str">
        <f>IF(AL58="","",(COUNTIF($AG$2:$AG$105,"R")+COUNTIF($AL$2:$AL58,"R"))-(COUNTIF($AF$2:$AF$105,"R")+COUNTIF($AK$2:$AK58,"R"))+$AI$1)</f>
        <v/>
      </c>
      <c r="AO58" s="22" t="str">
        <f>IF(E58="","",COUNTA($E$3:E58)+$Z$1)</f>
        <v/>
      </c>
      <c r="AP58" s="88" t="str">
        <f>IF(AO58="","",IF(AO58+Расчет!$Y$57+$BD$2-Расчет!$X$57&gt;200,AO58+Расчет!$Y$57+$BD$2-1000,AO58+Расчет!$Y$57+$BD$2))</f>
        <v/>
      </c>
      <c r="AR58" s="92"/>
      <c r="AS58" s="92"/>
      <c r="AY58" s="393"/>
      <c r="BL58" s="172">
        <f>COUNTIF($BM$5:BM58,"&lt;-115")</f>
        <v>0</v>
      </c>
      <c r="BM58" s="154" t="str">
        <f>IFERROR(IF(OR(IFERROR(VLOOKUP(BN58,$E$3:$E$105,1,FALSE),"0")=BN58,IFERROR(VLOOKUP(BN58,$R$3:$R$105,1,FALSE),"0")=BN58),BO58,IF(OR(VLOOKUP(BN58,Расчет!A:E,5,FALSE)="2PS",VLOOKUP(BN58,Расчет!A:E,5,FALSE)="2QL"),IF(VLOOKUP(BN58,Расчет!A:B,2,FALSE)="831W",BN58-$BS$7+$AD$17,BN58-$BS$7+$AD$12),BN58-$BS$7)),"-")</f>
        <v>-</v>
      </c>
      <c r="BN58" s="154">
        <f>IF(OR(Расчет!C55="A0",Расчет!C55="P9",Расчет!B55="722W"),"-",Расчет!A55)</f>
        <v>11200</v>
      </c>
      <c r="BO58" s="173">
        <f t="shared" si="15"/>
        <v>0</v>
      </c>
      <c r="BP58" s="172" t="str">
        <f>IF(BQ58="-","-",IFERROR(IF(OR(VLOOKUP(BN58,Расчет!$A$2:$E$582,5,FALSE)="2PS",VLOOKUP(BN58,Расчет!$A$2:$E$582,5,FALSE)="2QL"),IF(OR(VLOOKUP(BN58,Расчет!$A$2:$E$582,2,FALSE)="664W",VLOOKUP(BN58,Расчет!$A$2:$E$582,2,FALSE)="813W"),IF(BN58-$BS$7&gt;150,BN58-$BS$7-1000+$AD$12,BN58-$BS$7+$AD$12),IF(BN58-$BS$7&gt;150,BN58-$BS$7-1000+$AD$17,BN58-$BS$7+$AD$17)),IF(BN58-$BS$7&gt;150,BN58-$BS$7-1000,BN58-$BS$7)),"-"))</f>
        <v>-</v>
      </c>
      <c r="BQ58" s="173">
        <f t="shared" si="12"/>
        <v>11200</v>
      </c>
      <c r="BR58" s="453"/>
      <c r="BS58" s="171"/>
      <c r="BT58" s="464" t="str">
        <f t="shared" si="13"/>
        <v>-</v>
      </c>
      <c r="BU58" s="464" t="str">
        <f t="shared" si="14"/>
        <v>-</v>
      </c>
      <c r="BX58" s="204">
        <f>COUNTIF($BY$4:BY58,"&lt;100")</f>
        <v>0</v>
      </c>
      <c r="BY58" s="213" t="str">
        <f t="shared" si="26"/>
        <v/>
      </c>
      <c r="BZ58" s="216" t="str">
        <f t="shared" si="27"/>
        <v/>
      </c>
      <c r="CA58" s="213" t="e">
        <f t="shared" si="6"/>
        <v>#N/A</v>
      </c>
      <c r="CB58" s="209" t="e">
        <f t="shared" si="7"/>
        <v>#N/A</v>
      </c>
      <c r="CC58" s="205" t="str">
        <f t="shared" si="16"/>
        <v/>
      </c>
      <c r="CD58" s="205" t="str">
        <f t="shared" si="28"/>
        <v>-</v>
      </c>
      <c r="CE58" s="205">
        <f t="shared" si="29"/>
        <v>0</v>
      </c>
      <c r="CG58" s="20" t="str">
        <f t="shared" si="30"/>
        <v/>
      </c>
    </row>
    <row r="59" spans="1:85" ht="23.1" customHeight="1" thickBot="1">
      <c r="A59" s="40" t="str">
        <f>IF(AND(IFERROR(VLOOKUP(E59,Расчет!A:J,10,FALSE),"  ")&lt;&gt;"  ",IFERROR(LEFT(VLOOKUP(E59,Расчет!A:J,10,FALSE),1)," ")&lt;&gt;"H"),0,IFERROR(IF(F59="Camry",IF(OR(J59="2PS",J59="2QL"),IF(E59-AP59&gt;100,E59-AP59-1000+$AD$12,E59-AP59+$AD$12),IF(E59-AP59&gt;100,E59-AP59-1000,E59-AP59)),IF(J59="2PS",IF(E59-AP59&gt;100,E59-AP59-1000+$AD$17,E59-AP59+$AD$17),IF(E59-AP59&gt;100,E59-AP59-1000,E59-AP59))),"-"))</f>
        <v>-</v>
      </c>
      <c r="B59" s="46">
        <v>57</v>
      </c>
      <c r="C59" s="19" t="str">
        <f>IF(E59="","",COUNTA($E$3:E59))</f>
        <v/>
      </c>
      <c r="D59" s="18" t="str">
        <f t="shared" si="0"/>
        <v/>
      </c>
      <c r="E59" s="30"/>
      <c r="F59" s="44" t="str">
        <f>IFERROR(IF(VLOOKUP(E59,Расчет!$A$2:$B$650,2,FALSE)="664W","Camry",IF(VLOOKUP(E59,Расчет!$A$2:$B$650,2,FALSE)="813W","Goshi","RAV4")),"")</f>
        <v/>
      </c>
      <c r="G59" s="32" t="str">
        <f>IFERROR(IF(F59="Camry",VLOOKUP(E59,Расчет!$A$2:$Q$650,17,FALSE),VLOOKUP(E59,Расчет!$A$2:$R$650,18,FALSE)),"")</f>
        <v/>
      </c>
      <c r="H59" s="32" t="str">
        <f>IFERROR(VLOOKUP(VLOOKUP(E59,Расчет!$A:$D,4,FALSE),$AT$6:$AV$15,3,FALSE),"")</f>
        <v/>
      </c>
      <c r="I59" s="31" t="str">
        <f>IFERROR(VLOOKUP(IFERROR(VLOOKUP(E59,Расчет!$A$2:$D$650,4,FALSE),0),$AT$3:$AU$15,2,FALSE),"")</f>
        <v/>
      </c>
      <c r="J59" s="33" t="str">
        <f>IFERROR(VLOOKUP(E59,Расчет!$A$2:$E$650,5,FALSE),"")</f>
        <v/>
      </c>
      <c r="K59" s="189"/>
      <c r="L59" s="188">
        <f t="shared" si="10"/>
        <v>0</v>
      </c>
      <c r="M59" s="9"/>
      <c r="N59" s="40" t="str">
        <f>IF(AND(IFERROR(VLOOKUP(R59,Расчет!A:J,10,FALSE),"  ")&lt;&gt;"  ",IFERROR(LEFT(VLOOKUP(R59,Расчет!A:J,10,FALSE),1)," ")&lt;&gt;"H"),0,IFERROR(IF(S59="Camry",IF(OR(W59="2PS",W59="2QL"),IF(R59-AP162&gt;100,R59-AP162-1000+$AD$12,R59-AP162+$AD$12),IF(R59-AP162&gt;100,R59-AP162-1000,R59-AP162)),IF(W59="2PS",IF(R59-AP162&gt;100,R59-AP162-1000+$AD$17,R59-AP162+$AD$17),IF(R59-AP162&gt;100,R59-AP162-1000,R59-AP162))),"-"))</f>
        <v>-</v>
      </c>
      <c r="O59" s="46">
        <v>160</v>
      </c>
      <c r="P59" s="19" t="str">
        <f>IF(R59="","",COUNTA($R$3:R59)+$C$105)</f>
        <v/>
      </c>
      <c r="Q59" s="18" t="str">
        <f t="shared" si="1"/>
        <v/>
      </c>
      <c r="R59" s="30"/>
      <c r="S59" s="45" t="str">
        <f>IFERROR(IF(VLOOKUP(R59,Расчет!$A$2:$B$650,2,FALSE)="664W","Camry",IF(VLOOKUP(R59,Расчет!$A$2:$B$650,2,FALSE)="813W","Goshi","RAV4")),"")</f>
        <v/>
      </c>
      <c r="T59" s="32" t="str">
        <f>IFERROR(IF(S59="Camry",VLOOKUP(R59,Расчет!$A$2:$Q$650,17,FALSE),VLOOKUP(R59,Расчет!$A$2:$R$650,18,FALSE)),"")</f>
        <v/>
      </c>
      <c r="U59" s="32" t="str">
        <f>IFERROR(VLOOKUP(VLOOKUP(R59,Расчет!$A:$D,4,FALSE),$AT$6:$AV$15,3,FALSE),"")</f>
        <v/>
      </c>
      <c r="V59" s="31" t="str">
        <f>IFERROR(VLOOKUP(IFERROR(VLOOKUP(R59,Расчет!$A$2:$D$650,4,FALSE),0),$AT$3:$AU$15,2,FALSE),"")</f>
        <v/>
      </c>
      <c r="W59" s="33" t="str">
        <f>IFERROR(VLOOKUP(R59,Расчет!$A$2:$E$650,5,FALSE),"")</f>
        <v/>
      </c>
      <c r="X59" s="189"/>
      <c r="Y59" s="191">
        <f t="shared" si="11"/>
        <v>0</v>
      </c>
      <c r="AB59" s="742"/>
      <c r="AC59" s="743"/>
      <c r="AE59" s="89">
        <v>57</v>
      </c>
      <c r="AF59" s="44" t="str">
        <f>IF(VLOOKUP(AE59,Расчет!$AH$2:$AN$201,5,FALSE)="8","C",IF(VLOOKUP(AE59,Расчет!$AH$2:$AN$201,5,FALSE)="G","G","R"))</f>
        <v>C</v>
      </c>
      <c r="AG59" s="73" t="str">
        <f t="shared" si="2"/>
        <v/>
      </c>
      <c r="AH59" s="87" t="str">
        <f>IF(AG59="","",COUNTIF($AG$2:AG59,"C")-COUNTIF($AF$2:AF59,"C")+$AH$1)</f>
        <v/>
      </c>
      <c r="AI59" s="87" t="str">
        <f>IF(AG59="","",COUNTIF($AG$2:AG59,"R")-COUNTIF($AF$2:AF59,"R")+$AI$1)</f>
        <v/>
      </c>
      <c r="AJ59" s="89">
        <v>160</v>
      </c>
      <c r="AK59" s="44" t="str">
        <f>IF(VLOOKUP(AJ59,Расчет!$AH$2:$AN$211,5,FALSE)="8","C",IF(VLOOKUP(AJ59,Расчет!$AH$2:$AN$211,5,FALSE)="G","G","R"))</f>
        <v>R</v>
      </c>
      <c r="AL59" s="74" t="str">
        <f t="shared" si="3"/>
        <v/>
      </c>
      <c r="AM59" s="118" t="str">
        <f>IF(AL59="","",(COUNTIF($AG$2:$AG$105,"C")+COUNTIF($AL$2:$AL59,"C"))-(COUNTIF($AF$2:$AF$105,"C")+COUNTIF($AK$2:$AK59,"C"))+$AH$1)</f>
        <v/>
      </c>
      <c r="AN59" s="119" t="str">
        <f>IF(AL59="","",(COUNTIF($AG$2:$AG$105,"R")+COUNTIF($AL$2:$AL59,"R"))-(COUNTIF($AF$2:$AF$105,"R")+COUNTIF($AK$2:$AK59,"R"))+$AI$1)</f>
        <v/>
      </c>
      <c r="AO59" s="22" t="str">
        <f>IF(E59="","",COUNTA($E$3:E59)+$Z$1)</f>
        <v/>
      </c>
      <c r="AP59" s="88" t="str">
        <f>IF(AO59="","",IF(AO59+Расчет!$Y$57+$BD$2-Расчет!$X$57&gt;200,AO59+Расчет!$Y$57+$BD$2-1000,AO59+Расчет!$Y$57+$BD$2))</f>
        <v/>
      </c>
      <c r="AR59" s="92"/>
      <c r="AS59" s="92"/>
      <c r="AY59" s="393"/>
      <c r="BL59" s="172">
        <f>COUNTIF($BM$5:BM59,"&lt;-115")</f>
        <v>0</v>
      </c>
      <c r="BM59" s="154" t="str">
        <f>IFERROR(IF(OR(IFERROR(VLOOKUP(BN59,$E$3:$E$105,1,FALSE),"0")=BN59,IFERROR(VLOOKUP(BN59,$R$3:$R$105,1,FALSE),"0")=BN59),BO59,IF(OR(VLOOKUP(BN59,Расчет!A:E,5,FALSE)="2PS",VLOOKUP(BN59,Расчет!A:E,5,FALSE)="2QL"),IF(VLOOKUP(BN59,Расчет!A:B,2,FALSE)="831W",BN59-$BS$7+$AD$17,BN59-$BS$7+$AD$12),BN59-$BS$7)),"-")</f>
        <v>-</v>
      </c>
      <c r="BN59" s="154">
        <f>IF(OR(Расчет!C56="A0",Расчет!C56="P9",Расчет!B56="722W"),"-",Расчет!A56)</f>
        <v>11201</v>
      </c>
      <c r="BO59" s="173">
        <f t="shared" si="15"/>
        <v>0</v>
      </c>
      <c r="BP59" s="172" t="str">
        <f>IF(BQ59="-","-",IFERROR(IF(OR(VLOOKUP(BN59,Расчет!$A$2:$E$582,5,FALSE)="2PS",VLOOKUP(BN59,Расчет!$A$2:$E$582,5,FALSE)="2QL"),IF(OR(VLOOKUP(BN59,Расчет!$A$2:$E$582,2,FALSE)="664W",VLOOKUP(BN59,Расчет!$A$2:$E$582,2,FALSE)="813W"),IF(BN59-$BS$7&gt;150,BN59-$BS$7-1000+$AD$12,BN59-$BS$7+$AD$12),IF(BN59-$BS$7&gt;150,BN59-$BS$7-1000+$AD$17,BN59-$BS$7+$AD$17)),IF(BN59-$BS$7&gt;150,BN59-$BS$7-1000,BN59-$BS$7)),"-"))</f>
        <v>-</v>
      </c>
      <c r="BQ59" s="173">
        <f t="shared" si="12"/>
        <v>11201</v>
      </c>
      <c r="BR59" s="453"/>
      <c r="BS59" s="171"/>
      <c r="BT59" s="464" t="str">
        <f t="shared" si="13"/>
        <v>-</v>
      </c>
      <c r="BU59" s="464" t="str">
        <f t="shared" si="14"/>
        <v>-</v>
      </c>
      <c r="BX59" s="204">
        <f>COUNTIF($BY$4:BY59,"&lt;100")</f>
        <v>0</v>
      </c>
      <c r="BY59" s="213" t="str">
        <f t="shared" si="26"/>
        <v/>
      </c>
      <c r="BZ59" s="216" t="str">
        <f t="shared" si="27"/>
        <v/>
      </c>
      <c r="CA59" s="213" t="e">
        <f t="shared" si="6"/>
        <v>#N/A</v>
      </c>
      <c r="CB59" s="209" t="e">
        <f t="shared" si="7"/>
        <v>#N/A</v>
      </c>
      <c r="CC59" s="205" t="str">
        <f t="shared" si="16"/>
        <v/>
      </c>
      <c r="CD59" s="205" t="str">
        <f t="shared" si="28"/>
        <v>-</v>
      </c>
      <c r="CE59" s="205">
        <f t="shared" si="29"/>
        <v>0</v>
      </c>
      <c r="CG59" s="20" t="str">
        <f t="shared" si="30"/>
        <v/>
      </c>
    </row>
    <row r="60" spans="1:85" ht="23.1" customHeight="1">
      <c r="A60" s="40" t="str">
        <f>IF(AND(IFERROR(VLOOKUP(E60,Расчет!A:J,10,FALSE),"  ")&lt;&gt;"  ",IFERROR(LEFT(VLOOKUP(E60,Расчет!A:J,10,FALSE),1)," ")&lt;&gt;"H"),0,IFERROR(IF(F60="Camry",IF(OR(J60="2PS",J60="2QL"),IF(E60-AP60&gt;100,E60-AP60-1000+$AD$12,E60-AP60+$AD$12),IF(E60-AP60&gt;100,E60-AP60-1000,E60-AP60)),IF(J60="2PS",IF(E60-AP60&gt;100,E60-AP60-1000+$AD$17,E60-AP60+$AD$17),IF(E60-AP60&gt;100,E60-AP60-1000,E60-AP60))),"-"))</f>
        <v>-</v>
      </c>
      <c r="B60" s="46">
        <v>58</v>
      </c>
      <c r="C60" s="19" t="str">
        <f>IF(E60="","",COUNTA($E$3:E60))</f>
        <v/>
      </c>
      <c r="D60" s="18" t="str">
        <f t="shared" si="0"/>
        <v/>
      </c>
      <c r="E60" s="30"/>
      <c r="F60" s="44" t="str">
        <f>IFERROR(IF(VLOOKUP(E60,Расчет!$A$2:$B$650,2,FALSE)="664W","Camry",IF(VLOOKUP(E60,Расчет!$A$2:$B$650,2,FALSE)="813W","Goshi","RAV4")),"")</f>
        <v/>
      </c>
      <c r="G60" s="32" t="str">
        <f>IFERROR(IF(F60="Camry",VLOOKUP(E60,Расчет!$A$2:$Q$650,17,FALSE),VLOOKUP(E60,Расчет!$A$2:$R$650,18,FALSE)),"")</f>
        <v/>
      </c>
      <c r="H60" s="32" t="str">
        <f>IFERROR(VLOOKUP(VLOOKUP(E60,Расчет!$A:$D,4,FALSE),$AT$6:$AV$15,3,FALSE),"")</f>
        <v/>
      </c>
      <c r="I60" s="31" t="str">
        <f>IFERROR(VLOOKUP(IFERROR(VLOOKUP(E60,Расчет!$A$2:$D$650,4,FALSE),0),$AT$3:$AU$15,2,FALSE),"")</f>
        <v/>
      </c>
      <c r="J60" s="33" t="str">
        <f>IFERROR(VLOOKUP(E60,Расчет!$A$2:$E$650,5,FALSE),"")</f>
        <v/>
      </c>
      <c r="K60" s="189"/>
      <c r="L60" s="188">
        <f t="shared" si="10"/>
        <v>0</v>
      </c>
      <c r="M60" s="9"/>
      <c r="N60" s="40" t="str">
        <f>IF(AND(IFERROR(VLOOKUP(R60,Расчет!A:J,10,FALSE),"  ")&lt;&gt;"  ",IFERROR(LEFT(VLOOKUP(R60,Расчет!A:J,10,FALSE),1)," ")&lt;&gt;"H"),0,IFERROR(IF(S60="Camry",IF(OR(W60="2PS",W60="2QL"),IF(R60-AP163&gt;100,R60-AP163-1000+$AD$12,R60-AP163+$AD$12),IF(R60-AP163&gt;100,R60-AP163-1000,R60-AP163)),IF(W60="2PS",IF(R60-AP163&gt;100,R60-AP163-1000+$AD$17,R60-AP163+$AD$17),IF(R60-AP163&gt;100,R60-AP163-1000,R60-AP163))),"-"))</f>
        <v>-</v>
      </c>
      <c r="O60" s="46">
        <v>161</v>
      </c>
      <c r="P60" s="19" t="str">
        <f>IF(R60="","",COUNTA($R$3:R60)+$C$105)</f>
        <v/>
      </c>
      <c r="Q60" s="18" t="str">
        <f t="shared" si="1"/>
        <v/>
      </c>
      <c r="R60" s="30"/>
      <c r="S60" s="45" t="str">
        <f>IFERROR(IF(VLOOKUP(R60,Расчет!$A$2:$B$650,2,FALSE)="664W","Camry",IF(VLOOKUP(R60,Расчет!$A$2:$B$650,2,FALSE)="813W","Goshi","RAV4")),"")</f>
        <v/>
      </c>
      <c r="T60" s="32" t="str">
        <f>IFERROR(IF(S60="Camry",VLOOKUP(R60,Расчет!$A$2:$Q$650,17,FALSE),VLOOKUP(R60,Расчет!$A$2:$R$650,18,FALSE)),"")</f>
        <v/>
      </c>
      <c r="U60" s="32" t="str">
        <f>IFERROR(VLOOKUP(VLOOKUP(R60,Расчет!$A:$D,4,FALSE),$AT$6:$AV$15,3,FALSE),"")</f>
        <v/>
      </c>
      <c r="V60" s="31" t="str">
        <f>IFERROR(VLOOKUP(IFERROR(VLOOKUP(R60,Расчет!$A$2:$D$650,4,FALSE),0),$AT$3:$AU$15,2,FALSE),"")</f>
        <v/>
      </c>
      <c r="W60" s="33" t="str">
        <f>IFERROR(VLOOKUP(R60,Расчет!$A$2:$E$650,5,FALSE),"")</f>
        <v/>
      </c>
      <c r="X60" s="189"/>
      <c r="Y60" s="191">
        <f t="shared" si="11"/>
        <v>0</v>
      </c>
      <c r="AB60" s="744" t="s">
        <v>148</v>
      </c>
      <c r="AC60" s="746" t="s">
        <v>149</v>
      </c>
      <c r="AE60" s="89">
        <v>58</v>
      </c>
      <c r="AF60" s="44" t="str">
        <f>IF(VLOOKUP(AE60,Расчет!$AH$2:$AN$201,5,FALSE)="8","C",IF(VLOOKUP(AE60,Расчет!$AH$2:$AN$201,5,FALSE)="G","G","R"))</f>
        <v>R</v>
      </c>
      <c r="AG60" s="73" t="str">
        <f t="shared" si="2"/>
        <v/>
      </c>
      <c r="AH60" s="87" t="str">
        <f>IF(AG60="","",COUNTIF($AG$2:AG60,"C")-COUNTIF($AF$2:AF60,"C")+$AH$1)</f>
        <v/>
      </c>
      <c r="AI60" s="87" t="str">
        <f>IF(AG60="","",COUNTIF($AG$2:AG60,"R")-COUNTIF($AF$2:AF60,"R")+$AI$1)</f>
        <v/>
      </c>
      <c r="AJ60" s="89">
        <v>161</v>
      </c>
      <c r="AK60" s="44" t="str">
        <f>IF(VLOOKUP(AJ60,Расчет!$AH$2:$AN$211,5,FALSE)="8","C",IF(VLOOKUP(AJ60,Расчет!$AH$2:$AN$211,5,FALSE)="G","G","R"))</f>
        <v>R</v>
      </c>
      <c r="AL60" s="74" t="str">
        <f t="shared" si="3"/>
        <v/>
      </c>
      <c r="AM60" s="118" t="str">
        <f>IF(AL60="","",(COUNTIF($AG$2:$AG$105,"C")+COUNTIF($AL$2:$AL60,"C"))-(COUNTIF($AF$2:$AF$105,"C")+COUNTIF($AK$2:$AK60,"C"))+$AH$1)</f>
        <v/>
      </c>
      <c r="AN60" s="119" t="str">
        <f>IF(AL60="","",(COUNTIF($AG$2:$AG$105,"R")+COUNTIF($AL$2:$AL60,"R"))-(COUNTIF($AF$2:$AF$105,"R")+COUNTIF($AK$2:$AK60,"R"))+$AI$1)</f>
        <v/>
      </c>
      <c r="AO60" s="22" t="str">
        <f>IF(E60="","",COUNTA($E$3:E60)+$Z$1)</f>
        <v/>
      </c>
      <c r="AP60" s="88" t="str">
        <f>IF(AO60="","",IF(AO60+Расчет!$Y$57+$BD$2-Расчет!$X$57&gt;200,AO60+Расчет!$Y$57+$BD$2-1000,AO60+Расчет!$Y$57+$BD$2))</f>
        <v/>
      </c>
      <c r="AR60" s="92"/>
      <c r="AS60" s="92"/>
      <c r="AY60" s="393"/>
      <c r="BL60" s="172">
        <f>COUNTIF($BM$5:BM60,"&lt;-115")</f>
        <v>0</v>
      </c>
      <c r="BM60" s="154" t="str">
        <f>IFERROR(IF(OR(IFERROR(VLOOKUP(BN60,$E$3:$E$105,1,FALSE),"0")=BN60,IFERROR(VLOOKUP(BN60,$R$3:$R$105,1,FALSE),"0")=BN60),BO60,IF(OR(VLOOKUP(BN60,Расчет!A:E,5,FALSE)="2PS",VLOOKUP(BN60,Расчет!A:E,5,FALSE)="2QL"),IF(VLOOKUP(BN60,Расчет!A:B,2,FALSE)="831W",BN60-$BS$7+$AD$17,BN60-$BS$7+$AD$12),BN60-$BS$7)),"-")</f>
        <v>-</v>
      </c>
      <c r="BN60" s="154">
        <f>IF(OR(Расчет!C57="A0",Расчет!C57="P9",Расчет!B57="722W"),"-",Расчет!A57)</f>
        <v>11202</v>
      </c>
      <c r="BO60" s="173">
        <f t="shared" si="15"/>
        <v>0</v>
      </c>
      <c r="BP60" s="172" t="str">
        <f>IF(BQ60="-","-",IFERROR(IF(OR(VLOOKUP(BN60,Расчет!$A$2:$E$582,5,FALSE)="2PS",VLOOKUP(BN60,Расчет!$A$2:$E$582,5,FALSE)="2QL"),IF(OR(VLOOKUP(BN60,Расчет!$A$2:$E$582,2,FALSE)="664W",VLOOKUP(BN60,Расчет!$A$2:$E$582,2,FALSE)="813W"),IF(BN60-$BS$7&gt;150,BN60-$BS$7-1000+$AD$12,BN60-$BS$7+$AD$12),IF(BN60-$BS$7&gt;150,BN60-$BS$7-1000+$AD$17,BN60-$BS$7+$AD$17)),IF(BN60-$BS$7&gt;150,BN60-$BS$7-1000,BN60-$BS$7)),"-"))</f>
        <v>-</v>
      </c>
      <c r="BQ60" s="173">
        <f t="shared" si="12"/>
        <v>11202</v>
      </c>
      <c r="BR60" s="453"/>
      <c r="BS60" s="171"/>
      <c r="BT60" s="464" t="str">
        <f t="shared" si="13"/>
        <v>-</v>
      </c>
      <c r="BU60" s="464" t="str">
        <f t="shared" si="14"/>
        <v>-</v>
      </c>
      <c r="BX60" s="204">
        <f>COUNTIF($BY$4:BY60,"&lt;100")</f>
        <v>0</v>
      </c>
      <c r="BY60" s="213" t="str">
        <f t="shared" si="26"/>
        <v/>
      </c>
      <c r="BZ60" s="216" t="str">
        <f t="shared" si="27"/>
        <v/>
      </c>
      <c r="CA60" s="213" t="e">
        <f t="shared" si="6"/>
        <v>#N/A</v>
      </c>
      <c r="CB60" s="209" t="e">
        <f t="shared" si="7"/>
        <v>#N/A</v>
      </c>
      <c r="CC60" s="205" t="str">
        <f t="shared" si="16"/>
        <v/>
      </c>
      <c r="CD60" s="205" t="str">
        <f t="shared" si="28"/>
        <v>-</v>
      </c>
      <c r="CE60" s="205">
        <f t="shared" si="29"/>
        <v>0</v>
      </c>
      <c r="CG60" s="20" t="str">
        <f t="shared" si="30"/>
        <v/>
      </c>
    </row>
    <row r="61" spans="1:85" ht="23.1" customHeight="1" thickBot="1">
      <c r="A61" s="40" t="str">
        <f>IF(AND(IFERROR(VLOOKUP(E61,Расчет!A:J,10,FALSE),"  ")&lt;&gt;"  ",IFERROR(LEFT(VLOOKUP(E61,Расчет!A:J,10,FALSE),1)," ")&lt;&gt;"H"),0,IFERROR(IF(F61="Camry",IF(OR(J61="2PS",J61="2QL"),IF(E61-AP61&gt;100,E61-AP61-1000+$AD$12,E61-AP61+$AD$12),IF(E61-AP61&gt;100,E61-AP61-1000,E61-AP61)),IF(J61="2PS",IF(E61-AP61&gt;100,E61-AP61-1000+$AD$17,E61-AP61+$AD$17),IF(E61-AP61&gt;100,E61-AP61-1000,E61-AP61))),"-"))</f>
        <v>-</v>
      </c>
      <c r="B61" s="46">
        <v>59</v>
      </c>
      <c r="C61" s="19" t="str">
        <f>IF(E61="","",COUNTA($E$3:E61))</f>
        <v/>
      </c>
      <c r="D61" s="18" t="str">
        <f t="shared" si="0"/>
        <v/>
      </c>
      <c r="E61" s="30"/>
      <c r="F61" s="44" t="str">
        <f>IFERROR(IF(VLOOKUP(E61,Расчет!$A$2:$B$650,2,FALSE)="664W","Camry",IF(VLOOKUP(E61,Расчет!$A$2:$B$650,2,FALSE)="813W","Goshi","RAV4")),"")</f>
        <v/>
      </c>
      <c r="G61" s="32" t="str">
        <f>IFERROR(IF(F61="Camry",VLOOKUP(E61,Расчет!$A$2:$Q$650,17,FALSE),VLOOKUP(E61,Расчет!$A$2:$R$650,18,FALSE)),"")</f>
        <v/>
      </c>
      <c r="H61" s="32" t="str">
        <f>IFERROR(VLOOKUP(VLOOKUP(E61,Расчет!$A:$D,4,FALSE),$AT$6:$AV$15,3,FALSE),"")</f>
        <v/>
      </c>
      <c r="I61" s="31" t="str">
        <f>IFERROR(VLOOKUP(IFERROR(VLOOKUP(E61,Расчет!$A$2:$D$650,4,FALSE),0),$AT$3:$AU$15,2,FALSE),"")</f>
        <v/>
      </c>
      <c r="J61" s="33" t="str">
        <f>IFERROR(VLOOKUP(E61,Расчет!$A$2:$E$650,5,FALSE),"")</f>
        <v/>
      </c>
      <c r="K61" s="189"/>
      <c r="L61" s="188">
        <f t="shared" si="10"/>
        <v>0</v>
      </c>
      <c r="M61" s="9"/>
      <c r="N61" s="40" t="str">
        <f>IF(AND(IFERROR(VLOOKUP(R61,Расчет!A:J,10,FALSE),"  ")&lt;&gt;"  ",IFERROR(LEFT(VLOOKUP(R61,Расчет!A:J,10,FALSE),1)," ")&lt;&gt;"H"),0,IFERROR(IF(S61="Camry",IF(OR(W61="2PS",W61="2QL"),IF(R61-AP164&gt;100,R61-AP164-1000+$AD$12,R61-AP164+$AD$12),IF(R61-AP164&gt;100,R61-AP164-1000,R61-AP164)),IF(W61="2PS",IF(R61-AP164&gt;100,R61-AP164-1000+$AD$17,R61-AP164+$AD$17),IF(R61-AP164&gt;100,R61-AP164-1000,R61-AP164))),"-"))</f>
        <v>-</v>
      </c>
      <c r="O61" s="46">
        <v>162</v>
      </c>
      <c r="P61" s="19" t="str">
        <f>IF(R61="","",COUNTA($R$3:R61)+$C$105)</f>
        <v/>
      </c>
      <c r="Q61" s="18" t="str">
        <f t="shared" si="1"/>
        <v/>
      </c>
      <c r="R61" s="30"/>
      <c r="S61" s="45" t="str">
        <f>IFERROR(IF(VLOOKUP(R61,Расчет!$A$2:$B$650,2,FALSE)="664W","Camry",IF(VLOOKUP(R61,Расчет!$A$2:$B$650,2,FALSE)="813W","Goshi","RAV4")),"")</f>
        <v/>
      </c>
      <c r="T61" s="32" t="str">
        <f>IFERROR(IF(S61="Camry",VLOOKUP(R61,Расчет!$A$2:$Q$650,17,FALSE),VLOOKUP(R61,Расчет!$A$2:$R$650,18,FALSE)),"")</f>
        <v/>
      </c>
      <c r="U61" s="32" t="str">
        <f>IFERROR(VLOOKUP(VLOOKUP(R61,Расчет!$A:$D,4,FALSE),$AT$6:$AV$15,3,FALSE),"")</f>
        <v/>
      </c>
      <c r="V61" s="31" t="str">
        <f>IFERROR(VLOOKUP(IFERROR(VLOOKUP(R61,Расчет!$A$2:$D$650,4,FALSE),0),$AT$3:$AU$15,2,FALSE),"")</f>
        <v/>
      </c>
      <c r="W61" s="33" t="str">
        <f>IFERROR(VLOOKUP(R61,Расчет!$A$2:$E$650,5,FALSE),"")</f>
        <v/>
      </c>
      <c r="X61" s="189"/>
      <c r="Y61" s="191">
        <f t="shared" si="11"/>
        <v>0</v>
      </c>
      <c r="AB61" s="745"/>
      <c r="AC61" s="747"/>
      <c r="AE61" s="89">
        <v>59</v>
      </c>
      <c r="AF61" s="44" t="str">
        <f>IF(VLOOKUP(AE61,Расчет!$AH$2:$AN$201,5,FALSE)="8","C",IF(VLOOKUP(AE61,Расчет!$AH$2:$AN$201,5,FALSE)="G","G","R"))</f>
        <v>C</v>
      </c>
      <c r="AG61" s="73" t="str">
        <f t="shared" si="2"/>
        <v/>
      </c>
      <c r="AH61" s="87" t="str">
        <f>IF(AG61="","",COUNTIF($AG$2:AG61,"C")-COUNTIF($AF$2:AF61,"C")+$AH$1)</f>
        <v/>
      </c>
      <c r="AI61" s="87" t="str">
        <f>IF(AG61="","",COUNTIF($AG$2:AG61,"R")-COUNTIF($AF$2:AF61,"R")+$AI$1)</f>
        <v/>
      </c>
      <c r="AJ61" s="89">
        <v>162</v>
      </c>
      <c r="AK61" s="44" t="str">
        <f>IF(VLOOKUP(AJ61,Расчет!$AH$2:$AN$211,5,FALSE)="8","C",IF(VLOOKUP(AJ61,Расчет!$AH$2:$AN$211,5,FALSE)="G","G","R"))</f>
        <v>C</v>
      </c>
      <c r="AL61" s="74" t="str">
        <f t="shared" si="3"/>
        <v/>
      </c>
      <c r="AM61" s="118" t="str">
        <f>IF(AL61="","",(COUNTIF($AG$2:$AG$105,"C")+COUNTIF($AL$2:$AL61,"C"))-(COUNTIF($AF$2:$AF$105,"C")+COUNTIF($AK$2:$AK61,"C"))+$AH$1)</f>
        <v/>
      </c>
      <c r="AN61" s="119" t="str">
        <f>IF(AL61="","",(COUNTIF($AG$2:$AG$105,"R")+COUNTIF($AL$2:$AL61,"R"))-(COUNTIF($AF$2:$AF$105,"R")+COUNTIF($AK$2:$AK61,"R"))+$AI$1)</f>
        <v/>
      </c>
      <c r="AO61" s="22" t="str">
        <f>IF(E61="","",COUNTA($E$3:E61)+$Z$1)</f>
        <v/>
      </c>
      <c r="AP61" s="88" t="str">
        <f>IF(AO61="","",IF(AO61+Расчет!$Y$57+$BD$2-Расчет!$X$57&gt;200,AO61+Расчет!$Y$57+$BD$2-1000,AO61+Расчет!$Y$57+$BD$2))</f>
        <v/>
      </c>
      <c r="AR61" s="92"/>
      <c r="AS61" s="92"/>
      <c r="AY61" s="393"/>
      <c r="BL61" s="172">
        <f>COUNTIF($BM$5:BM61,"&lt;-115")</f>
        <v>0</v>
      </c>
      <c r="BM61" s="154" t="str">
        <f>IFERROR(IF(OR(IFERROR(VLOOKUP(BN61,$E$3:$E$105,1,FALSE),"0")=BN61,IFERROR(VLOOKUP(BN61,$R$3:$R$105,1,FALSE),"0")=BN61),BO61,IF(OR(VLOOKUP(BN61,Расчет!A:E,5,FALSE)="2PS",VLOOKUP(BN61,Расчет!A:E,5,FALSE)="2QL"),IF(VLOOKUP(BN61,Расчет!A:B,2,FALSE)="831W",BN61-$BS$7+$AD$17,BN61-$BS$7+$AD$12),BN61-$BS$7)),"-")</f>
        <v>-</v>
      </c>
      <c r="BN61" s="154">
        <f>IF(OR(Расчет!C58="A0",Расчет!C58="P9",Расчет!B58="722W"),"-",Расчет!A58)</f>
        <v>11203</v>
      </c>
      <c r="BO61" s="173">
        <f t="shared" si="15"/>
        <v>0</v>
      </c>
      <c r="BP61" s="172" t="str">
        <f>IF(BQ61="-","-",IFERROR(IF(OR(VLOOKUP(BN61,Расчет!$A$2:$E$582,5,FALSE)="2PS",VLOOKUP(BN61,Расчет!$A$2:$E$582,5,FALSE)="2QL"),IF(OR(VLOOKUP(BN61,Расчет!$A$2:$E$582,2,FALSE)="664W",VLOOKUP(BN61,Расчет!$A$2:$E$582,2,FALSE)="813W"),IF(BN61-$BS$7&gt;150,BN61-$BS$7-1000+$AD$12,BN61-$BS$7+$AD$12),IF(BN61-$BS$7&gt;150,BN61-$BS$7-1000+$AD$17,BN61-$BS$7+$AD$17)),IF(BN61-$BS$7&gt;150,BN61-$BS$7-1000,BN61-$BS$7)),"-"))</f>
        <v>-</v>
      </c>
      <c r="BQ61" s="173">
        <f t="shared" si="12"/>
        <v>11203</v>
      </c>
      <c r="BR61" s="453"/>
      <c r="BS61" s="171"/>
      <c r="BT61" s="464" t="str">
        <f t="shared" si="13"/>
        <v>-</v>
      </c>
      <c r="BU61" s="464" t="str">
        <f t="shared" si="14"/>
        <v>-</v>
      </c>
      <c r="BX61" s="204">
        <f>COUNTIF($BY$4:BY61,"&lt;100")</f>
        <v>0</v>
      </c>
      <c r="BY61" s="213" t="str">
        <f t="shared" si="26"/>
        <v/>
      </c>
      <c r="BZ61" s="216" t="str">
        <f t="shared" si="27"/>
        <v/>
      </c>
      <c r="CA61" s="213" t="e">
        <f t="shared" si="6"/>
        <v>#N/A</v>
      </c>
      <c r="CB61" s="209" t="e">
        <f t="shared" si="7"/>
        <v>#N/A</v>
      </c>
      <c r="CC61" s="205" t="str">
        <f t="shared" si="16"/>
        <v/>
      </c>
      <c r="CD61" s="205" t="str">
        <f t="shared" si="28"/>
        <v>-</v>
      </c>
      <c r="CE61" s="205">
        <f t="shared" si="29"/>
        <v>0</v>
      </c>
      <c r="CG61" s="20" t="str">
        <f t="shared" si="30"/>
        <v/>
      </c>
    </row>
    <row r="62" spans="1:85" ht="23.1" customHeight="1">
      <c r="A62" s="40" t="str">
        <f>IF(AND(IFERROR(VLOOKUP(E62,Расчет!A:J,10,FALSE),"  ")&lt;&gt;"  ",IFERROR(LEFT(VLOOKUP(E62,Расчет!A:J,10,FALSE),1)," ")&lt;&gt;"H"),0,IFERROR(IF(F62="Camry",IF(OR(J62="2PS",J62="2QL"),IF(E62-AP62&gt;100,E62-AP62-1000+$AD$12,E62-AP62+$AD$12),IF(E62-AP62&gt;100,E62-AP62-1000,E62-AP62)),IF(J62="2PS",IF(E62-AP62&gt;100,E62-AP62-1000+$AD$17,E62-AP62+$AD$17),IF(E62-AP62&gt;100,E62-AP62-1000,E62-AP62))),"-"))</f>
        <v>-</v>
      </c>
      <c r="B62" s="46">
        <v>60</v>
      </c>
      <c r="C62" s="19" t="str">
        <f>IF(E62="","",COUNTA($E$3:E62))</f>
        <v/>
      </c>
      <c r="D62" s="18" t="str">
        <f t="shared" si="0"/>
        <v/>
      </c>
      <c r="E62" s="30"/>
      <c r="F62" s="44" t="str">
        <f>IFERROR(IF(VLOOKUP(E62,Расчет!$A$2:$B$650,2,FALSE)="664W","Camry",IF(VLOOKUP(E62,Расчет!$A$2:$B$650,2,FALSE)="813W","Goshi","RAV4")),"")</f>
        <v/>
      </c>
      <c r="G62" s="32" t="str">
        <f>IFERROR(IF(F62="Camry",VLOOKUP(E62,Расчет!$A$2:$Q$650,17,FALSE),VLOOKUP(E62,Расчет!$A$2:$R$650,18,FALSE)),"")</f>
        <v/>
      </c>
      <c r="H62" s="32" t="str">
        <f>IFERROR(VLOOKUP(VLOOKUP(E62,Расчет!$A:$D,4,FALSE),$AT$6:$AV$15,3,FALSE),"")</f>
        <v/>
      </c>
      <c r="I62" s="31" t="str">
        <f>IFERROR(VLOOKUP(IFERROR(VLOOKUP(E62,Расчет!$A$2:$D$650,4,FALSE),0),$AT$3:$AU$15,2,FALSE),"")</f>
        <v/>
      </c>
      <c r="J62" s="33" t="str">
        <f>IFERROR(VLOOKUP(E62,Расчет!$A$2:$E$650,5,FALSE),"")</f>
        <v/>
      </c>
      <c r="K62" s="189"/>
      <c r="L62" s="188">
        <f t="shared" si="10"/>
        <v>0</v>
      </c>
      <c r="M62" s="9"/>
      <c r="N62" s="40" t="str">
        <f>IF(AND(IFERROR(VLOOKUP(R62,Расчет!A:J,10,FALSE),"  ")&lt;&gt;"  ",IFERROR(LEFT(VLOOKUP(R62,Расчет!A:J,10,FALSE),1)," ")&lt;&gt;"H"),0,IFERROR(IF(S62="Camry",IF(OR(W62="2PS",W62="2QL"),IF(R62-AP165&gt;100,R62-AP165-1000+$AD$12,R62-AP165+$AD$12),IF(R62-AP165&gt;100,R62-AP165-1000,R62-AP165)),IF(W62="2PS",IF(R62-AP165&gt;100,R62-AP165-1000+$AD$17,R62-AP165+$AD$17),IF(R62-AP165&gt;100,R62-AP165-1000,R62-AP165))),"-"))</f>
        <v>-</v>
      </c>
      <c r="O62" s="46">
        <v>163</v>
      </c>
      <c r="P62" s="19" t="str">
        <f>IF(R62="","",COUNTA($R$3:R62)+$C$105)</f>
        <v/>
      </c>
      <c r="Q62" s="18" t="str">
        <f t="shared" si="1"/>
        <v/>
      </c>
      <c r="R62" s="30"/>
      <c r="S62" s="45" t="str">
        <f>IFERROR(IF(VLOOKUP(R62,Расчет!$A$2:$B$650,2,FALSE)="664W","Camry",IF(VLOOKUP(R62,Расчет!$A$2:$B$650,2,FALSE)="813W","Goshi","RAV4")),"")</f>
        <v/>
      </c>
      <c r="T62" s="32" t="str">
        <f>IFERROR(IF(S62="Camry",VLOOKUP(R62,Расчет!$A$2:$Q$650,17,FALSE),VLOOKUP(R62,Расчет!$A$2:$R$650,18,FALSE)),"")</f>
        <v/>
      </c>
      <c r="U62" s="32" t="str">
        <f>IFERROR(VLOOKUP(VLOOKUP(R62,Расчет!$A:$D,4,FALSE),$AT$6:$AV$15,3,FALSE),"")</f>
        <v/>
      </c>
      <c r="V62" s="31" t="str">
        <f>IFERROR(VLOOKUP(IFERROR(VLOOKUP(R62,Расчет!$A$2:$D$650,4,FALSE),0),$AT$3:$AU$15,2,FALSE),"")</f>
        <v/>
      </c>
      <c r="W62" s="33" t="str">
        <f>IFERROR(VLOOKUP(R62,Расчет!$A$2:$E$650,5,FALSE),"")</f>
        <v/>
      </c>
      <c r="X62" s="189"/>
      <c r="Y62" s="191">
        <f t="shared" si="11"/>
        <v>0</v>
      </c>
      <c r="Z62" s="752" t="s">
        <v>150</v>
      </c>
      <c r="AA62" s="754">
        <f>COUNTIFS(CE4:CE209,"&gt;0",BX4:BX209,"&lt;"&amp;AB58)</f>
        <v>0</v>
      </c>
      <c r="AB62" s="754">
        <f>SUM(BV4:BW5)</f>
        <v>0</v>
      </c>
      <c r="AC62" s="754">
        <f>COUNTIFS(CC4:CC209,"&gt;0",BX4:BX209,"&lt;"&amp;AB58)</f>
        <v>0</v>
      </c>
      <c r="AE62" s="89">
        <v>60</v>
      </c>
      <c r="AF62" s="44" t="str">
        <f>IF(VLOOKUP(AE62,Расчет!$AH$2:$AN$201,5,FALSE)="8","C",IF(VLOOKUP(AE62,Расчет!$AH$2:$AN$201,5,FALSE)="G","G","R"))</f>
        <v>R</v>
      </c>
      <c r="AG62" s="73" t="str">
        <f t="shared" si="2"/>
        <v/>
      </c>
      <c r="AH62" s="87" t="str">
        <f>IF(AG62="","",COUNTIF($AG$2:AG62,"C")-COUNTIF($AF$2:AF62,"C")+$AH$1)</f>
        <v/>
      </c>
      <c r="AI62" s="87" t="str">
        <f>IF(AG62="","",COUNTIF($AG$2:AG62,"R")-COUNTIF($AF$2:AF62,"R")+$AI$1)</f>
        <v/>
      </c>
      <c r="AJ62" s="89">
        <v>163</v>
      </c>
      <c r="AK62" s="44" t="str">
        <f>IF(VLOOKUP(AJ62,Расчет!$AH$2:$AN$211,5,FALSE)="8","C",IF(VLOOKUP(AJ62,Расчет!$AH$2:$AN$211,5,FALSE)="G","G","R"))</f>
        <v>R</v>
      </c>
      <c r="AL62" s="74" t="str">
        <f t="shared" si="3"/>
        <v/>
      </c>
      <c r="AM62" s="118" t="str">
        <f>IF(AL62="","",(COUNTIF($AG$2:$AG$105,"C")+COUNTIF($AL$2:$AL62,"C"))-(COUNTIF($AF$2:$AF$105,"C")+COUNTIF($AK$2:$AK62,"C"))+$AH$1)</f>
        <v/>
      </c>
      <c r="AN62" s="119" t="str">
        <f>IF(AL62="","",(COUNTIF($AG$2:$AG$105,"R")+COUNTIF($AL$2:$AL62,"R"))-(COUNTIF($AF$2:$AF$105,"R")+COUNTIF($AK$2:$AK62,"R"))+$AI$1)</f>
        <v/>
      </c>
      <c r="AO62" s="22" t="str">
        <f>IF(E62="","",COUNTA($E$3:E62)+$Z$1)</f>
        <v/>
      </c>
      <c r="AP62" s="88" t="str">
        <f>IF(AO62="","",IF(AO62+Расчет!$Y$57+$BD$2-Расчет!$X$57&gt;200,AO62+Расчет!$Y$57+$BD$2-1000,AO62+Расчет!$Y$57+$BD$2))</f>
        <v/>
      </c>
      <c r="AR62" s="92"/>
      <c r="AS62" s="92"/>
      <c r="AY62" s="393"/>
      <c r="BL62" s="172">
        <f>COUNTIF($BM$5:BM62,"&lt;-115")</f>
        <v>0</v>
      </c>
      <c r="BM62" s="154" t="str">
        <f>IFERROR(IF(OR(IFERROR(VLOOKUP(BN62,$E$3:$E$105,1,FALSE),"0")=BN62,IFERROR(VLOOKUP(BN62,$R$3:$R$105,1,FALSE),"0")=BN62),BO62,IF(OR(VLOOKUP(BN62,Расчет!A:E,5,FALSE)="2PS",VLOOKUP(BN62,Расчет!A:E,5,FALSE)="2QL"),IF(VLOOKUP(BN62,Расчет!A:B,2,FALSE)="831W",BN62-$BS$7+$AD$17,BN62-$BS$7+$AD$12),BN62-$BS$7)),"-")</f>
        <v>-</v>
      </c>
      <c r="BN62" s="154">
        <f>IF(OR(Расчет!C59="A0",Расчет!C59="P9",Расчет!B59="722W"),"-",Расчет!A59)</f>
        <v>11204</v>
      </c>
      <c r="BO62" s="173">
        <f t="shared" si="15"/>
        <v>0</v>
      </c>
      <c r="BP62" s="172" t="str">
        <f>IF(BQ62="-","-",IFERROR(IF(OR(VLOOKUP(BN62,Расчет!$A$2:$E$582,5,FALSE)="2PS",VLOOKUP(BN62,Расчет!$A$2:$E$582,5,FALSE)="2QL"),IF(OR(VLOOKUP(BN62,Расчет!$A$2:$E$582,2,FALSE)="664W",VLOOKUP(BN62,Расчет!$A$2:$E$582,2,FALSE)="813W"),IF(BN62-$BS$7&gt;150,BN62-$BS$7-1000+$AD$12,BN62-$BS$7+$AD$12),IF(BN62-$BS$7&gt;150,BN62-$BS$7-1000+$AD$17,BN62-$BS$7+$AD$17)),IF(BN62-$BS$7&gt;150,BN62-$BS$7-1000,BN62-$BS$7)),"-"))</f>
        <v>-</v>
      </c>
      <c r="BQ62" s="173">
        <f t="shared" si="12"/>
        <v>11204</v>
      </c>
      <c r="BR62" s="453"/>
      <c r="BS62" s="171"/>
      <c r="BT62" s="464" t="str">
        <f t="shared" si="13"/>
        <v>-</v>
      </c>
      <c r="BU62" s="464" t="str">
        <f t="shared" si="14"/>
        <v>-</v>
      </c>
      <c r="BX62" s="204">
        <f>COUNTIF($BY$4:BY62,"&lt;100")</f>
        <v>0</v>
      </c>
      <c r="BY62" s="213" t="str">
        <f t="shared" si="26"/>
        <v/>
      </c>
      <c r="BZ62" s="216" t="str">
        <f t="shared" si="27"/>
        <v/>
      </c>
      <c r="CA62" s="213" t="e">
        <f t="shared" si="6"/>
        <v>#N/A</v>
      </c>
      <c r="CB62" s="209" t="e">
        <f t="shared" si="7"/>
        <v>#N/A</v>
      </c>
      <c r="CC62" s="205" t="str">
        <f t="shared" si="16"/>
        <v/>
      </c>
      <c r="CD62" s="205" t="str">
        <f t="shared" si="28"/>
        <v>-</v>
      </c>
      <c r="CE62" s="205">
        <f t="shared" si="29"/>
        <v>0</v>
      </c>
      <c r="CG62" s="20" t="str">
        <f t="shared" si="30"/>
        <v/>
      </c>
    </row>
    <row r="63" spans="1:85" ht="23.1" customHeight="1" thickBot="1">
      <c r="A63" s="40" t="str">
        <f>IF(AND(IFERROR(VLOOKUP(E63,Расчет!A:J,10,FALSE),"  ")&lt;&gt;"  ",IFERROR(LEFT(VLOOKUP(E63,Расчет!A:J,10,FALSE),1)," ")&lt;&gt;"H"),0,IFERROR(IF(F63="Camry",IF(OR(J63="2PS",J63="2QL"),IF(E63-AP63&gt;100,E63-AP63-1000+$AD$12,E63-AP63+$AD$12),IF(E63-AP63&gt;100,E63-AP63-1000,E63-AP63)),IF(J63="2PS",IF(E63-AP63&gt;100,E63-AP63-1000+$AD$17,E63-AP63+$AD$17),IF(E63-AP63&gt;100,E63-AP63-1000,E63-AP63))),"-"))</f>
        <v>-</v>
      </c>
      <c r="B63" s="46">
        <v>61</v>
      </c>
      <c r="C63" s="19" t="str">
        <f>IF(E63="","",COUNTA($E$3:E63))</f>
        <v/>
      </c>
      <c r="D63" s="18" t="str">
        <f t="shared" si="0"/>
        <v/>
      </c>
      <c r="E63" s="30"/>
      <c r="F63" s="44" t="str">
        <f>IFERROR(IF(VLOOKUP(E63,Расчет!$A$2:$B$650,2,FALSE)="664W","Camry",IF(VLOOKUP(E63,Расчет!$A$2:$B$650,2,FALSE)="813W","Goshi","RAV4")),"")</f>
        <v/>
      </c>
      <c r="G63" s="32" t="str">
        <f>IFERROR(IF(F63="Camry",VLOOKUP(E63,Расчет!$A$2:$Q$650,17,FALSE),VLOOKUP(E63,Расчет!$A$2:$R$650,18,FALSE)),"")</f>
        <v/>
      </c>
      <c r="H63" s="32" t="str">
        <f>IFERROR(VLOOKUP(VLOOKUP(E63,Расчет!$A:$D,4,FALSE),$AT$6:$AV$15,3,FALSE),"")</f>
        <v/>
      </c>
      <c r="I63" s="31" t="str">
        <f>IFERROR(VLOOKUP(IFERROR(VLOOKUP(E63,Расчет!$A$2:$D$650,4,FALSE),0),$AT$3:$AU$15,2,FALSE),"")</f>
        <v/>
      </c>
      <c r="J63" s="33" t="str">
        <f>IFERROR(VLOOKUP(E63,Расчет!$A$2:$E$650,5,FALSE),"")</f>
        <v/>
      </c>
      <c r="K63" s="189"/>
      <c r="L63" s="188">
        <f t="shared" si="10"/>
        <v>0</v>
      </c>
      <c r="M63" s="9"/>
      <c r="N63" s="40" t="str">
        <f>IF(AND(IFERROR(VLOOKUP(R63,Расчет!A:J,10,FALSE),"  ")&lt;&gt;"  ",IFERROR(LEFT(VLOOKUP(R63,Расчет!A:J,10,FALSE),1)," ")&lt;&gt;"H"),0,IFERROR(IF(S63="Camry",IF(OR(W63="2PS",W63="2QL"),IF(R63-AP166&gt;100,R63-AP166-1000+$AD$12,R63-AP166+$AD$12),IF(R63-AP166&gt;100,R63-AP166-1000,R63-AP166)),IF(W63="2PS",IF(R63-AP166&gt;100,R63-AP166-1000+$AD$17,R63-AP166+$AD$17),IF(R63-AP166&gt;100,R63-AP166-1000,R63-AP166))),"-"))</f>
        <v>-</v>
      </c>
      <c r="O63" s="46">
        <v>164</v>
      </c>
      <c r="P63" s="19" t="str">
        <f>IF(R63="","",COUNTA($R$3:R63)+$C$105)</f>
        <v/>
      </c>
      <c r="Q63" s="18" t="str">
        <f t="shared" si="1"/>
        <v/>
      </c>
      <c r="R63" s="30"/>
      <c r="S63" s="45" t="str">
        <f>IFERROR(IF(VLOOKUP(R63,Расчет!$A$2:$B$650,2,FALSE)="664W","Camry",IF(VLOOKUP(R63,Расчет!$A$2:$B$650,2,FALSE)="813W","Goshi","RAV4")),"")</f>
        <v/>
      </c>
      <c r="T63" s="32" t="str">
        <f>IFERROR(IF(S63="Camry",VLOOKUP(R63,Расчет!$A$2:$Q$650,17,FALSE),VLOOKUP(R63,Расчет!$A$2:$R$650,18,FALSE)),"")</f>
        <v/>
      </c>
      <c r="U63" s="32" t="str">
        <f>IFERROR(VLOOKUP(VLOOKUP(R63,Расчет!$A:$D,4,FALSE),$AT$6:$AV$15,3,FALSE),"")</f>
        <v/>
      </c>
      <c r="V63" s="31" t="str">
        <f>IFERROR(VLOOKUP(IFERROR(VLOOKUP(R63,Расчет!$A$2:$D$650,4,FALSE),0),$AT$3:$AU$15,2,FALSE),"")</f>
        <v/>
      </c>
      <c r="W63" s="33" t="str">
        <f>IFERROR(VLOOKUP(R63,Расчет!$A$2:$E$650,5,FALSE),"")</f>
        <v/>
      </c>
      <c r="X63" s="189"/>
      <c r="Y63" s="191">
        <f t="shared" si="11"/>
        <v>0</v>
      </c>
      <c r="Z63" s="753"/>
      <c r="AA63" s="755"/>
      <c r="AB63" s="755"/>
      <c r="AC63" s="755"/>
      <c r="AE63" s="89">
        <v>61</v>
      </c>
      <c r="AF63" s="44" t="str">
        <f>IF(VLOOKUP(AE63,Расчет!$AH$2:$AN$201,5,FALSE)="8","C",IF(VLOOKUP(AE63,Расчет!$AH$2:$AN$201,5,FALSE)="G","G","R"))</f>
        <v>C</v>
      </c>
      <c r="AG63" s="73" t="str">
        <f t="shared" si="2"/>
        <v/>
      </c>
      <c r="AH63" s="87" t="str">
        <f>IF(AG63="","",COUNTIF($AG$2:AG63,"C")-COUNTIF($AF$2:AF63,"C")+$AH$1)</f>
        <v/>
      </c>
      <c r="AI63" s="87" t="str">
        <f>IF(AG63="","",COUNTIF($AG$2:AG63,"R")-COUNTIF($AF$2:AF63,"R")+$AI$1)</f>
        <v/>
      </c>
      <c r="AJ63" s="89">
        <v>164</v>
      </c>
      <c r="AK63" s="44" t="str">
        <f>IF(VLOOKUP(AJ63,Расчет!$AH$2:$AN$211,5,FALSE)="8","C",IF(VLOOKUP(AJ63,Расчет!$AH$2:$AN$211,5,FALSE)="G","G","R"))</f>
        <v>C</v>
      </c>
      <c r="AL63" s="74" t="str">
        <f t="shared" si="3"/>
        <v/>
      </c>
      <c r="AM63" s="118" t="str">
        <f>IF(AL63="","",(COUNTIF($AG$2:$AG$105,"C")+COUNTIF($AL$2:$AL63,"C"))-(COUNTIF($AF$2:$AF$105,"C")+COUNTIF($AK$2:$AK63,"C"))+$AH$1)</f>
        <v/>
      </c>
      <c r="AN63" s="119" t="str">
        <f>IF(AL63="","",(COUNTIF($AG$2:$AG$105,"R")+COUNTIF($AL$2:$AL63,"R"))-(COUNTIF($AF$2:$AF$105,"R")+COUNTIF($AK$2:$AK63,"R"))+$AI$1)</f>
        <v/>
      </c>
      <c r="AO63" s="22" t="str">
        <f>IF(E63="","",COUNTA($E$3:E63)+$Z$1)</f>
        <v/>
      </c>
      <c r="AP63" s="88" t="str">
        <f>IF(AO63="","",IF(AO63+Расчет!$Y$57+$BD$2-Расчет!$X$57&gt;200,AO63+Расчет!$Y$57+$BD$2-1000,AO63+Расчет!$Y$57+$BD$2))</f>
        <v/>
      </c>
      <c r="AR63" s="92"/>
      <c r="AS63" s="92"/>
      <c r="AY63" s="393"/>
      <c r="BL63" s="172">
        <f>COUNTIF($BM$5:BM63,"&lt;-115")</f>
        <v>0</v>
      </c>
      <c r="BM63" s="154" t="str">
        <f>IFERROR(IF(OR(IFERROR(VLOOKUP(BN63,$E$3:$E$105,1,FALSE),"0")=BN63,IFERROR(VLOOKUP(BN63,$R$3:$R$105,1,FALSE),"0")=BN63),BO63,IF(OR(VLOOKUP(BN63,Расчет!A:E,5,FALSE)="2PS",VLOOKUP(BN63,Расчет!A:E,5,FALSE)="2QL"),IF(VLOOKUP(BN63,Расчет!A:B,2,FALSE)="831W",BN63-$BS$7+$AD$17,BN63-$BS$7+$AD$12),BN63-$BS$7)),"-")</f>
        <v>-</v>
      </c>
      <c r="BN63" s="154">
        <f>IF(OR(Расчет!C60="A0",Расчет!C60="P9",Расчет!B60="722W"),"-",Расчет!A60)</f>
        <v>11205</v>
      </c>
      <c r="BO63" s="173">
        <f t="shared" si="15"/>
        <v>0</v>
      </c>
      <c r="BP63" s="172" t="str">
        <f>IF(BQ63="-","-",IFERROR(IF(OR(VLOOKUP(BN63,Расчет!$A$2:$E$582,5,FALSE)="2PS",VLOOKUP(BN63,Расчет!$A$2:$E$582,5,FALSE)="2QL"),IF(OR(VLOOKUP(BN63,Расчет!$A$2:$E$582,2,FALSE)="664W",VLOOKUP(BN63,Расчет!$A$2:$E$582,2,FALSE)="813W"),IF(BN63-$BS$7&gt;150,BN63-$BS$7-1000+$AD$12,BN63-$BS$7+$AD$12),IF(BN63-$BS$7&gt;150,BN63-$BS$7-1000+$AD$17,BN63-$BS$7+$AD$17)),IF(BN63-$BS$7&gt;150,BN63-$BS$7-1000,BN63-$BS$7)),"-"))</f>
        <v>-</v>
      </c>
      <c r="BQ63" s="173">
        <f t="shared" si="12"/>
        <v>11205</v>
      </c>
      <c r="BR63" s="453"/>
      <c r="BS63" s="171"/>
      <c r="BT63" s="464" t="str">
        <f t="shared" si="13"/>
        <v>-</v>
      </c>
      <c r="BU63" s="464" t="str">
        <f t="shared" si="14"/>
        <v>-</v>
      </c>
      <c r="BX63" s="204">
        <f>COUNTIF($BY$4:BY63,"&lt;100")</f>
        <v>0</v>
      </c>
      <c r="BY63" s="213" t="str">
        <f t="shared" si="26"/>
        <v/>
      </c>
      <c r="BZ63" s="216" t="str">
        <f t="shared" si="27"/>
        <v/>
      </c>
      <c r="CA63" s="213" t="e">
        <f t="shared" si="6"/>
        <v>#N/A</v>
      </c>
      <c r="CB63" s="209" t="e">
        <f t="shared" si="7"/>
        <v>#N/A</v>
      </c>
      <c r="CC63" s="205" t="str">
        <f t="shared" si="16"/>
        <v/>
      </c>
      <c r="CD63" s="205" t="str">
        <f t="shared" si="28"/>
        <v>-</v>
      </c>
      <c r="CE63" s="205">
        <f t="shared" si="29"/>
        <v>0</v>
      </c>
      <c r="CG63" s="20" t="str">
        <f t="shared" si="30"/>
        <v/>
      </c>
    </row>
    <row r="64" spans="1:85" ht="23.1" customHeight="1">
      <c r="A64" s="40" t="str">
        <f>IF(AND(IFERROR(VLOOKUP(E64,Расчет!A:J,10,FALSE),"  ")&lt;&gt;"  ",IFERROR(LEFT(VLOOKUP(E64,Расчет!A:J,10,FALSE),1)," ")&lt;&gt;"H"),0,IFERROR(IF(F64="Camry",IF(OR(J64="2PS",J64="2QL"),IF(E64-AP64&gt;100,E64-AP64-1000+$AD$12,E64-AP64+$AD$12),IF(E64-AP64&gt;100,E64-AP64-1000,E64-AP64)),IF(J64="2PS",IF(E64-AP64&gt;100,E64-AP64-1000+$AD$17,E64-AP64+$AD$17),IF(E64-AP64&gt;100,E64-AP64-1000,E64-AP64))),"-"))</f>
        <v>-</v>
      </c>
      <c r="B64" s="46">
        <v>62</v>
      </c>
      <c r="C64" s="19" t="str">
        <f>IF(E64="","",COUNTA($E$3:E64))</f>
        <v/>
      </c>
      <c r="D64" s="18" t="str">
        <f t="shared" si="0"/>
        <v/>
      </c>
      <c r="E64" s="30"/>
      <c r="F64" s="44" t="str">
        <f>IFERROR(IF(VLOOKUP(E64,Расчет!$A$2:$B$650,2,FALSE)="664W","Camry",IF(VLOOKUP(E64,Расчет!$A$2:$B$650,2,FALSE)="813W","Goshi","RAV4")),"")</f>
        <v/>
      </c>
      <c r="G64" s="32" t="str">
        <f>IFERROR(IF(F64="Camry",VLOOKUP(E64,Расчет!$A$2:$Q$650,17,FALSE),VLOOKUP(E64,Расчет!$A$2:$R$650,18,FALSE)),"")</f>
        <v/>
      </c>
      <c r="H64" s="32" t="str">
        <f>IFERROR(VLOOKUP(VLOOKUP(E64,Расчет!$A:$D,4,FALSE),$AT$6:$AV$15,3,FALSE),"")</f>
        <v/>
      </c>
      <c r="I64" s="31" t="str">
        <f>IFERROR(VLOOKUP(IFERROR(VLOOKUP(E64,Расчет!$A$2:$D$650,4,FALSE),0),$AT$3:$AU$15,2,FALSE),"")</f>
        <v/>
      </c>
      <c r="J64" s="33" t="str">
        <f>IFERROR(VLOOKUP(E64,Расчет!$A$2:$E$650,5,FALSE),"")</f>
        <v/>
      </c>
      <c r="K64" s="189"/>
      <c r="L64" s="188">
        <f t="shared" si="10"/>
        <v>0</v>
      </c>
      <c r="M64" s="9"/>
      <c r="N64" s="40" t="str">
        <f>IF(AND(IFERROR(VLOOKUP(R64,Расчет!A:J,10,FALSE),"  ")&lt;&gt;"  ",IFERROR(LEFT(VLOOKUP(R64,Расчет!A:J,10,FALSE),1)," ")&lt;&gt;"H"),0,IFERROR(IF(S64="Camry",IF(OR(W64="2PS",W64="2QL"),IF(R64-AP167&gt;100,R64-AP167-1000+$AD$12,R64-AP167+$AD$12),IF(R64-AP167&gt;100,R64-AP167-1000,R64-AP167)),IF(W64="2PS",IF(R64-AP167&gt;100,R64-AP167-1000+$AD$17,R64-AP167+$AD$17),IF(R64-AP167&gt;100,R64-AP167-1000,R64-AP167))),"-"))</f>
        <v>-</v>
      </c>
      <c r="O64" s="46">
        <v>165</v>
      </c>
      <c r="P64" s="19" t="str">
        <f>IF(R64="","",COUNTA($R$3:R64)+$C$105)</f>
        <v/>
      </c>
      <c r="Q64" s="18" t="str">
        <f t="shared" si="1"/>
        <v/>
      </c>
      <c r="R64" s="30"/>
      <c r="S64" s="45" t="str">
        <f>IFERROR(IF(VLOOKUP(R64,Расчет!$A$2:$B$650,2,FALSE)="664W","Camry",IF(VLOOKUP(R64,Расчет!$A$2:$B$650,2,FALSE)="813W","Goshi","RAV4")),"")</f>
        <v/>
      </c>
      <c r="T64" s="32" t="str">
        <f>IFERROR(IF(S64="Camry",VLOOKUP(R64,Расчет!$A$2:$Q$650,17,FALSE),VLOOKUP(R64,Расчет!$A$2:$R$650,18,FALSE)),"")</f>
        <v/>
      </c>
      <c r="U64" s="32" t="str">
        <f>IFERROR(VLOOKUP(VLOOKUP(R64,Расчет!$A:$D,4,FALSE),$AT$6:$AV$15,3,FALSE),"")</f>
        <v/>
      </c>
      <c r="V64" s="31" t="str">
        <f>IFERROR(VLOOKUP(IFERROR(VLOOKUP(R64,Расчет!$A$2:$D$650,4,FALSE),0),$AT$3:$AU$15,2,FALSE),"")</f>
        <v/>
      </c>
      <c r="W64" s="33" t="str">
        <f>IFERROR(VLOOKUP(R64,Расчет!$A$2:$E$650,5,FALSE),"")</f>
        <v/>
      </c>
      <c r="X64" s="189"/>
      <c r="Y64" s="191">
        <f t="shared" si="11"/>
        <v>0</v>
      </c>
      <c r="Z64" s="752" t="s">
        <v>151</v>
      </c>
      <c r="AA64" s="754">
        <f>COUNTIFS(CE4:CE209,"&gt;0",BX3:BX208,"&gt;"&amp;AB58)</f>
        <v>0</v>
      </c>
      <c r="AB64" s="754">
        <f>SUM(BV6:BW7)</f>
        <v>0</v>
      </c>
      <c r="AC64" s="754">
        <f>COUNTIFS(CC4:CC209,"&gt;0",BX4:BX209,"&gt;"&amp;AB58)</f>
        <v>0</v>
      </c>
      <c r="AD64" s="748">
        <f>AB64+AB62</f>
        <v>0</v>
      </c>
      <c r="AE64" s="89">
        <v>62</v>
      </c>
      <c r="AF64" s="44" t="str">
        <f>IF(VLOOKUP(AE64,Расчет!$AH$2:$AN$201,5,FALSE)="8","C",IF(VLOOKUP(AE64,Расчет!$AH$2:$AN$201,5,FALSE)="G","G","R"))</f>
        <v>R</v>
      </c>
      <c r="AG64" s="73" t="str">
        <f t="shared" si="2"/>
        <v/>
      </c>
      <c r="AH64" s="87" t="str">
        <f>IF(AG64="","",COUNTIF($AG$2:AG64,"C")-COUNTIF($AF$2:AF64,"C")+$AH$1)</f>
        <v/>
      </c>
      <c r="AI64" s="87" t="str">
        <f>IF(AG64="","",COUNTIF($AG$2:AG64,"R")-COUNTIF($AF$2:AF64,"R")+$AI$1)</f>
        <v/>
      </c>
      <c r="AJ64" s="89">
        <v>165</v>
      </c>
      <c r="AK64" s="44" t="str">
        <f>IF(VLOOKUP(AJ64,Расчет!$AH$2:$AN$211,5,FALSE)="8","C",IF(VLOOKUP(AJ64,Расчет!$AH$2:$AN$211,5,FALSE)="G","G","R"))</f>
        <v>R</v>
      </c>
      <c r="AL64" s="74" t="str">
        <f t="shared" si="3"/>
        <v/>
      </c>
      <c r="AM64" s="118" t="str">
        <f>IF(AL64="","",(COUNTIF($AG$2:$AG$105,"C")+COUNTIF($AL$2:$AL64,"C"))-(COUNTIF($AF$2:$AF$105,"C")+COUNTIF($AK$2:$AK64,"C"))+$AH$1)</f>
        <v/>
      </c>
      <c r="AN64" s="119" t="str">
        <f>IF(AL64="","",(COUNTIF($AG$2:$AG$105,"R")+COUNTIF($AL$2:$AL64,"R"))-(COUNTIF($AF$2:$AF$105,"R")+COUNTIF($AK$2:$AK64,"R"))+$AI$1)</f>
        <v/>
      </c>
      <c r="AO64" s="22" t="str">
        <f>IF(E64="","",COUNTA($E$3:E64)+$Z$1)</f>
        <v/>
      </c>
      <c r="AP64" s="88" t="str">
        <f>IF(AO64="","",IF(AO64+Расчет!$Y$57+$BD$2-Расчет!$X$57&gt;200,AO64+Расчет!$Y$57+$BD$2-1000,AO64+Расчет!$Y$57+$BD$2))</f>
        <v/>
      </c>
      <c r="AR64" s="92"/>
      <c r="AS64" s="92"/>
      <c r="BL64" s="172">
        <f>COUNTIF($BM$5:BM64,"&lt;-115")</f>
        <v>0</v>
      </c>
      <c r="BM64" s="154" t="str">
        <f>IFERROR(IF(OR(IFERROR(VLOOKUP(BN64,$E$3:$E$105,1,FALSE),"0")=BN64,IFERROR(VLOOKUP(BN64,$R$3:$R$105,1,FALSE),"0")=BN64),BO64,IF(OR(VLOOKUP(BN64,Расчет!A:E,5,FALSE)="2PS",VLOOKUP(BN64,Расчет!A:E,5,FALSE)="2QL"),IF(VLOOKUP(BN64,Расчет!A:B,2,FALSE)="831W",BN64-$BS$7+$AD$17,BN64-$BS$7+$AD$12),BN64-$BS$7)),"-")</f>
        <v>-</v>
      </c>
      <c r="BN64" s="154">
        <f>IF(OR(Расчет!C61="A0",Расчет!C61="P9",Расчет!B61="722W"),"-",Расчет!A61)</f>
        <v>11206</v>
      </c>
      <c r="BO64" s="173">
        <f t="shared" si="15"/>
        <v>0</v>
      </c>
      <c r="BP64" s="172" t="str">
        <f>IF(BQ64="-","-",IFERROR(IF(OR(VLOOKUP(BN64,Расчет!$A$2:$E$582,5,FALSE)="2PS",VLOOKUP(BN64,Расчет!$A$2:$E$582,5,FALSE)="2QL"),IF(OR(VLOOKUP(BN64,Расчет!$A$2:$E$582,2,FALSE)="664W",VLOOKUP(BN64,Расчет!$A$2:$E$582,2,FALSE)="813W"),IF(BN64-$BS$7&gt;150,BN64-$BS$7-1000+$AD$12,BN64-$BS$7+$AD$12),IF(BN64-$BS$7&gt;150,BN64-$BS$7-1000+$AD$17,BN64-$BS$7+$AD$17)),IF(BN64-$BS$7&gt;150,BN64-$BS$7-1000,BN64-$BS$7)),"-"))</f>
        <v>-</v>
      </c>
      <c r="BQ64" s="173">
        <f t="shared" si="12"/>
        <v>11206</v>
      </c>
      <c r="BR64" s="453"/>
      <c r="BS64" s="171"/>
      <c r="BT64" s="464" t="str">
        <f t="shared" si="13"/>
        <v>-</v>
      </c>
      <c r="BU64" s="464" t="str">
        <f t="shared" si="14"/>
        <v>-</v>
      </c>
      <c r="BX64" s="204">
        <f>COUNTIF($BY$4:BY64,"&lt;100")</f>
        <v>0</v>
      </c>
      <c r="BY64" s="213" t="str">
        <f t="shared" si="26"/>
        <v/>
      </c>
      <c r="BZ64" s="216" t="str">
        <f t="shared" si="27"/>
        <v/>
      </c>
      <c r="CA64" s="213" t="e">
        <f t="shared" si="6"/>
        <v>#N/A</v>
      </c>
      <c r="CB64" s="209" t="e">
        <f t="shared" si="7"/>
        <v>#N/A</v>
      </c>
      <c r="CC64" s="205" t="str">
        <f t="shared" si="16"/>
        <v/>
      </c>
      <c r="CD64" s="205" t="str">
        <f t="shared" si="28"/>
        <v>-</v>
      </c>
      <c r="CE64" s="205">
        <f t="shared" si="29"/>
        <v>0</v>
      </c>
      <c r="CG64" s="20" t="str">
        <f t="shared" si="30"/>
        <v/>
      </c>
    </row>
    <row r="65" spans="1:85" ht="21.75" customHeight="1" thickBot="1">
      <c r="A65" s="40" t="str">
        <f>IF(AND(IFERROR(VLOOKUP(E65,Расчет!A:J,10,FALSE),"  ")&lt;&gt;"  ",IFERROR(LEFT(VLOOKUP(E65,Расчет!A:J,10,FALSE),1)," ")&lt;&gt;"H"),0,IFERROR(IF(F65="Camry",IF(OR(J65="2PS",J65="2QL"),IF(E65-AP65&gt;100,E65-AP65-1000+$AD$12,E65-AP65+$AD$12),IF(E65-AP65&gt;100,E65-AP65-1000,E65-AP65)),IF(J65="2PS",IF(E65-AP65&gt;100,E65-AP65-1000+$AD$17,E65-AP65+$AD$17),IF(E65-AP65&gt;100,E65-AP65-1000,E65-AP65))),"-"))</f>
        <v>-</v>
      </c>
      <c r="B65" s="46">
        <v>63</v>
      </c>
      <c r="C65" s="19" t="str">
        <f>IF(E65="","",COUNTA($E$3:E65))</f>
        <v/>
      </c>
      <c r="D65" s="18" t="str">
        <f t="shared" si="0"/>
        <v/>
      </c>
      <c r="E65" s="30"/>
      <c r="F65" s="44" t="str">
        <f>IFERROR(IF(VLOOKUP(E65,Расчет!$A$2:$B$650,2,FALSE)="664W","Camry",IF(VLOOKUP(E65,Расчет!$A$2:$B$650,2,FALSE)="813W","Goshi","RAV4")),"")</f>
        <v/>
      </c>
      <c r="G65" s="32" t="str">
        <f>IFERROR(IF(F65="Camry",VLOOKUP(E65,Расчет!$A$2:$Q$650,17,FALSE),VLOOKUP(E65,Расчет!$A$2:$R$650,18,FALSE)),"")</f>
        <v/>
      </c>
      <c r="H65" s="32" t="str">
        <f>IFERROR(VLOOKUP(VLOOKUP(E65,Расчет!$A:$D,4,FALSE),$AT$6:$AV$15,3,FALSE),"")</f>
        <v/>
      </c>
      <c r="I65" s="31" t="str">
        <f>IFERROR(VLOOKUP(IFERROR(VLOOKUP(E65,Расчет!$A$2:$D$650,4,FALSE),0),$AT$3:$AU$15,2,FALSE),"")</f>
        <v/>
      </c>
      <c r="J65" s="33" t="str">
        <f>IFERROR(VLOOKUP(E65,Расчет!$A$2:$E$650,5,FALSE),"")</f>
        <v/>
      </c>
      <c r="K65" s="189"/>
      <c r="L65" s="188">
        <f t="shared" si="10"/>
        <v>0</v>
      </c>
      <c r="M65" s="9"/>
      <c r="N65" s="40" t="str">
        <f>IF(AND(IFERROR(VLOOKUP(R65,Расчет!A:J,10,FALSE),"  ")&lt;&gt;"  ",IFERROR(LEFT(VLOOKUP(R65,Расчет!A:J,10,FALSE),1)," ")&lt;&gt;"H"),0,IFERROR(IF(S65="Camry",IF(OR(W65="2PS",W65="2QL"),IF(R65-AP168&gt;100,R65-AP168-1000+$AD$12,R65-AP168+$AD$12),IF(R65-AP168&gt;100,R65-AP168-1000,R65-AP168)),IF(W65="2PS",IF(R65-AP168&gt;100,R65-AP168-1000+$AD$17,R65-AP168+$AD$17),IF(R65-AP168&gt;100,R65-AP168-1000,R65-AP168))),"-"))</f>
        <v>-</v>
      </c>
      <c r="O65" s="46">
        <v>166</v>
      </c>
      <c r="P65" s="19" t="str">
        <f>IF(R65="","",COUNTA($R$3:R65)+$C$105)</f>
        <v/>
      </c>
      <c r="Q65" s="18" t="str">
        <f t="shared" si="1"/>
        <v/>
      </c>
      <c r="R65" s="30"/>
      <c r="S65" s="45" t="str">
        <f>IFERROR(IF(VLOOKUP(R65,Расчет!$A$2:$B$650,2,FALSE)="664W","Camry",IF(VLOOKUP(R65,Расчет!$A$2:$B$650,2,FALSE)="813W","Goshi","RAV4")),"")</f>
        <v/>
      </c>
      <c r="T65" s="32" t="str">
        <f>IFERROR(IF(S65="Camry",VLOOKUP(R65,Расчет!$A$2:$Q$650,17,FALSE),VLOOKUP(R65,Расчет!$A$2:$R$650,18,FALSE)),"")</f>
        <v/>
      </c>
      <c r="U65" s="32" t="str">
        <f>IFERROR(VLOOKUP(VLOOKUP(R65,Расчет!$A:$D,4,FALSE),$AT$6:$AV$15,3,FALSE),"")</f>
        <v/>
      </c>
      <c r="V65" s="31" t="str">
        <f>IFERROR(VLOOKUP(IFERROR(VLOOKUP(R65,Расчет!$A$2:$D$650,4,FALSE),0),$AT$3:$AU$15,2,FALSE),"")</f>
        <v/>
      </c>
      <c r="W65" s="33" t="str">
        <f>IFERROR(VLOOKUP(R65,Расчет!$A$2:$E$650,5,FALSE),"")</f>
        <v/>
      </c>
      <c r="X65" s="189"/>
      <c r="Y65" s="191">
        <f t="shared" si="11"/>
        <v>0</v>
      </c>
      <c r="Z65" s="753"/>
      <c r="AA65" s="755"/>
      <c r="AB65" s="755"/>
      <c r="AC65" s="755"/>
      <c r="AD65" s="748"/>
      <c r="AE65" s="89">
        <v>63</v>
      </c>
      <c r="AF65" s="44" t="str">
        <f>IF(VLOOKUP(AE65,Расчет!$AH$2:$AN$201,5,FALSE)="8","C",IF(VLOOKUP(AE65,Расчет!$AH$2:$AN$201,5,FALSE)="G","G","R"))</f>
        <v>C</v>
      </c>
      <c r="AG65" s="73" t="str">
        <f t="shared" si="2"/>
        <v/>
      </c>
      <c r="AH65" s="87" t="str">
        <f>IF(AG65="","",COUNTIF($AG$2:AG65,"C")-COUNTIF($AF$2:AF65,"C")+$AH$1)</f>
        <v/>
      </c>
      <c r="AI65" s="87" t="str">
        <f>IF(AG65="","",COUNTIF($AG$2:AG65,"R")-COUNTIF($AF$2:AF65,"R")+$AI$1)</f>
        <v/>
      </c>
      <c r="AJ65" s="89">
        <v>166</v>
      </c>
      <c r="AK65" s="44" t="str">
        <f>IF(VLOOKUP(AJ65,Расчет!$AH$2:$AN$211,5,FALSE)="8","C",IF(VLOOKUP(AJ65,Расчет!$AH$2:$AN$211,5,FALSE)="G","G","R"))</f>
        <v>C</v>
      </c>
      <c r="AL65" s="74" t="str">
        <f t="shared" si="3"/>
        <v/>
      </c>
      <c r="AM65" s="118" t="str">
        <f>IF(AL65="","",(COUNTIF($AG$2:$AG$105,"C")+COUNTIF($AL$2:$AL65,"C"))-(COUNTIF($AF$2:$AF$105,"C")+COUNTIF($AK$2:$AK65,"C"))+$AH$1)</f>
        <v/>
      </c>
      <c r="AN65" s="119" t="str">
        <f>IF(AL65="","",(COUNTIF($AG$2:$AG$105,"R")+COUNTIF($AL$2:$AL65,"R"))-(COUNTIF($AF$2:$AF$105,"R")+COUNTIF($AK$2:$AK65,"R"))+$AI$1)</f>
        <v/>
      </c>
      <c r="AO65" s="22" t="str">
        <f>IF(E65="","",COUNTA($E$3:E65)+$Z$1)</f>
        <v/>
      </c>
      <c r="AP65" s="88" t="str">
        <f>IF(AO65="","",IF(AO65+Расчет!$Y$57+$BD$2-Расчет!$X$57&gt;200,AO65+Расчет!$Y$57+$BD$2-1000,AO65+Расчет!$Y$57+$BD$2))</f>
        <v/>
      </c>
      <c r="AR65" s="92"/>
      <c r="AS65" s="92"/>
      <c r="BL65" s="172">
        <f>COUNTIF($BM$5:BM65,"&lt;-115")</f>
        <v>0</v>
      </c>
      <c r="BM65" s="154" t="str">
        <f>IFERROR(IF(OR(IFERROR(VLOOKUP(BN65,$E$3:$E$105,1,FALSE),"0")=BN65,IFERROR(VLOOKUP(BN65,$R$3:$R$105,1,FALSE),"0")=BN65),BO65,IF(OR(VLOOKUP(BN65,Расчет!A:E,5,FALSE)="2PS",VLOOKUP(BN65,Расчет!A:E,5,FALSE)="2QL"),IF(VLOOKUP(BN65,Расчет!A:B,2,FALSE)="831W",BN65-$BS$7+$AD$17,BN65-$BS$7+$AD$12),BN65-$BS$7)),"-")</f>
        <v>-</v>
      </c>
      <c r="BN65" s="154">
        <f>IF(OR(Расчет!C62="A0",Расчет!C62="P9",Расчет!B62="722W"),"-",Расчет!A62)</f>
        <v>11207</v>
      </c>
      <c r="BO65" s="173">
        <f t="shared" si="15"/>
        <v>0</v>
      </c>
      <c r="BP65" s="172" t="str">
        <f>IF(BQ65="-","-",IFERROR(IF(OR(VLOOKUP(BN65,Расчет!$A$2:$E$582,5,FALSE)="2PS",VLOOKUP(BN65,Расчет!$A$2:$E$582,5,FALSE)="2QL"),IF(OR(VLOOKUP(BN65,Расчет!$A$2:$E$582,2,FALSE)="664W",VLOOKUP(BN65,Расчет!$A$2:$E$582,2,FALSE)="813W"),IF(BN65-$BS$7&gt;150,BN65-$BS$7-1000+$AD$12,BN65-$BS$7+$AD$12),IF(BN65-$BS$7&gt;150,BN65-$BS$7-1000+$AD$17,BN65-$BS$7+$AD$17)),IF(BN65-$BS$7&gt;150,BN65-$BS$7-1000,BN65-$BS$7)),"-"))</f>
        <v>-</v>
      </c>
      <c r="BQ65" s="173">
        <f t="shared" si="12"/>
        <v>11207</v>
      </c>
      <c r="BR65" s="453"/>
      <c r="BS65" s="171"/>
      <c r="BT65" s="464" t="str">
        <f t="shared" si="13"/>
        <v>-</v>
      </c>
      <c r="BU65" s="464" t="str">
        <f t="shared" si="14"/>
        <v>-</v>
      </c>
      <c r="BX65" s="204">
        <f>COUNTIF($BY$4:BY65,"&lt;100")</f>
        <v>0</v>
      </c>
      <c r="BY65" s="213" t="str">
        <f t="shared" si="26"/>
        <v/>
      </c>
      <c r="BZ65" s="216" t="str">
        <f t="shared" si="27"/>
        <v/>
      </c>
      <c r="CA65" s="213" t="e">
        <f t="shared" si="6"/>
        <v>#N/A</v>
      </c>
      <c r="CB65" s="209" t="e">
        <f t="shared" si="7"/>
        <v>#N/A</v>
      </c>
      <c r="CC65" s="205" t="str">
        <f t="shared" si="16"/>
        <v/>
      </c>
      <c r="CD65" s="205" t="str">
        <f t="shared" si="28"/>
        <v>-</v>
      </c>
      <c r="CE65" s="205">
        <f t="shared" si="29"/>
        <v>0</v>
      </c>
      <c r="CG65" s="20" t="str">
        <f t="shared" si="30"/>
        <v/>
      </c>
    </row>
    <row r="66" spans="1:85" ht="23.1" customHeight="1" thickBot="1">
      <c r="A66" s="40" t="str">
        <f>IF(AND(IFERROR(VLOOKUP(E66,Расчет!A:J,10,FALSE),"  ")&lt;&gt;"  ",IFERROR(LEFT(VLOOKUP(E66,Расчет!A:J,10,FALSE),1)," ")&lt;&gt;"H"),0,IFERROR(IF(F66="Camry",IF(OR(J66="2PS",J66="2QL"),IF(E66-AP66&gt;100,E66-AP66-1000+$AD$12,E66-AP66+$AD$12),IF(E66-AP66&gt;100,E66-AP66-1000,E66-AP66)),IF(J66="2PS",IF(E66-AP66&gt;100,E66-AP66-1000+$AD$17,E66-AP66+$AD$17),IF(E66-AP66&gt;100,E66-AP66-1000,E66-AP66))),"-"))</f>
        <v>-</v>
      </c>
      <c r="B66" s="46">
        <v>64</v>
      </c>
      <c r="C66" s="19" t="str">
        <f>IF(E66="","",COUNTA($E$3:E66))</f>
        <v/>
      </c>
      <c r="D66" s="18" t="str">
        <f t="shared" si="0"/>
        <v/>
      </c>
      <c r="E66" s="30"/>
      <c r="F66" s="44" t="str">
        <f>IFERROR(IF(VLOOKUP(E66,Расчет!$A$2:$B$650,2,FALSE)="664W","Camry",IF(VLOOKUP(E66,Расчет!$A$2:$B$650,2,FALSE)="813W","Goshi","RAV4")),"")</f>
        <v/>
      </c>
      <c r="G66" s="32" t="str">
        <f>IFERROR(IF(F66="Camry",VLOOKUP(E66,Расчет!$A$2:$Q$650,17,FALSE),VLOOKUP(E66,Расчет!$A$2:$R$650,18,FALSE)),"")</f>
        <v/>
      </c>
      <c r="H66" s="32" t="str">
        <f>IFERROR(VLOOKUP(VLOOKUP(E66,Расчет!$A:$D,4,FALSE),$AT$6:$AV$15,3,FALSE),"")</f>
        <v/>
      </c>
      <c r="I66" s="31" t="str">
        <f>IFERROR(VLOOKUP(IFERROR(VLOOKUP(E66,Расчет!$A$2:$D$650,4,FALSE),0),$AT$3:$AU$15,2,FALSE),"")</f>
        <v/>
      </c>
      <c r="J66" s="33" t="str">
        <f>IFERROR(VLOOKUP(E66,Расчет!$A$2:$E$650,5,FALSE),"")</f>
        <v/>
      </c>
      <c r="K66" s="189"/>
      <c r="L66" s="188">
        <f t="shared" si="10"/>
        <v>0</v>
      </c>
      <c r="M66" s="9"/>
      <c r="N66" s="40" t="str">
        <f>IF(AND(IFERROR(VLOOKUP(R66,Расчет!A:J,10,FALSE),"  ")&lt;&gt;"  ",IFERROR(LEFT(VLOOKUP(R66,Расчет!A:J,10,FALSE),1)," ")&lt;&gt;"H"),0,IFERROR(IF(S66="Camry",IF(OR(W66="2PS",W66="2QL"),IF(R66-AP169&gt;100,R66-AP169-1000+$AD$12,R66-AP169+$AD$12),IF(R66-AP169&gt;100,R66-AP169-1000,R66-AP169)),IF(W66="2PS",IF(R66-AP169&gt;100,R66-AP169-1000+$AD$17,R66-AP169+$AD$17),IF(R66-AP169&gt;100,R66-AP169-1000,R66-AP169))),"-"))</f>
        <v>-</v>
      </c>
      <c r="O66" s="46">
        <v>167</v>
      </c>
      <c r="P66" s="19" t="str">
        <f>IF(R66="","",COUNTA($R$3:R66)+$C$105)</f>
        <v/>
      </c>
      <c r="Q66" s="18" t="str">
        <f t="shared" si="1"/>
        <v/>
      </c>
      <c r="R66" s="30"/>
      <c r="S66" s="45" t="str">
        <f>IFERROR(IF(VLOOKUP(R66,Расчет!$A$2:$B$650,2,FALSE)="664W","Camry",IF(VLOOKUP(R66,Расчет!$A$2:$B$650,2,FALSE)="813W","Goshi","RAV4")),"")</f>
        <v/>
      </c>
      <c r="T66" s="32" t="str">
        <f>IFERROR(IF(S66="Camry",VLOOKUP(R66,Расчет!$A$2:$Q$650,17,FALSE),VLOOKUP(R66,Расчет!$A$2:$R$650,18,FALSE)),"")</f>
        <v/>
      </c>
      <c r="U66" s="32" t="str">
        <f>IFERROR(VLOOKUP(VLOOKUP(R66,Расчет!$A:$D,4,FALSE),$AT$6:$AV$15,3,FALSE),"")</f>
        <v/>
      </c>
      <c r="V66" s="31" t="str">
        <f>IFERROR(VLOOKUP(IFERROR(VLOOKUP(R66,Расчет!$A$2:$D$650,4,FALSE),0),$AT$3:$AU$15,2,FALSE),"")</f>
        <v/>
      </c>
      <c r="W66" s="33" t="str">
        <f>IFERROR(VLOOKUP(R66,Расчет!$A$2:$E$650,5,FALSE),"")</f>
        <v/>
      </c>
      <c r="X66" s="189"/>
      <c r="Y66" s="191">
        <f t="shared" si="11"/>
        <v>0</v>
      </c>
      <c r="AE66" s="89">
        <v>64</v>
      </c>
      <c r="AF66" s="44" t="str">
        <f>IF(VLOOKUP(AE66,Расчет!$AH$2:$AN$201,5,FALSE)="8","C",IF(VLOOKUP(AE66,Расчет!$AH$2:$AN$201,5,FALSE)="G","G","R"))</f>
        <v>R</v>
      </c>
      <c r="AG66" s="73" t="str">
        <f t="shared" si="2"/>
        <v/>
      </c>
      <c r="AH66" s="87" t="str">
        <f>IF(AG66="","",COUNTIF($AG$2:AG66,"C")-COUNTIF($AF$2:AF66,"C")+$AH$1)</f>
        <v/>
      </c>
      <c r="AI66" s="87" t="str">
        <f>IF(AG66="","",COUNTIF($AG$2:AG66,"R")-COUNTIF($AF$2:AF66,"R")+$AI$1)</f>
        <v/>
      </c>
      <c r="AJ66" s="89">
        <v>167</v>
      </c>
      <c r="AK66" s="44" t="str">
        <f>IF(VLOOKUP(AJ66,Расчет!$AH$2:$AN$211,5,FALSE)="8","C",IF(VLOOKUP(AJ66,Расчет!$AH$2:$AN$211,5,FALSE)="G","G","R"))</f>
        <v>R</v>
      </c>
      <c r="AL66" s="74" t="str">
        <f t="shared" si="3"/>
        <v/>
      </c>
      <c r="AM66" s="118" t="str">
        <f>IF(AL66="","",(COUNTIF($AG$2:$AG$105,"C")+COUNTIF($AL$2:$AL66,"C"))-(COUNTIF($AF$2:$AF$105,"C")+COUNTIF($AK$2:$AK66,"C"))+$AH$1)</f>
        <v/>
      </c>
      <c r="AN66" s="119" t="str">
        <f>IF(AL66="","",(COUNTIF($AG$2:$AG$105,"R")+COUNTIF($AL$2:$AL66,"R"))-(COUNTIF($AF$2:$AF$105,"R")+COUNTIF($AK$2:$AK66,"R"))+$AI$1)</f>
        <v/>
      </c>
      <c r="AO66" s="22" t="str">
        <f>IF(E66="","",COUNTA($E$3:E66)+$Z$1)</f>
        <v/>
      </c>
      <c r="AP66" s="88" t="str">
        <f>IF(AO66="","",IF(AO66+Расчет!$Y$57+$BD$2-Расчет!$X$57&gt;200,AO66+Расчет!$Y$57+$BD$2-1000,AO66+Расчет!$Y$57+$BD$2))</f>
        <v/>
      </c>
      <c r="AR66" s="92"/>
      <c r="AS66" s="92"/>
      <c r="BL66" s="172">
        <f>COUNTIF($BM$5:BM66,"&lt;-115")</f>
        <v>0</v>
      </c>
      <c r="BM66" s="154" t="str">
        <f>IFERROR(IF(OR(IFERROR(VLOOKUP(BN66,$E$3:$E$105,1,FALSE),"0")=BN66,IFERROR(VLOOKUP(BN66,$R$3:$R$105,1,FALSE),"0")=BN66),BO66,IF(OR(VLOOKUP(BN66,Расчет!A:E,5,FALSE)="2PS",VLOOKUP(BN66,Расчет!A:E,5,FALSE)="2QL"),IF(VLOOKUP(BN66,Расчет!A:B,2,FALSE)="831W",BN66-$BS$7+$AD$17,BN66-$BS$7+$AD$12),BN66-$BS$7)),"-")</f>
        <v>-</v>
      </c>
      <c r="BN66" s="154">
        <f>IF(OR(Расчет!C63="A0",Расчет!C63="P9",Расчет!B63="722W"),"-",Расчет!A63)</f>
        <v>11208</v>
      </c>
      <c r="BO66" s="173">
        <f t="shared" si="15"/>
        <v>0</v>
      </c>
      <c r="BP66" s="172" t="str">
        <f>IF(BQ66="-","-",IFERROR(IF(OR(VLOOKUP(BN66,Расчет!$A$2:$E$582,5,FALSE)="2PS",VLOOKUP(BN66,Расчет!$A$2:$E$582,5,FALSE)="2QL"),IF(OR(VLOOKUP(BN66,Расчет!$A$2:$E$582,2,FALSE)="664W",VLOOKUP(BN66,Расчет!$A$2:$E$582,2,FALSE)="813W"),IF(BN66-$BS$7&gt;150,BN66-$BS$7-1000+$AD$12,BN66-$BS$7+$AD$12),IF(BN66-$BS$7&gt;150,BN66-$BS$7-1000+$AD$17,BN66-$BS$7+$AD$17)),IF(BN66-$BS$7&gt;150,BN66-$BS$7-1000,BN66-$BS$7)),"-"))</f>
        <v>-</v>
      </c>
      <c r="BQ66" s="173">
        <f t="shared" si="12"/>
        <v>11208</v>
      </c>
      <c r="BR66" s="453"/>
      <c r="BS66" s="171"/>
      <c r="BT66" s="464" t="str">
        <f t="shared" si="13"/>
        <v>-</v>
      </c>
      <c r="BU66" s="464" t="str">
        <f t="shared" si="14"/>
        <v>-</v>
      </c>
      <c r="BX66" s="204">
        <f>COUNTIF($BY$4:BY66,"&lt;100")</f>
        <v>0</v>
      </c>
      <c r="BY66" s="213" t="str">
        <f t="shared" si="26"/>
        <v/>
      </c>
      <c r="BZ66" s="216" t="str">
        <f t="shared" si="27"/>
        <v/>
      </c>
      <c r="CA66" s="213" t="e">
        <f t="shared" si="6"/>
        <v>#N/A</v>
      </c>
      <c r="CB66" s="209" t="e">
        <f t="shared" si="7"/>
        <v>#N/A</v>
      </c>
      <c r="CC66" s="205" t="str">
        <f t="shared" si="16"/>
        <v/>
      </c>
      <c r="CD66" s="205" t="str">
        <f t="shared" si="28"/>
        <v>-</v>
      </c>
      <c r="CE66" s="205">
        <f t="shared" si="29"/>
        <v>0</v>
      </c>
      <c r="CG66" s="20" t="str">
        <f t="shared" si="30"/>
        <v/>
      </c>
    </row>
    <row r="67" spans="1:85" ht="23.1" customHeight="1" thickBot="1">
      <c r="A67" s="40" t="str">
        <f>IF(AND(IFERROR(VLOOKUP(E67,Расчет!A:J,10,FALSE),"  ")&lt;&gt;"  ",IFERROR(LEFT(VLOOKUP(E67,Расчет!A:J,10,FALSE),1)," ")&lt;&gt;"H"),0,IFERROR(IF(F67="Camry",IF(OR(J67="2PS",J67="2QL"),IF(E67-AP67&gt;100,E67-AP67-1000+$AD$12,E67-AP67+$AD$12),IF(E67-AP67&gt;100,E67-AP67-1000,E67-AP67)),IF(J67="2PS",IF(E67-AP67&gt;100,E67-AP67-1000+$AD$17,E67-AP67+$AD$17),IF(E67-AP67&gt;100,E67-AP67-1000,E67-AP67))),"-"))</f>
        <v>-</v>
      </c>
      <c r="B67" s="46">
        <v>65</v>
      </c>
      <c r="C67" s="19" t="str">
        <f>IF(E67="","",COUNTA($E$3:E67))</f>
        <v/>
      </c>
      <c r="D67" s="18" t="str">
        <f t="shared" si="0"/>
        <v/>
      </c>
      <c r="E67" s="30"/>
      <c r="F67" s="44" t="str">
        <f>IFERROR(IF(VLOOKUP(E67,Расчет!$A$2:$B$650,2,FALSE)="664W","Camry",IF(VLOOKUP(E67,Расчет!$A$2:$B$650,2,FALSE)="813W","Goshi","RAV4")),"")</f>
        <v/>
      </c>
      <c r="G67" s="32" t="str">
        <f>IFERROR(IF(F67="Camry",VLOOKUP(E67,Расчет!$A$2:$Q$650,17,FALSE),VLOOKUP(E67,Расчет!$A$2:$R$650,18,FALSE)),"")</f>
        <v/>
      </c>
      <c r="H67" s="32" t="str">
        <f>IFERROR(VLOOKUP(VLOOKUP(E67,Расчет!$A:$D,4,FALSE),$AT$6:$AV$15,3,FALSE),"")</f>
        <v/>
      </c>
      <c r="I67" s="31" t="str">
        <f>IFERROR(VLOOKUP(IFERROR(VLOOKUP(E67,Расчет!$A$2:$D$650,4,FALSE),0),$AT$3:$AU$15,2,FALSE),"")</f>
        <v/>
      </c>
      <c r="J67" s="33" t="str">
        <f>IFERROR(VLOOKUP(E67,Расчет!$A$2:$E$650,5,FALSE),"")</f>
        <v/>
      </c>
      <c r="K67" s="189"/>
      <c r="L67" s="188">
        <f t="shared" si="10"/>
        <v>0</v>
      </c>
      <c r="M67" s="9"/>
      <c r="N67" s="40" t="str">
        <f>IF(AND(IFERROR(VLOOKUP(R67,Расчет!A:J,10,FALSE),"  ")&lt;&gt;"  ",IFERROR(LEFT(VLOOKUP(R67,Расчет!A:J,10,FALSE),1)," ")&lt;&gt;"H"),0,IFERROR(IF(S67="Camry",IF(OR(W67="2PS",W67="2QL"),IF(R67-AP170&gt;100,R67-AP170-1000+$AD$12,R67-AP170+$AD$12),IF(R67-AP170&gt;100,R67-AP170-1000,R67-AP170)),IF(W67="2PS",IF(R67-AP170&gt;100,R67-AP170-1000+$AD$17,R67-AP170+$AD$17),IF(R67-AP170&gt;100,R67-AP170-1000,R67-AP170))),"-"))</f>
        <v>-</v>
      </c>
      <c r="O67" s="46">
        <v>168</v>
      </c>
      <c r="P67" s="19" t="str">
        <f>IF(R67="","",COUNTA($R$3:R67)+$C$105)</f>
        <v/>
      </c>
      <c r="Q67" s="18" t="str">
        <f t="shared" si="1"/>
        <v/>
      </c>
      <c r="R67" s="30"/>
      <c r="S67" s="45" t="str">
        <f>IFERROR(IF(VLOOKUP(R67,Расчет!$A$2:$B$650,2,FALSE)="664W","Camry",IF(VLOOKUP(R67,Расчет!$A$2:$B$650,2,FALSE)="813W","Goshi","RAV4")),"")</f>
        <v/>
      </c>
      <c r="T67" s="32" t="str">
        <f>IFERROR(IF(S67="Camry",VLOOKUP(R67,Расчет!$A$2:$Q$650,17,FALSE),VLOOKUP(R67,Расчет!$A$2:$R$650,18,FALSE)),"")</f>
        <v/>
      </c>
      <c r="U67" s="32" t="str">
        <f>IFERROR(VLOOKUP(VLOOKUP(R67,Расчет!$A:$D,4,FALSE),$AT$6:$AV$15,3,FALSE),"")</f>
        <v/>
      </c>
      <c r="V67" s="31" t="str">
        <f>IFERROR(VLOOKUP(IFERROR(VLOOKUP(R67,Расчет!$A$2:$D$650,4,FALSE),0),$AT$3:$AU$15,2,FALSE),"")</f>
        <v/>
      </c>
      <c r="W67" s="33" t="str">
        <f>IFERROR(VLOOKUP(R67,Расчет!$A$2:$E$650,5,FALSE),"")</f>
        <v/>
      </c>
      <c r="X67" s="189"/>
      <c r="Y67" s="191">
        <f t="shared" si="11"/>
        <v>0</v>
      </c>
      <c r="Z67" s="613" t="s">
        <v>72</v>
      </c>
      <c r="AA67" s="688"/>
      <c r="AB67" s="688"/>
      <c r="AC67" s="688"/>
      <c r="AD67" s="614"/>
      <c r="AE67" s="89">
        <v>65</v>
      </c>
      <c r="AF67" s="44" t="str">
        <f>IF(VLOOKUP(AE67,Расчет!$AH$2:$AN$201,5,FALSE)="8","C",IF(VLOOKUP(AE67,Расчет!$AH$2:$AN$201,5,FALSE)="G","G","R"))</f>
        <v>R</v>
      </c>
      <c r="AG67" s="73" t="str">
        <f t="shared" si="2"/>
        <v/>
      </c>
      <c r="AH67" s="87" t="str">
        <f>IF(AG67="","",COUNTIF($AG$2:AG67,"C")-COUNTIF($AF$2:AF67,"C")+$AH$1)</f>
        <v/>
      </c>
      <c r="AI67" s="87" t="str">
        <f>IF(AG67="","",COUNTIF($AG$2:AG67,"R")-COUNTIF($AF$2:AF67,"R")+$AI$1)</f>
        <v/>
      </c>
      <c r="AJ67" s="89">
        <v>168</v>
      </c>
      <c r="AK67" s="44" t="str">
        <f>IF(VLOOKUP(AJ67,Расчет!$AH$2:$AN$211,5,FALSE)="8","C",IF(VLOOKUP(AJ67,Расчет!$AH$2:$AN$211,5,FALSE)="G","G","R"))</f>
        <v>R</v>
      </c>
      <c r="AL67" s="74" t="str">
        <f t="shared" si="3"/>
        <v/>
      </c>
      <c r="AM67" s="118" t="str">
        <f>IF(AL67="","",(COUNTIF($AG$2:$AG$105,"C")+COUNTIF($AL$2:$AL67,"C"))-(COUNTIF($AF$2:$AF$105,"C")+COUNTIF($AK$2:$AK67,"C"))+$AH$1)</f>
        <v/>
      </c>
      <c r="AN67" s="119" t="str">
        <f>IF(AL67="","",(COUNTIF($AG$2:$AG$105,"R")+COUNTIF($AL$2:$AL67,"R"))-(COUNTIF($AF$2:$AF$105,"R")+COUNTIF($AK$2:$AK67,"R"))+$AI$1)</f>
        <v/>
      </c>
      <c r="AO67" s="22" t="str">
        <f>IF(E67="","",COUNTA($E$3:E67)+$Z$1)</f>
        <v/>
      </c>
      <c r="AP67" s="88" t="str">
        <f>IF(AO67="","",IF(AO67+Расчет!$Y$57+$BD$2-Расчет!$X$57&gt;200,AO67+Расчет!$Y$57+$BD$2-1000,AO67+Расчет!$Y$57+$BD$2))</f>
        <v/>
      </c>
      <c r="AR67" s="92"/>
      <c r="AS67" s="92"/>
      <c r="BL67" s="172">
        <f>COUNTIF($BM$5:BM67,"&lt;-115")</f>
        <v>0</v>
      </c>
      <c r="BM67" s="154" t="str">
        <f>IFERROR(IF(OR(IFERROR(VLOOKUP(BN67,$E$3:$E$105,1,FALSE),"0")=BN67,IFERROR(VLOOKUP(BN67,$R$3:$R$105,1,FALSE),"0")=BN67),BO67,IF(OR(VLOOKUP(BN67,Расчет!A:E,5,FALSE)="2PS",VLOOKUP(BN67,Расчет!A:E,5,FALSE)="2QL"),IF(VLOOKUP(BN67,Расчет!A:B,2,FALSE)="831W",BN67-$BS$7+$AD$17,BN67-$BS$7+$AD$12),BN67-$BS$7)),"-")</f>
        <v>-</v>
      </c>
      <c r="BN67" s="154">
        <f>IF(OR(Расчет!C64="A0",Расчет!C64="P9",Расчет!B64="722W"),"-",Расчет!A64)</f>
        <v>11209</v>
      </c>
      <c r="BO67" s="173">
        <f t="shared" si="15"/>
        <v>0</v>
      </c>
      <c r="BP67" s="172" t="str">
        <f>IF(BQ67="-","-",IFERROR(IF(OR(VLOOKUP(BN67,Расчет!$A$2:$E$582,5,FALSE)="2PS",VLOOKUP(BN67,Расчет!$A$2:$E$582,5,FALSE)="2QL"),IF(OR(VLOOKUP(BN67,Расчет!$A$2:$E$582,2,FALSE)="664W",VLOOKUP(BN67,Расчет!$A$2:$E$582,2,FALSE)="813W"),IF(BN67-$BS$7&gt;150,BN67-$BS$7-1000+$AD$12,BN67-$BS$7+$AD$12),IF(BN67-$BS$7&gt;150,BN67-$BS$7-1000+$AD$17,BN67-$BS$7+$AD$17)),IF(BN67-$BS$7&gt;150,BN67-$BS$7-1000,BN67-$BS$7)),"-"))</f>
        <v>-</v>
      </c>
      <c r="BQ67" s="173">
        <f t="shared" si="12"/>
        <v>11209</v>
      </c>
      <c r="BR67" s="453"/>
      <c r="BS67" s="171"/>
      <c r="BT67" s="464" t="str">
        <f t="shared" si="13"/>
        <v>-</v>
      </c>
      <c r="BU67" s="464" t="str">
        <f t="shared" si="14"/>
        <v>-</v>
      </c>
      <c r="BX67" s="204">
        <f>COUNTIF($BY$4:BY67,"&lt;100")</f>
        <v>0</v>
      </c>
      <c r="BY67" s="213" t="str">
        <f t="shared" si="26"/>
        <v/>
      </c>
      <c r="BZ67" s="216" t="str">
        <f t="shared" si="27"/>
        <v/>
      </c>
      <c r="CA67" s="213" t="e">
        <f t="shared" si="6"/>
        <v>#N/A</v>
      </c>
      <c r="CB67" s="209" t="e">
        <f t="shared" si="7"/>
        <v>#N/A</v>
      </c>
      <c r="CC67" s="205" t="str">
        <f t="shared" si="16"/>
        <v/>
      </c>
      <c r="CD67" s="205" t="str">
        <f t="shared" si="28"/>
        <v>-</v>
      </c>
      <c r="CE67" s="205">
        <f t="shared" si="29"/>
        <v>0</v>
      </c>
      <c r="CG67" s="20" t="str">
        <f t="shared" si="30"/>
        <v/>
      </c>
    </row>
    <row r="68" spans="1:85" ht="23.1" customHeight="1" thickBot="1">
      <c r="A68" s="40" t="str">
        <f>IF(AND(IFERROR(VLOOKUP(E68,Расчет!A:J,10,FALSE),"  ")&lt;&gt;"  ",IFERROR(LEFT(VLOOKUP(E68,Расчет!A:J,10,FALSE),1)," ")&lt;&gt;"H"),0,IFERROR(IF(F68="Camry",IF(OR(J68="2PS",J68="2QL"),IF(E68-AP68&gt;100,E68-AP68-1000+$AD$12,E68-AP68+$AD$12),IF(E68-AP68&gt;100,E68-AP68-1000,E68-AP68)),IF(J68="2PS",IF(E68-AP68&gt;100,E68-AP68-1000+$AD$17,E68-AP68+$AD$17),IF(E68-AP68&gt;100,E68-AP68-1000,E68-AP68))),"-"))</f>
        <v>-</v>
      </c>
      <c r="B68" s="46">
        <v>66</v>
      </c>
      <c r="C68" s="19" t="str">
        <f>IF(E68="","",COUNTA($E$3:E68))</f>
        <v/>
      </c>
      <c r="D68" s="18" t="str">
        <f t="shared" ref="D68:D105" si="31">IFERROR(IF(AO68&gt;=1000,AO68-1000,AO68),"")</f>
        <v/>
      </c>
      <c r="E68" s="30"/>
      <c r="F68" s="44" t="str">
        <f>IFERROR(IF(VLOOKUP(E68,Расчет!$A$2:$B$650,2,FALSE)="664W","Camry",IF(VLOOKUP(E68,Расчет!$A$2:$B$650,2,FALSE)="813W","Goshi","RAV4")),"")</f>
        <v/>
      </c>
      <c r="G68" s="32" t="str">
        <f>IFERROR(IF(F68="Camry",VLOOKUP(E68,Расчет!$A$2:$Q$650,17,FALSE),VLOOKUP(E68,Расчет!$A$2:$R$650,18,FALSE)),"")</f>
        <v/>
      </c>
      <c r="H68" s="32" t="str">
        <f>IFERROR(VLOOKUP(VLOOKUP(E68,Расчет!$A:$D,4,FALSE),$AT$6:$AV$15,3,FALSE),"")</f>
        <v/>
      </c>
      <c r="I68" s="31" t="str">
        <f>IFERROR(VLOOKUP(IFERROR(VLOOKUP(E68,Расчет!$A$2:$D$650,4,FALSE),0),$AT$3:$AU$15,2,FALSE),"")</f>
        <v/>
      </c>
      <c r="J68" s="33" t="str">
        <f>IFERROR(VLOOKUP(E68,Расчет!$A$2:$E$650,5,FALSE),"")</f>
        <v/>
      </c>
      <c r="K68" s="189"/>
      <c r="L68" s="188">
        <f t="shared" si="10"/>
        <v>0</v>
      </c>
      <c r="M68" s="9"/>
      <c r="N68" s="40" t="str">
        <f>IF(AND(IFERROR(VLOOKUP(R68,Расчет!A:J,10,FALSE),"  ")&lt;&gt;"  ",IFERROR(LEFT(VLOOKUP(R68,Расчет!A:J,10,FALSE),1)," ")&lt;&gt;"H"),0,IFERROR(IF(S68="Camry",IF(OR(W68="2PS",W68="2QL"),IF(R68-AP171&gt;100,R68-AP171-1000+$AD$12,R68-AP171+$AD$12),IF(R68-AP171&gt;100,R68-AP171-1000,R68-AP171)),IF(W68="2PS",IF(R68-AP171&gt;100,R68-AP171-1000+$AD$17,R68-AP171+$AD$17),IF(R68-AP171&gt;100,R68-AP171-1000,R68-AP171))),"-"))</f>
        <v>-</v>
      </c>
      <c r="O68" s="46">
        <v>169</v>
      </c>
      <c r="P68" s="19" t="str">
        <f>IF(R68="","",COUNTA($R$3:R68)+$C$105)</f>
        <v/>
      </c>
      <c r="Q68" s="18" t="str">
        <f t="shared" ref="Q68:Q105" si="32">IFERROR(IF(AO171&gt;=1000,AO171-1000,AO171),"")</f>
        <v/>
      </c>
      <c r="R68" s="30"/>
      <c r="S68" s="45" t="str">
        <f>IFERROR(IF(VLOOKUP(R68,Расчет!$A$2:$B$650,2,FALSE)="664W","Camry",IF(VLOOKUP(R68,Расчет!$A$2:$B$650,2,FALSE)="813W","Goshi","RAV4")),"")</f>
        <v/>
      </c>
      <c r="T68" s="32" t="str">
        <f>IFERROR(IF(S68="Camry",VLOOKUP(R68,Расчет!$A$2:$Q$650,17,FALSE),VLOOKUP(R68,Расчет!$A$2:$R$650,18,FALSE)),"")</f>
        <v/>
      </c>
      <c r="U68" s="32" t="str">
        <f>IFERROR(VLOOKUP(VLOOKUP(R68,Расчет!$A:$D,4,FALSE),$AT$6:$AV$15,3,FALSE),"")</f>
        <v/>
      </c>
      <c r="V68" s="31" t="str">
        <f>IFERROR(VLOOKUP(IFERROR(VLOOKUP(R68,Расчет!$A$2:$D$650,4,FALSE),0),$AT$3:$AU$15,2,FALSE),"")</f>
        <v/>
      </c>
      <c r="W68" s="33" t="str">
        <f>IFERROR(VLOOKUP(R68,Расчет!$A$2:$E$650,5,FALSE),"")</f>
        <v/>
      </c>
      <c r="X68" s="189"/>
      <c r="Y68" s="191">
        <f t="shared" si="11"/>
        <v>0</v>
      </c>
      <c r="Z68" s="691" t="s">
        <v>145</v>
      </c>
      <c r="AA68" s="692"/>
      <c r="AB68" s="692"/>
      <c r="AC68" s="692"/>
      <c r="AD68" s="693"/>
      <c r="AE68" s="89">
        <v>66</v>
      </c>
      <c r="AF68" s="44" t="str">
        <f>IF(VLOOKUP(AE68,Расчет!$AH$2:$AN$201,5,FALSE)="8","C",IF(VLOOKUP(AE68,Расчет!$AH$2:$AN$201,5,FALSE)="G","G","R"))</f>
        <v>C</v>
      </c>
      <c r="AG68" s="73" t="str">
        <f t="shared" ref="AG68:AG105" si="33">IF(F68="","",IF(F68="RAV4","R",IF(F68="GOSHI","G","C")))</f>
        <v/>
      </c>
      <c r="AH68" s="87" t="str">
        <f>IF(AG68="","",COUNTIF($AG$2:AG68,"C")-COUNTIF($AF$2:AF68,"C")+$AH$1)</f>
        <v/>
      </c>
      <c r="AI68" s="87" t="str">
        <f>IF(AG68="","",COUNTIF($AG$2:AG68,"R")-COUNTIF($AF$2:AF68,"R")+$AI$1)</f>
        <v/>
      </c>
      <c r="AJ68" s="89">
        <v>169</v>
      </c>
      <c r="AK68" s="44" t="str">
        <f>IF(VLOOKUP(AJ68,Расчет!$AH$2:$AN$211,5,FALSE)="8","C",IF(VLOOKUP(AJ68,Расчет!$AH$2:$AN$211,5,FALSE)="G","G","R"))</f>
        <v>C</v>
      </c>
      <c r="AL68" s="74" t="str">
        <f t="shared" ref="AL68:AL105" si="34">IF(S68="","",IF(S68="RAV4","R",IF(S68="GOSHI","G","C")))</f>
        <v/>
      </c>
      <c r="AM68" s="118" t="str">
        <f>IF(AL68="","",(COUNTIF($AG$2:$AG$105,"C")+COUNTIF($AL$2:$AL68,"C"))-(COUNTIF($AF$2:$AF$105,"C")+COUNTIF($AK$2:$AK68,"C"))+$AH$1)</f>
        <v/>
      </c>
      <c r="AN68" s="119" t="str">
        <f>IF(AL68="","",(COUNTIF($AG$2:$AG$105,"R")+COUNTIF($AL$2:$AL68,"R"))-(COUNTIF($AF$2:$AF$105,"R")+COUNTIF($AK$2:$AK68,"R"))+$AI$1)</f>
        <v/>
      </c>
      <c r="AO68" s="22" t="str">
        <f>IF(E68="","",COUNTA($E$3:E68)+$Z$1)</f>
        <v/>
      </c>
      <c r="AP68" s="88" t="str">
        <f>IF(AO68="","",IF(AO68+Расчет!$Y$57+$BD$2-Расчет!$X$57&gt;200,AO68+Расчет!$Y$57+$BD$2-1000,AO68+Расчет!$Y$57+$BD$2))</f>
        <v/>
      </c>
      <c r="AR68" s="92"/>
      <c r="AS68" s="92"/>
      <c r="BL68" s="172">
        <f>COUNTIF($BM$5:BM68,"&lt;-115")</f>
        <v>0</v>
      </c>
      <c r="BM68" s="154" t="str">
        <f>IFERROR(IF(OR(IFERROR(VLOOKUP(BN68,$E$3:$E$105,1,FALSE),"0")=BN68,IFERROR(VLOOKUP(BN68,$R$3:$R$105,1,FALSE),"0")=BN68),BO68,IF(OR(VLOOKUP(BN68,Расчет!A:E,5,FALSE)="2PS",VLOOKUP(BN68,Расчет!A:E,5,FALSE)="2QL"),IF(VLOOKUP(BN68,Расчет!A:B,2,FALSE)="831W",BN68-$BS$7+$AD$17,BN68-$BS$7+$AD$12),BN68-$BS$7)),"-")</f>
        <v>-</v>
      </c>
      <c r="BN68" s="154">
        <f>IF(OR(Расчет!C65="A0",Расчет!C65="P9",Расчет!B65="722W"),"-",Расчет!A65)</f>
        <v>11210</v>
      </c>
      <c r="BO68" s="173">
        <f t="shared" si="15"/>
        <v>0</v>
      </c>
      <c r="BP68" s="172" t="str">
        <f>IF(BQ68="-","-",IFERROR(IF(OR(VLOOKUP(BN68,Расчет!$A$2:$E$582,5,FALSE)="2PS",VLOOKUP(BN68,Расчет!$A$2:$E$582,5,FALSE)="2QL"),IF(OR(VLOOKUP(BN68,Расчет!$A$2:$E$582,2,FALSE)="664W",VLOOKUP(BN68,Расчет!$A$2:$E$582,2,FALSE)="813W"),IF(BN68-$BS$7&gt;150,BN68-$BS$7-1000+$AD$12,BN68-$BS$7+$AD$12),IF(BN68-$BS$7&gt;150,BN68-$BS$7-1000+$AD$17,BN68-$BS$7+$AD$17)),IF(BN68-$BS$7&gt;150,BN68-$BS$7-1000,BN68-$BS$7)),"-"))</f>
        <v>-</v>
      </c>
      <c r="BQ68" s="173">
        <f t="shared" si="12"/>
        <v>11210</v>
      </c>
      <c r="BR68" s="453"/>
      <c r="BS68" s="171"/>
      <c r="BT68" s="464" t="str">
        <f t="shared" si="13"/>
        <v>-</v>
      </c>
      <c r="BU68" s="464" t="str">
        <f t="shared" si="14"/>
        <v>-</v>
      </c>
      <c r="BX68" s="204">
        <f>COUNTIF($BY$4:BY68,"&lt;100")</f>
        <v>0</v>
      </c>
      <c r="BY68" s="213" t="str">
        <f t="shared" ref="BY68:BY99" si="35">AH67</f>
        <v/>
      </c>
      <c r="BZ68" s="216" t="str">
        <f t="shared" ref="BZ68:BZ99" si="36">AI67</f>
        <v/>
      </c>
      <c r="CA68" s="213" t="e">
        <f t="shared" ref="CA68:CA131" si="37">VLOOKUP(ROW(A65),$BX$4:$BY$209,2,FALSE)</f>
        <v>#N/A</v>
      </c>
      <c r="CB68" s="209" t="e">
        <f t="shared" ref="CB68:CB131" si="38">VLOOKUP(ROW(A65),$BX$4:$BZ$209,3,FALSE)</f>
        <v>#N/A</v>
      </c>
      <c r="CC68" s="205" t="str">
        <f t="shared" si="16"/>
        <v/>
      </c>
      <c r="CD68" s="205" t="str">
        <f t="shared" ref="CD68:CD99" si="39">A67</f>
        <v>-</v>
      </c>
      <c r="CE68" s="205">
        <f t="shared" si="29"/>
        <v>0</v>
      </c>
      <c r="CG68" s="20" t="str">
        <f t="shared" si="30"/>
        <v/>
      </c>
    </row>
    <row r="69" spans="1:85" ht="23.1" customHeight="1" thickBot="1">
      <c r="A69" s="40" t="str">
        <f>IF(AND(IFERROR(VLOOKUP(E69,Расчет!A:J,10,FALSE),"  ")&lt;&gt;"  ",IFERROR(LEFT(VLOOKUP(E69,Расчет!A:J,10,FALSE),1)," ")&lt;&gt;"H"),0,IFERROR(IF(F69="Camry",IF(OR(J69="2PS",J69="2QL"),IF(E69-AP69&gt;100,E69-AP69-1000+$AD$12,E69-AP69+$AD$12),IF(E69-AP69&gt;100,E69-AP69-1000,E69-AP69)),IF(J69="2PS",IF(E69-AP69&gt;100,E69-AP69-1000+$AD$17,E69-AP69+$AD$17),IF(E69-AP69&gt;100,E69-AP69-1000,E69-AP69))),"-"))</f>
        <v>-</v>
      </c>
      <c r="B69" s="46">
        <v>67</v>
      </c>
      <c r="C69" s="19" t="str">
        <f>IF(E69="","",COUNTA($E$3:E69))</f>
        <v/>
      </c>
      <c r="D69" s="18" t="str">
        <f t="shared" si="31"/>
        <v/>
      </c>
      <c r="E69" s="30"/>
      <c r="F69" s="44" t="str">
        <f>IFERROR(IF(VLOOKUP(E69,Расчет!$A$2:$B$650,2,FALSE)="664W","Camry",IF(VLOOKUP(E69,Расчет!$A$2:$B$650,2,FALSE)="813W","Goshi","RAV4")),"")</f>
        <v/>
      </c>
      <c r="G69" s="32" t="str">
        <f>IFERROR(IF(F69="Camry",VLOOKUP(E69,Расчет!$A$2:$Q$650,17,FALSE),VLOOKUP(E69,Расчет!$A$2:$R$650,18,FALSE)),"")</f>
        <v/>
      </c>
      <c r="H69" s="32" t="str">
        <f>IFERROR(VLOOKUP(VLOOKUP(E69,Расчет!$A:$D,4,FALSE),$AT$6:$AV$15,3,FALSE),"")</f>
        <v/>
      </c>
      <c r="I69" s="31" t="str">
        <f>IFERROR(VLOOKUP(IFERROR(VLOOKUP(E69,Расчет!$A$2:$D$650,4,FALSE),0),$AT$3:$AU$15,2,FALSE),"")</f>
        <v/>
      </c>
      <c r="J69" s="33" t="str">
        <f>IFERROR(VLOOKUP(E69,Расчет!$A$2:$E$650,5,FALSE),"")</f>
        <v/>
      </c>
      <c r="K69" s="189"/>
      <c r="L69" s="188">
        <f t="shared" ref="L69:L105" si="40">K69-K68</f>
        <v>0</v>
      </c>
      <c r="M69" s="9"/>
      <c r="N69" s="40" t="str">
        <f>IF(AND(IFERROR(VLOOKUP(R69,Расчет!A:J,10,FALSE),"  ")&lt;&gt;"  ",IFERROR(LEFT(VLOOKUP(R69,Расчет!A:J,10,FALSE),1)," ")&lt;&gt;"H"),0,IFERROR(IF(S69="Camry",IF(OR(W69="2PS",W69="2QL"),IF(R69-AP172&gt;100,R69-AP172-1000+$AD$12,R69-AP172+$AD$12),IF(R69-AP172&gt;100,R69-AP172-1000,R69-AP172)),IF(W69="2PS",IF(R69-AP172&gt;100,R69-AP172-1000+$AD$17,R69-AP172+$AD$17),IF(R69-AP172&gt;100,R69-AP172-1000,R69-AP172))),"-"))</f>
        <v>-</v>
      </c>
      <c r="O69" s="46">
        <v>170</v>
      </c>
      <c r="P69" s="19" t="str">
        <f>IF(R69="","",COUNTA($R$3:R69)+$C$105)</f>
        <v/>
      </c>
      <c r="Q69" s="18" t="str">
        <f t="shared" si="32"/>
        <v/>
      </c>
      <c r="R69" s="30"/>
      <c r="S69" s="45" t="str">
        <f>IFERROR(IF(VLOOKUP(R69,Расчет!$A$2:$B$650,2,FALSE)="664W","Camry",IF(VLOOKUP(R69,Расчет!$A$2:$B$650,2,FALSE)="813W","Goshi","RAV4")),"")</f>
        <v/>
      </c>
      <c r="T69" s="32" t="str">
        <f>IFERROR(IF(S69="Camry",VLOOKUP(R69,Расчет!$A$2:$Q$650,17,FALSE),VLOOKUP(R69,Расчет!$A$2:$R$650,18,FALSE)),"")</f>
        <v/>
      </c>
      <c r="U69" s="32" t="str">
        <f>IFERROR(VLOOKUP(VLOOKUP(R69,Расчет!$A:$D,4,FALSE),$AT$6:$AV$15,3,FALSE),"")</f>
        <v/>
      </c>
      <c r="V69" s="31" t="str">
        <f>IFERROR(VLOOKUP(IFERROR(VLOOKUP(R69,Расчет!$A$2:$D$650,4,FALSE),0),$AT$3:$AU$15,2,FALSE),"")</f>
        <v/>
      </c>
      <c r="W69" s="33" t="str">
        <f>IFERROR(VLOOKUP(R69,Расчет!$A$2:$E$650,5,FALSE),"")</f>
        <v/>
      </c>
      <c r="X69" s="189"/>
      <c r="Y69" s="191">
        <f t="shared" ref="Y69:Y105" si="41">X69-X68</f>
        <v>0</v>
      </c>
      <c r="Z69" s="155" t="s">
        <v>27</v>
      </c>
      <c r="AA69" s="219" t="s">
        <v>8</v>
      </c>
      <c r="AB69" s="155" t="s">
        <v>137</v>
      </c>
      <c r="AC69" s="155" t="s">
        <v>26</v>
      </c>
      <c r="AD69" s="155" t="s">
        <v>132</v>
      </c>
      <c r="AE69" s="89">
        <v>67</v>
      </c>
      <c r="AF69" s="44" t="str">
        <f>IF(VLOOKUP(AE69,Расчет!$AH$2:$AN$201,5,FALSE)="8","C",IF(VLOOKUP(AE69,Расчет!$AH$2:$AN$201,5,FALSE)="G","G","R"))</f>
        <v>R</v>
      </c>
      <c r="AG69" s="73" t="str">
        <f t="shared" si="33"/>
        <v/>
      </c>
      <c r="AH69" s="87" t="str">
        <f>IF(AG69="","",COUNTIF($AG$2:AG69,"C")-COUNTIF($AF$2:AF69,"C")+$AH$1)</f>
        <v/>
      </c>
      <c r="AI69" s="87" t="str">
        <f>IF(AG69="","",COUNTIF($AG$2:AG69,"R")-COUNTIF($AF$2:AF69,"R")+$AI$1)</f>
        <v/>
      </c>
      <c r="AJ69" s="89">
        <v>170</v>
      </c>
      <c r="AK69" s="44" t="str">
        <f>IF(VLOOKUP(AJ69,Расчет!$AH$2:$AN$211,5,FALSE)="8","C",IF(VLOOKUP(AJ69,Расчет!$AH$2:$AN$211,5,FALSE)="G","G","R"))</f>
        <v>R</v>
      </c>
      <c r="AL69" s="74" t="str">
        <f t="shared" si="34"/>
        <v/>
      </c>
      <c r="AM69" s="118" t="str">
        <f>IF(AL69="","",(COUNTIF($AG$2:$AG$105,"C")+COUNTIF($AL$2:$AL69,"C"))-(COUNTIF($AF$2:$AF$105,"C")+COUNTIF($AK$2:$AK69,"C"))+$AH$1)</f>
        <v/>
      </c>
      <c r="AN69" s="119" t="str">
        <f>IF(AL69="","",(COUNTIF($AG$2:$AG$105,"R")+COUNTIF($AL$2:$AL69,"R"))-(COUNTIF($AF$2:$AF$105,"R")+COUNTIF($AK$2:$AK69,"R"))+$AI$1)</f>
        <v/>
      </c>
      <c r="AO69" s="22" t="str">
        <f>IF(E69="","",COUNTA($E$3:E69)+$Z$1)</f>
        <v/>
      </c>
      <c r="AP69" s="88" t="str">
        <f>IF(AO69="","",IF(AO69+Расчет!$Y$57+$BD$2-Расчет!$X$57&gt;200,AO69+Расчет!$Y$57+$BD$2-1000,AO69+Расчет!$Y$57+$BD$2))</f>
        <v/>
      </c>
      <c r="AR69" s="92"/>
      <c r="AS69" s="92"/>
      <c r="BL69" s="172">
        <f>COUNTIF($BM$5:BM69,"&lt;-115")</f>
        <v>0</v>
      </c>
      <c r="BM69" s="154" t="str">
        <f>IFERROR(IF(OR(IFERROR(VLOOKUP(BN69,$E$3:$E$105,1,FALSE),"0")=BN69,IFERROR(VLOOKUP(BN69,$R$3:$R$105,1,FALSE),"0")=BN69),BO69,IF(OR(VLOOKUP(BN69,Расчет!A:E,5,FALSE)="2PS",VLOOKUP(BN69,Расчет!A:E,5,FALSE)="2QL"),IF(VLOOKUP(BN69,Расчет!A:B,2,FALSE)="831W",BN69-$BS$7+$AD$17,BN69-$BS$7+$AD$12),BN69-$BS$7)),"-")</f>
        <v>-</v>
      </c>
      <c r="BN69" s="154">
        <f>IF(OR(Расчет!C66="A0",Расчет!C66="P9",Расчет!B66="722W"),"-",Расчет!A66)</f>
        <v>11211</v>
      </c>
      <c r="BO69" s="173">
        <f t="shared" si="15"/>
        <v>0</v>
      </c>
      <c r="BP69" s="172" t="str">
        <f>IF(BQ69="-","-",IFERROR(IF(OR(VLOOKUP(BN69,Расчет!$A$2:$E$582,5,FALSE)="2PS",VLOOKUP(BN69,Расчет!$A$2:$E$582,5,FALSE)="2QL"),IF(OR(VLOOKUP(BN69,Расчет!$A$2:$E$582,2,FALSE)="664W",VLOOKUP(BN69,Расчет!$A$2:$E$582,2,FALSE)="813W"),IF(BN69-$BS$7&gt;150,BN69-$BS$7-1000+$AD$12,BN69-$BS$7+$AD$12),IF(BN69-$BS$7&gt;150,BN69-$BS$7-1000+$AD$17,BN69-$BS$7+$AD$17)),IF(BN69-$BS$7&gt;150,BN69-$BS$7-1000,BN69-$BS$7)),"-"))</f>
        <v>-</v>
      </c>
      <c r="BQ69" s="173">
        <f t="shared" ref="BQ69:BQ132" si="42">IFERROR(IF(OR(IFERROR(VLOOKUP(BN69,$E$3:$E$105,1,FALSE),"0")=BN69,IFERROR(VLOOKUP(BN69,$R$3:$R$105,1,FALSE),"0")=BN69),"-",BN69),"-")</f>
        <v>11211</v>
      </c>
      <c r="BR69" s="453"/>
      <c r="BS69" s="171"/>
      <c r="BT69" s="464" t="str">
        <f t="shared" ref="BT69:BT132" si="43">IF(BQ69="-","-",IF(AND(BP69&gt;=$BR$5,BP69&lt;$BR$5+9),BP69,"-"))</f>
        <v>-</v>
      </c>
      <c r="BU69" s="464" t="str">
        <f t="shared" ref="BU69:BU132" si="44">IF(OR(BP69=$AC$2+1,BP69=$AC$2+2,BP69=$AC$2+3,BP69=$AC$2+4,BP69=$AC$2+5,BP69=$AC$2+6),BP69,"-")</f>
        <v>-</v>
      </c>
      <c r="BX69" s="204">
        <f>COUNTIF($BY$4:BY69,"&lt;100")</f>
        <v>0</v>
      </c>
      <c r="BY69" s="213" t="str">
        <f t="shared" si="35"/>
        <v/>
      </c>
      <c r="BZ69" s="216" t="str">
        <f t="shared" si="36"/>
        <v/>
      </c>
      <c r="CA69" s="213" t="e">
        <f t="shared" si="37"/>
        <v>#N/A</v>
      </c>
      <c r="CB69" s="209" t="e">
        <f t="shared" si="38"/>
        <v>#N/A</v>
      </c>
      <c r="CC69" s="205" t="str">
        <f t="shared" si="16"/>
        <v/>
      </c>
      <c r="CD69" s="205" t="str">
        <f t="shared" si="39"/>
        <v>-</v>
      </c>
      <c r="CE69" s="205">
        <f t="shared" si="29"/>
        <v>0</v>
      </c>
      <c r="CG69" s="20" t="str">
        <f t="shared" si="30"/>
        <v/>
      </c>
    </row>
    <row r="70" spans="1:85" ht="23.1" customHeight="1">
      <c r="A70" s="40" t="str">
        <f>IF(AND(IFERROR(VLOOKUP(E70,Расчет!A:J,10,FALSE),"  ")&lt;&gt;"  ",IFERROR(LEFT(VLOOKUP(E70,Расчет!A:J,10,FALSE),1)," ")&lt;&gt;"H"),0,IFERROR(IF(F70="Camry",IF(OR(J70="2PS",J70="2QL"),IF(E70-AP70&gt;100,E70-AP70-1000+$AD$12,E70-AP70+$AD$12),IF(E70-AP70&gt;100,E70-AP70-1000,E70-AP70)),IF(J70="2PS",IF(E70-AP70&gt;100,E70-AP70-1000+$AD$17,E70-AP70+$AD$17),IF(E70-AP70&gt;100,E70-AP70-1000,E70-AP70))),"-"))</f>
        <v>-</v>
      </c>
      <c r="B70" s="46">
        <v>68</v>
      </c>
      <c r="C70" s="19" t="str">
        <f>IF(E70="","",COUNTA($E$3:E70))</f>
        <v/>
      </c>
      <c r="D70" s="18" t="str">
        <f t="shared" si="31"/>
        <v/>
      </c>
      <c r="E70" s="30"/>
      <c r="F70" s="44" t="str">
        <f>IFERROR(IF(VLOOKUP(E70,Расчет!$A$2:$B$650,2,FALSE)="664W","Camry",IF(VLOOKUP(E70,Расчет!$A$2:$B$650,2,FALSE)="813W","Goshi","RAV4")),"")</f>
        <v/>
      </c>
      <c r="G70" s="32" t="str">
        <f>IFERROR(IF(F70="Camry",VLOOKUP(E70,Расчет!$A$2:$Q$650,17,FALSE),VLOOKUP(E70,Расчет!$A$2:$R$650,18,FALSE)),"")</f>
        <v/>
      </c>
      <c r="H70" s="32" t="str">
        <f>IFERROR(VLOOKUP(VLOOKUP(E70,Расчет!$A:$D,4,FALSE),$AT$6:$AV$15,3,FALSE),"")</f>
        <v/>
      </c>
      <c r="I70" s="31" t="str">
        <f>IFERROR(VLOOKUP(IFERROR(VLOOKUP(E70,Расчет!$A$2:$D$650,4,FALSE),0),$AT$3:$AU$15,2,FALSE),"")</f>
        <v/>
      </c>
      <c r="J70" s="33" t="str">
        <f>IFERROR(VLOOKUP(E70,Расчет!$A$2:$E$650,5,FALSE),"")</f>
        <v/>
      </c>
      <c r="K70" s="189"/>
      <c r="L70" s="188">
        <f t="shared" si="40"/>
        <v>0</v>
      </c>
      <c r="M70" s="9"/>
      <c r="N70" s="40" t="str">
        <f>IF(AND(IFERROR(VLOOKUP(R70,Расчет!A:J,10,FALSE),"  ")&lt;&gt;"  ",IFERROR(LEFT(VLOOKUP(R70,Расчет!A:J,10,FALSE),1)," ")&lt;&gt;"H"),0,IFERROR(IF(S70="Camry",IF(OR(W70="2PS",W70="2QL"),IF(R70-AP173&gt;100,R70-AP173-1000+$AD$12,R70-AP173+$AD$12),IF(R70-AP173&gt;100,R70-AP173-1000,R70-AP173)),IF(W70="2PS",IF(R70-AP173&gt;100,R70-AP173-1000+$AD$17,R70-AP173+$AD$17),IF(R70-AP173&gt;100,R70-AP173-1000,R70-AP173))),"-"))</f>
        <v>-</v>
      </c>
      <c r="O70" s="46">
        <v>171</v>
      </c>
      <c r="P70" s="19" t="str">
        <f>IF(R70="","",COUNTA($R$3:R70)+$C$105)</f>
        <v/>
      </c>
      <c r="Q70" s="18" t="str">
        <f t="shared" si="32"/>
        <v/>
      </c>
      <c r="R70" s="361"/>
      <c r="S70" s="45" t="str">
        <f>IFERROR(IF(VLOOKUP(R70,Расчет!$A$2:$B$650,2,FALSE)="664W","Camry",IF(VLOOKUP(R70,Расчет!$A$2:$B$650,2,FALSE)="813W","Goshi","RAV4")),"")</f>
        <v/>
      </c>
      <c r="T70" s="32" t="str">
        <f>IFERROR(IF(S70="Camry",VLOOKUP(R70,Расчет!$A$2:$Q$650,17,FALSE),VLOOKUP(R70,Расчет!$A$2:$R$650,18,FALSE)),"")</f>
        <v/>
      </c>
      <c r="U70" s="32" t="str">
        <f>IFERROR(VLOOKUP(VLOOKUP(R70,Расчет!$A:$D,4,FALSE),$AT$6:$AV$15,3,FALSE),"")</f>
        <v/>
      </c>
      <c r="V70" s="31" t="str">
        <f>IFERROR(VLOOKUP(IFERROR(VLOOKUP(R70,Расчет!$A$2:$D$650,4,FALSE),0),$AT$3:$AU$15,2,FALSE),"")</f>
        <v/>
      </c>
      <c r="W70" s="33" t="str">
        <f>IFERROR(VLOOKUP(R70,Расчет!$A$2:$E$650,5,FALSE),"")</f>
        <v/>
      </c>
      <c r="X70" s="189"/>
      <c r="Y70" s="191">
        <f t="shared" si="41"/>
        <v>0</v>
      </c>
      <c r="Z70" s="221" t="str">
        <f>IFERROR(IF(VLOOKUP(AC70,Расчет!$A$2:$B$236,2,FALSE)="831W","RAV4","Camry"),"-")</f>
        <v>-</v>
      </c>
      <c r="AA70" s="222" t="str">
        <f>IFERROR(VLOOKUP(AC24,Расчет!$A$2:$E$236,5,FALSE),"-")</f>
        <v>-</v>
      </c>
      <c r="AB70" s="158" t="str">
        <f>IFERROR(SMALL($BT$5:$BT$500,1),"")</f>
        <v/>
      </c>
      <c r="AC70" s="169" t="str">
        <f>IF(VLOOKUP2($BP$5:$BQ$500,1,AB70,COUNTIF($AB$70:AB70,AB70),2)=0,"-",VLOOKUP2($BP$5:$BQ$500,1,AB70,COUNTIF($AB$70:AB70,AB70),2))</f>
        <v>-</v>
      </c>
      <c r="AD70" s="245" t="str">
        <f>IFERROR(VLOOKUP(AC70,Расчет!$BS:$BT,2,FALSE),"")</f>
        <v/>
      </c>
      <c r="AE70" s="89">
        <v>68</v>
      </c>
      <c r="AF70" s="44" t="str">
        <f>IF(VLOOKUP(AE70,Расчет!$AH$2:$AN$201,5,FALSE)="8","C",IF(VLOOKUP(AE70,Расчет!$AH$2:$AN$201,5,FALSE)="G","G","R"))</f>
        <v>C</v>
      </c>
      <c r="AG70" s="73" t="str">
        <f t="shared" si="33"/>
        <v/>
      </c>
      <c r="AH70" s="87" t="str">
        <f>IF(AG70="","",COUNTIF($AG$2:AG70,"C")-COUNTIF($AF$2:AF70,"C")+$AH$1)</f>
        <v/>
      </c>
      <c r="AI70" s="87" t="str">
        <f>IF(AG70="","",COUNTIF($AG$2:AG70,"R")-COUNTIF($AF$2:AF70,"R")+$AI$1)</f>
        <v/>
      </c>
      <c r="AJ70" s="89">
        <v>171</v>
      </c>
      <c r="AK70" s="44" t="str">
        <f>IF(VLOOKUP(AJ70,Расчет!$AH$2:$AN$211,5,FALSE)="8","C",IF(VLOOKUP(AJ70,Расчет!$AH$2:$AN$211,5,FALSE)="G","G","R"))</f>
        <v>C</v>
      </c>
      <c r="AL70" s="74" t="str">
        <f t="shared" si="34"/>
        <v/>
      </c>
      <c r="AM70" s="118" t="str">
        <f>IF(AL70="","",(COUNTIF($AG$2:$AG$105,"C")+COUNTIF($AL$2:$AL70,"C"))-(COUNTIF($AF$2:$AF$105,"C")+COUNTIF($AK$2:$AK70,"C"))+$AH$1)</f>
        <v/>
      </c>
      <c r="AN70" s="119" t="str">
        <f>IF(AL70="","",(COUNTIF($AG$2:$AG$105,"R")+COUNTIF($AL$2:$AL70,"R"))-(COUNTIF($AF$2:$AF$105,"R")+COUNTIF($AK$2:$AK70,"R"))+$AI$1)</f>
        <v/>
      </c>
      <c r="AO70" s="22" t="str">
        <f>IF(E70="","",COUNTA($E$3:E70)+$Z$1)</f>
        <v/>
      </c>
      <c r="AP70" s="88" t="str">
        <f>IF(AO70="","",IF(AO70+Расчет!$Y$57+$BD$2-Расчет!$X$57&gt;200,AO70+Расчет!$Y$57+$BD$2-1000,AO70+Расчет!$Y$57+$BD$2))</f>
        <v/>
      </c>
      <c r="AR70" s="92"/>
      <c r="AS70" s="92"/>
      <c r="BL70" s="172">
        <f>COUNTIF($BM$5:BM70,"&lt;-115")</f>
        <v>0</v>
      </c>
      <c r="BM70" s="154" t="str">
        <f>IFERROR(IF(OR(IFERROR(VLOOKUP(BN70,$E$3:$E$105,1,FALSE),"0")=BN70,IFERROR(VLOOKUP(BN70,$R$3:$R$105,1,FALSE),"0")=BN70),BO70,IF(OR(VLOOKUP(BN70,Расчет!A:E,5,FALSE)="2PS",VLOOKUP(BN70,Расчет!A:E,5,FALSE)="2QL"),IF(VLOOKUP(BN70,Расчет!A:B,2,FALSE)="831W",BN70-$BS$7+$AD$17,BN70-$BS$7+$AD$12),BN70-$BS$7)),"-")</f>
        <v>-</v>
      </c>
      <c r="BN70" s="154">
        <f>IF(OR(Расчет!C67="A0",Расчет!C67="P9",Расчет!B67="722W"),"-",Расчет!A67)</f>
        <v>11212</v>
      </c>
      <c r="BO70" s="173">
        <f t="shared" ref="BO70:BO133" si="45">IF(IFERROR(INDEX($A$3:$A$105,MATCH(BN70,$E$3:$E$105,0)),"-")&lt;&gt;"-",IFERROR(INDEX($A$3:$A$105,MATCH(BN70,$E$3:$E$105,0)),0),IFERROR(INDEX($N$3:$N$105,MATCH(BN70,$R$3:$R$105,0)),0))</f>
        <v>0</v>
      </c>
      <c r="BP70" s="172" t="str">
        <f>IF(BQ70="-","-",IFERROR(IF(OR(VLOOKUP(BN70,Расчет!$A$2:$E$582,5,FALSE)="2PS",VLOOKUP(BN70,Расчет!$A$2:$E$582,5,FALSE)="2QL"),IF(OR(VLOOKUP(BN70,Расчет!$A$2:$E$582,2,FALSE)="664W",VLOOKUP(BN70,Расчет!$A$2:$E$582,2,FALSE)="813W"),IF(BN70-$BS$7&gt;150,BN70-$BS$7-1000+$AD$12,BN70-$BS$7+$AD$12),IF(BN70-$BS$7&gt;150,BN70-$BS$7-1000+$AD$17,BN70-$BS$7+$AD$17)),IF(BN70-$BS$7&gt;150,BN70-$BS$7-1000,BN70-$BS$7)),"-"))</f>
        <v>-</v>
      </c>
      <c r="BQ70" s="173">
        <f t="shared" si="42"/>
        <v>11212</v>
      </c>
      <c r="BR70" s="453"/>
      <c r="BS70" s="171"/>
      <c r="BT70" s="464" t="str">
        <f t="shared" si="43"/>
        <v>-</v>
      </c>
      <c r="BU70" s="464" t="str">
        <f t="shared" si="44"/>
        <v>-</v>
      </c>
      <c r="BX70" s="204">
        <f>COUNTIF($BY$4:BY70,"&lt;100")</f>
        <v>0</v>
      </c>
      <c r="BY70" s="213" t="str">
        <f t="shared" si="35"/>
        <v/>
      </c>
      <c r="BZ70" s="216" t="str">
        <f t="shared" si="36"/>
        <v/>
      </c>
      <c r="CA70" s="213" t="e">
        <f t="shared" si="37"/>
        <v>#N/A</v>
      </c>
      <c r="CB70" s="209" t="e">
        <f t="shared" si="38"/>
        <v>#N/A</v>
      </c>
      <c r="CC70" s="205" t="str">
        <f t="shared" ref="CC70:CC133" si="46">IFERROR(IF(OR(AND(CA70&gt;CA69,CA70&gt;=1),AND(CA70&lt;CA69,CA70&lt;=-1)),1,0),"")</f>
        <v/>
      </c>
      <c r="CD70" s="205" t="str">
        <f t="shared" si="39"/>
        <v>-</v>
      </c>
      <c r="CE70" s="205">
        <f t="shared" ref="CE70:CE101" si="47">IF(OR(AND($G69="Rich",$G68="Rich"),AND($G69="Rich",$G67="Rich"),AND($H69="TWIN-C",$H68="4WD",$H67="TWIN-C"),AND($H69="TWIN-C",$G68="Rich",$H67="TWIN-C"),AND(COUNTIF($CG75:$CG78,"Rich")&gt;1,COUNTIF($CG75:$CG78,"Mech")&gt;1),AND($CG78="Sport",COUNTIF($CG73:$CG78,"Sport")&gt;1))=TRUE(),1,0)</f>
        <v>0</v>
      </c>
      <c r="CG70" s="20" t="str">
        <f t="shared" si="30"/>
        <v/>
      </c>
    </row>
    <row r="71" spans="1:85" ht="23.1" customHeight="1">
      <c r="A71" s="40" t="str">
        <f>IF(AND(IFERROR(VLOOKUP(E71,Расчет!A:J,10,FALSE),"  ")&lt;&gt;"  ",IFERROR(LEFT(VLOOKUP(E71,Расчет!A:J,10,FALSE),1)," ")&lt;&gt;"H"),0,IFERROR(IF(F71="Camry",IF(OR(J71="2PS",J71="2QL"),IF(E71-AP71&gt;100,E71-AP71-1000+$AD$12,E71-AP71+$AD$12),IF(E71-AP71&gt;100,E71-AP71-1000,E71-AP71)),IF(J71="2PS",IF(E71-AP71&gt;100,E71-AP71-1000+$AD$17,E71-AP71+$AD$17),IF(E71-AP71&gt;100,E71-AP71-1000,E71-AP71))),"-"))</f>
        <v>-</v>
      </c>
      <c r="B71" s="46">
        <v>69</v>
      </c>
      <c r="C71" s="19" t="str">
        <f>IF(E71="","",COUNTA($E$3:E71))</f>
        <v/>
      </c>
      <c r="D71" s="18" t="str">
        <f t="shared" si="31"/>
        <v/>
      </c>
      <c r="E71" s="30"/>
      <c r="F71" s="44" t="str">
        <f>IFERROR(IF(VLOOKUP(E71,Расчет!$A$2:$B$650,2,FALSE)="664W","Camry",IF(VLOOKUP(E71,Расчет!$A$2:$B$650,2,FALSE)="813W","Goshi","RAV4")),"")</f>
        <v/>
      </c>
      <c r="G71" s="32" t="str">
        <f>IFERROR(IF(F71="Camry",VLOOKUP(E71,Расчет!$A$2:$Q$650,17,FALSE),VLOOKUP(E71,Расчет!$A$2:$R$650,18,FALSE)),"")</f>
        <v/>
      </c>
      <c r="H71" s="32" t="str">
        <f>IFERROR(VLOOKUP(VLOOKUP(E71,Расчет!$A:$D,4,FALSE),$AT$6:$AV$15,3,FALSE),"")</f>
        <v/>
      </c>
      <c r="I71" s="31" t="str">
        <f>IFERROR(VLOOKUP(IFERROR(VLOOKUP(E71,Расчет!$A$2:$D$650,4,FALSE),0),$AT$3:$AU$15,2,FALSE),"")</f>
        <v/>
      </c>
      <c r="J71" s="33" t="str">
        <f>IFERROR(VLOOKUP(E71,Расчет!$A$2:$E$650,5,FALSE),"")</f>
        <v/>
      </c>
      <c r="K71" s="189"/>
      <c r="L71" s="188">
        <f t="shared" si="40"/>
        <v>0</v>
      </c>
      <c r="M71" s="9"/>
      <c r="N71" s="40" t="str">
        <f>IF(AND(IFERROR(VLOOKUP(R71,Расчет!A:J,10,FALSE),"  ")&lt;&gt;"  ",IFERROR(LEFT(VLOOKUP(R71,Расчет!A:J,10,FALSE),1)," ")&lt;&gt;"H"),0,IFERROR(IF(S71="Camry",IF(OR(W71="2PS",W71="2QL"),IF(R71-AP174&gt;100,R71-AP174-1000+$AD$12,R71-AP174+$AD$12),IF(R71-AP174&gt;100,R71-AP174-1000,R71-AP174)),IF(W71="2PS",IF(R71-AP174&gt;100,R71-AP174-1000+$AD$17,R71-AP174+$AD$17),IF(R71-AP174&gt;100,R71-AP174-1000,R71-AP174))),"-"))</f>
        <v>-</v>
      </c>
      <c r="O71" s="46">
        <v>172</v>
      </c>
      <c r="P71" s="19" t="str">
        <f>IF(R71="","",COUNTA($R$3:R71)+$C$105)</f>
        <v/>
      </c>
      <c r="Q71" s="18" t="str">
        <f t="shared" si="32"/>
        <v/>
      </c>
      <c r="R71" s="30"/>
      <c r="S71" s="45" t="str">
        <f>IFERROR(IF(VLOOKUP(R71,Расчет!$A$2:$B$650,2,FALSE)="664W","Camry",IF(VLOOKUP(R71,Расчет!$A$2:$B$650,2,FALSE)="813W","Goshi","RAV4")),"")</f>
        <v/>
      </c>
      <c r="T71" s="32" t="str">
        <f>IFERROR(IF(S71="Camry",VLOOKUP(R71,Расчет!$A$2:$Q$650,17,FALSE),VLOOKUP(R71,Расчет!$A$2:$R$650,18,FALSE)),"")</f>
        <v/>
      </c>
      <c r="U71" s="32" t="str">
        <f>IFERROR(VLOOKUP(VLOOKUP(R71,Расчет!$A:$D,4,FALSE),$AT$6:$AV$15,3,FALSE),"")</f>
        <v/>
      </c>
      <c r="V71" s="31" t="str">
        <f>IFERROR(VLOOKUP(IFERROR(VLOOKUP(R71,Расчет!$A$2:$D$650,4,FALSE),0),$AT$3:$AU$15,2,FALSE),"")</f>
        <v/>
      </c>
      <c r="W71" s="33" t="str">
        <f>IFERROR(VLOOKUP(R71,Расчет!$A$2:$E$650,5,FALSE),"")</f>
        <v/>
      </c>
      <c r="X71" s="189"/>
      <c r="Y71" s="191">
        <f t="shared" si="41"/>
        <v>0</v>
      </c>
      <c r="Z71" s="223" t="str">
        <f>IFERROR(IF(VLOOKUP(AC71,Расчет!$A$2:$B$236,2,FALSE)="831W","RAV4","Camry"),"-")</f>
        <v>-</v>
      </c>
      <c r="AA71" s="220" t="str">
        <f>IFERROR(VLOOKUP(AC25,Расчет!$A$2:$E$236,5,FALSE),"-")</f>
        <v>-</v>
      </c>
      <c r="AB71" s="159" t="str">
        <f>IFERROR(SMALL($BT$5:$BT$500,2),"")</f>
        <v/>
      </c>
      <c r="AC71" s="162" t="str">
        <f>IF(VLOOKUP2($BP$5:$BQ$500,1,AB71,COUNTIF($AB$70:AB71,AB71),2)=0,"-",VLOOKUP2($BP$5:$BQ$500,1,AB71,COUNTIF($AB$70:AB71,AB71),2))</f>
        <v>-</v>
      </c>
      <c r="AD71" s="353" t="str">
        <f>IFERROR(VLOOKUP(AC71,Расчет!$BS:$BT,2,FALSE),"")</f>
        <v/>
      </c>
      <c r="AE71" s="89">
        <v>69</v>
      </c>
      <c r="AF71" s="44" t="str">
        <f>IF(VLOOKUP(AE71,Расчет!$AH$2:$AN$201,5,FALSE)="8","C",IF(VLOOKUP(AE71,Расчет!$AH$2:$AN$201,5,FALSE)="G","G","R"))</f>
        <v>R</v>
      </c>
      <c r="AG71" s="73" t="str">
        <f t="shared" si="33"/>
        <v/>
      </c>
      <c r="AH71" s="87" t="str">
        <f>IF(AG71="","",COUNTIF($AG$2:AG71,"C")-COUNTIF($AF$2:AF71,"C")+$AH$1)</f>
        <v/>
      </c>
      <c r="AI71" s="87" t="str">
        <f>IF(AG71="","",COUNTIF($AG$2:AG71,"R")-COUNTIF($AF$2:AF71,"R")+$AI$1)</f>
        <v/>
      </c>
      <c r="AJ71" s="89">
        <v>172</v>
      </c>
      <c r="AK71" s="44" t="str">
        <f>IF(VLOOKUP(AJ71,Расчет!$AH$2:$AN$211,5,FALSE)="8","C",IF(VLOOKUP(AJ71,Расчет!$AH$2:$AN$211,5,FALSE)="G","G","R"))</f>
        <v>R</v>
      </c>
      <c r="AL71" s="74" t="str">
        <f t="shared" si="34"/>
        <v/>
      </c>
      <c r="AM71" s="118" t="str">
        <f>IF(AL71="","",(COUNTIF($AG$2:$AG$105,"C")+COUNTIF($AL$2:$AL71,"C"))-(COUNTIF($AF$2:$AF$105,"C")+COUNTIF($AK$2:$AK71,"C"))+$AH$1)</f>
        <v/>
      </c>
      <c r="AN71" s="119" t="str">
        <f>IF(AL71="","",(COUNTIF($AG$2:$AG$105,"R")+COUNTIF($AL$2:$AL71,"R"))-(COUNTIF($AF$2:$AF$105,"R")+COUNTIF($AK$2:$AK71,"R"))+$AI$1)</f>
        <v/>
      </c>
      <c r="AO71" s="22" t="str">
        <f>IF(E71="","",COUNTA($E$3:E71)+$Z$1)</f>
        <v/>
      </c>
      <c r="AP71" s="88" t="str">
        <f>IF(AO71="","",IF(AO71+Расчет!$Y$57+$BD$2-Расчет!$X$57&gt;200,AO71+Расчет!$Y$57+$BD$2-1000,AO71+Расчет!$Y$57+$BD$2))</f>
        <v/>
      </c>
      <c r="AR71" s="92"/>
      <c r="AS71" s="92"/>
      <c r="BL71" s="172">
        <f>COUNTIF($BM$5:BM71,"&lt;-115")</f>
        <v>0</v>
      </c>
      <c r="BM71" s="154" t="str">
        <f>IFERROR(IF(OR(IFERROR(VLOOKUP(BN71,$E$3:$E$105,1,FALSE),"0")=BN71,IFERROR(VLOOKUP(BN71,$R$3:$R$105,1,FALSE),"0")=BN71),BO71,IF(OR(VLOOKUP(BN71,Расчет!A:E,5,FALSE)="2PS",VLOOKUP(BN71,Расчет!A:E,5,FALSE)="2QL"),IF(VLOOKUP(BN71,Расчет!A:B,2,FALSE)="831W",BN71-$BS$7+$AD$17,BN71-$BS$7+$AD$12),BN71-$BS$7)),"-")</f>
        <v>-</v>
      </c>
      <c r="BN71" s="154">
        <f>IF(OR(Расчет!C68="A0",Расчет!C68="P9",Расчет!B68="722W"),"-",Расчет!A68)</f>
        <v>11213</v>
      </c>
      <c r="BO71" s="173">
        <f t="shared" si="45"/>
        <v>0</v>
      </c>
      <c r="BP71" s="172" t="str">
        <f>IF(BQ71="-","-",IFERROR(IF(OR(VLOOKUP(BN71,Расчет!$A$2:$E$582,5,FALSE)="2PS",VLOOKUP(BN71,Расчет!$A$2:$E$582,5,FALSE)="2QL"),IF(OR(VLOOKUP(BN71,Расчет!$A$2:$E$582,2,FALSE)="664W",VLOOKUP(BN71,Расчет!$A$2:$E$582,2,FALSE)="813W"),IF(BN71-$BS$7&gt;150,BN71-$BS$7-1000+$AD$12,BN71-$BS$7+$AD$12),IF(BN71-$BS$7&gt;150,BN71-$BS$7-1000+$AD$17,BN71-$BS$7+$AD$17)),IF(BN71-$BS$7&gt;150,BN71-$BS$7-1000,BN71-$BS$7)),"-"))</f>
        <v>-</v>
      </c>
      <c r="BQ71" s="173">
        <f t="shared" si="42"/>
        <v>11213</v>
      </c>
      <c r="BR71" s="453"/>
      <c r="BS71" s="171"/>
      <c r="BT71" s="464" t="str">
        <f t="shared" si="43"/>
        <v>-</v>
      </c>
      <c r="BU71" s="464" t="str">
        <f t="shared" si="44"/>
        <v>-</v>
      </c>
      <c r="BX71" s="204">
        <f>COUNTIF($BY$4:BY71,"&lt;100")</f>
        <v>0</v>
      </c>
      <c r="BY71" s="213" t="str">
        <f t="shared" si="35"/>
        <v/>
      </c>
      <c r="BZ71" s="216" t="str">
        <f t="shared" si="36"/>
        <v/>
      </c>
      <c r="CA71" s="213" t="e">
        <f t="shared" si="37"/>
        <v>#N/A</v>
      </c>
      <c r="CB71" s="209" t="e">
        <f t="shared" si="38"/>
        <v>#N/A</v>
      </c>
      <c r="CC71" s="205" t="str">
        <f t="shared" si="46"/>
        <v/>
      </c>
      <c r="CD71" s="205" t="str">
        <f t="shared" si="39"/>
        <v>-</v>
      </c>
      <c r="CE71" s="205">
        <f t="shared" si="47"/>
        <v>0</v>
      </c>
      <c r="CG71" s="20" t="str">
        <f t="shared" si="30"/>
        <v/>
      </c>
    </row>
    <row r="72" spans="1:85" ht="23.1" customHeight="1">
      <c r="A72" s="40" t="str">
        <f>IF(AND(IFERROR(VLOOKUP(E72,Расчет!A:J,10,FALSE),"  ")&lt;&gt;"  ",IFERROR(LEFT(VLOOKUP(E72,Расчет!A:J,10,FALSE),1)," ")&lt;&gt;"H"),0,IFERROR(IF(F72="Camry",IF(OR(J72="2PS",J72="2QL"),IF(E72-AP72&gt;100,E72-AP72-1000+$AD$12,E72-AP72+$AD$12),IF(E72-AP72&gt;100,E72-AP72-1000,E72-AP72)),IF(J72="2PS",IF(E72-AP72&gt;100,E72-AP72-1000+$AD$17,E72-AP72+$AD$17),IF(E72-AP72&gt;100,E72-AP72-1000,E72-AP72))),"-"))</f>
        <v>-</v>
      </c>
      <c r="B72" s="46">
        <v>70</v>
      </c>
      <c r="C72" s="19" t="str">
        <f>IF(E72="","",COUNTA($E$3:E72))</f>
        <v/>
      </c>
      <c r="D72" s="18" t="str">
        <f t="shared" si="31"/>
        <v/>
      </c>
      <c r="E72" s="30"/>
      <c r="F72" s="44" t="str">
        <f>IFERROR(IF(VLOOKUP(E72,Расчет!$A$2:$B$650,2,FALSE)="664W","Camry",IF(VLOOKUP(E72,Расчет!$A$2:$B$650,2,FALSE)="813W","Goshi","RAV4")),"")</f>
        <v/>
      </c>
      <c r="G72" s="32" t="str">
        <f>IFERROR(IF(F72="Camry",VLOOKUP(E72,Расчет!$A$2:$Q$650,17,FALSE),VLOOKUP(E72,Расчет!$A$2:$R$650,18,FALSE)),"")</f>
        <v/>
      </c>
      <c r="H72" s="32" t="str">
        <f>IFERROR(VLOOKUP(VLOOKUP(E72,Расчет!$A:$D,4,FALSE),$AT$6:$AV$15,3,FALSE),"")</f>
        <v/>
      </c>
      <c r="I72" s="31" t="str">
        <f>IFERROR(VLOOKUP(IFERROR(VLOOKUP(E72,Расчет!$A$2:$D$650,4,FALSE),0),$AT$3:$AU$15,2,FALSE),"")</f>
        <v/>
      </c>
      <c r="J72" s="33" t="str">
        <f>IFERROR(VLOOKUP(E72,Расчет!$A$2:$E$650,5,FALSE),"")</f>
        <v/>
      </c>
      <c r="K72" s="189"/>
      <c r="L72" s="188">
        <f t="shared" si="40"/>
        <v>0</v>
      </c>
      <c r="M72" s="9"/>
      <c r="N72" s="40" t="str">
        <f>IF(AND(IFERROR(VLOOKUP(R72,Расчет!A:J,10,FALSE),"  ")&lt;&gt;"  ",IFERROR(LEFT(VLOOKUP(R72,Расчет!A:J,10,FALSE),1)," ")&lt;&gt;"H"),0,IFERROR(IF(S72="Camry",IF(OR(W72="2PS",W72="2QL"),IF(R72-AP175&gt;100,R72-AP175-1000+$AD$12,R72-AP175+$AD$12),IF(R72-AP175&gt;100,R72-AP175-1000,R72-AP175)),IF(W72="2PS",IF(R72-AP175&gt;100,R72-AP175-1000+$AD$17,R72-AP175+$AD$17),IF(R72-AP175&gt;100,R72-AP175-1000,R72-AP175))),"-"))</f>
        <v>-</v>
      </c>
      <c r="O72" s="46">
        <v>173</v>
      </c>
      <c r="P72" s="19" t="str">
        <f>IF(R72="","",COUNTA($R$3:R72)+$C$105)</f>
        <v/>
      </c>
      <c r="Q72" s="18" t="str">
        <f t="shared" si="32"/>
        <v/>
      </c>
      <c r="R72" s="30"/>
      <c r="S72" s="45" t="str">
        <f>IFERROR(IF(VLOOKUP(R72,Расчет!$A$2:$B$650,2,FALSE)="664W","Camry",IF(VLOOKUP(R72,Расчет!$A$2:$B$650,2,FALSE)="813W","Goshi","RAV4")),"")</f>
        <v/>
      </c>
      <c r="T72" s="32" t="str">
        <f>IFERROR(IF(S72="Camry",VLOOKUP(R72,Расчет!$A$2:$Q$650,17,FALSE),VLOOKUP(R72,Расчет!$A$2:$R$650,18,FALSE)),"")</f>
        <v/>
      </c>
      <c r="U72" s="32" t="str">
        <f>IFERROR(VLOOKUP(VLOOKUP(R72,Расчет!$A:$D,4,FALSE),$AT$6:$AV$15,3,FALSE),"")</f>
        <v/>
      </c>
      <c r="V72" s="31" t="str">
        <f>IFERROR(VLOOKUP(IFERROR(VLOOKUP(R72,Расчет!$A$2:$D$650,4,FALSE),0),$AT$3:$AU$15,2,FALSE),"")</f>
        <v/>
      </c>
      <c r="W72" s="33" t="str">
        <f>IFERROR(VLOOKUP(R72,Расчет!$A$2:$E$650,5,FALSE),"")</f>
        <v/>
      </c>
      <c r="X72" s="189"/>
      <c r="Y72" s="191">
        <f t="shared" si="41"/>
        <v>0</v>
      </c>
      <c r="Z72" s="223" t="str">
        <f>IFERROR(IF(VLOOKUP(AC72,Расчет!$A$2:$B$236,2,FALSE)="831W","RAV4","Camry"),"-")</f>
        <v>-</v>
      </c>
      <c r="AA72" s="220" t="str">
        <f>IFERROR(VLOOKUP(AC26,Расчет!$A$2:$E$236,5,FALSE),"-")</f>
        <v>-</v>
      </c>
      <c r="AB72" s="159" t="str">
        <f>IFERROR(SMALL($BT$5:$BT$500,3),"")</f>
        <v/>
      </c>
      <c r="AC72" s="162" t="str">
        <f>IF(VLOOKUP2($BP$5:$BQ$500,1,AB72,COUNTIF($AB$70:AB72,AB72),2)=0,"-",VLOOKUP2($BP$5:$BQ$500,1,AB72,COUNTIF($AB$70:AB72,AB72),2))</f>
        <v>-</v>
      </c>
      <c r="AD72" s="353" t="str">
        <f>IFERROR(VLOOKUP(AC72,Расчет!$BS:$BT,2,FALSE),"")</f>
        <v/>
      </c>
      <c r="AE72" s="89">
        <v>70</v>
      </c>
      <c r="AF72" s="44" t="str">
        <f>IF(VLOOKUP(AE72,Расчет!$AH$2:$AN$201,5,FALSE)="8","C",IF(VLOOKUP(AE72,Расчет!$AH$2:$AN$201,5,FALSE)="G","G","R"))</f>
        <v>C</v>
      </c>
      <c r="AG72" s="73" t="str">
        <f t="shared" si="33"/>
        <v/>
      </c>
      <c r="AH72" s="87" t="str">
        <f>IF(AG72="","",COUNTIF($AG$2:AG72,"C")-COUNTIF($AF$2:AF72,"C")+$AH$1)</f>
        <v/>
      </c>
      <c r="AI72" s="87" t="str">
        <f>IF(AG72="","",COUNTIF($AG$2:AG72,"R")-COUNTIF($AF$2:AF72,"R")+$AI$1)</f>
        <v/>
      </c>
      <c r="AJ72" s="89">
        <v>173</v>
      </c>
      <c r="AK72" s="44" t="str">
        <f>IF(VLOOKUP(AJ72,Расчет!$AH$2:$AN$211,5,FALSE)="8","C",IF(VLOOKUP(AJ72,Расчет!$AH$2:$AN$211,5,FALSE)="G","G","R"))</f>
        <v>C</v>
      </c>
      <c r="AL72" s="74" t="str">
        <f t="shared" si="34"/>
        <v/>
      </c>
      <c r="AM72" s="118" t="str">
        <f>IF(AL72="","",(COUNTIF($AG$2:$AG$105,"C")+COUNTIF($AL$2:$AL72,"C"))-(COUNTIF($AF$2:$AF$105,"C")+COUNTIF($AK$2:$AK72,"C"))+$AH$1)</f>
        <v/>
      </c>
      <c r="AN72" s="119" t="str">
        <f>IF(AL72="","",(COUNTIF($AG$2:$AG$105,"R")+COUNTIF($AL$2:$AL72,"R"))-(COUNTIF($AF$2:$AF$105,"R")+COUNTIF($AK$2:$AK72,"R"))+$AI$1)</f>
        <v/>
      </c>
      <c r="AO72" s="22" t="str">
        <f>IF(E72="","",COUNTA($E$3:E72)+$Z$1)</f>
        <v/>
      </c>
      <c r="AP72" s="88" t="str">
        <f>IF(AO72="","",IF(AO72+Расчет!$Y$57+$BD$2-Расчет!$X$57&gt;200,AO72+Расчет!$Y$57+$BD$2-1000,AO72+Расчет!$Y$57+$BD$2))</f>
        <v/>
      </c>
      <c r="AR72" s="92"/>
      <c r="AS72" s="92"/>
      <c r="BL72" s="172">
        <f>COUNTIF($BM$5:BM72,"&lt;-115")</f>
        <v>0</v>
      </c>
      <c r="BM72" s="154" t="str">
        <f>IFERROR(IF(OR(IFERROR(VLOOKUP(BN72,$E$3:$E$105,1,FALSE),"0")=BN72,IFERROR(VLOOKUP(BN72,$R$3:$R$105,1,FALSE),"0")=BN72),BO72,IF(OR(VLOOKUP(BN72,Расчет!A:E,5,FALSE)="2PS",VLOOKUP(BN72,Расчет!A:E,5,FALSE)="2QL"),IF(VLOOKUP(BN72,Расчет!A:B,2,FALSE)="831W",BN72-$BS$7+$AD$17,BN72-$BS$7+$AD$12),BN72-$BS$7)),"-")</f>
        <v>-</v>
      </c>
      <c r="BN72" s="154">
        <f>IF(OR(Расчет!C69="A0",Расчет!C69="P9",Расчет!B69="722W"),"-",Расчет!A69)</f>
        <v>11214</v>
      </c>
      <c r="BO72" s="173">
        <f t="shared" si="45"/>
        <v>0</v>
      </c>
      <c r="BP72" s="172" t="str">
        <f>IF(BQ72="-","-",IFERROR(IF(OR(VLOOKUP(BN72,Расчет!$A$2:$E$582,5,FALSE)="2PS",VLOOKUP(BN72,Расчет!$A$2:$E$582,5,FALSE)="2QL"),IF(OR(VLOOKUP(BN72,Расчет!$A$2:$E$582,2,FALSE)="664W",VLOOKUP(BN72,Расчет!$A$2:$E$582,2,FALSE)="813W"),IF(BN72-$BS$7&gt;150,BN72-$BS$7-1000+$AD$12,BN72-$BS$7+$AD$12),IF(BN72-$BS$7&gt;150,BN72-$BS$7-1000+$AD$17,BN72-$BS$7+$AD$17)),IF(BN72-$BS$7&gt;150,BN72-$BS$7-1000,BN72-$BS$7)),"-"))</f>
        <v>-</v>
      </c>
      <c r="BQ72" s="173">
        <f t="shared" si="42"/>
        <v>11214</v>
      </c>
      <c r="BR72" s="453"/>
      <c r="BS72" s="171"/>
      <c r="BT72" s="464" t="str">
        <f t="shared" si="43"/>
        <v>-</v>
      </c>
      <c r="BU72" s="464" t="str">
        <f t="shared" si="44"/>
        <v>-</v>
      </c>
      <c r="BX72" s="204">
        <f>COUNTIF($BY$4:BY72,"&lt;100")</f>
        <v>0</v>
      </c>
      <c r="BY72" s="213" t="str">
        <f t="shared" si="35"/>
        <v/>
      </c>
      <c r="BZ72" s="216" t="str">
        <f t="shared" si="36"/>
        <v/>
      </c>
      <c r="CA72" s="213" t="e">
        <f t="shared" si="37"/>
        <v>#N/A</v>
      </c>
      <c r="CB72" s="209" t="e">
        <f t="shared" si="38"/>
        <v>#N/A</v>
      </c>
      <c r="CC72" s="205" t="str">
        <f t="shared" si="46"/>
        <v/>
      </c>
      <c r="CD72" s="205" t="str">
        <f t="shared" si="39"/>
        <v>-</v>
      </c>
      <c r="CE72" s="205">
        <f t="shared" si="47"/>
        <v>0</v>
      </c>
      <c r="CG72" s="20" t="str">
        <f t="shared" si="30"/>
        <v/>
      </c>
    </row>
    <row r="73" spans="1:85" ht="23.1" customHeight="1">
      <c r="A73" s="40" t="str">
        <f>IF(AND(IFERROR(VLOOKUP(E73,Расчет!A:J,10,FALSE),"  ")&lt;&gt;"  ",IFERROR(LEFT(VLOOKUP(E73,Расчет!A:J,10,FALSE),1)," ")&lt;&gt;"H"),0,IFERROR(IF(F73="Camry",IF(OR(J73="2PS",J73="2QL"),IF(E73-AP73&gt;100,E73-AP73-1000+$AD$12,E73-AP73+$AD$12),IF(E73-AP73&gt;100,E73-AP73-1000,E73-AP73)),IF(J73="2PS",IF(E73-AP73&gt;100,E73-AP73-1000+$AD$17,E73-AP73+$AD$17),IF(E73-AP73&gt;100,E73-AP73-1000,E73-AP73))),"-"))</f>
        <v>-</v>
      </c>
      <c r="B73" s="46">
        <v>71</v>
      </c>
      <c r="C73" s="19" t="str">
        <f>IF(E73="","",COUNTA($E$3:E73))</f>
        <v/>
      </c>
      <c r="D73" s="18" t="str">
        <f t="shared" si="31"/>
        <v/>
      </c>
      <c r="E73" s="361"/>
      <c r="F73" s="44" t="str">
        <f>IFERROR(IF(VLOOKUP(E73,Расчет!$A$2:$B$650,2,FALSE)="664W","Camry",IF(VLOOKUP(E73,Расчет!$A$2:$B$650,2,FALSE)="813W","Goshi","RAV4")),"")</f>
        <v/>
      </c>
      <c r="G73" s="32" t="str">
        <f>IFERROR(IF(F73="Camry",VLOOKUP(E73,Расчет!$A$2:$Q$650,17,FALSE),VLOOKUP(E73,Расчет!$A$2:$R$650,18,FALSE)),"")</f>
        <v/>
      </c>
      <c r="H73" s="32" t="str">
        <f>IFERROR(VLOOKUP(VLOOKUP(E73,Расчет!$A:$D,4,FALSE),$AT$6:$AV$15,3,FALSE),"")</f>
        <v/>
      </c>
      <c r="I73" s="31" t="str">
        <f>IFERROR(VLOOKUP(IFERROR(VLOOKUP(E73,Расчет!$A$2:$D$650,4,FALSE),0),$AT$3:$AU$15,2,FALSE),"")</f>
        <v/>
      </c>
      <c r="J73" s="33" t="str">
        <f>IFERROR(VLOOKUP(E73,Расчет!$A$2:$E$650,5,FALSE),"")</f>
        <v/>
      </c>
      <c r="K73" s="189"/>
      <c r="L73" s="188">
        <f t="shared" si="40"/>
        <v>0</v>
      </c>
      <c r="M73" s="9"/>
      <c r="N73" s="40" t="str">
        <f>IF(AND(IFERROR(VLOOKUP(R73,Расчет!A:J,10,FALSE),"  ")&lt;&gt;"  ",IFERROR(LEFT(VLOOKUP(R73,Расчет!A:J,10,FALSE),1)," ")&lt;&gt;"H"),0,IFERROR(IF(S73="Camry",IF(OR(W73="2PS",W73="2QL"),IF(R73-AP176&gt;100,R73-AP176-1000+$AD$12,R73-AP176+$AD$12),IF(R73-AP176&gt;100,R73-AP176-1000,R73-AP176)),IF(W73="2PS",IF(R73-AP176&gt;100,R73-AP176-1000+$AD$17,R73-AP176+$AD$17),IF(R73-AP176&gt;100,R73-AP176-1000,R73-AP176))),"-"))</f>
        <v>-</v>
      </c>
      <c r="O73" s="46">
        <v>174</v>
      </c>
      <c r="P73" s="19" t="str">
        <f>IF(R73="","",COUNTA($R$3:R73)+$C$105)</f>
        <v/>
      </c>
      <c r="Q73" s="18" t="str">
        <f t="shared" si="32"/>
        <v/>
      </c>
      <c r="R73" s="30"/>
      <c r="S73" s="45" t="str">
        <f>IFERROR(IF(VLOOKUP(R73,Расчет!$A$2:$B$650,2,FALSE)="664W","Camry",IF(VLOOKUP(R73,Расчет!$A$2:$B$650,2,FALSE)="813W","Goshi","RAV4")),"")</f>
        <v/>
      </c>
      <c r="T73" s="32" t="str">
        <f>IFERROR(IF(S73="Camry",VLOOKUP(R73,Расчет!$A$2:$Q$650,17,FALSE),VLOOKUP(R73,Расчет!$A$2:$R$650,18,FALSE)),"")</f>
        <v/>
      </c>
      <c r="U73" s="32" t="str">
        <f>IFERROR(VLOOKUP(VLOOKUP(R73,Расчет!$A:$D,4,FALSE),$AT$6:$AV$15,3,FALSE),"")</f>
        <v/>
      </c>
      <c r="V73" s="31" t="str">
        <f>IFERROR(VLOOKUP(IFERROR(VLOOKUP(R73,Расчет!$A$2:$D$650,4,FALSE),0),$AT$3:$AU$15,2,FALSE),"")</f>
        <v/>
      </c>
      <c r="W73" s="33" t="str">
        <f>IFERROR(VLOOKUP(R73,Расчет!$A$2:$E$650,5,FALSE),"")</f>
        <v/>
      </c>
      <c r="X73" s="189"/>
      <c r="Y73" s="191">
        <f t="shared" si="41"/>
        <v>0</v>
      </c>
      <c r="Z73" s="223" t="str">
        <f>IFERROR(IF(VLOOKUP(AC73,Расчет!$A$2:$B$236,2,FALSE)="831W","RAV4","Camry"),"-")</f>
        <v>-</v>
      </c>
      <c r="AA73" s="220" t="str">
        <f>IFERROR(VLOOKUP(AC27,Расчет!$A$2:$E$236,5,FALSE),"-")</f>
        <v>-</v>
      </c>
      <c r="AB73" s="159" t="str">
        <f>IFERROR(SMALL($BT$5:$BT$500,4),"")</f>
        <v/>
      </c>
      <c r="AC73" s="162" t="str">
        <f>IF(VLOOKUP2($BP$5:$BQ$500,1,AB73,COUNTIF($AB$70:AB73,AB73),2)=0,"-",VLOOKUP2($BP$5:$BQ$500,1,AB73,COUNTIF($AB$70:AB73,AB73),2))</f>
        <v>-</v>
      </c>
      <c r="AD73" s="353" t="str">
        <f>IFERROR(VLOOKUP(AC73,Расчет!$BS:$BT,2,FALSE),"")</f>
        <v/>
      </c>
      <c r="AE73" s="89">
        <v>71</v>
      </c>
      <c r="AF73" s="44" t="str">
        <f>IF(VLOOKUP(AE73,Расчет!$AH$2:$AN$201,5,FALSE)="8","C",IF(VLOOKUP(AE73,Расчет!$AH$2:$AN$201,5,FALSE)="G","G","R"))</f>
        <v>R</v>
      </c>
      <c r="AG73" s="73" t="str">
        <f t="shared" si="33"/>
        <v/>
      </c>
      <c r="AH73" s="87" t="str">
        <f>IF(AG73="","",COUNTIF($AG$2:AG73,"C")-COUNTIF($AF$2:AF73,"C")+$AH$1)</f>
        <v/>
      </c>
      <c r="AI73" s="87" t="str">
        <f>IF(AG73="","",COUNTIF($AG$2:AG73,"R")-COUNTIF($AF$2:AF73,"R")+$AI$1)</f>
        <v/>
      </c>
      <c r="AJ73" s="89">
        <v>174</v>
      </c>
      <c r="AK73" s="44" t="str">
        <f>IF(VLOOKUP(AJ73,Расчет!$AH$2:$AN$211,5,FALSE)="8","C",IF(VLOOKUP(AJ73,Расчет!$AH$2:$AN$211,5,FALSE)="G","G","R"))</f>
        <v>R</v>
      </c>
      <c r="AL73" s="74" t="str">
        <f t="shared" si="34"/>
        <v/>
      </c>
      <c r="AM73" s="118" t="str">
        <f>IF(AL73="","",(COUNTIF($AG$2:$AG$105,"C")+COUNTIF($AL$2:$AL73,"C"))-(COUNTIF($AF$2:$AF$105,"C")+COUNTIF($AK$2:$AK73,"C"))+$AH$1)</f>
        <v/>
      </c>
      <c r="AN73" s="119" t="str">
        <f>IF(AL73="","",(COUNTIF($AG$2:$AG$105,"R")+COUNTIF($AL$2:$AL73,"R"))-(COUNTIF($AF$2:$AF$105,"R")+COUNTIF($AK$2:$AK73,"R"))+$AI$1)</f>
        <v/>
      </c>
      <c r="AO73" s="22" t="str">
        <f>IF(E73="","",COUNTA($E$3:E73)+$Z$1)</f>
        <v/>
      </c>
      <c r="AP73" s="88" t="str">
        <f>IF(AO73="","",IF(AO73+Расчет!$Y$57+$BD$2-Расчет!$X$57&gt;200,AO73+Расчет!$Y$57+$BD$2-1000,AO73+Расчет!$Y$57+$BD$2))</f>
        <v/>
      </c>
      <c r="AR73" s="92"/>
      <c r="AS73" s="92"/>
      <c r="BL73" s="172">
        <f>COUNTIF($BM$5:BM73,"&lt;-115")</f>
        <v>0</v>
      </c>
      <c r="BM73" s="154" t="str">
        <f>IFERROR(IF(OR(IFERROR(VLOOKUP(BN73,$E$3:$E$105,1,FALSE),"0")=BN73,IFERROR(VLOOKUP(BN73,$R$3:$R$105,1,FALSE),"0")=BN73),BO73,IF(OR(VLOOKUP(BN73,Расчет!A:E,5,FALSE)="2PS",VLOOKUP(BN73,Расчет!A:E,5,FALSE)="2QL"),IF(VLOOKUP(BN73,Расчет!A:B,2,FALSE)="831W",BN73-$BS$7+$AD$17,BN73-$BS$7+$AD$12),BN73-$BS$7)),"-")</f>
        <v>-</v>
      </c>
      <c r="BN73" s="154">
        <f>IF(OR(Расчет!C70="A0",Расчет!C70="P9",Расчет!B70="722W"),"-",Расчет!A70)</f>
        <v>11215</v>
      </c>
      <c r="BO73" s="173">
        <f t="shared" si="45"/>
        <v>0</v>
      </c>
      <c r="BP73" s="172" t="str">
        <f>IF(BQ73="-","-",IFERROR(IF(OR(VLOOKUP(BN73,Расчет!$A$2:$E$582,5,FALSE)="2PS",VLOOKUP(BN73,Расчет!$A$2:$E$582,5,FALSE)="2QL"),IF(OR(VLOOKUP(BN73,Расчет!$A$2:$E$582,2,FALSE)="664W",VLOOKUP(BN73,Расчет!$A$2:$E$582,2,FALSE)="813W"),IF(BN73-$BS$7&gt;150,BN73-$BS$7-1000+$AD$12,BN73-$BS$7+$AD$12),IF(BN73-$BS$7&gt;150,BN73-$BS$7-1000+$AD$17,BN73-$BS$7+$AD$17)),IF(BN73-$BS$7&gt;150,BN73-$BS$7-1000,BN73-$BS$7)),"-"))</f>
        <v>-</v>
      </c>
      <c r="BQ73" s="173">
        <f t="shared" si="42"/>
        <v>11215</v>
      </c>
      <c r="BR73" s="453"/>
      <c r="BS73" s="171"/>
      <c r="BT73" s="464" t="str">
        <f t="shared" si="43"/>
        <v>-</v>
      </c>
      <c r="BU73" s="464" t="str">
        <f t="shared" si="44"/>
        <v>-</v>
      </c>
      <c r="BX73" s="204">
        <f>COUNTIF($BY$4:BY73,"&lt;100")</f>
        <v>0</v>
      </c>
      <c r="BY73" s="213" t="str">
        <f t="shared" si="35"/>
        <v/>
      </c>
      <c r="BZ73" s="216" t="str">
        <f t="shared" si="36"/>
        <v/>
      </c>
      <c r="CA73" s="213" t="e">
        <f t="shared" si="37"/>
        <v>#N/A</v>
      </c>
      <c r="CB73" s="209" t="e">
        <f t="shared" si="38"/>
        <v>#N/A</v>
      </c>
      <c r="CC73" s="205" t="str">
        <f t="shared" si="46"/>
        <v/>
      </c>
      <c r="CD73" s="205" t="str">
        <f t="shared" si="39"/>
        <v>-</v>
      </c>
      <c r="CE73" s="205">
        <f t="shared" si="47"/>
        <v>0</v>
      </c>
      <c r="CG73" s="20" t="str">
        <f t="shared" si="30"/>
        <v/>
      </c>
    </row>
    <row r="74" spans="1:85" ht="23.1" customHeight="1">
      <c r="A74" s="40" t="str">
        <f>IF(AND(IFERROR(VLOOKUP(E74,Расчет!A:J,10,FALSE),"  ")&lt;&gt;"  ",IFERROR(LEFT(VLOOKUP(E74,Расчет!A:J,10,FALSE),1)," ")&lt;&gt;"H"),0,IFERROR(IF(F74="Camry",IF(OR(J74="2PS",J74="2QL"),IF(E74-AP74&gt;100,E74-AP74-1000+$AD$12,E74-AP74+$AD$12),IF(E74-AP74&gt;100,E74-AP74-1000,E74-AP74)),IF(J74="2PS",IF(E74-AP74&gt;100,E74-AP74-1000+$AD$17,E74-AP74+$AD$17),IF(E74-AP74&gt;100,E74-AP74-1000,E74-AP74))),"-"))</f>
        <v>-</v>
      </c>
      <c r="B74" s="46">
        <v>72</v>
      </c>
      <c r="C74" s="19" t="str">
        <f>IF(E74="","",COUNTA($E$3:E74))</f>
        <v/>
      </c>
      <c r="D74" s="18" t="str">
        <f t="shared" si="31"/>
        <v/>
      </c>
      <c r="E74" s="30"/>
      <c r="F74" s="44" t="str">
        <f>IFERROR(IF(VLOOKUP(E74,Расчет!$A$2:$B$650,2,FALSE)="664W","Camry",IF(VLOOKUP(E74,Расчет!$A$2:$B$650,2,FALSE)="813W","Goshi","RAV4")),"")</f>
        <v/>
      </c>
      <c r="G74" s="32" t="str">
        <f>IFERROR(IF(F74="Camry",VLOOKUP(E74,Расчет!$A$2:$Q$650,17,FALSE),VLOOKUP(E74,Расчет!$A$2:$R$650,18,FALSE)),"")</f>
        <v/>
      </c>
      <c r="H74" s="32" t="str">
        <f>IFERROR(VLOOKUP(VLOOKUP(E74,Расчет!$A:$D,4,FALSE),$AT$6:$AV$15,3,FALSE),"")</f>
        <v/>
      </c>
      <c r="I74" s="31" t="str">
        <f>IFERROR(VLOOKUP(IFERROR(VLOOKUP(E74,Расчет!$A$2:$D$650,4,FALSE),0),$AT$3:$AU$15,2,FALSE),"")</f>
        <v/>
      </c>
      <c r="J74" s="33" t="str">
        <f>IFERROR(VLOOKUP(E74,Расчет!$A$2:$E$650,5,FALSE),"")</f>
        <v/>
      </c>
      <c r="K74" s="189"/>
      <c r="L74" s="188">
        <f t="shared" si="40"/>
        <v>0</v>
      </c>
      <c r="M74" s="9"/>
      <c r="N74" s="40" t="str">
        <f>IF(AND(IFERROR(VLOOKUP(R74,Расчет!A:J,10,FALSE),"  ")&lt;&gt;"  ",IFERROR(LEFT(VLOOKUP(R74,Расчет!A:J,10,FALSE),1)," ")&lt;&gt;"H"),0,IFERROR(IF(S74="Camry",IF(OR(W74="2PS",W74="2QL"),IF(R74-AP177&gt;100,R74-AP177-1000+$AD$12,R74-AP177+$AD$12),IF(R74-AP177&gt;100,R74-AP177-1000,R74-AP177)),IF(W74="2PS",IF(R74-AP177&gt;100,R74-AP177-1000+$AD$17,R74-AP177+$AD$17),IF(R74-AP177&gt;100,R74-AP177-1000,R74-AP177))),"-"))</f>
        <v>-</v>
      </c>
      <c r="O74" s="46">
        <v>175</v>
      </c>
      <c r="P74" s="19" t="str">
        <f>IF(R74="","",COUNTA($R$3:R74)+$C$105)</f>
        <v/>
      </c>
      <c r="Q74" s="18" t="str">
        <f t="shared" si="32"/>
        <v/>
      </c>
      <c r="R74" s="30"/>
      <c r="S74" s="45" t="str">
        <f>IFERROR(IF(VLOOKUP(R74,Расчет!$A$2:$B$650,2,FALSE)="664W","Camry",IF(VLOOKUP(R74,Расчет!$A$2:$B$650,2,FALSE)="813W","Goshi","RAV4")),"")</f>
        <v/>
      </c>
      <c r="T74" s="32" t="str">
        <f>IFERROR(IF(S74="Camry",VLOOKUP(R74,Расчет!$A$2:$Q$650,17,FALSE),VLOOKUP(R74,Расчет!$A$2:$R$650,18,FALSE)),"")</f>
        <v/>
      </c>
      <c r="U74" s="32" t="str">
        <f>IFERROR(VLOOKUP(VLOOKUP(R74,Расчет!$A:$D,4,FALSE),$AT$6:$AV$15,3,FALSE),"")</f>
        <v/>
      </c>
      <c r="V74" s="31" t="str">
        <f>IFERROR(VLOOKUP(IFERROR(VLOOKUP(R74,Расчет!$A$2:$D$650,4,FALSE),0),$AT$3:$AU$15,2,FALSE),"")</f>
        <v/>
      </c>
      <c r="W74" s="33" t="str">
        <f>IFERROR(VLOOKUP(R74,Расчет!$A$2:$E$650,5,FALSE),"")</f>
        <v/>
      </c>
      <c r="X74" s="189"/>
      <c r="Y74" s="191">
        <f t="shared" si="41"/>
        <v>0</v>
      </c>
      <c r="Z74" s="223" t="str">
        <f>IFERROR(IF(VLOOKUP(AC74,Расчет!$A$2:$B$236,2,FALSE)="831W","RAV4","Camry"),"-")</f>
        <v>-</v>
      </c>
      <c r="AA74" s="220" t="str">
        <f>IFERROR(VLOOKUP(AC28,Расчет!$A$2:$E$236,5,FALSE),"-")</f>
        <v>-</v>
      </c>
      <c r="AB74" s="159" t="str">
        <f>IFERROR(SMALL($BT$5:$BT$500,5),"")</f>
        <v/>
      </c>
      <c r="AC74" s="162" t="str">
        <f>IF(VLOOKUP2($BP$5:$BQ$500,1,AB74,COUNTIF($AB$70:AB74,AB74),2)=0,"-",VLOOKUP2($BP$5:$BQ$500,1,AB74,COUNTIF($AB$70:AB74,AB74),2))</f>
        <v>-</v>
      </c>
      <c r="AD74" s="353" t="str">
        <f>IFERROR(VLOOKUP(AC74,Расчет!$BS:$BT,2,FALSE),"")</f>
        <v/>
      </c>
      <c r="AE74" s="89">
        <v>72</v>
      </c>
      <c r="AF74" s="44" t="str">
        <f>IF(VLOOKUP(AE74,Расчет!$AH$2:$AN$201,5,FALSE)="8","C",IF(VLOOKUP(AE74,Расчет!$AH$2:$AN$201,5,FALSE)="G","G","R"))</f>
        <v>R</v>
      </c>
      <c r="AG74" s="73" t="str">
        <f t="shared" si="33"/>
        <v/>
      </c>
      <c r="AH74" s="87" t="str">
        <f>IF(AG74="","",COUNTIF($AG$2:AG74,"C")-COUNTIF($AF$2:AF74,"C")+$AH$1)</f>
        <v/>
      </c>
      <c r="AI74" s="87" t="str">
        <f>IF(AG74="","",COUNTIF($AG$2:AG74,"R")-COUNTIF($AF$2:AF74,"R")+$AI$1)</f>
        <v/>
      </c>
      <c r="AJ74" s="89">
        <v>175</v>
      </c>
      <c r="AK74" s="44" t="str">
        <f>IF(VLOOKUP(AJ74,Расчет!$AH$2:$AN$211,5,FALSE)="8","C",IF(VLOOKUP(AJ74,Расчет!$AH$2:$AN$211,5,FALSE)="G","G","R"))</f>
        <v>C</v>
      </c>
      <c r="AL74" s="74" t="str">
        <f t="shared" si="34"/>
        <v/>
      </c>
      <c r="AM74" s="118" t="str">
        <f>IF(AL74="","",(COUNTIF($AG$2:$AG$105,"C")+COUNTIF($AL$2:$AL74,"C"))-(COUNTIF($AF$2:$AF$105,"C")+COUNTIF($AK$2:$AK74,"C"))+$AH$1)</f>
        <v/>
      </c>
      <c r="AN74" s="119" t="str">
        <f>IF(AL74="","",(COUNTIF($AG$2:$AG$105,"R")+COUNTIF($AL$2:$AL74,"R"))-(COUNTIF($AF$2:$AF$105,"R")+COUNTIF($AK$2:$AK74,"R"))+$AI$1)</f>
        <v/>
      </c>
      <c r="AO74" s="22" t="str">
        <f>IF(E74="","",COUNTA($E$3:E74)+$Z$1)</f>
        <v/>
      </c>
      <c r="AP74" s="88" t="str">
        <f>IF(AO74="","",IF(AO74+Расчет!$Y$57+$BD$2-Расчет!$X$57&gt;200,AO74+Расчет!$Y$57+$BD$2-1000,AO74+Расчет!$Y$57+$BD$2))</f>
        <v/>
      </c>
      <c r="AR74" s="92"/>
      <c r="AS74" s="92"/>
      <c r="BL74" s="172">
        <f>COUNTIF($BM$5:BM74,"&lt;-115")</f>
        <v>0</v>
      </c>
      <c r="BM74" s="154" t="str">
        <f>IFERROR(IF(OR(IFERROR(VLOOKUP(BN74,$E$3:$E$105,1,FALSE),"0")=BN74,IFERROR(VLOOKUP(BN74,$R$3:$R$105,1,FALSE),"0")=BN74),BO74,IF(OR(VLOOKUP(BN74,Расчет!A:E,5,FALSE)="2PS",VLOOKUP(BN74,Расчет!A:E,5,FALSE)="2QL"),IF(VLOOKUP(BN74,Расчет!A:B,2,FALSE)="831W",BN74-$BS$7+$AD$17,BN74-$BS$7+$AD$12),BN74-$BS$7)),"-")</f>
        <v>-</v>
      </c>
      <c r="BN74" s="154">
        <f>IF(OR(Расчет!C71="A0",Расчет!C71="P9",Расчет!B71="722W"),"-",Расчет!A71)</f>
        <v>11216</v>
      </c>
      <c r="BO74" s="173">
        <f t="shared" si="45"/>
        <v>0</v>
      </c>
      <c r="BP74" s="172" t="str">
        <f>IF(BQ74="-","-",IFERROR(IF(OR(VLOOKUP(BN74,Расчет!$A$2:$E$582,5,FALSE)="2PS",VLOOKUP(BN74,Расчет!$A$2:$E$582,5,FALSE)="2QL"),IF(OR(VLOOKUP(BN74,Расчет!$A$2:$E$582,2,FALSE)="664W",VLOOKUP(BN74,Расчет!$A$2:$E$582,2,FALSE)="813W"),IF(BN74-$BS$7&gt;150,BN74-$BS$7-1000+$AD$12,BN74-$BS$7+$AD$12),IF(BN74-$BS$7&gt;150,BN74-$BS$7-1000+$AD$17,BN74-$BS$7+$AD$17)),IF(BN74-$BS$7&gt;150,BN74-$BS$7-1000,BN74-$BS$7)),"-"))</f>
        <v>-</v>
      </c>
      <c r="BQ74" s="173">
        <f t="shared" si="42"/>
        <v>11216</v>
      </c>
      <c r="BR74" s="453"/>
      <c r="BS74" s="171"/>
      <c r="BT74" s="464" t="str">
        <f t="shared" si="43"/>
        <v>-</v>
      </c>
      <c r="BU74" s="464" t="str">
        <f t="shared" si="44"/>
        <v>-</v>
      </c>
      <c r="BX74" s="204">
        <f>COUNTIF($BY$4:BY74,"&lt;100")</f>
        <v>0</v>
      </c>
      <c r="BY74" s="213" t="str">
        <f t="shared" si="35"/>
        <v/>
      </c>
      <c r="BZ74" s="216" t="str">
        <f t="shared" si="36"/>
        <v/>
      </c>
      <c r="CA74" s="213" t="e">
        <f t="shared" si="37"/>
        <v>#N/A</v>
      </c>
      <c r="CB74" s="209" t="e">
        <f t="shared" si="38"/>
        <v>#N/A</v>
      </c>
      <c r="CC74" s="205" t="str">
        <f t="shared" si="46"/>
        <v/>
      </c>
      <c r="CD74" s="205" t="str">
        <f t="shared" si="39"/>
        <v>-</v>
      </c>
      <c r="CE74" s="205">
        <f t="shared" si="47"/>
        <v>0</v>
      </c>
      <c r="CG74" s="20" t="str">
        <f t="shared" si="30"/>
        <v/>
      </c>
    </row>
    <row r="75" spans="1:85" ht="23.1" customHeight="1">
      <c r="A75" s="40" t="str">
        <f>IF(AND(IFERROR(VLOOKUP(E75,Расчет!A:J,10,FALSE),"  ")&lt;&gt;"  ",IFERROR(LEFT(VLOOKUP(E75,Расчет!A:J,10,FALSE),1)," ")&lt;&gt;"H"),0,IFERROR(IF(F75="Camry",IF(OR(J75="2PS",J75="2QL"),IF(E75-AP75&gt;100,E75-AP75-1000+$AD$12,E75-AP75+$AD$12),IF(E75-AP75&gt;100,E75-AP75-1000,E75-AP75)),IF(J75="2PS",IF(E75-AP75&gt;100,E75-AP75-1000+$AD$17,E75-AP75+$AD$17),IF(E75-AP75&gt;100,E75-AP75-1000,E75-AP75))),"-"))</f>
        <v>-</v>
      </c>
      <c r="B75" s="46">
        <v>73</v>
      </c>
      <c r="C75" s="19" t="str">
        <f>IF(E75="","",COUNTA($E$3:E75))</f>
        <v/>
      </c>
      <c r="D75" s="18" t="str">
        <f t="shared" si="31"/>
        <v/>
      </c>
      <c r="E75" s="30"/>
      <c r="F75" s="44" t="str">
        <f>IFERROR(IF(VLOOKUP(E75,Расчет!$A$2:$B$650,2,FALSE)="664W","Camry",IF(VLOOKUP(E75,Расчет!$A$2:$B$650,2,FALSE)="813W","Goshi","RAV4")),"")</f>
        <v/>
      </c>
      <c r="G75" s="32" t="str">
        <f>IFERROR(IF(F75="Camry",VLOOKUP(E75,Расчет!$A$2:$Q$650,17,FALSE),VLOOKUP(E75,Расчет!$A$2:$R$650,18,FALSE)),"")</f>
        <v/>
      </c>
      <c r="H75" s="32" t="str">
        <f>IFERROR(VLOOKUP(VLOOKUP(E75,Расчет!$A:$D,4,FALSE),$AT$6:$AV$15,3,FALSE),"")</f>
        <v/>
      </c>
      <c r="I75" s="31" t="str">
        <f>IFERROR(VLOOKUP(IFERROR(VLOOKUP(E75,Расчет!$A$2:$D$650,4,FALSE),0),$AT$3:$AU$15,2,FALSE),"")</f>
        <v/>
      </c>
      <c r="J75" s="33" t="str">
        <f>IFERROR(VLOOKUP(E75,Расчет!$A$2:$E$650,5,FALSE),"")</f>
        <v/>
      </c>
      <c r="K75" s="189"/>
      <c r="L75" s="188">
        <f t="shared" si="40"/>
        <v>0</v>
      </c>
      <c r="M75" s="9"/>
      <c r="N75" s="40" t="str">
        <f>IF(AND(IFERROR(VLOOKUP(R75,Расчет!A:J,10,FALSE),"  ")&lt;&gt;"  ",IFERROR(LEFT(VLOOKUP(R75,Расчет!A:J,10,FALSE),1)," ")&lt;&gt;"H"),0,IFERROR(IF(S75="Camry",IF(OR(W75="2PS",W75="2QL"),IF(R75-AP178&gt;100,R75-AP178-1000+$AD$12,R75-AP178+$AD$12),IF(R75-AP178&gt;100,R75-AP178-1000,R75-AP178)),IF(W75="2PS",IF(R75-AP178&gt;100,R75-AP178-1000+$AD$17,R75-AP178+$AD$17),IF(R75-AP178&gt;100,R75-AP178-1000,R75-AP178))),"-"))</f>
        <v>-</v>
      </c>
      <c r="O75" s="46">
        <v>176</v>
      </c>
      <c r="P75" s="19" t="str">
        <f>IF(R75="","",COUNTA($R$3:R75)+$C$105)</f>
        <v/>
      </c>
      <c r="Q75" s="18" t="str">
        <f t="shared" si="32"/>
        <v/>
      </c>
      <c r="R75" s="30"/>
      <c r="S75" s="45" t="str">
        <f>IFERROR(IF(VLOOKUP(R75,Расчет!$A$2:$B$650,2,FALSE)="664W","Camry",IF(VLOOKUP(R75,Расчет!$A$2:$B$650,2,FALSE)="813W","Goshi","RAV4")),"")</f>
        <v/>
      </c>
      <c r="T75" s="32" t="str">
        <f>IFERROR(IF(S75="Camry",VLOOKUP(R75,Расчет!$A$2:$Q$650,17,FALSE),VLOOKUP(R75,Расчет!$A$2:$R$650,18,FALSE)),"")</f>
        <v/>
      </c>
      <c r="U75" s="32" t="str">
        <f>IFERROR(VLOOKUP(VLOOKUP(R75,Расчет!$A:$D,4,FALSE),$AT$6:$AV$15,3,FALSE),"")</f>
        <v/>
      </c>
      <c r="V75" s="31" t="str">
        <f>IFERROR(VLOOKUP(IFERROR(VLOOKUP(R75,Расчет!$A$2:$D$650,4,FALSE),0),$AT$3:$AU$15,2,FALSE),"")</f>
        <v/>
      </c>
      <c r="W75" s="33" t="str">
        <f>IFERROR(VLOOKUP(R75,Расчет!$A$2:$E$650,5,FALSE),"")</f>
        <v/>
      </c>
      <c r="X75" s="189"/>
      <c r="Y75" s="191">
        <f t="shared" si="41"/>
        <v>0</v>
      </c>
      <c r="Z75" s="223" t="str">
        <f>IFERROR(IF(VLOOKUP(AC75,Расчет!$A$2:$B$236,2,FALSE)="831W","RAV4","Camry"),"-")</f>
        <v>-</v>
      </c>
      <c r="AA75" s="220" t="str">
        <f>IFERROR(VLOOKUP(AC29,Расчет!$A$2:$E$236,5,FALSE),"-")</f>
        <v>-</v>
      </c>
      <c r="AB75" s="159" t="str">
        <f>IFERROR(SMALL($BT$5:$BT$500,6),"")</f>
        <v/>
      </c>
      <c r="AC75" s="162" t="str">
        <f>IF(VLOOKUP2($BP$5:$BQ$500,1,AB75,COUNTIF($AB$70:AB75,AB75),2)=0,"-",VLOOKUP2($BP$5:$BQ$500,1,AB75,COUNTIF($AB$70:AB75,AB75),2))</f>
        <v>-</v>
      </c>
      <c r="AD75" s="353" t="str">
        <f>IFERROR(VLOOKUP(AC75,Расчет!$BS:$BT,2,FALSE),"")</f>
        <v/>
      </c>
      <c r="AE75" s="89">
        <v>73</v>
      </c>
      <c r="AF75" s="44" t="str">
        <f>IF(VLOOKUP(AE75,Расчет!$AH$2:$AN$201,5,FALSE)="8","C",IF(VLOOKUP(AE75,Расчет!$AH$2:$AN$201,5,FALSE)="G","G","R"))</f>
        <v>C</v>
      </c>
      <c r="AG75" s="73" t="str">
        <f t="shared" si="33"/>
        <v/>
      </c>
      <c r="AH75" s="87" t="str">
        <f>IF(AG75="","",COUNTIF($AG$2:AG75,"C")-COUNTIF($AF$2:AF75,"C")+$AH$1)</f>
        <v/>
      </c>
      <c r="AI75" s="87" t="str">
        <f>IF(AG75="","",COUNTIF($AG$2:AG75,"R")-COUNTIF($AF$2:AF75,"R")+$AI$1)</f>
        <v/>
      </c>
      <c r="AJ75" s="89">
        <v>176</v>
      </c>
      <c r="AK75" s="44" t="str">
        <f>IF(VLOOKUP(AJ75,Расчет!$AH$2:$AN$211,5,FALSE)="8","C",IF(VLOOKUP(AJ75,Расчет!$AH$2:$AN$211,5,FALSE)="G","G","R"))</f>
        <v>R</v>
      </c>
      <c r="AL75" s="74" t="str">
        <f t="shared" si="34"/>
        <v/>
      </c>
      <c r="AM75" s="118" t="str">
        <f>IF(AL75="","",(COUNTIF($AG$2:$AG$105,"C")+COUNTIF($AL$2:$AL75,"C"))-(COUNTIF($AF$2:$AF$105,"C")+COUNTIF($AK$2:$AK75,"C"))+$AH$1)</f>
        <v/>
      </c>
      <c r="AN75" s="119" t="str">
        <f>IF(AL75="","",(COUNTIF($AG$2:$AG$105,"R")+COUNTIF($AL$2:$AL75,"R"))-(COUNTIF($AF$2:$AF$105,"R")+COUNTIF($AK$2:$AK75,"R"))+$AI$1)</f>
        <v/>
      </c>
      <c r="AO75" s="22" t="str">
        <f>IF(E75="","",COUNTA($E$3:E75)+$Z$1)</f>
        <v/>
      </c>
      <c r="AP75" s="88" t="str">
        <f>IF(AO75="","",IF(AO75+Расчет!$Y$57+$BD$2-Расчет!$X$57&gt;200,AO75+Расчет!$Y$57+$BD$2-1000,AO75+Расчет!$Y$57+$BD$2))</f>
        <v/>
      </c>
      <c r="AR75" s="92"/>
      <c r="AS75" s="92"/>
      <c r="BL75" s="172">
        <f>COUNTIF($BM$5:BM75,"&lt;-115")</f>
        <v>0</v>
      </c>
      <c r="BM75" s="154" t="str">
        <f>IFERROR(IF(OR(IFERROR(VLOOKUP(BN75,$E$3:$E$105,1,FALSE),"0")=BN75,IFERROR(VLOOKUP(BN75,$R$3:$R$105,1,FALSE),"0")=BN75),BO75,IF(OR(VLOOKUP(BN75,Расчет!A:E,5,FALSE)="2PS",VLOOKUP(BN75,Расчет!A:E,5,FALSE)="2QL"),IF(VLOOKUP(BN75,Расчет!A:B,2,FALSE)="831W",BN75-$BS$7+$AD$17,BN75-$BS$7+$AD$12),BN75-$BS$7)),"-")</f>
        <v>-</v>
      </c>
      <c r="BN75" s="154">
        <f>IF(OR(Расчет!C72="A0",Расчет!C72="P9",Расчет!B72="722W"),"-",Расчет!A72)</f>
        <v>11217</v>
      </c>
      <c r="BO75" s="173">
        <f t="shared" si="45"/>
        <v>0</v>
      </c>
      <c r="BP75" s="172" t="str">
        <f>IF(BQ75="-","-",IFERROR(IF(OR(VLOOKUP(BN75,Расчет!$A$2:$E$582,5,FALSE)="2PS",VLOOKUP(BN75,Расчет!$A$2:$E$582,5,FALSE)="2QL"),IF(OR(VLOOKUP(BN75,Расчет!$A$2:$E$582,2,FALSE)="664W",VLOOKUP(BN75,Расчет!$A$2:$E$582,2,FALSE)="813W"),IF(BN75-$BS$7&gt;150,BN75-$BS$7-1000+$AD$12,BN75-$BS$7+$AD$12),IF(BN75-$BS$7&gt;150,BN75-$BS$7-1000+$AD$17,BN75-$BS$7+$AD$17)),IF(BN75-$BS$7&gt;150,BN75-$BS$7-1000,BN75-$BS$7)),"-"))</f>
        <v>-</v>
      </c>
      <c r="BQ75" s="173">
        <f t="shared" si="42"/>
        <v>11217</v>
      </c>
      <c r="BR75" s="453"/>
      <c r="BS75" s="171"/>
      <c r="BT75" s="464" t="str">
        <f t="shared" si="43"/>
        <v>-</v>
      </c>
      <c r="BU75" s="464" t="str">
        <f t="shared" si="44"/>
        <v>-</v>
      </c>
      <c r="BX75" s="204">
        <f>COUNTIF($BY$4:BY75,"&lt;100")</f>
        <v>0</v>
      </c>
      <c r="BY75" s="213" t="str">
        <f t="shared" si="35"/>
        <v/>
      </c>
      <c r="BZ75" s="216" t="str">
        <f t="shared" si="36"/>
        <v/>
      </c>
      <c r="CA75" s="213" t="e">
        <f t="shared" si="37"/>
        <v>#N/A</v>
      </c>
      <c r="CB75" s="209" t="e">
        <f t="shared" si="38"/>
        <v>#N/A</v>
      </c>
      <c r="CC75" s="205" t="str">
        <f t="shared" si="46"/>
        <v/>
      </c>
      <c r="CD75" s="205" t="str">
        <f t="shared" si="39"/>
        <v>-</v>
      </c>
      <c r="CE75" s="205">
        <f t="shared" si="47"/>
        <v>0</v>
      </c>
      <c r="CG75" s="20" t="str">
        <f t="shared" si="30"/>
        <v/>
      </c>
    </row>
    <row r="76" spans="1:85" ht="23.1" customHeight="1">
      <c r="A76" s="40" t="str">
        <f>IF(AND(IFERROR(VLOOKUP(E76,Расчет!A:J,10,FALSE),"  ")&lt;&gt;"  ",IFERROR(LEFT(VLOOKUP(E76,Расчет!A:J,10,FALSE),1)," ")&lt;&gt;"H"),0,IFERROR(IF(F76="Camry",IF(OR(J76="2PS",J76="2QL"),IF(E76-AP76&gt;100,E76-AP76-1000+$AD$12,E76-AP76+$AD$12),IF(E76-AP76&gt;100,E76-AP76-1000,E76-AP76)),IF(J76="2PS",IF(E76-AP76&gt;100,E76-AP76-1000+$AD$17,E76-AP76+$AD$17),IF(E76-AP76&gt;100,E76-AP76-1000,E76-AP76))),"-"))</f>
        <v>-</v>
      </c>
      <c r="B76" s="46">
        <v>74</v>
      </c>
      <c r="C76" s="19" t="str">
        <f>IF(E76="","",COUNTA($E$3:E76))</f>
        <v/>
      </c>
      <c r="D76" s="18" t="str">
        <f t="shared" si="31"/>
        <v/>
      </c>
      <c r="E76" s="30"/>
      <c r="F76" s="44" t="str">
        <f>IFERROR(IF(VLOOKUP(E76,Расчет!$A$2:$B$650,2,FALSE)="664W","Camry",IF(VLOOKUP(E76,Расчет!$A$2:$B$650,2,FALSE)="813W","Goshi","RAV4")),"")</f>
        <v/>
      </c>
      <c r="G76" s="32" t="str">
        <f>IFERROR(IF(F76="Camry",VLOOKUP(E76,Расчет!$A$2:$Q$650,17,FALSE),VLOOKUP(E76,Расчет!$A$2:$R$650,18,FALSE)),"")</f>
        <v/>
      </c>
      <c r="H76" s="32" t="str">
        <f>IFERROR(VLOOKUP(VLOOKUP(E76,Расчет!$A:$D,4,FALSE),$AT$6:$AV$15,3,FALSE),"")</f>
        <v/>
      </c>
      <c r="I76" s="31" t="str">
        <f>IFERROR(VLOOKUP(IFERROR(VLOOKUP(E76,Расчет!$A$2:$D$650,4,FALSE),0),$AT$3:$AU$15,2,FALSE),"")</f>
        <v/>
      </c>
      <c r="J76" s="33" t="str">
        <f>IFERROR(VLOOKUP(E76,Расчет!$A$2:$E$650,5,FALSE),"")</f>
        <v/>
      </c>
      <c r="K76" s="189"/>
      <c r="L76" s="188">
        <f t="shared" si="40"/>
        <v>0</v>
      </c>
      <c r="M76" s="9"/>
      <c r="N76" s="40" t="str">
        <f>IF(AND(IFERROR(VLOOKUP(R76,Расчет!A:J,10,FALSE),"  ")&lt;&gt;"  ",IFERROR(LEFT(VLOOKUP(R76,Расчет!A:J,10,FALSE),1)," ")&lt;&gt;"H"),0,IFERROR(IF(S76="Camry",IF(OR(W76="2PS",W76="2QL"),IF(R76-AP179&gt;100,R76-AP179-1000+$AD$12,R76-AP179+$AD$12),IF(R76-AP179&gt;100,R76-AP179-1000,R76-AP179)),IF(W76="2PS",IF(R76-AP179&gt;100,R76-AP179-1000+$AD$17,R76-AP179+$AD$17),IF(R76-AP179&gt;100,R76-AP179-1000,R76-AP179))),"-"))</f>
        <v>-</v>
      </c>
      <c r="O76" s="46">
        <v>177</v>
      </c>
      <c r="P76" s="19" t="str">
        <f>IF(R76="","",COUNTA($R$3:R76)+$C$105)</f>
        <v/>
      </c>
      <c r="Q76" s="18" t="str">
        <f t="shared" si="32"/>
        <v/>
      </c>
      <c r="R76" s="30"/>
      <c r="S76" s="45" t="str">
        <f>IFERROR(IF(VLOOKUP(R76,Расчет!$A$2:$B$650,2,FALSE)="664W","Camry",IF(VLOOKUP(R76,Расчет!$A$2:$B$650,2,FALSE)="813W","Goshi","RAV4")),"")</f>
        <v/>
      </c>
      <c r="T76" s="32" t="str">
        <f>IFERROR(IF(S76="Camry",VLOOKUP(R76,Расчет!$A$2:$Q$650,17,FALSE),VLOOKUP(R76,Расчет!$A$2:$R$650,18,FALSE)),"")</f>
        <v/>
      </c>
      <c r="U76" s="32" t="str">
        <f>IFERROR(VLOOKUP(VLOOKUP(R76,Расчет!$A:$D,4,FALSE),$AT$6:$AV$15,3,FALSE),"")</f>
        <v/>
      </c>
      <c r="V76" s="31" t="str">
        <f>IFERROR(VLOOKUP(IFERROR(VLOOKUP(R76,Расчет!$A$2:$D$650,4,FALSE),0),$AT$3:$AU$15,2,FALSE),"")</f>
        <v/>
      </c>
      <c r="W76" s="33" t="str">
        <f>IFERROR(VLOOKUP(R76,Расчет!$A$2:$E$650,5,FALSE),"")</f>
        <v/>
      </c>
      <c r="X76" s="189"/>
      <c r="Y76" s="191">
        <f t="shared" si="41"/>
        <v>0</v>
      </c>
      <c r="Z76" s="223" t="str">
        <f>IFERROR(IF(VLOOKUP(AC76,Расчет!$A$2:$B$236,2,FALSE)="831W","RAV4","Camry"),"-")</f>
        <v>-</v>
      </c>
      <c r="AA76" s="220" t="str">
        <f>IFERROR(VLOOKUP(AC30,Расчет!$A$2:$E$236,5,FALSE),"-")</f>
        <v>-</v>
      </c>
      <c r="AB76" s="159" t="str">
        <f>IFERROR(SMALL($BT$5:$BT$500,7),"")</f>
        <v/>
      </c>
      <c r="AC76" s="162" t="str">
        <f>IF(VLOOKUP2($BP$5:$BQ$500,1,AB76,COUNTIF($AB$70:AB76,AB76),2)=0,"-",VLOOKUP2($BP$5:$BQ$500,1,AB76,COUNTIF($AB$70:AB76,AB76),2))</f>
        <v>-</v>
      </c>
      <c r="AD76" s="353" t="str">
        <f>IFERROR(VLOOKUP(AC76,Расчет!$BS:$BT,2,FALSE),"")</f>
        <v/>
      </c>
      <c r="AE76" s="89">
        <v>74</v>
      </c>
      <c r="AF76" s="44" t="str">
        <f>IF(VLOOKUP(AE76,Расчет!$AH$2:$AN$201,5,FALSE)="8","C",IF(VLOOKUP(AE76,Расчет!$AH$2:$AN$201,5,FALSE)="G","G","R"))</f>
        <v>R</v>
      </c>
      <c r="AG76" s="73" t="str">
        <f t="shared" si="33"/>
        <v/>
      </c>
      <c r="AH76" s="87" t="str">
        <f>IF(AG76="","",COUNTIF($AG$2:AG76,"C")-COUNTIF($AF$2:AF76,"C")+$AH$1)</f>
        <v/>
      </c>
      <c r="AI76" s="87" t="str">
        <f>IF(AG76="","",COUNTIF($AG$2:AG76,"R")-COUNTIF($AF$2:AF76,"R")+$AI$1)</f>
        <v/>
      </c>
      <c r="AJ76" s="89">
        <v>177</v>
      </c>
      <c r="AK76" s="44" t="str">
        <f>IF(VLOOKUP(AJ76,Расчет!$AH$2:$AN$211,5,FALSE)="8","C",IF(VLOOKUP(AJ76,Расчет!$AH$2:$AN$211,5,FALSE)="G","G","R"))</f>
        <v>R</v>
      </c>
      <c r="AL76" s="74" t="str">
        <f t="shared" si="34"/>
        <v/>
      </c>
      <c r="AM76" s="118" t="str">
        <f>IF(AL76="","",(COUNTIF($AG$2:$AG$105,"C")+COUNTIF($AL$2:$AL76,"C"))-(COUNTIF($AF$2:$AF$105,"C")+COUNTIF($AK$2:$AK76,"C"))+$AH$1)</f>
        <v/>
      </c>
      <c r="AN76" s="119" t="str">
        <f>IF(AL76="","",(COUNTIF($AG$2:$AG$105,"R")+COUNTIF($AL$2:$AL76,"R"))-(COUNTIF($AF$2:$AF$105,"R")+COUNTIF($AK$2:$AK76,"R"))+$AI$1)</f>
        <v/>
      </c>
      <c r="AO76" s="22" t="str">
        <f>IF(E76="","",COUNTA($E$3:E76)+$Z$1)</f>
        <v/>
      </c>
      <c r="AP76" s="88" t="str">
        <f>IF(AO76="","",IF(AO76+Расчет!$Y$57+$BD$2-Расчет!$X$57&gt;200,AO76+Расчет!$Y$57+$BD$2-1000,AO76+Расчет!$Y$57+$BD$2))</f>
        <v/>
      </c>
      <c r="AR76" s="92"/>
      <c r="AS76" s="92"/>
      <c r="BL76" s="172">
        <f>COUNTIF($BM$5:BM76,"&lt;-115")</f>
        <v>0</v>
      </c>
      <c r="BM76" s="154" t="str">
        <f>IFERROR(IF(OR(IFERROR(VLOOKUP(BN76,$E$3:$E$105,1,FALSE),"0")=BN76,IFERROR(VLOOKUP(BN76,$R$3:$R$105,1,FALSE),"0")=BN76),BO76,IF(OR(VLOOKUP(BN76,Расчет!A:E,5,FALSE)="2PS",VLOOKUP(BN76,Расчет!A:E,5,FALSE)="2QL"),IF(VLOOKUP(BN76,Расчет!A:B,2,FALSE)="831W",BN76-$BS$7+$AD$17,BN76-$BS$7+$AD$12),BN76-$BS$7)),"-")</f>
        <v>-</v>
      </c>
      <c r="BN76" s="154">
        <f>IF(OR(Расчет!C73="A0",Расчет!C73="P9",Расчет!B73="722W"),"-",Расчет!A73)</f>
        <v>11218</v>
      </c>
      <c r="BO76" s="173">
        <f t="shared" si="45"/>
        <v>0</v>
      </c>
      <c r="BP76" s="172" t="str">
        <f>IF(BQ76="-","-",IFERROR(IF(OR(VLOOKUP(BN76,Расчет!$A$2:$E$582,5,FALSE)="2PS",VLOOKUP(BN76,Расчет!$A$2:$E$582,5,FALSE)="2QL"),IF(OR(VLOOKUP(BN76,Расчет!$A$2:$E$582,2,FALSE)="664W",VLOOKUP(BN76,Расчет!$A$2:$E$582,2,FALSE)="813W"),IF(BN76-$BS$7&gt;150,BN76-$BS$7-1000+$AD$12,BN76-$BS$7+$AD$12),IF(BN76-$BS$7&gt;150,BN76-$BS$7-1000+$AD$17,BN76-$BS$7+$AD$17)),IF(BN76-$BS$7&gt;150,BN76-$BS$7-1000,BN76-$BS$7)),"-"))</f>
        <v>-</v>
      </c>
      <c r="BQ76" s="173">
        <f t="shared" si="42"/>
        <v>11218</v>
      </c>
      <c r="BR76" s="453"/>
      <c r="BS76" s="171"/>
      <c r="BT76" s="464" t="str">
        <f t="shared" si="43"/>
        <v>-</v>
      </c>
      <c r="BU76" s="464" t="str">
        <f t="shared" si="44"/>
        <v>-</v>
      </c>
      <c r="BX76" s="204">
        <f>COUNTIF($BY$4:BY76,"&lt;100")</f>
        <v>0</v>
      </c>
      <c r="BY76" s="213" t="str">
        <f t="shared" si="35"/>
        <v/>
      </c>
      <c r="BZ76" s="216" t="str">
        <f t="shared" si="36"/>
        <v/>
      </c>
      <c r="CA76" s="213" t="e">
        <f t="shared" si="37"/>
        <v>#N/A</v>
      </c>
      <c r="CB76" s="209" t="e">
        <f t="shared" si="38"/>
        <v>#N/A</v>
      </c>
      <c r="CC76" s="205" t="str">
        <f t="shared" si="46"/>
        <v/>
      </c>
      <c r="CD76" s="205" t="str">
        <f t="shared" si="39"/>
        <v>-</v>
      </c>
      <c r="CE76" s="205">
        <f t="shared" si="47"/>
        <v>0</v>
      </c>
      <c r="CG76" s="20" t="str">
        <f t="shared" ref="CG76:CG107" si="48">G67</f>
        <v/>
      </c>
    </row>
    <row r="77" spans="1:85" ht="23.1" customHeight="1">
      <c r="A77" s="40" t="str">
        <f>IF(AND(IFERROR(VLOOKUP(E77,Расчет!A:J,10,FALSE),"  ")&lt;&gt;"  ",IFERROR(LEFT(VLOOKUP(E77,Расчет!A:J,10,FALSE),1)," ")&lt;&gt;"H"),0,IFERROR(IF(F77="Camry",IF(OR(J77="2PS",J77="2QL"),IF(E77-AP77&gt;100,E77-AP77-1000+$AD$12,E77-AP77+$AD$12),IF(E77-AP77&gt;100,E77-AP77-1000,E77-AP77)),IF(J77="2PS",IF(E77-AP77&gt;100,E77-AP77-1000+$AD$17,E77-AP77+$AD$17),IF(E77-AP77&gt;100,E77-AP77-1000,E77-AP77))),"-"))</f>
        <v>-</v>
      </c>
      <c r="B77" s="46">
        <v>75</v>
      </c>
      <c r="C77" s="19" t="str">
        <f>IF(E77="","",COUNTA($E$3:E77))</f>
        <v/>
      </c>
      <c r="D77" s="18" t="str">
        <f t="shared" si="31"/>
        <v/>
      </c>
      <c r="E77" s="30"/>
      <c r="F77" s="44" t="str">
        <f>IFERROR(IF(VLOOKUP(E77,Расчет!$A$2:$B$650,2,FALSE)="664W","Camry",IF(VLOOKUP(E77,Расчет!$A$2:$B$650,2,FALSE)="813W","Goshi","RAV4")),"")</f>
        <v/>
      </c>
      <c r="G77" s="32" t="str">
        <f>IFERROR(IF(F77="Camry",VLOOKUP(E77,Расчет!$A$2:$Q$650,17,FALSE),VLOOKUP(E77,Расчет!$A$2:$R$650,18,FALSE)),"")</f>
        <v/>
      </c>
      <c r="H77" s="32" t="str">
        <f>IFERROR(VLOOKUP(VLOOKUP(E77,Расчет!$A:$D,4,FALSE),$AT$6:$AV$15,3,FALSE),"")</f>
        <v/>
      </c>
      <c r="I77" s="31" t="str">
        <f>IFERROR(VLOOKUP(IFERROR(VLOOKUP(E77,Расчет!$A$2:$D$650,4,FALSE),0),$AT$3:$AU$15,2,FALSE),"")</f>
        <v/>
      </c>
      <c r="J77" s="33" t="str">
        <f>IFERROR(VLOOKUP(E77,Расчет!$A$2:$E$650,5,FALSE),"")</f>
        <v/>
      </c>
      <c r="K77" s="189"/>
      <c r="L77" s="188">
        <f t="shared" si="40"/>
        <v>0</v>
      </c>
      <c r="M77" s="9"/>
      <c r="N77" s="40" t="str">
        <f>IF(AND(IFERROR(VLOOKUP(R77,Расчет!A:J,10,FALSE),"  ")&lt;&gt;"  ",IFERROR(LEFT(VLOOKUP(R77,Расчет!A:J,10,FALSE),1)," ")&lt;&gt;"H"),0,IFERROR(IF(S77="Camry",IF(OR(W77="2PS",W77="2QL"),IF(R77-AP180&gt;100,R77-AP180-1000+$AD$12,R77-AP180+$AD$12),IF(R77-AP180&gt;100,R77-AP180-1000,R77-AP180)),IF(W77="2PS",IF(R77-AP180&gt;100,R77-AP180-1000+$AD$17,R77-AP180+$AD$17),IF(R77-AP180&gt;100,R77-AP180-1000,R77-AP180))),"-"))</f>
        <v>-</v>
      </c>
      <c r="O77" s="46">
        <v>178</v>
      </c>
      <c r="P77" s="19" t="str">
        <f>IF(R77="","",COUNTA($R$3:R77)+$C$105)</f>
        <v/>
      </c>
      <c r="Q77" s="18" t="str">
        <f t="shared" si="32"/>
        <v/>
      </c>
      <c r="R77" s="30"/>
      <c r="S77" s="45" t="str">
        <f>IFERROR(IF(VLOOKUP(R77,Расчет!$A$2:$B$650,2,FALSE)="664W","Camry",IF(VLOOKUP(R77,Расчет!$A$2:$B$650,2,FALSE)="813W","Goshi","RAV4")),"")</f>
        <v/>
      </c>
      <c r="T77" s="32" t="str">
        <f>IFERROR(IF(S77="Camry",VLOOKUP(R77,Расчет!$A$2:$Q$650,17,FALSE),VLOOKUP(R77,Расчет!$A$2:$R$650,18,FALSE)),"")</f>
        <v/>
      </c>
      <c r="U77" s="32" t="str">
        <f>IFERROR(VLOOKUP(VLOOKUP(R77,Расчет!$A:$D,4,FALSE),$AT$6:$AV$15,3,FALSE),"")</f>
        <v/>
      </c>
      <c r="V77" s="31" t="str">
        <f>IFERROR(VLOOKUP(IFERROR(VLOOKUP(R77,Расчет!$A$2:$D$650,4,FALSE),0),$AT$3:$AU$15,2,FALSE),"")</f>
        <v/>
      </c>
      <c r="W77" s="33" t="str">
        <f>IFERROR(VLOOKUP(R77,Расчет!$A$2:$E$650,5,FALSE),"")</f>
        <v/>
      </c>
      <c r="X77" s="189"/>
      <c r="Y77" s="191">
        <f t="shared" si="41"/>
        <v>0</v>
      </c>
      <c r="Z77" s="223" t="str">
        <f>IFERROR(IF(VLOOKUP(AC77,Расчет!$A$2:$B$236,2,FALSE)="831W","RAV4","Camry"),"-")</f>
        <v>-</v>
      </c>
      <c r="AA77" s="220" t="str">
        <f>IFERROR(VLOOKUP(AC31,Расчет!$A$2:$E$236,5,FALSE),"-")</f>
        <v>-</v>
      </c>
      <c r="AB77" s="159" t="str">
        <f>IFERROR(SMALL($BT$5:$BT$500,8),"")</f>
        <v/>
      </c>
      <c r="AC77" s="162" t="str">
        <f>IF(VLOOKUP2($BP$5:$BQ$500,1,AB77,COUNTIF($AB$70:AB77,AB77),2)=0,"-",VLOOKUP2($BP$5:$BQ$500,1,AB77,COUNTIF($AB$70:AB77,AB77),2))</f>
        <v>-</v>
      </c>
      <c r="AD77" s="353" t="str">
        <f>IFERROR(VLOOKUP(AC77,Расчет!$BS:$BT,2,FALSE),"")</f>
        <v/>
      </c>
      <c r="AE77" s="89">
        <v>75</v>
      </c>
      <c r="AF77" s="44" t="str">
        <f>IF(VLOOKUP(AE77,Расчет!$AH$2:$AN$201,5,FALSE)="8","C",IF(VLOOKUP(AE77,Расчет!$AH$2:$AN$201,5,FALSE)="G","G","R"))</f>
        <v>C</v>
      </c>
      <c r="AG77" s="73" t="str">
        <f t="shared" si="33"/>
        <v/>
      </c>
      <c r="AH77" s="87" t="str">
        <f>IF(AG77="","",COUNTIF($AG$2:AG77,"C")-COUNTIF($AF$2:AF77,"C")+$AH$1)</f>
        <v/>
      </c>
      <c r="AI77" s="87" t="str">
        <f>IF(AG77="","",COUNTIF($AG$2:AG77,"R")-COUNTIF($AF$2:AF77,"R")+$AI$1)</f>
        <v/>
      </c>
      <c r="AJ77" s="89">
        <v>178</v>
      </c>
      <c r="AK77" s="44" t="str">
        <f>IF(VLOOKUP(AJ77,Расчет!$AH$2:$AN$211,5,FALSE)="8","C",IF(VLOOKUP(AJ77,Расчет!$AH$2:$AN$211,5,FALSE)="G","G","R"))</f>
        <v>C</v>
      </c>
      <c r="AL77" s="74" t="str">
        <f t="shared" si="34"/>
        <v/>
      </c>
      <c r="AM77" s="118" t="str">
        <f>IF(AL77="","",(COUNTIF($AG$2:$AG$105,"C")+COUNTIF($AL$2:$AL77,"C"))-(COUNTIF($AF$2:$AF$105,"C")+COUNTIF($AK$2:$AK77,"C"))+$AH$1)</f>
        <v/>
      </c>
      <c r="AN77" s="119" t="str">
        <f>IF(AL77="","",(COUNTIF($AG$2:$AG$105,"R")+COUNTIF($AL$2:$AL77,"R"))-(COUNTIF($AF$2:$AF$105,"R")+COUNTIF($AK$2:$AK77,"R"))+$AI$1)</f>
        <v/>
      </c>
      <c r="AO77" s="22" t="str">
        <f>IF(E77="","",COUNTA($E$3:E77)+$Z$1)</f>
        <v/>
      </c>
      <c r="AP77" s="88" t="str">
        <f>IF(AO77="","",IF(AO77+Расчет!$Y$57+$BD$2-Расчет!$X$57&gt;200,AO77+Расчет!$Y$57+$BD$2-1000,AO77+Расчет!$Y$57+$BD$2))</f>
        <v/>
      </c>
      <c r="AR77" s="92"/>
      <c r="AS77" s="92"/>
      <c r="BL77" s="172">
        <f>COUNTIF($BM$5:BM77,"&lt;-115")</f>
        <v>0</v>
      </c>
      <c r="BM77" s="154" t="str">
        <f>IFERROR(IF(OR(IFERROR(VLOOKUP(BN77,$E$3:$E$105,1,FALSE),"0")=BN77,IFERROR(VLOOKUP(BN77,$R$3:$R$105,1,FALSE),"0")=BN77),BO77,IF(OR(VLOOKUP(BN77,Расчет!A:E,5,FALSE)="2PS",VLOOKUP(BN77,Расчет!A:E,5,FALSE)="2QL"),IF(VLOOKUP(BN77,Расчет!A:B,2,FALSE)="831W",BN77-$BS$7+$AD$17,BN77-$BS$7+$AD$12),BN77-$BS$7)),"-")</f>
        <v>-</v>
      </c>
      <c r="BN77" s="154">
        <f>IF(OR(Расчет!C74="A0",Расчет!C74="P9",Расчет!B74="722W"),"-",Расчет!A74)</f>
        <v>11219</v>
      </c>
      <c r="BO77" s="173">
        <f t="shared" si="45"/>
        <v>0</v>
      </c>
      <c r="BP77" s="172" t="str">
        <f>IF(BQ77="-","-",IFERROR(IF(OR(VLOOKUP(BN77,Расчет!$A$2:$E$582,5,FALSE)="2PS",VLOOKUP(BN77,Расчет!$A$2:$E$582,5,FALSE)="2QL"),IF(OR(VLOOKUP(BN77,Расчет!$A$2:$E$582,2,FALSE)="664W",VLOOKUP(BN77,Расчет!$A$2:$E$582,2,FALSE)="813W"),IF(BN77-$BS$7&gt;150,BN77-$BS$7-1000+$AD$12,BN77-$BS$7+$AD$12),IF(BN77-$BS$7&gt;150,BN77-$BS$7-1000+$AD$17,BN77-$BS$7+$AD$17)),IF(BN77-$BS$7&gt;150,BN77-$BS$7-1000,BN77-$BS$7)),"-"))</f>
        <v>-</v>
      </c>
      <c r="BQ77" s="173">
        <f t="shared" si="42"/>
        <v>11219</v>
      </c>
      <c r="BR77" s="453"/>
      <c r="BS77" s="171"/>
      <c r="BT77" s="464" t="str">
        <f t="shared" si="43"/>
        <v>-</v>
      </c>
      <c r="BU77" s="464" t="str">
        <f t="shared" si="44"/>
        <v>-</v>
      </c>
      <c r="BX77" s="204">
        <f>COUNTIF($BY$4:BY77,"&lt;100")</f>
        <v>0</v>
      </c>
      <c r="BY77" s="213" t="str">
        <f t="shared" si="35"/>
        <v/>
      </c>
      <c r="BZ77" s="216" t="str">
        <f t="shared" si="36"/>
        <v/>
      </c>
      <c r="CA77" s="213" t="e">
        <f t="shared" si="37"/>
        <v>#N/A</v>
      </c>
      <c r="CB77" s="209" t="e">
        <f t="shared" si="38"/>
        <v>#N/A</v>
      </c>
      <c r="CC77" s="205" t="str">
        <f t="shared" si="46"/>
        <v/>
      </c>
      <c r="CD77" s="205" t="str">
        <f t="shared" si="39"/>
        <v>-</v>
      </c>
      <c r="CE77" s="205">
        <f t="shared" si="47"/>
        <v>0</v>
      </c>
      <c r="CG77" s="20" t="str">
        <f t="shared" si="48"/>
        <v/>
      </c>
    </row>
    <row r="78" spans="1:85" ht="23.1" customHeight="1" thickBot="1">
      <c r="A78" s="40" t="str">
        <f>IF(AND(IFERROR(VLOOKUP(E78,Расчет!A:J,10,FALSE),"  ")&lt;&gt;"  ",IFERROR(LEFT(VLOOKUP(E78,Расчет!A:J,10,FALSE),1)," ")&lt;&gt;"H"),0,IFERROR(IF(F78="Camry",IF(OR(J78="2PS",J78="2QL"),IF(E78-AP78&gt;100,E78-AP78-1000+$AD$12,E78-AP78+$AD$12),IF(E78-AP78&gt;100,E78-AP78-1000,E78-AP78)),IF(J78="2PS",IF(E78-AP78&gt;100,E78-AP78-1000+$AD$17,E78-AP78+$AD$17),IF(E78-AP78&gt;100,E78-AP78-1000,E78-AP78))),"-"))</f>
        <v>-</v>
      </c>
      <c r="B78" s="46">
        <v>76</v>
      </c>
      <c r="C78" s="19" t="str">
        <f>IF(E78="","",COUNTA($E$3:E78))</f>
        <v/>
      </c>
      <c r="D78" s="18" t="str">
        <f t="shared" si="31"/>
        <v/>
      </c>
      <c r="E78" s="30"/>
      <c r="F78" s="44" t="str">
        <f>IFERROR(IF(VLOOKUP(E78,Расчет!$A$2:$B$650,2,FALSE)="664W","Camry",IF(VLOOKUP(E78,Расчет!$A$2:$B$650,2,FALSE)="813W","Goshi","RAV4")),"")</f>
        <v/>
      </c>
      <c r="G78" s="32" t="str">
        <f>IFERROR(IF(F78="Camry",VLOOKUP(E78,Расчет!$A$2:$Q$650,17,FALSE),VLOOKUP(E78,Расчет!$A$2:$R$650,18,FALSE)),"")</f>
        <v/>
      </c>
      <c r="H78" s="32" t="str">
        <f>IFERROR(VLOOKUP(VLOOKUP(E78,Расчет!$A:$D,4,FALSE),$AT$6:$AV$15,3,FALSE),"")</f>
        <v/>
      </c>
      <c r="I78" s="31" t="str">
        <f>IFERROR(VLOOKUP(IFERROR(VLOOKUP(E78,Расчет!$A$2:$D$650,4,FALSE),0),$AT$3:$AU$15,2,FALSE),"")</f>
        <v/>
      </c>
      <c r="J78" s="33" t="str">
        <f>IFERROR(VLOOKUP(E78,Расчет!$A$2:$E$650,5,FALSE),"")</f>
        <v/>
      </c>
      <c r="K78" s="189"/>
      <c r="L78" s="188">
        <f t="shared" si="40"/>
        <v>0</v>
      </c>
      <c r="M78" s="9"/>
      <c r="N78" s="40" t="str">
        <f>IF(AND(IFERROR(VLOOKUP(R78,Расчет!A:J,10,FALSE),"  ")&lt;&gt;"  ",IFERROR(LEFT(VLOOKUP(R78,Расчет!A:J,10,FALSE),1)," ")&lt;&gt;"H"),0,IFERROR(IF(S78="Camry",IF(OR(W78="2PS",W78="2QL"),IF(R78-AP181&gt;100,R78-AP181-1000+$AD$12,R78-AP181+$AD$12),IF(R78-AP181&gt;100,R78-AP181-1000,R78-AP181)),IF(W78="2PS",IF(R78-AP181&gt;100,R78-AP181-1000+$AD$17,R78-AP181+$AD$17),IF(R78-AP181&gt;100,R78-AP181-1000,R78-AP181))),"-"))</f>
        <v>-</v>
      </c>
      <c r="O78" s="46">
        <v>179</v>
      </c>
      <c r="P78" s="19" t="str">
        <f>IF(R78="","",COUNTA($R$3:R78)+$C$105)</f>
        <v/>
      </c>
      <c r="Q78" s="18" t="str">
        <f t="shared" si="32"/>
        <v/>
      </c>
      <c r="R78" s="30"/>
      <c r="S78" s="45" t="str">
        <f>IFERROR(IF(VLOOKUP(R78,Расчет!$A$2:$B$650,2,FALSE)="664W","Camry",IF(VLOOKUP(R78,Расчет!$A$2:$B$650,2,FALSE)="813W","Goshi","RAV4")),"")</f>
        <v/>
      </c>
      <c r="T78" s="32" t="str">
        <f>IFERROR(IF(S78="Camry",VLOOKUP(R78,Расчет!$A$2:$Q$650,17,FALSE),VLOOKUP(R78,Расчет!$A$2:$R$650,18,FALSE)),"")</f>
        <v/>
      </c>
      <c r="U78" s="32" t="str">
        <f>IFERROR(VLOOKUP(VLOOKUP(R78,Расчет!$A:$D,4,FALSE),$AT$6:$AV$15,3,FALSE),"")</f>
        <v/>
      </c>
      <c r="V78" s="31" t="str">
        <f>IFERROR(VLOOKUP(IFERROR(VLOOKUP(R78,Расчет!$A$2:$D$650,4,FALSE),0),$AT$3:$AU$15,2,FALSE),"")</f>
        <v/>
      </c>
      <c r="W78" s="33" t="str">
        <f>IFERROR(VLOOKUP(R78,Расчет!$A$2:$E$650,5,FALSE),"")</f>
        <v/>
      </c>
      <c r="X78" s="189"/>
      <c r="Y78" s="191">
        <f t="shared" si="41"/>
        <v>0</v>
      </c>
      <c r="Z78" s="224" t="str">
        <f>IFERROR(IF(VLOOKUP(AC78,Расчет!$A$2:$B$236,2,FALSE)="831W","RAV4","Camry"),"-")</f>
        <v>-</v>
      </c>
      <c r="AA78" s="225" t="str">
        <f>IFERROR(VLOOKUP(AC32,Расчет!$A$2:$E$236,5,FALSE),"-")</f>
        <v>-</v>
      </c>
      <c r="AB78" s="160" t="str">
        <f>IFERROR(SMALL($BT$5:$BT$500,9),"")</f>
        <v/>
      </c>
      <c r="AC78" s="163" t="str">
        <f>IF(VLOOKUP2($BP$5:$BQ$500,1,AB78,COUNTIF($AB$70:AB78,AB78),2)=0,"-",VLOOKUP2($BP$5:$BQ$500,1,AB78,COUNTIF($AB$70:AB78,AB78),2))</f>
        <v>-</v>
      </c>
      <c r="AD78" s="147" t="str">
        <f>IFERROR(VLOOKUP(AC78,Расчет!$BS:$BT,2,FALSE),"")</f>
        <v/>
      </c>
      <c r="AE78" s="89">
        <v>76</v>
      </c>
      <c r="AF78" s="44" t="str">
        <f>IF(VLOOKUP(AE78,Расчет!$AH$2:$AN$201,5,FALSE)="8","C",IF(VLOOKUP(AE78,Расчет!$AH$2:$AN$201,5,FALSE)="G","G","R"))</f>
        <v>R</v>
      </c>
      <c r="AG78" s="73" t="str">
        <f t="shared" si="33"/>
        <v/>
      </c>
      <c r="AH78" s="87" t="str">
        <f>IF(AG78="","",COUNTIF($AG$2:AG78,"C")-COUNTIF($AF$2:AF78,"C")+$AH$1)</f>
        <v/>
      </c>
      <c r="AI78" s="87" t="str">
        <f>IF(AG78="","",COUNTIF($AG$2:AG78,"R")-COUNTIF($AF$2:AF78,"R")+$AI$1)</f>
        <v/>
      </c>
      <c r="AJ78" s="89">
        <v>179</v>
      </c>
      <c r="AK78" s="44" t="str">
        <f>IF(VLOOKUP(AJ78,Расчет!$AH$2:$AN$211,5,FALSE)="8","C",IF(VLOOKUP(AJ78,Расчет!$AH$2:$AN$211,5,FALSE)="G","G","R"))</f>
        <v>R</v>
      </c>
      <c r="AL78" s="74" t="str">
        <f t="shared" si="34"/>
        <v/>
      </c>
      <c r="AM78" s="118" t="str">
        <f>IF(AL78="","",(COUNTIF($AG$2:$AG$105,"C")+COUNTIF($AL$2:$AL78,"C"))-(COUNTIF($AF$2:$AF$105,"C")+COUNTIF($AK$2:$AK78,"C"))+$AH$1)</f>
        <v/>
      </c>
      <c r="AN78" s="119" t="str">
        <f>IF(AL78="","",(COUNTIF($AG$2:$AG$105,"R")+COUNTIF($AL$2:$AL78,"R"))-(COUNTIF($AF$2:$AF$105,"R")+COUNTIF($AK$2:$AK78,"R"))+$AI$1)</f>
        <v/>
      </c>
      <c r="AO78" s="22" t="str">
        <f>IF(E78="","",COUNTA($E$3:E78)+$Z$1)</f>
        <v/>
      </c>
      <c r="AP78" s="88" t="str">
        <f>IF(AO78="","",IF(AO78+Расчет!$Y$57+$BD$2-Расчет!$X$57&gt;200,AO78+Расчет!$Y$57+$BD$2-1000,AO78+Расчет!$Y$57+$BD$2))</f>
        <v/>
      </c>
      <c r="AR78" s="92"/>
      <c r="AS78" s="92"/>
      <c r="BL78" s="172">
        <f>COUNTIF($BM$5:BM78,"&lt;-115")</f>
        <v>0</v>
      </c>
      <c r="BM78" s="154" t="str">
        <f>IFERROR(IF(OR(IFERROR(VLOOKUP(BN78,$E$3:$E$105,1,FALSE),"0")=BN78,IFERROR(VLOOKUP(BN78,$R$3:$R$105,1,FALSE),"0")=BN78),BO78,IF(OR(VLOOKUP(BN78,Расчет!A:E,5,FALSE)="2PS",VLOOKUP(BN78,Расчет!A:E,5,FALSE)="2QL"),IF(VLOOKUP(BN78,Расчет!A:B,2,FALSE)="831W",BN78-$BS$7+$AD$17,BN78-$BS$7+$AD$12),BN78-$BS$7)),"-")</f>
        <v>-</v>
      </c>
      <c r="BN78" s="154">
        <f>IF(OR(Расчет!C75="A0",Расчет!C75="P9",Расчет!B75="722W"),"-",Расчет!A75)</f>
        <v>11220</v>
      </c>
      <c r="BO78" s="173">
        <f t="shared" si="45"/>
        <v>0</v>
      </c>
      <c r="BP78" s="172" t="str">
        <f>IF(BQ78="-","-",IFERROR(IF(OR(VLOOKUP(BN78,Расчет!$A$2:$E$582,5,FALSE)="2PS",VLOOKUP(BN78,Расчет!$A$2:$E$582,5,FALSE)="2QL"),IF(OR(VLOOKUP(BN78,Расчет!$A$2:$E$582,2,FALSE)="664W",VLOOKUP(BN78,Расчет!$A$2:$E$582,2,FALSE)="813W"),IF(BN78-$BS$7&gt;150,BN78-$BS$7-1000+$AD$12,BN78-$BS$7+$AD$12),IF(BN78-$BS$7&gt;150,BN78-$BS$7-1000+$AD$17,BN78-$BS$7+$AD$17)),IF(BN78-$BS$7&gt;150,BN78-$BS$7-1000,BN78-$BS$7)),"-"))</f>
        <v>-</v>
      </c>
      <c r="BQ78" s="173">
        <f t="shared" si="42"/>
        <v>11220</v>
      </c>
      <c r="BR78" s="453"/>
      <c r="BS78" s="171"/>
      <c r="BT78" s="464" t="str">
        <f t="shared" si="43"/>
        <v>-</v>
      </c>
      <c r="BU78" s="464" t="str">
        <f t="shared" si="44"/>
        <v>-</v>
      </c>
      <c r="BX78" s="204">
        <f>COUNTIF($BY$4:BY78,"&lt;100")</f>
        <v>0</v>
      </c>
      <c r="BY78" s="213" t="str">
        <f t="shared" si="35"/>
        <v/>
      </c>
      <c r="BZ78" s="216" t="str">
        <f t="shared" si="36"/>
        <v/>
      </c>
      <c r="CA78" s="213" t="e">
        <f t="shared" si="37"/>
        <v>#N/A</v>
      </c>
      <c r="CB78" s="209" t="e">
        <f t="shared" si="38"/>
        <v>#N/A</v>
      </c>
      <c r="CC78" s="205" t="str">
        <f t="shared" si="46"/>
        <v/>
      </c>
      <c r="CD78" s="205" t="str">
        <f t="shared" si="39"/>
        <v>-</v>
      </c>
      <c r="CE78" s="205">
        <f t="shared" si="47"/>
        <v>0</v>
      </c>
      <c r="CG78" s="20" t="str">
        <f t="shared" si="48"/>
        <v/>
      </c>
    </row>
    <row r="79" spans="1:85" ht="23.1" customHeight="1" thickBot="1">
      <c r="A79" s="40" t="str">
        <f>IF(AND(IFERROR(VLOOKUP(E79,Расчет!A:J,10,FALSE),"  ")&lt;&gt;"  ",IFERROR(LEFT(VLOOKUP(E79,Расчет!A:J,10,FALSE),1)," ")&lt;&gt;"H"),0,IFERROR(IF(F79="Camry",IF(OR(J79="2PS",J79="2QL"),IF(E79-AP79&gt;100,E79-AP79-1000+$AD$12,E79-AP79+$AD$12),IF(E79-AP79&gt;100,E79-AP79-1000,E79-AP79)),IF(J79="2PS",IF(E79-AP79&gt;100,E79-AP79-1000+$AD$17,E79-AP79+$AD$17),IF(E79-AP79&gt;100,E79-AP79-1000,E79-AP79))),"-"))</f>
        <v>-</v>
      </c>
      <c r="B79" s="46">
        <v>77</v>
      </c>
      <c r="C79" s="19" t="str">
        <f>IF(E79="","",COUNTA($E$3:E79))</f>
        <v/>
      </c>
      <c r="D79" s="18" t="str">
        <f t="shared" si="31"/>
        <v/>
      </c>
      <c r="E79" s="30"/>
      <c r="F79" s="44" t="str">
        <f>IFERROR(IF(VLOOKUP(E79,Расчет!$A$2:$B$650,2,FALSE)="664W","Camry",IF(VLOOKUP(E79,Расчет!$A$2:$B$650,2,FALSE)="813W","Goshi","RAV4")),"")</f>
        <v/>
      </c>
      <c r="G79" s="32" t="str">
        <f>IFERROR(IF(F79="Camry",VLOOKUP(E79,Расчет!$A$2:$Q$650,17,FALSE),VLOOKUP(E79,Расчет!$A$2:$R$650,18,FALSE)),"")</f>
        <v/>
      </c>
      <c r="H79" s="32" t="str">
        <f>IFERROR(VLOOKUP(VLOOKUP(E79,Расчет!$A:$D,4,FALSE),$AT$6:$AV$15,3,FALSE),"")</f>
        <v/>
      </c>
      <c r="I79" s="31" t="str">
        <f>IFERROR(VLOOKUP(IFERROR(VLOOKUP(E79,Расчет!$A$2:$D$650,4,FALSE),0),$AT$3:$AU$15,2,FALSE),"")</f>
        <v/>
      </c>
      <c r="J79" s="33" t="str">
        <f>IFERROR(VLOOKUP(E79,Расчет!$A$2:$E$650,5,FALSE),"")</f>
        <v/>
      </c>
      <c r="K79" s="189"/>
      <c r="L79" s="188">
        <f t="shared" si="40"/>
        <v>0</v>
      </c>
      <c r="M79" s="9"/>
      <c r="N79" s="40" t="str">
        <f>IF(AND(IFERROR(VLOOKUP(R79,Расчет!A:J,10,FALSE),"  ")&lt;&gt;"  ",IFERROR(LEFT(VLOOKUP(R79,Расчет!A:J,10,FALSE),1)," ")&lt;&gt;"H"),0,IFERROR(IF(S79="Camry",IF(OR(W79="2PS",W79="2QL"),IF(R79-AP182&gt;100,R79-AP182-1000+$AD$12,R79-AP182+$AD$12),IF(R79-AP182&gt;100,R79-AP182-1000,R79-AP182)),IF(W79="2PS",IF(R79-AP182&gt;100,R79-AP182-1000+$AD$17,R79-AP182+$AD$17),IF(R79-AP182&gt;100,R79-AP182-1000,R79-AP182))),"-"))</f>
        <v>-</v>
      </c>
      <c r="O79" s="46">
        <v>180</v>
      </c>
      <c r="P79" s="19" t="str">
        <f>IF(R79="","",COUNTA($R$3:R79)+$C$105)</f>
        <v/>
      </c>
      <c r="Q79" s="18" t="str">
        <f t="shared" si="32"/>
        <v/>
      </c>
      <c r="R79" s="30"/>
      <c r="S79" s="45" t="str">
        <f>IFERROR(IF(VLOOKUP(R79,Расчет!$A$2:$B$650,2,FALSE)="664W","Camry",IF(VLOOKUP(R79,Расчет!$A$2:$B$650,2,FALSE)="813W","Goshi","RAV4")),"")</f>
        <v/>
      </c>
      <c r="T79" s="32" t="str">
        <f>IFERROR(IF(S79="Camry",VLOOKUP(R79,Расчет!$A$2:$Q$650,17,FALSE),VLOOKUP(R79,Расчет!$A$2:$R$650,18,FALSE)),"")</f>
        <v/>
      </c>
      <c r="U79" s="32" t="str">
        <f>IFERROR(VLOOKUP(VLOOKUP(R79,Расчет!$A:$D,4,FALSE),$AT$6:$AV$15,3,FALSE),"")</f>
        <v/>
      </c>
      <c r="V79" s="31" t="str">
        <f>IFERROR(VLOOKUP(IFERROR(VLOOKUP(R79,Расчет!$A$2:$D$650,4,FALSE),0),$AT$3:$AU$15,2,FALSE),"")</f>
        <v/>
      </c>
      <c r="W79" s="33" t="str">
        <f>IFERROR(VLOOKUP(R79,Расчет!$A$2:$E$650,5,FALSE),"")</f>
        <v/>
      </c>
      <c r="X79" s="189"/>
      <c r="Y79" s="191">
        <f t="shared" si="41"/>
        <v>0</v>
      </c>
      <c r="Z79" s="749" t="s">
        <v>146</v>
      </c>
      <c r="AA79" s="750"/>
      <c r="AB79" s="750"/>
      <c r="AC79" s="751"/>
      <c r="AD79" s="56"/>
      <c r="AE79" s="89">
        <v>77</v>
      </c>
      <c r="AF79" s="44" t="str">
        <f>IF(VLOOKUP(AE79,Расчет!$AH$2:$AN$201,5,FALSE)="8","C",IF(VLOOKUP(AE79,Расчет!$AH$2:$AN$201,5,FALSE)="G","G","R"))</f>
        <v>C</v>
      </c>
      <c r="AG79" s="73" t="str">
        <f t="shared" si="33"/>
        <v/>
      </c>
      <c r="AH79" s="87" t="str">
        <f>IF(AG79="","",COUNTIF($AG$2:AG79,"C")-COUNTIF($AF$2:AF79,"C")+$AH$1)</f>
        <v/>
      </c>
      <c r="AI79" s="87" t="str">
        <f>IF(AG79="","",COUNTIF($AG$2:AG79,"R")-COUNTIF($AF$2:AF79,"R")+$AI$1)</f>
        <v/>
      </c>
      <c r="AJ79" s="89">
        <v>180</v>
      </c>
      <c r="AK79" s="44" t="str">
        <f>IF(VLOOKUP(AJ79,Расчет!$AH$2:$AN$211,5,FALSE)="8","C",IF(VLOOKUP(AJ79,Расчет!$AH$2:$AN$211,5,FALSE)="G","G","R"))</f>
        <v>C</v>
      </c>
      <c r="AL79" s="74" t="str">
        <f t="shared" si="34"/>
        <v/>
      </c>
      <c r="AM79" s="118" t="str">
        <f>IF(AL79="","",(COUNTIF($AG$2:$AG$105,"C")+COUNTIF($AL$2:$AL79,"C"))-(COUNTIF($AF$2:$AF$105,"C")+COUNTIF($AK$2:$AK79,"C"))+$AH$1)</f>
        <v/>
      </c>
      <c r="AN79" s="119" t="str">
        <f>IF(AL79="","",(COUNTIF($AG$2:$AG$105,"R")+COUNTIF($AL$2:$AL79,"R"))-(COUNTIF($AF$2:$AF$105,"R")+COUNTIF($AK$2:$AK79,"R"))+$AI$1)</f>
        <v/>
      </c>
      <c r="AO79" s="22" t="str">
        <f>IF(E79="","",COUNTA($E$3:E79)+$Z$1)</f>
        <v/>
      </c>
      <c r="AP79" s="88" t="str">
        <f>IF(AO79="","",IF(AO79+Расчет!$Y$57+$BD$2-Расчет!$X$57&gt;200,AO79+Расчет!$Y$57+$BD$2-1000,AO79+Расчет!$Y$57+$BD$2))</f>
        <v/>
      </c>
      <c r="AR79" s="92"/>
      <c r="AS79" s="92"/>
      <c r="BL79" s="172">
        <f>COUNTIF($BM$5:BM79,"&lt;-115")</f>
        <v>0</v>
      </c>
      <c r="BM79" s="154" t="str">
        <f>IFERROR(IF(OR(IFERROR(VLOOKUP(BN79,$E$3:$E$105,1,FALSE),"0")=BN79,IFERROR(VLOOKUP(BN79,$R$3:$R$105,1,FALSE),"0")=BN79),BO79,IF(OR(VLOOKUP(BN79,Расчет!A:E,5,FALSE)="2PS",VLOOKUP(BN79,Расчет!A:E,5,FALSE)="2QL"),IF(VLOOKUP(BN79,Расчет!A:B,2,FALSE)="831W",BN79-$BS$7+$AD$17,BN79-$BS$7+$AD$12),BN79-$BS$7)),"-")</f>
        <v>-</v>
      </c>
      <c r="BN79" s="154">
        <f>IF(OR(Расчет!C76="A0",Расчет!C76="P9",Расчет!B76="722W"),"-",Расчет!A76)</f>
        <v>11221</v>
      </c>
      <c r="BO79" s="173">
        <f t="shared" si="45"/>
        <v>0</v>
      </c>
      <c r="BP79" s="172" t="str">
        <f>IF(BQ79="-","-",IFERROR(IF(OR(VLOOKUP(BN79,Расчет!$A$2:$E$582,5,FALSE)="2PS",VLOOKUP(BN79,Расчет!$A$2:$E$582,5,FALSE)="2QL"),IF(OR(VLOOKUP(BN79,Расчет!$A$2:$E$582,2,FALSE)="664W",VLOOKUP(BN79,Расчет!$A$2:$E$582,2,FALSE)="813W"),IF(BN79-$BS$7&gt;150,BN79-$BS$7-1000+$AD$12,BN79-$BS$7+$AD$12),IF(BN79-$BS$7&gt;150,BN79-$BS$7-1000+$AD$17,BN79-$BS$7+$AD$17)),IF(BN79-$BS$7&gt;150,BN79-$BS$7-1000,BN79-$BS$7)),"-"))</f>
        <v>-</v>
      </c>
      <c r="BQ79" s="173">
        <f t="shared" si="42"/>
        <v>11221</v>
      </c>
      <c r="BR79" s="453"/>
      <c r="BS79" s="171"/>
      <c r="BT79" s="464" t="str">
        <f t="shared" si="43"/>
        <v>-</v>
      </c>
      <c r="BU79" s="464" t="str">
        <f t="shared" si="44"/>
        <v>-</v>
      </c>
      <c r="BX79" s="204">
        <f>COUNTIF($BY$4:BY79,"&lt;100")</f>
        <v>0</v>
      </c>
      <c r="BY79" s="213" t="str">
        <f t="shared" si="35"/>
        <v/>
      </c>
      <c r="BZ79" s="216" t="str">
        <f t="shared" si="36"/>
        <v/>
      </c>
      <c r="CA79" s="213" t="e">
        <f t="shared" si="37"/>
        <v>#N/A</v>
      </c>
      <c r="CB79" s="209" t="e">
        <f t="shared" si="38"/>
        <v>#N/A</v>
      </c>
      <c r="CC79" s="205" t="str">
        <f t="shared" si="46"/>
        <v/>
      </c>
      <c r="CD79" s="205" t="str">
        <f t="shared" si="39"/>
        <v>-</v>
      </c>
      <c r="CE79" s="205">
        <f t="shared" si="47"/>
        <v>0</v>
      </c>
      <c r="CG79" s="20" t="str">
        <f t="shared" si="48"/>
        <v/>
      </c>
    </row>
    <row r="80" spans="1:85" ht="23.1" customHeight="1" thickBot="1">
      <c r="A80" s="40" t="str">
        <f>IF(AND(IFERROR(VLOOKUP(E80,Расчет!A:J,10,FALSE),"  ")&lt;&gt;"  ",IFERROR(LEFT(VLOOKUP(E80,Расчет!A:J,10,FALSE),1)," ")&lt;&gt;"H"),0,IFERROR(IF(F80="Camry",IF(OR(J80="2PS",J80="2QL"),IF(E80-AP80&gt;100,E80-AP80-1000+$AD$12,E80-AP80+$AD$12),IF(E80-AP80&gt;100,E80-AP80-1000,E80-AP80)),IF(J80="2PS",IF(E80-AP80&gt;100,E80-AP80-1000+$AD$17,E80-AP80+$AD$17),IF(E80-AP80&gt;100,E80-AP80-1000,E80-AP80))),"-"))</f>
        <v>-</v>
      </c>
      <c r="B80" s="46">
        <v>78</v>
      </c>
      <c r="C80" s="19" t="str">
        <f>IF(E80="","",COUNTA($E$3:E80))</f>
        <v/>
      </c>
      <c r="D80" s="18" t="str">
        <f t="shared" si="31"/>
        <v/>
      </c>
      <c r="E80" s="30"/>
      <c r="F80" s="44" t="str">
        <f>IFERROR(IF(VLOOKUP(E80,Расчет!$A$2:$B$650,2,FALSE)="664W","Camry",IF(VLOOKUP(E80,Расчет!$A$2:$B$650,2,FALSE)="813W","Goshi","RAV4")),"")</f>
        <v/>
      </c>
      <c r="G80" s="32" t="str">
        <f>IFERROR(IF(F80="Camry",VLOOKUP(E80,Расчет!$A$2:$Q$650,17,FALSE),VLOOKUP(E80,Расчет!$A$2:$R$650,18,FALSE)),"")</f>
        <v/>
      </c>
      <c r="H80" s="32" t="str">
        <f>IFERROR(VLOOKUP(VLOOKUP(E80,Расчет!$A:$D,4,FALSE),$AT$6:$AV$15,3,FALSE),"")</f>
        <v/>
      </c>
      <c r="I80" s="31" t="str">
        <f>IFERROR(VLOOKUP(IFERROR(VLOOKUP(E80,Расчет!$A$2:$D$650,4,FALSE),0),$AT$3:$AU$15,2,FALSE),"")</f>
        <v/>
      </c>
      <c r="J80" s="33" t="str">
        <f>IFERROR(VLOOKUP(E80,Расчет!$A$2:$E$650,5,FALSE),"")</f>
        <v/>
      </c>
      <c r="K80" s="189"/>
      <c r="L80" s="188">
        <f t="shared" si="40"/>
        <v>0</v>
      </c>
      <c r="M80" s="9"/>
      <c r="N80" s="40" t="str">
        <f>IF(AND(IFERROR(VLOOKUP(R80,Расчет!A:J,10,FALSE),"  ")&lt;&gt;"  ",IFERROR(LEFT(VLOOKUP(R80,Расчет!A:J,10,FALSE),1)," ")&lt;&gt;"H"),0,IFERROR(IF(S80="Camry",IF(OR(W80="2PS",W80="2QL"),IF(R80-AP183&gt;100,R80-AP183-1000+$AD$12,R80-AP183+$AD$12),IF(R80-AP183&gt;100,R80-AP183-1000,R80-AP183)),IF(W80="2PS",IF(R80-AP183&gt;100,R80-AP183-1000+$AD$17,R80-AP183+$AD$17),IF(R80-AP183&gt;100,R80-AP183-1000,R80-AP183))),"-"))</f>
        <v>-</v>
      </c>
      <c r="O80" s="46">
        <v>181</v>
      </c>
      <c r="P80" s="19" t="str">
        <f>IF(R80="","",COUNTA($R$3:R80)+$C$105)</f>
        <v/>
      </c>
      <c r="Q80" s="18" t="str">
        <f t="shared" si="32"/>
        <v/>
      </c>
      <c r="R80" s="30"/>
      <c r="S80" s="45" t="str">
        <f>IFERROR(IF(VLOOKUP(R80,Расчет!$A$2:$B$650,2,FALSE)="664W","Camry",IF(VLOOKUP(R80,Расчет!$A$2:$B$650,2,FALSE)="813W","Goshi","RAV4")),"")</f>
        <v/>
      </c>
      <c r="T80" s="32" t="str">
        <f>IFERROR(IF(S80="Camry",VLOOKUP(R80,Расчет!$A$2:$Q$650,17,FALSE),VLOOKUP(R80,Расчет!$A$2:$R$650,18,FALSE)),"")</f>
        <v/>
      </c>
      <c r="U80" s="32" t="str">
        <f>IFERROR(VLOOKUP(VLOOKUP(R80,Расчет!$A:$D,4,FALSE),$AT$6:$AV$15,3,FALSE),"")</f>
        <v/>
      </c>
      <c r="V80" s="31" t="str">
        <f>IFERROR(VLOOKUP(IFERROR(VLOOKUP(R80,Расчет!$A$2:$D$650,4,FALSE),0),$AT$3:$AU$15,2,FALSE),"")</f>
        <v/>
      </c>
      <c r="W80" s="33" t="str">
        <f>IFERROR(VLOOKUP(R80,Расчет!$A$2:$E$650,5,FALSE),"")</f>
        <v/>
      </c>
      <c r="X80" s="189"/>
      <c r="Y80" s="191">
        <f t="shared" si="41"/>
        <v>0</v>
      </c>
      <c r="Z80" s="155" t="s">
        <v>27</v>
      </c>
      <c r="AA80" s="219" t="s">
        <v>8</v>
      </c>
      <c r="AB80" s="155" t="s">
        <v>137</v>
      </c>
      <c r="AC80" s="155" t="s">
        <v>26</v>
      </c>
      <c r="AD80" s="155" t="s">
        <v>132</v>
      </c>
      <c r="AE80" s="89">
        <v>78</v>
      </c>
      <c r="AF80" s="44" t="str">
        <f>IF(VLOOKUP(AE80,Расчет!$AH$2:$AN$201,5,FALSE)="8","C",IF(VLOOKUP(AE80,Расчет!$AH$2:$AN$201,5,FALSE)="G","G","R"))</f>
        <v>R</v>
      </c>
      <c r="AG80" s="73" t="str">
        <f t="shared" si="33"/>
        <v/>
      </c>
      <c r="AH80" s="87" t="str">
        <f>IF(AG80="","",COUNTIF($AG$2:AG80,"C")-COUNTIF($AF$2:AF80,"C")+$AH$1)</f>
        <v/>
      </c>
      <c r="AI80" s="87" t="str">
        <f>IF(AG80="","",COUNTIF($AG$2:AG80,"R")-COUNTIF($AF$2:AF80,"R")+$AI$1)</f>
        <v/>
      </c>
      <c r="AJ80" s="89">
        <v>181</v>
      </c>
      <c r="AK80" s="44" t="str">
        <f>IF(VLOOKUP(AJ80,Расчет!$AH$2:$AN$211,5,FALSE)="8","C",IF(VLOOKUP(AJ80,Расчет!$AH$2:$AN$211,5,FALSE)="G","G","R"))</f>
        <v>R</v>
      </c>
      <c r="AL80" s="74" t="str">
        <f t="shared" si="34"/>
        <v/>
      </c>
      <c r="AM80" s="118" t="str">
        <f>IF(AL80="","",(COUNTIF($AG$2:$AG$105,"C")+COUNTIF($AL$2:$AL80,"C"))-(COUNTIF($AF$2:$AF$105,"C")+COUNTIF($AK$2:$AK80,"C"))+$AH$1)</f>
        <v/>
      </c>
      <c r="AN80" s="119" t="str">
        <f>IF(AL80="","",(COUNTIF($AG$2:$AG$105,"R")+COUNTIF($AL$2:$AL80,"R"))-(COUNTIF($AF$2:$AF$105,"R")+COUNTIF($AK$2:$AK80,"R"))+$AI$1)</f>
        <v/>
      </c>
      <c r="AO80" s="22" t="str">
        <f>IF(E80="","",COUNTA($E$3:E80)+$Z$1)</f>
        <v/>
      </c>
      <c r="AP80" s="88" t="str">
        <f>IF(AO80="","",IF(AO80+Расчет!$Y$57+$BD$2-Расчет!$X$57&gt;200,AO80+Расчет!$Y$57+$BD$2-1000,AO80+Расчет!$Y$57+$BD$2))</f>
        <v/>
      </c>
      <c r="AR80" s="92"/>
      <c r="AS80" s="92"/>
      <c r="BL80" s="172">
        <f>COUNTIF($BM$5:BM80,"&lt;-115")</f>
        <v>0</v>
      </c>
      <c r="BM80" s="154" t="str">
        <f>IFERROR(IF(OR(IFERROR(VLOOKUP(BN80,$E$3:$E$105,1,FALSE),"0")=BN80,IFERROR(VLOOKUP(BN80,$R$3:$R$105,1,FALSE),"0")=BN80),BO80,IF(OR(VLOOKUP(BN80,Расчет!A:E,5,FALSE)="2PS",VLOOKUP(BN80,Расчет!A:E,5,FALSE)="2QL"),IF(VLOOKUP(BN80,Расчет!A:B,2,FALSE)="831W",BN80-$BS$7+$AD$17,BN80-$BS$7+$AD$12),BN80-$BS$7)),"-")</f>
        <v>-</v>
      </c>
      <c r="BN80" s="154">
        <f>IF(OR(Расчет!C77="A0",Расчет!C77="P9",Расчет!B77="722W"),"-",Расчет!A77)</f>
        <v>11222</v>
      </c>
      <c r="BO80" s="173">
        <f t="shared" si="45"/>
        <v>0</v>
      </c>
      <c r="BP80" s="172" t="str">
        <f>IF(BQ80="-","-",IFERROR(IF(OR(VLOOKUP(BN80,Расчет!$A$2:$E$582,5,FALSE)="2PS",VLOOKUP(BN80,Расчет!$A$2:$E$582,5,FALSE)="2QL"),IF(OR(VLOOKUP(BN80,Расчет!$A$2:$E$582,2,FALSE)="664W",VLOOKUP(BN80,Расчет!$A$2:$E$582,2,FALSE)="813W"),IF(BN80-$BS$7&gt;150,BN80-$BS$7-1000+$AD$12,BN80-$BS$7+$AD$12),IF(BN80-$BS$7&gt;150,BN80-$BS$7-1000+$AD$17,BN80-$BS$7+$AD$17)),IF(BN80-$BS$7&gt;150,BN80-$BS$7-1000,BN80-$BS$7)),"-"))</f>
        <v>-</v>
      </c>
      <c r="BQ80" s="173">
        <f t="shared" si="42"/>
        <v>11222</v>
      </c>
      <c r="BR80" s="453"/>
      <c r="BS80" s="171"/>
      <c r="BT80" s="464" t="str">
        <f t="shared" si="43"/>
        <v>-</v>
      </c>
      <c r="BU80" s="464" t="str">
        <f t="shared" si="44"/>
        <v>-</v>
      </c>
      <c r="BX80" s="204">
        <f>COUNTIF($BY$4:BY80,"&lt;100")</f>
        <v>0</v>
      </c>
      <c r="BY80" s="213" t="str">
        <f t="shared" si="35"/>
        <v/>
      </c>
      <c r="BZ80" s="216" t="str">
        <f t="shared" si="36"/>
        <v/>
      </c>
      <c r="CA80" s="213" t="e">
        <f t="shared" si="37"/>
        <v>#N/A</v>
      </c>
      <c r="CB80" s="209" t="e">
        <f t="shared" si="38"/>
        <v>#N/A</v>
      </c>
      <c r="CC80" s="205" t="str">
        <f t="shared" si="46"/>
        <v/>
      </c>
      <c r="CD80" s="205" t="str">
        <f t="shared" si="39"/>
        <v>-</v>
      </c>
      <c r="CE80" s="205">
        <f t="shared" si="47"/>
        <v>0</v>
      </c>
      <c r="CG80" s="20" t="str">
        <f t="shared" si="48"/>
        <v/>
      </c>
    </row>
    <row r="81" spans="1:85" ht="23.1" customHeight="1">
      <c r="A81" s="40" t="str">
        <f>IF(AND(IFERROR(VLOOKUP(E81,Расчет!A:J,10,FALSE),"  ")&lt;&gt;"  ",IFERROR(LEFT(VLOOKUP(E81,Расчет!A:J,10,FALSE),1)," ")&lt;&gt;"H"),0,IFERROR(IF(F81="Camry",IF(OR(J81="2PS",J81="2QL"),IF(E81-AP81&gt;100,E81-AP81-1000+$AD$12,E81-AP81+$AD$12),IF(E81-AP81&gt;100,E81-AP81-1000,E81-AP81)),IF(J81="2PS",IF(E81-AP81&gt;100,E81-AP81-1000+$AD$17,E81-AP81+$AD$17),IF(E81-AP81&gt;100,E81-AP81-1000,E81-AP81))),"-"))</f>
        <v>-</v>
      </c>
      <c r="B81" s="46">
        <v>79</v>
      </c>
      <c r="C81" s="19" t="str">
        <f>IF(E81="","",COUNTA($E$3:E81))</f>
        <v/>
      </c>
      <c r="D81" s="18" t="str">
        <f t="shared" si="31"/>
        <v/>
      </c>
      <c r="E81" s="30"/>
      <c r="F81" s="44" t="str">
        <f>IFERROR(IF(VLOOKUP(E81,Расчет!$A$2:$B$650,2,FALSE)="664W","Camry",IF(VLOOKUP(E81,Расчет!$A$2:$B$650,2,FALSE)="813W","Goshi","RAV4")),"")</f>
        <v/>
      </c>
      <c r="G81" s="32" t="str">
        <f>IFERROR(IF(F81="Camry",VLOOKUP(E81,Расчет!$A$2:$Q$650,17,FALSE),VLOOKUP(E81,Расчет!$A$2:$R$650,18,FALSE)),"")</f>
        <v/>
      </c>
      <c r="H81" s="32" t="str">
        <f>IFERROR(VLOOKUP(VLOOKUP(E81,Расчет!$A:$D,4,FALSE),$AT$6:$AV$15,3,FALSE),"")</f>
        <v/>
      </c>
      <c r="I81" s="31" t="str">
        <f>IFERROR(VLOOKUP(IFERROR(VLOOKUP(E81,Расчет!$A$2:$D$650,4,FALSE),0),$AT$3:$AU$15,2,FALSE),"")</f>
        <v/>
      </c>
      <c r="J81" s="33" t="str">
        <f>IFERROR(VLOOKUP(E81,Расчет!$A$2:$E$650,5,FALSE),"")</f>
        <v/>
      </c>
      <c r="K81" s="189"/>
      <c r="L81" s="188">
        <f t="shared" si="40"/>
        <v>0</v>
      </c>
      <c r="M81" s="9"/>
      <c r="N81" s="40" t="str">
        <f>IF(AND(IFERROR(VLOOKUP(R81,Расчет!A:J,10,FALSE),"  ")&lt;&gt;"  ",IFERROR(LEFT(VLOOKUP(R81,Расчет!A:J,10,FALSE),1)," ")&lt;&gt;"H"),0,IFERROR(IF(S81="Camry",IF(OR(W81="2PS",W81="2QL"),IF(R81-AP184&gt;100,R81-AP184-1000+$AD$12,R81-AP184+$AD$12),IF(R81-AP184&gt;100,R81-AP184-1000,R81-AP184)),IF(W81="2PS",IF(R81-AP184&gt;100,R81-AP184-1000+$AD$17,R81-AP184+$AD$17),IF(R81-AP184&gt;100,R81-AP184-1000,R81-AP184))),"-"))</f>
        <v>-</v>
      </c>
      <c r="O81" s="46">
        <v>182</v>
      </c>
      <c r="P81" s="19" t="str">
        <f>IF(R81="","",COUNTA($R$3:R81)+$C$105)</f>
        <v/>
      </c>
      <c r="Q81" s="18" t="str">
        <f t="shared" si="32"/>
        <v/>
      </c>
      <c r="R81" s="30"/>
      <c r="S81" s="45" t="str">
        <f>IFERROR(IF(VLOOKUP(R81,Расчет!$A$2:$B$650,2,FALSE)="664W","Camry",IF(VLOOKUP(R81,Расчет!$A$2:$B$650,2,FALSE)="813W","Goshi","RAV4")),"")</f>
        <v/>
      </c>
      <c r="T81" s="32" t="str">
        <f>IFERROR(IF(S81="Camry",VLOOKUP(R81,Расчет!$A$2:$Q$650,17,FALSE),VLOOKUP(R81,Расчет!$A$2:$R$650,18,FALSE)),"")</f>
        <v/>
      </c>
      <c r="U81" s="32" t="str">
        <f>IFERROR(VLOOKUP(VLOOKUP(R81,Расчет!$A:$D,4,FALSE),$AT$6:$AV$15,3,FALSE),"")</f>
        <v/>
      </c>
      <c r="V81" s="31" t="str">
        <f>IFERROR(VLOOKUP(IFERROR(VLOOKUP(R81,Расчет!$A$2:$D$650,4,FALSE),0),$AT$3:$AU$15,2,FALSE),"")</f>
        <v/>
      </c>
      <c r="W81" s="33" t="str">
        <f>IFERROR(VLOOKUP(R81,Расчет!$A$2:$E$650,5,FALSE),"")</f>
        <v/>
      </c>
      <c r="X81" s="189"/>
      <c r="Y81" s="191">
        <f t="shared" si="41"/>
        <v>0</v>
      </c>
      <c r="Z81" s="226" t="str">
        <f>IFERROR(IF(VLOOKUP(AC81,Расчет!$A$2:$B$236,2,FALSE)="831W","RAV4","Camry"),"-")</f>
        <v>-</v>
      </c>
      <c r="AA81" s="227" t="str">
        <f>IFERROR(VLOOKUP(AC35,Расчет!$A$2:$E$236,5,FALSE),"-")</f>
        <v>-</v>
      </c>
      <c r="AB81" s="164" t="str">
        <f>IFERROR(SMALL($BU$5:$BU$259,1),"")</f>
        <v/>
      </c>
      <c r="AC81" s="148" t="str">
        <f>IF(VLOOKUP2($BP$5:$BQ$500,1,AB81,COUNTIF($AB$81:AB81,AB81),2)=0,"-",VLOOKUP2($BP$5:$BQ$500,1,AB81,COUNTIF($AB$81:AB81,AB81),2))</f>
        <v>-</v>
      </c>
      <c r="AD81" s="245" t="str">
        <f>IFERROR(VLOOKUP(AC81,Расчет!$BS:$BT,2,FALSE),"")</f>
        <v/>
      </c>
      <c r="AE81" s="89">
        <v>79</v>
      </c>
      <c r="AF81" s="44" t="str">
        <f>IF(VLOOKUP(AE81,Расчет!$AH$2:$AN$201,5,FALSE)="8","C",IF(VLOOKUP(AE81,Расчет!$AH$2:$AN$201,5,FALSE)="G","G","R"))</f>
        <v>C</v>
      </c>
      <c r="AG81" s="73" t="str">
        <f t="shared" si="33"/>
        <v/>
      </c>
      <c r="AH81" s="87" t="str">
        <f>IF(AG81="","",COUNTIF($AG$2:AG81,"C")-COUNTIF($AF$2:AF81,"C")+$AH$1)</f>
        <v/>
      </c>
      <c r="AI81" s="87" t="str">
        <f>IF(AG81="","",COUNTIF($AG$2:AG81,"R")-COUNTIF($AF$2:AF81,"R")+$AI$1)</f>
        <v/>
      </c>
      <c r="AJ81" s="89">
        <v>182</v>
      </c>
      <c r="AK81" s="44" t="str">
        <f>IF(VLOOKUP(AJ81,Расчет!$AH$2:$AN$211,5,FALSE)="8","C",IF(VLOOKUP(AJ81,Расчет!$AH$2:$AN$211,5,FALSE)="G","G","R"))</f>
        <v>C</v>
      </c>
      <c r="AL81" s="74" t="str">
        <f t="shared" si="34"/>
        <v/>
      </c>
      <c r="AM81" s="118" t="str">
        <f>IF(AL81="","",(COUNTIF($AG$2:$AG$105,"C")+COUNTIF($AL$2:$AL81,"C"))-(COUNTIF($AF$2:$AF$105,"C")+COUNTIF($AK$2:$AK81,"C"))+$AH$1)</f>
        <v/>
      </c>
      <c r="AN81" s="119" t="str">
        <f>IF(AL81="","",(COUNTIF($AG$2:$AG$105,"R")+COUNTIF($AL$2:$AL81,"R"))-(COUNTIF($AF$2:$AF$105,"R")+COUNTIF($AK$2:$AK81,"R"))+$AI$1)</f>
        <v/>
      </c>
      <c r="AO81" s="22" t="str">
        <f>IF(E81="","",COUNTA($E$3:E81)+$Z$1)</f>
        <v/>
      </c>
      <c r="AP81" s="88" t="str">
        <f>IF(AO81="","",IF(AO81+Расчет!$Y$57+$BD$2-Расчет!$X$57&gt;200,AO81+Расчет!$Y$57+$BD$2-1000,AO81+Расчет!$Y$57+$BD$2))</f>
        <v/>
      </c>
      <c r="AR81" s="92"/>
      <c r="AS81" s="92"/>
      <c r="BL81" s="172">
        <f>COUNTIF($BM$5:BM81,"&lt;-115")</f>
        <v>0</v>
      </c>
      <c r="BM81" s="154" t="str">
        <f>IFERROR(IF(OR(IFERROR(VLOOKUP(BN81,$E$3:$E$105,1,FALSE),"0")=BN81,IFERROR(VLOOKUP(BN81,$R$3:$R$105,1,FALSE),"0")=BN81),BO81,IF(OR(VLOOKUP(BN81,Расчет!A:E,5,FALSE)="2PS",VLOOKUP(BN81,Расчет!A:E,5,FALSE)="2QL"),IF(VLOOKUP(BN81,Расчет!A:B,2,FALSE)="831W",BN81-$BS$7+$AD$17,BN81-$BS$7+$AD$12),BN81-$BS$7)),"-")</f>
        <v>-</v>
      </c>
      <c r="BN81" s="154">
        <f>IF(OR(Расчет!C78="A0",Расчет!C78="P9",Расчет!B78="722W"),"-",Расчет!A78)</f>
        <v>11223</v>
      </c>
      <c r="BO81" s="173">
        <f t="shared" si="45"/>
        <v>0</v>
      </c>
      <c r="BP81" s="172" t="str">
        <f>IF(BQ81="-","-",IFERROR(IF(OR(VLOOKUP(BN81,Расчет!$A$2:$E$582,5,FALSE)="2PS",VLOOKUP(BN81,Расчет!$A$2:$E$582,5,FALSE)="2QL"),IF(OR(VLOOKUP(BN81,Расчет!$A$2:$E$582,2,FALSE)="664W",VLOOKUP(BN81,Расчет!$A$2:$E$582,2,FALSE)="813W"),IF(BN81-$BS$7&gt;150,BN81-$BS$7-1000+$AD$12,BN81-$BS$7+$AD$12),IF(BN81-$BS$7&gt;150,BN81-$BS$7-1000+$AD$17,BN81-$BS$7+$AD$17)),IF(BN81-$BS$7&gt;150,BN81-$BS$7-1000,BN81-$BS$7)),"-"))</f>
        <v>-</v>
      </c>
      <c r="BQ81" s="173">
        <f t="shared" si="42"/>
        <v>11223</v>
      </c>
      <c r="BR81" s="453"/>
      <c r="BS81" s="171"/>
      <c r="BT81" s="464" t="str">
        <f t="shared" si="43"/>
        <v>-</v>
      </c>
      <c r="BU81" s="464" t="str">
        <f t="shared" si="44"/>
        <v>-</v>
      </c>
      <c r="BX81" s="204">
        <f>COUNTIF($BY$4:BY81,"&lt;100")</f>
        <v>0</v>
      </c>
      <c r="BY81" s="213" t="str">
        <f t="shared" si="35"/>
        <v/>
      </c>
      <c r="BZ81" s="216" t="str">
        <f t="shared" si="36"/>
        <v/>
      </c>
      <c r="CA81" s="213" t="e">
        <f t="shared" si="37"/>
        <v>#N/A</v>
      </c>
      <c r="CB81" s="209" t="e">
        <f t="shared" si="38"/>
        <v>#N/A</v>
      </c>
      <c r="CC81" s="205" t="str">
        <f t="shared" si="46"/>
        <v/>
      </c>
      <c r="CD81" s="205" t="str">
        <f t="shared" si="39"/>
        <v>-</v>
      </c>
      <c r="CE81" s="205">
        <f t="shared" si="47"/>
        <v>0</v>
      </c>
      <c r="CG81" s="20" t="str">
        <f t="shared" si="48"/>
        <v/>
      </c>
    </row>
    <row r="82" spans="1:85" ht="23.1" customHeight="1">
      <c r="A82" s="40" t="str">
        <f>IF(AND(IFERROR(VLOOKUP(E82,Расчет!A:J,10,FALSE),"  ")&lt;&gt;"  ",IFERROR(LEFT(VLOOKUP(E82,Расчет!A:J,10,FALSE),1)," ")&lt;&gt;"H"),0,IFERROR(IF(F82="Camry",IF(OR(J82="2PS",J82="2QL"),IF(E82-AP82&gt;100,E82-AP82-1000+$AD$12,E82-AP82+$AD$12),IF(E82-AP82&gt;100,E82-AP82-1000,E82-AP82)),IF(J82="2PS",IF(E82-AP82&gt;100,E82-AP82-1000+$AD$17,E82-AP82+$AD$17),IF(E82-AP82&gt;100,E82-AP82-1000,E82-AP82))),"-"))</f>
        <v>-</v>
      </c>
      <c r="B82" s="46">
        <v>80</v>
      </c>
      <c r="C82" s="19" t="str">
        <f>IF(E82="","",COUNTA($E$3:E82))</f>
        <v/>
      </c>
      <c r="D82" s="18" t="str">
        <f t="shared" si="31"/>
        <v/>
      </c>
      <c r="E82" s="30"/>
      <c r="F82" s="44" t="str">
        <f>IFERROR(IF(VLOOKUP(E82,Расчет!$A$2:$B$650,2,FALSE)="664W","Camry",IF(VLOOKUP(E82,Расчет!$A$2:$B$650,2,FALSE)="813W","Goshi","RAV4")),"")</f>
        <v/>
      </c>
      <c r="G82" s="32" t="str">
        <f>IFERROR(IF(F82="Camry",VLOOKUP(E82,Расчет!$A$2:$Q$650,17,FALSE),VLOOKUP(E82,Расчет!$A$2:$R$650,18,FALSE)),"")</f>
        <v/>
      </c>
      <c r="H82" s="32" t="str">
        <f>IFERROR(VLOOKUP(VLOOKUP(E82,Расчет!$A:$D,4,FALSE),$AT$6:$AV$15,3,FALSE),"")</f>
        <v/>
      </c>
      <c r="I82" s="31" t="str">
        <f>IFERROR(VLOOKUP(IFERROR(VLOOKUP(E82,Расчет!$A$2:$D$650,4,FALSE),0),$AT$3:$AU$15,2,FALSE),"")</f>
        <v/>
      </c>
      <c r="J82" s="33" t="str">
        <f>IFERROR(VLOOKUP(E82,Расчет!$A$2:$E$650,5,FALSE),"")</f>
        <v/>
      </c>
      <c r="K82" s="189"/>
      <c r="L82" s="188">
        <f t="shared" si="40"/>
        <v>0</v>
      </c>
      <c r="M82" s="9"/>
      <c r="N82" s="40" t="str">
        <f>IF(AND(IFERROR(VLOOKUP(R82,Расчет!A:J,10,FALSE),"  ")&lt;&gt;"  ",IFERROR(LEFT(VLOOKUP(R82,Расчет!A:J,10,FALSE),1)," ")&lt;&gt;"H"),0,IFERROR(IF(S82="Camry",IF(OR(W82="2PS",W82="2QL"),IF(R82-AP185&gt;100,R82-AP185-1000+$AD$12,R82-AP185+$AD$12),IF(R82-AP185&gt;100,R82-AP185-1000,R82-AP185)),IF(W82="2PS",IF(R82-AP185&gt;100,R82-AP185-1000+$AD$17,R82-AP185+$AD$17),IF(R82-AP185&gt;100,R82-AP185-1000,R82-AP185))),"-"))</f>
        <v>-</v>
      </c>
      <c r="O82" s="46">
        <v>183</v>
      </c>
      <c r="P82" s="19" t="str">
        <f>IF(R82="","",COUNTA($R$3:R82)+$C$105)</f>
        <v/>
      </c>
      <c r="Q82" s="18" t="str">
        <f t="shared" si="32"/>
        <v/>
      </c>
      <c r="R82" s="30"/>
      <c r="S82" s="45" t="str">
        <f>IFERROR(IF(VLOOKUP(R82,Расчет!$A$2:$B$650,2,FALSE)="664W","Camry",IF(VLOOKUP(R82,Расчет!$A$2:$B$650,2,FALSE)="813W","Goshi","RAV4")),"")</f>
        <v/>
      </c>
      <c r="T82" s="32" t="str">
        <f>IFERROR(IF(S82="Camry",VLOOKUP(R82,Расчет!$A$2:$Q$650,17,FALSE),VLOOKUP(R82,Расчет!$A$2:$R$650,18,FALSE)),"")</f>
        <v/>
      </c>
      <c r="U82" s="32" t="str">
        <f>IFERROR(VLOOKUP(VLOOKUP(R82,Расчет!$A:$D,4,FALSE),$AT$6:$AV$15,3,FALSE),"")</f>
        <v/>
      </c>
      <c r="V82" s="31" t="str">
        <f>IFERROR(VLOOKUP(IFERROR(VLOOKUP(R82,Расчет!$A$2:$D$650,4,FALSE),0),$AT$3:$AU$15,2,FALSE),"")</f>
        <v/>
      </c>
      <c r="W82" s="33" t="str">
        <f>IFERROR(VLOOKUP(R82,Расчет!$A$2:$E$650,5,FALSE),"")</f>
        <v/>
      </c>
      <c r="X82" s="189"/>
      <c r="Y82" s="191">
        <f t="shared" si="41"/>
        <v>0</v>
      </c>
      <c r="Z82" s="193" t="str">
        <f>IFERROR(IF(VLOOKUP(AC82,Расчет!$A$2:$B$236,2,FALSE)="831W","RAV4","Camry"),"-")</f>
        <v>-</v>
      </c>
      <c r="AA82" s="228" t="str">
        <f>IFERROR(VLOOKUP(AC36,Расчет!$A$2:$E$236,5,FALSE),"-")</f>
        <v>-</v>
      </c>
      <c r="AB82" s="167" t="str">
        <f>IFERROR(SMALL($BU$5:$BU$259,2),"")</f>
        <v/>
      </c>
      <c r="AC82" s="156" t="str">
        <f>IF(VLOOKUP2($BP$5:$BQ$500,1,AB82,COUNTIF($AB$81:AB82,AB82),2)=0,"-",VLOOKUP2($BP$5:$BQ$500,1,AB82,COUNTIF($AB$81:AB82,AB82),2))</f>
        <v>-</v>
      </c>
      <c r="AD82" s="353" t="str">
        <f>IFERROR(VLOOKUP(AC82,Расчет!$BS:$BT,2,FALSE),"")</f>
        <v/>
      </c>
      <c r="AE82" s="89">
        <v>80</v>
      </c>
      <c r="AF82" s="44" t="str">
        <f>IF(VLOOKUP(AE82,Расчет!$AH$2:$AN$201,5,FALSE)="8","C",IF(VLOOKUP(AE82,Расчет!$AH$2:$AN$201,5,FALSE)="G","G","R"))</f>
        <v>R</v>
      </c>
      <c r="AG82" s="73" t="str">
        <f t="shared" si="33"/>
        <v/>
      </c>
      <c r="AH82" s="87" t="str">
        <f>IF(AG82="","",COUNTIF($AG$2:AG82,"C")-COUNTIF($AF$2:AF82,"C")+$AH$1)</f>
        <v/>
      </c>
      <c r="AI82" s="87" t="str">
        <f>IF(AG82="","",COUNTIF($AG$2:AG82,"R")-COUNTIF($AF$2:AF82,"R")+$AI$1)</f>
        <v/>
      </c>
      <c r="AJ82" s="89">
        <v>183</v>
      </c>
      <c r="AK82" s="44" t="str">
        <f>IF(VLOOKUP(AJ82,Расчет!$AH$2:$AN$211,5,FALSE)="8","C",IF(VLOOKUP(AJ82,Расчет!$AH$2:$AN$211,5,FALSE)="G","G","R"))</f>
        <v>R</v>
      </c>
      <c r="AL82" s="74" t="str">
        <f t="shared" si="34"/>
        <v/>
      </c>
      <c r="AM82" s="118" t="str">
        <f>IF(AL82="","",(COUNTIF($AG$2:$AG$105,"C")+COUNTIF($AL$2:$AL82,"C"))-(COUNTIF($AF$2:$AF$105,"C")+COUNTIF($AK$2:$AK82,"C"))+$AH$1)</f>
        <v/>
      </c>
      <c r="AN82" s="119" t="str">
        <f>IF(AL82="","",(COUNTIF($AG$2:$AG$105,"R")+COUNTIF($AL$2:$AL82,"R"))-(COUNTIF($AF$2:$AF$105,"R")+COUNTIF($AK$2:$AK82,"R"))+$AI$1)</f>
        <v/>
      </c>
      <c r="AO82" s="22" t="str">
        <f>IF(E82="","",COUNTA($E$3:E82)+$Z$1)</f>
        <v/>
      </c>
      <c r="AP82" s="88" t="str">
        <f>IF(AO82="","",IF(AO82+Расчет!$Y$57+$BD$2-Расчет!$X$57&gt;200,AO82+Расчет!$Y$57+$BD$2-1000,AO82+Расчет!$Y$57+$BD$2))</f>
        <v/>
      </c>
      <c r="AR82" s="92"/>
      <c r="AS82" s="92"/>
      <c r="BL82" s="172">
        <f>COUNTIF($BM$5:BM82,"&lt;-115")</f>
        <v>0</v>
      </c>
      <c r="BM82" s="154" t="str">
        <f>IFERROR(IF(OR(IFERROR(VLOOKUP(BN82,$E$3:$E$105,1,FALSE),"0")=BN82,IFERROR(VLOOKUP(BN82,$R$3:$R$105,1,FALSE),"0")=BN82),BO82,IF(OR(VLOOKUP(BN82,Расчет!A:E,5,FALSE)="2PS",VLOOKUP(BN82,Расчет!A:E,5,FALSE)="2QL"),IF(VLOOKUP(BN82,Расчет!A:B,2,FALSE)="831W",BN82-$BS$7+$AD$17,BN82-$BS$7+$AD$12),BN82-$BS$7)),"-")</f>
        <v>-</v>
      </c>
      <c r="BN82" s="154">
        <f>IF(OR(Расчет!C79="A0",Расчет!C79="P9",Расчет!B79="722W"),"-",Расчет!A79)</f>
        <v>11224</v>
      </c>
      <c r="BO82" s="173">
        <f t="shared" si="45"/>
        <v>0</v>
      </c>
      <c r="BP82" s="172" t="str">
        <f>IF(BQ82="-","-",IFERROR(IF(OR(VLOOKUP(BN82,Расчет!$A$2:$E$582,5,FALSE)="2PS",VLOOKUP(BN82,Расчет!$A$2:$E$582,5,FALSE)="2QL"),IF(OR(VLOOKUP(BN82,Расчет!$A$2:$E$582,2,FALSE)="664W",VLOOKUP(BN82,Расчет!$A$2:$E$582,2,FALSE)="813W"),IF(BN82-$BS$7&gt;150,BN82-$BS$7-1000+$AD$12,BN82-$BS$7+$AD$12),IF(BN82-$BS$7&gt;150,BN82-$BS$7-1000+$AD$17,BN82-$BS$7+$AD$17)),IF(BN82-$BS$7&gt;150,BN82-$BS$7-1000,BN82-$BS$7)),"-"))</f>
        <v>-</v>
      </c>
      <c r="BQ82" s="173">
        <f t="shared" si="42"/>
        <v>11224</v>
      </c>
      <c r="BR82" s="453"/>
      <c r="BS82" s="171"/>
      <c r="BT82" s="464" t="str">
        <f t="shared" si="43"/>
        <v>-</v>
      </c>
      <c r="BU82" s="464" t="str">
        <f t="shared" si="44"/>
        <v>-</v>
      </c>
      <c r="BX82" s="204">
        <f>COUNTIF($BY$4:BY82,"&lt;100")</f>
        <v>0</v>
      </c>
      <c r="BY82" s="213" t="str">
        <f t="shared" si="35"/>
        <v/>
      </c>
      <c r="BZ82" s="216" t="str">
        <f t="shared" si="36"/>
        <v/>
      </c>
      <c r="CA82" s="213" t="e">
        <f t="shared" si="37"/>
        <v>#N/A</v>
      </c>
      <c r="CB82" s="209" t="e">
        <f t="shared" si="38"/>
        <v>#N/A</v>
      </c>
      <c r="CC82" s="205" t="str">
        <f t="shared" si="46"/>
        <v/>
      </c>
      <c r="CD82" s="205" t="str">
        <f t="shared" si="39"/>
        <v>-</v>
      </c>
      <c r="CE82" s="205">
        <f t="shared" si="47"/>
        <v>0</v>
      </c>
      <c r="CG82" s="20" t="str">
        <f t="shared" si="48"/>
        <v/>
      </c>
    </row>
    <row r="83" spans="1:85" ht="23.1" customHeight="1">
      <c r="A83" s="40" t="str">
        <f>IF(AND(IFERROR(VLOOKUP(E83,Расчет!A:J,10,FALSE),"  ")&lt;&gt;"  ",IFERROR(LEFT(VLOOKUP(E83,Расчет!A:J,10,FALSE),1)," ")&lt;&gt;"H"),0,IFERROR(IF(F83="Camry",IF(OR(J83="2PS",J83="2QL"),IF(E83-AP83&gt;100,E83-AP83-1000+$AD$12,E83-AP83+$AD$12),IF(E83-AP83&gt;100,E83-AP83-1000,E83-AP83)),IF(J83="2PS",IF(E83-AP83&gt;100,E83-AP83-1000+$AD$17,E83-AP83+$AD$17),IF(E83-AP83&gt;100,E83-AP83-1000,E83-AP83))),"-"))</f>
        <v>-</v>
      </c>
      <c r="B83" s="46">
        <v>81</v>
      </c>
      <c r="C83" s="19" t="str">
        <f>IF(E83="","",COUNTA($E$3:E83))</f>
        <v/>
      </c>
      <c r="D83" s="18" t="str">
        <f t="shared" si="31"/>
        <v/>
      </c>
      <c r="E83" s="30"/>
      <c r="F83" s="44" t="str">
        <f>IFERROR(IF(VLOOKUP(E83,Расчет!$A$2:$B$650,2,FALSE)="664W","Camry",IF(VLOOKUP(E83,Расчет!$A$2:$B$650,2,FALSE)="813W","Goshi","RAV4")),"")</f>
        <v/>
      </c>
      <c r="G83" s="32" t="str">
        <f>IFERROR(IF(F83="Camry",VLOOKUP(E83,Расчет!$A$2:$Q$650,17,FALSE),VLOOKUP(E83,Расчет!$A$2:$R$650,18,FALSE)),"")</f>
        <v/>
      </c>
      <c r="H83" s="32" t="str">
        <f>IFERROR(VLOOKUP(VLOOKUP(E83,Расчет!$A:$D,4,FALSE),$AT$6:$AV$15,3,FALSE),"")</f>
        <v/>
      </c>
      <c r="I83" s="31" t="str">
        <f>IFERROR(VLOOKUP(IFERROR(VLOOKUP(E83,Расчет!$A$2:$D$650,4,FALSE),0),$AT$3:$AU$15,2,FALSE),"")</f>
        <v/>
      </c>
      <c r="J83" s="33" t="str">
        <f>IFERROR(VLOOKUP(E83,Расчет!$A$2:$E$650,5,FALSE),"")</f>
        <v/>
      </c>
      <c r="K83" s="189"/>
      <c r="L83" s="188">
        <f t="shared" si="40"/>
        <v>0</v>
      </c>
      <c r="M83" s="9"/>
      <c r="N83" s="40" t="str">
        <f>IF(AND(IFERROR(VLOOKUP(R83,Расчет!A:J,10,FALSE),"  ")&lt;&gt;"  ",IFERROR(LEFT(VLOOKUP(R83,Расчет!A:J,10,FALSE),1)," ")&lt;&gt;"H"),0,IFERROR(IF(S83="Camry",IF(OR(W83="2PS",W83="2QL"),IF(R83-AP186&gt;100,R83-AP186-1000+$AD$12,R83-AP186+$AD$12),IF(R83-AP186&gt;100,R83-AP186-1000,R83-AP186)),IF(W83="2PS",IF(R83-AP186&gt;100,R83-AP186-1000+$AD$17,R83-AP186+$AD$17),IF(R83-AP186&gt;100,R83-AP186-1000,R83-AP186))),"-"))</f>
        <v>-</v>
      </c>
      <c r="O83" s="46">
        <v>184</v>
      </c>
      <c r="P83" s="19" t="str">
        <f>IF(R83="","",COUNTA($R$3:R83)+$C$105)</f>
        <v/>
      </c>
      <c r="Q83" s="18" t="str">
        <f t="shared" si="32"/>
        <v/>
      </c>
      <c r="R83" s="30"/>
      <c r="S83" s="45" t="str">
        <f>IFERROR(IF(VLOOKUP(R83,Расчет!$A$2:$B$650,2,FALSE)="664W","Camry",IF(VLOOKUP(R83,Расчет!$A$2:$B$650,2,FALSE)="813W","Goshi","RAV4")),"")</f>
        <v/>
      </c>
      <c r="T83" s="32" t="str">
        <f>IFERROR(IF(S83="Camry",VLOOKUP(R83,Расчет!$A$2:$Q$650,17,FALSE),VLOOKUP(R83,Расчет!$A$2:$R$650,18,FALSE)),"")</f>
        <v/>
      </c>
      <c r="U83" s="32" t="str">
        <f>IFERROR(VLOOKUP(VLOOKUP(R83,Расчет!$A:$D,4,FALSE),$AT$6:$AV$15,3,FALSE),"")</f>
        <v/>
      </c>
      <c r="V83" s="31" t="str">
        <f>IFERROR(VLOOKUP(IFERROR(VLOOKUP(R83,Расчет!$A$2:$D$650,4,FALSE),0),$AT$3:$AU$15,2,FALSE),"")</f>
        <v/>
      </c>
      <c r="W83" s="33" t="str">
        <f>IFERROR(VLOOKUP(R83,Расчет!$A$2:$E$650,5,FALSE),"")</f>
        <v/>
      </c>
      <c r="X83" s="189"/>
      <c r="Y83" s="191">
        <f t="shared" si="41"/>
        <v>0</v>
      </c>
      <c r="Z83" s="193" t="str">
        <f>IFERROR(IF(VLOOKUP(AC83,Расчет!$A$2:$B$236,2,FALSE)="831W","RAV4","Camry"),"-")</f>
        <v>-</v>
      </c>
      <c r="AA83" s="228" t="str">
        <f>IFERROR(VLOOKUP(AC37,Расчет!$A$2:$E$236,5,FALSE),"-")</f>
        <v>-</v>
      </c>
      <c r="AB83" s="167" t="str">
        <f>IFERROR(SMALL($BU$5:$BU$259,3),"")</f>
        <v/>
      </c>
      <c r="AC83" s="156" t="str">
        <f>IF(VLOOKUP2($BP$5:$BQ$500,1,AB83,COUNTIF($AB$81:AB83,AB83),2)=0,"-",VLOOKUP2($BP$5:$BQ$500,1,AB83,COUNTIF($AB$81:AB83,AB83),2))</f>
        <v>-</v>
      </c>
      <c r="AD83" s="353" t="str">
        <f>IFERROR(VLOOKUP(AC83,Расчет!$BS:$BT,2,FALSE),"")</f>
        <v/>
      </c>
      <c r="AE83" s="89">
        <v>81</v>
      </c>
      <c r="AF83" s="44" t="str">
        <f>IF(VLOOKUP(AE83,Расчет!$AH$2:$AN$201,5,FALSE)="8","C",IF(VLOOKUP(AE83,Расчет!$AH$2:$AN$201,5,FALSE)="G","G","R"))</f>
        <v>R</v>
      </c>
      <c r="AG83" s="73" t="str">
        <f t="shared" si="33"/>
        <v/>
      </c>
      <c r="AH83" s="87" t="str">
        <f>IF(AG83="","",COUNTIF($AG$2:AG83,"C")-COUNTIF($AF$2:AF83,"C")+$AH$1)</f>
        <v/>
      </c>
      <c r="AI83" s="87" t="str">
        <f>IF(AG83="","",COUNTIF($AG$2:AG83,"R")-COUNTIF($AF$2:AF83,"R")+$AI$1)</f>
        <v/>
      </c>
      <c r="AJ83" s="89">
        <v>184</v>
      </c>
      <c r="AK83" s="44" t="str">
        <f>IF(VLOOKUP(AJ83,Расчет!$AH$2:$AN$211,5,FALSE)="8","C",IF(VLOOKUP(AJ83,Расчет!$AH$2:$AN$211,5,FALSE)="G","G","R"))</f>
        <v>R</v>
      </c>
      <c r="AL83" s="74" t="str">
        <f t="shared" si="34"/>
        <v/>
      </c>
      <c r="AM83" s="118" t="str">
        <f>IF(AL83="","",(COUNTIF($AG$2:$AG$105,"C")+COUNTIF($AL$2:$AL83,"C"))-(COUNTIF($AF$2:$AF$105,"C")+COUNTIF($AK$2:$AK83,"C"))+$AH$1)</f>
        <v/>
      </c>
      <c r="AN83" s="119" t="str">
        <f>IF(AL83="","",(COUNTIF($AG$2:$AG$105,"R")+COUNTIF($AL$2:$AL83,"R"))-(COUNTIF($AF$2:$AF$105,"R")+COUNTIF($AK$2:$AK83,"R"))+$AI$1)</f>
        <v/>
      </c>
      <c r="AO83" s="22" t="str">
        <f>IF(E83="","",COUNTA($E$3:E83)+$Z$1)</f>
        <v/>
      </c>
      <c r="AP83" s="88" t="str">
        <f>IF(AO83="","",IF(AO83+Расчет!$Y$57+$BD$2-Расчет!$X$57&gt;200,AO83+Расчет!$Y$57+$BD$2-1000,AO83+Расчет!$Y$57+$BD$2))</f>
        <v/>
      </c>
      <c r="AR83" s="92"/>
      <c r="AS83" s="92"/>
      <c r="BL83" s="172">
        <f>COUNTIF($BM$5:BM83,"&lt;-115")</f>
        <v>0</v>
      </c>
      <c r="BM83" s="154" t="str">
        <f>IFERROR(IF(OR(IFERROR(VLOOKUP(BN83,$E$3:$E$105,1,FALSE),"0")=BN83,IFERROR(VLOOKUP(BN83,$R$3:$R$105,1,FALSE),"0")=BN83),BO83,IF(OR(VLOOKUP(BN83,Расчет!A:E,5,FALSE)="2PS",VLOOKUP(BN83,Расчет!A:E,5,FALSE)="2QL"),IF(VLOOKUP(BN83,Расчет!A:B,2,FALSE)="831W",BN83-$BS$7+$AD$17,BN83-$BS$7+$AD$12),BN83-$BS$7)),"-")</f>
        <v>-</v>
      </c>
      <c r="BN83" s="154">
        <f>IF(OR(Расчет!C80="A0",Расчет!C80="P9",Расчет!B80="722W"),"-",Расчет!A80)</f>
        <v>11225</v>
      </c>
      <c r="BO83" s="173">
        <f t="shared" si="45"/>
        <v>0</v>
      </c>
      <c r="BP83" s="172" t="str">
        <f>IF(BQ83="-","-",IFERROR(IF(OR(VLOOKUP(BN83,Расчет!$A$2:$E$582,5,FALSE)="2PS",VLOOKUP(BN83,Расчет!$A$2:$E$582,5,FALSE)="2QL"),IF(OR(VLOOKUP(BN83,Расчет!$A$2:$E$582,2,FALSE)="664W",VLOOKUP(BN83,Расчет!$A$2:$E$582,2,FALSE)="813W"),IF(BN83-$BS$7&gt;150,BN83-$BS$7-1000+$AD$12,BN83-$BS$7+$AD$12),IF(BN83-$BS$7&gt;150,BN83-$BS$7-1000+$AD$17,BN83-$BS$7+$AD$17)),IF(BN83-$BS$7&gt;150,BN83-$BS$7-1000,BN83-$BS$7)),"-"))</f>
        <v>-</v>
      </c>
      <c r="BQ83" s="173">
        <f t="shared" si="42"/>
        <v>11225</v>
      </c>
      <c r="BR83" s="453"/>
      <c r="BS83" s="171"/>
      <c r="BT83" s="464" t="str">
        <f t="shared" si="43"/>
        <v>-</v>
      </c>
      <c r="BU83" s="464" t="str">
        <f t="shared" si="44"/>
        <v>-</v>
      </c>
      <c r="BX83" s="204">
        <f>COUNTIF($BY$4:BY83,"&lt;100")</f>
        <v>0</v>
      </c>
      <c r="BY83" s="213" t="str">
        <f t="shared" si="35"/>
        <v/>
      </c>
      <c r="BZ83" s="216" t="str">
        <f t="shared" si="36"/>
        <v/>
      </c>
      <c r="CA83" s="213" t="e">
        <f t="shared" si="37"/>
        <v>#N/A</v>
      </c>
      <c r="CB83" s="209" t="e">
        <f t="shared" si="38"/>
        <v>#N/A</v>
      </c>
      <c r="CC83" s="205" t="str">
        <f t="shared" si="46"/>
        <v/>
      </c>
      <c r="CD83" s="205" t="str">
        <f t="shared" si="39"/>
        <v>-</v>
      </c>
      <c r="CE83" s="205">
        <f t="shared" si="47"/>
        <v>0</v>
      </c>
      <c r="CG83" s="20" t="str">
        <f t="shared" si="48"/>
        <v/>
      </c>
    </row>
    <row r="84" spans="1:85" ht="23.1" customHeight="1">
      <c r="A84" s="40" t="str">
        <f>IF(AND(IFERROR(VLOOKUP(E84,Расчет!A:J,10,FALSE),"  ")&lt;&gt;"  ",IFERROR(LEFT(VLOOKUP(E84,Расчет!A:J,10,FALSE),1)," ")&lt;&gt;"H"),0,IFERROR(IF(F84="Camry",IF(OR(J84="2PS",J84="2QL"),IF(E84-AP84&gt;100,E84-AP84-1000+$AD$12,E84-AP84+$AD$12),IF(E84-AP84&gt;100,E84-AP84-1000,E84-AP84)),IF(J84="2PS",IF(E84-AP84&gt;100,E84-AP84-1000+$AD$17,E84-AP84+$AD$17),IF(E84-AP84&gt;100,E84-AP84-1000,E84-AP84))),"-"))</f>
        <v>-</v>
      </c>
      <c r="B84" s="46">
        <v>82</v>
      </c>
      <c r="C84" s="19" t="str">
        <f>IF(E84="","",COUNTA($E$3:E84))</f>
        <v/>
      </c>
      <c r="D84" s="18" t="str">
        <f t="shared" si="31"/>
        <v/>
      </c>
      <c r="E84" s="30"/>
      <c r="F84" s="44" t="str">
        <f>IFERROR(IF(VLOOKUP(E84,Расчет!$A$2:$B$650,2,FALSE)="664W","Camry",IF(VLOOKUP(E84,Расчет!$A$2:$B$650,2,FALSE)="813W","Goshi","RAV4")),"")</f>
        <v/>
      </c>
      <c r="G84" s="32" t="str">
        <f>IFERROR(IF(F84="Camry",VLOOKUP(E84,Расчет!$A$2:$Q$650,17,FALSE),VLOOKUP(E84,Расчет!$A$2:$R$650,18,FALSE)),"")</f>
        <v/>
      </c>
      <c r="H84" s="32" t="str">
        <f>IFERROR(VLOOKUP(VLOOKUP(E84,Расчет!$A:$D,4,FALSE),$AT$6:$AV$15,3,FALSE),"")</f>
        <v/>
      </c>
      <c r="I84" s="31" t="str">
        <f>IFERROR(VLOOKUP(IFERROR(VLOOKUP(E84,Расчет!$A$2:$D$650,4,FALSE),0),$AT$3:$AU$15,2,FALSE),"")</f>
        <v/>
      </c>
      <c r="J84" s="33" t="str">
        <f>IFERROR(VLOOKUP(E84,Расчет!$A$2:$E$650,5,FALSE),"")</f>
        <v/>
      </c>
      <c r="K84" s="189"/>
      <c r="L84" s="188">
        <f t="shared" si="40"/>
        <v>0</v>
      </c>
      <c r="M84" s="9"/>
      <c r="N84" s="40" t="str">
        <f>IF(AND(IFERROR(VLOOKUP(R84,Расчет!A:J,10,FALSE),"  ")&lt;&gt;"  ",IFERROR(LEFT(VLOOKUP(R84,Расчет!A:J,10,FALSE),1)," ")&lt;&gt;"H"),0,IFERROR(IF(S84="Camry",IF(OR(W84="2PS",W84="2QL"),IF(R84-AP187&gt;100,R84-AP187-1000+$AD$12,R84-AP187+$AD$12),IF(R84-AP187&gt;100,R84-AP187-1000,R84-AP187)),IF(W84="2PS",IF(R84-AP187&gt;100,R84-AP187-1000+$AD$17,R84-AP187+$AD$17),IF(R84-AP187&gt;100,R84-AP187-1000,R84-AP187))),"-"))</f>
        <v>-</v>
      </c>
      <c r="O84" s="46">
        <v>185</v>
      </c>
      <c r="P84" s="19" t="str">
        <f>IF(R84="","",COUNTA($R$3:R84)+$C$105)</f>
        <v/>
      </c>
      <c r="Q84" s="18" t="str">
        <f t="shared" si="32"/>
        <v/>
      </c>
      <c r="R84" s="30"/>
      <c r="S84" s="45" t="str">
        <f>IFERROR(IF(VLOOKUP(R84,Расчет!$A$2:$B$650,2,FALSE)="664W","Camry",IF(VLOOKUP(R84,Расчет!$A$2:$B$650,2,FALSE)="813W","Goshi","RAV4")),"")</f>
        <v/>
      </c>
      <c r="T84" s="32" t="str">
        <f>IFERROR(IF(S84="Camry",VLOOKUP(R84,Расчет!$A$2:$Q$650,17,FALSE),VLOOKUP(R84,Расчет!$A$2:$R$650,18,FALSE)),"")</f>
        <v/>
      </c>
      <c r="U84" s="32" t="str">
        <f>IFERROR(VLOOKUP(VLOOKUP(R84,Расчет!$A:$D,4,FALSE),$AT$6:$AV$15,3,FALSE),"")</f>
        <v/>
      </c>
      <c r="V84" s="31" t="str">
        <f>IFERROR(VLOOKUP(IFERROR(VLOOKUP(R84,Расчет!$A$2:$D$650,4,FALSE),0),$AT$3:$AU$15,2,FALSE),"")</f>
        <v/>
      </c>
      <c r="W84" s="33" t="str">
        <f>IFERROR(VLOOKUP(R84,Расчет!$A$2:$E$650,5,FALSE),"")</f>
        <v/>
      </c>
      <c r="X84" s="189"/>
      <c r="Y84" s="191">
        <f t="shared" si="41"/>
        <v>0</v>
      </c>
      <c r="Z84" s="193" t="str">
        <f>IFERROR(IF(VLOOKUP(AC84,Расчет!$A$2:$B$236,2,FALSE)="831W","RAV4","Camry"),"-")</f>
        <v>-</v>
      </c>
      <c r="AA84" s="228" t="str">
        <f>IFERROR(VLOOKUP(AC38,Расчет!$A$2:$E$236,5,FALSE),"-")</f>
        <v>-</v>
      </c>
      <c r="AB84" s="167" t="str">
        <f>IFERROR(SMALL($BU$5:$BU$259,4),"")</f>
        <v/>
      </c>
      <c r="AC84" s="156" t="str">
        <f>IF(VLOOKUP2($BP$5:$BQ$500,1,AB84,COUNTIF($AB$81:AB84,AB84),2)=0,"-",VLOOKUP2($BP$5:$BQ$500,1,AB84,COUNTIF($AB$81:AB84,AB84),2))</f>
        <v>-</v>
      </c>
      <c r="AD84" s="353" t="str">
        <f>IFERROR(VLOOKUP(AC84,Расчет!$BS:$BT,2,FALSE),"")</f>
        <v/>
      </c>
      <c r="AE84" s="89">
        <v>82</v>
      </c>
      <c r="AF84" s="44" t="str">
        <f>IF(VLOOKUP(AE84,Расчет!$AH$2:$AN$201,5,FALSE)="8","C",IF(VLOOKUP(AE84,Расчет!$AH$2:$AN$201,5,FALSE)="G","G","R"))</f>
        <v>C</v>
      </c>
      <c r="AG84" s="73" t="str">
        <f t="shared" si="33"/>
        <v/>
      </c>
      <c r="AH84" s="87" t="str">
        <f>IF(AG84="","",COUNTIF($AG$2:AG84,"C")-COUNTIF($AF$2:AF84,"C")+$AH$1)</f>
        <v/>
      </c>
      <c r="AI84" s="87" t="str">
        <f>IF(AG84="","",COUNTIF($AG$2:AG84,"R")-COUNTIF($AF$2:AF84,"R")+$AI$1)</f>
        <v/>
      </c>
      <c r="AJ84" s="89">
        <v>185</v>
      </c>
      <c r="AK84" s="44" t="str">
        <f>IF(VLOOKUP(AJ84,Расчет!$AH$2:$AN$211,5,FALSE)="8","C",IF(VLOOKUP(AJ84,Расчет!$AH$2:$AN$211,5,FALSE)="G","G","R"))</f>
        <v>C</v>
      </c>
      <c r="AL84" s="74" t="str">
        <f t="shared" si="34"/>
        <v/>
      </c>
      <c r="AM84" s="118" t="str">
        <f>IF(AL84="","",(COUNTIF($AG$2:$AG$105,"C")+COUNTIF($AL$2:$AL84,"C"))-(COUNTIF($AF$2:$AF$105,"C")+COUNTIF($AK$2:$AK84,"C"))+$AH$1)</f>
        <v/>
      </c>
      <c r="AN84" s="119" t="str">
        <f>IF(AL84="","",(COUNTIF($AG$2:$AG$105,"R")+COUNTIF($AL$2:$AL84,"R"))-(COUNTIF($AF$2:$AF$105,"R")+COUNTIF($AK$2:$AK84,"R"))+$AI$1)</f>
        <v/>
      </c>
      <c r="AO84" s="22" t="str">
        <f>IF(E84="","",COUNTA($E$3:E84)+$Z$1)</f>
        <v/>
      </c>
      <c r="AP84" s="88" t="str">
        <f>IF(AO84="","",IF(AO84+Расчет!$Y$57+$BD$2-Расчет!$X$57&gt;200,AO84+Расчет!$Y$57+$BD$2-1000,AO84+Расчет!$Y$57+$BD$2))</f>
        <v/>
      </c>
      <c r="AR84" s="92"/>
      <c r="AS84" s="92"/>
      <c r="BL84" s="172">
        <f>COUNTIF($BM$5:BM84,"&lt;-115")</f>
        <v>0</v>
      </c>
      <c r="BM84" s="154" t="str">
        <f>IFERROR(IF(OR(IFERROR(VLOOKUP(BN84,$E$3:$E$105,1,FALSE),"0")=BN84,IFERROR(VLOOKUP(BN84,$R$3:$R$105,1,FALSE),"0")=BN84),BO84,IF(OR(VLOOKUP(BN84,Расчет!A:E,5,FALSE)="2PS",VLOOKUP(BN84,Расчет!A:E,5,FALSE)="2QL"),IF(VLOOKUP(BN84,Расчет!A:B,2,FALSE)="831W",BN84-$BS$7+$AD$17,BN84-$BS$7+$AD$12),BN84-$BS$7)),"-")</f>
        <v>-</v>
      </c>
      <c r="BN84" s="154">
        <f>IF(OR(Расчет!C81="A0",Расчет!C81="P9",Расчет!B81="722W"),"-",Расчет!A81)</f>
        <v>11226</v>
      </c>
      <c r="BO84" s="173">
        <f t="shared" si="45"/>
        <v>0</v>
      </c>
      <c r="BP84" s="172" t="str">
        <f>IF(BQ84="-","-",IFERROR(IF(OR(VLOOKUP(BN84,Расчет!$A$2:$E$582,5,FALSE)="2PS",VLOOKUP(BN84,Расчет!$A$2:$E$582,5,FALSE)="2QL"),IF(OR(VLOOKUP(BN84,Расчет!$A$2:$E$582,2,FALSE)="664W",VLOOKUP(BN84,Расчет!$A$2:$E$582,2,FALSE)="813W"),IF(BN84-$BS$7&gt;150,BN84-$BS$7-1000+$AD$12,BN84-$BS$7+$AD$12),IF(BN84-$BS$7&gt;150,BN84-$BS$7-1000+$AD$17,BN84-$BS$7+$AD$17)),IF(BN84-$BS$7&gt;150,BN84-$BS$7-1000,BN84-$BS$7)),"-"))</f>
        <v>-</v>
      </c>
      <c r="BQ84" s="173">
        <f t="shared" si="42"/>
        <v>11226</v>
      </c>
      <c r="BR84" s="453"/>
      <c r="BS84" s="171"/>
      <c r="BT84" s="464" t="str">
        <f t="shared" si="43"/>
        <v>-</v>
      </c>
      <c r="BU84" s="464" t="str">
        <f t="shared" si="44"/>
        <v>-</v>
      </c>
      <c r="BX84" s="204">
        <f>COUNTIF($BY$4:BY84,"&lt;100")</f>
        <v>0</v>
      </c>
      <c r="BY84" s="213" t="str">
        <f t="shared" si="35"/>
        <v/>
      </c>
      <c r="BZ84" s="216" t="str">
        <f t="shared" si="36"/>
        <v/>
      </c>
      <c r="CA84" s="213" t="e">
        <f t="shared" si="37"/>
        <v>#N/A</v>
      </c>
      <c r="CB84" s="209" t="e">
        <f t="shared" si="38"/>
        <v>#N/A</v>
      </c>
      <c r="CC84" s="205" t="str">
        <f t="shared" si="46"/>
        <v/>
      </c>
      <c r="CD84" s="205" t="str">
        <f t="shared" si="39"/>
        <v>-</v>
      </c>
      <c r="CE84" s="205">
        <f t="shared" si="47"/>
        <v>0</v>
      </c>
      <c r="CG84" s="20" t="str">
        <f t="shared" si="48"/>
        <v/>
      </c>
    </row>
    <row r="85" spans="1:85" ht="23.1" customHeight="1">
      <c r="A85" s="40" t="str">
        <f>IF(AND(IFERROR(VLOOKUP(E85,Расчет!A:J,10,FALSE),"  ")&lt;&gt;"  ",IFERROR(LEFT(VLOOKUP(E85,Расчет!A:J,10,FALSE),1)," ")&lt;&gt;"H"),0,IFERROR(IF(F85="Camry",IF(OR(J85="2PS",J85="2QL"),IF(E85-AP85&gt;100,E85-AP85-1000+$AD$12,E85-AP85+$AD$12),IF(E85-AP85&gt;100,E85-AP85-1000,E85-AP85)),IF(J85="2PS",IF(E85-AP85&gt;100,E85-AP85-1000+$AD$17,E85-AP85+$AD$17),IF(E85-AP85&gt;100,E85-AP85-1000,E85-AP85))),"-"))</f>
        <v>-</v>
      </c>
      <c r="B85" s="46">
        <v>83</v>
      </c>
      <c r="C85" s="19" t="str">
        <f>IF(E85="","",COUNTA($E$3:E85))</f>
        <v/>
      </c>
      <c r="D85" s="18" t="str">
        <f t="shared" si="31"/>
        <v/>
      </c>
      <c r="E85" s="30"/>
      <c r="F85" s="44" t="str">
        <f>IFERROR(IF(VLOOKUP(E85,Расчет!$A$2:$B$650,2,FALSE)="664W","Camry",IF(VLOOKUP(E85,Расчет!$A$2:$B$650,2,FALSE)="813W","Goshi","RAV4")),"")</f>
        <v/>
      </c>
      <c r="G85" s="32" t="str">
        <f>IFERROR(IF(F85="Camry",VLOOKUP(E85,Расчет!$A$2:$Q$650,17,FALSE),VLOOKUP(E85,Расчет!$A$2:$R$650,18,FALSE)),"")</f>
        <v/>
      </c>
      <c r="H85" s="32" t="str">
        <f>IFERROR(VLOOKUP(VLOOKUP(E85,Расчет!$A:$D,4,FALSE),$AT$6:$AV$15,3,FALSE),"")</f>
        <v/>
      </c>
      <c r="I85" s="31" t="str">
        <f>IFERROR(VLOOKUP(IFERROR(VLOOKUP(E85,Расчет!$A$2:$D$650,4,FALSE),0),$AT$3:$AU$15,2,FALSE),"")</f>
        <v/>
      </c>
      <c r="J85" s="33" t="str">
        <f>IFERROR(VLOOKUP(E85,Расчет!$A$2:$E$650,5,FALSE),"")</f>
        <v/>
      </c>
      <c r="K85" s="189"/>
      <c r="L85" s="188">
        <f t="shared" si="40"/>
        <v>0</v>
      </c>
      <c r="M85" s="9"/>
      <c r="N85" s="40" t="str">
        <f>IF(AND(IFERROR(VLOOKUP(R85,Расчет!A:J,10,FALSE),"  ")&lt;&gt;"  ",IFERROR(LEFT(VLOOKUP(R85,Расчет!A:J,10,FALSE),1)," ")&lt;&gt;"H"),0,IFERROR(IF(S85="Camry",IF(OR(W85="2PS",W85="2QL"),IF(R85-AP188&gt;100,R85-AP188-1000+$AD$12,R85-AP188+$AD$12),IF(R85-AP188&gt;100,R85-AP188-1000,R85-AP188)),IF(W85="2PS",IF(R85-AP188&gt;100,R85-AP188-1000+$AD$17,R85-AP188+$AD$17),IF(R85-AP188&gt;100,R85-AP188-1000,R85-AP188))),"-"))</f>
        <v>-</v>
      </c>
      <c r="O85" s="46">
        <v>186</v>
      </c>
      <c r="P85" s="19" t="str">
        <f>IF(R85="","",COUNTA($R$3:R85)+$C$105)</f>
        <v/>
      </c>
      <c r="Q85" s="18" t="str">
        <f t="shared" si="32"/>
        <v/>
      </c>
      <c r="R85" s="30"/>
      <c r="S85" s="45" t="str">
        <f>IFERROR(IF(VLOOKUP(R85,Расчет!$A$2:$B$650,2,FALSE)="664W","Camry",IF(VLOOKUP(R85,Расчет!$A$2:$B$650,2,FALSE)="813W","Goshi","RAV4")),"")</f>
        <v/>
      </c>
      <c r="T85" s="32" t="str">
        <f>IFERROR(IF(S85="Camry",VLOOKUP(R85,Расчет!$A$2:$Q$650,17,FALSE),VLOOKUP(R85,Расчет!$A$2:$R$650,18,FALSE)),"")</f>
        <v/>
      </c>
      <c r="U85" s="32" t="str">
        <f>IFERROR(VLOOKUP(VLOOKUP(R85,Расчет!$A:$D,4,FALSE),$AT$6:$AV$15,3,FALSE),"")</f>
        <v/>
      </c>
      <c r="V85" s="31" t="str">
        <f>IFERROR(VLOOKUP(IFERROR(VLOOKUP(R85,Расчет!$A$2:$D$650,4,FALSE),0),$AT$3:$AU$15,2,FALSE),"")</f>
        <v/>
      </c>
      <c r="W85" s="33" t="str">
        <f>IFERROR(VLOOKUP(R85,Расчет!$A$2:$E$650,5,FALSE),"")</f>
        <v/>
      </c>
      <c r="X85" s="189"/>
      <c r="Y85" s="191">
        <f t="shared" si="41"/>
        <v>0</v>
      </c>
      <c r="Z85" s="193" t="str">
        <f>IFERROR(IF(VLOOKUP(AC85,Расчет!$A$2:$B$236,2,FALSE)="831W","RAV4","Camry"),"-")</f>
        <v>-</v>
      </c>
      <c r="AA85" s="228" t="str">
        <f>IFERROR(VLOOKUP(AC39,Расчет!$A$2:$E$236,5,FALSE),"-")</f>
        <v>-</v>
      </c>
      <c r="AB85" s="167" t="str">
        <f>IFERROR(SMALL($BU$5:$BU$259,5),"")</f>
        <v/>
      </c>
      <c r="AC85" s="156" t="str">
        <f>IF(VLOOKUP2($BP$5:$BQ$500,1,AB85,COUNTIF($AB$81:AB85,AB85),2)=0,"-",VLOOKUP2($BP$5:$BQ$500,1,AB85,COUNTIF($AB$81:AB85,AB85),2))</f>
        <v>-</v>
      </c>
      <c r="AD85" s="353" t="str">
        <f>IFERROR(VLOOKUP(AC85,Расчет!$BS:$BT,2,FALSE),"")</f>
        <v/>
      </c>
      <c r="AE85" s="89">
        <v>83</v>
      </c>
      <c r="AF85" s="44" t="str">
        <f>IF(VLOOKUP(AE85,Расчет!$AH$2:$AN$201,5,FALSE)="8","C",IF(VLOOKUP(AE85,Расчет!$AH$2:$AN$201,5,FALSE)="G","G","R"))</f>
        <v>R</v>
      </c>
      <c r="AG85" s="73" t="str">
        <f t="shared" si="33"/>
        <v/>
      </c>
      <c r="AH85" s="87" t="str">
        <f>IF(AG85="","",COUNTIF($AG$2:AG85,"C")-COUNTIF($AF$2:AF85,"C")+$AH$1)</f>
        <v/>
      </c>
      <c r="AI85" s="87" t="str">
        <f>IF(AG85="","",COUNTIF($AG$2:AG85,"R")-COUNTIF($AF$2:AF85,"R")+$AI$1)</f>
        <v/>
      </c>
      <c r="AJ85" s="89">
        <v>186</v>
      </c>
      <c r="AK85" s="44" t="str">
        <f>IF(VLOOKUP(AJ85,Расчет!$AH$2:$AN$211,5,FALSE)="8","C",IF(VLOOKUP(AJ85,Расчет!$AH$2:$AN$211,5,FALSE)="G","G","R"))</f>
        <v>R</v>
      </c>
      <c r="AL85" s="74" t="str">
        <f t="shared" si="34"/>
        <v/>
      </c>
      <c r="AM85" s="118" t="str">
        <f>IF(AL85="","",(COUNTIF($AG$2:$AG$105,"C")+COUNTIF($AL$2:$AL85,"C"))-(COUNTIF($AF$2:$AF$105,"C")+COUNTIF($AK$2:$AK85,"C"))+$AH$1)</f>
        <v/>
      </c>
      <c r="AN85" s="119" t="str">
        <f>IF(AL85="","",(COUNTIF($AG$2:$AG$105,"R")+COUNTIF($AL$2:$AL85,"R"))-(COUNTIF($AF$2:$AF$105,"R")+COUNTIF($AK$2:$AK85,"R"))+$AI$1)</f>
        <v/>
      </c>
      <c r="AO85" s="22" t="str">
        <f>IF(E85="","",COUNTA($E$3:E85)+$Z$1)</f>
        <v/>
      </c>
      <c r="AP85" s="88" t="str">
        <f>IF(AO85="","",IF(AO85+Расчет!$Y$57+$BD$2-Расчет!$X$57&gt;200,AO85+Расчет!$Y$57+$BD$2-1000,AO85+Расчет!$Y$57+$BD$2))</f>
        <v/>
      </c>
      <c r="AR85" s="92"/>
      <c r="AS85" s="92"/>
      <c r="BL85" s="172">
        <f>COUNTIF($BM$5:BM85,"&lt;-115")</f>
        <v>0</v>
      </c>
      <c r="BM85" s="154" t="str">
        <f>IFERROR(IF(OR(IFERROR(VLOOKUP(BN85,$E$3:$E$105,1,FALSE),"0")=BN85,IFERROR(VLOOKUP(BN85,$R$3:$R$105,1,FALSE),"0")=BN85),BO85,IF(OR(VLOOKUP(BN85,Расчет!A:E,5,FALSE)="2PS",VLOOKUP(BN85,Расчет!A:E,5,FALSE)="2QL"),IF(VLOOKUP(BN85,Расчет!A:B,2,FALSE)="831W",BN85-$BS$7+$AD$17,BN85-$BS$7+$AD$12),BN85-$BS$7)),"-")</f>
        <v>-</v>
      </c>
      <c r="BN85" s="154">
        <f>IF(OR(Расчет!C82="A0",Расчет!C82="P9",Расчет!B82="722W"),"-",Расчет!A82)</f>
        <v>11227</v>
      </c>
      <c r="BO85" s="173">
        <f t="shared" si="45"/>
        <v>0</v>
      </c>
      <c r="BP85" s="172" t="str">
        <f>IF(BQ85="-","-",IFERROR(IF(OR(VLOOKUP(BN85,Расчет!$A$2:$E$582,5,FALSE)="2PS",VLOOKUP(BN85,Расчет!$A$2:$E$582,5,FALSE)="2QL"),IF(OR(VLOOKUP(BN85,Расчет!$A$2:$E$582,2,FALSE)="664W",VLOOKUP(BN85,Расчет!$A$2:$E$582,2,FALSE)="813W"),IF(BN85-$BS$7&gt;150,BN85-$BS$7-1000+$AD$12,BN85-$BS$7+$AD$12),IF(BN85-$BS$7&gt;150,BN85-$BS$7-1000+$AD$17,BN85-$BS$7+$AD$17)),IF(BN85-$BS$7&gt;150,BN85-$BS$7-1000,BN85-$BS$7)),"-"))</f>
        <v>-</v>
      </c>
      <c r="BQ85" s="173">
        <f t="shared" si="42"/>
        <v>11227</v>
      </c>
      <c r="BR85" s="453"/>
      <c r="BS85" s="171"/>
      <c r="BT85" s="464" t="str">
        <f t="shared" si="43"/>
        <v>-</v>
      </c>
      <c r="BU85" s="464" t="str">
        <f t="shared" si="44"/>
        <v>-</v>
      </c>
      <c r="BX85" s="204">
        <f>COUNTIF($BY$4:BY85,"&lt;100")</f>
        <v>0</v>
      </c>
      <c r="BY85" s="213" t="str">
        <f t="shared" si="35"/>
        <v/>
      </c>
      <c r="BZ85" s="216" t="str">
        <f t="shared" si="36"/>
        <v/>
      </c>
      <c r="CA85" s="213" t="e">
        <f t="shared" si="37"/>
        <v>#N/A</v>
      </c>
      <c r="CB85" s="209" t="e">
        <f t="shared" si="38"/>
        <v>#N/A</v>
      </c>
      <c r="CC85" s="205" t="str">
        <f t="shared" si="46"/>
        <v/>
      </c>
      <c r="CD85" s="205" t="str">
        <f t="shared" si="39"/>
        <v>-</v>
      </c>
      <c r="CE85" s="205">
        <f t="shared" si="47"/>
        <v>0</v>
      </c>
      <c r="CG85" s="20" t="str">
        <f t="shared" si="48"/>
        <v/>
      </c>
    </row>
    <row r="86" spans="1:85" ht="23.1" customHeight="1" thickBot="1">
      <c r="A86" s="40" t="str">
        <f>IF(AND(IFERROR(VLOOKUP(E86,Расчет!A:J,10,FALSE),"  ")&lt;&gt;"  ",IFERROR(LEFT(VLOOKUP(E86,Расчет!A:J,10,FALSE),1)," ")&lt;&gt;"H"),0,IFERROR(IF(F86="Camry",IF(OR(J86="2PS",J86="2QL"),IF(E86-AP86&gt;100,E86-AP86-1000+$AD$12,E86-AP86+$AD$12),IF(E86-AP86&gt;100,E86-AP86-1000,E86-AP86)),IF(J86="2PS",IF(E86-AP86&gt;100,E86-AP86-1000+$AD$17,E86-AP86+$AD$17),IF(E86-AP86&gt;100,E86-AP86-1000,E86-AP86))),"-"))</f>
        <v>-</v>
      </c>
      <c r="B86" s="46">
        <v>84</v>
      </c>
      <c r="C86" s="19" t="str">
        <f>IF(E86="","",COUNTA($E$3:E86))</f>
        <v/>
      </c>
      <c r="D86" s="18" t="str">
        <f t="shared" si="31"/>
        <v/>
      </c>
      <c r="E86" s="30"/>
      <c r="F86" s="44" t="str">
        <f>IFERROR(IF(VLOOKUP(E86,Расчет!$A$2:$B$650,2,FALSE)="664W","Camry",IF(VLOOKUP(E86,Расчет!$A$2:$B$650,2,FALSE)="813W","Goshi","RAV4")),"")</f>
        <v/>
      </c>
      <c r="G86" s="32" t="str">
        <f>IFERROR(IF(F86="Camry",VLOOKUP(E86,Расчет!$A$2:$Q$650,17,FALSE),VLOOKUP(E86,Расчет!$A$2:$R$650,18,FALSE)),"")</f>
        <v/>
      </c>
      <c r="H86" s="32" t="str">
        <f>IFERROR(VLOOKUP(VLOOKUP(E86,Расчет!$A:$D,4,FALSE),$AT$6:$AV$15,3,FALSE),"")</f>
        <v/>
      </c>
      <c r="I86" s="31" t="str">
        <f>IFERROR(VLOOKUP(IFERROR(VLOOKUP(E86,Расчет!$A$2:$D$650,4,FALSE),0),$AT$3:$AU$15,2,FALSE),"")</f>
        <v/>
      </c>
      <c r="J86" s="33" t="str">
        <f>IFERROR(VLOOKUP(E86,Расчет!$A$2:$E$650,5,FALSE),"")</f>
        <v/>
      </c>
      <c r="K86" s="189"/>
      <c r="L86" s="188">
        <f t="shared" si="40"/>
        <v>0</v>
      </c>
      <c r="M86" s="9"/>
      <c r="N86" s="40" t="str">
        <f>IF(AND(IFERROR(VLOOKUP(R86,Расчет!A:J,10,FALSE),"  ")&lt;&gt;"  ",IFERROR(LEFT(VLOOKUP(R86,Расчет!A:J,10,FALSE),1)," ")&lt;&gt;"H"),0,IFERROR(IF(S86="Camry",IF(OR(W86="2PS",W86="2QL"),IF(R86-AP189&gt;100,R86-AP189-1000+$AD$12,R86-AP189+$AD$12),IF(R86-AP189&gt;100,R86-AP189-1000,R86-AP189)),IF(W86="2PS",IF(R86-AP189&gt;100,R86-AP189-1000+$AD$17,R86-AP189+$AD$17),IF(R86-AP189&gt;100,R86-AP189-1000,R86-AP189))),"-"))</f>
        <v>-</v>
      </c>
      <c r="O86" s="46">
        <v>187</v>
      </c>
      <c r="P86" s="19" t="str">
        <f>IF(R86="","",COUNTA($R$3:R86)+$C$105)</f>
        <v/>
      </c>
      <c r="Q86" s="18" t="str">
        <f t="shared" si="32"/>
        <v/>
      </c>
      <c r="R86" s="30"/>
      <c r="S86" s="45" t="str">
        <f>IFERROR(IF(VLOOKUP(R86,Расчет!$A$2:$B$650,2,FALSE)="664W","Camry",IF(VLOOKUP(R86,Расчет!$A$2:$B$650,2,FALSE)="813W","Goshi","RAV4")),"")</f>
        <v/>
      </c>
      <c r="T86" s="32" t="str">
        <f>IFERROR(IF(S86="Camry",VLOOKUP(R86,Расчет!$A$2:$Q$650,17,FALSE),VLOOKUP(R86,Расчет!$A$2:$R$650,18,FALSE)),"")</f>
        <v/>
      </c>
      <c r="U86" s="32" t="str">
        <f>IFERROR(VLOOKUP(VLOOKUP(R86,Расчет!$A:$D,4,FALSE),$AT$6:$AV$15,3,FALSE),"")</f>
        <v/>
      </c>
      <c r="V86" s="31" t="str">
        <f>IFERROR(VLOOKUP(IFERROR(VLOOKUP(R86,Расчет!$A$2:$D$650,4,FALSE),0),$AT$3:$AU$15,2,FALSE),"")</f>
        <v/>
      </c>
      <c r="W86" s="33" t="str">
        <f>IFERROR(VLOOKUP(R86,Расчет!$A$2:$E$650,5,FALSE),"")</f>
        <v/>
      </c>
      <c r="X86" s="189"/>
      <c r="Y86" s="191">
        <f t="shared" si="41"/>
        <v>0</v>
      </c>
      <c r="Z86" s="404" t="str">
        <f>IFERROR(IF(VLOOKUP(AC86,Расчет!$A$2:$B$236,2,FALSE)="831W","RAV4","Camry"),"-")</f>
        <v>-</v>
      </c>
      <c r="AA86" s="405" t="str">
        <f>IFERROR(VLOOKUP(AC40,Расчет!$A$2:$E$236,5,FALSE),"-")</f>
        <v>-</v>
      </c>
      <c r="AB86" s="406" t="str">
        <f>IFERROR(SMALL($BU$5:$BU$259,6),"")</f>
        <v/>
      </c>
      <c r="AC86" s="403" t="str">
        <f>IF(VLOOKUP2($BP$5:$BQ$500,1,AB86,COUNTIF($AB$81:AB86,AB86),2)=0,"-",VLOOKUP2($BP$5:$BQ$500,1,AB86,COUNTIF($AB$81:AB86,AB86),2))</f>
        <v>-</v>
      </c>
      <c r="AD86" s="147" t="str">
        <f>IFERROR(VLOOKUP(AC86,Расчет!$BS:$BT,2,FALSE),"")</f>
        <v/>
      </c>
      <c r="AE86" s="89">
        <v>84</v>
      </c>
      <c r="AF86" s="44" t="str">
        <f>IF(VLOOKUP(AE86,Расчет!$AH$2:$AN$201,5,FALSE)="8","C",IF(VLOOKUP(AE86,Расчет!$AH$2:$AN$201,5,FALSE)="G","G","R"))</f>
        <v>C</v>
      </c>
      <c r="AG86" s="73" t="str">
        <f t="shared" si="33"/>
        <v/>
      </c>
      <c r="AH86" s="87" t="str">
        <f>IF(AG86="","",COUNTIF($AG$2:AG86,"C")-COUNTIF($AF$2:AF86,"C")+$AH$1)</f>
        <v/>
      </c>
      <c r="AI86" s="87" t="str">
        <f>IF(AG86="","",COUNTIF($AG$2:AG86,"R")-COUNTIF($AF$2:AF86,"R")+$AI$1)</f>
        <v/>
      </c>
      <c r="AJ86" s="89">
        <v>187</v>
      </c>
      <c r="AK86" s="44" t="str">
        <f>IF(VLOOKUP(AJ86,Расчет!$AH$2:$AN$211,5,FALSE)="8","C",IF(VLOOKUP(AJ86,Расчет!$AH$2:$AN$211,5,FALSE)="G","G","R"))</f>
        <v>C</v>
      </c>
      <c r="AL86" s="74" t="str">
        <f t="shared" si="34"/>
        <v/>
      </c>
      <c r="AM86" s="118" t="str">
        <f>IF(AL86="","",(COUNTIF($AG$2:$AG$105,"C")+COUNTIF($AL$2:$AL86,"C"))-(COUNTIF($AF$2:$AF$105,"C")+COUNTIF($AK$2:$AK86,"C"))+$AH$1)</f>
        <v/>
      </c>
      <c r="AN86" s="119" t="str">
        <f>IF(AL86="","",(COUNTIF($AG$2:$AG$105,"R")+COUNTIF($AL$2:$AL86,"R"))-(COUNTIF($AF$2:$AF$105,"R")+COUNTIF($AK$2:$AK86,"R"))+$AI$1)</f>
        <v/>
      </c>
      <c r="AO86" s="22" t="str">
        <f>IF(E86="","",COUNTA($E$3:E86)+$Z$1)</f>
        <v/>
      </c>
      <c r="AP86" s="88" t="str">
        <f>IF(AO86="","",IF(AO86+Расчет!$Y$57+$BD$2-Расчет!$X$57&gt;200,AO86+Расчет!$Y$57+$BD$2-1000,AO86+Расчет!$Y$57+$BD$2))</f>
        <v/>
      </c>
      <c r="AR86" s="92"/>
      <c r="AS86" s="92"/>
      <c r="BL86" s="172">
        <f>COUNTIF($BM$5:BM86,"&lt;-115")</f>
        <v>0</v>
      </c>
      <c r="BM86" s="154" t="str">
        <f>IFERROR(IF(OR(IFERROR(VLOOKUP(BN86,$E$3:$E$105,1,FALSE),"0")=BN86,IFERROR(VLOOKUP(BN86,$R$3:$R$105,1,FALSE),"0")=BN86),BO86,IF(OR(VLOOKUP(BN86,Расчет!A:E,5,FALSE)="2PS",VLOOKUP(BN86,Расчет!A:E,5,FALSE)="2QL"),IF(VLOOKUP(BN86,Расчет!A:B,2,FALSE)="831W",BN86-$BS$7+$AD$17,BN86-$BS$7+$AD$12),BN86-$BS$7)),"-")</f>
        <v>-</v>
      </c>
      <c r="BN86" s="154">
        <f>IF(OR(Расчет!C83="A0",Расчет!C83="P9",Расчет!B83="722W"),"-",Расчет!A83)</f>
        <v>11228</v>
      </c>
      <c r="BO86" s="173">
        <f t="shared" si="45"/>
        <v>0</v>
      </c>
      <c r="BP86" s="172" t="str">
        <f>IF(BQ86="-","-",IFERROR(IF(OR(VLOOKUP(BN86,Расчет!$A$2:$E$582,5,FALSE)="2PS",VLOOKUP(BN86,Расчет!$A$2:$E$582,5,FALSE)="2QL"),IF(OR(VLOOKUP(BN86,Расчет!$A$2:$E$582,2,FALSE)="664W",VLOOKUP(BN86,Расчет!$A$2:$E$582,2,FALSE)="813W"),IF(BN86-$BS$7&gt;150,BN86-$BS$7-1000+$AD$12,BN86-$BS$7+$AD$12),IF(BN86-$BS$7&gt;150,BN86-$BS$7-1000+$AD$17,BN86-$BS$7+$AD$17)),IF(BN86-$BS$7&gt;150,BN86-$BS$7-1000,BN86-$BS$7)),"-"))</f>
        <v>-</v>
      </c>
      <c r="BQ86" s="173">
        <f t="shared" si="42"/>
        <v>11228</v>
      </c>
      <c r="BR86" s="453"/>
      <c r="BS86" s="171"/>
      <c r="BT86" s="464" t="str">
        <f t="shared" si="43"/>
        <v>-</v>
      </c>
      <c r="BU86" s="464" t="str">
        <f t="shared" si="44"/>
        <v>-</v>
      </c>
      <c r="BX86" s="204">
        <f>COUNTIF($BY$4:BY86,"&lt;100")</f>
        <v>0</v>
      </c>
      <c r="BY86" s="213" t="str">
        <f t="shared" si="35"/>
        <v/>
      </c>
      <c r="BZ86" s="216" t="str">
        <f t="shared" si="36"/>
        <v/>
      </c>
      <c r="CA86" s="213" t="e">
        <f t="shared" si="37"/>
        <v>#N/A</v>
      </c>
      <c r="CB86" s="209" t="e">
        <f t="shared" si="38"/>
        <v>#N/A</v>
      </c>
      <c r="CC86" s="205" t="str">
        <f t="shared" si="46"/>
        <v/>
      </c>
      <c r="CD86" s="205" t="str">
        <f t="shared" si="39"/>
        <v>-</v>
      </c>
      <c r="CE86" s="205">
        <f t="shared" si="47"/>
        <v>0</v>
      </c>
      <c r="CG86" s="20" t="str">
        <f t="shared" si="48"/>
        <v/>
      </c>
    </row>
    <row r="87" spans="1:85" ht="23.1" customHeight="1">
      <c r="A87" s="40" t="str">
        <f>IF(AND(IFERROR(VLOOKUP(E87,Расчет!A:J,10,FALSE),"  ")&lt;&gt;"  ",IFERROR(LEFT(VLOOKUP(E87,Расчет!A:J,10,FALSE),1)," ")&lt;&gt;"H"),0,IFERROR(IF(F87="Camry",IF(OR(J87="2PS",J87="2QL"),IF(E87-AP87&gt;100,E87-AP87-1000+$AD$12,E87-AP87+$AD$12),IF(E87-AP87&gt;100,E87-AP87-1000,E87-AP87)),IF(J87="2PS",IF(E87-AP87&gt;100,E87-AP87-1000+$AD$17,E87-AP87+$AD$17),IF(E87-AP87&gt;100,E87-AP87-1000,E87-AP87))),"-"))</f>
        <v>-</v>
      </c>
      <c r="B87" s="46">
        <v>85</v>
      </c>
      <c r="C87" s="19" t="str">
        <f>IF(E87="","",COUNTA($E$3:E87))</f>
        <v/>
      </c>
      <c r="D87" s="18" t="str">
        <f>IFERROR(IF(AO87&gt;=1000,AO87-1000,AO87),"")</f>
        <v/>
      </c>
      <c r="E87" s="199"/>
      <c r="F87" s="44" t="str">
        <f>IFERROR(IF(VLOOKUP(E87,Расчет!$A$2:$B$650,2,FALSE)="664W","Camry",IF(VLOOKUP(E87,Расчет!$A$2:$B$650,2,FALSE)="813W","Goshi","RAV4")),"")</f>
        <v/>
      </c>
      <c r="G87" s="32" t="str">
        <f>IFERROR(IF(F87="Camry",VLOOKUP(E87,Расчет!$A$2:$Q$650,17,FALSE),VLOOKUP(E87,Расчет!$A$2:$R$650,18,FALSE)),"")</f>
        <v/>
      </c>
      <c r="H87" s="32" t="str">
        <f>IFERROR(VLOOKUP(VLOOKUP(E87,Расчет!$A:$D,4,FALSE),$AT$6:$AV$15,3,FALSE),"")</f>
        <v/>
      </c>
      <c r="I87" s="31" t="str">
        <f>IFERROR(VLOOKUP(IFERROR(VLOOKUP(E87,Расчет!$A$2:$D$650,4,FALSE),0),$AT$3:$AU$15,2,FALSE),"")</f>
        <v/>
      </c>
      <c r="J87" s="33" t="str">
        <f>IFERROR(VLOOKUP(E87,Расчет!$A$2:$E$650,5,FALSE),"")</f>
        <v/>
      </c>
      <c r="K87" s="189"/>
      <c r="L87" s="188">
        <f t="shared" si="40"/>
        <v>0</v>
      </c>
      <c r="M87" s="9"/>
      <c r="N87" s="40" t="str">
        <f>IF(AND(IFERROR(VLOOKUP(R87,Расчет!A:J,10,FALSE),"  ")&lt;&gt;"  ",IFERROR(LEFT(VLOOKUP(R87,Расчет!A:J,10,FALSE),1)," ")&lt;&gt;"H"),0,IFERROR(IF(S87="Camry",IF(OR(W87="2PS",W87="2QL"),IF(R87-AP190&gt;100,R87-AP190-1000+$AD$12,R87-AP190+$AD$12),IF(R87-AP190&gt;100,R87-AP190-1000,R87-AP190)),IF(W87="2PS",IF(R87-AP190&gt;100,R87-AP190-1000+$AD$17,R87-AP190+$AD$17),IF(R87-AP190&gt;100,R87-AP190-1000,R87-AP190))),"-"))</f>
        <v>-</v>
      </c>
      <c r="O87" s="46">
        <v>188</v>
      </c>
      <c r="P87" s="19" t="str">
        <f>IF(R87="","",COUNTA($R$3:R87)+$C$105)</f>
        <v/>
      </c>
      <c r="Q87" s="18" t="str">
        <f t="shared" si="32"/>
        <v/>
      </c>
      <c r="R87" s="30"/>
      <c r="S87" s="45" t="str">
        <f>IFERROR(IF(VLOOKUP(R87,Расчет!$A$2:$B$650,2,FALSE)="664W","Camry",IF(VLOOKUP(R87,Расчет!$A$2:$B$650,2,FALSE)="813W","Goshi","RAV4")),"")</f>
        <v/>
      </c>
      <c r="T87" s="32" t="str">
        <f>IFERROR(IF(S87="Camry",VLOOKUP(R87,Расчет!$A$2:$Q$650,17,FALSE),VLOOKUP(R87,Расчет!$A$2:$R$650,18,FALSE)),"")</f>
        <v/>
      </c>
      <c r="U87" s="32" t="str">
        <f>IFERROR(VLOOKUP(VLOOKUP(R87,Расчет!$A:$D,4,FALSE),$AT$6:$AV$15,3,FALSE),"")</f>
        <v/>
      </c>
      <c r="V87" s="31" t="str">
        <f>IFERROR(VLOOKUP(IFERROR(VLOOKUP(R87,Расчет!$A$2:$D$650,4,FALSE),0),$AT$3:$AU$15,2,FALSE),"")</f>
        <v/>
      </c>
      <c r="W87" s="33" t="str">
        <f>IFERROR(VLOOKUP(R87,Расчет!$A$2:$E$650,5,FALSE),"")</f>
        <v/>
      </c>
      <c r="X87" s="189"/>
      <c r="Y87" s="191">
        <f t="shared" si="41"/>
        <v>0</v>
      </c>
      <c r="Z87" s="407"/>
      <c r="AA87" s="408"/>
      <c r="AB87" s="408"/>
      <c r="AC87" s="408"/>
      <c r="AD87" s="422"/>
      <c r="AE87" s="89">
        <v>85</v>
      </c>
      <c r="AF87" s="44" t="str">
        <f>IF(VLOOKUP(AE87,Расчет!$AH$2:$AN$201,5,FALSE)="8","C",IF(VLOOKUP(AE87,Расчет!$AH$2:$AN$201,5,FALSE)="G","G","R"))</f>
        <v>R</v>
      </c>
      <c r="AG87" s="73" t="str">
        <f t="shared" si="33"/>
        <v/>
      </c>
      <c r="AH87" s="87" t="str">
        <f>IF(AG87="","",COUNTIF($AG$2:AG87,"C")-COUNTIF($AF$2:AF87,"C")+$AH$1)</f>
        <v/>
      </c>
      <c r="AI87" s="87" t="str">
        <f>IF(AG87="","",COUNTIF($AG$2:AG87,"R")-COUNTIF($AF$2:AF87,"R")+$AI$1)</f>
        <v/>
      </c>
      <c r="AJ87" s="89">
        <v>188</v>
      </c>
      <c r="AK87" s="44" t="str">
        <f>IF(VLOOKUP(AJ87,Расчет!$AH$2:$AN$211,5,FALSE)="8","C",IF(VLOOKUP(AJ87,Расчет!$AH$2:$AN$211,5,FALSE)="G","G","R"))</f>
        <v>R</v>
      </c>
      <c r="AL87" s="74" t="str">
        <f t="shared" si="34"/>
        <v/>
      </c>
      <c r="AM87" s="118" t="str">
        <f>IF(AL87="","",(COUNTIF($AG$2:$AG$105,"C")+COUNTIF($AL$2:$AL87,"C"))-(COUNTIF($AF$2:$AF$105,"C")+COUNTIF($AK$2:$AK87,"C"))+$AH$1)</f>
        <v/>
      </c>
      <c r="AN87" s="119" t="str">
        <f>IF(AL87="","",(COUNTIF($AG$2:$AG$105,"R")+COUNTIF($AL$2:$AL87,"R"))-(COUNTIF($AF$2:$AF$105,"R")+COUNTIF($AK$2:$AK87,"R"))+$AI$1)</f>
        <v/>
      </c>
      <c r="AO87" s="22" t="str">
        <f>IF(E87="","",COUNTA($E$3:E87)+$Z$1)</f>
        <v/>
      </c>
      <c r="AP87" s="88" t="str">
        <f>IF(AO87="","",IF(AO87+Расчет!$Y$57+$BD$2-Расчет!$X$57&gt;200,AO87+Расчет!$Y$57+$BD$2-1000,AO87+Расчет!$Y$57+$BD$2))</f>
        <v/>
      </c>
      <c r="AR87" s="92"/>
      <c r="AS87" s="92"/>
      <c r="BL87" s="172">
        <f>COUNTIF($BM$5:BM87,"&lt;-115")</f>
        <v>0</v>
      </c>
      <c r="BM87" s="154" t="str">
        <f>IFERROR(IF(OR(IFERROR(VLOOKUP(BN87,$E$3:$E$105,1,FALSE),"0")=BN87,IFERROR(VLOOKUP(BN87,$R$3:$R$105,1,FALSE),"0")=BN87),BO87,IF(OR(VLOOKUP(BN87,Расчет!A:E,5,FALSE)="2PS",VLOOKUP(BN87,Расчет!A:E,5,FALSE)="2QL"),IF(VLOOKUP(BN87,Расчет!A:B,2,FALSE)="831W",BN87-$BS$7+$AD$17,BN87-$BS$7+$AD$12),BN87-$BS$7)),"-")</f>
        <v>-</v>
      </c>
      <c r="BN87" s="154">
        <f>IF(OR(Расчет!C84="A0",Расчет!C84="P9",Расчет!B84="722W"),"-",Расчет!A84)</f>
        <v>11229</v>
      </c>
      <c r="BO87" s="173">
        <f t="shared" si="45"/>
        <v>0</v>
      </c>
      <c r="BP87" s="172" t="str">
        <f>IF(BQ87="-","-",IFERROR(IF(OR(VLOOKUP(BN87,Расчет!$A$2:$E$582,5,FALSE)="2PS",VLOOKUP(BN87,Расчет!$A$2:$E$582,5,FALSE)="2QL"),IF(OR(VLOOKUP(BN87,Расчет!$A$2:$E$582,2,FALSE)="664W",VLOOKUP(BN87,Расчет!$A$2:$E$582,2,FALSE)="813W"),IF(BN87-$BS$7&gt;150,BN87-$BS$7-1000+$AD$12,BN87-$BS$7+$AD$12),IF(BN87-$BS$7&gt;150,BN87-$BS$7-1000+$AD$17,BN87-$BS$7+$AD$17)),IF(BN87-$BS$7&gt;150,BN87-$BS$7-1000,BN87-$BS$7)),"-"))</f>
        <v>-</v>
      </c>
      <c r="BQ87" s="173">
        <f t="shared" si="42"/>
        <v>11229</v>
      </c>
      <c r="BR87" s="453"/>
      <c r="BS87" s="171"/>
      <c r="BT87" s="464" t="str">
        <f t="shared" si="43"/>
        <v>-</v>
      </c>
      <c r="BU87" s="464" t="str">
        <f t="shared" si="44"/>
        <v>-</v>
      </c>
      <c r="BX87" s="204">
        <f>COUNTIF($BY$4:BY87,"&lt;100")</f>
        <v>0</v>
      </c>
      <c r="BY87" s="213" t="str">
        <f t="shared" si="35"/>
        <v/>
      </c>
      <c r="BZ87" s="216" t="str">
        <f t="shared" si="36"/>
        <v/>
      </c>
      <c r="CA87" s="213" t="e">
        <f t="shared" si="37"/>
        <v>#N/A</v>
      </c>
      <c r="CB87" s="209" t="e">
        <f t="shared" si="38"/>
        <v>#N/A</v>
      </c>
      <c r="CC87" s="205" t="str">
        <f t="shared" si="46"/>
        <v/>
      </c>
      <c r="CD87" s="205" t="str">
        <f t="shared" si="39"/>
        <v>-</v>
      </c>
      <c r="CE87" s="205">
        <f t="shared" si="47"/>
        <v>0</v>
      </c>
      <c r="CG87" s="20" t="str">
        <f t="shared" si="48"/>
        <v/>
      </c>
    </row>
    <row r="88" spans="1:85" ht="23.1" customHeight="1">
      <c r="A88" s="40" t="str">
        <f>IF(AND(IFERROR(VLOOKUP(E88,Расчет!A:J,10,FALSE),"  ")&lt;&gt;"  ",IFERROR(LEFT(VLOOKUP(E88,Расчет!A:J,10,FALSE),1)," ")&lt;&gt;"H"),0,IFERROR(IF(F88="Camry",IF(OR(J88="2PS",J88="2QL"),IF(E88-AP88&gt;100,E88-AP88-1000+$AD$12,E88-AP88+$AD$12),IF(E88-AP88&gt;100,E88-AP88-1000,E88-AP88)),IF(J88="2PS",IF(E88-AP88&gt;100,E88-AP88-1000+$AD$17,E88-AP88+$AD$17),IF(E88-AP88&gt;100,E88-AP88-1000,E88-AP88))),"-"))</f>
        <v>-</v>
      </c>
      <c r="B88" s="46">
        <v>86</v>
      </c>
      <c r="C88" s="19" t="str">
        <f>IF(E88="","",COUNTA($E$3:E88))</f>
        <v/>
      </c>
      <c r="D88" s="198" t="str">
        <f>IFERROR(IF(AO88&gt;=1000,AO88-1000,AO88),"")</f>
        <v/>
      </c>
      <c r="E88" s="30"/>
      <c r="F88" s="44" t="str">
        <f>IFERROR(IF(VLOOKUP(E88,Расчет!$A$2:$B$650,2,FALSE)="664W","Camry",IF(VLOOKUP(E88,Расчет!$A$2:$B$650,2,FALSE)="813W","Goshi","RAV4")),"")</f>
        <v/>
      </c>
      <c r="G88" s="32" t="str">
        <f>IFERROR(IF(F88="Camry",VLOOKUP(E88,Расчет!$A$2:$Q$650,17,FALSE),VLOOKUP(E88,Расчет!$A$2:$R$650,18,FALSE)),"")</f>
        <v/>
      </c>
      <c r="H88" s="32" t="str">
        <f>IFERROR(VLOOKUP(VLOOKUP(E88,Расчет!$A:$D,4,FALSE),$AT$6:$AV$15,3,FALSE),"")</f>
        <v/>
      </c>
      <c r="I88" s="31" t="str">
        <f>IFERROR(VLOOKUP(IFERROR(VLOOKUP(E88,Расчет!$A$2:$D$650,4,FALSE),0),$AT$3:$AU$15,2,FALSE),"")</f>
        <v/>
      </c>
      <c r="J88" s="33" t="str">
        <f>IFERROR(VLOOKUP(E88,Расчет!$A$2:$E$650,5,FALSE),"")</f>
        <v/>
      </c>
      <c r="K88" s="189"/>
      <c r="L88" s="188">
        <f t="shared" si="40"/>
        <v>0</v>
      </c>
      <c r="M88" s="9"/>
      <c r="N88" s="40" t="str">
        <f>IF(AND(IFERROR(VLOOKUP(R88,Расчет!A:J,10,FALSE),"  ")&lt;&gt;"  ",IFERROR(LEFT(VLOOKUP(R88,Расчет!A:J,10,FALSE),1)," ")&lt;&gt;"H"),0,IFERROR(IF(S88="Camry",IF(OR(W88="2PS",W88="2QL"),IF(R88-AP191&gt;100,R88-AP191-1000+$AD$12,R88-AP191+$AD$12),IF(R88-AP191&gt;100,R88-AP191-1000,R88-AP191)),IF(W88="2PS",IF(R88-AP191&gt;100,R88-AP191-1000+$AD$17,R88-AP191+$AD$17),IF(R88-AP191&gt;100,R88-AP191-1000,R88-AP191))),"-"))</f>
        <v>-</v>
      </c>
      <c r="O88" s="46">
        <v>189</v>
      </c>
      <c r="P88" s="19" t="str">
        <f>IF(R88="","",COUNTA($R$3:R88)+$C$105)</f>
        <v/>
      </c>
      <c r="Q88" s="18" t="str">
        <f t="shared" si="32"/>
        <v/>
      </c>
      <c r="R88" s="30"/>
      <c r="S88" s="45" t="str">
        <f>IFERROR(IF(VLOOKUP(R88,Расчет!$A$2:$B$650,2,FALSE)="664W","Camry",IF(VLOOKUP(R88,Расчет!$A$2:$B$650,2,FALSE)="813W","Goshi","RAV4")),"")</f>
        <v/>
      </c>
      <c r="T88" s="32" t="str">
        <f>IFERROR(IF(S88="Camry",VLOOKUP(R88,Расчет!$A$2:$Q$650,17,FALSE),VLOOKUP(R88,Расчет!$A$2:$R$650,18,FALSE)),"")</f>
        <v/>
      </c>
      <c r="U88" s="32" t="str">
        <f>IFERROR(VLOOKUP(VLOOKUP(R88,Расчет!$A:$D,4,FALSE),$AT$6:$AV$15,3,FALSE),"")</f>
        <v/>
      </c>
      <c r="V88" s="31" t="str">
        <f>IFERROR(VLOOKUP(IFERROR(VLOOKUP(R88,Расчет!$A$2:$D$650,4,FALSE),0),$AT$3:$AU$15,2,FALSE),"")</f>
        <v/>
      </c>
      <c r="W88" s="33" t="str">
        <f>IFERROR(VLOOKUP(R88,Расчет!$A$2:$E$650,5,FALSE),"")</f>
        <v/>
      </c>
      <c r="X88" s="189"/>
      <c r="Y88" s="191">
        <f t="shared" si="41"/>
        <v>0</v>
      </c>
      <c r="Z88" s="409"/>
      <c r="AA88" s="410"/>
      <c r="AB88" s="410"/>
      <c r="AC88" s="410"/>
      <c r="AD88" s="423"/>
      <c r="AE88" s="89">
        <v>86</v>
      </c>
      <c r="AF88" s="44" t="str">
        <f>IF(VLOOKUP(AE88,Расчет!$AH$2:$AN$201,5,FALSE)="8","C",IF(VLOOKUP(AE88,Расчет!$AH$2:$AN$201,5,FALSE)="G","G","R"))</f>
        <v>C</v>
      </c>
      <c r="AG88" s="73" t="str">
        <f t="shared" si="33"/>
        <v/>
      </c>
      <c r="AH88" s="87" t="str">
        <f>IF(AG88="","",COUNTIF($AG$2:AG88,"C")-COUNTIF($AF$2:AF88,"C")+$AH$1)</f>
        <v/>
      </c>
      <c r="AI88" s="87" t="str">
        <f>IF(AG88="","",COUNTIF($AG$2:AG88,"R")-COUNTIF($AF$2:AF88,"R")+$AI$1)</f>
        <v/>
      </c>
      <c r="AJ88" s="89">
        <v>189</v>
      </c>
      <c r="AK88" s="44" t="str">
        <f>IF(VLOOKUP(AJ88,Расчет!$AH$2:$AN$211,5,FALSE)="8","C",IF(VLOOKUP(AJ88,Расчет!$AH$2:$AN$211,5,FALSE)="G","G","R"))</f>
        <v>C</v>
      </c>
      <c r="AL88" s="74" t="str">
        <f t="shared" si="34"/>
        <v/>
      </c>
      <c r="AM88" s="118" t="str">
        <f>IF(AL88="","",(COUNTIF($AG$2:$AG$105,"C")+COUNTIF($AL$2:$AL88,"C"))-(COUNTIF($AF$2:$AF$105,"C")+COUNTIF($AK$2:$AK88,"C"))+$AH$1)</f>
        <v/>
      </c>
      <c r="AN88" s="119" t="str">
        <f>IF(AL88="","",(COUNTIF($AG$2:$AG$105,"R")+COUNTIF($AL$2:$AL88,"R"))-(COUNTIF($AF$2:$AF$105,"R")+COUNTIF($AK$2:$AK88,"R"))+$AI$1)</f>
        <v/>
      </c>
      <c r="AO88" s="22" t="str">
        <f>IF(E88="","",COUNTA($E$3:E88)+$Z$1)</f>
        <v/>
      </c>
      <c r="AP88" s="88" t="str">
        <f>IF(AO88="","",IF(AO88+Расчет!$Y$57+$BD$2-Расчет!$X$57&gt;200,AO88+Расчет!$Y$57+$BD$2-1000,AO88+Расчет!$Y$57+$BD$2))</f>
        <v/>
      </c>
      <c r="AR88" s="92"/>
      <c r="AS88" s="92"/>
      <c r="BL88" s="172">
        <f>COUNTIF($BM$5:BM88,"&lt;-115")</f>
        <v>0</v>
      </c>
      <c r="BM88" s="154" t="str">
        <f>IFERROR(IF(OR(IFERROR(VLOOKUP(BN88,$E$3:$E$105,1,FALSE),"0")=BN88,IFERROR(VLOOKUP(BN88,$R$3:$R$105,1,FALSE),"0")=BN88),BO88,IF(OR(VLOOKUP(BN88,Расчет!A:E,5,FALSE)="2PS",VLOOKUP(BN88,Расчет!A:E,5,FALSE)="2QL"),IF(VLOOKUP(BN88,Расчет!A:B,2,FALSE)="831W",BN88-$BS$7+$AD$17,BN88-$BS$7+$AD$12),BN88-$BS$7)),"-")</f>
        <v>-</v>
      </c>
      <c r="BN88" s="154">
        <f>IF(OR(Расчет!C85="A0",Расчет!C85="P9",Расчет!B85="722W"),"-",Расчет!A85)</f>
        <v>11230</v>
      </c>
      <c r="BO88" s="173">
        <f t="shared" si="45"/>
        <v>0</v>
      </c>
      <c r="BP88" s="172" t="str">
        <f>IF(BQ88="-","-",IFERROR(IF(OR(VLOOKUP(BN88,Расчет!$A$2:$E$582,5,FALSE)="2PS",VLOOKUP(BN88,Расчет!$A$2:$E$582,5,FALSE)="2QL"),IF(OR(VLOOKUP(BN88,Расчет!$A$2:$E$582,2,FALSE)="664W",VLOOKUP(BN88,Расчет!$A$2:$E$582,2,FALSE)="813W"),IF(BN88-$BS$7&gt;150,BN88-$BS$7-1000+$AD$12,BN88-$BS$7+$AD$12),IF(BN88-$BS$7&gt;150,BN88-$BS$7-1000+$AD$17,BN88-$BS$7+$AD$17)),IF(BN88-$BS$7&gt;150,BN88-$BS$7-1000,BN88-$BS$7)),"-"))</f>
        <v>-</v>
      </c>
      <c r="BQ88" s="173">
        <f t="shared" si="42"/>
        <v>11230</v>
      </c>
      <c r="BR88" s="453"/>
      <c r="BS88" s="171"/>
      <c r="BT88" s="464" t="str">
        <f t="shared" si="43"/>
        <v>-</v>
      </c>
      <c r="BU88" s="464" t="str">
        <f t="shared" si="44"/>
        <v>-</v>
      </c>
      <c r="BX88" s="204">
        <f>COUNTIF($BY$4:BY88,"&lt;100")</f>
        <v>0</v>
      </c>
      <c r="BY88" s="213" t="str">
        <f t="shared" si="35"/>
        <v/>
      </c>
      <c r="BZ88" s="216" t="str">
        <f t="shared" si="36"/>
        <v/>
      </c>
      <c r="CA88" s="213" t="e">
        <f t="shared" si="37"/>
        <v>#N/A</v>
      </c>
      <c r="CB88" s="209" t="e">
        <f t="shared" si="38"/>
        <v>#N/A</v>
      </c>
      <c r="CC88" s="205" t="str">
        <f t="shared" si="46"/>
        <v/>
      </c>
      <c r="CD88" s="205" t="str">
        <f t="shared" si="39"/>
        <v>-</v>
      </c>
      <c r="CE88" s="205">
        <f t="shared" si="47"/>
        <v>0</v>
      </c>
      <c r="CG88" s="20" t="str">
        <f t="shared" si="48"/>
        <v/>
      </c>
    </row>
    <row r="89" spans="1:85" ht="23.1" customHeight="1">
      <c r="A89" s="40" t="str">
        <f>IF(AND(IFERROR(VLOOKUP(E89,Расчет!A:J,10,FALSE),"  ")&lt;&gt;"  ",IFERROR(LEFT(VLOOKUP(E89,Расчет!A:J,10,FALSE),1)," ")&lt;&gt;"H"),0,IFERROR(IF(F89="Camry",IF(OR(J89="2PS",J89="2QL"),IF(E89-AP89&gt;100,E89-AP89-1000+$AD$12,E89-AP89+$AD$12),IF(E89-AP89&gt;100,E89-AP89-1000,E89-AP89)),IF(J89="2PS",IF(E89-AP89&gt;100,E89-AP89-1000+$AD$17,E89-AP89+$AD$17),IF(E89-AP89&gt;100,E89-AP89-1000,E89-AP89))),"-"))</f>
        <v>-</v>
      </c>
      <c r="B89" s="46">
        <v>87</v>
      </c>
      <c r="C89" s="19" t="str">
        <f>IF(E89="","",COUNTA($E$3:E89))</f>
        <v/>
      </c>
      <c r="D89" s="198" t="str">
        <f>IFERROR(IF(AO89&gt;=1000,AO89-1000,AO89),"")</f>
        <v/>
      </c>
      <c r="E89" s="30"/>
      <c r="F89" s="44" t="str">
        <f>IFERROR(IF(VLOOKUP(E89,Расчет!$A$2:$B$650,2,FALSE)="664W","Camry",IF(VLOOKUP(E89,Расчет!$A$2:$B$650,2,FALSE)="813W","Goshi","RAV4")),"")</f>
        <v/>
      </c>
      <c r="G89" s="32" t="str">
        <f>IFERROR(IF(F89="Camry",VLOOKUP(E89,Расчет!$A$2:$Q$650,17,FALSE),VLOOKUP(E89,Расчет!$A$2:$R$650,18,FALSE)),"")</f>
        <v/>
      </c>
      <c r="H89" s="32" t="str">
        <f>IFERROR(VLOOKUP(VLOOKUP(E89,Расчет!$A:$D,4,FALSE),$AT$6:$AV$15,3,FALSE),"")</f>
        <v/>
      </c>
      <c r="I89" s="31" t="str">
        <f>IFERROR(VLOOKUP(IFERROR(VLOOKUP(E89,Расчет!$A$2:$D$650,4,FALSE),0),$AT$3:$AU$15,2,FALSE),"")</f>
        <v/>
      </c>
      <c r="J89" s="33" t="str">
        <f>IFERROR(VLOOKUP(E89,Расчет!$A$2:$E$650,5,FALSE),"")</f>
        <v/>
      </c>
      <c r="K89" s="189"/>
      <c r="L89" s="188">
        <f t="shared" si="40"/>
        <v>0</v>
      </c>
      <c r="M89" s="9"/>
      <c r="N89" s="40" t="str">
        <f>IF(AND(IFERROR(VLOOKUP(R89,Расчет!A:J,10,FALSE),"  ")&lt;&gt;"  ",IFERROR(LEFT(VLOOKUP(R89,Расчет!A:J,10,FALSE),1)," ")&lt;&gt;"H"),0,IFERROR(IF(S89="Camry",IF(OR(W89="2PS",W89="2QL"),IF(R89-AP192&gt;100,R89-AP192-1000+$AD$12,R89-AP192+$AD$12),IF(R89-AP192&gt;100,R89-AP192-1000,R89-AP192)),IF(W89="2PS",IF(R89-AP192&gt;100,R89-AP192-1000+$AD$17,R89-AP192+$AD$17),IF(R89-AP192&gt;100,R89-AP192-1000,R89-AP192))),"-"))</f>
        <v>-</v>
      </c>
      <c r="O89" s="46">
        <v>190</v>
      </c>
      <c r="P89" s="19" t="str">
        <f>IF(R89="","",COUNTA($R$3:R89)+$C$105)</f>
        <v/>
      </c>
      <c r="Q89" s="18" t="str">
        <f t="shared" si="32"/>
        <v/>
      </c>
      <c r="R89" s="30"/>
      <c r="S89" s="45" t="str">
        <f>IFERROR(IF(VLOOKUP(R89,Расчет!$A$2:$B$650,2,FALSE)="664W","Camry",IF(VLOOKUP(R89,Расчет!$A$2:$B$650,2,FALSE)="813W","Goshi","RAV4")),"")</f>
        <v/>
      </c>
      <c r="T89" s="32" t="str">
        <f>IFERROR(IF(S89="Camry",VLOOKUP(R89,Расчет!$A$2:$Q$650,17,FALSE),VLOOKUP(R89,Расчет!$A$2:$R$650,18,FALSE)),"")</f>
        <v/>
      </c>
      <c r="U89" s="32" t="str">
        <f>IFERROR(VLOOKUP(VLOOKUP(R89,Расчет!$A:$D,4,FALSE),$AT$6:$AV$15,3,FALSE),"")</f>
        <v/>
      </c>
      <c r="V89" s="31" t="str">
        <f>IFERROR(VLOOKUP(IFERROR(VLOOKUP(R89,Расчет!$A$2:$D$650,4,FALSE),0),$AT$3:$AU$15,2,FALSE),"")</f>
        <v/>
      </c>
      <c r="W89" s="33" t="str">
        <f>IFERROR(VLOOKUP(R89,Расчет!$A$2:$E$650,5,FALSE),"")</f>
        <v/>
      </c>
      <c r="X89" s="189"/>
      <c r="Y89" s="191">
        <f t="shared" si="41"/>
        <v>0</v>
      </c>
      <c r="Z89" s="409"/>
      <c r="AA89" s="410"/>
      <c r="AB89" s="410"/>
      <c r="AC89" s="410"/>
      <c r="AD89" s="423"/>
      <c r="AE89" s="89">
        <v>87</v>
      </c>
      <c r="AF89" s="44" t="str">
        <f>IF(VLOOKUP(AE89,Расчет!$AH$2:$AN$201,5,FALSE)="8","C",IF(VLOOKUP(AE89,Расчет!$AH$2:$AN$201,5,FALSE)="G","G","R"))</f>
        <v>R</v>
      </c>
      <c r="AG89" s="73" t="str">
        <f t="shared" si="33"/>
        <v/>
      </c>
      <c r="AH89" s="87" t="str">
        <f>IF(AG89="","",COUNTIF($AG$2:AG89,"C")-COUNTIF($AF$2:AF89,"C")+$AH$1)</f>
        <v/>
      </c>
      <c r="AI89" s="87" t="str">
        <f>IF(AG89="","",COUNTIF($AG$2:AG89,"R")-COUNTIF($AF$2:AF89,"R")+$AI$1)</f>
        <v/>
      </c>
      <c r="AJ89" s="89">
        <v>190</v>
      </c>
      <c r="AK89" s="44" t="str">
        <f>IF(VLOOKUP(AJ89,Расчет!$AH$2:$AN$211,5,FALSE)="8","C",IF(VLOOKUP(AJ89,Расчет!$AH$2:$AN$211,5,FALSE)="G","G","R"))</f>
        <v>R</v>
      </c>
      <c r="AL89" s="74" t="str">
        <f t="shared" si="34"/>
        <v/>
      </c>
      <c r="AM89" s="118" t="str">
        <f>IF(AL89="","",(COUNTIF($AG$2:$AG$105,"C")+COUNTIF($AL$2:$AL89,"C"))-(COUNTIF($AF$2:$AF$105,"C")+COUNTIF($AK$2:$AK89,"C"))+$AH$1)</f>
        <v/>
      </c>
      <c r="AN89" s="119" t="str">
        <f>IF(AL89="","",(COUNTIF($AG$2:$AG$105,"R")+COUNTIF($AL$2:$AL89,"R"))-(COUNTIF($AF$2:$AF$105,"R")+COUNTIF($AK$2:$AK89,"R"))+$AI$1)</f>
        <v/>
      </c>
      <c r="AO89" s="22" t="str">
        <f>IF(E89="","",COUNTA($E$3:E89)+$Z$1)</f>
        <v/>
      </c>
      <c r="AP89" s="88" t="str">
        <f>IF(AO89="","",IF(AO89+Расчет!$Y$57+$BD$2-Расчет!$X$57&gt;200,AO89+Расчет!$Y$57+$BD$2-1000,AO89+Расчет!$Y$57+$BD$2))</f>
        <v/>
      </c>
      <c r="AR89" s="92"/>
      <c r="AS89" s="92"/>
      <c r="BL89" s="172">
        <f>COUNTIF($BM$5:BM89,"&lt;-115")</f>
        <v>0</v>
      </c>
      <c r="BM89" s="154" t="str">
        <f>IFERROR(IF(OR(IFERROR(VLOOKUP(BN89,$E$3:$E$105,1,FALSE),"0")=BN89,IFERROR(VLOOKUP(BN89,$R$3:$R$105,1,FALSE),"0")=BN89),BO89,IF(OR(VLOOKUP(BN89,Расчет!A:E,5,FALSE)="2PS",VLOOKUP(BN89,Расчет!A:E,5,FALSE)="2QL"),IF(VLOOKUP(BN89,Расчет!A:B,2,FALSE)="831W",BN89-$BS$7+$AD$17,BN89-$BS$7+$AD$12),BN89-$BS$7)),"-")</f>
        <v>-</v>
      </c>
      <c r="BN89" s="154">
        <f>IF(OR(Расчет!C86="A0",Расчет!C86="P9",Расчет!B86="722W"),"-",Расчет!A86)</f>
        <v>11231</v>
      </c>
      <c r="BO89" s="173">
        <f t="shared" si="45"/>
        <v>0</v>
      </c>
      <c r="BP89" s="172" t="str">
        <f>IF(BQ89="-","-",IFERROR(IF(OR(VLOOKUP(BN89,Расчет!$A$2:$E$582,5,FALSE)="2PS",VLOOKUP(BN89,Расчет!$A$2:$E$582,5,FALSE)="2QL"),IF(OR(VLOOKUP(BN89,Расчет!$A$2:$E$582,2,FALSE)="664W",VLOOKUP(BN89,Расчет!$A$2:$E$582,2,FALSE)="813W"),IF(BN89-$BS$7&gt;150,BN89-$BS$7-1000+$AD$12,BN89-$BS$7+$AD$12),IF(BN89-$BS$7&gt;150,BN89-$BS$7-1000+$AD$17,BN89-$BS$7+$AD$17)),IF(BN89-$BS$7&gt;150,BN89-$BS$7-1000,BN89-$BS$7)),"-"))</f>
        <v>-</v>
      </c>
      <c r="BQ89" s="173">
        <f t="shared" si="42"/>
        <v>11231</v>
      </c>
      <c r="BR89" s="453"/>
      <c r="BS89" s="171"/>
      <c r="BT89" s="464" t="str">
        <f t="shared" si="43"/>
        <v>-</v>
      </c>
      <c r="BU89" s="464" t="str">
        <f t="shared" si="44"/>
        <v>-</v>
      </c>
      <c r="BX89" s="204">
        <f>COUNTIF($BY$4:BY89,"&lt;100")</f>
        <v>0</v>
      </c>
      <c r="BY89" s="213" t="str">
        <f t="shared" si="35"/>
        <v/>
      </c>
      <c r="BZ89" s="216" t="str">
        <f t="shared" si="36"/>
        <v/>
      </c>
      <c r="CA89" s="213" t="e">
        <f t="shared" si="37"/>
        <v>#N/A</v>
      </c>
      <c r="CB89" s="209" t="e">
        <f t="shared" si="38"/>
        <v>#N/A</v>
      </c>
      <c r="CC89" s="205" t="str">
        <f t="shared" si="46"/>
        <v/>
      </c>
      <c r="CD89" s="205" t="str">
        <f t="shared" si="39"/>
        <v>-</v>
      </c>
      <c r="CE89" s="205">
        <f t="shared" si="47"/>
        <v>0</v>
      </c>
      <c r="CG89" s="20" t="str">
        <f t="shared" si="48"/>
        <v/>
      </c>
    </row>
    <row r="90" spans="1:85" ht="23.1" customHeight="1">
      <c r="A90" s="40" t="str">
        <f>IF(AND(IFERROR(VLOOKUP(E90,Расчет!A:J,10,FALSE),"  ")&lt;&gt;"  ",IFERROR(LEFT(VLOOKUP(E90,Расчет!A:J,10,FALSE),1)," ")&lt;&gt;"H"),0,IFERROR(IF(F90="Camry",IF(OR(J90="2PS",J90="2QL"),IF(E90-AP90&gt;100,E90-AP90-1000+$AD$12,E90-AP90+$AD$12),IF(E90-AP90&gt;100,E90-AP90-1000,E90-AP90)),IF(J90="2PS",IF(E90-AP90&gt;100,E90-AP90-1000+$AD$17,E90-AP90+$AD$17),IF(E90-AP90&gt;100,E90-AP90-1000,E90-AP90))),"-"))</f>
        <v>-</v>
      </c>
      <c r="B90" s="46">
        <v>88</v>
      </c>
      <c r="C90" s="19" t="str">
        <f>IF(E90="","",COUNTA($E$3:E90))</f>
        <v/>
      </c>
      <c r="D90" s="18" t="str">
        <f t="shared" si="31"/>
        <v/>
      </c>
      <c r="E90" s="200"/>
      <c r="F90" s="44" t="str">
        <f>IFERROR(IF(VLOOKUP(E90,Расчет!$A$2:$B$650,2,FALSE)="664W","Camry",IF(VLOOKUP(E90,Расчет!$A$2:$B$650,2,FALSE)="813W","Goshi","RAV4")),"")</f>
        <v/>
      </c>
      <c r="G90" s="32" t="str">
        <f>IFERROR(IF(F90="Camry",VLOOKUP(E90,Расчет!$A$2:$Q$650,17,FALSE),VLOOKUP(E90,Расчет!$A$2:$R$650,18,FALSE)),"")</f>
        <v/>
      </c>
      <c r="H90" s="32" t="str">
        <f>IFERROR(VLOOKUP(VLOOKUP(E90,Расчет!$A:$D,4,FALSE),$AT$6:$AV$15,3,FALSE),"")</f>
        <v/>
      </c>
      <c r="I90" s="31" t="str">
        <f>IFERROR(VLOOKUP(IFERROR(VLOOKUP(E90,Расчет!$A$2:$D$650,4,FALSE),0),$AT$3:$AU$15,2,FALSE),"")</f>
        <v/>
      </c>
      <c r="J90" s="33" t="str">
        <f>IFERROR(VLOOKUP(E90,Расчет!$A$2:$E$650,5,FALSE),"")</f>
        <v/>
      </c>
      <c r="K90" s="189"/>
      <c r="L90" s="188">
        <f t="shared" si="40"/>
        <v>0</v>
      </c>
      <c r="M90" s="9"/>
      <c r="N90" s="40" t="str">
        <f>IF(AND(IFERROR(VLOOKUP(R90,Расчет!A:J,10,FALSE),"  ")&lt;&gt;"  ",IFERROR(LEFT(VLOOKUP(R90,Расчет!A:J,10,FALSE),1)," ")&lt;&gt;"H"),0,IFERROR(IF(S90="Camry",IF(OR(W90="2PS",W90="2QL"),IF(R90-AP193&gt;100,R90-AP193-1000+$AD$12,R90-AP193+$AD$12),IF(R90-AP193&gt;100,R90-AP193-1000,R90-AP193)),IF(W90="2PS",IF(R90-AP193&gt;100,R90-AP193-1000+$AD$17,R90-AP193+$AD$17),IF(R90-AP193&gt;100,R90-AP193-1000,R90-AP193))),"-"))</f>
        <v>-</v>
      </c>
      <c r="O90" s="46">
        <v>191</v>
      </c>
      <c r="P90" s="19" t="str">
        <f>IF(R90="","",COUNTA($R$3:R90)+$C$105)</f>
        <v/>
      </c>
      <c r="Q90" s="18" t="str">
        <f t="shared" si="32"/>
        <v/>
      </c>
      <c r="R90" s="30"/>
      <c r="S90" s="45" t="str">
        <f>IFERROR(IF(VLOOKUP(R90,Расчет!$A$2:$B$650,2,FALSE)="664W","Camry",IF(VLOOKUP(R90,Расчет!$A$2:$B$650,2,FALSE)="813W","Goshi","RAV4")),"")</f>
        <v/>
      </c>
      <c r="T90" s="32" t="str">
        <f>IFERROR(IF(S90="Camry",VLOOKUP(R90,Расчет!$A$2:$Q$650,17,FALSE),VLOOKUP(R90,Расчет!$A$2:$R$650,18,FALSE)),"")</f>
        <v/>
      </c>
      <c r="U90" s="32" t="str">
        <f>IFERROR(VLOOKUP(VLOOKUP(R90,Расчет!$A:$D,4,FALSE),$AT$6:$AV$15,3,FALSE),"")</f>
        <v/>
      </c>
      <c r="V90" s="31" t="str">
        <f>IFERROR(VLOOKUP(IFERROR(VLOOKUP(R90,Расчет!$A$2:$D$650,4,FALSE),0),$AT$3:$AU$15,2,FALSE),"")</f>
        <v/>
      </c>
      <c r="W90" s="33" t="str">
        <f>IFERROR(VLOOKUP(R90,Расчет!$A$2:$E$650,5,FALSE),"")</f>
        <v/>
      </c>
      <c r="X90" s="189"/>
      <c r="Y90" s="191">
        <f t="shared" si="41"/>
        <v>0</v>
      </c>
      <c r="Z90" s="409"/>
      <c r="AA90" s="410"/>
      <c r="AB90" s="410"/>
      <c r="AC90" s="410"/>
      <c r="AD90" s="423"/>
      <c r="AE90" s="89">
        <v>88</v>
      </c>
      <c r="AF90" s="44" t="str">
        <f>IF(VLOOKUP(AE90,Расчет!$AH$2:$AN$201,5,FALSE)="8","C",IF(VLOOKUP(AE90,Расчет!$AH$2:$AN$201,5,FALSE)="G","G","R"))</f>
        <v>R</v>
      </c>
      <c r="AG90" s="73" t="str">
        <f t="shared" si="33"/>
        <v/>
      </c>
      <c r="AH90" s="87" t="str">
        <f>IF(AG90="","",COUNTIF($AG$2:AG90,"C")-COUNTIF($AF$2:AF90,"C")+$AH$1)</f>
        <v/>
      </c>
      <c r="AI90" s="87" t="str">
        <f>IF(AG90="","",COUNTIF($AG$2:AG90,"R")-COUNTIF($AF$2:AF90,"R")+$AI$1)</f>
        <v/>
      </c>
      <c r="AJ90" s="89">
        <v>191</v>
      </c>
      <c r="AK90" s="44" t="str">
        <f>IF(VLOOKUP(AJ90,Расчет!$AH$2:$AN$211,5,FALSE)="8","C",IF(VLOOKUP(AJ90,Расчет!$AH$2:$AN$211,5,FALSE)="G","G","R"))</f>
        <v>C</v>
      </c>
      <c r="AL90" s="74" t="str">
        <f t="shared" si="34"/>
        <v/>
      </c>
      <c r="AM90" s="118" t="str">
        <f>IF(AL90="","",(COUNTIF($AG$2:$AG$105,"C")+COUNTIF($AL$2:$AL90,"C"))-(COUNTIF($AF$2:$AF$105,"C")+COUNTIF($AK$2:$AK90,"C"))+$AH$1)</f>
        <v/>
      </c>
      <c r="AN90" s="119" t="str">
        <f>IF(AL90="","",(COUNTIF($AG$2:$AG$105,"R")+COUNTIF($AL$2:$AL90,"R"))-(COUNTIF($AF$2:$AF$105,"R")+COUNTIF($AK$2:$AK90,"R"))+$AI$1)</f>
        <v/>
      </c>
      <c r="AO90" s="22" t="str">
        <f>IF(E90="","",COUNTA($E$3:E90)+$Z$1)</f>
        <v/>
      </c>
      <c r="AP90" s="88" t="str">
        <f>IF(AO90="","",IF(AO90+Расчет!$Y$57+$BD$2-Расчет!$X$57&gt;200,AO90+Расчет!$Y$57+$BD$2-1000,AO90+Расчет!$Y$57+$BD$2))</f>
        <v/>
      </c>
      <c r="AR90" s="92"/>
      <c r="AS90" s="92"/>
      <c r="BL90" s="172">
        <f>COUNTIF($BM$5:BM90,"&lt;-115")</f>
        <v>0</v>
      </c>
      <c r="BM90" s="154" t="str">
        <f>IFERROR(IF(OR(IFERROR(VLOOKUP(BN90,$E$3:$E$105,1,FALSE),"0")=BN90,IFERROR(VLOOKUP(BN90,$R$3:$R$105,1,FALSE),"0")=BN90),BO90,IF(OR(VLOOKUP(BN90,Расчет!A:E,5,FALSE)="2PS",VLOOKUP(BN90,Расчет!A:E,5,FALSE)="2QL"),IF(VLOOKUP(BN90,Расчет!A:B,2,FALSE)="831W",BN90-$BS$7+$AD$17,BN90-$BS$7+$AD$12),BN90-$BS$7)),"-")</f>
        <v>-</v>
      </c>
      <c r="BN90" s="154">
        <f>IF(OR(Расчет!C87="A0",Расчет!C87="P9",Расчет!B87="722W"),"-",Расчет!A87)</f>
        <v>11232</v>
      </c>
      <c r="BO90" s="173">
        <f t="shared" si="45"/>
        <v>0</v>
      </c>
      <c r="BP90" s="172" t="str">
        <f>IF(BQ90="-","-",IFERROR(IF(OR(VLOOKUP(BN90,Расчет!$A$2:$E$582,5,FALSE)="2PS",VLOOKUP(BN90,Расчет!$A$2:$E$582,5,FALSE)="2QL"),IF(OR(VLOOKUP(BN90,Расчет!$A$2:$E$582,2,FALSE)="664W",VLOOKUP(BN90,Расчет!$A$2:$E$582,2,FALSE)="813W"),IF(BN90-$BS$7&gt;150,BN90-$BS$7-1000+$AD$12,BN90-$BS$7+$AD$12),IF(BN90-$BS$7&gt;150,BN90-$BS$7-1000+$AD$17,BN90-$BS$7+$AD$17)),IF(BN90-$BS$7&gt;150,BN90-$BS$7-1000,BN90-$BS$7)),"-"))</f>
        <v>-</v>
      </c>
      <c r="BQ90" s="173">
        <f t="shared" si="42"/>
        <v>11232</v>
      </c>
      <c r="BR90" s="453"/>
      <c r="BS90" s="171"/>
      <c r="BT90" s="464" t="str">
        <f t="shared" si="43"/>
        <v>-</v>
      </c>
      <c r="BU90" s="464" t="str">
        <f t="shared" si="44"/>
        <v>-</v>
      </c>
      <c r="BX90" s="204">
        <f>COUNTIF($BY$4:BY90,"&lt;100")</f>
        <v>0</v>
      </c>
      <c r="BY90" s="213" t="str">
        <f t="shared" si="35"/>
        <v/>
      </c>
      <c r="BZ90" s="216" t="str">
        <f t="shared" si="36"/>
        <v/>
      </c>
      <c r="CA90" s="213" t="e">
        <f t="shared" si="37"/>
        <v>#N/A</v>
      </c>
      <c r="CB90" s="209" t="e">
        <f t="shared" si="38"/>
        <v>#N/A</v>
      </c>
      <c r="CC90" s="205" t="str">
        <f t="shared" si="46"/>
        <v/>
      </c>
      <c r="CD90" s="205" t="str">
        <f t="shared" si="39"/>
        <v>-</v>
      </c>
      <c r="CE90" s="205">
        <f t="shared" si="47"/>
        <v>0</v>
      </c>
      <c r="CG90" s="20" t="str">
        <f t="shared" si="48"/>
        <v/>
      </c>
    </row>
    <row r="91" spans="1:85" ht="23.1" customHeight="1" thickBot="1">
      <c r="A91" s="40" t="str">
        <f>IF(AND(IFERROR(VLOOKUP(E91,Расчет!A:J,10,FALSE),"  ")&lt;&gt;"  ",IFERROR(LEFT(VLOOKUP(E91,Расчет!A:J,10,FALSE),1)," ")&lt;&gt;"H"),0,IFERROR(IF(F91="Camry",IF(OR(J91="2PS",J91="2QL"),IF(E91-AP91&gt;100,E91-AP91-1000+$AD$12,E91-AP91+$AD$12),IF(E91-AP91&gt;100,E91-AP91-1000,E91-AP91)),IF(J91="2PS",IF(E91-AP91&gt;100,E91-AP91-1000+$AD$17,E91-AP91+$AD$17),IF(E91-AP91&gt;100,E91-AP91-1000,E91-AP91))),"-"))</f>
        <v>-</v>
      </c>
      <c r="B91" s="46">
        <v>89</v>
      </c>
      <c r="C91" s="19" t="str">
        <f>IF(E91="","",COUNTA($E$3:E91))</f>
        <v/>
      </c>
      <c r="D91" s="18" t="str">
        <f t="shared" si="31"/>
        <v/>
      </c>
      <c r="E91" s="30"/>
      <c r="F91" s="44" t="str">
        <f>IFERROR(IF(VLOOKUP(E91,Расчет!$A$2:$B$650,2,FALSE)="664W","Camry",IF(VLOOKUP(E91,Расчет!$A$2:$B$650,2,FALSE)="813W","Goshi","RAV4")),"")</f>
        <v/>
      </c>
      <c r="G91" s="32" t="str">
        <f>IFERROR(IF(F91="Camry",VLOOKUP(E91,Расчет!$A$2:$Q$650,17,FALSE),VLOOKUP(E91,Расчет!$A$2:$R$650,18,FALSE)),"")</f>
        <v/>
      </c>
      <c r="H91" s="32" t="str">
        <f>IFERROR(VLOOKUP(VLOOKUP(E91,Расчет!$A:$D,4,FALSE),$AT$6:$AV$15,3,FALSE),"")</f>
        <v/>
      </c>
      <c r="I91" s="31" t="str">
        <f>IFERROR(VLOOKUP(IFERROR(VLOOKUP(E91,Расчет!$A$2:$D$650,4,FALSE),0),$AT$3:$AU$15,2,FALSE),"")</f>
        <v/>
      </c>
      <c r="J91" s="33" t="str">
        <f>IFERROR(VLOOKUP(E91,Расчет!$A$2:$E$650,5,FALSE),"")</f>
        <v/>
      </c>
      <c r="K91" s="190"/>
      <c r="L91" s="188">
        <f t="shared" si="40"/>
        <v>0</v>
      </c>
      <c r="M91" s="9"/>
      <c r="N91" s="40" t="str">
        <f>IF(AND(IFERROR(VLOOKUP(R91,Расчет!A:J,10,FALSE),"  ")&lt;&gt;"  ",IFERROR(LEFT(VLOOKUP(R91,Расчет!A:J,10,FALSE),1)," ")&lt;&gt;"H"),0,IFERROR(IF(S91="Camry",IF(OR(W91="2PS",W91="2QL"),IF(R91-AP194&gt;100,R91-AP194-1000+$AD$12,R91-AP194+$AD$12),IF(R91-AP194&gt;100,R91-AP194-1000,R91-AP194)),IF(W91="2PS",IF(R91-AP194&gt;100,R91-AP194-1000+$AD$17,R91-AP194+$AD$17),IF(R91-AP194&gt;100,R91-AP194-1000,R91-AP194))),"-"))</f>
        <v>-</v>
      </c>
      <c r="O91" s="46">
        <v>192</v>
      </c>
      <c r="P91" s="19" t="str">
        <f>IF(R91="","",COUNTA($R$3:R91)+$C$105)</f>
        <v/>
      </c>
      <c r="Q91" s="18" t="str">
        <f t="shared" si="32"/>
        <v/>
      </c>
      <c r="R91" s="30"/>
      <c r="S91" s="45" t="str">
        <f>IFERROR(IF(VLOOKUP(R91,Расчет!$A$2:$B$650,2,FALSE)="664W","Camry",IF(VLOOKUP(R91,Расчет!$A$2:$B$650,2,FALSE)="813W","Goshi","RAV4")),"")</f>
        <v/>
      </c>
      <c r="T91" s="32" t="str">
        <f>IFERROR(IF(S91="Camry",VLOOKUP(R91,Расчет!$A$2:$Q$650,17,FALSE),VLOOKUP(R91,Расчет!$A$2:$R$650,18,FALSE)),"")</f>
        <v/>
      </c>
      <c r="U91" s="32" t="str">
        <f>IFERROR(VLOOKUP(VLOOKUP(R91,Расчет!$A:$D,4,FALSE),$AT$6:$AV$15,3,FALSE),"")</f>
        <v/>
      </c>
      <c r="V91" s="31" t="str">
        <f>IFERROR(VLOOKUP(IFERROR(VLOOKUP(R91,Расчет!$A$2:$D$650,4,FALSE),0),$AT$3:$AU$15,2,FALSE),"")</f>
        <v/>
      </c>
      <c r="W91" s="33" t="str">
        <f>IFERROR(VLOOKUP(R91,Расчет!$A$2:$E$650,5,FALSE),"")</f>
        <v/>
      </c>
      <c r="X91" s="189"/>
      <c r="Y91" s="191">
        <f t="shared" si="41"/>
        <v>0</v>
      </c>
      <c r="Z91" s="411"/>
      <c r="AA91" s="412"/>
      <c r="AB91" s="412"/>
      <c r="AC91" s="412"/>
      <c r="AD91" s="423"/>
      <c r="AE91" s="89">
        <v>89</v>
      </c>
      <c r="AF91" s="44" t="str">
        <f>IF(VLOOKUP(AE91,Расчет!$AH$2:$AN$201,5,FALSE)="8","C",IF(VLOOKUP(AE91,Расчет!$AH$2:$AN$201,5,FALSE)="G","G","R"))</f>
        <v>C</v>
      </c>
      <c r="AG91" s="73" t="str">
        <f t="shared" si="33"/>
        <v/>
      </c>
      <c r="AH91" s="87" t="str">
        <f>IF(AG91="","",COUNTIF($AG$2:AG91,"C")-COUNTIF($AF$2:AF91,"C")+$AH$1)</f>
        <v/>
      </c>
      <c r="AI91" s="87" t="str">
        <f>IF(AG91="","",COUNTIF($AG$2:AG91,"R")-COUNTIF($AF$2:AF91,"R")+$AI$1)</f>
        <v/>
      </c>
      <c r="AJ91" s="89">
        <v>192</v>
      </c>
      <c r="AK91" s="44" t="str">
        <f>IF(VLOOKUP(AJ91,Расчет!$AH$2:$AN$211,5,FALSE)="8","C",IF(VLOOKUP(AJ91,Расчет!$AH$2:$AN$211,5,FALSE)="G","G","R"))</f>
        <v>R</v>
      </c>
      <c r="AL91" s="74" t="str">
        <f t="shared" si="34"/>
        <v/>
      </c>
      <c r="AM91" s="118" t="str">
        <f>IF(AL91="","",(COUNTIF($AG$2:$AG$105,"C")+COUNTIF($AL$2:$AL91,"C"))-(COUNTIF($AF$2:$AF$105,"C")+COUNTIF($AK$2:$AK91,"C"))+$AH$1)</f>
        <v/>
      </c>
      <c r="AN91" s="119" t="str">
        <f>IF(AL91="","",(COUNTIF($AG$2:$AG$105,"R")+COUNTIF($AL$2:$AL91,"R"))-(COUNTIF($AF$2:$AF$105,"R")+COUNTIF($AK$2:$AK91,"R"))+$AI$1)</f>
        <v/>
      </c>
      <c r="AO91" s="22" t="str">
        <f>IF(E91="","",COUNTA($E$3:E91)+$Z$1)</f>
        <v/>
      </c>
      <c r="AP91" s="88" t="str">
        <f>IF(AO91="","",IF(AO91+Расчет!$Y$57+$BD$2-Расчет!$X$57&gt;200,AO91+Расчет!$Y$57+$BD$2-1000,AO91+Расчет!$Y$57+$BD$2))</f>
        <v/>
      </c>
      <c r="AR91" s="92"/>
      <c r="AS91" s="92"/>
      <c r="BL91" s="172">
        <f>COUNTIF($BM$5:BM91,"&lt;-115")</f>
        <v>0</v>
      </c>
      <c r="BM91" s="154" t="str">
        <f>IFERROR(IF(OR(IFERROR(VLOOKUP(BN91,$E$3:$E$105,1,FALSE),"0")=BN91,IFERROR(VLOOKUP(BN91,$R$3:$R$105,1,FALSE),"0")=BN91),BO91,IF(OR(VLOOKUP(BN91,Расчет!A:E,5,FALSE)="2PS",VLOOKUP(BN91,Расчет!A:E,5,FALSE)="2QL"),IF(VLOOKUP(BN91,Расчет!A:B,2,FALSE)="831W",BN91-$BS$7+$AD$17,BN91-$BS$7+$AD$12),BN91-$BS$7)),"-")</f>
        <v>-</v>
      </c>
      <c r="BN91" s="154">
        <f>IF(OR(Расчет!C88="A0",Расчет!C88="P9",Расчет!B88="722W"),"-",Расчет!A88)</f>
        <v>11233</v>
      </c>
      <c r="BO91" s="173">
        <f t="shared" si="45"/>
        <v>0</v>
      </c>
      <c r="BP91" s="172" t="str">
        <f>IF(BQ91="-","-",IFERROR(IF(OR(VLOOKUP(BN91,Расчет!$A$2:$E$582,5,FALSE)="2PS",VLOOKUP(BN91,Расчет!$A$2:$E$582,5,FALSE)="2QL"),IF(OR(VLOOKUP(BN91,Расчет!$A$2:$E$582,2,FALSE)="664W",VLOOKUP(BN91,Расчет!$A$2:$E$582,2,FALSE)="813W"),IF(BN91-$BS$7&gt;150,BN91-$BS$7-1000+$AD$12,BN91-$BS$7+$AD$12),IF(BN91-$BS$7&gt;150,BN91-$BS$7-1000+$AD$17,BN91-$BS$7+$AD$17)),IF(BN91-$BS$7&gt;150,BN91-$BS$7-1000,BN91-$BS$7)),"-"))</f>
        <v>-</v>
      </c>
      <c r="BQ91" s="173">
        <f t="shared" si="42"/>
        <v>11233</v>
      </c>
      <c r="BR91" s="453"/>
      <c r="BS91" s="171"/>
      <c r="BT91" s="464" t="str">
        <f t="shared" si="43"/>
        <v>-</v>
      </c>
      <c r="BU91" s="464" t="str">
        <f t="shared" si="44"/>
        <v>-</v>
      </c>
      <c r="BX91" s="204">
        <f>COUNTIF($BY$4:BY91,"&lt;100")</f>
        <v>0</v>
      </c>
      <c r="BY91" s="213" t="str">
        <f t="shared" si="35"/>
        <v/>
      </c>
      <c r="BZ91" s="216" t="str">
        <f t="shared" si="36"/>
        <v/>
      </c>
      <c r="CA91" s="213" t="e">
        <f t="shared" si="37"/>
        <v>#N/A</v>
      </c>
      <c r="CB91" s="209" t="e">
        <f t="shared" si="38"/>
        <v>#N/A</v>
      </c>
      <c r="CC91" s="205" t="str">
        <f t="shared" si="46"/>
        <v/>
      </c>
      <c r="CD91" s="205" t="str">
        <f t="shared" si="39"/>
        <v>-</v>
      </c>
      <c r="CE91" s="205">
        <f t="shared" si="47"/>
        <v>0</v>
      </c>
      <c r="CG91" s="20" t="str">
        <f t="shared" si="48"/>
        <v/>
      </c>
    </row>
    <row r="92" spans="1:85" ht="23.1" customHeight="1" thickBot="1">
      <c r="A92" s="40" t="str">
        <f>IF(AND(IFERROR(VLOOKUP(E92,Расчет!A:J,10,FALSE),"  ")&lt;&gt;"  ",IFERROR(LEFT(VLOOKUP(E92,Расчет!A:J,10,FALSE),1)," ")&lt;&gt;"H"),0,IFERROR(IF(F92="Camry",IF(OR(J92="2PS",J92="2QL"),IF(E92-AP92&gt;100,E92-AP92-1000+$AD$12,E92-AP92+$AD$12),IF(E92-AP92&gt;100,E92-AP92-1000,E92-AP92)),IF(J92="2PS",IF(E92-AP92&gt;100,E92-AP92-1000+$AD$17,E92-AP92+$AD$17),IF(E92-AP92&gt;100,E92-AP92-1000,E92-AP92))),"-"))</f>
        <v>-</v>
      </c>
      <c r="B92" s="46">
        <v>90</v>
      </c>
      <c r="C92" s="19" t="str">
        <f>IF(E92="","",COUNTA($E$3:E92))</f>
        <v/>
      </c>
      <c r="D92" s="18" t="str">
        <f t="shared" si="31"/>
        <v/>
      </c>
      <c r="E92" s="30"/>
      <c r="F92" s="44" t="str">
        <f>IFERROR(IF(VLOOKUP(E92,Расчет!$A$2:$B$650,2,FALSE)="664W","Camry",IF(VLOOKUP(E92,Расчет!$A$2:$B$650,2,FALSE)="813W","Goshi","RAV4")),"")</f>
        <v/>
      </c>
      <c r="G92" s="32" t="str">
        <f>IFERROR(IF(F92="Camry",VLOOKUP(E92,Расчет!$A$2:$Q$650,17,FALSE),VLOOKUP(E92,Расчет!$A$2:$R$650,18,FALSE)),"")</f>
        <v/>
      </c>
      <c r="H92" s="32" t="str">
        <f>IFERROR(VLOOKUP(VLOOKUP(E92,Расчет!$A:$D,4,FALSE),$AT$6:$AV$15,3,FALSE),"")</f>
        <v/>
      </c>
      <c r="I92" s="31" t="str">
        <f>IFERROR(VLOOKUP(IFERROR(VLOOKUP(E92,Расчет!$A$2:$D$650,4,FALSE),0),$AT$3:$AU$15,2,FALSE),"")</f>
        <v/>
      </c>
      <c r="J92" s="346" t="str">
        <f>IFERROR(VLOOKUP(E92,Расчет!$A$2:$E$650,5,FALSE),"")</f>
        <v/>
      </c>
      <c r="K92" s="189"/>
      <c r="L92" s="192">
        <f t="shared" si="40"/>
        <v>0</v>
      </c>
      <c r="M92" s="9"/>
      <c r="N92" s="40" t="str">
        <f>IF(AND(IFERROR(VLOOKUP(R92,Расчет!A:J,10,FALSE),"  ")&lt;&gt;"  ",IFERROR(LEFT(VLOOKUP(R92,Расчет!A:J,10,FALSE),1)," ")&lt;&gt;"H"),0,IFERROR(IF(S92="Camry",IF(OR(W92="2PS",W92="2QL"),IF(R92-AP195&gt;100,R92-AP195-1000+$AD$12,R92-AP195+$AD$12),IF(R92-AP195&gt;100,R92-AP195-1000,R92-AP195)),IF(W92="2PS",IF(R92-AP195&gt;100,R92-AP195-1000+$AD$17,R92-AP195+$AD$17),IF(R92-AP195&gt;100,R92-AP195-1000,R92-AP195))),"-"))</f>
        <v>-</v>
      </c>
      <c r="O92" s="46">
        <v>193</v>
      </c>
      <c r="P92" s="19" t="str">
        <f>IF(R92="","",COUNTA($R$3:R92)+$C$105)</f>
        <v/>
      </c>
      <c r="Q92" s="18" t="str">
        <f t="shared" si="32"/>
        <v/>
      </c>
      <c r="R92" s="30"/>
      <c r="S92" s="45" t="str">
        <f>IFERROR(IF(VLOOKUP(R92,Расчет!$A$2:$B$650,2,FALSE)="664W","Camry",IF(VLOOKUP(R92,Расчет!$A$2:$B$650,2,FALSE)="813W","Goshi","RAV4")),"")</f>
        <v/>
      </c>
      <c r="T92" s="32" t="str">
        <f>IFERROR(IF(S92="Camry",VLOOKUP(R92,Расчет!$A$2:$Q$650,17,FALSE),VLOOKUP(R92,Расчет!$A$2:$R$650,18,FALSE)),"")</f>
        <v/>
      </c>
      <c r="U92" s="32" t="str">
        <f>IFERROR(VLOOKUP(VLOOKUP(R92,Расчет!$A:$D,4,FALSE),$AT$6:$AV$15,3,FALSE),"")</f>
        <v/>
      </c>
      <c r="V92" s="31" t="str">
        <f>IFERROR(VLOOKUP(IFERROR(VLOOKUP(R92,Расчет!$A$2:$D$650,4,FALSE),0),$AT$3:$AU$15,2,FALSE),"")</f>
        <v/>
      </c>
      <c r="W92" s="33" t="str">
        <f>IFERROR(VLOOKUP(R92,Расчет!$A$2:$E$650,5,FALSE),"")</f>
        <v/>
      </c>
      <c r="X92" s="189"/>
      <c r="Y92" s="191">
        <f t="shared" si="41"/>
        <v>0</v>
      </c>
      <c r="Z92" s="613" t="s">
        <v>72</v>
      </c>
      <c r="AA92" s="688"/>
      <c r="AB92" s="688"/>
      <c r="AC92" s="688"/>
      <c r="AD92" s="614"/>
      <c r="AE92" s="89">
        <v>90</v>
      </c>
      <c r="AF92" s="44" t="str">
        <f>IF(VLOOKUP(AE92,Расчет!$AH$2:$AN$201,5,FALSE)="8","C",IF(VLOOKUP(AE92,Расчет!$AH$2:$AN$201,5,FALSE)="G","G","R"))</f>
        <v>R</v>
      </c>
      <c r="AG92" s="73" t="str">
        <f t="shared" si="33"/>
        <v/>
      </c>
      <c r="AH92" s="87" t="str">
        <f>IF(AG92="","",COUNTIF($AG$2:AG92,"C")-COUNTIF($AF$2:AF92,"C")+$AH$1)</f>
        <v/>
      </c>
      <c r="AI92" s="87" t="str">
        <f>IF(AG92="","",COUNTIF($AG$2:AG92,"R")-COUNTIF($AF$2:AF92,"R")+$AI$1)</f>
        <v/>
      </c>
      <c r="AJ92" s="89">
        <v>193</v>
      </c>
      <c r="AK92" s="44" t="str">
        <f>IF(VLOOKUP(AJ92,Расчет!$AH$2:$AN$211,5,FALSE)="8","C",IF(VLOOKUP(AJ92,Расчет!$AH$2:$AN$211,5,FALSE)="G","G","R"))</f>
        <v>R</v>
      </c>
      <c r="AL92" s="74" t="str">
        <f t="shared" si="34"/>
        <v/>
      </c>
      <c r="AM92" s="118" t="str">
        <f>IF(AL92="","",(COUNTIF($AG$2:$AG$105,"C")+COUNTIF($AL$2:$AL92,"C"))-(COUNTIF($AF$2:$AF$105,"C")+COUNTIF($AK$2:$AK92,"C"))+$AH$1)</f>
        <v/>
      </c>
      <c r="AN92" s="119" t="str">
        <f>IF(AL92="","",(COUNTIF($AG$2:$AG$105,"R")+COUNTIF($AL$2:$AL92,"R"))-(COUNTIF($AF$2:$AF$105,"R")+COUNTIF($AK$2:$AK92,"R"))+$AI$1)</f>
        <v/>
      </c>
      <c r="AO92" s="22" t="str">
        <f>IF(E92="","",COUNTA($E$3:E92)+$Z$1)</f>
        <v/>
      </c>
      <c r="AP92" s="88" t="str">
        <f>IF(AO92="","",IF(AO92+Расчет!$Y$57+$BD$2-Расчет!$X$57&gt;200,AO92+Расчет!$Y$57+$BD$2-1000,AO92+Расчет!$Y$57+$BD$2))</f>
        <v/>
      </c>
      <c r="AR92" s="92"/>
      <c r="AS92" s="92"/>
      <c r="BL92" s="172">
        <f>COUNTIF($BM$5:BM92,"&lt;-115")</f>
        <v>0</v>
      </c>
      <c r="BM92" s="154" t="str">
        <f>IFERROR(IF(OR(IFERROR(VLOOKUP(BN92,$E$3:$E$105,1,FALSE),"0")=BN92,IFERROR(VLOOKUP(BN92,$R$3:$R$105,1,FALSE),"0")=BN92),BO92,IF(OR(VLOOKUP(BN92,Расчет!A:E,5,FALSE)="2PS",VLOOKUP(BN92,Расчет!A:E,5,FALSE)="2QL"),IF(VLOOKUP(BN92,Расчет!A:B,2,FALSE)="831W",BN92-$BS$7+$AD$17,BN92-$BS$7+$AD$12),BN92-$BS$7)),"-")</f>
        <v>-</v>
      </c>
      <c r="BN92" s="154">
        <f>IF(OR(Расчет!C89="A0",Расчет!C89="P9",Расчет!B89="722W"),"-",Расчет!A89)</f>
        <v>11234</v>
      </c>
      <c r="BO92" s="173">
        <f t="shared" si="45"/>
        <v>0</v>
      </c>
      <c r="BP92" s="172" t="str">
        <f>IF(BQ92="-","-",IFERROR(IF(OR(VLOOKUP(BN92,Расчет!$A$2:$E$582,5,FALSE)="2PS",VLOOKUP(BN92,Расчет!$A$2:$E$582,5,FALSE)="2QL"),IF(OR(VLOOKUP(BN92,Расчет!$A$2:$E$582,2,FALSE)="664W",VLOOKUP(BN92,Расчет!$A$2:$E$582,2,FALSE)="813W"),IF(BN92-$BS$7&gt;150,BN92-$BS$7-1000+$AD$12,BN92-$BS$7+$AD$12),IF(BN92-$BS$7&gt;150,BN92-$BS$7-1000+$AD$17,BN92-$BS$7+$AD$17)),IF(BN92-$BS$7&gt;150,BN92-$BS$7-1000,BN92-$BS$7)),"-"))</f>
        <v>-</v>
      </c>
      <c r="BQ92" s="173">
        <f t="shared" si="42"/>
        <v>11234</v>
      </c>
      <c r="BR92" s="453"/>
      <c r="BS92" s="171"/>
      <c r="BT92" s="464" t="str">
        <f t="shared" si="43"/>
        <v>-</v>
      </c>
      <c r="BU92" s="464" t="str">
        <f t="shared" si="44"/>
        <v>-</v>
      </c>
      <c r="BX92" s="204">
        <f>COUNTIF($BY$4:BY92,"&lt;100")</f>
        <v>0</v>
      </c>
      <c r="BY92" s="213" t="str">
        <f t="shared" si="35"/>
        <v/>
      </c>
      <c r="BZ92" s="216" t="str">
        <f t="shared" si="36"/>
        <v/>
      </c>
      <c r="CA92" s="213" t="e">
        <f t="shared" si="37"/>
        <v>#N/A</v>
      </c>
      <c r="CB92" s="209" t="e">
        <f t="shared" si="38"/>
        <v>#N/A</v>
      </c>
      <c r="CC92" s="205" t="str">
        <f t="shared" si="46"/>
        <v/>
      </c>
      <c r="CD92" s="205" t="str">
        <f t="shared" si="39"/>
        <v>-</v>
      </c>
      <c r="CE92" s="205">
        <f t="shared" si="47"/>
        <v>0</v>
      </c>
      <c r="CG92" s="20" t="str">
        <f t="shared" si="48"/>
        <v/>
      </c>
    </row>
    <row r="93" spans="1:85" ht="23.1" customHeight="1" thickBot="1">
      <c r="A93" s="40" t="str">
        <f>IF(AND(IFERROR(VLOOKUP(E93,Расчет!A:J,10,FALSE),"  ")&lt;&gt;"  ",IFERROR(LEFT(VLOOKUP(E93,Расчет!A:J,10,FALSE),1)," ")&lt;&gt;"H"),0,IFERROR(IF(F93="Camry",IF(OR(J93="2PS",J93="2QL"),IF(E93-AP93&gt;100,E93-AP93-1000+$AD$12,E93-AP93+$AD$12),IF(E93-AP93&gt;100,E93-AP93-1000,E93-AP93)),IF(J93="2PS",IF(E93-AP93&gt;100,E93-AP93-1000+$AD$17,E93-AP93+$AD$17),IF(E93-AP93&gt;100,E93-AP93-1000,E93-AP93))),"-"))</f>
        <v>-</v>
      </c>
      <c r="B93" s="46">
        <v>91</v>
      </c>
      <c r="C93" s="19" t="str">
        <f>IF(E93="","",COUNTA($E$3:E93))</f>
        <v/>
      </c>
      <c r="D93" s="18" t="str">
        <f t="shared" si="31"/>
        <v/>
      </c>
      <c r="E93" s="30"/>
      <c r="F93" s="44" t="str">
        <f>IFERROR(IF(VLOOKUP(E93,Расчет!$A$2:$B$650,2,FALSE)="664W","Camry",IF(VLOOKUP(E93,Расчет!$A$2:$B$650,2,FALSE)="813W","Goshi","RAV4")),"")</f>
        <v/>
      </c>
      <c r="G93" s="32" t="str">
        <f>IFERROR(IF(F93="Camry",VLOOKUP(E93,Расчет!$A$2:$Q$650,17,FALSE),VLOOKUP(E93,Расчет!$A$2:$R$650,18,FALSE)),"")</f>
        <v/>
      </c>
      <c r="H93" s="32" t="str">
        <f>IFERROR(VLOOKUP(VLOOKUP(E93,Расчет!$A:$D,4,FALSE),$AT$6:$AV$15,3,FALSE),"")</f>
        <v/>
      </c>
      <c r="I93" s="31" t="str">
        <f>IFERROR(VLOOKUP(IFERROR(VLOOKUP(E93,Расчет!$A$2:$D$650,4,FALSE),0),$AT$3:$AU$15,2,FALSE),"")</f>
        <v/>
      </c>
      <c r="J93" s="33" t="str">
        <f>IFERROR(VLOOKUP(E93,Расчет!$A$2:$E$650,5,FALSE),"")</f>
        <v/>
      </c>
      <c r="K93" s="425"/>
      <c r="L93" s="188">
        <f t="shared" si="40"/>
        <v>0</v>
      </c>
      <c r="M93" s="9"/>
      <c r="N93" s="40" t="str">
        <f>IF(AND(IFERROR(VLOOKUP(R93,Расчет!A:J,10,FALSE),"  ")&lt;&gt;"  ",IFERROR(LEFT(VLOOKUP(R93,Расчет!A:J,10,FALSE),1)," ")&lt;&gt;"H"),0,IFERROR(IF(S93="Camry",IF(OR(W93="2PS",W93="2QL"),IF(R93-AP196&gt;100,R93-AP196-1000+$AD$12,R93-AP196+$AD$12),IF(R93-AP196&gt;100,R93-AP196-1000,R93-AP196)),IF(W93="2PS",IF(R93-AP196&gt;100,R93-AP196-1000+$AD$17,R93-AP196+$AD$17),IF(R93-AP196&gt;100,R93-AP196-1000,R93-AP196))),"-"))</f>
        <v>-</v>
      </c>
      <c r="O93" s="46">
        <v>194</v>
      </c>
      <c r="P93" s="19" t="str">
        <f>IF(R93="","",COUNTA($R$3:R93)+$C$105)</f>
        <v/>
      </c>
      <c r="Q93" s="18" t="str">
        <f t="shared" si="32"/>
        <v/>
      </c>
      <c r="R93" s="30"/>
      <c r="S93" s="45" t="str">
        <f>IFERROR(IF(VLOOKUP(R93,Расчет!$A$2:$B$650,2,FALSE)="664W","Camry",IF(VLOOKUP(R93,Расчет!$A$2:$B$650,2,FALSE)="813W","Goshi","RAV4")),"")</f>
        <v/>
      </c>
      <c r="T93" s="32" t="str">
        <f>IFERROR(IF(S93="Camry",VLOOKUP(R93,Расчет!$A$2:$Q$650,17,FALSE),VLOOKUP(R93,Расчет!$A$2:$R$650,18,FALSE)),"")</f>
        <v/>
      </c>
      <c r="U93" s="32" t="str">
        <f>IFERROR(VLOOKUP(VLOOKUP(R93,Расчет!$A:$D,4,FALSE),$AT$6:$AV$15,3,FALSE),"")</f>
        <v/>
      </c>
      <c r="V93" s="31" t="str">
        <f>IFERROR(VLOOKUP(IFERROR(VLOOKUP(R93,Расчет!$A$2:$D$650,4,FALSE),0),$AT$3:$AU$15,2,FALSE),"")</f>
        <v/>
      </c>
      <c r="W93" s="33" t="str">
        <f>IFERROR(VLOOKUP(R93,Расчет!$A$2:$E$650,5,FALSE),"")</f>
        <v/>
      </c>
      <c r="X93" s="189"/>
      <c r="Y93" s="191">
        <f t="shared" si="41"/>
        <v>0</v>
      </c>
      <c r="Z93" s="691" t="s">
        <v>145</v>
      </c>
      <c r="AA93" s="692"/>
      <c r="AB93" s="692"/>
      <c r="AC93" s="692"/>
      <c r="AD93" s="693"/>
      <c r="AE93" s="89">
        <v>91</v>
      </c>
      <c r="AF93" s="44" t="str">
        <f>IF(VLOOKUP(AE93,Расчет!$AH$2:$AN$201,5,FALSE)="8","C",IF(VLOOKUP(AE93,Расчет!$AH$2:$AN$201,5,FALSE)="G","G","R"))</f>
        <v>C</v>
      </c>
      <c r="AG93" s="73" t="str">
        <f t="shared" si="33"/>
        <v/>
      </c>
      <c r="AH93" s="87" t="str">
        <f>IF(AG93="","",COUNTIF($AG$2:AG93,"C")-COUNTIF($AF$2:AF93,"C")+$AH$1)</f>
        <v/>
      </c>
      <c r="AI93" s="87" t="str">
        <f>IF(AG93="","",COUNTIF($AG$2:AG93,"R")-COUNTIF($AF$2:AF93,"R")+$AI$1)</f>
        <v/>
      </c>
      <c r="AJ93" s="89">
        <v>194</v>
      </c>
      <c r="AK93" s="44" t="str">
        <f>IF(VLOOKUP(AJ93,Расчет!$AH$2:$AN$211,5,FALSE)="8","C",IF(VLOOKUP(AJ93,Расчет!$AH$2:$AN$211,5,FALSE)="G","G","R"))</f>
        <v>C</v>
      </c>
      <c r="AL93" s="74" t="str">
        <f t="shared" si="34"/>
        <v/>
      </c>
      <c r="AM93" s="118" t="str">
        <f>IF(AL93="","",(COUNTIF($AG$2:$AG$105,"C")+COUNTIF($AL$2:$AL93,"C"))-(COUNTIF($AF$2:$AF$105,"C")+COUNTIF($AK$2:$AK93,"C"))+$AH$1)</f>
        <v/>
      </c>
      <c r="AN93" s="119" t="str">
        <f>IF(AL93="","",(COUNTIF($AG$2:$AG$105,"R")+COUNTIF($AL$2:$AL93,"R"))-(COUNTIF($AF$2:$AF$105,"R")+COUNTIF($AK$2:$AK93,"R"))+$AI$1)</f>
        <v/>
      </c>
      <c r="AO93" s="22" t="str">
        <f>IF(E93="","",COUNTA($E$3:E93)+$Z$1)</f>
        <v/>
      </c>
      <c r="AP93" s="88" t="str">
        <f>IF(AO93="","",IF(AO93+Расчет!$Y$57+$BD$2-Расчет!$X$57&gt;200,AO93+Расчет!$Y$57+$BD$2-1000,AO93+Расчет!$Y$57+$BD$2))</f>
        <v/>
      </c>
      <c r="AR93" s="92"/>
      <c r="AS93" s="92"/>
      <c r="BL93" s="172">
        <f>COUNTIF($BM$5:BM93,"&lt;-115")</f>
        <v>0</v>
      </c>
      <c r="BM93" s="154" t="str">
        <f>IFERROR(IF(OR(IFERROR(VLOOKUP(BN93,$E$3:$E$105,1,FALSE),"0")=BN93,IFERROR(VLOOKUP(BN93,$R$3:$R$105,1,FALSE),"0")=BN93),BO93,IF(OR(VLOOKUP(BN93,Расчет!A:E,5,FALSE)="2PS",VLOOKUP(BN93,Расчет!A:E,5,FALSE)="2QL"),IF(VLOOKUP(BN93,Расчет!A:B,2,FALSE)="831W",BN93-$BS$7+$AD$17,BN93-$BS$7+$AD$12),BN93-$BS$7)),"-")</f>
        <v>-</v>
      </c>
      <c r="BN93" s="154">
        <f>IF(OR(Расчет!C90="A0",Расчет!C90="P9",Расчет!B90="722W"),"-",Расчет!A90)</f>
        <v>11235</v>
      </c>
      <c r="BO93" s="173">
        <f t="shared" si="45"/>
        <v>0</v>
      </c>
      <c r="BP93" s="172" t="str">
        <f>IF(BQ93="-","-",IFERROR(IF(OR(VLOOKUP(BN93,Расчет!$A$2:$E$582,5,FALSE)="2PS",VLOOKUP(BN93,Расчет!$A$2:$E$582,5,FALSE)="2QL"),IF(OR(VLOOKUP(BN93,Расчет!$A$2:$E$582,2,FALSE)="664W",VLOOKUP(BN93,Расчет!$A$2:$E$582,2,FALSE)="813W"),IF(BN93-$BS$7&gt;150,BN93-$BS$7-1000+$AD$12,BN93-$BS$7+$AD$12),IF(BN93-$BS$7&gt;150,BN93-$BS$7-1000+$AD$17,BN93-$BS$7+$AD$17)),IF(BN93-$BS$7&gt;150,BN93-$BS$7-1000,BN93-$BS$7)),"-"))</f>
        <v>-</v>
      </c>
      <c r="BQ93" s="173">
        <f t="shared" si="42"/>
        <v>11235</v>
      </c>
      <c r="BR93" s="453"/>
      <c r="BS93" s="171"/>
      <c r="BT93" s="464" t="str">
        <f t="shared" si="43"/>
        <v>-</v>
      </c>
      <c r="BU93" s="464" t="str">
        <f t="shared" si="44"/>
        <v>-</v>
      </c>
      <c r="BX93" s="204">
        <f>COUNTIF($BY$4:BY93,"&lt;100")</f>
        <v>0</v>
      </c>
      <c r="BY93" s="213" t="str">
        <f t="shared" si="35"/>
        <v/>
      </c>
      <c r="BZ93" s="216" t="str">
        <f t="shared" si="36"/>
        <v/>
      </c>
      <c r="CA93" s="213" t="e">
        <f t="shared" si="37"/>
        <v>#N/A</v>
      </c>
      <c r="CB93" s="209" t="e">
        <f t="shared" si="38"/>
        <v>#N/A</v>
      </c>
      <c r="CC93" s="205" t="str">
        <f t="shared" si="46"/>
        <v/>
      </c>
      <c r="CD93" s="205" t="str">
        <f t="shared" si="39"/>
        <v>-</v>
      </c>
      <c r="CE93" s="205">
        <f t="shared" si="47"/>
        <v>0</v>
      </c>
      <c r="CG93" s="20" t="str">
        <f t="shared" si="48"/>
        <v/>
      </c>
    </row>
    <row r="94" spans="1:85" ht="23.1" customHeight="1">
      <c r="A94" s="40" t="str">
        <f>IF(AND(IFERROR(VLOOKUP(E94,Расчет!A:J,10,FALSE),"  ")&lt;&gt;"  ",IFERROR(LEFT(VLOOKUP(E94,Расчет!A:J,10,FALSE),1)," ")&lt;&gt;"H"),0,IFERROR(IF(F94="Camry",IF(OR(J94="2PS",J94="2QL"),IF(E94-AP94&gt;100,E94-AP94-1000+$AD$12,E94-AP94+$AD$12),IF(E94-AP94&gt;100,E94-AP94-1000,E94-AP94)),IF(J94="2PS",IF(E94-AP94&gt;100,E94-AP94-1000+$AD$17,E94-AP94+$AD$17),IF(E94-AP94&gt;100,E94-AP94-1000,E94-AP94))),"-"))</f>
        <v>-</v>
      </c>
      <c r="B94" s="46">
        <v>92</v>
      </c>
      <c r="C94" s="19" t="str">
        <f>IF(E94="","",COUNTA($E$3:E94))</f>
        <v/>
      </c>
      <c r="D94" s="18" t="str">
        <f t="shared" si="31"/>
        <v/>
      </c>
      <c r="E94" s="30"/>
      <c r="F94" s="44" t="str">
        <f>IFERROR(IF(VLOOKUP(E94,Расчет!$A$2:$B$650,2,FALSE)="664W","Camry",IF(VLOOKUP(E94,Расчет!$A$2:$B$650,2,FALSE)="813W","Goshi","RAV4")),"")</f>
        <v/>
      </c>
      <c r="G94" s="32" t="str">
        <f>IFERROR(IF(F94="Camry",VLOOKUP(E94,Расчет!$A$2:$Q$650,17,FALSE),VLOOKUP(E94,Расчет!$A$2:$R$650,18,FALSE)),"")</f>
        <v/>
      </c>
      <c r="H94" s="32" t="str">
        <f>IFERROR(VLOOKUP(VLOOKUP(E94,Расчет!$A:$D,4,FALSE),$AT$6:$AV$15,3,FALSE),"")</f>
        <v/>
      </c>
      <c r="I94" s="31" t="str">
        <f>IFERROR(VLOOKUP(IFERROR(VLOOKUP(E94,Расчет!$A$2:$D$650,4,FALSE),0),$AT$3:$AU$15,2,FALSE),"")</f>
        <v/>
      </c>
      <c r="J94" s="33" t="str">
        <f>IFERROR(VLOOKUP(E94,Расчет!$A$2:$E$650,5,FALSE),"")</f>
        <v/>
      </c>
      <c r="K94" s="189"/>
      <c r="L94" s="188">
        <f t="shared" si="40"/>
        <v>0</v>
      </c>
      <c r="M94" s="9"/>
      <c r="N94" s="40" t="str">
        <f>IF(AND(IFERROR(VLOOKUP(R94,Расчет!A:J,10,FALSE),"  ")&lt;&gt;"  ",IFERROR(LEFT(VLOOKUP(R94,Расчет!A:J,10,FALSE),1)," ")&lt;&gt;"H"),0,IFERROR(IF(S94="Camry",IF(OR(W94="2PS",W94="2QL"),IF(R94-AP197&gt;100,R94-AP197-1000+$AD$12,R94-AP197+$AD$12),IF(R94-AP197&gt;100,R94-AP197-1000,R94-AP197)),IF(W94="2PS",IF(R94-AP197&gt;100,R94-AP197-1000+$AD$17,R94-AP197+$AD$17),IF(R94-AP197&gt;100,R94-AP197-1000,R94-AP197))),"-"))</f>
        <v>-</v>
      </c>
      <c r="O94" s="46">
        <v>195</v>
      </c>
      <c r="P94" s="19" t="str">
        <f>IF(R94="","",COUNTA($R$3:R94)+$C$105)</f>
        <v/>
      </c>
      <c r="Q94" s="18" t="str">
        <f t="shared" si="32"/>
        <v/>
      </c>
      <c r="R94" s="30"/>
      <c r="S94" s="45" t="str">
        <f>IFERROR(IF(VLOOKUP(R94,Расчет!$A$2:$B$650,2,FALSE)="664W","Camry",IF(VLOOKUP(R94,Расчет!$A$2:$B$650,2,FALSE)="813W","Goshi","RAV4")),"")</f>
        <v/>
      </c>
      <c r="T94" s="32" t="str">
        <f>IFERROR(IF(S94="Camry",VLOOKUP(R94,Расчет!$A$2:$Q$650,17,FALSE),VLOOKUP(R94,Расчет!$A$2:$R$650,18,FALSE)),"")</f>
        <v/>
      </c>
      <c r="U94" s="32" t="str">
        <f>IFERROR(VLOOKUP(VLOOKUP(R94,Расчет!$A:$D,4,FALSE),$AT$6:$AV$15,3,FALSE),"")</f>
        <v/>
      </c>
      <c r="V94" s="31" t="str">
        <f>IFERROR(VLOOKUP(IFERROR(VLOOKUP(R94,Расчет!$A$2:$D$650,4,FALSE),0),$AT$3:$AU$15,2,FALSE),"")</f>
        <v/>
      </c>
      <c r="W94" s="33" t="str">
        <f>IFERROR(VLOOKUP(R94,Расчет!$A$2:$E$650,5,FALSE),"")</f>
        <v/>
      </c>
      <c r="X94" s="189"/>
      <c r="Y94" s="191">
        <f t="shared" si="41"/>
        <v>0</v>
      </c>
      <c r="Z94" s="155" t="s">
        <v>27</v>
      </c>
      <c r="AA94" s="428" t="s">
        <v>8</v>
      </c>
      <c r="AB94" s="434" t="s">
        <v>137</v>
      </c>
      <c r="AC94" s="155" t="s">
        <v>26</v>
      </c>
      <c r="AD94" s="435" t="s">
        <v>132</v>
      </c>
      <c r="AE94" s="89">
        <v>92</v>
      </c>
      <c r="AF94" s="44" t="str">
        <f>IF(VLOOKUP(AE94,Расчет!$AH$2:$AN$201,5,FALSE)="8","C",IF(VLOOKUP(AE94,Расчет!$AH$2:$AN$201,5,FALSE)="G","G","R"))</f>
        <v>R</v>
      </c>
      <c r="AG94" s="73" t="str">
        <f t="shared" si="33"/>
        <v/>
      </c>
      <c r="AH94" s="87" t="str">
        <f>IF(AG94="","",COUNTIF($AG$2:AG94,"C")-COUNTIF($AF$2:AF94,"C")+$AH$1)</f>
        <v/>
      </c>
      <c r="AI94" s="87" t="str">
        <f>IF(AG94="","",COUNTIF($AG$2:AG94,"R")-COUNTIF($AF$2:AF94,"R")+$AI$1)</f>
        <v/>
      </c>
      <c r="AJ94" s="89">
        <v>195</v>
      </c>
      <c r="AK94" s="44" t="str">
        <f>IF(VLOOKUP(AJ94,Расчет!$AH$2:$AN$211,5,FALSE)="8","C",IF(VLOOKUP(AJ94,Расчет!$AH$2:$AN$211,5,FALSE)="G","G","R"))</f>
        <v>R</v>
      </c>
      <c r="AL94" s="74" t="str">
        <f t="shared" si="34"/>
        <v/>
      </c>
      <c r="AM94" s="118" t="str">
        <f>IF(AL94="","",(COUNTIF($AG$2:$AG$105,"C")+COUNTIF($AL$2:$AL94,"C"))-(COUNTIF($AF$2:$AF$105,"C")+COUNTIF($AK$2:$AK94,"C"))+$AH$1)</f>
        <v/>
      </c>
      <c r="AN94" s="119" t="str">
        <f>IF(AL94="","",(COUNTIF($AG$2:$AG$105,"R")+COUNTIF($AL$2:$AL94,"R"))-(COUNTIF($AF$2:$AF$105,"R")+COUNTIF($AK$2:$AK94,"R"))+$AI$1)</f>
        <v/>
      </c>
      <c r="AO94" s="22" t="str">
        <f>IF(E94="","",COUNTA($E$3:E94)+$Z$1)</f>
        <v/>
      </c>
      <c r="AP94" s="88" t="str">
        <f>IF(AO94="","",IF(AO94+Расчет!$Y$57+$BD$2-Расчет!$X$57&gt;200,AO94+Расчет!$Y$57+$BD$2-1000,AO94+Расчет!$Y$57+$BD$2))</f>
        <v/>
      </c>
      <c r="AR94" s="92"/>
      <c r="AS94" s="92"/>
      <c r="BL94" s="172">
        <f>COUNTIF($BM$5:BM94,"&lt;-115")</f>
        <v>0</v>
      </c>
      <c r="BM94" s="154" t="str">
        <f>IFERROR(IF(OR(IFERROR(VLOOKUP(BN94,$E$3:$E$105,1,FALSE),"0")=BN94,IFERROR(VLOOKUP(BN94,$R$3:$R$105,1,FALSE),"0")=BN94),BO94,IF(OR(VLOOKUP(BN94,Расчет!A:E,5,FALSE)="2PS",VLOOKUP(BN94,Расчет!A:E,5,FALSE)="2QL"),IF(VLOOKUP(BN94,Расчет!A:B,2,FALSE)="831W",BN94-$BS$7+$AD$17,BN94-$BS$7+$AD$12),BN94-$BS$7)),"-")</f>
        <v>-</v>
      </c>
      <c r="BN94" s="154">
        <f>IF(OR(Расчет!C91="A0",Расчет!C91="P9",Расчет!B91="722W"),"-",Расчет!A91)</f>
        <v>11236</v>
      </c>
      <c r="BO94" s="173">
        <f t="shared" si="45"/>
        <v>0</v>
      </c>
      <c r="BP94" s="172" t="str">
        <f>IF(BQ94="-","-",IFERROR(IF(OR(VLOOKUP(BN94,Расчет!$A$2:$E$582,5,FALSE)="2PS",VLOOKUP(BN94,Расчет!$A$2:$E$582,5,FALSE)="2QL"),IF(OR(VLOOKUP(BN94,Расчет!$A$2:$E$582,2,FALSE)="664W",VLOOKUP(BN94,Расчет!$A$2:$E$582,2,FALSE)="813W"),IF(BN94-$BS$7&gt;150,BN94-$BS$7-1000+$AD$12,BN94-$BS$7+$AD$12),IF(BN94-$BS$7&gt;150,BN94-$BS$7-1000+$AD$17,BN94-$BS$7+$AD$17)),IF(BN94-$BS$7&gt;150,BN94-$BS$7-1000,BN94-$BS$7)),"-"))</f>
        <v>-</v>
      </c>
      <c r="BQ94" s="173">
        <f t="shared" si="42"/>
        <v>11236</v>
      </c>
      <c r="BR94" s="453"/>
      <c r="BS94" s="171"/>
      <c r="BT94" s="464" t="str">
        <f t="shared" si="43"/>
        <v>-</v>
      </c>
      <c r="BU94" s="464" t="str">
        <f t="shared" si="44"/>
        <v>-</v>
      </c>
      <c r="BX94" s="204">
        <f>COUNTIF($BY$4:BY94,"&lt;100")</f>
        <v>0</v>
      </c>
      <c r="BY94" s="213" t="str">
        <f t="shared" si="35"/>
        <v/>
      </c>
      <c r="BZ94" s="216" t="str">
        <f t="shared" si="36"/>
        <v/>
      </c>
      <c r="CA94" s="213" t="e">
        <f t="shared" si="37"/>
        <v>#N/A</v>
      </c>
      <c r="CB94" s="209" t="e">
        <f t="shared" si="38"/>
        <v>#N/A</v>
      </c>
      <c r="CC94" s="205" t="str">
        <f t="shared" si="46"/>
        <v/>
      </c>
      <c r="CD94" s="205" t="str">
        <f t="shared" si="39"/>
        <v>-</v>
      </c>
      <c r="CE94" s="205">
        <f t="shared" si="47"/>
        <v>0</v>
      </c>
      <c r="CG94" s="20" t="str">
        <f t="shared" si="48"/>
        <v/>
      </c>
    </row>
    <row r="95" spans="1:85" ht="23.1" customHeight="1">
      <c r="A95" s="40" t="str">
        <f>IF(AND(IFERROR(VLOOKUP(E95,Расчет!A:J,10,FALSE),"  ")&lt;&gt;"  ",IFERROR(LEFT(VLOOKUP(E95,Расчет!A:J,10,FALSE),1)," ")&lt;&gt;"H"),0,IFERROR(IF(F95="Camry",IF(OR(J95="2PS",J95="2QL"),IF(E95-AP95&gt;100,E95-AP95-1000+$AD$12,E95-AP95+$AD$12),IF(E95-AP95&gt;100,E95-AP95-1000,E95-AP95)),IF(J95="2PS",IF(E95-AP95&gt;100,E95-AP95-1000+$AD$17,E95-AP95+$AD$17),IF(E95-AP95&gt;100,E95-AP95-1000,E95-AP95))),"-"))</f>
        <v>-</v>
      </c>
      <c r="B95" s="46">
        <v>93</v>
      </c>
      <c r="C95" s="19" t="str">
        <f>IF(E95="","",COUNTA($E$3:E95))</f>
        <v/>
      </c>
      <c r="D95" s="18" t="str">
        <f t="shared" si="31"/>
        <v/>
      </c>
      <c r="E95" s="30"/>
      <c r="F95" s="44" t="str">
        <f>IFERROR(IF(VLOOKUP(E95,Расчет!$A$2:$B$650,2,FALSE)="664W","Camry",IF(VLOOKUP(E95,Расчет!$A$2:$B$650,2,FALSE)="813W","Goshi","RAV4")),"")</f>
        <v/>
      </c>
      <c r="G95" s="32" t="str">
        <f>IFERROR(IF(F95="Camry",VLOOKUP(E95,Расчет!$A$2:$Q$650,17,FALSE),VLOOKUP(E95,Расчет!$A$2:$R$650,18,FALSE)),"")</f>
        <v/>
      </c>
      <c r="H95" s="32" t="str">
        <f>IFERROR(VLOOKUP(VLOOKUP(E95,Расчет!$A:$D,4,FALSE),$AT$6:$AV$15,3,FALSE),"")</f>
        <v/>
      </c>
      <c r="I95" s="31" t="str">
        <f>IFERROR(VLOOKUP(IFERROR(VLOOKUP(E95,Расчет!$A$2:$D$650,4,FALSE),0),$AT$3:$AU$15,2,FALSE),"")</f>
        <v/>
      </c>
      <c r="J95" s="33" t="str">
        <f>IFERROR(VLOOKUP(E95,Расчет!$A$2:$E$650,5,FALSE),"")</f>
        <v/>
      </c>
      <c r="K95" s="189"/>
      <c r="L95" s="188">
        <f t="shared" si="40"/>
        <v>0</v>
      </c>
      <c r="M95" s="9"/>
      <c r="N95" s="40" t="str">
        <f>IF(AND(IFERROR(VLOOKUP(R95,Расчет!A:J,10,FALSE),"  ")&lt;&gt;"  ",IFERROR(LEFT(VLOOKUP(R95,Расчет!A:J,10,FALSE),1)," ")&lt;&gt;"H"),0,IFERROR(IF(S95="Camry",IF(OR(W95="2PS",W95="2QL"),IF(R95-AP198&gt;100,R95-AP198-1000+$AD$12,R95-AP198+$AD$12),IF(R95-AP198&gt;100,R95-AP198-1000,R95-AP198)),IF(W95="2PS",IF(R95-AP198&gt;100,R95-AP198-1000+$AD$17,R95-AP198+$AD$17),IF(R95-AP198&gt;100,R95-AP198-1000,R95-AP198))),"-"))</f>
        <v>-</v>
      </c>
      <c r="O95" s="46">
        <v>196</v>
      </c>
      <c r="P95" s="19" t="str">
        <f>IF(R95="","",COUNTA($R$3:R95)+$C$105)</f>
        <v/>
      </c>
      <c r="Q95" s="18" t="str">
        <f t="shared" si="32"/>
        <v/>
      </c>
      <c r="R95" s="30"/>
      <c r="S95" s="45" t="str">
        <f>IFERROR(IF(VLOOKUP(R95,Расчет!$A$2:$B$650,2,FALSE)="664W","Camry",IF(VLOOKUP(R95,Расчет!$A$2:$B$650,2,FALSE)="813W","Goshi","RAV4")),"")</f>
        <v/>
      </c>
      <c r="T95" s="32" t="str">
        <f>IFERROR(IF(S95="Camry",VLOOKUP(R95,Расчет!$A$2:$Q$650,17,FALSE),VLOOKUP(R95,Расчет!$A$2:$R$650,18,FALSE)),"")</f>
        <v/>
      </c>
      <c r="U95" s="32" t="str">
        <f>IFERROR(VLOOKUP(VLOOKUP(R95,Расчет!$A:$D,4,FALSE),$AT$6:$AV$15,3,FALSE),"")</f>
        <v/>
      </c>
      <c r="V95" s="31" t="str">
        <f>IFERROR(VLOOKUP(IFERROR(VLOOKUP(R95,Расчет!$A$2:$D$650,4,FALSE),0),$AT$3:$AU$15,2,FALSE),"")</f>
        <v/>
      </c>
      <c r="W95" s="33" t="str">
        <f>IFERROR(VLOOKUP(R95,Расчет!$A$2:$E$650,5,FALSE),"")</f>
        <v/>
      </c>
      <c r="X95" s="189"/>
      <c r="Y95" s="191">
        <f t="shared" si="41"/>
        <v>0</v>
      </c>
      <c r="Z95" s="193" t="str">
        <f>IFERROR(IF(VLOOKUP(AC95,Расчет!$A$2:$B$236,2,FALSE)="831W","RAV4","Camry"),"-")</f>
        <v>-</v>
      </c>
      <c r="AA95" s="427" t="str">
        <f>IFERROR(VLOOKUP(AC24,Расчет!$A$2:$E$236,5,FALSE),"-")</f>
        <v>-</v>
      </c>
      <c r="AB95" s="429" t="str">
        <f>IFERROR(SMALL($BT$5:$BT$500,1),"")</f>
        <v/>
      </c>
      <c r="AC95" s="156" t="str">
        <f>IF(VLOOKUP2($BP$5:$BQ$500,1,AB95,COUNTIF($AB$95:AB95,AB95),2)=0,"-",VLOOKUP2($BP$5:$BQ$500,1,AB95,COUNTIF($AB$95:AB95,AB95),2))</f>
        <v>-</v>
      </c>
      <c r="AD95" s="430" t="str">
        <f>IFERROR(VLOOKUP(AC95,Расчет!$BS:$BT,2,FALSE),"")</f>
        <v/>
      </c>
      <c r="AE95" s="89">
        <v>93</v>
      </c>
      <c r="AF95" s="44" t="str">
        <f>IF(VLOOKUP(AE95,Расчет!$AH$2:$AN$201,5,FALSE)="8","C",IF(VLOOKUP(AE95,Расчет!$AH$2:$AN$201,5,FALSE)="G","G","R"))</f>
        <v>C</v>
      </c>
      <c r="AG95" s="73" t="str">
        <f t="shared" si="33"/>
        <v/>
      </c>
      <c r="AH95" s="87" t="str">
        <f>IF(AG95="","",COUNTIF($AG$2:AG95,"C")-COUNTIF($AF$2:AF95,"C")+$AH$1)</f>
        <v/>
      </c>
      <c r="AI95" s="87" t="str">
        <f>IF(AG95="","",COUNTIF($AG$2:AG95,"R")-COUNTIF($AF$2:AF95,"R")+$AI$1)</f>
        <v/>
      </c>
      <c r="AJ95" s="89">
        <v>196</v>
      </c>
      <c r="AK95" s="44" t="str">
        <f>IF(VLOOKUP(AJ95,Расчет!$AH$2:$AN$211,5,FALSE)="8","C",IF(VLOOKUP(AJ95,Расчет!$AH$2:$AN$211,5,FALSE)="G","G","R"))</f>
        <v>C</v>
      </c>
      <c r="AL95" s="74" t="str">
        <f t="shared" si="34"/>
        <v/>
      </c>
      <c r="AM95" s="118" t="str">
        <f>IF(AL95="","",(COUNTIF($AG$2:$AG$105,"C")+COUNTIF($AL$2:$AL95,"C"))-(COUNTIF($AF$2:$AF$105,"C")+COUNTIF($AK$2:$AK95,"C"))+$AH$1)</f>
        <v/>
      </c>
      <c r="AN95" s="119" t="str">
        <f>IF(AL95="","",(COUNTIF($AG$2:$AG$105,"R")+COUNTIF($AL$2:$AL95,"R"))-(COUNTIF($AF$2:$AF$105,"R")+COUNTIF($AK$2:$AK95,"R"))+$AI$1)</f>
        <v/>
      </c>
      <c r="AO95" s="22" t="str">
        <f>IF(E95="","",COUNTA($E$3:E95)+$Z$1)</f>
        <v/>
      </c>
      <c r="AP95" s="88" t="str">
        <f>IF(AO95="","",IF(AO95+Расчет!$Y$57+$BD$2-Расчет!$X$57&gt;200,AO95+Расчет!$Y$57+$BD$2-1000,AO95+Расчет!$Y$57+$BD$2))</f>
        <v/>
      </c>
      <c r="AR95" s="92"/>
      <c r="AS95" s="92"/>
      <c r="BL95" s="172">
        <f>COUNTIF($BM$5:BM95,"&lt;-115")</f>
        <v>0</v>
      </c>
      <c r="BM95" s="154" t="str">
        <f>IFERROR(IF(OR(IFERROR(VLOOKUP(BN95,$E$3:$E$105,1,FALSE),"0")=BN95,IFERROR(VLOOKUP(BN95,$R$3:$R$105,1,FALSE),"0")=BN95),BO95,IF(OR(VLOOKUP(BN95,Расчет!A:E,5,FALSE)="2PS",VLOOKUP(BN95,Расчет!A:E,5,FALSE)="2QL"),IF(VLOOKUP(BN95,Расчет!A:B,2,FALSE)="831W",BN95-$BS$7+$AD$17,BN95-$BS$7+$AD$12),BN95-$BS$7)),"-")</f>
        <v>-</v>
      </c>
      <c r="BN95" s="154">
        <f>IF(OR(Расчет!C92="A0",Расчет!C92="P9",Расчет!B92="722W"),"-",Расчет!A92)</f>
        <v>11237</v>
      </c>
      <c r="BO95" s="173">
        <f t="shared" si="45"/>
        <v>0</v>
      </c>
      <c r="BP95" s="172" t="str">
        <f>IF(BQ95="-","-",IFERROR(IF(OR(VLOOKUP(BN95,Расчет!$A$2:$E$582,5,FALSE)="2PS",VLOOKUP(BN95,Расчет!$A$2:$E$582,5,FALSE)="2QL"),IF(OR(VLOOKUP(BN95,Расчет!$A$2:$E$582,2,FALSE)="664W",VLOOKUP(BN95,Расчет!$A$2:$E$582,2,FALSE)="813W"),IF(BN95-$BS$7&gt;150,BN95-$BS$7-1000+$AD$12,BN95-$BS$7+$AD$12),IF(BN95-$BS$7&gt;150,BN95-$BS$7-1000+$AD$17,BN95-$BS$7+$AD$17)),IF(BN95-$BS$7&gt;150,BN95-$BS$7-1000,BN95-$BS$7)),"-"))</f>
        <v>-</v>
      </c>
      <c r="BQ95" s="173">
        <f t="shared" si="42"/>
        <v>11237</v>
      </c>
      <c r="BR95" s="453"/>
      <c r="BS95" s="171"/>
      <c r="BT95" s="464" t="str">
        <f t="shared" si="43"/>
        <v>-</v>
      </c>
      <c r="BU95" s="464" t="str">
        <f t="shared" si="44"/>
        <v>-</v>
      </c>
      <c r="BX95" s="204">
        <f>COUNTIF($BY$4:BY95,"&lt;100")</f>
        <v>0</v>
      </c>
      <c r="BY95" s="213" t="str">
        <f t="shared" si="35"/>
        <v/>
      </c>
      <c r="BZ95" s="216" t="str">
        <f t="shared" si="36"/>
        <v/>
      </c>
      <c r="CA95" s="213" t="e">
        <f t="shared" si="37"/>
        <v>#N/A</v>
      </c>
      <c r="CB95" s="209" t="e">
        <f t="shared" si="38"/>
        <v>#N/A</v>
      </c>
      <c r="CC95" s="205" t="str">
        <f t="shared" si="46"/>
        <v/>
      </c>
      <c r="CD95" s="205" t="str">
        <f t="shared" si="39"/>
        <v>-</v>
      </c>
      <c r="CE95" s="205">
        <f t="shared" si="47"/>
        <v>0</v>
      </c>
      <c r="CG95" s="20" t="str">
        <f t="shared" si="48"/>
        <v/>
      </c>
    </row>
    <row r="96" spans="1:85" ht="23.1" customHeight="1">
      <c r="A96" s="40" t="str">
        <f>IF(AND(IFERROR(VLOOKUP(E96,Расчет!A:J,10,FALSE),"  ")&lt;&gt;"  ",IFERROR(LEFT(VLOOKUP(E96,Расчет!A:J,10,FALSE),1)," ")&lt;&gt;"H"),0,IFERROR(IF(F96="Camry",IF(OR(J96="2PS",J96="2QL"),IF(E96-AP96&gt;100,E96-AP96-1000+$AD$12,E96-AP96+$AD$12),IF(E96-AP96&gt;100,E96-AP96-1000,E96-AP96)),IF(J96="2PS",IF(E96-AP96&gt;100,E96-AP96-1000+$AD$17,E96-AP96+$AD$17),IF(E96-AP96&gt;100,E96-AP96-1000,E96-AP96))),"-"))</f>
        <v>-</v>
      </c>
      <c r="B96" s="46">
        <v>94</v>
      </c>
      <c r="C96" s="19" t="str">
        <f>IF(E96="","",COUNTA($E$3:E96))</f>
        <v/>
      </c>
      <c r="D96" s="18" t="str">
        <f t="shared" si="31"/>
        <v/>
      </c>
      <c r="E96" s="30"/>
      <c r="F96" s="44" t="str">
        <f>IFERROR(IF(VLOOKUP(E96,Расчет!$A$2:$B$650,2,FALSE)="664W","Camry",IF(VLOOKUP(E96,Расчет!$A$2:$B$650,2,FALSE)="813W","Goshi","RAV4")),"")</f>
        <v/>
      </c>
      <c r="G96" s="32" t="str">
        <f>IFERROR(IF(F96="Camry",VLOOKUP(E96,Расчет!$A$2:$Q$650,17,FALSE),VLOOKUP(E96,Расчет!$A$2:$R$650,18,FALSE)),"")</f>
        <v/>
      </c>
      <c r="H96" s="32" t="str">
        <f>IFERROR(VLOOKUP(VLOOKUP(E96,Расчет!$A:$D,4,FALSE),$AT$6:$AV$15,3,FALSE),"")</f>
        <v/>
      </c>
      <c r="I96" s="31" t="str">
        <f>IFERROR(VLOOKUP(IFERROR(VLOOKUP(E96,Расчет!$A$2:$D$650,4,FALSE),0),$AT$3:$AU$15,2,FALSE),"")</f>
        <v/>
      </c>
      <c r="J96" s="33" t="str">
        <f>IFERROR(VLOOKUP(E96,Расчет!$A$2:$E$650,5,FALSE),"")</f>
        <v/>
      </c>
      <c r="K96" s="189"/>
      <c r="L96" s="188">
        <f t="shared" si="40"/>
        <v>0</v>
      </c>
      <c r="M96" s="9"/>
      <c r="N96" s="40" t="str">
        <f>IF(AND(IFERROR(VLOOKUP(R96,Расчет!A:J,10,FALSE),"  ")&lt;&gt;"  ",IFERROR(LEFT(VLOOKUP(R96,Расчет!A:J,10,FALSE),1)," ")&lt;&gt;"H"),0,IFERROR(IF(S96="Camry",IF(OR(W96="2PS",W96="2QL"),IF(R96-AP199&gt;100,R96-AP199-1000+$AD$12,R96-AP199+$AD$12),IF(R96-AP199&gt;100,R96-AP199-1000,R96-AP199)),IF(W96="2PS",IF(R96-AP199&gt;100,R96-AP199-1000+$AD$17,R96-AP199+$AD$17),IF(R96-AP199&gt;100,R96-AP199-1000,R96-AP199))),"-"))</f>
        <v>-</v>
      </c>
      <c r="O96" s="46">
        <v>197</v>
      </c>
      <c r="P96" s="19" t="str">
        <f>IF(R96="","",COUNTA($R$3:R96)+$C$105)</f>
        <v/>
      </c>
      <c r="Q96" s="18" t="str">
        <f t="shared" si="32"/>
        <v/>
      </c>
      <c r="R96" s="30"/>
      <c r="S96" s="45" t="str">
        <f>IFERROR(IF(VLOOKUP(R96,Расчет!$A$2:$B$650,2,FALSE)="664W","Camry",IF(VLOOKUP(R96,Расчет!$A$2:$B$650,2,FALSE)="813W","Goshi","RAV4")),"")</f>
        <v/>
      </c>
      <c r="T96" s="32" t="str">
        <f>IFERROR(IF(S96="Camry",VLOOKUP(R96,Расчет!$A$2:$Q$650,17,FALSE),VLOOKUP(R96,Расчет!$A$2:$R$650,18,FALSE)),"")</f>
        <v/>
      </c>
      <c r="U96" s="32" t="str">
        <f>IFERROR(VLOOKUP(VLOOKUP(R96,Расчет!$A:$D,4,FALSE),$AT$6:$AV$15,3,FALSE),"")</f>
        <v/>
      </c>
      <c r="V96" s="31" t="str">
        <f>IFERROR(VLOOKUP(IFERROR(VLOOKUP(R96,Расчет!$A$2:$D$650,4,FALSE),0),$AT$3:$AU$15,2,FALSE),"")</f>
        <v/>
      </c>
      <c r="W96" s="33" t="str">
        <f>IFERROR(VLOOKUP(R96,Расчет!$A$2:$E$650,5,FALSE),"")</f>
        <v/>
      </c>
      <c r="X96" s="189"/>
      <c r="Y96" s="191">
        <f t="shared" si="41"/>
        <v>0</v>
      </c>
      <c r="Z96" s="193" t="str">
        <f>IFERROR(IF(VLOOKUP(AC96,Расчет!$A$2:$B$236,2,FALSE)="831W","RAV4","Camry"),"-")</f>
        <v>-</v>
      </c>
      <c r="AA96" s="228" t="str">
        <f>IFERROR(VLOOKUP(AC25,Расчет!$A$2:$E$236,5,FALSE),"-")</f>
        <v>-</v>
      </c>
      <c r="AB96" s="429" t="str">
        <f>IFERROR(SMALL($BT$5:$BT$500,2),"")</f>
        <v/>
      </c>
      <c r="AC96" s="156" t="str">
        <f>IF(VLOOKUP2($BP$5:$BQ$500,1,AB96,COUNTIF($AB$95:AB96,AB96),2)=0,"-",VLOOKUP2($BP$5:$BQ$500,1,AB96,COUNTIF($AB$95:AB96,AB96),2))</f>
        <v>-</v>
      </c>
      <c r="AD96" s="430" t="str">
        <f>IFERROR(VLOOKUP(AC96,Расчет!$BS:$BT,2,FALSE),"")</f>
        <v/>
      </c>
      <c r="AE96" s="89">
        <v>94</v>
      </c>
      <c r="AF96" s="44" t="str">
        <f>IF(VLOOKUP(AE96,Расчет!$AH$2:$AN$201,5,FALSE)="8","C",IF(VLOOKUP(AE96,Расчет!$AH$2:$AN$201,5,FALSE)="G","G","R"))</f>
        <v>R</v>
      </c>
      <c r="AG96" s="73" t="str">
        <f t="shared" si="33"/>
        <v/>
      </c>
      <c r="AH96" s="87" t="str">
        <f>IF(AG96="","",COUNTIF($AG$2:AG96,"C")-COUNTIF($AF$2:AF96,"C")+$AH$1)</f>
        <v/>
      </c>
      <c r="AI96" s="87" t="str">
        <f>IF(AG96="","",COUNTIF($AG$2:AG96,"R")-COUNTIF($AF$2:AF96,"R")+$AI$1)</f>
        <v/>
      </c>
      <c r="AJ96" s="89">
        <v>197</v>
      </c>
      <c r="AK96" s="44" t="str">
        <f>IF(VLOOKUP(AJ96,Расчет!$AH$2:$AN$211,5,FALSE)="8","C",IF(VLOOKUP(AJ96,Расчет!$AH$2:$AN$211,5,FALSE)="G","G","R"))</f>
        <v>R</v>
      </c>
      <c r="AL96" s="74" t="str">
        <f t="shared" si="34"/>
        <v/>
      </c>
      <c r="AM96" s="118" t="str">
        <f>IF(AL96="","",(COUNTIF($AG$2:$AG$105,"C")+COUNTIF($AL$2:$AL96,"C"))-(COUNTIF($AF$2:$AF$105,"C")+COUNTIF($AK$2:$AK96,"C"))+$AH$1)</f>
        <v/>
      </c>
      <c r="AN96" s="119" t="str">
        <f>IF(AL96="","",(COUNTIF($AG$2:$AG$105,"R")+COUNTIF($AL$2:$AL96,"R"))-(COUNTIF($AF$2:$AF$105,"R")+COUNTIF($AK$2:$AK96,"R"))+$AI$1)</f>
        <v/>
      </c>
      <c r="AO96" s="22" t="str">
        <f>IF(E96="","",COUNTA($E$3:E96)+$Z$1)</f>
        <v/>
      </c>
      <c r="AP96" s="88" t="str">
        <f>IF(AO96="","",IF(AO96+Расчет!$Y$57+$BD$2-Расчет!$X$57&gt;200,AO96+Расчет!$Y$57+$BD$2-1000,AO96+Расчет!$Y$57+$BD$2))</f>
        <v/>
      </c>
      <c r="AR96" s="92"/>
      <c r="AS96" s="92"/>
      <c r="BL96" s="172">
        <f>COUNTIF($BM$5:BM96,"&lt;-115")</f>
        <v>0</v>
      </c>
      <c r="BM96" s="154" t="str">
        <f>IFERROR(IF(OR(IFERROR(VLOOKUP(BN96,$E$3:$E$105,1,FALSE),"0")=BN96,IFERROR(VLOOKUP(BN96,$R$3:$R$105,1,FALSE),"0")=BN96),BO96,IF(OR(VLOOKUP(BN96,Расчет!A:E,5,FALSE)="2PS",VLOOKUP(BN96,Расчет!A:E,5,FALSE)="2QL"),IF(VLOOKUP(BN96,Расчет!A:B,2,FALSE)="831W",BN96-$BS$7+$AD$17,BN96-$BS$7+$AD$12),BN96-$BS$7)),"-")</f>
        <v>-</v>
      </c>
      <c r="BN96" s="154">
        <f>IF(OR(Расчет!C93="A0",Расчет!C93="P9",Расчет!B93="722W"),"-",Расчет!A93)</f>
        <v>11238</v>
      </c>
      <c r="BO96" s="173">
        <f t="shared" si="45"/>
        <v>0</v>
      </c>
      <c r="BP96" s="172" t="str">
        <f>IF(BQ96="-","-",IFERROR(IF(OR(VLOOKUP(BN96,Расчет!$A$2:$E$582,5,FALSE)="2PS",VLOOKUP(BN96,Расчет!$A$2:$E$582,5,FALSE)="2QL"),IF(OR(VLOOKUP(BN96,Расчет!$A$2:$E$582,2,FALSE)="664W",VLOOKUP(BN96,Расчет!$A$2:$E$582,2,FALSE)="813W"),IF(BN96-$BS$7&gt;150,BN96-$BS$7-1000+$AD$12,BN96-$BS$7+$AD$12),IF(BN96-$BS$7&gt;150,BN96-$BS$7-1000+$AD$17,BN96-$BS$7+$AD$17)),IF(BN96-$BS$7&gt;150,BN96-$BS$7-1000,BN96-$BS$7)),"-"))</f>
        <v>-</v>
      </c>
      <c r="BQ96" s="173">
        <f t="shared" si="42"/>
        <v>11238</v>
      </c>
      <c r="BR96" s="453"/>
      <c r="BS96" s="171"/>
      <c r="BT96" s="464" t="str">
        <f t="shared" si="43"/>
        <v>-</v>
      </c>
      <c r="BU96" s="464" t="str">
        <f t="shared" si="44"/>
        <v>-</v>
      </c>
      <c r="BX96" s="204">
        <f>COUNTIF($BY$4:BY96,"&lt;100")</f>
        <v>0</v>
      </c>
      <c r="BY96" s="213" t="str">
        <f t="shared" si="35"/>
        <v/>
      </c>
      <c r="BZ96" s="216" t="str">
        <f t="shared" si="36"/>
        <v/>
      </c>
      <c r="CA96" s="213" t="e">
        <f t="shared" si="37"/>
        <v>#N/A</v>
      </c>
      <c r="CB96" s="209" t="e">
        <f t="shared" si="38"/>
        <v>#N/A</v>
      </c>
      <c r="CC96" s="205" t="str">
        <f t="shared" si="46"/>
        <v/>
      </c>
      <c r="CD96" s="205" t="str">
        <f t="shared" si="39"/>
        <v>-</v>
      </c>
      <c r="CE96" s="205">
        <f t="shared" si="47"/>
        <v>0</v>
      </c>
      <c r="CG96" s="20" t="str">
        <f t="shared" si="48"/>
        <v/>
      </c>
    </row>
    <row r="97" spans="1:85" ht="23.1" customHeight="1">
      <c r="A97" s="40" t="str">
        <f>IF(AND(IFERROR(VLOOKUP(E97,Расчет!A:J,10,FALSE),"  ")&lt;&gt;"  ",IFERROR(LEFT(VLOOKUP(E97,Расчет!A:J,10,FALSE),1)," ")&lt;&gt;"H"),0,IFERROR(IF(F97="Camry",IF(OR(J97="2PS",J97="2QL"),IF(E97-AP97&gt;100,E97-AP97-1000+$AD$12,E97-AP97+$AD$12),IF(E97-AP97&gt;100,E97-AP97-1000,E97-AP97)),IF(J97="2PS",IF(E97-AP97&gt;100,E97-AP97-1000+$AD$17,E97-AP97+$AD$17),IF(E97-AP97&gt;100,E97-AP97-1000,E97-AP97))),"-"))</f>
        <v>-</v>
      </c>
      <c r="B97" s="46">
        <v>95</v>
      </c>
      <c r="C97" s="19" t="str">
        <f>IF(E97="","",COUNTA($E$3:E97))</f>
        <v/>
      </c>
      <c r="D97" s="18" t="str">
        <f t="shared" si="31"/>
        <v/>
      </c>
      <c r="E97" s="30"/>
      <c r="F97" s="44" t="str">
        <f>IFERROR(IF(VLOOKUP(E97,Расчет!$A$2:$B$650,2,FALSE)="664W","Camry",IF(VLOOKUP(E97,Расчет!$A$2:$B$650,2,FALSE)="813W","Goshi","RAV4")),"")</f>
        <v/>
      </c>
      <c r="G97" s="32" t="str">
        <f>IFERROR(IF(F97="Camry",VLOOKUP(E97,Расчет!$A$2:$Q$650,17,FALSE),VLOOKUP(E97,Расчет!$A$2:$R$650,18,FALSE)),"")</f>
        <v/>
      </c>
      <c r="H97" s="32" t="str">
        <f>IFERROR(VLOOKUP(VLOOKUP(E97,Расчет!$A:$D,4,FALSE),$AT$6:$AV$15,3,FALSE),"")</f>
        <v/>
      </c>
      <c r="I97" s="31" t="str">
        <f>IFERROR(VLOOKUP(IFERROR(VLOOKUP(E97,Расчет!$A$2:$D$650,4,FALSE),0),$AT$3:$AU$15,2,FALSE),"")</f>
        <v/>
      </c>
      <c r="J97" s="33" t="str">
        <f>IFERROR(VLOOKUP(E97,Расчет!$A$2:$E$650,5,FALSE),"")</f>
        <v/>
      </c>
      <c r="K97" s="189"/>
      <c r="L97" s="188">
        <f t="shared" si="40"/>
        <v>0</v>
      </c>
      <c r="M97" s="9"/>
      <c r="N97" s="40" t="str">
        <f>IF(AND(IFERROR(VLOOKUP(R97,Расчет!A:J,10,FALSE),"  ")&lt;&gt;"  ",IFERROR(LEFT(VLOOKUP(R97,Расчет!A:J,10,FALSE),1)," ")&lt;&gt;"H"),0,IFERROR(IF(S97="Camry",IF(OR(W97="2PS",W97="2QL"),IF(R97-AP200&gt;100,R97-AP200-1000+$AD$12,R97-AP200+$AD$12),IF(R97-AP200&gt;100,R97-AP200-1000,R97-AP200)),IF(W97="2PS",IF(R97-AP200&gt;100,R97-AP200-1000+$AD$17,R97-AP200+$AD$17),IF(R97-AP200&gt;100,R97-AP200-1000,R97-AP200))),"-"))</f>
        <v>-</v>
      </c>
      <c r="O97" s="46">
        <v>198</v>
      </c>
      <c r="P97" s="19" t="str">
        <f>IF(R97="","",COUNTA($R$3:R97)+$C$105)</f>
        <v/>
      </c>
      <c r="Q97" s="18" t="str">
        <f t="shared" si="32"/>
        <v/>
      </c>
      <c r="R97" s="30"/>
      <c r="S97" s="45" t="str">
        <f>IFERROR(IF(VLOOKUP(R97,Расчет!$A$2:$B$650,2,FALSE)="664W","Camry",IF(VLOOKUP(R97,Расчет!$A$2:$B$650,2,FALSE)="813W","Goshi","RAV4")),"")</f>
        <v/>
      </c>
      <c r="T97" s="32" t="str">
        <f>IFERROR(IF(S97="Camry",VLOOKUP(R97,Расчет!$A$2:$Q$650,17,FALSE),VLOOKUP(R97,Расчет!$A$2:$R$650,18,FALSE)),"")</f>
        <v/>
      </c>
      <c r="U97" s="32" t="str">
        <f>IFERROR(VLOOKUP(VLOOKUP(R97,Расчет!$A:$D,4,FALSE),$AT$6:$AV$15,3,FALSE),"")</f>
        <v/>
      </c>
      <c r="V97" s="31" t="str">
        <f>IFERROR(VLOOKUP(IFERROR(VLOOKUP(R97,Расчет!$A$2:$D$650,4,FALSE),0),$AT$3:$AU$15,2,FALSE),"")</f>
        <v/>
      </c>
      <c r="W97" s="33" t="str">
        <f>IFERROR(VLOOKUP(R97,Расчет!$A$2:$E$650,5,FALSE),"")</f>
        <v/>
      </c>
      <c r="X97" s="189"/>
      <c r="Y97" s="191">
        <f t="shared" si="41"/>
        <v>0</v>
      </c>
      <c r="Z97" s="193" t="str">
        <f>IFERROR(IF(VLOOKUP(AC97,Расчет!$A$2:$B$236,2,FALSE)="831W","RAV4","Camry"),"-")</f>
        <v>-</v>
      </c>
      <c r="AA97" s="228" t="str">
        <f>IFERROR(VLOOKUP(AC26,Расчет!$A$2:$E$236,5,FALSE),"-")</f>
        <v>-</v>
      </c>
      <c r="AB97" s="429" t="str">
        <f>IFERROR(SMALL($BT$5:$BT$500,3),"")</f>
        <v/>
      </c>
      <c r="AC97" s="156" t="str">
        <f>IF(VLOOKUP2($BP$5:$BQ$500,1,AB97,COUNTIF($AB$95:AB97,AB97),2)=0,"-",VLOOKUP2($BP$5:$BQ$500,1,AB97,COUNTIF($AB$95:AB97,AB97),2))</f>
        <v>-</v>
      </c>
      <c r="AD97" s="430" t="str">
        <f>IFERROR(VLOOKUP(AC97,Расчет!$BS:$BT,2,FALSE),"")</f>
        <v/>
      </c>
      <c r="AE97" s="89">
        <v>95</v>
      </c>
      <c r="AF97" s="44" t="str">
        <f>IF(VLOOKUP(AE97,Расчет!$AH$2:$AN$201,5,FALSE)="8","C",IF(VLOOKUP(AE97,Расчет!$AH$2:$AN$201,5,FALSE)="G","G","R"))</f>
        <v>C</v>
      </c>
      <c r="AG97" s="73" t="str">
        <f t="shared" si="33"/>
        <v/>
      </c>
      <c r="AH97" s="87" t="str">
        <f>IF(AG97="","",COUNTIF($AG$2:AG97,"C")-COUNTIF($AF$2:AF97,"C")+$AH$1)</f>
        <v/>
      </c>
      <c r="AI97" s="87" t="str">
        <f>IF(AG97="","",COUNTIF($AG$2:AG97,"R")-COUNTIF($AF$2:AF97,"R")+$AI$1)</f>
        <v/>
      </c>
      <c r="AJ97" s="89">
        <v>198</v>
      </c>
      <c r="AK97" s="44" t="str">
        <f>IF(VLOOKUP(AJ97,Расчет!$AH$2:$AN$211,5,FALSE)="8","C",IF(VLOOKUP(AJ97,Расчет!$AH$2:$AN$211,5,FALSE)="G","G","R"))</f>
        <v>C</v>
      </c>
      <c r="AL97" s="74" t="str">
        <f t="shared" si="34"/>
        <v/>
      </c>
      <c r="AM97" s="118" t="str">
        <f>IF(AL97="","",(COUNTIF($AG$2:$AG$105,"C")+COUNTIF($AL$2:$AL97,"C"))-(COUNTIF($AF$2:$AF$105,"C")+COUNTIF($AK$2:$AK97,"C"))+$AH$1)</f>
        <v/>
      </c>
      <c r="AN97" s="119" t="str">
        <f>IF(AL97="","",(COUNTIF($AG$2:$AG$105,"R")+COUNTIF($AL$2:$AL97,"R"))-(COUNTIF($AF$2:$AF$105,"R")+COUNTIF($AK$2:$AK97,"R"))+$AI$1)</f>
        <v/>
      </c>
      <c r="AO97" s="22" t="str">
        <f>IF(E97="","",COUNTA($E$3:E97)+$Z$1)</f>
        <v/>
      </c>
      <c r="AP97" s="88" t="str">
        <f>IF(AO97="","",IF(AO97+Расчет!$Y$57+$BD$2-Расчет!$X$57&gt;200,AO97+Расчет!$Y$57+$BD$2-1000,AO97+Расчет!$Y$57+$BD$2))</f>
        <v/>
      </c>
      <c r="AR97" s="92"/>
      <c r="AS97" s="92"/>
      <c r="BL97" s="172">
        <f>COUNTIF($BM$5:BM97,"&lt;-115")</f>
        <v>0</v>
      </c>
      <c r="BM97" s="154" t="str">
        <f>IFERROR(IF(OR(IFERROR(VLOOKUP(BN97,$E$3:$E$105,1,FALSE),"0")=BN97,IFERROR(VLOOKUP(BN97,$R$3:$R$105,1,FALSE),"0")=BN97),BO97,IF(OR(VLOOKUP(BN97,Расчет!A:E,5,FALSE)="2PS",VLOOKUP(BN97,Расчет!A:E,5,FALSE)="2QL"),IF(VLOOKUP(BN97,Расчет!A:B,2,FALSE)="831W",BN97-$BS$7+$AD$17,BN97-$BS$7+$AD$12),BN97-$BS$7)),"-")</f>
        <v>-</v>
      </c>
      <c r="BN97" s="154">
        <f>IF(OR(Расчет!C94="A0",Расчет!C94="P9",Расчет!B94="722W"),"-",Расчет!A94)</f>
        <v>11239</v>
      </c>
      <c r="BO97" s="173">
        <f t="shared" si="45"/>
        <v>0</v>
      </c>
      <c r="BP97" s="172" t="str">
        <f>IF(BQ97="-","-",IFERROR(IF(OR(VLOOKUP(BN97,Расчет!$A$2:$E$582,5,FALSE)="2PS",VLOOKUP(BN97,Расчет!$A$2:$E$582,5,FALSE)="2QL"),IF(OR(VLOOKUP(BN97,Расчет!$A$2:$E$582,2,FALSE)="664W",VLOOKUP(BN97,Расчет!$A$2:$E$582,2,FALSE)="813W"),IF(BN97-$BS$7&gt;150,BN97-$BS$7-1000+$AD$12,BN97-$BS$7+$AD$12),IF(BN97-$BS$7&gt;150,BN97-$BS$7-1000+$AD$17,BN97-$BS$7+$AD$17)),IF(BN97-$BS$7&gt;150,BN97-$BS$7-1000,BN97-$BS$7)),"-"))</f>
        <v>-</v>
      </c>
      <c r="BQ97" s="173">
        <f t="shared" si="42"/>
        <v>11239</v>
      </c>
      <c r="BR97" s="453"/>
      <c r="BS97" s="171"/>
      <c r="BT97" s="464" t="str">
        <f t="shared" si="43"/>
        <v>-</v>
      </c>
      <c r="BU97" s="464" t="str">
        <f t="shared" si="44"/>
        <v>-</v>
      </c>
      <c r="BX97" s="204">
        <f>COUNTIF($BY$4:BY97,"&lt;100")</f>
        <v>0</v>
      </c>
      <c r="BY97" s="213" t="str">
        <f t="shared" si="35"/>
        <v/>
      </c>
      <c r="BZ97" s="216" t="str">
        <f t="shared" si="36"/>
        <v/>
      </c>
      <c r="CA97" s="213" t="e">
        <f t="shared" si="37"/>
        <v>#N/A</v>
      </c>
      <c r="CB97" s="209" t="e">
        <f t="shared" si="38"/>
        <v>#N/A</v>
      </c>
      <c r="CC97" s="205" t="str">
        <f t="shared" si="46"/>
        <v/>
      </c>
      <c r="CD97" s="205" t="str">
        <f t="shared" si="39"/>
        <v>-</v>
      </c>
      <c r="CE97" s="205">
        <f t="shared" si="47"/>
        <v>0</v>
      </c>
      <c r="CG97" s="20" t="str">
        <f t="shared" si="48"/>
        <v/>
      </c>
    </row>
    <row r="98" spans="1:85" ht="23.1" customHeight="1">
      <c r="A98" s="40" t="str">
        <f>IF(AND(IFERROR(VLOOKUP(E98,Расчет!A:J,10,FALSE),"  ")&lt;&gt;"  ",IFERROR(LEFT(VLOOKUP(E98,Расчет!A:J,10,FALSE),1)," ")&lt;&gt;"H"),0,IFERROR(IF(F98="Camry",IF(OR(J98="2PS",J98="2QL"),IF(E98-AP98&gt;100,E98-AP98-1000+$AD$12,E98-AP98+$AD$12),IF(E98-AP98&gt;100,E98-AP98-1000,E98-AP98)),IF(J98="2PS",IF(E98-AP98&gt;100,E98-AP98-1000+$AD$17,E98-AP98+$AD$17),IF(E98-AP98&gt;100,E98-AP98-1000,E98-AP98))),"-"))</f>
        <v>-</v>
      </c>
      <c r="B98" s="46">
        <v>96</v>
      </c>
      <c r="C98" s="19" t="str">
        <f>IF(E98="","",COUNTA($E$3:E98))</f>
        <v/>
      </c>
      <c r="D98" s="18" t="str">
        <f t="shared" si="31"/>
        <v/>
      </c>
      <c r="E98" s="30"/>
      <c r="F98" s="44" t="str">
        <f>IFERROR(IF(VLOOKUP(E98,Расчет!$A$2:$B$650,2,FALSE)="664W","Camry",IF(VLOOKUP(E98,Расчет!$A$2:$B$650,2,FALSE)="813W","Goshi","RAV4")),"")</f>
        <v/>
      </c>
      <c r="G98" s="32" t="str">
        <f>IFERROR(IF(F98="Camry",VLOOKUP(E98,Расчет!$A$2:$Q$650,17,FALSE),VLOOKUP(E98,Расчет!$A$2:$R$650,18,FALSE)),"")</f>
        <v/>
      </c>
      <c r="H98" s="32" t="str">
        <f>IFERROR(VLOOKUP(VLOOKUP(E98,Расчет!$A:$D,4,FALSE),$AT$6:$AV$15,3,FALSE),"")</f>
        <v/>
      </c>
      <c r="I98" s="31" t="str">
        <f>IFERROR(VLOOKUP(IFERROR(VLOOKUP(E98,Расчет!$A$2:$D$650,4,FALSE),0),$AT$3:$AU$15,2,FALSE),"")</f>
        <v/>
      </c>
      <c r="J98" s="33" t="str">
        <f>IFERROR(VLOOKUP(E98,Расчет!$A$2:$E$650,5,FALSE),"")</f>
        <v/>
      </c>
      <c r="K98" s="189"/>
      <c r="L98" s="188">
        <f t="shared" si="40"/>
        <v>0</v>
      </c>
      <c r="M98" s="9"/>
      <c r="N98" s="40" t="str">
        <f>IF(AND(IFERROR(VLOOKUP(R98,Расчет!A:J,10,FALSE),"  ")&lt;&gt;"  ",IFERROR(LEFT(VLOOKUP(R98,Расчет!A:J,10,FALSE),1)," ")&lt;&gt;"H"),0,IFERROR(IF(S98="Camry",IF(OR(W98="2PS",W98="2QL"),IF(R98-AP201&gt;100,R98-AP201-1000+$AD$12,R98-AP201+$AD$12),IF(R98-AP201&gt;100,R98-AP201-1000,R98-AP201)),IF(W98="2PS",IF(R98-AP201&gt;100,R98-AP201-1000+$AD$17,R98-AP201+$AD$17),IF(R98-AP201&gt;100,R98-AP201-1000,R98-AP201))),"-"))</f>
        <v>-</v>
      </c>
      <c r="O98" s="46">
        <v>199</v>
      </c>
      <c r="P98" s="19" t="str">
        <f>IF(R98="","",COUNTA($R$3:R98)+$C$105)</f>
        <v/>
      </c>
      <c r="Q98" s="18" t="str">
        <f t="shared" si="32"/>
        <v/>
      </c>
      <c r="R98" s="30"/>
      <c r="S98" s="45" t="str">
        <f>IFERROR(IF(VLOOKUP(R98,Расчет!$A$2:$B$650,2,FALSE)="664W","Camry",IF(VLOOKUP(R98,Расчет!$A$2:$B$650,2,FALSE)="813W","Goshi","RAV4")),"")</f>
        <v/>
      </c>
      <c r="T98" s="32" t="str">
        <f>IFERROR(IF(S98="Camry",VLOOKUP(R98,Расчет!$A$2:$Q$650,17,FALSE),VLOOKUP(R98,Расчет!$A$2:$R$650,18,FALSE)),"")</f>
        <v/>
      </c>
      <c r="U98" s="32" t="str">
        <f>IFERROR(VLOOKUP(VLOOKUP(R98,Расчет!$A:$D,4,FALSE),$AT$6:$AV$15,3,FALSE),"")</f>
        <v/>
      </c>
      <c r="V98" s="31" t="str">
        <f>IFERROR(VLOOKUP(IFERROR(VLOOKUP(R98,Расчет!$A$2:$D$650,4,FALSE),0),$AT$3:$AU$15,2,FALSE),"")</f>
        <v/>
      </c>
      <c r="W98" s="33" t="str">
        <f>IFERROR(VLOOKUP(R98,Расчет!$A$2:$E$650,5,FALSE),"")</f>
        <v/>
      </c>
      <c r="X98" s="189"/>
      <c r="Y98" s="191">
        <f t="shared" si="41"/>
        <v>0</v>
      </c>
      <c r="Z98" s="193" t="str">
        <f>IFERROR(IF(VLOOKUP(AC98,Расчет!$A$2:$B$236,2,FALSE)="831W","RAV4","Camry"),"-")</f>
        <v>-</v>
      </c>
      <c r="AA98" s="228" t="str">
        <f>IFERROR(VLOOKUP(AC27,Расчет!$A$2:$E$236,5,FALSE),"-")</f>
        <v>-</v>
      </c>
      <c r="AB98" s="429" t="str">
        <f>IFERROR(SMALL($BT$5:$BT$500,4),"")</f>
        <v/>
      </c>
      <c r="AC98" s="156" t="str">
        <f>IF(VLOOKUP2($BP$5:$BQ$500,1,AB98,COUNTIF($AB$95:AB98,AB98),2)=0,"-",VLOOKUP2($BP$5:$BQ$500,1,AB98,COUNTIF($AB$95:AB98,AB98),2))</f>
        <v>-</v>
      </c>
      <c r="AD98" s="430" t="str">
        <f>IFERROR(VLOOKUP(AC98,Расчет!$BS:$BT,2,FALSE),"")</f>
        <v/>
      </c>
      <c r="AE98" s="89">
        <v>96</v>
      </c>
      <c r="AF98" s="44" t="str">
        <f>IF(VLOOKUP(AE98,Расчет!$AH$2:$AN$201,5,FALSE)="8","C",IF(VLOOKUP(AE98,Расчет!$AH$2:$AN$201,5,FALSE)="G","G","R"))</f>
        <v>R</v>
      </c>
      <c r="AG98" s="73" t="str">
        <f t="shared" si="33"/>
        <v/>
      </c>
      <c r="AH98" s="87" t="str">
        <f>IF(AG98="","",COUNTIF($AG$2:AG98,"C")-COUNTIF($AF$2:AF98,"C")+$AH$1)</f>
        <v/>
      </c>
      <c r="AI98" s="87" t="str">
        <f>IF(AG98="","",COUNTIF($AG$2:AG98,"R")-COUNTIF($AF$2:AF98,"R")+$AI$1)</f>
        <v/>
      </c>
      <c r="AJ98" s="89">
        <v>199</v>
      </c>
      <c r="AK98" s="44" t="str">
        <f>IF(VLOOKUP(AJ98,Расчет!$AH$2:$AN$211,5,FALSE)="8","C",IF(VLOOKUP(AJ98,Расчет!$AH$2:$AN$211,5,FALSE)="G","G","R"))</f>
        <v>R</v>
      </c>
      <c r="AL98" s="74" t="str">
        <f t="shared" si="34"/>
        <v/>
      </c>
      <c r="AM98" s="118" t="str">
        <f>IF(AL98="","",(COUNTIF($AG$2:$AG$105,"C")+COUNTIF($AL$2:$AL98,"C"))-(COUNTIF($AF$2:$AF$105,"C")+COUNTIF($AK$2:$AK98,"C"))+$AH$1)</f>
        <v/>
      </c>
      <c r="AN98" s="119" t="str">
        <f>IF(AL98="","",(COUNTIF($AG$2:$AG$105,"R")+COUNTIF($AL$2:$AL98,"R"))-(COUNTIF($AF$2:$AF$105,"R")+COUNTIF($AK$2:$AK98,"R"))+$AI$1)</f>
        <v/>
      </c>
      <c r="AO98" s="22" t="str">
        <f>IF(E98="","",COUNTA($E$3:E98)+$Z$1)</f>
        <v/>
      </c>
      <c r="AP98" s="88" t="str">
        <f>IF(AO98="","",IF(AO98+Расчет!$Y$57+$BD$2-Расчет!$X$57&gt;200,AO98+Расчет!$Y$57+$BD$2-1000,AO98+Расчет!$Y$57+$BD$2))</f>
        <v/>
      </c>
      <c r="AR98" s="92"/>
      <c r="AS98" s="92"/>
      <c r="BL98" s="172">
        <f>COUNTIF($BM$5:BM98,"&lt;-115")</f>
        <v>0</v>
      </c>
      <c r="BM98" s="154" t="str">
        <f>IFERROR(IF(OR(IFERROR(VLOOKUP(BN98,$E$3:$E$105,1,FALSE),"0")=BN98,IFERROR(VLOOKUP(BN98,$R$3:$R$105,1,FALSE),"0")=BN98),BO98,IF(OR(VLOOKUP(BN98,Расчет!A:E,5,FALSE)="2PS",VLOOKUP(BN98,Расчет!A:E,5,FALSE)="2QL"),IF(VLOOKUP(BN98,Расчет!A:B,2,FALSE)="831W",BN98-$BS$7+$AD$17,BN98-$BS$7+$AD$12),BN98-$BS$7)),"-")</f>
        <v>-</v>
      </c>
      <c r="BN98" s="154">
        <f>IF(OR(Расчет!C95="A0",Расчет!C95="P9",Расчет!B95="722W"),"-",Расчет!A95)</f>
        <v>11240</v>
      </c>
      <c r="BO98" s="173">
        <f t="shared" si="45"/>
        <v>0</v>
      </c>
      <c r="BP98" s="172" t="str">
        <f>IF(BQ98="-","-",IFERROR(IF(OR(VLOOKUP(BN98,Расчет!$A$2:$E$582,5,FALSE)="2PS",VLOOKUP(BN98,Расчет!$A$2:$E$582,5,FALSE)="2QL"),IF(OR(VLOOKUP(BN98,Расчет!$A$2:$E$582,2,FALSE)="664W",VLOOKUP(BN98,Расчет!$A$2:$E$582,2,FALSE)="813W"),IF(BN98-$BS$7&gt;150,BN98-$BS$7-1000+$AD$12,BN98-$BS$7+$AD$12),IF(BN98-$BS$7&gt;150,BN98-$BS$7-1000+$AD$17,BN98-$BS$7+$AD$17)),IF(BN98-$BS$7&gt;150,BN98-$BS$7-1000,BN98-$BS$7)),"-"))</f>
        <v>-</v>
      </c>
      <c r="BQ98" s="173">
        <f t="shared" si="42"/>
        <v>11240</v>
      </c>
      <c r="BR98" s="453"/>
      <c r="BS98" s="171"/>
      <c r="BT98" s="464" t="str">
        <f t="shared" si="43"/>
        <v>-</v>
      </c>
      <c r="BU98" s="464" t="str">
        <f t="shared" si="44"/>
        <v>-</v>
      </c>
      <c r="BX98" s="204">
        <f>COUNTIF($BY$4:BY98,"&lt;100")</f>
        <v>0</v>
      </c>
      <c r="BY98" s="213" t="str">
        <f t="shared" si="35"/>
        <v/>
      </c>
      <c r="BZ98" s="216" t="str">
        <f t="shared" si="36"/>
        <v/>
      </c>
      <c r="CA98" s="213" t="e">
        <f t="shared" si="37"/>
        <v>#N/A</v>
      </c>
      <c r="CB98" s="209" t="e">
        <f t="shared" si="38"/>
        <v>#N/A</v>
      </c>
      <c r="CC98" s="205" t="str">
        <f t="shared" si="46"/>
        <v/>
      </c>
      <c r="CD98" s="205" t="str">
        <f t="shared" si="39"/>
        <v>-</v>
      </c>
      <c r="CE98" s="205">
        <f t="shared" si="47"/>
        <v>0</v>
      </c>
      <c r="CG98" s="20" t="str">
        <f t="shared" si="48"/>
        <v/>
      </c>
    </row>
    <row r="99" spans="1:85" ht="23.1" customHeight="1">
      <c r="A99" s="40" t="str">
        <f>IF(AND(IFERROR(VLOOKUP(E99,Расчет!A:J,10,FALSE),"  ")&lt;&gt;"  ",IFERROR(LEFT(VLOOKUP(E99,Расчет!A:J,10,FALSE),1)," ")&lt;&gt;"H"),0,IFERROR(IF(F99="Camry",IF(OR(J99="2PS",J99="2QL"),IF(E99-AP99&gt;100,E99-AP99-1000+$AD$12,E99-AP99+$AD$12),IF(E99-AP99&gt;100,E99-AP99-1000,E99-AP99)),IF(J99="2PS",IF(E99-AP99&gt;100,E99-AP99-1000+$AD$17,E99-AP99+$AD$17),IF(E99-AP99&gt;100,E99-AP99-1000,E99-AP99))),"-"))</f>
        <v>-</v>
      </c>
      <c r="B99" s="46">
        <v>97</v>
      </c>
      <c r="C99" s="19" t="str">
        <f>IF(E99="","",COUNTA($E$3:E99))</f>
        <v/>
      </c>
      <c r="D99" s="18" t="str">
        <f t="shared" si="31"/>
        <v/>
      </c>
      <c r="E99" s="30"/>
      <c r="F99" s="44" t="str">
        <f>IFERROR(IF(VLOOKUP(E99,Расчет!$A$2:$B$650,2,FALSE)="664W","Camry",IF(VLOOKUP(E99,Расчет!$A$2:$B$650,2,FALSE)="813W","Goshi","RAV4")),"")</f>
        <v/>
      </c>
      <c r="G99" s="32" t="str">
        <f>IFERROR(IF(F99="Camry",VLOOKUP(E99,Расчет!$A$2:$Q$650,17,FALSE),VLOOKUP(E99,Расчет!$A$2:$R$650,18,FALSE)),"")</f>
        <v/>
      </c>
      <c r="H99" s="32" t="str">
        <f>IFERROR(VLOOKUP(VLOOKUP(E99,Расчет!$A:$D,4,FALSE),$AT$6:$AV$15,3,FALSE),"")</f>
        <v/>
      </c>
      <c r="I99" s="31" t="str">
        <f>IFERROR(VLOOKUP(IFERROR(VLOOKUP(E99,Расчет!$A$2:$D$650,4,FALSE),0),$AT$3:$AU$15,2,FALSE),"")</f>
        <v/>
      </c>
      <c r="J99" s="33" t="str">
        <f>IFERROR(VLOOKUP(E99,Расчет!$A$2:$E$650,5,FALSE),"")</f>
        <v/>
      </c>
      <c r="K99" s="189"/>
      <c r="L99" s="188">
        <f t="shared" si="40"/>
        <v>0</v>
      </c>
      <c r="M99" s="9"/>
      <c r="N99" s="40" t="str">
        <f>IF(AND(IFERROR(VLOOKUP(R99,Расчет!A:J,10,FALSE),"  ")&lt;&gt;"  ",IFERROR(LEFT(VLOOKUP(R99,Расчет!A:J,10,FALSE),1)," ")&lt;&gt;"H"),0,IFERROR(IF(S99="Camry",IF(OR(W99="2PS",W99="2QL"),IF(R99-AP202&gt;100,R99-AP202-1000+$AD$12,R99-AP202+$AD$12),IF(R99-AP202&gt;100,R99-AP202-1000,R99-AP202)),IF(W99="2PS",IF(R99-AP202&gt;100,R99-AP202-1000+$AD$17,R99-AP202+$AD$17),IF(R99-AP202&gt;100,R99-AP202-1000,R99-AP202))),"-"))</f>
        <v>-</v>
      </c>
      <c r="O99" s="46">
        <v>200</v>
      </c>
      <c r="P99" s="19" t="str">
        <f>IF(R99="","",COUNTA($R$3:R99)+$C$105)</f>
        <v/>
      </c>
      <c r="Q99" s="18" t="str">
        <f t="shared" si="32"/>
        <v/>
      </c>
      <c r="R99" s="30"/>
      <c r="S99" s="45" t="str">
        <f>IFERROR(IF(VLOOKUP(R99,Расчет!$A$2:$B$650,2,FALSE)="664W","Camry",IF(VLOOKUP(R99,Расчет!$A$2:$B$650,2,FALSE)="813W","Goshi","RAV4")),"")</f>
        <v/>
      </c>
      <c r="T99" s="32" t="str">
        <f>IFERROR(IF(S99="Camry",VLOOKUP(R99,Расчет!$A$2:$Q$650,17,FALSE),VLOOKUP(R99,Расчет!$A$2:$R$650,18,FALSE)),"")</f>
        <v/>
      </c>
      <c r="U99" s="32" t="str">
        <f>IFERROR(VLOOKUP(VLOOKUP(R99,Расчет!$A:$D,4,FALSE),$AT$6:$AV$15,3,FALSE),"")</f>
        <v/>
      </c>
      <c r="V99" s="31" t="str">
        <f>IFERROR(VLOOKUP(IFERROR(VLOOKUP(R99,Расчет!$A$2:$D$650,4,FALSE),0),$AT$3:$AU$15,2,FALSE),"")</f>
        <v/>
      </c>
      <c r="W99" s="33" t="str">
        <f>IFERROR(VLOOKUP(R99,Расчет!$A$2:$E$650,5,FALSE),"")</f>
        <v/>
      </c>
      <c r="X99" s="189"/>
      <c r="Y99" s="191">
        <f t="shared" si="41"/>
        <v>0</v>
      </c>
      <c r="Z99" s="193" t="str">
        <f>IFERROR(IF(VLOOKUP(AC99,Расчет!$A$2:$B$236,2,FALSE)="831W","RAV4","Camry"),"-")</f>
        <v>-</v>
      </c>
      <c r="AA99" s="228" t="str">
        <f>IFERROR(VLOOKUP(AC28,Расчет!$A$2:$E$236,5,FALSE),"-")</f>
        <v>-</v>
      </c>
      <c r="AB99" s="429" t="str">
        <f>IFERROR(SMALL($BT$5:$BT$500,5),"")</f>
        <v/>
      </c>
      <c r="AC99" s="156" t="str">
        <f>IF(VLOOKUP2($BP$5:$BQ$500,1,AB99,COUNTIF($AB$95:AB99,AB99),2)=0,"-",VLOOKUP2($BP$5:$BQ$500,1,AB99,COUNTIF($AB$95:AB99,AB99),2))</f>
        <v>-</v>
      </c>
      <c r="AD99" s="430" t="str">
        <f>IFERROR(VLOOKUP(AC99,Расчет!$BS:$BT,2,FALSE),"")</f>
        <v/>
      </c>
      <c r="AE99" s="89">
        <v>97</v>
      </c>
      <c r="AF99" s="44" t="str">
        <f>IF(VLOOKUP(AE99,Расчет!$AH$2:$AN$201,5,FALSE)="8","C",IF(VLOOKUP(AE99,Расчет!$AH$2:$AN$201,5,FALSE)="G","G","R"))</f>
        <v>R</v>
      </c>
      <c r="AG99" s="73" t="str">
        <f t="shared" si="33"/>
        <v/>
      </c>
      <c r="AH99" s="87" t="str">
        <f>IF(AG99="","",COUNTIF($AG$2:AG99,"C")-COUNTIF($AF$2:AF99,"C")+$AH$1)</f>
        <v/>
      </c>
      <c r="AI99" s="87" t="str">
        <f>IF(AG99="","",COUNTIF($AG$2:AG99,"R")-COUNTIF($AF$2:AF99,"R")+$AI$1)</f>
        <v/>
      </c>
      <c r="AJ99" s="89">
        <v>200</v>
      </c>
      <c r="AK99" s="44" t="str">
        <f>IF(VLOOKUP(AJ99,Расчет!$AH$2:$AN$211,5,FALSE)="8","C",IF(VLOOKUP(AJ99,Расчет!$AH$2:$AN$211,5,FALSE)="G","G","R"))</f>
        <v>R</v>
      </c>
      <c r="AL99" s="74" t="str">
        <f t="shared" si="34"/>
        <v/>
      </c>
      <c r="AM99" s="118" t="str">
        <f>IF(AL99="","",(COUNTIF($AG$2:$AG$105,"C")+COUNTIF($AL$2:$AL99,"C"))-(COUNTIF($AF$2:$AF$105,"C")+COUNTIF($AK$2:$AK99,"C"))+$AH$1)</f>
        <v/>
      </c>
      <c r="AN99" s="119" t="str">
        <f>IF(AL99="","",(COUNTIF($AG$2:$AG$105,"R")+COUNTIF($AL$2:$AL99,"R"))-(COUNTIF($AF$2:$AF$105,"R")+COUNTIF($AK$2:$AK99,"R"))+$AI$1)</f>
        <v/>
      </c>
      <c r="AO99" s="22" t="str">
        <f>IF(E99="","",COUNTA($E$3:E99)+$Z$1)</f>
        <v/>
      </c>
      <c r="AP99" s="88" t="str">
        <f>IF(AO99="","",IF(AO99+Расчет!$Y$57+$BD$2-Расчет!$X$57&gt;200,AO99+Расчет!$Y$57+$BD$2-1000,AO99+Расчет!$Y$57+$BD$2))</f>
        <v/>
      </c>
      <c r="AR99" s="92"/>
      <c r="AS99" s="92"/>
      <c r="BL99" s="172">
        <f>COUNTIF($BM$5:BM99,"&lt;-115")</f>
        <v>0</v>
      </c>
      <c r="BM99" s="154" t="str">
        <f>IFERROR(IF(OR(IFERROR(VLOOKUP(BN99,$E$3:$E$105,1,FALSE),"0")=BN99,IFERROR(VLOOKUP(BN99,$R$3:$R$105,1,FALSE),"0")=BN99),BO99,IF(OR(VLOOKUP(BN99,Расчет!A:E,5,FALSE)="2PS",VLOOKUP(BN99,Расчет!A:E,5,FALSE)="2QL"),IF(VLOOKUP(BN99,Расчет!A:B,2,FALSE)="831W",BN99-$BS$7+$AD$17,BN99-$BS$7+$AD$12),BN99-$BS$7)),"-")</f>
        <v>-</v>
      </c>
      <c r="BN99" s="154">
        <f>IF(OR(Расчет!C96="A0",Расчет!C96="P9",Расчет!B96="722W"),"-",Расчет!A96)</f>
        <v>11241</v>
      </c>
      <c r="BO99" s="173">
        <f t="shared" si="45"/>
        <v>0</v>
      </c>
      <c r="BP99" s="172" t="str">
        <f>IF(BQ99="-","-",IFERROR(IF(OR(VLOOKUP(BN99,Расчет!$A$2:$E$582,5,FALSE)="2PS",VLOOKUP(BN99,Расчет!$A$2:$E$582,5,FALSE)="2QL"),IF(OR(VLOOKUP(BN99,Расчет!$A$2:$E$582,2,FALSE)="664W",VLOOKUP(BN99,Расчет!$A$2:$E$582,2,FALSE)="813W"),IF(BN99-$BS$7&gt;150,BN99-$BS$7-1000+$AD$12,BN99-$BS$7+$AD$12),IF(BN99-$BS$7&gt;150,BN99-$BS$7-1000+$AD$17,BN99-$BS$7+$AD$17)),IF(BN99-$BS$7&gt;150,BN99-$BS$7-1000,BN99-$BS$7)),"-"))</f>
        <v>-</v>
      </c>
      <c r="BQ99" s="173">
        <f t="shared" si="42"/>
        <v>11241</v>
      </c>
      <c r="BR99" s="453"/>
      <c r="BS99" s="171"/>
      <c r="BT99" s="464" t="str">
        <f t="shared" si="43"/>
        <v>-</v>
      </c>
      <c r="BU99" s="464" t="str">
        <f t="shared" si="44"/>
        <v>-</v>
      </c>
      <c r="BX99" s="204">
        <f>COUNTIF($BY$4:BY99,"&lt;100")</f>
        <v>0</v>
      </c>
      <c r="BY99" s="213" t="str">
        <f t="shared" si="35"/>
        <v/>
      </c>
      <c r="BZ99" s="216" t="str">
        <f t="shared" si="36"/>
        <v/>
      </c>
      <c r="CA99" s="213" t="e">
        <f t="shared" si="37"/>
        <v>#N/A</v>
      </c>
      <c r="CB99" s="209" t="e">
        <f t="shared" si="38"/>
        <v>#N/A</v>
      </c>
      <c r="CC99" s="205" t="str">
        <f t="shared" si="46"/>
        <v/>
      </c>
      <c r="CD99" s="205" t="str">
        <f t="shared" si="39"/>
        <v>-</v>
      </c>
      <c r="CE99" s="205">
        <f t="shared" si="47"/>
        <v>0</v>
      </c>
      <c r="CG99" s="20" t="str">
        <f t="shared" si="48"/>
        <v/>
      </c>
    </row>
    <row r="100" spans="1:85" ht="23.1" customHeight="1">
      <c r="A100" s="40" t="str">
        <f>IF(AND(IFERROR(VLOOKUP(E100,Расчет!A:J,10,FALSE),"  ")&lt;&gt;"  ",IFERROR(LEFT(VLOOKUP(E100,Расчет!A:J,10,FALSE),1)," ")&lt;&gt;"H"),0,IFERROR(IF(F100="Camry",IF(OR(J100="2PS",J100="2QL"),IF(E100-AP100&gt;100,E100-AP100-1000+$AD$12,E100-AP100+$AD$12),IF(E100-AP100&gt;100,E100-AP100-1000,E100-AP100)),IF(J100="2PS",IF(E100-AP100&gt;100,E100-AP100-1000+$AD$17,E100-AP100+$AD$17),IF(E100-AP100&gt;100,E100-AP100-1000,E100-AP100))),"-"))</f>
        <v>-</v>
      </c>
      <c r="B100" s="46">
        <v>98</v>
      </c>
      <c r="C100" s="19" t="str">
        <f>IF(E100="","",COUNTA($E$3:E100))</f>
        <v/>
      </c>
      <c r="D100" s="18" t="str">
        <f t="shared" si="31"/>
        <v/>
      </c>
      <c r="E100" s="30"/>
      <c r="F100" s="44" t="str">
        <f>IFERROR(IF(VLOOKUP(E100,Расчет!$A$2:$B$650,2,FALSE)="664W","Camry",IF(VLOOKUP(E100,Расчет!$A$2:$B$650,2,FALSE)="813W","Goshi","RAV4")),"")</f>
        <v/>
      </c>
      <c r="G100" s="32" t="str">
        <f>IFERROR(IF(F100="Camry",VLOOKUP(E100,Расчет!$A$2:$Q$650,17,FALSE),VLOOKUP(E100,Расчет!$A$2:$R$650,18,FALSE)),"")</f>
        <v/>
      </c>
      <c r="H100" s="32" t="str">
        <f>IFERROR(VLOOKUP(VLOOKUP(E100,Расчет!$A:$D,4,FALSE),$AT$6:$AV$15,3,FALSE),"")</f>
        <v/>
      </c>
      <c r="I100" s="31" t="str">
        <f>IFERROR(VLOOKUP(IFERROR(VLOOKUP(E100,Расчет!$A$2:$D$650,4,FALSE),0),$AT$3:$AU$15,2,FALSE),"")</f>
        <v/>
      </c>
      <c r="J100" s="33" t="str">
        <f>IFERROR(VLOOKUP(E100,Расчет!$A$2:$E$650,5,FALSE),"")</f>
        <v/>
      </c>
      <c r="K100" s="189"/>
      <c r="L100" s="188">
        <f t="shared" si="40"/>
        <v>0</v>
      </c>
      <c r="M100" s="9"/>
      <c r="N100" s="40" t="str">
        <f>IF(AND(IFERROR(VLOOKUP(R100,Расчет!A:J,10,FALSE),"  ")&lt;&gt;"  ",IFERROR(LEFT(VLOOKUP(R100,Расчет!A:J,10,FALSE),1)," ")&lt;&gt;"H"),0,IFERROR(IF(S100="Camry",IF(OR(W100="2PS",W100="2QL"),IF(R100-AP203&gt;100,R100-AP203-1000+$AD$12,R100-AP203+$AD$12),IF(R100-AP203&gt;100,R100-AP203-1000,R100-AP203)),IF(W100="2PS",IF(R100-AP203&gt;100,R100-AP203-1000+$AD$17,R100-AP203+$AD$17),IF(R100-AP203&gt;100,R100-AP203-1000,R100-AP203))),"-"))</f>
        <v>-</v>
      </c>
      <c r="O100" s="46">
        <v>201</v>
      </c>
      <c r="P100" s="19" t="str">
        <f>IF(R100="","",COUNTA($R$3:R100)+$C$105)</f>
        <v/>
      </c>
      <c r="Q100" s="18" t="str">
        <f>IFERROR(IF(AO203&gt;=1000,AO203-1000,AO203),"")</f>
        <v/>
      </c>
      <c r="R100" s="30"/>
      <c r="S100" s="45" t="str">
        <f>IFERROR(IF(VLOOKUP(R100,Расчет!$A$2:$B$650,2,FALSE)="664W","Camry",IF(VLOOKUP(R100,Расчет!$A$2:$B$650,2,FALSE)="813W","Goshi","RAV4")),"")</f>
        <v/>
      </c>
      <c r="T100" s="32" t="str">
        <f>IFERROR(IF(S100="Camry",VLOOKUP(R100,Расчет!$A$2:$Q$650,17,FALSE),VLOOKUP(R100,Расчет!$A$2:$R$650,18,FALSE)),"")</f>
        <v/>
      </c>
      <c r="U100" s="32" t="str">
        <f>IFERROR(VLOOKUP(VLOOKUP(R100,Расчет!$A:$D,4,FALSE),$AT$6:$AV$15,3,FALSE),"")</f>
        <v/>
      </c>
      <c r="V100" s="31" t="str">
        <f>IFERROR(VLOOKUP(IFERROR(VLOOKUP(R100,Расчет!$A$2:$D$650,4,FALSE),0),$AT$3:$AU$15,2,FALSE),"")</f>
        <v/>
      </c>
      <c r="W100" s="33" t="str">
        <f>IFERROR(VLOOKUP(R100,Расчет!$A$2:$E$650,5,FALSE),"")</f>
        <v/>
      </c>
      <c r="X100" s="189"/>
      <c r="Y100" s="191">
        <f t="shared" si="41"/>
        <v>0</v>
      </c>
      <c r="Z100" s="193" t="str">
        <f>IFERROR(IF(VLOOKUP(AC100,Расчет!$A$2:$B$236,2,FALSE)="831W","RAV4","Camry"),"-")</f>
        <v>-</v>
      </c>
      <c r="AA100" s="228" t="str">
        <f>IFERROR(VLOOKUP(AC29,Расчет!$A$2:$E$236,5,FALSE),"-")</f>
        <v>-</v>
      </c>
      <c r="AB100" s="429" t="str">
        <f>IFERROR(SMALL($BT$5:$BT$500,6),"")</f>
        <v/>
      </c>
      <c r="AC100" s="156" t="str">
        <f>IF(VLOOKUP2($BP$5:$BQ$500,1,AB100,COUNTIF($AB$95:AB100,AB100),2)=0,"-",VLOOKUP2($BP$5:$BQ$500,1,AB100,COUNTIF($AB$95:AB100,AB100),2))</f>
        <v>-</v>
      </c>
      <c r="AD100" s="430" t="str">
        <f>IFERROR(VLOOKUP(AC100,Расчет!$BS:$BT,2,FALSE),"")</f>
        <v/>
      </c>
      <c r="AE100" s="89">
        <v>98</v>
      </c>
      <c r="AF100" s="44" t="str">
        <f>IF(VLOOKUP(AE100,Расчет!$AH$2:$AN$201,5,FALSE)="8","C",IF(VLOOKUP(AE100,Расчет!$AH$2:$AN$201,5,FALSE)="G","G","R"))</f>
        <v>C</v>
      </c>
      <c r="AG100" s="73" t="str">
        <f t="shared" si="33"/>
        <v/>
      </c>
      <c r="AH100" s="87" t="str">
        <f>IF(AG100="","",COUNTIF($AG$2:AG100,"C")-COUNTIF($AF$2:AF100,"C")+$AH$1)</f>
        <v/>
      </c>
      <c r="AI100" s="87" t="str">
        <f>IF(AG100="","",COUNTIF($AG$2:AG100,"R")-COUNTIF($AF$2:AF100,"R")+$AI$1)</f>
        <v/>
      </c>
      <c r="AJ100" s="89">
        <v>201</v>
      </c>
      <c r="AK100" s="44" t="str">
        <f>IF(VLOOKUP(AJ100,Расчет!$AH$2:$AN$211,5,FALSE)="8","C",IF(VLOOKUP(AJ100,Расчет!$AH$2:$AN$211,5,FALSE)="G","G","R"))</f>
        <v>C</v>
      </c>
      <c r="AL100" s="74" t="str">
        <f t="shared" si="34"/>
        <v/>
      </c>
      <c r="AM100" s="118" t="str">
        <f>IF(AL100="","",(COUNTIF($AG$2:$AG$105,"C")+COUNTIF($AL$2:$AL100,"C"))-(COUNTIF($AF$2:$AF$105,"C")+COUNTIF($AK$2:$AK100,"C"))+$AH$1)</f>
        <v/>
      </c>
      <c r="AN100" s="119" t="str">
        <f>IF(AL100="","",(COUNTIF($AG$2:$AG$105,"R")+COUNTIF($AL$2:$AL100,"R"))-(COUNTIF($AF$2:$AF$105,"R")+COUNTIF($AK$2:$AK100,"R"))+$AI$1)</f>
        <v/>
      </c>
      <c r="AO100" s="22" t="str">
        <f>IF(E100="","",COUNTA($E$3:E100)+$Z$1)</f>
        <v/>
      </c>
      <c r="AP100" s="88" t="str">
        <f>IF(AO100="","",IF(AO100+Расчет!$Y$57+$BD$2-Расчет!$X$57&gt;200,AO100+Расчет!$Y$57+$BD$2-1000,AO100+Расчет!$Y$57+$BD$2))</f>
        <v/>
      </c>
      <c r="AR100" s="92"/>
      <c r="AS100" s="92"/>
      <c r="BL100" s="172">
        <f>COUNTIF($BM$5:BM100,"&lt;-115")</f>
        <v>0</v>
      </c>
      <c r="BM100" s="154" t="str">
        <f>IFERROR(IF(OR(IFERROR(VLOOKUP(BN100,$E$3:$E$105,1,FALSE),"0")=BN100,IFERROR(VLOOKUP(BN100,$R$3:$R$105,1,FALSE),"0")=BN100),BO100,IF(OR(VLOOKUP(BN100,Расчет!A:E,5,FALSE)="2PS",VLOOKUP(BN100,Расчет!A:E,5,FALSE)="2QL"),IF(VLOOKUP(BN100,Расчет!A:B,2,FALSE)="831W",BN100-$BS$7+$AD$17,BN100-$BS$7+$AD$12),BN100-$BS$7)),"-")</f>
        <v>-</v>
      </c>
      <c r="BN100" s="154">
        <f>IF(OR(Расчет!C97="A0",Расчет!C97="P9",Расчет!B97="722W"),"-",Расчет!A97)</f>
        <v>11242</v>
      </c>
      <c r="BO100" s="173">
        <f t="shared" si="45"/>
        <v>0</v>
      </c>
      <c r="BP100" s="172" t="str">
        <f>IF(BQ100="-","-",IFERROR(IF(OR(VLOOKUP(BN100,Расчет!$A$2:$E$582,5,FALSE)="2PS",VLOOKUP(BN100,Расчет!$A$2:$E$582,5,FALSE)="2QL"),IF(OR(VLOOKUP(BN100,Расчет!$A$2:$E$582,2,FALSE)="664W",VLOOKUP(BN100,Расчет!$A$2:$E$582,2,FALSE)="813W"),IF(BN100-$BS$7&gt;150,BN100-$BS$7-1000+$AD$12,BN100-$BS$7+$AD$12),IF(BN100-$BS$7&gt;150,BN100-$BS$7-1000+$AD$17,BN100-$BS$7+$AD$17)),IF(BN100-$BS$7&gt;150,BN100-$BS$7-1000,BN100-$BS$7)),"-"))</f>
        <v>-</v>
      </c>
      <c r="BQ100" s="173">
        <f t="shared" si="42"/>
        <v>11242</v>
      </c>
      <c r="BR100" s="453"/>
      <c r="BS100" s="171"/>
      <c r="BT100" s="464" t="str">
        <f t="shared" si="43"/>
        <v>-</v>
      </c>
      <c r="BU100" s="464" t="str">
        <f t="shared" si="44"/>
        <v>-</v>
      </c>
      <c r="BX100" s="204">
        <f>COUNTIF($BY$4:BY100,"&lt;100")</f>
        <v>0</v>
      </c>
      <c r="BY100" s="213" t="str">
        <f t="shared" ref="BY100:BY106" si="49">AH99</f>
        <v/>
      </c>
      <c r="BZ100" s="216" t="str">
        <f t="shared" ref="BZ100:BZ106" si="50">AI99</f>
        <v/>
      </c>
      <c r="CA100" s="213" t="e">
        <f t="shared" si="37"/>
        <v>#N/A</v>
      </c>
      <c r="CB100" s="209" t="e">
        <f t="shared" si="38"/>
        <v>#N/A</v>
      </c>
      <c r="CC100" s="205" t="str">
        <f t="shared" si="46"/>
        <v/>
      </c>
      <c r="CD100" s="205" t="str">
        <f t="shared" ref="CD100:CD106" si="51">A99</f>
        <v>-</v>
      </c>
      <c r="CE100" s="205">
        <f t="shared" si="47"/>
        <v>0</v>
      </c>
      <c r="CG100" s="20" t="str">
        <f t="shared" si="48"/>
        <v/>
      </c>
    </row>
    <row r="101" spans="1:85" ht="23.1" customHeight="1">
      <c r="A101" s="40" t="str">
        <f>IF(AND(IFERROR(VLOOKUP(E101,Расчет!A:J,10,FALSE),"  ")&lt;&gt;"  ",IFERROR(LEFT(VLOOKUP(E101,Расчет!A:J,10,FALSE),1)," ")&lt;&gt;"H"),0,IFERROR(IF(F101="Camry",IF(OR(J101="2PS",J101="2QL"),IF(E101-AP101&gt;100,E101-AP101-1000+$AD$12,E101-AP101+$AD$12),IF(E101-AP101&gt;100,E101-AP101-1000,E101-AP101)),IF(J101="2PS",IF(E101-AP101&gt;100,E101-AP101-1000+$AD$17,E101-AP101+$AD$17),IF(E101-AP101&gt;100,E101-AP101-1000,E101-AP101))),"-"))</f>
        <v>-</v>
      </c>
      <c r="B101" s="46">
        <v>99</v>
      </c>
      <c r="C101" s="19" t="str">
        <f>IF(E101="","",COUNTA($E$3:E101))</f>
        <v/>
      </c>
      <c r="D101" s="18" t="str">
        <f t="shared" si="31"/>
        <v/>
      </c>
      <c r="E101" s="30"/>
      <c r="F101" s="44" t="str">
        <f>IFERROR(IF(VLOOKUP(E101,Расчет!$A$2:$B$650,2,FALSE)="664W","Camry",IF(VLOOKUP(E101,Расчет!$A$2:$B$650,2,FALSE)="813W","Goshi","RAV4")),"")</f>
        <v/>
      </c>
      <c r="G101" s="32" t="str">
        <f>IFERROR(IF(F101="Camry",VLOOKUP(E101,Расчет!$A$2:$Q$650,17,FALSE),VLOOKUP(E101,Расчет!$A$2:$R$650,18,FALSE)),"")</f>
        <v/>
      </c>
      <c r="H101" s="32" t="str">
        <f>IFERROR(VLOOKUP(VLOOKUP(E101,Расчет!$A:$D,4,FALSE),$AT$6:$AV$15,3,FALSE),"")</f>
        <v/>
      </c>
      <c r="I101" s="31" t="str">
        <f>IFERROR(VLOOKUP(IFERROR(VLOOKUP(E101,Расчет!$A$2:$D$650,4,FALSE),0),$AT$3:$AU$15,2,FALSE),"")</f>
        <v/>
      </c>
      <c r="J101" s="33" t="str">
        <f>IFERROR(VLOOKUP(E101,Расчет!$A$2:$E$650,5,FALSE),"")</f>
        <v/>
      </c>
      <c r="K101" s="190"/>
      <c r="L101" s="188">
        <f t="shared" si="40"/>
        <v>0</v>
      </c>
      <c r="M101" s="9"/>
      <c r="N101" s="40" t="str">
        <f>IF(AND(IFERROR(VLOOKUP(R101,Расчет!A:J,10,FALSE),"  ")&lt;&gt;"  ",IFERROR(LEFT(VLOOKUP(R101,Расчет!A:J,10,FALSE),1)," ")&lt;&gt;"H"),0,IFERROR(IF(S101="Camry",IF(OR(W101="2PS",W101="2QL"),IF(R101-AP204&gt;100,R101-AP204-1000+$AD$12,R101-AP204+$AD$12),IF(R101-AP204&gt;100,R101-AP204-1000,R101-AP204)),IF(W101="2PS",IF(R101-AP204&gt;100,R101-AP204-1000+$AD$17,R101-AP204+$AD$17),IF(R101-AP204&gt;100,R101-AP204-1000,R101-AP204))),"-"))</f>
        <v>-</v>
      </c>
      <c r="O101" s="46">
        <v>202</v>
      </c>
      <c r="P101" s="19" t="str">
        <f>IF(R101="","",COUNTA($R$3:R101)+$C$105)</f>
        <v/>
      </c>
      <c r="Q101" s="18" t="str">
        <f t="shared" si="32"/>
        <v/>
      </c>
      <c r="R101" s="30"/>
      <c r="S101" s="45" t="str">
        <f>IFERROR(IF(VLOOKUP(R101,Расчет!$A$2:$B$650,2,FALSE)="664W","Camry",IF(VLOOKUP(R101,Расчет!$A$2:$B$650,2,FALSE)="813W","Goshi","RAV4")),"")</f>
        <v/>
      </c>
      <c r="T101" s="32" t="str">
        <f>IFERROR(IF(S101="Camry",VLOOKUP(R101,Расчет!$A$2:$Q$650,17,FALSE),VLOOKUP(R101,Расчет!$A$2:$R$650,18,FALSE)),"")</f>
        <v/>
      </c>
      <c r="U101" s="32" t="str">
        <f>IFERROR(VLOOKUP(VLOOKUP(R101,Расчет!$A:$D,4,FALSE),$AT$6:$AV$15,3,FALSE),"")</f>
        <v/>
      </c>
      <c r="V101" s="31" t="str">
        <f>IFERROR(VLOOKUP(IFERROR(VLOOKUP(R101,Расчет!$A$2:$D$650,4,FALSE),0),$AT$3:$AU$15,2,FALSE),"")</f>
        <v/>
      </c>
      <c r="W101" s="33" t="str">
        <f>IFERROR(VLOOKUP(R101,Расчет!$A$2:$E$650,5,FALSE),"")</f>
        <v/>
      </c>
      <c r="X101" s="189"/>
      <c r="Y101" s="191">
        <f t="shared" si="41"/>
        <v>0</v>
      </c>
      <c r="Z101" s="193" t="str">
        <f>IFERROR(IF(VLOOKUP(AC101,Расчет!$A$2:$B$236,2,FALSE)="831W","RAV4","Camry"),"-")</f>
        <v>-</v>
      </c>
      <c r="AA101" s="228" t="str">
        <f>IFERROR(VLOOKUP(AC30,Расчет!$A$2:$E$236,5,FALSE),"-")</f>
        <v>-</v>
      </c>
      <c r="AB101" s="429" t="str">
        <f>IFERROR(SMALL($BT$5:$BT$500,7),"")</f>
        <v/>
      </c>
      <c r="AC101" s="156" t="str">
        <f>IF(VLOOKUP2($BP$5:$BQ$500,1,AB101,COUNTIF($AB$95:AB101,AB101),2)=0,"-",VLOOKUP2($BP$5:$BQ$500,1,AB101,COUNTIF($AB$95:AB101,AB101),2))</f>
        <v>-</v>
      </c>
      <c r="AD101" s="430" t="str">
        <f>IFERROR(VLOOKUP(AC101,Расчет!$BS:$BT,2,FALSE),"")</f>
        <v/>
      </c>
      <c r="AE101" s="89">
        <v>99</v>
      </c>
      <c r="AF101" s="44" t="str">
        <f>IF(VLOOKUP(AE101,Расчет!$AH$2:$AN$201,5,FALSE)="8","C",IF(VLOOKUP(AE101,Расчет!$AH$2:$AN$201,5,FALSE)="G","G","R"))</f>
        <v>R</v>
      </c>
      <c r="AG101" s="73" t="str">
        <f t="shared" si="33"/>
        <v/>
      </c>
      <c r="AH101" s="87" t="str">
        <f>IF(AG101="","",COUNTIF($AG$2:AG101,"C")-COUNTIF($AF$2:AF101,"C")+$AH$1)</f>
        <v/>
      </c>
      <c r="AI101" s="87" t="str">
        <f>IF(AG101="","",COUNTIF($AG$2:AG101,"R")-COUNTIF($AF$2:AF101,"R")+$AI$1)</f>
        <v/>
      </c>
      <c r="AJ101" s="89">
        <v>202</v>
      </c>
      <c r="AK101" s="44" t="str">
        <f>IF(VLOOKUP(AJ101,Расчет!$AH$2:$AN$211,5,FALSE)="8","C",IF(VLOOKUP(AJ101,Расчет!$AH$2:$AN$211,5,FALSE)="G","G","R"))</f>
        <v>R</v>
      </c>
      <c r="AL101" s="74" t="str">
        <f t="shared" si="34"/>
        <v/>
      </c>
      <c r="AM101" s="118" t="str">
        <f>IF(AL101="","",(COUNTIF($AG$2:$AG$105,"C")+COUNTIF($AL$2:$AL101,"C"))-(COUNTIF($AF$2:$AF$105,"C")+COUNTIF($AK$2:$AK101,"C"))+$AH$1)</f>
        <v/>
      </c>
      <c r="AN101" s="119" t="str">
        <f>IF(AL101="","",(COUNTIF($AG$2:$AG$105,"R")+COUNTIF($AL$2:$AL101,"R"))-(COUNTIF($AF$2:$AF$105,"R")+COUNTIF($AK$2:$AK101,"R"))+$AI$1)</f>
        <v/>
      </c>
      <c r="AO101" s="22" t="str">
        <f>IF(E101="","",COUNTA($E$3:E101)+$Z$1)</f>
        <v/>
      </c>
      <c r="AP101" s="88" t="str">
        <f>IF(AO101="","",IF(AO101+Расчет!$Y$57+$BD$2-Расчет!$X$57&gt;200,AO101+Расчет!$Y$57+$BD$2-1000,AO101+Расчет!$Y$57+$BD$2))</f>
        <v/>
      </c>
      <c r="AR101" s="92"/>
      <c r="AS101" s="92"/>
      <c r="BL101" s="172">
        <f>COUNTIF($BM$5:BM101,"&lt;-115")</f>
        <v>0</v>
      </c>
      <c r="BM101" s="154" t="str">
        <f>IFERROR(IF(OR(IFERROR(VLOOKUP(BN101,$E$3:$E$105,1,FALSE),"0")=BN101,IFERROR(VLOOKUP(BN101,$R$3:$R$105,1,FALSE),"0")=BN101),BO101,IF(OR(VLOOKUP(BN101,Расчет!A:E,5,FALSE)="2PS",VLOOKUP(BN101,Расчет!A:E,5,FALSE)="2QL"),IF(VLOOKUP(BN101,Расчет!A:B,2,FALSE)="831W",BN101-$BS$7+$AD$17,BN101-$BS$7+$AD$12),BN101-$BS$7)),"-")</f>
        <v>-</v>
      </c>
      <c r="BN101" s="154">
        <f>IF(OR(Расчет!C98="A0",Расчет!C98="P9",Расчет!B98="722W"),"-",Расчет!A98)</f>
        <v>11243</v>
      </c>
      <c r="BO101" s="173">
        <f t="shared" si="45"/>
        <v>0</v>
      </c>
      <c r="BP101" s="172" t="str">
        <f>IF(BQ101="-","-",IFERROR(IF(OR(VLOOKUP(BN101,Расчет!$A$2:$E$582,5,FALSE)="2PS",VLOOKUP(BN101,Расчет!$A$2:$E$582,5,FALSE)="2QL"),IF(OR(VLOOKUP(BN101,Расчет!$A$2:$E$582,2,FALSE)="664W",VLOOKUP(BN101,Расчет!$A$2:$E$582,2,FALSE)="813W"),IF(BN101-$BS$7&gt;150,BN101-$BS$7-1000+$AD$12,BN101-$BS$7+$AD$12),IF(BN101-$BS$7&gt;150,BN101-$BS$7-1000+$AD$17,BN101-$BS$7+$AD$17)),IF(BN101-$BS$7&gt;150,BN101-$BS$7-1000,BN101-$BS$7)),"-"))</f>
        <v>-</v>
      </c>
      <c r="BQ101" s="173">
        <f t="shared" si="42"/>
        <v>11243</v>
      </c>
      <c r="BR101" s="453"/>
      <c r="BS101" s="171"/>
      <c r="BT101" s="464" t="str">
        <f t="shared" si="43"/>
        <v>-</v>
      </c>
      <c r="BU101" s="464" t="str">
        <f t="shared" si="44"/>
        <v>-</v>
      </c>
      <c r="BX101" s="204">
        <f>COUNTIF($BY$4:BY101,"&lt;100")</f>
        <v>0</v>
      </c>
      <c r="BY101" s="213" t="str">
        <f t="shared" si="49"/>
        <v/>
      </c>
      <c r="BZ101" s="216" t="str">
        <f t="shared" si="50"/>
        <v/>
      </c>
      <c r="CA101" s="213" t="e">
        <f t="shared" si="37"/>
        <v>#N/A</v>
      </c>
      <c r="CB101" s="209" t="e">
        <f t="shared" si="38"/>
        <v>#N/A</v>
      </c>
      <c r="CC101" s="205" t="str">
        <f t="shared" si="46"/>
        <v/>
      </c>
      <c r="CD101" s="205" t="str">
        <f t="shared" si="51"/>
        <v>-</v>
      </c>
      <c r="CE101" s="205">
        <f t="shared" si="47"/>
        <v>0</v>
      </c>
      <c r="CG101" s="20" t="str">
        <f t="shared" si="48"/>
        <v/>
      </c>
    </row>
    <row r="102" spans="1:85" ht="23.1" customHeight="1">
      <c r="A102" s="40" t="str">
        <f>IF(AND(IFERROR(VLOOKUP(E102,Расчет!A:J,10,FALSE),"  ")&lt;&gt;"  ",IFERROR(LEFT(VLOOKUP(E102,Расчет!A:J,10,FALSE),1)," ")&lt;&gt;"H"),0,IFERROR(IF(F102="Camry",IF(OR(J102="2PS",J102="2QL"),IF(E102-AP102&gt;100,E102-AP102-1000+$AD$12,E102-AP102+$AD$12),IF(E102-AP102&gt;100,E102-AP102-1000,E102-AP102)),IF(J102="2PS",IF(E102-AP102&gt;100,E102-AP102-1000+$AD$17,E102-AP102+$AD$17),IF(E102-AP102&gt;100,E102-AP102-1000,E102-AP102))),"-"))</f>
        <v>-</v>
      </c>
      <c r="B102" s="46">
        <v>100</v>
      </c>
      <c r="C102" s="19" t="str">
        <f>IF(E102="","",COUNTA($E$3:E102))</f>
        <v/>
      </c>
      <c r="D102" s="18" t="str">
        <f t="shared" si="31"/>
        <v/>
      </c>
      <c r="E102" s="30"/>
      <c r="F102" s="44" t="str">
        <f>IFERROR(IF(VLOOKUP(E102,Расчет!$A$2:$B$650,2,FALSE)="664W","Camry",IF(VLOOKUP(E102,Расчет!$A$2:$B$650,2,FALSE)="813W","Goshi","RAV4")),"")</f>
        <v/>
      </c>
      <c r="G102" s="32" t="str">
        <f>IFERROR(IF(F102="Camry",VLOOKUP(E102,Расчет!$A$2:$Q$650,17,FALSE),VLOOKUP(E102,Расчет!$A$2:$R$650,18,FALSE)),"")</f>
        <v/>
      </c>
      <c r="H102" s="32" t="str">
        <f>IFERROR(VLOOKUP(VLOOKUP(E102,Расчет!$A:$D,4,FALSE),$AT$6:$AV$15,3,FALSE),"")</f>
        <v/>
      </c>
      <c r="I102" s="31" t="str">
        <f>IFERROR(VLOOKUP(IFERROR(VLOOKUP(E102,Расчет!$A$2:$D$650,4,FALSE),0),$AT$3:$AU$15,2,FALSE),"")</f>
        <v/>
      </c>
      <c r="J102" s="33" t="str">
        <f>IFERROR(VLOOKUP(E102,Расчет!$A$2:$E$650,5,FALSE),"")</f>
        <v/>
      </c>
      <c r="K102" s="189"/>
      <c r="L102" s="188">
        <f t="shared" si="40"/>
        <v>0</v>
      </c>
      <c r="M102" s="9"/>
      <c r="N102" s="40" t="str">
        <f>IF(AND(IFERROR(VLOOKUP(R102,Расчет!A:J,10,FALSE),"  ")&lt;&gt;"  ",IFERROR(LEFT(VLOOKUP(R102,Расчет!A:J,10,FALSE),1)," ")&lt;&gt;"H"),0,IFERROR(IF(S102="Camry",IF(OR(W102="2PS",W102="2QL"),IF(R102-AP205&gt;100,R102-AP205-1000+$AD$12,R102-AP205+$AD$12),IF(R102-AP205&gt;100,R102-AP205-1000,R102-AP205)),IF(W102="2PS",IF(R102-AP205&gt;100,R102-AP205-1000+$AD$17,R102-AP205+$AD$17),IF(R102-AP205&gt;100,R102-AP205-1000,R102-AP205))),"-"))</f>
        <v>-</v>
      </c>
      <c r="O102" s="46">
        <v>203</v>
      </c>
      <c r="P102" s="19" t="str">
        <f>IF(R102="","",COUNTA($R$3:R102)+$C$105)</f>
        <v/>
      </c>
      <c r="Q102" s="18" t="str">
        <f t="shared" si="32"/>
        <v/>
      </c>
      <c r="R102" s="30"/>
      <c r="S102" s="45" t="str">
        <f>IFERROR(IF(VLOOKUP(R102,Расчет!$A$2:$B$650,2,FALSE)="664W","Camry",IF(VLOOKUP(R102,Расчет!$A$2:$B$650,2,FALSE)="813W","Goshi","RAV4")),"")</f>
        <v/>
      </c>
      <c r="T102" s="32" t="str">
        <f>IFERROR(IF(S102="Camry",VLOOKUP(R102,Расчет!$A$2:$Q$650,17,FALSE),VLOOKUP(R102,Расчет!$A$2:$R$650,18,FALSE)),"")</f>
        <v/>
      </c>
      <c r="U102" s="32" t="str">
        <f>IFERROR(VLOOKUP(VLOOKUP(R102,Расчет!$A:$D,4,FALSE),$AT$6:$AV$15,3,FALSE),"")</f>
        <v/>
      </c>
      <c r="V102" s="31" t="str">
        <f>IFERROR(VLOOKUP(IFERROR(VLOOKUP(R102,Расчет!$A$2:$D$650,4,FALSE),0),$AT$3:$AU$15,2,FALSE),"")</f>
        <v/>
      </c>
      <c r="W102" s="33" t="str">
        <f>IFERROR(VLOOKUP(R102,Расчет!$A$2:$E$650,5,FALSE),"")</f>
        <v/>
      </c>
      <c r="X102" s="189"/>
      <c r="Y102" s="191">
        <f t="shared" si="41"/>
        <v>0</v>
      </c>
      <c r="Z102" s="193" t="str">
        <f>IFERROR(IF(VLOOKUP(AC102,Расчет!$A$2:$B$236,2,FALSE)="831W","RAV4","Camry"),"-")</f>
        <v>-</v>
      </c>
      <c r="AA102" s="228" t="str">
        <f>IFERROR(VLOOKUP(AC31,Расчет!$A$2:$E$236,5,FALSE),"-")</f>
        <v>-</v>
      </c>
      <c r="AB102" s="429" t="str">
        <f>IFERROR(SMALL($BT$5:$BT$500,8),"")</f>
        <v/>
      </c>
      <c r="AC102" s="156" t="str">
        <f>IF(VLOOKUP2($BP$5:$BQ$500,1,AB102,COUNTIF($AB$95:AB102,AB102),2)=0,"-",VLOOKUP2($BP$5:$BQ$500,1,AB102,COUNTIF($AB$95:AB102,AB102),2))</f>
        <v>-</v>
      </c>
      <c r="AD102" s="430" t="str">
        <f>IFERROR(VLOOKUP(AC102,Расчет!$BS:$BT,2,FALSE),"")</f>
        <v/>
      </c>
      <c r="AE102" s="89">
        <v>100</v>
      </c>
      <c r="AF102" s="44" t="str">
        <f>IF(VLOOKUP(AE102,Расчет!$AH$2:$AN$201,5,FALSE)="8","C",IF(VLOOKUP(AE102,Расчет!$AH$2:$AN$201,5,FALSE)="G","G","R"))</f>
        <v>C</v>
      </c>
      <c r="AG102" s="73" t="str">
        <f t="shared" si="33"/>
        <v/>
      </c>
      <c r="AH102" s="87" t="str">
        <f>IF(AG102="","",COUNTIF($AG$2:AG102,"C")-COUNTIF($AF$2:AF102,"C")+$AH$1)</f>
        <v/>
      </c>
      <c r="AI102" s="87" t="str">
        <f>IF(AG102="","",COUNTIF($AG$2:AG102,"R")-COUNTIF($AF$2:AF102,"R")+$AI$1)</f>
        <v/>
      </c>
      <c r="AJ102" s="89">
        <v>203</v>
      </c>
      <c r="AK102" s="44" t="str">
        <f>IF(VLOOKUP(AJ102,Расчет!$AH$2:$AN$211,5,FALSE)="8","C",IF(VLOOKUP(AJ102,Расчет!$AH$2:$AN$211,5,FALSE)="G","G","R"))</f>
        <v>C</v>
      </c>
      <c r="AL102" s="74" t="str">
        <f t="shared" si="34"/>
        <v/>
      </c>
      <c r="AM102" s="118" t="str">
        <f>IF(AL102="","",(COUNTIF($AG$2:$AG$105,"C")+COUNTIF($AL$2:$AL102,"C"))-(COUNTIF($AF$2:$AF$105,"C")+COUNTIF($AK$2:$AK102,"C"))+$AH$1)</f>
        <v/>
      </c>
      <c r="AN102" s="119" t="str">
        <f>IF(AL102="","",(COUNTIF($AG$2:$AG$105,"R")+COUNTIF($AL$2:$AL102,"R"))-(COUNTIF($AF$2:$AF$105,"R")+COUNTIF($AK$2:$AK102,"R"))+$AI$1)</f>
        <v/>
      </c>
      <c r="AO102" s="22" t="str">
        <f>IF(E102="","",COUNTA($E$3:E102)+$Z$1)</f>
        <v/>
      </c>
      <c r="AP102" s="88" t="str">
        <f>IF(AO102="","",IF(AO102+Расчет!$Y$57+$BD$2-Расчет!$X$57&gt;200,AO102+Расчет!$Y$57+$BD$2-1000,AO102+Расчет!$Y$57+$BD$2))</f>
        <v/>
      </c>
      <c r="AR102" s="92"/>
      <c r="AS102" s="92"/>
      <c r="BL102" s="172">
        <f>COUNTIF($BM$5:BM102,"&lt;-115")</f>
        <v>0</v>
      </c>
      <c r="BM102" s="154" t="str">
        <f>IFERROR(IF(OR(IFERROR(VLOOKUP(BN102,$E$3:$E$105,1,FALSE),"0")=BN102,IFERROR(VLOOKUP(BN102,$R$3:$R$105,1,FALSE),"0")=BN102),BO102,IF(OR(VLOOKUP(BN102,Расчет!A:E,5,FALSE)="2PS",VLOOKUP(BN102,Расчет!A:E,5,FALSE)="2QL"),IF(VLOOKUP(BN102,Расчет!A:B,2,FALSE)="831W",BN102-$BS$7+$AD$17,BN102-$BS$7+$AD$12),BN102-$BS$7)),"-")</f>
        <v>-</v>
      </c>
      <c r="BN102" s="154">
        <f>IF(OR(Расчет!C99="A0",Расчет!C99="P9",Расчет!B99="722W"),"-",Расчет!A99)</f>
        <v>11244</v>
      </c>
      <c r="BO102" s="173">
        <f t="shared" si="45"/>
        <v>0</v>
      </c>
      <c r="BP102" s="172" t="str">
        <f>IF(BQ102="-","-",IFERROR(IF(OR(VLOOKUP(BN102,Расчет!$A$2:$E$582,5,FALSE)="2PS",VLOOKUP(BN102,Расчет!$A$2:$E$582,5,FALSE)="2QL"),IF(OR(VLOOKUP(BN102,Расчет!$A$2:$E$582,2,FALSE)="664W",VLOOKUP(BN102,Расчет!$A$2:$E$582,2,FALSE)="813W"),IF(BN102-$BS$7&gt;150,BN102-$BS$7-1000+$AD$12,BN102-$BS$7+$AD$12),IF(BN102-$BS$7&gt;150,BN102-$BS$7-1000+$AD$17,BN102-$BS$7+$AD$17)),IF(BN102-$BS$7&gt;150,BN102-$BS$7-1000,BN102-$BS$7)),"-"))</f>
        <v>-</v>
      </c>
      <c r="BQ102" s="173">
        <f t="shared" si="42"/>
        <v>11244</v>
      </c>
      <c r="BR102" s="453"/>
      <c r="BS102" s="171"/>
      <c r="BT102" s="464" t="str">
        <f t="shared" si="43"/>
        <v>-</v>
      </c>
      <c r="BU102" s="464" t="str">
        <f t="shared" si="44"/>
        <v>-</v>
      </c>
      <c r="BX102" s="204">
        <f>COUNTIF($BY$4:BY102,"&lt;100")</f>
        <v>0</v>
      </c>
      <c r="BY102" s="213" t="str">
        <f t="shared" si="49"/>
        <v/>
      </c>
      <c r="BZ102" s="216" t="str">
        <f t="shared" si="50"/>
        <v/>
      </c>
      <c r="CA102" s="213" t="e">
        <f t="shared" si="37"/>
        <v>#N/A</v>
      </c>
      <c r="CB102" s="209" t="e">
        <f t="shared" si="38"/>
        <v>#N/A</v>
      </c>
      <c r="CC102" s="205" t="str">
        <f t="shared" si="46"/>
        <v/>
      </c>
      <c r="CD102" s="205" t="str">
        <f t="shared" si="51"/>
        <v>-</v>
      </c>
      <c r="CE102" s="205">
        <f t="shared" ref="CE102:CE106" si="52">IF(OR(AND($G101="Rich",$G100="Rich"),AND($G101="Rich",$G99="Rich"),AND($H101="TWIN-C",$H100="4WD",$H99="TWIN-C"),AND($H101="TWIN-C",$G100="Rich",$H99="TWIN-C"),AND(COUNTIF($CG107:$CG110,"Rich")&gt;1,COUNTIF($CG107:$CG110,"Mech")&gt;1),AND($CG110="Sport",COUNTIF($CG105:$CG110,"Sport")&gt;1))=TRUE(),1,0)</f>
        <v>0</v>
      </c>
      <c r="CG102" s="20" t="str">
        <f t="shared" si="48"/>
        <v/>
      </c>
    </row>
    <row r="103" spans="1:85" ht="23.1" customHeight="1">
      <c r="A103" s="40" t="str">
        <f>IF(AND(IFERROR(VLOOKUP(E103,Расчет!A:J,10,FALSE),"  ")&lt;&gt;"  ",IFERROR(LEFT(VLOOKUP(E103,Расчет!A:J,10,FALSE),1)," ")&lt;&gt;"H"),0,IFERROR(IF(F103="Camry",IF(OR(J103="2PS",J103="2QL"),IF(E103-AP103&gt;100,E103-AP103-1000+$AD$12,E103-AP103+$AD$12),IF(E103-AP103&gt;100,E103-AP103-1000,E103-AP103)),IF(J103="2PS",IF(E103-AP103&gt;100,E103-AP103-1000+$AD$17,E103-AP103+$AD$17),IF(E103-AP103&gt;100,E103-AP103-1000,E103-AP103))),"-"))</f>
        <v>-</v>
      </c>
      <c r="B103" s="46">
        <v>101</v>
      </c>
      <c r="C103" s="19" t="str">
        <f>IF(E103="","",COUNTA($E$3:E103))</f>
        <v/>
      </c>
      <c r="D103" s="18" t="str">
        <f t="shared" si="31"/>
        <v/>
      </c>
      <c r="E103" s="30"/>
      <c r="F103" s="44" t="str">
        <f>IFERROR(IF(VLOOKUP(E103,Расчет!$A$2:$B$650,2,FALSE)="664W","Camry",IF(VLOOKUP(E103,Расчет!$A$2:$B$650,2,FALSE)="813W","Goshi","RAV4")),"")</f>
        <v/>
      </c>
      <c r="G103" s="32" t="str">
        <f>IFERROR(IF(F103="Camry",VLOOKUP(E103,Расчет!$A$2:$Q$650,17,FALSE),VLOOKUP(E103,Расчет!$A$2:$R$650,18,FALSE)),"")</f>
        <v/>
      </c>
      <c r="H103" s="32" t="str">
        <f>IFERROR(VLOOKUP(VLOOKUP(E103,Расчет!$A:$D,4,FALSE),$AT$6:$AV$15,3,FALSE),"")</f>
        <v/>
      </c>
      <c r="I103" s="31" t="str">
        <f>IFERROR(VLOOKUP(IFERROR(VLOOKUP(E103,Расчет!$A$2:$D$650,4,FALSE),0),$AT$3:$AU$15,2,FALSE),"")</f>
        <v/>
      </c>
      <c r="J103" s="33" t="str">
        <f>IFERROR(VLOOKUP(E103,Расчет!$A$2:$E$650,5,FALSE),"")</f>
        <v/>
      </c>
      <c r="K103" s="189"/>
      <c r="L103" s="188">
        <f t="shared" si="40"/>
        <v>0</v>
      </c>
      <c r="M103" s="9"/>
      <c r="N103" s="40" t="str">
        <f>IF(AND(IFERROR(VLOOKUP(R103,Расчет!A:J,10,FALSE),"  ")&lt;&gt;"  ",IFERROR(LEFT(VLOOKUP(R103,Расчет!A:J,10,FALSE),1)," ")&lt;&gt;"H"),0,IFERROR(IF(S103="Camry",IF(OR(W103="2PS",W103="2QL"),IF(R103-AP206&gt;100,R103-AP206-1000+$AD$12,R103-AP206+$AD$12),IF(R103-AP206&gt;100,R103-AP206-1000,R103-AP206)),IF(W103="2PS",IF(R103-AP206&gt;100,R103-AP206-1000+$AD$17,R103-AP206+$AD$17),IF(R103-AP206&gt;100,R103-AP206-1000,R103-AP206))),"-"))</f>
        <v>-</v>
      </c>
      <c r="O103" s="46">
        <v>204</v>
      </c>
      <c r="P103" s="19" t="str">
        <f>IF(R103="","",COUNTA($R$3:R103)+$C$105)</f>
        <v/>
      </c>
      <c r="Q103" s="18" t="str">
        <f t="shared" si="32"/>
        <v/>
      </c>
      <c r="R103" s="30"/>
      <c r="S103" s="45" t="str">
        <f>IFERROR(IF(VLOOKUP(R103,Расчет!$A$2:$B$650,2,FALSE)="664W","Camry",IF(VLOOKUP(R103,Расчет!$A$2:$B$650,2,FALSE)="813W","Goshi","RAV4")),"")</f>
        <v/>
      </c>
      <c r="T103" s="32" t="str">
        <f>IFERROR(IF(S103="Camry",VLOOKUP(R103,Расчет!$A$2:$Q$650,17,FALSE),VLOOKUP(R103,Расчет!$A$2:$R$650,18,FALSE)),"")</f>
        <v/>
      </c>
      <c r="U103" s="32" t="str">
        <f>IFERROR(VLOOKUP(VLOOKUP(R103,Расчет!$A:$D,4,FALSE),$AT$6:$AV$15,3,FALSE),"")</f>
        <v/>
      </c>
      <c r="V103" s="31" t="str">
        <f>IFERROR(VLOOKUP(IFERROR(VLOOKUP(R103,Расчет!$A$2:$D$650,4,FALSE),0),$AT$3:$AU$15,2,FALSE),"")</f>
        <v/>
      </c>
      <c r="W103" s="33" t="str">
        <f>IFERROR(VLOOKUP(R103,Расчет!$A$2:$E$650,5,FALSE),"")</f>
        <v/>
      </c>
      <c r="X103" s="189"/>
      <c r="Y103" s="191">
        <f t="shared" si="41"/>
        <v>0</v>
      </c>
      <c r="Z103" s="193" t="str">
        <f>IFERROR(IF(VLOOKUP(AC103,Расчет!$A$2:$B$236,2,FALSE)="831W","RAV4","Camry"),"-")</f>
        <v>-</v>
      </c>
      <c r="AA103" s="228" t="str">
        <f>IFERROR(VLOOKUP(AC32,Расчет!$A$2:$E$236,5,FALSE),"-")</f>
        <v>-</v>
      </c>
      <c r="AB103" s="429" t="str">
        <f>IFERROR(SMALL($BT$5:$BT$500,9),"")</f>
        <v/>
      </c>
      <c r="AC103" s="156" t="str">
        <f>IF(VLOOKUP2($BP$5:$BQ$500,1,AB103,COUNTIF($AB$95:AB103,AB103),2)=0,"-",VLOOKUP2($BP$5:$BQ$500,1,AB103,COUNTIF($AB$95:AB103,AB103),2))</f>
        <v>-</v>
      </c>
      <c r="AD103" s="430" t="str">
        <f>IFERROR(VLOOKUP(AC103,Расчет!$BS:$BT,2,FALSE),"")</f>
        <v/>
      </c>
      <c r="AE103" s="89">
        <v>101</v>
      </c>
      <c r="AF103" s="44" t="str">
        <f>IF(VLOOKUP(AE103,Расчет!$AH$2:$AN$201,5,FALSE)="8","C",IF(VLOOKUP(AE103,Расчет!$AH$2:$AN$201,5,FALSE)="G","G","R"))</f>
        <v>R</v>
      </c>
      <c r="AG103" s="73" t="str">
        <f t="shared" si="33"/>
        <v/>
      </c>
      <c r="AH103" s="87" t="str">
        <f>IF(AG103="","",COUNTIF($AG$2:AG103,"C")-COUNTIF($AF$2:AF103,"C")+$AH$1)</f>
        <v/>
      </c>
      <c r="AI103" s="87" t="str">
        <f>IF(AG103="","",COUNTIF($AG$2:AG103,"R")-COUNTIF($AF$2:AF103,"R")+$AI$1)</f>
        <v/>
      </c>
      <c r="AJ103" s="89">
        <v>204</v>
      </c>
      <c r="AK103" s="44" t="str">
        <f>IF(VLOOKUP(AJ103,Расчет!$AH$2:$AN$211,5,FALSE)="8","C",IF(VLOOKUP(AJ103,Расчет!$AH$2:$AN$211,5,FALSE)="G","G","R"))</f>
        <v>R</v>
      </c>
      <c r="AL103" s="74" t="str">
        <f t="shared" si="34"/>
        <v/>
      </c>
      <c r="AM103" s="118" t="str">
        <f>IF(AL103="","",(COUNTIF($AG$2:$AG$105,"C")+COUNTIF($AL$2:$AL103,"C"))-(COUNTIF($AF$2:$AF$105,"C")+COUNTIF($AK$2:$AK103,"C"))+$AH$1)</f>
        <v/>
      </c>
      <c r="AN103" s="119" t="str">
        <f>IF(AL103="","",(COUNTIF($AG$2:$AG$105,"R")+COUNTIF($AL$2:$AL103,"R"))-(COUNTIF($AF$2:$AF$105,"R")+COUNTIF($AK$2:$AK103,"R"))+$AI$1)</f>
        <v/>
      </c>
      <c r="AO103" s="22" t="str">
        <f>IF(E103="","",COUNTA($E$3:E103)+$Z$1)</f>
        <v/>
      </c>
      <c r="AP103" s="88" t="str">
        <f>IF(AO103="","",IF(AO103+Расчет!$Y$57+$BD$2-Расчет!$X$57&gt;200,AO103+Расчет!$Y$57+$BD$2-1000,AO103+Расчет!$Y$57+$BD$2))</f>
        <v/>
      </c>
      <c r="AR103" s="92"/>
      <c r="AS103" s="92"/>
      <c r="BL103" s="172">
        <f>COUNTIF($BM$5:BM103,"&lt;-115")</f>
        <v>0</v>
      </c>
      <c r="BM103" s="154" t="str">
        <f>IFERROR(IF(OR(IFERROR(VLOOKUP(BN103,$E$3:$E$105,1,FALSE),"0")=BN103,IFERROR(VLOOKUP(BN103,$R$3:$R$105,1,FALSE),"0")=BN103),BO103,IF(OR(VLOOKUP(BN103,Расчет!A:E,5,FALSE)="2PS",VLOOKUP(BN103,Расчет!A:E,5,FALSE)="2QL"),IF(VLOOKUP(BN103,Расчет!A:B,2,FALSE)="831W",BN103-$BS$7+$AD$17,BN103-$BS$7+$AD$12),BN103-$BS$7)),"-")</f>
        <v>-</v>
      </c>
      <c r="BN103" s="154">
        <f>IF(OR(Расчет!C100="A0",Расчет!C100="P9",Расчет!B100="722W"),"-",Расчет!A100)</f>
        <v>11245</v>
      </c>
      <c r="BO103" s="173">
        <f t="shared" si="45"/>
        <v>0</v>
      </c>
      <c r="BP103" s="172" t="str">
        <f>IF(BQ103="-","-",IFERROR(IF(OR(VLOOKUP(BN103,Расчет!$A$2:$E$582,5,FALSE)="2PS",VLOOKUP(BN103,Расчет!$A$2:$E$582,5,FALSE)="2QL"),IF(OR(VLOOKUP(BN103,Расчет!$A$2:$E$582,2,FALSE)="664W",VLOOKUP(BN103,Расчет!$A$2:$E$582,2,FALSE)="813W"),IF(BN103-$BS$7&gt;150,BN103-$BS$7-1000+$AD$12,BN103-$BS$7+$AD$12),IF(BN103-$BS$7&gt;150,BN103-$BS$7-1000+$AD$17,BN103-$BS$7+$AD$17)),IF(BN103-$BS$7&gt;150,BN103-$BS$7-1000,BN103-$BS$7)),"-"))</f>
        <v>-</v>
      </c>
      <c r="BQ103" s="173">
        <f t="shared" si="42"/>
        <v>11245</v>
      </c>
      <c r="BR103" s="453"/>
      <c r="BS103" s="171"/>
      <c r="BT103" s="464" t="str">
        <f t="shared" si="43"/>
        <v>-</v>
      </c>
      <c r="BU103" s="464" t="str">
        <f t="shared" si="44"/>
        <v>-</v>
      </c>
      <c r="BX103" s="204">
        <f>COUNTIF($BY$4:BY103,"&lt;100")</f>
        <v>0</v>
      </c>
      <c r="BY103" s="213" t="str">
        <f t="shared" si="49"/>
        <v/>
      </c>
      <c r="BZ103" s="216" t="str">
        <f t="shared" si="50"/>
        <v/>
      </c>
      <c r="CA103" s="213" t="e">
        <f t="shared" si="37"/>
        <v>#N/A</v>
      </c>
      <c r="CB103" s="209" t="e">
        <f t="shared" si="38"/>
        <v>#N/A</v>
      </c>
      <c r="CC103" s="205" t="str">
        <f t="shared" si="46"/>
        <v/>
      </c>
      <c r="CD103" s="205" t="str">
        <f t="shared" si="51"/>
        <v>-</v>
      </c>
      <c r="CE103" s="205">
        <f t="shared" si="52"/>
        <v>0</v>
      </c>
      <c r="CG103" s="20" t="str">
        <f t="shared" si="48"/>
        <v/>
      </c>
    </row>
    <row r="104" spans="1:85" ht="23.1" customHeight="1">
      <c r="A104" s="40" t="str">
        <f>IF(AND(IFERROR(VLOOKUP(E104,Расчет!A:J,10,FALSE),"  ")&lt;&gt;"  ",IFERROR(LEFT(VLOOKUP(E104,Расчет!A:J,10,FALSE),1)," ")&lt;&gt;"H"),0,IFERROR(IF(F104="Camry",IF(OR(J104="2PS",J104="2QL"),IF(E104-AP104&gt;100,E104-AP104-1000+$AD$12,E104-AP104+$AD$12),IF(E104-AP104&gt;100,E104-AP104-1000,E104-AP104)),IF(J104="2PS",IF(E104-AP104&gt;100,E104-AP104-1000+$AD$17,E104-AP104+$AD$17),IF(E104-AP104&gt;100,E104-AP104-1000,E104-AP104))),"-"))</f>
        <v>-</v>
      </c>
      <c r="B104" s="46">
        <v>102</v>
      </c>
      <c r="C104" s="19" t="str">
        <f>IF(E104="","",COUNTA($E$3:E104))</f>
        <v/>
      </c>
      <c r="D104" s="18" t="str">
        <f t="shared" si="31"/>
        <v/>
      </c>
      <c r="E104" s="30"/>
      <c r="F104" s="44" t="str">
        <f>IFERROR(IF(VLOOKUP(E104,Расчет!$A$2:$B$650,2,FALSE)="664W","Camry",IF(VLOOKUP(E104,Расчет!$A$2:$B$650,2,FALSE)="813W","Goshi","RAV4")),"")</f>
        <v/>
      </c>
      <c r="G104" s="32" t="str">
        <f>IFERROR(IF(F104="Camry",VLOOKUP(E104,Расчет!$A$2:$Q$650,17,FALSE),VLOOKUP(E104,Расчет!$A$2:$R$650,18,FALSE)),"")</f>
        <v/>
      </c>
      <c r="H104" s="32" t="str">
        <f>IFERROR(VLOOKUP(VLOOKUP(E104,Расчет!$A:$D,4,FALSE),$AT$6:$AV$15,3,FALSE),"")</f>
        <v/>
      </c>
      <c r="I104" s="31" t="str">
        <f>IFERROR(VLOOKUP(IFERROR(VLOOKUP(E104,Расчет!$A$2:$D$650,4,FALSE),0),$AT$3:$AU$15,2,FALSE),"")</f>
        <v/>
      </c>
      <c r="J104" s="33" t="str">
        <f>IFERROR(VLOOKUP(E104,Расчет!$A$2:$E$650,5,FALSE),"")</f>
        <v/>
      </c>
      <c r="K104" s="189"/>
      <c r="L104" s="188">
        <f t="shared" si="40"/>
        <v>0</v>
      </c>
      <c r="M104" s="9"/>
      <c r="N104" s="40" t="str">
        <f>IF(AND(IFERROR(VLOOKUP(R104,Расчет!A:J,10,FALSE),"  ")&lt;&gt;"  ",IFERROR(LEFT(VLOOKUP(R104,Расчет!A:J,10,FALSE),1)," ")&lt;&gt;"H"),0,IFERROR(IF(S104="Camry",IF(OR(W104="2PS",W104="2QL"),IF(R104-AP207&gt;100,R104-AP207-1000+$AD$12,R104-AP207+$AD$12),IF(R104-AP207&gt;100,R104-AP207-1000,R104-AP207)),IF(W104="2PS",IF(R104-AP207&gt;100,R104-AP207-1000+$AD$17,R104-AP207+$AD$17),IF(R104-AP207&gt;100,R104-AP207-1000,R104-AP207))),"-"))</f>
        <v>-</v>
      </c>
      <c r="O104" s="46">
        <v>205</v>
      </c>
      <c r="P104" s="19" t="str">
        <f>IF(R104="","",COUNTA($R$3:R104)+$C$105)</f>
        <v/>
      </c>
      <c r="Q104" s="18" t="str">
        <f t="shared" si="32"/>
        <v/>
      </c>
      <c r="R104" s="30"/>
      <c r="S104" s="45" t="str">
        <f>IFERROR(IF(VLOOKUP(R104,Расчет!$A$2:$B$650,2,FALSE)="664W","Camry",IF(VLOOKUP(R104,Расчет!$A$2:$B$650,2,FALSE)="813W","Goshi","RAV4")),"")</f>
        <v/>
      </c>
      <c r="T104" s="32" t="str">
        <f>IFERROR(IF(S104="Camry",VLOOKUP(R104,Расчет!$A$2:$Q$650,17,FALSE),VLOOKUP(R104,Расчет!$A$2:$R$650,18,FALSE)),"")</f>
        <v/>
      </c>
      <c r="U104" s="32" t="str">
        <f>IFERROR(VLOOKUP(VLOOKUP(R104,Расчет!$A:$D,4,FALSE),$AT$6:$AV$15,3,FALSE),"")</f>
        <v/>
      </c>
      <c r="V104" s="31" t="str">
        <f>IFERROR(VLOOKUP(IFERROR(VLOOKUP(R104,Расчет!$A$2:$D$650,4,FALSE),0),$AT$3:$AU$15,2,FALSE),"")</f>
        <v/>
      </c>
      <c r="W104" s="33" t="str">
        <f>IFERROR(VLOOKUP(R104,Расчет!$A$2:$E$650,5,FALSE),"")</f>
        <v/>
      </c>
      <c r="X104" s="189"/>
      <c r="Y104" s="191">
        <f t="shared" si="41"/>
        <v>0</v>
      </c>
      <c r="Z104" s="193" t="str">
        <f>IFERROR(IF(VLOOKUP(AC104,Расчет!$A$2:$B$236,2,FALSE)="831W","RAV4","Camry"),"-")</f>
        <v>-</v>
      </c>
      <c r="AA104" s="228" t="str">
        <f>IFERROR(VLOOKUP(AC33,Расчет!$A$2:$E$236,5,FALSE),"-")</f>
        <v>-</v>
      </c>
      <c r="AB104" s="429" t="str">
        <f>IFERROR(SMALL($BT$5:$BT$500,10),"")</f>
        <v/>
      </c>
      <c r="AC104" s="156" t="str">
        <f>IF(VLOOKUP2($BP$5:$BQ$500,1,AB104,COUNTIF($AB$95:AB104,AB104),2)=0,"-",VLOOKUP2($BP$5:$BQ$500,1,AB104,COUNTIF($AB$95:AB104,AB104),2))</f>
        <v>-</v>
      </c>
      <c r="AD104" s="430" t="str">
        <f>IFERROR(VLOOKUP(AC104,Расчет!$BS:$BT,2,FALSE),"")</f>
        <v/>
      </c>
      <c r="AE104" s="89">
        <v>102</v>
      </c>
      <c r="AF104" s="44" t="str">
        <f>IF(VLOOKUP(AE104,Расчет!$AH$2:$AN$201,5,FALSE)="8","C",IF(VLOOKUP(AE104,Расчет!$AH$2:$AN$201,5,FALSE)="G","G","R"))</f>
        <v>C</v>
      </c>
      <c r="AG104" s="73" t="str">
        <f t="shared" si="33"/>
        <v/>
      </c>
      <c r="AH104" s="87" t="str">
        <f>IF(AG104="","",COUNTIF($AG$2:AG104,"C")-COUNTIF($AF$2:AF104,"C")+$AH$1)</f>
        <v/>
      </c>
      <c r="AI104" s="87" t="str">
        <f>IF(AG104="","",COUNTIF($AG$2:AG104,"R")-COUNTIF($AF$2:AF104,"R")+$AI$1)</f>
        <v/>
      </c>
      <c r="AJ104" s="89">
        <v>205</v>
      </c>
      <c r="AK104" s="44" t="str">
        <f>IF(VLOOKUP(AJ104,Расчет!$AH$2:$AN$211,5,FALSE)="8","C",IF(VLOOKUP(AJ104,Расчет!$AH$2:$AN$211,5,FALSE)="G","G","R"))</f>
        <v>C</v>
      </c>
      <c r="AL104" s="74" t="str">
        <f t="shared" si="34"/>
        <v/>
      </c>
      <c r="AM104" s="118" t="str">
        <f>IF(AL104="","",(COUNTIF($AG$2:$AG$105,"C")+COUNTIF($AL$2:$AL104,"C"))-(COUNTIF($AF$2:$AF$105,"C")+COUNTIF($AK$2:$AK104,"C"))+$AH$1)</f>
        <v/>
      </c>
      <c r="AN104" s="119" t="str">
        <f>IF(AL104="","",(COUNTIF($AG$2:$AG$105,"R")+COUNTIF($AL$2:$AL104,"R"))-(COUNTIF($AF$2:$AF$105,"R")+COUNTIF($AK$2:$AK104,"R"))+$AI$1)</f>
        <v/>
      </c>
      <c r="AO104" s="22" t="str">
        <f>IF(E104="","",COUNTA($E$3:E104)+$Z$1)</f>
        <v/>
      </c>
      <c r="AP104" s="88" t="str">
        <f>IF(AO104="","",IF(AO104+Расчет!$Y$57+$BD$2-Расчет!$X$57&gt;200,AO104+Расчет!$Y$57+$BD$2-1000,AO104+Расчет!$Y$57+$BD$2))</f>
        <v/>
      </c>
      <c r="AR104" s="92"/>
      <c r="AS104" s="92"/>
      <c r="BL104" s="172">
        <f>COUNTIF($BM$5:BM104,"&lt;-115")</f>
        <v>0</v>
      </c>
      <c r="BM104" s="154" t="str">
        <f>IFERROR(IF(OR(IFERROR(VLOOKUP(BN104,$E$3:$E$105,1,FALSE),"0")=BN104,IFERROR(VLOOKUP(BN104,$R$3:$R$105,1,FALSE),"0")=BN104),BO104,IF(OR(VLOOKUP(BN104,Расчет!A:E,5,FALSE)="2PS",VLOOKUP(BN104,Расчет!A:E,5,FALSE)="2QL"),IF(VLOOKUP(BN104,Расчет!A:B,2,FALSE)="831W",BN104-$BS$7+$AD$17,BN104-$BS$7+$AD$12),BN104-$BS$7)),"-")</f>
        <v>-</v>
      </c>
      <c r="BN104" s="154">
        <f>IF(OR(Расчет!C101="A0",Расчет!C101="P9",Расчет!B101="722W"),"-",Расчет!A101)</f>
        <v>11246</v>
      </c>
      <c r="BO104" s="173">
        <f t="shared" si="45"/>
        <v>0</v>
      </c>
      <c r="BP104" s="172" t="str">
        <f>IF(BQ104="-","-",IFERROR(IF(OR(VLOOKUP(BN104,Расчет!$A$2:$E$582,5,FALSE)="2PS",VLOOKUP(BN104,Расчет!$A$2:$E$582,5,FALSE)="2QL"),IF(OR(VLOOKUP(BN104,Расчет!$A$2:$E$582,2,FALSE)="664W",VLOOKUP(BN104,Расчет!$A$2:$E$582,2,FALSE)="813W"),IF(BN104-$BS$7&gt;150,BN104-$BS$7-1000+$AD$12,BN104-$BS$7+$AD$12),IF(BN104-$BS$7&gt;150,BN104-$BS$7-1000+$AD$17,BN104-$BS$7+$AD$17)),IF(BN104-$BS$7&gt;150,BN104-$BS$7-1000,BN104-$BS$7)),"-"))</f>
        <v>-</v>
      </c>
      <c r="BQ104" s="173">
        <f t="shared" si="42"/>
        <v>11246</v>
      </c>
      <c r="BR104" s="453"/>
      <c r="BS104" s="171"/>
      <c r="BT104" s="464" t="str">
        <f t="shared" si="43"/>
        <v>-</v>
      </c>
      <c r="BU104" s="464" t="str">
        <f t="shared" si="44"/>
        <v>-</v>
      </c>
      <c r="BX104" s="204">
        <f>COUNTIF($BY$4:BY104,"&lt;100")</f>
        <v>0</v>
      </c>
      <c r="BY104" s="213" t="str">
        <f t="shared" si="49"/>
        <v/>
      </c>
      <c r="BZ104" s="216" t="str">
        <f t="shared" si="50"/>
        <v/>
      </c>
      <c r="CA104" s="213" t="e">
        <f t="shared" si="37"/>
        <v>#N/A</v>
      </c>
      <c r="CB104" s="209" t="e">
        <f t="shared" si="38"/>
        <v>#N/A</v>
      </c>
      <c r="CC104" s="205" t="str">
        <f t="shared" si="46"/>
        <v/>
      </c>
      <c r="CD104" s="205" t="str">
        <f t="shared" si="51"/>
        <v>-</v>
      </c>
      <c r="CE104" s="205">
        <f t="shared" si="52"/>
        <v>0</v>
      </c>
      <c r="CG104" s="20" t="str">
        <f t="shared" si="48"/>
        <v/>
      </c>
    </row>
    <row r="105" spans="1:85" ht="23.1" customHeight="1" thickBot="1">
      <c r="A105" s="40" t="str">
        <f>IF(AND(IFERROR(VLOOKUP(E105,Расчет!A:J,10,FALSE),"  ")&lt;&gt;"  ",IFERROR(LEFT(VLOOKUP(E105,Расчет!A:J,10,FALSE),1)," ")&lt;&gt;"H"),0,IFERROR(IF(F105="Camry",IF(OR(J105="2PS",J105="2QL"),IF(E105-AP105&gt;100,E105-AP105-1000+$AD$12,E105-AP105+$AD$12),IF(E105-AP105&gt;100,E105-AP105-1000,E105-AP105)),IF(J105="2PS",IF(E105-AP105&gt;100,E105-AP105-1000+$AD$17,E105-AP105+$AD$17),IF(E105-AP105&gt;100,E105-AP105-1000,E105-AP105))),"-"))</f>
        <v>-</v>
      </c>
      <c r="B105" s="46">
        <v>103</v>
      </c>
      <c r="C105" s="19" t="str">
        <f>IF(E105="","",COUNTA($E$3:E105))</f>
        <v/>
      </c>
      <c r="D105" s="18" t="str">
        <f t="shared" si="31"/>
        <v/>
      </c>
      <c r="E105" s="30"/>
      <c r="F105" s="44" t="str">
        <f>IFERROR(IF(VLOOKUP(E105,Расчет!$A$2:$B$650,2,FALSE)="664W","Camry",IF(VLOOKUP(E105,Расчет!$A$2:$B$650,2,FALSE)="813W","Goshi","RAV4")),"")</f>
        <v/>
      </c>
      <c r="G105" s="32" t="str">
        <f>IFERROR(IF(F105="Camry",VLOOKUP(E105,Расчет!$A$2:$Q$650,17,FALSE),VLOOKUP(E105,Расчет!$A$2:$R$650,18,FALSE)),"")</f>
        <v/>
      </c>
      <c r="H105" s="32" t="str">
        <f>IFERROR(VLOOKUP(VLOOKUP(E105,Расчет!$A:$D,4,FALSE),$AT$6:$AV$15,3,FALSE),"")</f>
        <v/>
      </c>
      <c r="I105" s="31" t="str">
        <f>IFERROR(VLOOKUP(IFERROR(VLOOKUP(E105,Расчет!$A$2:$D$650,4,FALSE),0),$AT$3:$AU$15,2,FALSE),"")</f>
        <v/>
      </c>
      <c r="J105" s="346" t="str">
        <f>IFERROR(VLOOKUP(E105,Расчет!$A$2:$E$650,5,FALSE),"")</f>
        <v/>
      </c>
      <c r="K105" s="189"/>
      <c r="L105" s="192">
        <f t="shared" si="40"/>
        <v>0</v>
      </c>
      <c r="M105" s="9"/>
      <c r="N105" s="40" t="str">
        <f>IF(AND(IFERROR(VLOOKUP(R105,Расчет!A:J,10,FALSE),"  ")&lt;&gt;"  ",IFERROR(LEFT(VLOOKUP(R105,Расчет!A:J,10,FALSE),1)," ")&lt;&gt;"H"),0,IFERROR(IF(S105="Camry",IF(OR(W105="2PS",W105="2QL"),IF(R105-AP208&gt;100,R105-AP208-1000+$AD$12,R105-AP208+$AD$12),IF(R105-AP208&gt;100,R105-AP208-1000,R105-AP208)),IF(W105="2PS",IF(R105-AP208&gt;100,R105-AP208-1000+$AD$17,R105-AP208+$AD$17),IF(R105-AP208&gt;100,R105-AP208-1000,R105-AP208))),"-"))</f>
        <v>-</v>
      </c>
      <c r="O105" s="46">
        <v>206</v>
      </c>
      <c r="P105" s="19" t="str">
        <f>IF(R105="","",COUNTA($R$3:R105)+$C$105)</f>
        <v/>
      </c>
      <c r="Q105" s="18" t="str">
        <f t="shared" si="32"/>
        <v/>
      </c>
      <c r="R105" s="30"/>
      <c r="S105" s="45" t="str">
        <f>IFERROR(IF(VLOOKUP(R105,Расчет!$A$2:$B$650,2,FALSE)="664W","Camry",IF(VLOOKUP(R105,Расчет!$A$2:$B$650,2,FALSE)="813W","Goshi","RAV4")),"")</f>
        <v/>
      </c>
      <c r="T105" s="32" t="str">
        <f>IFERROR(IF(S105="Camry",VLOOKUP(R105,Расчет!$A$2:$Q$650,17,FALSE),VLOOKUP(R105,Расчет!$A$2:$R$650,18,FALSE)),"")</f>
        <v/>
      </c>
      <c r="U105" s="32" t="str">
        <f>IFERROR(VLOOKUP(VLOOKUP(R105,Расчет!$A:$D,4,FALSE),$AT$6:$AV$15,3,FALSE),"")</f>
        <v/>
      </c>
      <c r="V105" s="31" t="str">
        <f>IFERROR(VLOOKUP(IFERROR(VLOOKUP(R105,Расчет!$A$2:$D$650,4,FALSE),0),$AT$3:$AU$15,2,FALSE),"")</f>
        <v/>
      </c>
      <c r="W105" s="33" t="str">
        <f>IFERROR(VLOOKUP(R105,Расчет!$A$2:$E$650,5,FALSE),"")</f>
        <v/>
      </c>
      <c r="X105" s="189"/>
      <c r="Y105" s="191">
        <f t="shared" si="41"/>
        <v>0</v>
      </c>
      <c r="Z105" s="431" t="str">
        <f>IFERROR(IF(VLOOKUP(AC105,Расчет!$A$2:$B$236,2,FALSE)="831W","RAV4","Camry"),"-")</f>
        <v>-</v>
      </c>
      <c r="AA105" s="426" t="str">
        <f>IFERROR(VLOOKUP(AC34,Расчет!$A$2:$E$236,5,FALSE),"-")</f>
        <v>-</v>
      </c>
      <c r="AB105" s="432" t="str">
        <f>IFERROR(SMALL($BT$5:$BT$500,11),"")</f>
        <v/>
      </c>
      <c r="AC105" s="157" t="str">
        <f>IF(VLOOKUP2($BP$5:$BQ$500,1,AB105,COUNTIF($AB$95:AB105,AB105),2)=0,"-",VLOOKUP2($BP$5:$BQ$500,1,AB105,COUNTIF($AB$95:AB105,AB105),2))</f>
        <v>-</v>
      </c>
      <c r="AD105" s="433" t="str">
        <f>IFERROR(VLOOKUP(AC105,Расчет!$BS:$BT,2,FALSE),"")</f>
        <v/>
      </c>
      <c r="AE105" s="89">
        <v>103</v>
      </c>
      <c r="AF105" s="44" t="str">
        <f>IF(VLOOKUP(AE105,Расчет!$AH$2:$AN$201,5,FALSE)="8","C",IF(VLOOKUP(AE105,Расчет!$AH$2:$AN$201,5,FALSE)="G","G","R"))</f>
        <v>R</v>
      </c>
      <c r="AG105" s="73" t="str">
        <f t="shared" si="33"/>
        <v/>
      </c>
      <c r="AH105" s="87" t="str">
        <f>IF(AG105="","",COUNTIF($AG$2:AG105,"C")-COUNTIF($AF$2:AF105,"C")+$AH$1)</f>
        <v/>
      </c>
      <c r="AI105" s="87" t="str">
        <f>IF(AG105="","",COUNTIF($AG$2:AG105,"R")-COUNTIF($AF$2:AF105,"R")+$AI$1)</f>
        <v/>
      </c>
      <c r="AJ105" s="89">
        <v>206</v>
      </c>
      <c r="AK105" s="44" t="str">
        <f>IF(VLOOKUP(AJ105,Расчет!$AH$2:$AN$211,5,FALSE)="8","C",IF(VLOOKUP(AJ105,Расчет!$AH$2:$AN$211,5,FALSE)="G","G","R"))</f>
        <v>R</v>
      </c>
      <c r="AL105" s="74" t="str">
        <f t="shared" si="34"/>
        <v/>
      </c>
      <c r="AM105" s="118" t="str">
        <f>IF(AL105="","",(COUNTIF($AG$2:$AG$105,"C")+COUNTIF($AL$2:$AL105,"C"))-(COUNTIF($AF$2:$AF$105,"C")+COUNTIF($AK$2:$AK105,"C"))+$AH$1)</f>
        <v/>
      </c>
      <c r="AN105" s="119" t="str">
        <f>IF(AL105="","",(COUNTIF($AG$2:$AG$105,"R")+COUNTIF($AL$2:$AL105,"R"))-(COUNTIF($AF$2:$AF$105,"R")+COUNTIF($AK$2:$AK105,"R"))+$AI$1)</f>
        <v/>
      </c>
      <c r="AO105" s="22" t="str">
        <f>IF(E105="","",COUNTA($E$3:E105)+$Z$1)</f>
        <v/>
      </c>
      <c r="AP105" s="88" t="str">
        <f>IF(AO105="","",IF(AO105+Расчет!$Y$57+$BD$2-Расчет!$X$57&gt;200,AO105+Расчет!$Y$57+$BD$2-1000,AO105+Расчет!$Y$57+$BD$2))</f>
        <v/>
      </c>
      <c r="AR105" s="92"/>
      <c r="AS105" s="92"/>
      <c r="BL105" s="172">
        <f>COUNTIF($BM$5:BM105,"&lt;-115")</f>
        <v>0</v>
      </c>
      <c r="BM105" s="154" t="str">
        <f>IFERROR(IF(OR(IFERROR(VLOOKUP(BN105,$E$3:$E$105,1,FALSE),"0")=BN105,IFERROR(VLOOKUP(BN105,$R$3:$R$105,1,FALSE),"0")=BN105),BO105,IF(OR(VLOOKUP(BN105,Расчет!A:E,5,FALSE)="2PS",VLOOKUP(BN105,Расчет!A:E,5,FALSE)="2QL"),IF(VLOOKUP(BN105,Расчет!A:B,2,FALSE)="831W",BN105-$BS$7+$AD$17,BN105-$BS$7+$AD$12),BN105-$BS$7)),"-")</f>
        <v>-</v>
      </c>
      <c r="BN105" s="154">
        <f>IF(OR(Расчет!C102="A0",Расчет!C102="P9",Расчет!B102="722W"),"-",Расчет!A102)</f>
        <v>11247</v>
      </c>
      <c r="BO105" s="173">
        <f t="shared" si="45"/>
        <v>0</v>
      </c>
      <c r="BP105" s="172" t="str">
        <f>IF(BQ105="-","-",IFERROR(IF(OR(VLOOKUP(BN105,Расчет!$A$2:$E$582,5,FALSE)="2PS",VLOOKUP(BN105,Расчет!$A$2:$E$582,5,FALSE)="2QL"),IF(OR(VLOOKUP(BN105,Расчет!$A$2:$E$582,2,FALSE)="664W",VLOOKUP(BN105,Расчет!$A$2:$E$582,2,FALSE)="813W"),IF(BN105-$BS$7&gt;150,BN105-$BS$7-1000+$AD$12,BN105-$BS$7+$AD$12),IF(BN105-$BS$7&gt;150,BN105-$BS$7-1000+$AD$17,BN105-$BS$7+$AD$17)),IF(BN105-$BS$7&gt;150,BN105-$BS$7-1000,BN105-$BS$7)),"-"))</f>
        <v>-</v>
      </c>
      <c r="BQ105" s="173">
        <f t="shared" si="42"/>
        <v>11247</v>
      </c>
      <c r="BR105" s="453"/>
      <c r="BS105" s="171"/>
      <c r="BT105" s="464" t="str">
        <f t="shared" si="43"/>
        <v>-</v>
      </c>
      <c r="BU105" s="464" t="str">
        <f t="shared" si="44"/>
        <v>-</v>
      </c>
      <c r="BX105" s="204">
        <f>COUNTIF($BY$4:BY105,"&lt;100")</f>
        <v>0</v>
      </c>
      <c r="BY105" s="213" t="str">
        <f t="shared" si="49"/>
        <v/>
      </c>
      <c r="BZ105" s="216" t="str">
        <f t="shared" si="50"/>
        <v/>
      </c>
      <c r="CA105" s="213" t="e">
        <f t="shared" si="37"/>
        <v>#N/A</v>
      </c>
      <c r="CB105" s="209" t="e">
        <f t="shared" si="38"/>
        <v>#N/A</v>
      </c>
      <c r="CC105" s="205" t="str">
        <f t="shared" si="46"/>
        <v/>
      </c>
      <c r="CD105" s="205" t="str">
        <f t="shared" si="51"/>
        <v>-</v>
      </c>
      <c r="CE105" s="205">
        <f t="shared" si="52"/>
        <v>0</v>
      </c>
      <c r="CG105" s="20" t="str">
        <f t="shared" si="48"/>
        <v/>
      </c>
    </row>
    <row r="106" spans="1:85" ht="21.75" thickBot="1">
      <c r="N106" s="8"/>
      <c r="O106" s="8"/>
      <c r="AJ106"/>
      <c r="AK106"/>
      <c r="AL106"/>
      <c r="AM106" s="87"/>
      <c r="AN106" s="87"/>
      <c r="AO106" s="14" t="str">
        <f>IF(R3="","",COUNTA($R$3:R3)+$AO$105)</f>
        <v/>
      </c>
      <c r="AP106" s="88" t="str">
        <f>IF(AO106="","",IF(AO106+Расчет!$Y$57+$BD$2-Расчет!$X$57&gt;200,AO106+Расчет!$Y$57+$BD$2-1000,AO106+Расчет!$Y$57+$BD$2))</f>
        <v/>
      </c>
      <c r="AR106" s="92"/>
      <c r="AS106" s="92"/>
      <c r="BL106" s="172">
        <f>COUNTIF($BM$5:BM106,"&lt;-115")</f>
        <v>0</v>
      </c>
      <c r="BM106" s="154" t="str">
        <f>IFERROR(IF(OR(IFERROR(VLOOKUP(BN106,$E$3:$E$105,1,FALSE),"0")=BN106,IFERROR(VLOOKUP(BN106,$R$3:$R$105,1,FALSE),"0")=BN106),BO106,IF(OR(VLOOKUP(BN106,Расчет!A:E,5,FALSE)="2PS",VLOOKUP(BN106,Расчет!A:E,5,FALSE)="2QL"),IF(VLOOKUP(BN106,Расчет!A:B,2,FALSE)="831W",BN106-$BS$7+$AD$17,BN106-$BS$7+$AD$12),BN106-$BS$7)),"-")</f>
        <v>-</v>
      </c>
      <c r="BN106" s="154">
        <f>IF(OR(Расчет!C103="A0",Расчет!C103="P9",Расчет!B103="722W"),"-",Расчет!A103)</f>
        <v>11248</v>
      </c>
      <c r="BO106" s="173">
        <f t="shared" si="45"/>
        <v>0</v>
      </c>
      <c r="BP106" s="172" t="str">
        <f>IF(BQ106="-","-",IFERROR(IF(OR(VLOOKUP(BN106,Расчет!$A$2:$E$582,5,FALSE)="2PS",VLOOKUP(BN106,Расчет!$A$2:$E$582,5,FALSE)="2QL"),IF(OR(VLOOKUP(BN106,Расчет!$A$2:$E$582,2,FALSE)="664W",VLOOKUP(BN106,Расчет!$A$2:$E$582,2,FALSE)="813W"),IF(BN106-$BS$7&gt;150,BN106-$BS$7-1000+$AD$12,BN106-$BS$7+$AD$12),IF(BN106-$BS$7&gt;150,BN106-$BS$7-1000+$AD$17,BN106-$BS$7+$AD$17)),IF(BN106-$BS$7&gt;150,BN106-$BS$7-1000,BN106-$BS$7)),"-"))</f>
        <v>-</v>
      </c>
      <c r="BQ106" s="173">
        <f t="shared" si="42"/>
        <v>11248</v>
      </c>
      <c r="BR106" s="453"/>
      <c r="BS106" s="171"/>
      <c r="BT106" s="464" t="str">
        <f t="shared" si="43"/>
        <v>-</v>
      </c>
      <c r="BU106" s="464" t="str">
        <f t="shared" si="44"/>
        <v>-</v>
      </c>
      <c r="BX106" s="204">
        <f>COUNTIF($BY$4:BY106,"&lt;100")</f>
        <v>0</v>
      </c>
      <c r="BY106" s="213" t="str">
        <f t="shared" si="49"/>
        <v/>
      </c>
      <c r="BZ106" s="216" t="str">
        <f t="shared" si="50"/>
        <v/>
      </c>
      <c r="CA106" s="213" t="e">
        <f t="shared" si="37"/>
        <v>#N/A</v>
      </c>
      <c r="CB106" s="209" t="e">
        <f t="shared" si="38"/>
        <v>#N/A</v>
      </c>
      <c r="CC106" s="205" t="str">
        <f t="shared" si="46"/>
        <v/>
      </c>
      <c r="CD106" s="205" t="str">
        <f t="shared" si="51"/>
        <v>-</v>
      </c>
      <c r="CE106" s="205">
        <f t="shared" si="52"/>
        <v>0</v>
      </c>
      <c r="CG106" s="20" t="str">
        <f t="shared" si="48"/>
        <v/>
      </c>
    </row>
    <row r="107" spans="1:85" ht="21">
      <c r="N107" s="8"/>
      <c r="O107" s="8"/>
      <c r="AJ107"/>
      <c r="AK107"/>
      <c r="AL107"/>
      <c r="AM107" s="87"/>
      <c r="AN107" s="87"/>
      <c r="AO107" s="14" t="str">
        <f>IF(R4="","",COUNTA($R$3:R4)+$AO$105)</f>
        <v/>
      </c>
      <c r="AP107" s="88" t="str">
        <f>IF(AO107="","",IF(AO107+Расчет!$Y$57+$BD$2-Расчет!$X$57&gt;200,AO107+Расчет!$Y$57+$BD$2-1000,AO107+Расчет!$Y$57+$BD$2))</f>
        <v/>
      </c>
      <c r="AR107" s="92"/>
      <c r="AS107" s="92"/>
      <c r="BL107" s="172">
        <f>COUNTIF($BM$5:BM107,"&lt;-115")</f>
        <v>0</v>
      </c>
      <c r="BM107" s="154" t="str">
        <f>IFERROR(IF(OR(IFERROR(VLOOKUP(BN107,$E$3:$E$105,1,FALSE),"0")=BN107,IFERROR(VLOOKUP(BN107,$R$3:$R$105,1,FALSE),"0")=BN107),BO107,IF(OR(VLOOKUP(BN107,Расчет!A:E,5,FALSE)="2PS",VLOOKUP(BN107,Расчет!A:E,5,FALSE)="2QL"),IF(VLOOKUP(BN107,Расчет!A:B,2,FALSE)="831W",BN107-$BS$7+$AD$17,BN107-$BS$7+$AD$12),BN107-$BS$7)),"-")</f>
        <v>-</v>
      </c>
      <c r="BN107" s="154">
        <f>IF(OR(Расчет!C104="A0",Расчет!C104="P9",Расчет!B104="722W"),"-",Расчет!A104)</f>
        <v>11249</v>
      </c>
      <c r="BO107" s="173">
        <f t="shared" si="45"/>
        <v>0</v>
      </c>
      <c r="BP107" s="172" t="str">
        <f>IF(BQ107="-","-",IFERROR(IF(OR(VLOOKUP(BN107,Расчет!$A$2:$E$582,5,FALSE)="2PS",VLOOKUP(BN107,Расчет!$A$2:$E$582,5,FALSE)="2QL"),IF(OR(VLOOKUP(BN107,Расчет!$A$2:$E$582,2,FALSE)="664W",VLOOKUP(BN107,Расчет!$A$2:$E$582,2,FALSE)="813W"),IF(BN107-$BS$7&gt;150,BN107-$BS$7-1000+$AD$12,BN107-$BS$7+$AD$12),IF(BN107-$BS$7&gt;150,BN107-$BS$7-1000+$AD$17,BN107-$BS$7+$AD$17)),IF(BN107-$BS$7&gt;150,BN107-$BS$7-1000,BN107-$BS$7)),"-"))</f>
        <v>-</v>
      </c>
      <c r="BQ107" s="173">
        <f t="shared" si="42"/>
        <v>11249</v>
      </c>
      <c r="BR107" s="453"/>
      <c r="BS107" s="171"/>
      <c r="BT107" s="464" t="str">
        <f t="shared" si="43"/>
        <v>-</v>
      </c>
      <c r="BU107" s="464" t="str">
        <f t="shared" si="44"/>
        <v>-</v>
      </c>
      <c r="BX107" s="204">
        <f>COUNTIF($BY$4:BY107,"&lt;100")</f>
        <v>0</v>
      </c>
      <c r="BY107" s="213" t="str">
        <f t="shared" ref="BY107:BY138" si="53">AM3</f>
        <v/>
      </c>
      <c r="BZ107" s="216" t="str">
        <f t="shared" ref="BZ107:BZ138" si="54">AN3</f>
        <v/>
      </c>
      <c r="CA107" s="213" t="e">
        <f t="shared" si="37"/>
        <v>#N/A</v>
      </c>
      <c r="CB107" s="209" t="e">
        <f t="shared" si="38"/>
        <v>#N/A</v>
      </c>
      <c r="CC107" s="205" t="str">
        <f t="shared" si="46"/>
        <v/>
      </c>
      <c r="CD107" s="205" t="str">
        <f t="shared" ref="CD107:CD138" si="55">N3</f>
        <v>-</v>
      </c>
      <c r="CE107" s="350">
        <f>IF(OR(AND($T3="Rich",$G105="Rich"),AND($T3="Rich",$G104="Rich"),AND($U3="TWIN-C",$H105="TWIN-C"),AND($U3="TWIN-C",$H105="4WD",$H104="TWIN-C"),AND($U3="TWIN-C",$G105="Rich",$H104="TWIN-C"),AND(COUNTIF($CG112:$CG115,"Rich")&gt;1,COUNTIF($CG112:$CG115,"Mech")&gt;1),AND($CG115="Sport",COUNTIF($CG110:$CG115,"Sport")&gt;1))=TRUE(),1,0)</f>
        <v>0</v>
      </c>
      <c r="CF107" s="351" t="s">
        <v>951</v>
      </c>
      <c r="CG107" s="81" t="str">
        <f t="shared" si="48"/>
        <v/>
      </c>
    </row>
    <row r="108" spans="1:85" ht="21.75" thickBot="1">
      <c r="N108" s="8"/>
      <c r="O108" s="8"/>
      <c r="AJ108"/>
      <c r="AK108"/>
      <c r="AL108"/>
      <c r="AM108" s="87"/>
      <c r="AN108" s="87"/>
      <c r="AO108" s="14" t="str">
        <f>IF(R5="","",COUNTA($R$3:R5)+$AO$105)</f>
        <v/>
      </c>
      <c r="AP108" s="88" t="str">
        <f>IF(AO108="","",IF(AO108+Расчет!$Y$57+$BD$2-Расчет!$X$57&gt;200,AO108+Расчет!$Y$57+$BD$2-1000,AO108+Расчет!$Y$57+$BD$2))</f>
        <v/>
      </c>
      <c r="BL108" s="172">
        <f>COUNTIF($BM$5:BM108,"&lt;-115")</f>
        <v>0</v>
      </c>
      <c r="BM108" s="154" t="str">
        <f>IFERROR(IF(OR(IFERROR(VLOOKUP(BN108,$E$3:$E$105,1,FALSE),"0")=BN108,IFERROR(VLOOKUP(BN108,$R$3:$R$105,1,FALSE),"0")=BN108),BO108,IF(OR(VLOOKUP(BN108,Расчет!A:E,5,FALSE)="2PS",VLOOKUP(BN108,Расчет!A:E,5,FALSE)="2QL"),IF(VLOOKUP(BN108,Расчет!A:B,2,FALSE)="831W",BN108-$BS$7+$AD$17,BN108-$BS$7+$AD$12),BN108-$BS$7)),"-")</f>
        <v>-</v>
      </c>
      <c r="BN108" s="154">
        <f>IF(OR(Расчет!C105="A0",Расчет!C105="P9",Расчет!B105="722W"),"-",Расчет!A105)</f>
        <v>11250</v>
      </c>
      <c r="BO108" s="173">
        <f t="shared" si="45"/>
        <v>0</v>
      </c>
      <c r="BP108" s="172" t="str">
        <f>IF(BQ108="-","-",IFERROR(IF(OR(VLOOKUP(BN108,Расчет!$A$2:$E$582,5,FALSE)="2PS",VLOOKUP(BN108,Расчет!$A$2:$E$582,5,FALSE)="2QL"),IF(OR(VLOOKUP(BN108,Расчет!$A$2:$E$582,2,FALSE)="664W",VLOOKUP(BN108,Расчет!$A$2:$E$582,2,FALSE)="813W"),IF(BN108-$BS$7&gt;150,BN108-$BS$7-1000+$AD$12,BN108-$BS$7+$AD$12),IF(BN108-$BS$7&gt;150,BN108-$BS$7-1000+$AD$17,BN108-$BS$7+$AD$17)),IF(BN108-$BS$7&gt;150,BN108-$BS$7-1000,BN108-$BS$7)),"-"))</f>
        <v>-</v>
      </c>
      <c r="BQ108" s="173">
        <f t="shared" si="42"/>
        <v>11250</v>
      </c>
      <c r="BR108" s="453"/>
      <c r="BS108" s="171"/>
      <c r="BT108" s="464" t="str">
        <f t="shared" si="43"/>
        <v>-</v>
      </c>
      <c r="BU108" s="464" t="str">
        <f t="shared" si="44"/>
        <v>-</v>
      </c>
      <c r="BX108" s="204">
        <f>COUNTIF($BY$4:BY108,"&lt;100")</f>
        <v>0</v>
      </c>
      <c r="BY108" s="213" t="str">
        <f t="shared" si="53"/>
        <v/>
      </c>
      <c r="BZ108" s="216" t="str">
        <f t="shared" si="54"/>
        <v/>
      </c>
      <c r="CA108" s="213" t="e">
        <f t="shared" si="37"/>
        <v>#N/A</v>
      </c>
      <c r="CB108" s="209" t="e">
        <f t="shared" si="38"/>
        <v>#N/A</v>
      </c>
      <c r="CC108" s="205" t="str">
        <f t="shared" si="46"/>
        <v/>
      </c>
      <c r="CD108" s="205" t="str">
        <f t="shared" si="55"/>
        <v>-</v>
      </c>
      <c r="CE108" s="336">
        <f>IF(OR(AND($T4="Rich",$T3="Rich"),AND($T4="Rich",$G105="Rich"),AND($U4="TWIN-C",$U3="TWIN-C"),AND($U4="TWIN-C",$U3="4WD",$H105="TWIN-C"),AND($U4="TWIN-C",$T3="Rich",$H105="TWIN-C"),AND(COUNTIF($CG113:$CG116,"Rich")&gt;1,COUNTIF($CG113:$CG116,"Mech")&gt;1),AND($CG116="Sport",COUNTIF($CG111:$CG116,"Sport")&gt;1))=TRUE(),1,0)</f>
        <v>0</v>
      </c>
      <c r="CF108" s="352" t="s">
        <v>951</v>
      </c>
      <c r="CG108" s="81" t="str">
        <f t="shared" ref="CG108:CG114" si="56">G99</f>
        <v/>
      </c>
    </row>
    <row r="109" spans="1:85" ht="21">
      <c r="N109" s="8"/>
      <c r="O109" s="8"/>
      <c r="AJ109"/>
      <c r="AK109"/>
      <c r="AL109"/>
      <c r="AM109" s="87"/>
      <c r="AN109" s="87"/>
      <c r="AO109" s="14" t="str">
        <f>IF(R6="","",COUNTA($R$3:R6)+$AO$105)</f>
        <v/>
      </c>
      <c r="AP109" s="88" t="str">
        <f>IF(AO109="","",IF(AO109+Расчет!$Y$57+$BD$2-Расчет!$X$57&gt;200,AO109+Расчет!$Y$57+$BD$2-1000,AO109+Расчет!$Y$57+$BD$2))</f>
        <v/>
      </c>
      <c r="BL109" s="172">
        <f>COUNTIF($BM$5:BM109,"&lt;-115")</f>
        <v>0</v>
      </c>
      <c r="BM109" s="154" t="str">
        <f>IFERROR(IF(OR(IFERROR(VLOOKUP(BN109,$E$3:$E$105,1,FALSE),"0")=BN109,IFERROR(VLOOKUP(BN109,$R$3:$R$105,1,FALSE),"0")=BN109),BO109,IF(OR(VLOOKUP(BN109,Расчет!A:E,5,FALSE)="2PS",VLOOKUP(BN109,Расчет!A:E,5,FALSE)="2QL"),IF(VLOOKUP(BN109,Расчет!A:B,2,FALSE)="831W",BN109-$BS$7+$AD$17,BN109-$BS$7+$AD$12),BN109-$BS$7)),"-")</f>
        <v>-</v>
      </c>
      <c r="BN109" s="154">
        <f>IF(OR(Расчет!C106="A0",Расчет!C106="P9",Расчет!B106="722W"),"-",Расчет!A106)</f>
        <v>11251</v>
      </c>
      <c r="BO109" s="173">
        <f t="shared" si="45"/>
        <v>0</v>
      </c>
      <c r="BP109" s="172" t="str">
        <f>IF(BQ109="-","-",IFERROR(IF(OR(VLOOKUP(BN109,Расчет!$A$2:$E$582,5,FALSE)="2PS",VLOOKUP(BN109,Расчет!$A$2:$E$582,5,FALSE)="2QL"),IF(OR(VLOOKUP(BN109,Расчет!$A$2:$E$582,2,FALSE)="664W",VLOOKUP(BN109,Расчет!$A$2:$E$582,2,FALSE)="813W"),IF(BN109-$BS$7&gt;150,BN109-$BS$7-1000+$AD$12,BN109-$BS$7+$AD$12),IF(BN109-$BS$7&gt;150,BN109-$BS$7-1000+$AD$17,BN109-$BS$7+$AD$17)),IF(BN109-$BS$7&gt;150,BN109-$BS$7-1000,BN109-$BS$7)),"-"))</f>
        <v>-</v>
      </c>
      <c r="BQ109" s="173">
        <f t="shared" si="42"/>
        <v>11251</v>
      </c>
      <c r="BR109" s="453"/>
      <c r="BS109" s="171"/>
      <c r="BT109" s="464" t="str">
        <f t="shared" si="43"/>
        <v>-</v>
      </c>
      <c r="BU109" s="464" t="str">
        <f t="shared" si="44"/>
        <v>-</v>
      </c>
      <c r="BX109" s="204">
        <f>COUNTIF($BY$4:BY109,"&lt;100")</f>
        <v>0</v>
      </c>
      <c r="BY109" s="213" t="str">
        <f t="shared" si="53"/>
        <v/>
      </c>
      <c r="BZ109" s="216" t="str">
        <f t="shared" si="54"/>
        <v/>
      </c>
      <c r="CA109" s="213" t="e">
        <f t="shared" si="37"/>
        <v>#N/A</v>
      </c>
      <c r="CB109" s="209" t="e">
        <f t="shared" si="38"/>
        <v>#N/A</v>
      </c>
      <c r="CC109" s="205" t="str">
        <f t="shared" si="46"/>
        <v/>
      </c>
      <c r="CD109" s="205" t="str">
        <f t="shared" si="55"/>
        <v>-</v>
      </c>
      <c r="CE109" s="204">
        <f t="shared" ref="CE109:CE140" si="57">IF(OR(AND($T5="Rich",$T4="Rich"),AND($T5="Rich",$T3="Rich"),AND($U5="TWIN-C",$U4="TWIN-C"),AND($U5="TWIN-C",$U4="4WD",$U3="TWIN-C"),AND($U5="TWIN-C",$T4="Rich",$U3="TWIN-C"),AND(COUNTIF($CG114:$CG117,"Rich")&gt;1,COUNTIF($CG114:$CG117,"Mech")&gt;1),AND($CG117="Sport",COUNTIF($CG112:$CG117,"Sport")&gt;1))=TRUE(),1,0)</f>
        <v>0</v>
      </c>
      <c r="CG109" s="20" t="str">
        <f t="shared" si="56"/>
        <v/>
      </c>
    </row>
    <row r="110" spans="1:85" ht="21">
      <c r="N110" s="8"/>
      <c r="O110" s="8"/>
      <c r="AJ110"/>
      <c r="AK110"/>
      <c r="AL110"/>
      <c r="AM110" s="87"/>
      <c r="AN110" s="87"/>
      <c r="AO110" s="14" t="str">
        <f>IF(R7="","",COUNTA($R$3:R7)+$AO$105)</f>
        <v/>
      </c>
      <c r="AP110" s="88" t="str">
        <f>IF(AO110="","",IF(AO110+Расчет!$Y$57+$BD$2-Расчет!$X$57&gt;200,AO110+Расчет!$Y$57+$BD$2-1000,AO110+Расчет!$Y$57+$BD$2))</f>
        <v/>
      </c>
      <c r="BL110" s="172">
        <f>COUNTIF($BM$5:BM110,"&lt;-115")</f>
        <v>0</v>
      </c>
      <c r="BM110" s="154" t="str">
        <f>IFERROR(IF(OR(IFERROR(VLOOKUP(BN110,$E$3:$E$105,1,FALSE),"0")=BN110,IFERROR(VLOOKUP(BN110,$R$3:$R$105,1,FALSE),"0")=BN110),BO110,IF(OR(VLOOKUP(BN110,Расчет!A:E,5,FALSE)="2PS",VLOOKUP(BN110,Расчет!A:E,5,FALSE)="2QL"),IF(VLOOKUP(BN110,Расчет!A:B,2,FALSE)="831W",BN110-$BS$7+$AD$17,BN110-$BS$7+$AD$12),BN110-$BS$7)),"-")</f>
        <v>-</v>
      </c>
      <c r="BN110" s="154">
        <f>IF(OR(Расчет!C107="A0",Расчет!C107="P9",Расчет!B107="722W"),"-",Расчет!A107)</f>
        <v>11252</v>
      </c>
      <c r="BO110" s="173">
        <f t="shared" si="45"/>
        <v>0</v>
      </c>
      <c r="BP110" s="172" t="str">
        <f>IF(BQ110="-","-",IFERROR(IF(OR(VLOOKUP(BN110,Расчет!$A$2:$E$582,5,FALSE)="2PS",VLOOKUP(BN110,Расчет!$A$2:$E$582,5,FALSE)="2QL"),IF(OR(VLOOKUP(BN110,Расчет!$A$2:$E$582,2,FALSE)="664W",VLOOKUP(BN110,Расчет!$A$2:$E$582,2,FALSE)="813W"),IF(BN110-$BS$7&gt;150,BN110-$BS$7-1000+$AD$12,BN110-$BS$7+$AD$12),IF(BN110-$BS$7&gt;150,BN110-$BS$7-1000+$AD$17,BN110-$BS$7+$AD$17)),IF(BN110-$BS$7&gt;150,BN110-$BS$7-1000,BN110-$BS$7)),"-"))</f>
        <v>-</v>
      </c>
      <c r="BQ110" s="173">
        <f t="shared" si="42"/>
        <v>11252</v>
      </c>
      <c r="BR110" s="453"/>
      <c r="BS110" s="171"/>
      <c r="BT110" s="464" t="str">
        <f t="shared" si="43"/>
        <v>-</v>
      </c>
      <c r="BU110" s="464" t="str">
        <f t="shared" si="44"/>
        <v>-</v>
      </c>
      <c r="BX110" s="204">
        <f>COUNTIF($BY$4:BY110,"&lt;100")</f>
        <v>0</v>
      </c>
      <c r="BY110" s="213" t="str">
        <f t="shared" si="53"/>
        <v/>
      </c>
      <c r="BZ110" s="216" t="str">
        <f t="shared" si="54"/>
        <v/>
      </c>
      <c r="CA110" s="213" t="e">
        <f t="shared" si="37"/>
        <v>#N/A</v>
      </c>
      <c r="CB110" s="209" t="e">
        <f t="shared" si="38"/>
        <v>#N/A</v>
      </c>
      <c r="CC110" s="205" t="str">
        <f t="shared" si="46"/>
        <v/>
      </c>
      <c r="CD110" s="205" t="str">
        <f t="shared" si="55"/>
        <v>-</v>
      </c>
      <c r="CE110" s="204">
        <f t="shared" si="57"/>
        <v>0</v>
      </c>
      <c r="CG110" s="20" t="str">
        <f t="shared" si="56"/>
        <v/>
      </c>
    </row>
    <row r="111" spans="1:85" ht="21">
      <c r="N111" s="8"/>
      <c r="O111" s="8"/>
      <c r="AJ111"/>
      <c r="AK111"/>
      <c r="AL111"/>
      <c r="AM111" s="87"/>
      <c r="AN111" s="87"/>
      <c r="AO111" s="14" t="str">
        <f>IF(R8="","",COUNTA($R$3:R8)+$AO$105)</f>
        <v/>
      </c>
      <c r="AP111" s="88" t="str">
        <f>IF(AO111="","",IF(AO111+Расчет!$Y$57+$BD$2-Расчет!$X$57&gt;200,AO111+Расчет!$Y$57+$BD$2-1000,AO111+Расчет!$Y$57+$BD$2))</f>
        <v/>
      </c>
      <c r="BL111" s="172">
        <f>COUNTIF($BM$5:BM111,"&lt;-115")</f>
        <v>0</v>
      </c>
      <c r="BM111" s="154" t="str">
        <f>IFERROR(IF(OR(IFERROR(VLOOKUP(BN111,$E$3:$E$105,1,FALSE),"0")=BN111,IFERROR(VLOOKUP(BN111,$R$3:$R$105,1,FALSE),"0")=BN111),BO111,IF(OR(VLOOKUP(BN111,Расчет!A:E,5,FALSE)="2PS",VLOOKUP(BN111,Расчет!A:E,5,FALSE)="2QL"),IF(VLOOKUP(BN111,Расчет!A:B,2,FALSE)="831W",BN111-$BS$7+$AD$17,BN111-$BS$7+$AD$12),BN111-$BS$7)),"-")</f>
        <v>-</v>
      </c>
      <c r="BN111" s="154">
        <f>IF(OR(Расчет!C108="A0",Расчет!C108="P9",Расчет!B108="722W"),"-",Расчет!A108)</f>
        <v>11253</v>
      </c>
      <c r="BO111" s="173">
        <f t="shared" si="45"/>
        <v>0</v>
      </c>
      <c r="BP111" s="172" t="str">
        <f>IF(BQ111="-","-",IFERROR(IF(OR(VLOOKUP(BN111,Расчет!$A$2:$E$582,5,FALSE)="2PS",VLOOKUP(BN111,Расчет!$A$2:$E$582,5,FALSE)="2QL"),IF(OR(VLOOKUP(BN111,Расчет!$A$2:$E$582,2,FALSE)="664W",VLOOKUP(BN111,Расчет!$A$2:$E$582,2,FALSE)="813W"),IF(BN111-$BS$7&gt;150,BN111-$BS$7-1000+$AD$12,BN111-$BS$7+$AD$12),IF(BN111-$BS$7&gt;150,BN111-$BS$7-1000+$AD$17,BN111-$BS$7+$AD$17)),IF(BN111-$BS$7&gt;150,BN111-$BS$7-1000,BN111-$BS$7)),"-"))</f>
        <v>-</v>
      </c>
      <c r="BQ111" s="173">
        <f t="shared" si="42"/>
        <v>11253</v>
      </c>
      <c r="BR111" s="453"/>
      <c r="BS111" s="171"/>
      <c r="BT111" s="464" t="str">
        <f t="shared" si="43"/>
        <v>-</v>
      </c>
      <c r="BU111" s="464" t="str">
        <f t="shared" si="44"/>
        <v>-</v>
      </c>
      <c r="BX111" s="204">
        <f>COUNTIF($BY$4:BY111,"&lt;100")</f>
        <v>0</v>
      </c>
      <c r="BY111" s="213" t="str">
        <f t="shared" si="53"/>
        <v/>
      </c>
      <c r="BZ111" s="216" t="str">
        <f t="shared" si="54"/>
        <v/>
      </c>
      <c r="CA111" s="213" t="e">
        <f t="shared" si="37"/>
        <v>#N/A</v>
      </c>
      <c r="CB111" s="209" t="e">
        <f t="shared" si="38"/>
        <v>#N/A</v>
      </c>
      <c r="CC111" s="205" t="str">
        <f t="shared" si="46"/>
        <v/>
      </c>
      <c r="CD111" s="205" t="str">
        <f t="shared" si="55"/>
        <v>-</v>
      </c>
      <c r="CE111" s="204">
        <f t="shared" si="57"/>
        <v>0</v>
      </c>
      <c r="CG111" s="20" t="str">
        <f t="shared" si="56"/>
        <v/>
      </c>
    </row>
    <row r="112" spans="1:85" ht="21">
      <c r="N112" s="8"/>
      <c r="O112" s="8"/>
      <c r="AJ112"/>
      <c r="AK112"/>
      <c r="AL112"/>
      <c r="AM112" s="87"/>
      <c r="AN112" s="87"/>
      <c r="AO112" s="14" t="str">
        <f>IF(R9="","",COUNTA($R$3:R9)+$AO$105)</f>
        <v/>
      </c>
      <c r="AP112" s="88" t="str">
        <f>IF(AO112="","",IF(AO112+Расчет!$Y$57+$BD$2-Расчет!$X$57&gt;200,AO112+Расчет!$Y$57+$BD$2-1000,AO112+Расчет!$Y$57+$BD$2))</f>
        <v/>
      </c>
      <c r="BL112" s="172">
        <f>COUNTIF($BM$5:BM112,"&lt;-115")</f>
        <v>0</v>
      </c>
      <c r="BM112" s="154" t="str">
        <f>IFERROR(IF(OR(IFERROR(VLOOKUP(BN112,$E$3:$E$105,1,FALSE),"0")=BN112,IFERROR(VLOOKUP(BN112,$R$3:$R$105,1,FALSE),"0")=BN112),BO112,IF(OR(VLOOKUP(BN112,Расчет!A:E,5,FALSE)="2PS",VLOOKUP(BN112,Расчет!A:E,5,FALSE)="2QL"),IF(VLOOKUP(BN112,Расчет!A:B,2,FALSE)="831W",BN112-$BS$7+$AD$17,BN112-$BS$7+$AD$12),BN112-$BS$7)),"-")</f>
        <v>-</v>
      </c>
      <c r="BN112" s="154">
        <f>IF(OR(Расчет!C109="A0",Расчет!C109="P9",Расчет!B109="722W"),"-",Расчет!A109)</f>
        <v>11254</v>
      </c>
      <c r="BO112" s="173">
        <f t="shared" si="45"/>
        <v>0</v>
      </c>
      <c r="BP112" s="172" t="str">
        <f>IF(BQ112="-","-",IFERROR(IF(OR(VLOOKUP(BN112,Расчет!$A$2:$E$582,5,FALSE)="2PS",VLOOKUP(BN112,Расчет!$A$2:$E$582,5,FALSE)="2QL"),IF(OR(VLOOKUP(BN112,Расчет!$A$2:$E$582,2,FALSE)="664W",VLOOKUP(BN112,Расчет!$A$2:$E$582,2,FALSE)="813W"),IF(BN112-$BS$7&gt;150,BN112-$BS$7-1000+$AD$12,BN112-$BS$7+$AD$12),IF(BN112-$BS$7&gt;150,BN112-$BS$7-1000+$AD$17,BN112-$BS$7+$AD$17)),IF(BN112-$BS$7&gt;150,BN112-$BS$7-1000,BN112-$BS$7)),"-"))</f>
        <v>-</v>
      </c>
      <c r="BQ112" s="173">
        <f t="shared" si="42"/>
        <v>11254</v>
      </c>
      <c r="BR112" s="453"/>
      <c r="BS112" s="171"/>
      <c r="BT112" s="464" t="str">
        <f t="shared" si="43"/>
        <v>-</v>
      </c>
      <c r="BU112" s="464" t="str">
        <f t="shared" si="44"/>
        <v>-</v>
      </c>
      <c r="BX112" s="204">
        <f>COUNTIF($BY$4:BY112,"&lt;100")</f>
        <v>0</v>
      </c>
      <c r="BY112" s="213" t="str">
        <f t="shared" si="53"/>
        <v/>
      </c>
      <c r="BZ112" s="216" t="str">
        <f t="shared" si="54"/>
        <v/>
      </c>
      <c r="CA112" s="213" t="e">
        <f t="shared" si="37"/>
        <v>#N/A</v>
      </c>
      <c r="CB112" s="209" t="e">
        <f t="shared" si="38"/>
        <v>#N/A</v>
      </c>
      <c r="CC112" s="205" t="str">
        <f t="shared" si="46"/>
        <v/>
      </c>
      <c r="CD112" s="205" t="str">
        <f t="shared" si="55"/>
        <v>-</v>
      </c>
      <c r="CE112" s="204">
        <f t="shared" si="57"/>
        <v>0</v>
      </c>
      <c r="CG112" s="20" t="str">
        <f t="shared" si="56"/>
        <v/>
      </c>
    </row>
    <row r="113" spans="6:86" ht="21">
      <c r="F113" s="8"/>
      <c r="N113" s="8"/>
      <c r="O113" s="8"/>
      <c r="AJ113"/>
      <c r="AK113"/>
      <c r="AL113"/>
      <c r="AM113" s="87"/>
      <c r="AN113" s="87"/>
      <c r="AO113" s="14" t="str">
        <f>IF(R10="","",COUNTA($R$3:R10)+$AO$105)</f>
        <v/>
      </c>
      <c r="AP113" s="88" t="str">
        <f>IF(AO113="","",IF(AO113+Расчет!$Y$57+$BD$2-Расчет!$X$57&gt;200,AO113+Расчет!$Y$57+$BD$2-1000,AO113+Расчет!$Y$57+$BD$2))</f>
        <v/>
      </c>
      <c r="BL113" s="172">
        <f>COUNTIF($BM$5:BM113,"&lt;-115")</f>
        <v>0</v>
      </c>
      <c r="BM113" s="154" t="str">
        <f>IFERROR(IF(OR(IFERROR(VLOOKUP(BN113,$E$3:$E$105,1,FALSE),"0")=BN113,IFERROR(VLOOKUP(BN113,$R$3:$R$105,1,FALSE),"0")=BN113),BO113,IF(OR(VLOOKUP(BN113,Расчет!A:E,5,FALSE)="2PS",VLOOKUP(BN113,Расчет!A:E,5,FALSE)="2QL"),IF(VLOOKUP(BN113,Расчет!A:B,2,FALSE)="831W",BN113-$BS$7+$AD$17,BN113-$BS$7+$AD$12),BN113-$BS$7)),"-")</f>
        <v>-</v>
      </c>
      <c r="BN113" s="154">
        <f>IF(OR(Расчет!C110="A0",Расчет!C110="P9",Расчет!B110="722W"),"-",Расчет!A110)</f>
        <v>11255</v>
      </c>
      <c r="BO113" s="173">
        <f t="shared" si="45"/>
        <v>0</v>
      </c>
      <c r="BP113" s="172" t="str">
        <f>IF(BQ113="-","-",IFERROR(IF(OR(VLOOKUP(BN113,Расчет!$A$2:$E$582,5,FALSE)="2PS",VLOOKUP(BN113,Расчет!$A$2:$E$582,5,FALSE)="2QL"),IF(OR(VLOOKUP(BN113,Расчет!$A$2:$E$582,2,FALSE)="664W",VLOOKUP(BN113,Расчет!$A$2:$E$582,2,FALSE)="813W"),IF(BN113-$BS$7&gt;150,BN113-$BS$7-1000+$AD$12,BN113-$BS$7+$AD$12),IF(BN113-$BS$7&gt;150,BN113-$BS$7-1000+$AD$17,BN113-$BS$7+$AD$17)),IF(BN113-$BS$7&gt;150,BN113-$BS$7-1000,BN113-$BS$7)),"-"))</f>
        <v>-</v>
      </c>
      <c r="BQ113" s="173">
        <f t="shared" si="42"/>
        <v>11255</v>
      </c>
      <c r="BR113" s="453"/>
      <c r="BS113" s="171"/>
      <c r="BT113" s="464" t="str">
        <f t="shared" si="43"/>
        <v>-</v>
      </c>
      <c r="BU113" s="464" t="str">
        <f t="shared" si="44"/>
        <v>-</v>
      </c>
      <c r="BX113" s="204">
        <f>COUNTIF($BY$4:BY113,"&lt;100")</f>
        <v>0</v>
      </c>
      <c r="BY113" s="213" t="str">
        <f t="shared" si="53"/>
        <v/>
      </c>
      <c r="BZ113" s="216" t="str">
        <f t="shared" si="54"/>
        <v/>
      </c>
      <c r="CA113" s="213" t="e">
        <f t="shared" si="37"/>
        <v>#N/A</v>
      </c>
      <c r="CB113" s="209" t="e">
        <f t="shared" si="38"/>
        <v>#N/A</v>
      </c>
      <c r="CC113" s="205" t="str">
        <f t="shared" si="46"/>
        <v/>
      </c>
      <c r="CD113" s="205" t="str">
        <f t="shared" si="55"/>
        <v>-</v>
      </c>
      <c r="CE113" s="204">
        <f t="shared" si="57"/>
        <v>0</v>
      </c>
      <c r="CG113" s="20" t="str">
        <f t="shared" si="56"/>
        <v/>
      </c>
    </row>
    <row r="114" spans="6:86" ht="21">
      <c r="N114" s="8"/>
      <c r="O114" s="8"/>
      <c r="AJ114"/>
      <c r="AK114"/>
      <c r="AL114"/>
      <c r="AM114" s="87"/>
      <c r="AN114" s="87"/>
      <c r="AO114" s="14" t="str">
        <f>IF(R11="","",COUNTA($R$3:R11)+$AO$105)</f>
        <v/>
      </c>
      <c r="AP114" s="88" t="str">
        <f>IF(AO114="","",IF(AO114+Расчет!$Y$57+$BD$2-Расчет!$X$57&gt;200,AO114+Расчет!$Y$57+$BD$2-1000,AO114+Расчет!$Y$57+$BD$2))</f>
        <v/>
      </c>
      <c r="BL114" s="172">
        <f>COUNTIF($BM$5:BM114,"&lt;-115")</f>
        <v>0</v>
      </c>
      <c r="BM114" s="154" t="str">
        <f>IFERROR(IF(OR(IFERROR(VLOOKUP(BN114,$E$3:$E$105,1,FALSE),"0")=BN114,IFERROR(VLOOKUP(BN114,$R$3:$R$105,1,FALSE),"0")=BN114),BO114,IF(OR(VLOOKUP(BN114,Расчет!A:E,5,FALSE)="2PS",VLOOKUP(BN114,Расчет!A:E,5,FALSE)="2QL"),IF(VLOOKUP(BN114,Расчет!A:B,2,FALSE)="831W",BN114-$BS$7+$AD$17,BN114-$BS$7+$AD$12),BN114-$BS$7)),"-")</f>
        <v>-</v>
      </c>
      <c r="BN114" s="154">
        <f>IF(OR(Расчет!C111="A0",Расчет!C111="P9",Расчет!B111="722W"),"-",Расчет!A111)</f>
        <v>11256</v>
      </c>
      <c r="BO114" s="173">
        <f t="shared" si="45"/>
        <v>0</v>
      </c>
      <c r="BP114" s="172" t="str">
        <f>IF(BQ114="-","-",IFERROR(IF(OR(VLOOKUP(BN114,Расчет!$A$2:$E$582,5,FALSE)="2PS",VLOOKUP(BN114,Расчет!$A$2:$E$582,5,FALSE)="2QL"),IF(OR(VLOOKUP(BN114,Расчет!$A$2:$E$582,2,FALSE)="664W",VLOOKUP(BN114,Расчет!$A$2:$E$582,2,FALSE)="813W"),IF(BN114-$BS$7&gt;150,BN114-$BS$7-1000+$AD$12,BN114-$BS$7+$AD$12),IF(BN114-$BS$7&gt;150,BN114-$BS$7-1000+$AD$17,BN114-$BS$7+$AD$17)),IF(BN114-$BS$7&gt;150,BN114-$BS$7-1000,BN114-$BS$7)),"-"))</f>
        <v>-</v>
      </c>
      <c r="BQ114" s="173">
        <f t="shared" si="42"/>
        <v>11256</v>
      </c>
      <c r="BR114" s="453"/>
      <c r="BS114" s="171"/>
      <c r="BT114" s="464" t="str">
        <f t="shared" si="43"/>
        <v>-</v>
      </c>
      <c r="BU114" s="464" t="str">
        <f t="shared" si="44"/>
        <v>-</v>
      </c>
      <c r="BX114" s="204">
        <f>COUNTIF($BY$4:BY114,"&lt;100")</f>
        <v>0</v>
      </c>
      <c r="BY114" s="213" t="str">
        <f t="shared" si="53"/>
        <v/>
      </c>
      <c r="BZ114" s="216" t="str">
        <f t="shared" si="54"/>
        <v/>
      </c>
      <c r="CA114" s="213" t="e">
        <f t="shared" si="37"/>
        <v>#N/A</v>
      </c>
      <c r="CB114" s="209" t="e">
        <f t="shared" si="38"/>
        <v>#N/A</v>
      </c>
      <c r="CC114" s="205" t="str">
        <f t="shared" si="46"/>
        <v/>
      </c>
      <c r="CD114" s="205" t="str">
        <f t="shared" si="55"/>
        <v>-</v>
      </c>
      <c r="CE114" s="204">
        <f t="shared" si="57"/>
        <v>0</v>
      </c>
      <c r="CG114" s="20" t="str">
        <f t="shared" si="56"/>
        <v/>
      </c>
    </row>
    <row r="115" spans="6:86" ht="21">
      <c r="N115" s="8"/>
      <c r="O115" s="8"/>
      <c r="AJ115"/>
      <c r="AK115"/>
      <c r="AL115"/>
      <c r="AM115" s="87"/>
      <c r="AN115" s="87"/>
      <c r="AO115" s="14" t="str">
        <f>IF(R12="","",COUNTA($R$3:R12)+$AO$105)</f>
        <v/>
      </c>
      <c r="AP115" s="88" t="str">
        <f>IF(AO115="","",IF(AO115+Расчет!$Y$57+$BD$2-Расчет!$X$57&gt;200,AO115+Расчет!$Y$57+$BD$2-1000,AO115+Расчет!$Y$57+$BD$2))</f>
        <v/>
      </c>
      <c r="BL115" s="172">
        <f>COUNTIF($BM$5:BM115,"&lt;-115")</f>
        <v>0</v>
      </c>
      <c r="BM115" s="154" t="str">
        <f>IFERROR(IF(OR(IFERROR(VLOOKUP(BN115,$E$3:$E$105,1,FALSE),"0")=BN115,IFERROR(VLOOKUP(BN115,$R$3:$R$105,1,FALSE),"0")=BN115),BO115,IF(OR(VLOOKUP(BN115,Расчет!A:E,5,FALSE)="2PS",VLOOKUP(BN115,Расчет!A:E,5,FALSE)="2QL"),IF(VLOOKUP(BN115,Расчет!A:B,2,FALSE)="831W",BN115-$BS$7+$AD$17,BN115-$BS$7+$AD$12),BN115-$BS$7)),"-")</f>
        <v>-</v>
      </c>
      <c r="BN115" s="154">
        <f>IF(OR(Расчет!C112="A0",Расчет!C112="P9",Расчет!B112="722W"),"-",Расчет!A112)</f>
        <v>11257</v>
      </c>
      <c r="BO115" s="173">
        <f t="shared" si="45"/>
        <v>0</v>
      </c>
      <c r="BP115" s="172" t="str">
        <f>IF(BQ115="-","-",IFERROR(IF(OR(VLOOKUP(BN115,Расчет!$A$2:$E$582,5,FALSE)="2PS",VLOOKUP(BN115,Расчет!$A$2:$E$582,5,FALSE)="2QL"),IF(OR(VLOOKUP(BN115,Расчет!$A$2:$E$582,2,FALSE)="664W",VLOOKUP(BN115,Расчет!$A$2:$E$582,2,FALSE)="813W"),IF(BN115-$BS$7&gt;150,BN115-$BS$7-1000+$AD$12,BN115-$BS$7+$AD$12),IF(BN115-$BS$7&gt;150,BN115-$BS$7-1000+$AD$17,BN115-$BS$7+$AD$17)),IF(BN115-$BS$7&gt;150,BN115-$BS$7-1000,BN115-$BS$7)),"-"))</f>
        <v>-</v>
      </c>
      <c r="BQ115" s="173">
        <f t="shared" si="42"/>
        <v>11257</v>
      </c>
      <c r="BR115" s="453"/>
      <c r="BS115" s="171"/>
      <c r="BT115" s="464" t="str">
        <f t="shared" si="43"/>
        <v>-</v>
      </c>
      <c r="BU115" s="464" t="str">
        <f t="shared" si="44"/>
        <v>-</v>
      </c>
      <c r="BX115" s="204">
        <f>COUNTIF($BY$4:BY115,"&lt;100")</f>
        <v>0</v>
      </c>
      <c r="BY115" s="213" t="str">
        <f t="shared" si="53"/>
        <v/>
      </c>
      <c r="BZ115" s="216" t="str">
        <f t="shared" si="54"/>
        <v/>
      </c>
      <c r="CA115" s="213" t="e">
        <f t="shared" si="37"/>
        <v>#N/A</v>
      </c>
      <c r="CB115" s="209" t="e">
        <f t="shared" si="38"/>
        <v>#N/A</v>
      </c>
      <c r="CC115" s="205" t="str">
        <f t="shared" si="46"/>
        <v/>
      </c>
      <c r="CD115" s="205" t="str">
        <f t="shared" si="55"/>
        <v>-</v>
      </c>
      <c r="CE115" s="204">
        <f t="shared" si="57"/>
        <v>0</v>
      </c>
      <c r="CG115" s="20" t="str">
        <f t="shared" ref="CG115:CG146" si="58">T3</f>
        <v/>
      </c>
      <c r="CH115" s="360"/>
    </row>
    <row r="116" spans="6:86" ht="21">
      <c r="N116" s="8"/>
      <c r="O116" s="8"/>
      <c r="AJ116"/>
      <c r="AK116"/>
      <c r="AL116"/>
      <c r="AM116" s="87"/>
      <c r="AN116" s="87"/>
      <c r="AO116" s="14" t="str">
        <f>IF(R13="","",COUNTA($R$3:R13)+$AO$105)</f>
        <v/>
      </c>
      <c r="AP116" s="88" t="str">
        <f>IF(AO116="","",IF(AO116+Расчет!$Y$57+$BD$2-Расчет!$X$57&gt;200,AO116+Расчет!$Y$57+$BD$2-1000,AO116+Расчет!$Y$57+$BD$2))</f>
        <v/>
      </c>
      <c r="BL116" s="172">
        <f>COUNTIF($BM$5:BM116,"&lt;-115")</f>
        <v>0</v>
      </c>
      <c r="BM116" s="154" t="str">
        <f>IFERROR(IF(OR(IFERROR(VLOOKUP(BN116,$E$3:$E$105,1,FALSE),"0")=BN116,IFERROR(VLOOKUP(BN116,$R$3:$R$105,1,FALSE),"0")=BN116),BO116,IF(OR(VLOOKUP(BN116,Расчет!A:E,5,FALSE)="2PS",VLOOKUP(BN116,Расчет!A:E,5,FALSE)="2QL"),IF(VLOOKUP(BN116,Расчет!A:B,2,FALSE)="831W",BN116-$BS$7+$AD$17,BN116-$BS$7+$AD$12),BN116-$BS$7)),"-")</f>
        <v>-</v>
      </c>
      <c r="BN116" s="154">
        <f>IF(OR(Расчет!C113="A0",Расчет!C113="P9",Расчет!B113="722W"),"-",Расчет!A113)</f>
        <v>11258</v>
      </c>
      <c r="BO116" s="173">
        <f t="shared" si="45"/>
        <v>0</v>
      </c>
      <c r="BP116" s="172" t="str">
        <f>IF(BQ116="-","-",IFERROR(IF(OR(VLOOKUP(BN116,Расчет!$A$2:$E$582,5,FALSE)="2PS",VLOOKUP(BN116,Расчет!$A$2:$E$582,5,FALSE)="2QL"),IF(OR(VLOOKUP(BN116,Расчет!$A$2:$E$582,2,FALSE)="664W",VLOOKUP(BN116,Расчет!$A$2:$E$582,2,FALSE)="813W"),IF(BN116-$BS$7&gt;150,BN116-$BS$7-1000+$AD$12,BN116-$BS$7+$AD$12),IF(BN116-$BS$7&gt;150,BN116-$BS$7-1000+$AD$17,BN116-$BS$7+$AD$17)),IF(BN116-$BS$7&gt;150,BN116-$BS$7-1000,BN116-$BS$7)),"-"))</f>
        <v>-</v>
      </c>
      <c r="BQ116" s="173">
        <f t="shared" si="42"/>
        <v>11258</v>
      </c>
      <c r="BR116" s="453"/>
      <c r="BS116" s="171"/>
      <c r="BT116" s="464" t="str">
        <f t="shared" si="43"/>
        <v>-</v>
      </c>
      <c r="BU116" s="464" t="str">
        <f t="shared" si="44"/>
        <v>-</v>
      </c>
      <c r="BX116" s="204">
        <f>COUNTIF($BY$4:BY116,"&lt;100")</f>
        <v>0</v>
      </c>
      <c r="BY116" s="213" t="str">
        <f t="shared" si="53"/>
        <v/>
      </c>
      <c r="BZ116" s="216" t="str">
        <f t="shared" si="54"/>
        <v/>
      </c>
      <c r="CA116" s="213" t="e">
        <f t="shared" si="37"/>
        <v>#N/A</v>
      </c>
      <c r="CB116" s="209" t="e">
        <f t="shared" si="38"/>
        <v>#N/A</v>
      </c>
      <c r="CC116" s="205" t="str">
        <f t="shared" si="46"/>
        <v/>
      </c>
      <c r="CD116" s="205" t="str">
        <f t="shared" si="55"/>
        <v>-</v>
      </c>
      <c r="CE116" s="204">
        <f t="shared" si="57"/>
        <v>0</v>
      </c>
      <c r="CG116" s="20" t="str">
        <f t="shared" si="58"/>
        <v/>
      </c>
    </row>
    <row r="117" spans="6:86" ht="21">
      <c r="N117" s="8"/>
      <c r="O117" s="8"/>
      <c r="AJ117"/>
      <c r="AK117"/>
      <c r="AL117"/>
      <c r="AM117" s="87"/>
      <c r="AN117" s="87"/>
      <c r="AO117" s="14" t="str">
        <f>IF(R14="","",COUNTA($R$3:R14)+$AO$105)</f>
        <v/>
      </c>
      <c r="AP117" s="88" t="str">
        <f>IF(AO117="","",IF(AO117+Расчет!$Y$57+$BD$2-Расчет!$X$57&gt;200,AO117+Расчет!$Y$57+$BD$2-1000,AO117+Расчет!$Y$57+$BD$2))</f>
        <v/>
      </c>
      <c r="BL117" s="172">
        <f>COUNTIF($BM$5:BM117,"&lt;-115")</f>
        <v>0</v>
      </c>
      <c r="BM117" s="154" t="str">
        <f>IFERROR(IF(OR(IFERROR(VLOOKUP(BN117,$E$3:$E$105,1,FALSE),"0")=BN117,IFERROR(VLOOKUP(BN117,$R$3:$R$105,1,FALSE),"0")=BN117),BO117,IF(OR(VLOOKUP(BN117,Расчет!A:E,5,FALSE)="2PS",VLOOKUP(BN117,Расчет!A:E,5,FALSE)="2QL"),IF(VLOOKUP(BN117,Расчет!A:B,2,FALSE)="831W",BN117-$BS$7+$AD$17,BN117-$BS$7+$AD$12),BN117-$BS$7)),"-")</f>
        <v>-</v>
      </c>
      <c r="BN117" s="154">
        <f>IF(OR(Расчет!C114="A0",Расчет!C114="P9",Расчет!B114="722W"),"-",Расчет!A114)</f>
        <v>11259</v>
      </c>
      <c r="BO117" s="173">
        <f t="shared" si="45"/>
        <v>0</v>
      </c>
      <c r="BP117" s="172" t="str">
        <f>IF(BQ117="-","-",IFERROR(IF(OR(VLOOKUP(BN117,Расчет!$A$2:$E$582,5,FALSE)="2PS",VLOOKUP(BN117,Расчет!$A$2:$E$582,5,FALSE)="2QL"),IF(OR(VLOOKUP(BN117,Расчет!$A$2:$E$582,2,FALSE)="664W",VLOOKUP(BN117,Расчет!$A$2:$E$582,2,FALSE)="813W"),IF(BN117-$BS$7&gt;150,BN117-$BS$7-1000+$AD$12,BN117-$BS$7+$AD$12),IF(BN117-$BS$7&gt;150,BN117-$BS$7-1000+$AD$17,BN117-$BS$7+$AD$17)),IF(BN117-$BS$7&gt;150,BN117-$BS$7-1000,BN117-$BS$7)),"-"))</f>
        <v>-</v>
      </c>
      <c r="BQ117" s="173">
        <f t="shared" si="42"/>
        <v>11259</v>
      </c>
      <c r="BR117" s="453"/>
      <c r="BS117" s="171"/>
      <c r="BT117" s="464" t="str">
        <f t="shared" si="43"/>
        <v>-</v>
      </c>
      <c r="BU117" s="464" t="str">
        <f t="shared" si="44"/>
        <v>-</v>
      </c>
      <c r="BX117" s="204">
        <f>COUNTIF($BY$4:BY117,"&lt;100")</f>
        <v>0</v>
      </c>
      <c r="BY117" s="213" t="str">
        <f t="shared" si="53"/>
        <v/>
      </c>
      <c r="BZ117" s="216" t="str">
        <f t="shared" si="54"/>
        <v/>
      </c>
      <c r="CA117" s="213" t="e">
        <f t="shared" si="37"/>
        <v>#N/A</v>
      </c>
      <c r="CB117" s="209" t="e">
        <f t="shared" si="38"/>
        <v>#N/A</v>
      </c>
      <c r="CC117" s="205" t="str">
        <f t="shared" si="46"/>
        <v/>
      </c>
      <c r="CD117" s="205" t="str">
        <f t="shared" si="55"/>
        <v>-</v>
      </c>
      <c r="CE117" s="204">
        <f t="shared" si="57"/>
        <v>0</v>
      </c>
      <c r="CG117" s="20" t="str">
        <f t="shared" si="58"/>
        <v/>
      </c>
    </row>
    <row r="118" spans="6:86" ht="21">
      <c r="N118" s="8"/>
      <c r="O118" s="8"/>
      <c r="AJ118"/>
      <c r="AK118"/>
      <c r="AL118"/>
      <c r="AM118" s="87"/>
      <c r="AN118" s="87"/>
      <c r="AO118" s="14" t="str">
        <f>IF(R15="","",COUNTA($R$3:R15)+$AO$105)</f>
        <v/>
      </c>
      <c r="AP118" s="88" t="str">
        <f>IF(AO118="","",IF(AO118+Расчет!$Y$57+$BD$2-Расчет!$X$57&gt;200,AO118+Расчет!$Y$57+$BD$2-1000,AO118+Расчет!$Y$57+$BD$2))</f>
        <v/>
      </c>
      <c r="BL118" s="172">
        <f>COUNTIF($BM$5:BM118,"&lt;-115")</f>
        <v>0</v>
      </c>
      <c r="BM118" s="154" t="str">
        <f>IFERROR(IF(OR(IFERROR(VLOOKUP(BN118,$E$3:$E$105,1,FALSE),"0")=BN118,IFERROR(VLOOKUP(BN118,$R$3:$R$105,1,FALSE),"0")=BN118),BO118,IF(OR(VLOOKUP(BN118,Расчет!A:E,5,FALSE)="2PS",VLOOKUP(BN118,Расчет!A:E,5,FALSE)="2QL"),IF(VLOOKUP(BN118,Расчет!A:B,2,FALSE)="831W",BN118-$BS$7+$AD$17,BN118-$BS$7+$AD$12),BN118-$BS$7)),"-")</f>
        <v>-</v>
      </c>
      <c r="BN118" s="154">
        <f>IF(OR(Расчет!C115="A0",Расчет!C115="P9",Расчет!B115="722W"),"-",Расчет!A115)</f>
        <v>11260</v>
      </c>
      <c r="BO118" s="173">
        <f t="shared" si="45"/>
        <v>0</v>
      </c>
      <c r="BP118" s="172" t="str">
        <f>IF(BQ118="-","-",IFERROR(IF(OR(VLOOKUP(BN118,Расчет!$A$2:$E$582,5,FALSE)="2PS",VLOOKUP(BN118,Расчет!$A$2:$E$582,5,FALSE)="2QL"),IF(OR(VLOOKUP(BN118,Расчет!$A$2:$E$582,2,FALSE)="664W",VLOOKUP(BN118,Расчет!$A$2:$E$582,2,FALSE)="813W"),IF(BN118-$BS$7&gt;150,BN118-$BS$7-1000+$AD$12,BN118-$BS$7+$AD$12),IF(BN118-$BS$7&gt;150,BN118-$BS$7-1000+$AD$17,BN118-$BS$7+$AD$17)),IF(BN118-$BS$7&gt;150,BN118-$BS$7-1000,BN118-$BS$7)),"-"))</f>
        <v>-</v>
      </c>
      <c r="BQ118" s="173">
        <f t="shared" si="42"/>
        <v>11260</v>
      </c>
      <c r="BR118" s="453"/>
      <c r="BS118" s="171"/>
      <c r="BT118" s="464" t="str">
        <f t="shared" si="43"/>
        <v>-</v>
      </c>
      <c r="BU118" s="464" t="str">
        <f t="shared" si="44"/>
        <v>-</v>
      </c>
      <c r="BX118" s="204">
        <f>COUNTIF($BY$4:BY118,"&lt;100")</f>
        <v>0</v>
      </c>
      <c r="BY118" s="213" t="str">
        <f t="shared" si="53"/>
        <v/>
      </c>
      <c r="BZ118" s="216" t="str">
        <f t="shared" si="54"/>
        <v/>
      </c>
      <c r="CA118" s="213" t="e">
        <f t="shared" si="37"/>
        <v>#N/A</v>
      </c>
      <c r="CB118" s="209" t="e">
        <f t="shared" si="38"/>
        <v>#N/A</v>
      </c>
      <c r="CC118" s="205" t="str">
        <f t="shared" si="46"/>
        <v/>
      </c>
      <c r="CD118" s="205" t="str">
        <f t="shared" si="55"/>
        <v>-</v>
      </c>
      <c r="CE118" s="204">
        <f t="shared" si="57"/>
        <v>0</v>
      </c>
      <c r="CG118" s="20" t="str">
        <f t="shared" si="58"/>
        <v/>
      </c>
    </row>
    <row r="119" spans="6:86" ht="21">
      <c r="N119" s="8"/>
      <c r="O119" s="8"/>
      <c r="AJ119"/>
      <c r="AK119"/>
      <c r="AL119"/>
      <c r="AM119" s="87"/>
      <c r="AN119" s="87"/>
      <c r="AO119" s="14" t="str">
        <f>IF(R16="","",COUNTA($R$3:R16)+$AO$105)</f>
        <v/>
      </c>
      <c r="AP119" s="88" t="str">
        <f>IF(AO119="","",IF(AO119+Расчет!$Y$57+$BD$2-Расчет!$X$57&gt;200,AO119+Расчет!$Y$57+$BD$2-1000,AO119+Расчет!$Y$57+$BD$2))</f>
        <v/>
      </c>
      <c r="BL119" s="172">
        <f>COUNTIF($BM$5:BM119,"&lt;-115")</f>
        <v>0</v>
      </c>
      <c r="BM119" s="154" t="str">
        <f>IFERROR(IF(OR(IFERROR(VLOOKUP(BN119,$E$3:$E$105,1,FALSE),"0")=BN119,IFERROR(VLOOKUP(BN119,$R$3:$R$105,1,FALSE),"0")=BN119),BO119,IF(OR(VLOOKUP(BN119,Расчет!A:E,5,FALSE)="2PS",VLOOKUP(BN119,Расчет!A:E,5,FALSE)="2QL"),IF(VLOOKUP(BN119,Расчет!A:B,2,FALSE)="831W",BN119-$BS$7+$AD$17,BN119-$BS$7+$AD$12),BN119-$BS$7)),"-")</f>
        <v>-</v>
      </c>
      <c r="BN119" s="154">
        <f>IF(OR(Расчет!C116="A0",Расчет!C116="P9",Расчет!B116="722W"),"-",Расчет!A116)</f>
        <v>11261</v>
      </c>
      <c r="BO119" s="173">
        <f t="shared" si="45"/>
        <v>0</v>
      </c>
      <c r="BP119" s="172" t="str">
        <f>IF(BQ119="-","-",IFERROR(IF(OR(VLOOKUP(BN119,Расчет!$A$2:$E$582,5,FALSE)="2PS",VLOOKUP(BN119,Расчет!$A$2:$E$582,5,FALSE)="2QL"),IF(OR(VLOOKUP(BN119,Расчет!$A$2:$E$582,2,FALSE)="664W",VLOOKUP(BN119,Расчет!$A$2:$E$582,2,FALSE)="813W"),IF(BN119-$BS$7&gt;150,BN119-$BS$7-1000+$AD$12,BN119-$BS$7+$AD$12),IF(BN119-$BS$7&gt;150,BN119-$BS$7-1000+$AD$17,BN119-$BS$7+$AD$17)),IF(BN119-$BS$7&gt;150,BN119-$BS$7-1000,BN119-$BS$7)),"-"))</f>
        <v>-</v>
      </c>
      <c r="BQ119" s="173">
        <f t="shared" si="42"/>
        <v>11261</v>
      </c>
      <c r="BR119" s="453"/>
      <c r="BS119" s="171"/>
      <c r="BT119" s="464" t="str">
        <f t="shared" si="43"/>
        <v>-</v>
      </c>
      <c r="BU119" s="464" t="str">
        <f t="shared" si="44"/>
        <v>-</v>
      </c>
      <c r="BX119" s="204">
        <f>COUNTIF($BY$4:BY119,"&lt;100")</f>
        <v>0</v>
      </c>
      <c r="BY119" s="213" t="str">
        <f t="shared" si="53"/>
        <v/>
      </c>
      <c r="BZ119" s="216" t="str">
        <f t="shared" si="54"/>
        <v/>
      </c>
      <c r="CA119" s="213" t="e">
        <f t="shared" si="37"/>
        <v>#N/A</v>
      </c>
      <c r="CB119" s="209" t="e">
        <f t="shared" si="38"/>
        <v>#N/A</v>
      </c>
      <c r="CC119" s="205" t="str">
        <f t="shared" si="46"/>
        <v/>
      </c>
      <c r="CD119" s="205" t="str">
        <f t="shared" si="55"/>
        <v>-</v>
      </c>
      <c r="CE119" s="204">
        <f t="shared" si="57"/>
        <v>0</v>
      </c>
      <c r="CG119" s="20" t="str">
        <f t="shared" si="58"/>
        <v/>
      </c>
    </row>
    <row r="120" spans="6:86" ht="21">
      <c r="N120" s="8"/>
      <c r="O120" s="8"/>
      <c r="AJ120"/>
      <c r="AK120"/>
      <c r="AL120"/>
      <c r="AM120" s="87"/>
      <c r="AN120" s="87"/>
      <c r="AO120" s="14" t="str">
        <f>IF(R17="","",COUNTA($R$3:R17)+$AO$105)</f>
        <v/>
      </c>
      <c r="AP120" s="88" t="str">
        <f>IF(AO120="","",IF(AO120+Расчет!$Y$57+$BD$2-Расчет!$X$57&gt;200,AO120+Расчет!$Y$57+$BD$2-1000,AO120+Расчет!$Y$57+$BD$2))</f>
        <v/>
      </c>
      <c r="BL120" s="172">
        <f>COUNTIF($BM$5:BM120,"&lt;-115")</f>
        <v>0</v>
      </c>
      <c r="BM120" s="154" t="str">
        <f>IFERROR(IF(OR(IFERROR(VLOOKUP(BN120,$E$3:$E$105,1,FALSE),"0")=BN120,IFERROR(VLOOKUP(BN120,$R$3:$R$105,1,FALSE),"0")=BN120),BO120,IF(OR(VLOOKUP(BN120,Расчет!A:E,5,FALSE)="2PS",VLOOKUP(BN120,Расчет!A:E,5,FALSE)="2QL"),IF(VLOOKUP(BN120,Расчет!A:B,2,FALSE)="831W",BN120-$BS$7+$AD$17,BN120-$BS$7+$AD$12),BN120-$BS$7)),"-")</f>
        <v>-</v>
      </c>
      <c r="BN120" s="154">
        <f>IF(OR(Расчет!C117="A0",Расчет!C117="P9",Расчет!B117="722W"),"-",Расчет!A117)</f>
        <v>11262</v>
      </c>
      <c r="BO120" s="173">
        <f t="shared" si="45"/>
        <v>0</v>
      </c>
      <c r="BP120" s="172" t="str">
        <f>IF(BQ120="-","-",IFERROR(IF(OR(VLOOKUP(BN120,Расчет!$A$2:$E$582,5,FALSE)="2PS",VLOOKUP(BN120,Расчет!$A$2:$E$582,5,FALSE)="2QL"),IF(OR(VLOOKUP(BN120,Расчет!$A$2:$E$582,2,FALSE)="664W",VLOOKUP(BN120,Расчет!$A$2:$E$582,2,FALSE)="813W"),IF(BN120-$BS$7&gt;150,BN120-$BS$7-1000+$AD$12,BN120-$BS$7+$AD$12),IF(BN120-$BS$7&gt;150,BN120-$BS$7-1000+$AD$17,BN120-$BS$7+$AD$17)),IF(BN120-$BS$7&gt;150,BN120-$BS$7-1000,BN120-$BS$7)),"-"))</f>
        <v>-</v>
      </c>
      <c r="BQ120" s="173">
        <f t="shared" si="42"/>
        <v>11262</v>
      </c>
      <c r="BR120" s="453"/>
      <c r="BS120" s="171"/>
      <c r="BT120" s="464" t="str">
        <f t="shared" si="43"/>
        <v>-</v>
      </c>
      <c r="BU120" s="464" t="str">
        <f t="shared" si="44"/>
        <v>-</v>
      </c>
      <c r="BX120" s="204">
        <f>COUNTIF($BY$4:BY120,"&lt;100")</f>
        <v>0</v>
      </c>
      <c r="BY120" s="213" t="str">
        <f t="shared" si="53"/>
        <v/>
      </c>
      <c r="BZ120" s="216" t="str">
        <f t="shared" si="54"/>
        <v/>
      </c>
      <c r="CA120" s="213" t="e">
        <f t="shared" si="37"/>
        <v>#N/A</v>
      </c>
      <c r="CB120" s="209" t="e">
        <f t="shared" si="38"/>
        <v>#N/A</v>
      </c>
      <c r="CC120" s="205" t="str">
        <f t="shared" si="46"/>
        <v/>
      </c>
      <c r="CD120" s="205" t="str">
        <f t="shared" si="55"/>
        <v>-</v>
      </c>
      <c r="CE120" s="204">
        <f t="shared" si="57"/>
        <v>0</v>
      </c>
      <c r="CG120" s="20" t="str">
        <f t="shared" si="58"/>
        <v/>
      </c>
    </row>
    <row r="121" spans="6:86" ht="21">
      <c r="N121" s="8"/>
      <c r="O121" s="8"/>
      <c r="AJ121"/>
      <c r="AK121"/>
      <c r="AL121"/>
      <c r="AM121" s="87"/>
      <c r="AN121" s="87"/>
      <c r="AO121" s="14" t="str">
        <f>IF(R18="","",COUNTA($R$3:R18)+$AO$105)</f>
        <v/>
      </c>
      <c r="AP121" s="88" t="str">
        <f>IF(AO121="","",IF(AO121+Расчет!$Y$57+$BD$2-Расчет!$X$57&gt;200,AO121+Расчет!$Y$57+$BD$2-1000,AO121+Расчет!$Y$57+$BD$2))</f>
        <v/>
      </c>
      <c r="BL121" s="172">
        <f>COUNTIF($BM$5:BM121,"&lt;-115")</f>
        <v>0</v>
      </c>
      <c r="BM121" s="154" t="str">
        <f>IFERROR(IF(OR(IFERROR(VLOOKUP(BN121,$E$3:$E$105,1,FALSE),"0")=BN121,IFERROR(VLOOKUP(BN121,$R$3:$R$105,1,FALSE),"0")=BN121),BO121,IF(OR(VLOOKUP(BN121,Расчет!A:E,5,FALSE)="2PS",VLOOKUP(BN121,Расчет!A:E,5,FALSE)="2QL"),IF(VLOOKUP(BN121,Расчет!A:B,2,FALSE)="831W",BN121-$BS$7+$AD$17,BN121-$BS$7+$AD$12),BN121-$BS$7)),"-")</f>
        <v>-</v>
      </c>
      <c r="BN121" s="154">
        <f>IF(OR(Расчет!C118="A0",Расчет!C118="P9",Расчет!B118="722W"),"-",Расчет!A118)</f>
        <v>11263</v>
      </c>
      <c r="BO121" s="173">
        <f t="shared" si="45"/>
        <v>0</v>
      </c>
      <c r="BP121" s="172" t="str">
        <f>IF(BQ121="-","-",IFERROR(IF(OR(VLOOKUP(BN121,Расчет!$A$2:$E$582,5,FALSE)="2PS",VLOOKUP(BN121,Расчет!$A$2:$E$582,5,FALSE)="2QL"),IF(OR(VLOOKUP(BN121,Расчет!$A$2:$E$582,2,FALSE)="664W",VLOOKUP(BN121,Расчет!$A$2:$E$582,2,FALSE)="813W"),IF(BN121-$BS$7&gt;150,BN121-$BS$7-1000+$AD$12,BN121-$BS$7+$AD$12),IF(BN121-$BS$7&gt;150,BN121-$BS$7-1000+$AD$17,BN121-$BS$7+$AD$17)),IF(BN121-$BS$7&gt;150,BN121-$BS$7-1000,BN121-$BS$7)),"-"))</f>
        <v>-</v>
      </c>
      <c r="BQ121" s="173">
        <f t="shared" si="42"/>
        <v>11263</v>
      </c>
      <c r="BR121" s="453"/>
      <c r="BS121" s="171"/>
      <c r="BT121" s="464" t="str">
        <f t="shared" si="43"/>
        <v>-</v>
      </c>
      <c r="BU121" s="464" t="str">
        <f t="shared" si="44"/>
        <v>-</v>
      </c>
      <c r="BX121" s="204">
        <f>COUNTIF($BY$4:BY121,"&lt;100")</f>
        <v>0</v>
      </c>
      <c r="BY121" s="213" t="str">
        <f t="shared" si="53"/>
        <v/>
      </c>
      <c r="BZ121" s="216" t="str">
        <f t="shared" si="54"/>
        <v/>
      </c>
      <c r="CA121" s="213" t="e">
        <f t="shared" si="37"/>
        <v>#N/A</v>
      </c>
      <c r="CB121" s="209" t="e">
        <f t="shared" si="38"/>
        <v>#N/A</v>
      </c>
      <c r="CC121" s="205" t="str">
        <f t="shared" si="46"/>
        <v/>
      </c>
      <c r="CD121" s="205" t="str">
        <f t="shared" si="55"/>
        <v>-</v>
      </c>
      <c r="CE121" s="204">
        <f t="shared" si="57"/>
        <v>0</v>
      </c>
      <c r="CG121" s="20" t="str">
        <f t="shared" si="58"/>
        <v/>
      </c>
    </row>
    <row r="122" spans="6:86" ht="21">
      <c r="N122" s="8"/>
      <c r="O122" s="8"/>
      <c r="AJ122"/>
      <c r="AK122"/>
      <c r="AL122"/>
      <c r="AM122" s="87"/>
      <c r="AN122" s="87"/>
      <c r="AO122" s="14" t="str">
        <f>IF(R19="","",COUNTA($R$3:R19)+$AO$105)</f>
        <v/>
      </c>
      <c r="AP122" s="88" t="str">
        <f>IF(AO122="","",IF(AO122+Расчет!$Y$57+$BD$2-Расчет!$X$57&gt;200,AO122+Расчет!$Y$57+$BD$2-1000,AO122+Расчет!$Y$57+$BD$2))</f>
        <v/>
      </c>
      <c r="BL122" s="172">
        <f>COUNTIF($BM$5:BM122,"&lt;-115")</f>
        <v>0</v>
      </c>
      <c r="BM122" s="154" t="str">
        <f>IFERROR(IF(OR(IFERROR(VLOOKUP(BN122,$E$3:$E$105,1,FALSE),"0")=BN122,IFERROR(VLOOKUP(BN122,$R$3:$R$105,1,FALSE),"0")=BN122),BO122,IF(OR(VLOOKUP(BN122,Расчет!A:E,5,FALSE)="2PS",VLOOKUP(BN122,Расчет!A:E,5,FALSE)="2QL"),IF(VLOOKUP(BN122,Расчет!A:B,2,FALSE)="831W",BN122-$BS$7+$AD$17,BN122-$BS$7+$AD$12),BN122-$BS$7)),"-")</f>
        <v>-</v>
      </c>
      <c r="BN122" s="154">
        <f>IF(OR(Расчет!C119="A0",Расчет!C119="P9",Расчет!B119="722W"),"-",Расчет!A119)</f>
        <v>11264</v>
      </c>
      <c r="BO122" s="173">
        <f t="shared" si="45"/>
        <v>0</v>
      </c>
      <c r="BP122" s="172" t="str">
        <f>IF(BQ122="-","-",IFERROR(IF(OR(VLOOKUP(BN122,Расчет!$A$2:$E$582,5,FALSE)="2PS",VLOOKUP(BN122,Расчет!$A$2:$E$582,5,FALSE)="2QL"),IF(OR(VLOOKUP(BN122,Расчет!$A$2:$E$582,2,FALSE)="664W",VLOOKUP(BN122,Расчет!$A$2:$E$582,2,FALSE)="813W"),IF(BN122-$BS$7&gt;150,BN122-$BS$7-1000+$AD$12,BN122-$BS$7+$AD$12),IF(BN122-$BS$7&gt;150,BN122-$BS$7-1000+$AD$17,BN122-$BS$7+$AD$17)),IF(BN122-$BS$7&gt;150,BN122-$BS$7-1000,BN122-$BS$7)),"-"))</f>
        <v>-</v>
      </c>
      <c r="BQ122" s="173">
        <f t="shared" si="42"/>
        <v>11264</v>
      </c>
      <c r="BR122" s="453"/>
      <c r="BS122" s="171"/>
      <c r="BT122" s="464" t="str">
        <f t="shared" si="43"/>
        <v>-</v>
      </c>
      <c r="BU122" s="464" t="str">
        <f t="shared" si="44"/>
        <v>-</v>
      </c>
      <c r="BX122" s="204">
        <f>COUNTIF($BY$4:BY122,"&lt;100")</f>
        <v>0</v>
      </c>
      <c r="BY122" s="213" t="str">
        <f t="shared" si="53"/>
        <v/>
      </c>
      <c r="BZ122" s="216" t="str">
        <f t="shared" si="54"/>
        <v/>
      </c>
      <c r="CA122" s="213" t="e">
        <f t="shared" si="37"/>
        <v>#N/A</v>
      </c>
      <c r="CB122" s="209" t="e">
        <f t="shared" si="38"/>
        <v>#N/A</v>
      </c>
      <c r="CC122" s="205" t="str">
        <f t="shared" si="46"/>
        <v/>
      </c>
      <c r="CD122" s="205" t="str">
        <f t="shared" si="55"/>
        <v>-</v>
      </c>
      <c r="CE122" s="204">
        <f t="shared" si="57"/>
        <v>0</v>
      </c>
      <c r="CG122" s="20" t="str">
        <f t="shared" si="58"/>
        <v/>
      </c>
    </row>
    <row r="123" spans="6:86" ht="21">
      <c r="N123" s="8"/>
      <c r="O123" s="8"/>
      <c r="AJ123"/>
      <c r="AK123"/>
      <c r="AL123"/>
      <c r="AM123" s="87"/>
      <c r="AN123" s="87"/>
      <c r="AO123" s="14" t="str">
        <f>IF(R20="","",COUNTA($R$3:R20)+$AO$105)</f>
        <v/>
      </c>
      <c r="AP123" s="88" t="str">
        <f>IF(AO123="","",IF(AO123+Расчет!$Y$57+$BD$2-Расчет!$X$57&gt;200,AO123+Расчет!$Y$57+$BD$2-1000,AO123+Расчет!$Y$57+$BD$2))</f>
        <v/>
      </c>
      <c r="BL123" s="172">
        <f>COUNTIF($BM$5:BM123,"&lt;-115")</f>
        <v>0</v>
      </c>
      <c r="BM123" s="154" t="str">
        <f>IFERROR(IF(OR(IFERROR(VLOOKUP(BN123,$E$3:$E$105,1,FALSE),"0")=BN123,IFERROR(VLOOKUP(BN123,$R$3:$R$105,1,FALSE),"0")=BN123),BO123,IF(OR(VLOOKUP(BN123,Расчет!A:E,5,FALSE)="2PS",VLOOKUP(BN123,Расчет!A:E,5,FALSE)="2QL"),IF(VLOOKUP(BN123,Расчет!A:B,2,FALSE)="831W",BN123-$BS$7+$AD$17,BN123-$BS$7+$AD$12),BN123-$BS$7)),"-")</f>
        <v>-</v>
      </c>
      <c r="BN123" s="154">
        <f>IF(OR(Расчет!C120="A0",Расчет!C120="P9",Расчет!B120="722W"),"-",Расчет!A120)</f>
        <v>11265</v>
      </c>
      <c r="BO123" s="173">
        <f t="shared" si="45"/>
        <v>0</v>
      </c>
      <c r="BP123" s="172" t="str">
        <f>IF(BQ123="-","-",IFERROR(IF(OR(VLOOKUP(BN123,Расчет!$A$2:$E$582,5,FALSE)="2PS",VLOOKUP(BN123,Расчет!$A$2:$E$582,5,FALSE)="2QL"),IF(OR(VLOOKUP(BN123,Расчет!$A$2:$E$582,2,FALSE)="664W",VLOOKUP(BN123,Расчет!$A$2:$E$582,2,FALSE)="813W"),IF(BN123-$BS$7&gt;150,BN123-$BS$7-1000+$AD$12,BN123-$BS$7+$AD$12),IF(BN123-$BS$7&gt;150,BN123-$BS$7-1000+$AD$17,BN123-$BS$7+$AD$17)),IF(BN123-$BS$7&gt;150,BN123-$BS$7-1000,BN123-$BS$7)),"-"))</f>
        <v>-</v>
      </c>
      <c r="BQ123" s="173">
        <f t="shared" si="42"/>
        <v>11265</v>
      </c>
      <c r="BR123" s="453"/>
      <c r="BS123" s="171"/>
      <c r="BT123" s="464" t="str">
        <f t="shared" si="43"/>
        <v>-</v>
      </c>
      <c r="BU123" s="464" t="str">
        <f t="shared" si="44"/>
        <v>-</v>
      </c>
      <c r="BX123" s="204">
        <f>COUNTIF($BY$4:BY123,"&lt;100")</f>
        <v>0</v>
      </c>
      <c r="BY123" s="213" t="str">
        <f t="shared" si="53"/>
        <v/>
      </c>
      <c r="BZ123" s="216" t="str">
        <f t="shared" si="54"/>
        <v/>
      </c>
      <c r="CA123" s="213" t="e">
        <f t="shared" si="37"/>
        <v>#N/A</v>
      </c>
      <c r="CB123" s="209" t="e">
        <f t="shared" si="38"/>
        <v>#N/A</v>
      </c>
      <c r="CC123" s="205" t="str">
        <f t="shared" si="46"/>
        <v/>
      </c>
      <c r="CD123" s="205" t="str">
        <f t="shared" si="55"/>
        <v>-</v>
      </c>
      <c r="CE123" s="204">
        <f t="shared" si="57"/>
        <v>0</v>
      </c>
      <c r="CG123" s="20" t="str">
        <f t="shared" si="58"/>
        <v/>
      </c>
    </row>
    <row r="124" spans="6:86" ht="21">
      <c r="N124" s="8"/>
      <c r="O124" s="8"/>
      <c r="AJ124"/>
      <c r="AK124"/>
      <c r="AL124"/>
      <c r="AM124" s="87"/>
      <c r="AN124" s="87"/>
      <c r="AO124" s="14" t="str">
        <f>IF(R21="","",COUNTA($R$3:R21)+$AO$105)</f>
        <v/>
      </c>
      <c r="AP124" s="88" t="str">
        <f>IF(AO124="","",IF(AO124+Расчет!$Y$57+$BD$2-Расчет!$X$57&gt;200,AO124+Расчет!$Y$57+$BD$2-1000,AO124+Расчет!$Y$57+$BD$2))</f>
        <v/>
      </c>
      <c r="BL124" s="172">
        <f>COUNTIF($BM$5:BM124,"&lt;-115")</f>
        <v>0</v>
      </c>
      <c r="BM124" s="154" t="str">
        <f>IFERROR(IF(OR(IFERROR(VLOOKUP(BN124,$E$3:$E$105,1,FALSE),"0")=BN124,IFERROR(VLOOKUP(BN124,$R$3:$R$105,1,FALSE),"0")=BN124),BO124,IF(OR(VLOOKUP(BN124,Расчет!A:E,5,FALSE)="2PS",VLOOKUP(BN124,Расчет!A:E,5,FALSE)="2QL"),IF(VLOOKUP(BN124,Расчет!A:B,2,FALSE)="831W",BN124-$BS$7+$AD$17,BN124-$BS$7+$AD$12),BN124-$BS$7)),"-")</f>
        <v>-</v>
      </c>
      <c r="BN124" s="154">
        <f>IF(OR(Расчет!C121="A0",Расчет!C121="P9",Расчет!B121="722W"),"-",Расчет!A121)</f>
        <v>11266</v>
      </c>
      <c r="BO124" s="173">
        <f t="shared" si="45"/>
        <v>0</v>
      </c>
      <c r="BP124" s="172" t="str">
        <f>IF(BQ124="-","-",IFERROR(IF(OR(VLOOKUP(BN124,Расчет!$A$2:$E$582,5,FALSE)="2PS",VLOOKUP(BN124,Расчет!$A$2:$E$582,5,FALSE)="2QL"),IF(OR(VLOOKUP(BN124,Расчет!$A$2:$E$582,2,FALSE)="664W",VLOOKUP(BN124,Расчет!$A$2:$E$582,2,FALSE)="813W"),IF(BN124-$BS$7&gt;150,BN124-$BS$7-1000+$AD$12,BN124-$BS$7+$AD$12),IF(BN124-$BS$7&gt;150,BN124-$BS$7-1000+$AD$17,BN124-$BS$7+$AD$17)),IF(BN124-$BS$7&gt;150,BN124-$BS$7-1000,BN124-$BS$7)),"-"))</f>
        <v>-</v>
      </c>
      <c r="BQ124" s="173">
        <f t="shared" si="42"/>
        <v>11266</v>
      </c>
      <c r="BR124" s="453"/>
      <c r="BS124" s="171"/>
      <c r="BT124" s="464" t="str">
        <f t="shared" si="43"/>
        <v>-</v>
      </c>
      <c r="BU124" s="464" t="str">
        <f t="shared" si="44"/>
        <v>-</v>
      </c>
      <c r="BX124" s="204">
        <f>COUNTIF($BY$4:BY124,"&lt;100")</f>
        <v>0</v>
      </c>
      <c r="BY124" s="213" t="str">
        <f t="shared" si="53"/>
        <v/>
      </c>
      <c r="BZ124" s="216" t="str">
        <f t="shared" si="54"/>
        <v/>
      </c>
      <c r="CA124" s="213" t="e">
        <f t="shared" si="37"/>
        <v>#N/A</v>
      </c>
      <c r="CB124" s="209" t="e">
        <f t="shared" si="38"/>
        <v>#N/A</v>
      </c>
      <c r="CC124" s="205" t="str">
        <f t="shared" si="46"/>
        <v/>
      </c>
      <c r="CD124" s="205" t="str">
        <f t="shared" si="55"/>
        <v>-</v>
      </c>
      <c r="CE124" s="204">
        <f t="shared" si="57"/>
        <v>0</v>
      </c>
      <c r="CG124" s="20" t="str">
        <f t="shared" si="58"/>
        <v/>
      </c>
    </row>
    <row r="125" spans="6:86" ht="21">
      <c r="N125" s="8"/>
      <c r="O125" s="8"/>
      <c r="AJ125"/>
      <c r="AK125"/>
      <c r="AL125"/>
      <c r="AM125" s="87"/>
      <c r="AN125" s="87"/>
      <c r="AO125" s="14" t="str">
        <f>IF(R22="","",COUNTA($R$3:R22)+$AO$105)</f>
        <v/>
      </c>
      <c r="AP125" s="88" t="str">
        <f>IF(AO125="","",IF(AO125+Расчет!$Y$57+$BD$2-Расчет!$X$57&gt;200,AO125+Расчет!$Y$57+$BD$2-1000,AO125+Расчет!$Y$57+$BD$2))</f>
        <v/>
      </c>
      <c r="BL125" s="172">
        <f>COUNTIF($BM$5:BM125,"&lt;-115")</f>
        <v>0</v>
      </c>
      <c r="BM125" s="154" t="str">
        <f>IFERROR(IF(OR(IFERROR(VLOOKUP(BN125,$E$3:$E$105,1,FALSE),"0")=BN125,IFERROR(VLOOKUP(BN125,$R$3:$R$105,1,FALSE),"0")=BN125),BO125,IF(OR(VLOOKUP(BN125,Расчет!A:E,5,FALSE)="2PS",VLOOKUP(BN125,Расчет!A:E,5,FALSE)="2QL"),IF(VLOOKUP(BN125,Расчет!A:B,2,FALSE)="831W",BN125-$BS$7+$AD$17,BN125-$BS$7+$AD$12),BN125-$BS$7)),"-")</f>
        <v>-</v>
      </c>
      <c r="BN125" s="154">
        <f>IF(OR(Расчет!C122="A0",Расчет!C122="P9",Расчет!B122="722W"),"-",Расчет!A122)</f>
        <v>11267</v>
      </c>
      <c r="BO125" s="173">
        <f t="shared" si="45"/>
        <v>0</v>
      </c>
      <c r="BP125" s="172" t="str">
        <f>IF(BQ125="-","-",IFERROR(IF(OR(VLOOKUP(BN125,Расчет!$A$2:$E$582,5,FALSE)="2PS",VLOOKUP(BN125,Расчет!$A$2:$E$582,5,FALSE)="2QL"),IF(OR(VLOOKUP(BN125,Расчет!$A$2:$E$582,2,FALSE)="664W",VLOOKUP(BN125,Расчет!$A$2:$E$582,2,FALSE)="813W"),IF(BN125-$BS$7&gt;150,BN125-$BS$7-1000+$AD$12,BN125-$BS$7+$AD$12),IF(BN125-$BS$7&gt;150,BN125-$BS$7-1000+$AD$17,BN125-$BS$7+$AD$17)),IF(BN125-$BS$7&gt;150,BN125-$BS$7-1000,BN125-$BS$7)),"-"))</f>
        <v>-</v>
      </c>
      <c r="BQ125" s="173">
        <f t="shared" si="42"/>
        <v>11267</v>
      </c>
      <c r="BR125" s="453"/>
      <c r="BS125" s="171"/>
      <c r="BT125" s="464" t="str">
        <f t="shared" si="43"/>
        <v>-</v>
      </c>
      <c r="BU125" s="464" t="str">
        <f t="shared" si="44"/>
        <v>-</v>
      </c>
      <c r="BX125" s="204">
        <f>COUNTIF($BY$4:BY125,"&lt;100")</f>
        <v>0</v>
      </c>
      <c r="BY125" s="213" t="str">
        <f t="shared" si="53"/>
        <v/>
      </c>
      <c r="BZ125" s="216" t="str">
        <f t="shared" si="54"/>
        <v/>
      </c>
      <c r="CA125" s="213" t="e">
        <f t="shared" si="37"/>
        <v>#N/A</v>
      </c>
      <c r="CB125" s="209" t="e">
        <f t="shared" si="38"/>
        <v>#N/A</v>
      </c>
      <c r="CC125" s="205" t="str">
        <f t="shared" si="46"/>
        <v/>
      </c>
      <c r="CD125" s="205" t="str">
        <f t="shared" si="55"/>
        <v>-</v>
      </c>
      <c r="CE125" s="204">
        <f t="shared" si="57"/>
        <v>0</v>
      </c>
      <c r="CG125" s="20" t="str">
        <f t="shared" si="58"/>
        <v/>
      </c>
    </row>
    <row r="126" spans="6:86" ht="21">
      <c r="N126" s="8"/>
      <c r="O126" s="8"/>
      <c r="AJ126"/>
      <c r="AK126"/>
      <c r="AL126"/>
      <c r="AM126" s="87"/>
      <c r="AN126" s="87"/>
      <c r="AO126" s="14" t="str">
        <f>IF(R23="","",COUNTA($R$3:R23)+$AO$105)</f>
        <v/>
      </c>
      <c r="AP126" s="88" t="str">
        <f>IF(AO126="","",IF(AO126+Расчет!$Y$57+$BD$2-Расчет!$X$57&gt;200,AO126+Расчет!$Y$57+$BD$2-1000,AO126+Расчет!$Y$57+$BD$2))</f>
        <v/>
      </c>
      <c r="BL126" s="172">
        <f>COUNTIF($BM$5:BM126,"&lt;-115")</f>
        <v>0</v>
      </c>
      <c r="BM126" s="154" t="str">
        <f>IFERROR(IF(OR(IFERROR(VLOOKUP(BN126,$E$3:$E$105,1,FALSE),"0")=BN126,IFERROR(VLOOKUP(BN126,$R$3:$R$105,1,FALSE),"0")=BN126),BO126,IF(OR(VLOOKUP(BN126,Расчет!A:E,5,FALSE)="2PS",VLOOKUP(BN126,Расчет!A:E,5,FALSE)="2QL"),IF(VLOOKUP(BN126,Расчет!A:B,2,FALSE)="831W",BN126-$BS$7+$AD$17,BN126-$BS$7+$AD$12),BN126-$BS$7)),"-")</f>
        <v>-</v>
      </c>
      <c r="BN126" s="154">
        <f>IF(OR(Расчет!C123="A0",Расчет!C123="P9",Расчет!B123="722W"),"-",Расчет!A123)</f>
        <v>11268</v>
      </c>
      <c r="BO126" s="173">
        <f t="shared" si="45"/>
        <v>0</v>
      </c>
      <c r="BP126" s="172" t="str">
        <f>IF(BQ126="-","-",IFERROR(IF(OR(VLOOKUP(BN126,Расчет!$A$2:$E$582,5,FALSE)="2PS",VLOOKUP(BN126,Расчет!$A$2:$E$582,5,FALSE)="2QL"),IF(OR(VLOOKUP(BN126,Расчет!$A$2:$E$582,2,FALSE)="664W",VLOOKUP(BN126,Расчет!$A$2:$E$582,2,FALSE)="813W"),IF(BN126-$BS$7&gt;150,BN126-$BS$7-1000+$AD$12,BN126-$BS$7+$AD$12),IF(BN126-$BS$7&gt;150,BN126-$BS$7-1000+$AD$17,BN126-$BS$7+$AD$17)),IF(BN126-$BS$7&gt;150,BN126-$BS$7-1000,BN126-$BS$7)),"-"))</f>
        <v>-</v>
      </c>
      <c r="BQ126" s="173">
        <f t="shared" si="42"/>
        <v>11268</v>
      </c>
      <c r="BR126" s="453"/>
      <c r="BS126" s="171"/>
      <c r="BT126" s="464" t="str">
        <f t="shared" si="43"/>
        <v>-</v>
      </c>
      <c r="BU126" s="464" t="str">
        <f t="shared" si="44"/>
        <v>-</v>
      </c>
      <c r="BX126" s="204">
        <f>COUNTIF($BY$4:BY126,"&lt;100")</f>
        <v>0</v>
      </c>
      <c r="BY126" s="213" t="str">
        <f t="shared" si="53"/>
        <v/>
      </c>
      <c r="BZ126" s="216" t="str">
        <f t="shared" si="54"/>
        <v/>
      </c>
      <c r="CA126" s="213" t="e">
        <f t="shared" si="37"/>
        <v>#N/A</v>
      </c>
      <c r="CB126" s="209" t="e">
        <f t="shared" si="38"/>
        <v>#N/A</v>
      </c>
      <c r="CC126" s="205" t="str">
        <f t="shared" si="46"/>
        <v/>
      </c>
      <c r="CD126" s="205" t="str">
        <f t="shared" si="55"/>
        <v>-</v>
      </c>
      <c r="CE126" s="204">
        <f t="shared" si="57"/>
        <v>0</v>
      </c>
      <c r="CG126" s="20" t="str">
        <f t="shared" si="58"/>
        <v/>
      </c>
    </row>
    <row r="127" spans="6:86" ht="21">
      <c r="N127" s="8"/>
      <c r="O127" s="8"/>
      <c r="AJ127"/>
      <c r="AK127"/>
      <c r="AL127"/>
      <c r="AM127" s="87"/>
      <c r="AN127" s="87"/>
      <c r="AO127" s="14" t="str">
        <f>IF(R24="","",COUNTA($R$3:R24)+$AO$105)</f>
        <v/>
      </c>
      <c r="AP127" s="88" t="str">
        <f>IF(AO127="","",IF(AO127+Расчет!$Y$57+$BD$2-Расчет!$X$57&gt;200,AO127+Расчет!$Y$57+$BD$2-1000,AO127+Расчет!$Y$57+$BD$2))</f>
        <v/>
      </c>
      <c r="BL127" s="172">
        <f>COUNTIF($BM$5:BM127,"&lt;-115")</f>
        <v>0</v>
      </c>
      <c r="BM127" s="154" t="str">
        <f>IFERROR(IF(OR(IFERROR(VLOOKUP(BN127,$E$3:$E$105,1,FALSE),"0")=BN127,IFERROR(VLOOKUP(BN127,$R$3:$R$105,1,FALSE),"0")=BN127),BO127,IF(OR(VLOOKUP(BN127,Расчет!A:E,5,FALSE)="2PS",VLOOKUP(BN127,Расчет!A:E,5,FALSE)="2QL"),IF(VLOOKUP(BN127,Расчет!A:B,2,FALSE)="831W",BN127-$BS$7+$AD$17,BN127-$BS$7+$AD$12),BN127-$BS$7)),"-")</f>
        <v>-</v>
      </c>
      <c r="BN127" s="154">
        <f>IF(OR(Расчет!C124="A0",Расчет!C124="P9",Расчет!B124="722W"),"-",Расчет!A124)</f>
        <v>11269</v>
      </c>
      <c r="BO127" s="173">
        <f t="shared" si="45"/>
        <v>0</v>
      </c>
      <c r="BP127" s="172" t="str">
        <f>IF(BQ127="-","-",IFERROR(IF(OR(VLOOKUP(BN127,Расчет!$A$2:$E$582,5,FALSE)="2PS",VLOOKUP(BN127,Расчет!$A$2:$E$582,5,FALSE)="2QL"),IF(OR(VLOOKUP(BN127,Расчет!$A$2:$E$582,2,FALSE)="664W",VLOOKUP(BN127,Расчет!$A$2:$E$582,2,FALSE)="813W"),IF(BN127-$BS$7&gt;150,BN127-$BS$7-1000+$AD$12,BN127-$BS$7+$AD$12),IF(BN127-$BS$7&gt;150,BN127-$BS$7-1000+$AD$17,BN127-$BS$7+$AD$17)),IF(BN127-$BS$7&gt;150,BN127-$BS$7-1000,BN127-$BS$7)),"-"))</f>
        <v>-</v>
      </c>
      <c r="BQ127" s="173">
        <f t="shared" si="42"/>
        <v>11269</v>
      </c>
      <c r="BR127" s="453"/>
      <c r="BS127" s="171"/>
      <c r="BT127" s="464" t="str">
        <f t="shared" si="43"/>
        <v>-</v>
      </c>
      <c r="BU127" s="464" t="str">
        <f t="shared" si="44"/>
        <v>-</v>
      </c>
      <c r="BX127" s="204">
        <f>COUNTIF($BY$4:BY127,"&lt;100")</f>
        <v>0</v>
      </c>
      <c r="BY127" s="213" t="str">
        <f t="shared" si="53"/>
        <v/>
      </c>
      <c r="BZ127" s="216" t="str">
        <f t="shared" si="54"/>
        <v/>
      </c>
      <c r="CA127" s="213" t="e">
        <f t="shared" si="37"/>
        <v>#N/A</v>
      </c>
      <c r="CB127" s="209" t="e">
        <f t="shared" si="38"/>
        <v>#N/A</v>
      </c>
      <c r="CC127" s="205" t="str">
        <f t="shared" si="46"/>
        <v/>
      </c>
      <c r="CD127" s="205" t="str">
        <f t="shared" si="55"/>
        <v>-</v>
      </c>
      <c r="CE127" s="204">
        <f t="shared" si="57"/>
        <v>0</v>
      </c>
      <c r="CG127" s="20" t="str">
        <f t="shared" si="58"/>
        <v/>
      </c>
    </row>
    <row r="128" spans="6:86" ht="21">
      <c r="N128" s="8"/>
      <c r="O128" s="8"/>
      <c r="AJ128"/>
      <c r="AK128"/>
      <c r="AL128"/>
      <c r="AM128" s="87"/>
      <c r="AN128" s="87"/>
      <c r="AO128" s="14" t="str">
        <f>IF(R25="","",COUNTA($R$3:R25)+$AO$105)</f>
        <v/>
      </c>
      <c r="AP128" s="88" t="str">
        <f>IF(AO128="","",IF(AO128+Расчет!$Y$57+$BD$2-Расчет!$X$57&gt;200,AO128+Расчет!$Y$57+$BD$2-1000,AO128+Расчет!$Y$57+$BD$2))</f>
        <v/>
      </c>
      <c r="BL128" s="172">
        <f>COUNTIF($BM$5:BM128,"&lt;-115")</f>
        <v>0</v>
      </c>
      <c r="BM128" s="154" t="str">
        <f>IFERROR(IF(OR(IFERROR(VLOOKUP(BN128,$E$3:$E$105,1,FALSE),"0")=BN128,IFERROR(VLOOKUP(BN128,$R$3:$R$105,1,FALSE),"0")=BN128),BO128,IF(OR(VLOOKUP(BN128,Расчет!A:E,5,FALSE)="2PS",VLOOKUP(BN128,Расчет!A:E,5,FALSE)="2QL"),IF(VLOOKUP(BN128,Расчет!A:B,2,FALSE)="831W",BN128-$BS$7+$AD$17,BN128-$BS$7+$AD$12),BN128-$BS$7)),"-")</f>
        <v>-</v>
      </c>
      <c r="BN128" s="154">
        <f>IF(OR(Расчет!C125="A0",Расчет!C125="P9",Расчет!B125="722W"),"-",Расчет!A125)</f>
        <v>11270</v>
      </c>
      <c r="BO128" s="173">
        <f t="shared" si="45"/>
        <v>0</v>
      </c>
      <c r="BP128" s="172" t="str">
        <f>IF(BQ128="-","-",IFERROR(IF(OR(VLOOKUP(BN128,Расчет!$A$2:$E$582,5,FALSE)="2PS",VLOOKUP(BN128,Расчет!$A$2:$E$582,5,FALSE)="2QL"),IF(OR(VLOOKUP(BN128,Расчет!$A$2:$E$582,2,FALSE)="664W",VLOOKUP(BN128,Расчет!$A$2:$E$582,2,FALSE)="813W"),IF(BN128-$BS$7&gt;150,BN128-$BS$7-1000+$AD$12,BN128-$BS$7+$AD$12),IF(BN128-$BS$7&gt;150,BN128-$BS$7-1000+$AD$17,BN128-$BS$7+$AD$17)),IF(BN128-$BS$7&gt;150,BN128-$BS$7-1000,BN128-$BS$7)),"-"))</f>
        <v>-</v>
      </c>
      <c r="BQ128" s="173">
        <f t="shared" si="42"/>
        <v>11270</v>
      </c>
      <c r="BR128" s="453"/>
      <c r="BS128" s="171"/>
      <c r="BT128" s="464" t="str">
        <f t="shared" si="43"/>
        <v>-</v>
      </c>
      <c r="BU128" s="464" t="str">
        <f t="shared" si="44"/>
        <v>-</v>
      </c>
      <c r="BX128" s="204">
        <f>COUNTIF($BY$4:BY128,"&lt;100")</f>
        <v>0</v>
      </c>
      <c r="BY128" s="213" t="str">
        <f t="shared" si="53"/>
        <v/>
      </c>
      <c r="BZ128" s="216" t="str">
        <f t="shared" si="54"/>
        <v/>
      </c>
      <c r="CA128" s="213" t="e">
        <f t="shared" si="37"/>
        <v>#N/A</v>
      </c>
      <c r="CB128" s="209" t="e">
        <f t="shared" si="38"/>
        <v>#N/A</v>
      </c>
      <c r="CC128" s="205" t="str">
        <f t="shared" si="46"/>
        <v/>
      </c>
      <c r="CD128" s="205" t="str">
        <f t="shared" si="55"/>
        <v>-</v>
      </c>
      <c r="CE128" s="204">
        <f t="shared" si="57"/>
        <v>0</v>
      </c>
      <c r="CG128" s="20" t="str">
        <f t="shared" si="58"/>
        <v/>
      </c>
    </row>
    <row r="129" spans="14:85" ht="21">
      <c r="N129" s="8"/>
      <c r="O129" s="8"/>
      <c r="AJ129"/>
      <c r="AK129"/>
      <c r="AL129"/>
      <c r="AM129" s="87"/>
      <c r="AN129" s="87"/>
      <c r="AO129" s="14" t="str">
        <f>IF(R26="","",COUNTA($R$3:R26)+$AO$105)</f>
        <v/>
      </c>
      <c r="AP129" s="88" t="str">
        <f>IF(AO129="","",IF(AO129+Расчет!$Y$57+$BD$2-Расчет!$X$57&gt;200,AO129+Расчет!$Y$57+$BD$2-1000,AO129+Расчет!$Y$57+$BD$2))</f>
        <v/>
      </c>
      <c r="BL129" s="172">
        <f>COUNTIF($BM$5:BM129,"&lt;-115")</f>
        <v>0</v>
      </c>
      <c r="BM129" s="154" t="str">
        <f>IFERROR(IF(OR(IFERROR(VLOOKUP(BN129,$E$3:$E$105,1,FALSE),"0")=BN129,IFERROR(VLOOKUP(BN129,$R$3:$R$105,1,FALSE),"0")=BN129),BO129,IF(OR(VLOOKUP(BN129,Расчет!A:E,5,FALSE)="2PS",VLOOKUP(BN129,Расчет!A:E,5,FALSE)="2QL"),IF(VLOOKUP(BN129,Расчет!A:B,2,FALSE)="831W",BN129-$BS$7+$AD$17,BN129-$BS$7+$AD$12),BN129-$BS$7)),"-")</f>
        <v>-</v>
      </c>
      <c r="BN129" s="154">
        <f>IF(OR(Расчет!C126="A0",Расчет!C126="P9",Расчет!B126="722W"),"-",Расчет!A126)</f>
        <v>11271</v>
      </c>
      <c r="BO129" s="173">
        <f t="shared" si="45"/>
        <v>0</v>
      </c>
      <c r="BP129" s="172" t="str">
        <f>IF(BQ129="-","-",IFERROR(IF(OR(VLOOKUP(BN129,Расчет!$A$2:$E$582,5,FALSE)="2PS",VLOOKUP(BN129,Расчет!$A$2:$E$582,5,FALSE)="2QL"),IF(OR(VLOOKUP(BN129,Расчет!$A$2:$E$582,2,FALSE)="664W",VLOOKUP(BN129,Расчет!$A$2:$E$582,2,FALSE)="813W"),IF(BN129-$BS$7&gt;150,BN129-$BS$7-1000+$AD$12,BN129-$BS$7+$AD$12),IF(BN129-$BS$7&gt;150,BN129-$BS$7-1000+$AD$17,BN129-$BS$7+$AD$17)),IF(BN129-$BS$7&gt;150,BN129-$BS$7-1000,BN129-$BS$7)),"-"))</f>
        <v>-</v>
      </c>
      <c r="BQ129" s="173">
        <f t="shared" si="42"/>
        <v>11271</v>
      </c>
      <c r="BR129" s="453"/>
      <c r="BS129" s="171"/>
      <c r="BT129" s="464" t="str">
        <f t="shared" si="43"/>
        <v>-</v>
      </c>
      <c r="BU129" s="464" t="str">
        <f t="shared" si="44"/>
        <v>-</v>
      </c>
      <c r="BX129" s="204">
        <f>COUNTIF($BY$4:BY129,"&lt;100")</f>
        <v>0</v>
      </c>
      <c r="BY129" s="213" t="str">
        <f t="shared" si="53"/>
        <v/>
      </c>
      <c r="BZ129" s="216" t="str">
        <f t="shared" si="54"/>
        <v/>
      </c>
      <c r="CA129" s="213" t="e">
        <f t="shared" si="37"/>
        <v>#N/A</v>
      </c>
      <c r="CB129" s="209" t="e">
        <f t="shared" si="38"/>
        <v>#N/A</v>
      </c>
      <c r="CC129" s="205" t="str">
        <f t="shared" si="46"/>
        <v/>
      </c>
      <c r="CD129" s="205" t="str">
        <f t="shared" si="55"/>
        <v>-</v>
      </c>
      <c r="CE129" s="204">
        <f t="shared" si="57"/>
        <v>0</v>
      </c>
      <c r="CG129" s="20" t="str">
        <f t="shared" si="58"/>
        <v/>
      </c>
    </row>
    <row r="130" spans="14:85" ht="21">
      <c r="N130" s="8"/>
      <c r="O130" s="8"/>
      <c r="AJ130"/>
      <c r="AK130"/>
      <c r="AL130"/>
      <c r="AM130" s="87"/>
      <c r="AN130" s="87"/>
      <c r="AO130" s="14" t="str">
        <f>IF(R27="","",COUNTA($R$3:R27)+$AO$105)</f>
        <v/>
      </c>
      <c r="AP130" s="88" t="str">
        <f>IF(AO130="","",IF(AO130+Расчет!$Y$57+$BD$2-Расчет!$X$57&gt;200,AO130+Расчет!$Y$57+$BD$2-1000,AO130+Расчет!$Y$57+$BD$2))</f>
        <v/>
      </c>
      <c r="BL130" s="172">
        <f>COUNTIF($BM$5:BM130,"&lt;-115")</f>
        <v>0</v>
      </c>
      <c r="BM130" s="154" t="str">
        <f>IFERROR(IF(OR(IFERROR(VLOOKUP(BN130,$E$3:$E$105,1,FALSE),"0")=BN130,IFERROR(VLOOKUP(BN130,$R$3:$R$105,1,FALSE),"0")=BN130),BO130,IF(OR(VLOOKUP(BN130,Расчет!A:E,5,FALSE)="2PS",VLOOKUP(BN130,Расчет!A:E,5,FALSE)="2QL"),IF(VLOOKUP(BN130,Расчет!A:B,2,FALSE)="831W",BN130-$BS$7+$AD$17,BN130-$BS$7+$AD$12),BN130-$BS$7)),"-")</f>
        <v>-</v>
      </c>
      <c r="BN130" s="154">
        <f>IF(OR(Расчет!C127="A0",Расчет!C127="P9",Расчет!B127="722W"),"-",Расчет!A127)</f>
        <v>11272</v>
      </c>
      <c r="BO130" s="173">
        <f t="shared" si="45"/>
        <v>0</v>
      </c>
      <c r="BP130" s="172" t="str">
        <f>IF(BQ130="-","-",IFERROR(IF(OR(VLOOKUP(BN130,Расчет!$A$2:$E$582,5,FALSE)="2PS",VLOOKUP(BN130,Расчет!$A$2:$E$582,5,FALSE)="2QL"),IF(OR(VLOOKUP(BN130,Расчет!$A$2:$E$582,2,FALSE)="664W",VLOOKUP(BN130,Расчет!$A$2:$E$582,2,FALSE)="813W"),IF(BN130-$BS$7&gt;150,BN130-$BS$7-1000+$AD$12,BN130-$BS$7+$AD$12),IF(BN130-$BS$7&gt;150,BN130-$BS$7-1000+$AD$17,BN130-$BS$7+$AD$17)),IF(BN130-$BS$7&gt;150,BN130-$BS$7-1000,BN130-$BS$7)),"-"))</f>
        <v>-</v>
      </c>
      <c r="BQ130" s="173">
        <f t="shared" si="42"/>
        <v>11272</v>
      </c>
      <c r="BR130" s="453"/>
      <c r="BS130" s="171"/>
      <c r="BT130" s="464" t="str">
        <f t="shared" si="43"/>
        <v>-</v>
      </c>
      <c r="BU130" s="464" t="str">
        <f t="shared" si="44"/>
        <v>-</v>
      </c>
      <c r="BX130" s="204">
        <f>COUNTIF($BY$4:BY130,"&lt;100")</f>
        <v>0</v>
      </c>
      <c r="BY130" s="213" t="str">
        <f t="shared" si="53"/>
        <v/>
      </c>
      <c r="BZ130" s="216" t="str">
        <f t="shared" si="54"/>
        <v/>
      </c>
      <c r="CA130" s="213" t="e">
        <f t="shared" si="37"/>
        <v>#N/A</v>
      </c>
      <c r="CB130" s="209" t="e">
        <f t="shared" si="38"/>
        <v>#N/A</v>
      </c>
      <c r="CC130" s="205" t="str">
        <f t="shared" si="46"/>
        <v/>
      </c>
      <c r="CD130" s="205" t="str">
        <f t="shared" si="55"/>
        <v>-</v>
      </c>
      <c r="CE130" s="204">
        <f t="shared" si="57"/>
        <v>0</v>
      </c>
      <c r="CG130" s="20" t="str">
        <f t="shared" si="58"/>
        <v/>
      </c>
    </row>
    <row r="131" spans="14:85" ht="21">
      <c r="N131" s="8"/>
      <c r="O131" s="8"/>
      <c r="AJ131"/>
      <c r="AK131"/>
      <c r="AL131"/>
      <c r="AM131" s="87"/>
      <c r="AN131" s="87"/>
      <c r="AO131" s="14" t="str">
        <f>IF(R28="","",COUNTA($R$3:R28)+$AO$105)</f>
        <v/>
      </c>
      <c r="AP131" s="88" t="str">
        <f>IF(AO131="","",IF(AO131+Расчет!$Y$57+$BD$2-Расчет!$X$57&gt;200,AO131+Расчет!$Y$57+$BD$2-1000,AO131+Расчет!$Y$57+$BD$2))</f>
        <v/>
      </c>
      <c r="BL131" s="172">
        <f>COUNTIF($BM$5:BM131,"&lt;-115")</f>
        <v>0</v>
      </c>
      <c r="BM131" s="154" t="str">
        <f>IFERROR(IF(OR(IFERROR(VLOOKUP(BN131,$E$3:$E$105,1,FALSE),"0")=BN131,IFERROR(VLOOKUP(BN131,$R$3:$R$105,1,FALSE),"0")=BN131),BO131,IF(OR(VLOOKUP(BN131,Расчет!A:E,5,FALSE)="2PS",VLOOKUP(BN131,Расчет!A:E,5,FALSE)="2QL"),IF(VLOOKUP(BN131,Расчет!A:B,2,FALSE)="831W",BN131-$BS$7+$AD$17,BN131-$BS$7+$AD$12),BN131-$BS$7)),"-")</f>
        <v>-</v>
      </c>
      <c r="BN131" s="154">
        <f>IF(OR(Расчет!C128="A0",Расчет!C128="P9",Расчет!B128="722W"),"-",Расчет!A128)</f>
        <v>11273</v>
      </c>
      <c r="BO131" s="173">
        <f t="shared" si="45"/>
        <v>0</v>
      </c>
      <c r="BP131" s="172" t="str">
        <f>IF(BQ131="-","-",IFERROR(IF(OR(VLOOKUP(BN131,Расчет!$A$2:$E$582,5,FALSE)="2PS",VLOOKUP(BN131,Расчет!$A$2:$E$582,5,FALSE)="2QL"),IF(OR(VLOOKUP(BN131,Расчет!$A$2:$E$582,2,FALSE)="664W",VLOOKUP(BN131,Расчет!$A$2:$E$582,2,FALSE)="813W"),IF(BN131-$BS$7&gt;150,BN131-$BS$7-1000+$AD$12,BN131-$BS$7+$AD$12),IF(BN131-$BS$7&gt;150,BN131-$BS$7-1000+$AD$17,BN131-$BS$7+$AD$17)),IF(BN131-$BS$7&gt;150,BN131-$BS$7-1000,BN131-$BS$7)),"-"))</f>
        <v>-</v>
      </c>
      <c r="BQ131" s="173">
        <f t="shared" si="42"/>
        <v>11273</v>
      </c>
      <c r="BR131" s="453"/>
      <c r="BS131" s="171"/>
      <c r="BT131" s="464" t="str">
        <f t="shared" si="43"/>
        <v>-</v>
      </c>
      <c r="BU131" s="464" t="str">
        <f t="shared" si="44"/>
        <v>-</v>
      </c>
      <c r="BX131" s="204">
        <f>COUNTIF($BY$4:BY131,"&lt;100")</f>
        <v>0</v>
      </c>
      <c r="BY131" s="213" t="str">
        <f t="shared" si="53"/>
        <v/>
      </c>
      <c r="BZ131" s="216" t="str">
        <f t="shared" si="54"/>
        <v/>
      </c>
      <c r="CA131" s="213" t="e">
        <f t="shared" si="37"/>
        <v>#N/A</v>
      </c>
      <c r="CB131" s="209" t="e">
        <f t="shared" si="38"/>
        <v>#N/A</v>
      </c>
      <c r="CC131" s="205" t="str">
        <f t="shared" si="46"/>
        <v/>
      </c>
      <c r="CD131" s="205" t="str">
        <f t="shared" si="55"/>
        <v>-</v>
      </c>
      <c r="CE131" s="204">
        <f t="shared" si="57"/>
        <v>0</v>
      </c>
      <c r="CG131" s="20" t="str">
        <f t="shared" si="58"/>
        <v/>
      </c>
    </row>
    <row r="132" spans="14:85" ht="21">
      <c r="N132" s="8"/>
      <c r="O132" s="8"/>
      <c r="AJ132"/>
      <c r="AK132"/>
      <c r="AL132"/>
      <c r="AM132" s="87"/>
      <c r="AN132" s="87"/>
      <c r="AO132" s="14" t="str">
        <f>IF(R29="","",COUNTA($R$3:R29)+$AO$105)</f>
        <v/>
      </c>
      <c r="AP132" s="88" t="str">
        <f>IF(AO132="","",IF(AO132+Расчет!$Y$57+$BD$2-Расчет!$X$57&gt;200,AO132+Расчет!$Y$57+$BD$2-1000,AO132+Расчет!$Y$57+$BD$2))</f>
        <v/>
      </c>
      <c r="BL132" s="172">
        <f>COUNTIF($BM$5:BM132,"&lt;-115")</f>
        <v>0</v>
      </c>
      <c r="BM132" s="154" t="str">
        <f>IFERROR(IF(OR(IFERROR(VLOOKUP(BN132,$E$3:$E$105,1,FALSE),"0")=BN132,IFERROR(VLOOKUP(BN132,$R$3:$R$105,1,FALSE),"0")=BN132),BO132,IF(OR(VLOOKUP(BN132,Расчет!A:E,5,FALSE)="2PS",VLOOKUP(BN132,Расчет!A:E,5,FALSE)="2QL"),IF(VLOOKUP(BN132,Расчет!A:B,2,FALSE)="831W",BN132-$BS$7+$AD$17,BN132-$BS$7+$AD$12),BN132-$BS$7)),"-")</f>
        <v>-</v>
      </c>
      <c r="BN132" s="154">
        <f>IF(OR(Расчет!C129="A0",Расчет!C129="P9",Расчет!B129="722W"),"-",Расчет!A129)</f>
        <v>11274</v>
      </c>
      <c r="BO132" s="173">
        <f t="shared" si="45"/>
        <v>0</v>
      </c>
      <c r="BP132" s="172" t="str">
        <f>IF(BQ132="-","-",IFERROR(IF(OR(VLOOKUP(BN132,Расчет!$A$2:$E$582,5,FALSE)="2PS",VLOOKUP(BN132,Расчет!$A$2:$E$582,5,FALSE)="2QL"),IF(OR(VLOOKUP(BN132,Расчет!$A$2:$E$582,2,FALSE)="664W",VLOOKUP(BN132,Расчет!$A$2:$E$582,2,FALSE)="813W"),IF(BN132-$BS$7&gt;150,BN132-$BS$7-1000+$AD$12,BN132-$BS$7+$AD$12),IF(BN132-$BS$7&gt;150,BN132-$BS$7-1000+$AD$17,BN132-$BS$7+$AD$17)),IF(BN132-$BS$7&gt;150,BN132-$BS$7-1000,BN132-$BS$7)),"-"))</f>
        <v>-</v>
      </c>
      <c r="BQ132" s="173">
        <f t="shared" si="42"/>
        <v>11274</v>
      </c>
      <c r="BR132" s="453"/>
      <c r="BS132" s="171"/>
      <c r="BT132" s="464" t="str">
        <f t="shared" si="43"/>
        <v>-</v>
      </c>
      <c r="BU132" s="464" t="str">
        <f t="shared" si="44"/>
        <v>-</v>
      </c>
      <c r="BX132" s="204">
        <f>COUNTIF($BY$4:BY132,"&lt;100")</f>
        <v>0</v>
      </c>
      <c r="BY132" s="213" t="str">
        <f t="shared" si="53"/>
        <v/>
      </c>
      <c r="BZ132" s="216" t="str">
        <f t="shared" si="54"/>
        <v/>
      </c>
      <c r="CA132" s="213" t="e">
        <f t="shared" ref="CA132:CA195" si="59">VLOOKUP(ROW(A129),$BX$4:$BY$209,2,FALSE)</f>
        <v>#N/A</v>
      </c>
      <c r="CB132" s="209" t="e">
        <f t="shared" ref="CB132:CB195" si="60">VLOOKUP(ROW(A129),$BX$4:$BZ$209,3,FALSE)</f>
        <v>#N/A</v>
      </c>
      <c r="CC132" s="205" t="str">
        <f t="shared" si="46"/>
        <v/>
      </c>
      <c r="CD132" s="205" t="str">
        <f t="shared" si="55"/>
        <v>-</v>
      </c>
      <c r="CE132" s="204">
        <f t="shared" si="57"/>
        <v>0</v>
      </c>
      <c r="CG132" s="20" t="str">
        <f t="shared" si="58"/>
        <v/>
      </c>
    </row>
    <row r="133" spans="14:85" ht="21">
      <c r="N133" s="8"/>
      <c r="O133" s="8"/>
      <c r="AJ133"/>
      <c r="AK133"/>
      <c r="AL133"/>
      <c r="AM133" s="87"/>
      <c r="AN133" s="87"/>
      <c r="AO133" s="14" t="str">
        <f>IF(R30="","",COUNTA($R$3:R30)+$AO$105)</f>
        <v/>
      </c>
      <c r="AP133" s="88" t="str">
        <f>IF(AO133="","",IF(AO133+Расчет!$Y$57+$BD$2-Расчет!$X$57&gt;200,AO133+Расчет!$Y$57+$BD$2-1000,AO133+Расчет!$Y$57+$BD$2))</f>
        <v/>
      </c>
      <c r="BL133" s="172">
        <f>COUNTIF($BM$5:BM133,"&lt;-115")</f>
        <v>0</v>
      </c>
      <c r="BM133" s="154" t="str">
        <f>IFERROR(IF(OR(IFERROR(VLOOKUP(BN133,$E$3:$E$105,1,FALSE),"0")=BN133,IFERROR(VLOOKUP(BN133,$R$3:$R$105,1,FALSE),"0")=BN133),BO133,IF(OR(VLOOKUP(BN133,Расчет!A:E,5,FALSE)="2PS",VLOOKUP(BN133,Расчет!A:E,5,FALSE)="2QL"),IF(VLOOKUP(BN133,Расчет!A:B,2,FALSE)="831W",BN133-$BS$7+$AD$17,BN133-$BS$7+$AD$12),BN133-$BS$7)),"-")</f>
        <v>-</v>
      </c>
      <c r="BN133" s="154">
        <f>IF(OR(Расчет!C130="A0",Расчет!C130="P9",Расчет!B130="722W"),"-",Расчет!A130)</f>
        <v>11275</v>
      </c>
      <c r="BO133" s="173">
        <f t="shared" si="45"/>
        <v>0</v>
      </c>
      <c r="BP133" s="172" t="str">
        <f>IF(BQ133="-","-",IFERROR(IF(OR(VLOOKUP(BN133,Расчет!$A$2:$E$582,5,FALSE)="2PS",VLOOKUP(BN133,Расчет!$A$2:$E$582,5,FALSE)="2QL"),IF(OR(VLOOKUP(BN133,Расчет!$A$2:$E$582,2,FALSE)="664W",VLOOKUP(BN133,Расчет!$A$2:$E$582,2,FALSE)="813W"),IF(BN133-$BS$7&gt;150,BN133-$BS$7-1000+$AD$12,BN133-$BS$7+$AD$12),IF(BN133-$BS$7&gt;150,BN133-$BS$7-1000+$AD$17,BN133-$BS$7+$AD$17)),IF(BN133-$BS$7&gt;150,BN133-$BS$7-1000,BN133-$BS$7)),"-"))</f>
        <v>-</v>
      </c>
      <c r="BQ133" s="173">
        <f t="shared" ref="BQ133:BQ196" si="61">IFERROR(IF(OR(IFERROR(VLOOKUP(BN133,$E$3:$E$105,1,FALSE),"0")=BN133,IFERROR(VLOOKUP(BN133,$R$3:$R$105,1,FALSE),"0")=BN133),"-",BN133),"-")</f>
        <v>11275</v>
      </c>
      <c r="BR133" s="453"/>
      <c r="BS133" s="171"/>
      <c r="BT133" s="464" t="str">
        <f t="shared" ref="BT133:BT196" si="62">IF(BQ133="-","-",IF(AND(BP133&gt;=$BR$5,BP133&lt;$BR$5+9),BP133,"-"))</f>
        <v>-</v>
      </c>
      <c r="BU133" s="464" t="str">
        <f t="shared" ref="BU133:BU196" si="63">IF(OR(BP133=$AC$2+1,BP133=$AC$2+2,BP133=$AC$2+3,BP133=$AC$2+4,BP133=$AC$2+5,BP133=$AC$2+6),BP133,"-")</f>
        <v>-</v>
      </c>
      <c r="BX133" s="204">
        <f>COUNTIF($BY$4:BY133,"&lt;100")</f>
        <v>0</v>
      </c>
      <c r="BY133" s="213" t="str">
        <f t="shared" si="53"/>
        <v/>
      </c>
      <c r="BZ133" s="216" t="str">
        <f t="shared" si="54"/>
        <v/>
      </c>
      <c r="CA133" s="213" t="e">
        <f t="shared" si="59"/>
        <v>#N/A</v>
      </c>
      <c r="CB133" s="209" t="e">
        <f t="shared" si="60"/>
        <v>#N/A</v>
      </c>
      <c r="CC133" s="205" t="str">
        <f t="shared" si="46"/>
        <v/>
      </c>
      <c r="CD133" s="205" t="str">
        <f t="shared" si="55"/>
        <v>-</v>
      </c>
      <c r="CE133" s="204">
        <f t="shared" si="57"/>
        <v>0</v>
      </c>
      <c r="CG133" s="20" t="str">
        <f t="shared" si="58"/>
        <v/>
      </c>
    </row>
    <row r="134" spans="14:85" ht="21">
      <c r="N134" s="8"/>
      <c r="O134" s="8"/>
      <c r="AJ134"/>
      <c r="AK134"/>
      <c r="AL134"/>
      <c r="AM134" s="87"/>
      <c r="AN134" s="87"/>
      <c r="AO134" s="14" t="str">
        <f>IF(R31="","",COUNTA($R$3:R31)+$AO$105)</f>
        <v/>
      </c>
      <c r="AP134" s="88" t="str">
        <f>IF(AO134="","",IF(AO134+Расчет!$Y$57+$BD$2-Расчет!$X$57&gt;200,AO134+Расчет!$Y$57+$BD$2-1000,AO134+Расчет!$Y$57+$BD$2))</f>
        <v/>
      </c>
      <c r="BL134" s="172">
        <f>COUNTIF($BM$5:BM134,"&lt;-115")</f>
        <v>0</v>
      </c>
      <c r="BM134" s="154" t="str">
        <f>IFERROR(IF(OR(IFERROR(VLOOKUP(BN134,$E$3:$E$105,1,FALSE),"0")=BN134,IFERROR(VLOOKUP(BN134,$R$3:$R$105,1,FALSE),"0")=BN134),BO134,IF(OR(VLOOKUP(BN134,Расчет!A:E,5,FALSE)="2PS",VLOOKUP(BN134,Расчет!A:E,5,FALSE)="2QL"),IF(VLOOKUP(BN134,Расчет!A:B,2,FALSE)="831W",BN134-$BS$7+$AD$17,BN134-$BS$7+$AD$12),BN134-$BS$7)),"-")</f>
        <v>-</v>
      </c>
      <c r="BN134" s="154">
        <f>IF(OR(Расчет!C131="A0",Расчет!C131="P9",Расчет!B131="722W"),"-",Расчет!A131)</f>
        <v>11276</v>
      </c>
      <c r="BO134" s="173">
        <f t="shared" ref="BO134:BO197" si="64">IF(IFERROR(INDEX($A$3:$A$105,MATCH(BN134,$E$3:$E$105,0)),"-")&lt;&gt;"-",IFERROR(INDEX($A$3:$A$105,MATCH(BN134,$E$3:$E$105,0)),0),IFERROR(INDEX($N$3:$N$105,MATCH(BN134,$R$3:$R$105,0)),0))</f>
        <v>0</v>
      </c>
      <c r="BP134" s="172" t="str">
        <f>IF(BQ134="-","-",IFERROR(IF(OR(VLOOKUP(BN134,Расчет!$A$2:$E$582,5,FALSE)="2PS",VLOOKUP(BN134,Расчет!$A$2:$E$582,5,FALSE)="2QL"),IF(OR(VLOOKUP(BN134,Расчет!$A$2:$E$582,2,FALSE)="664W",VLOOKUP(BN134,Расчет!$A$2:$E$582,2,FALSE)="813W"),IF(BN134-$BS$7&gt;150,BN134-$BS$7-1000+$AD$12,BN134-$BS$7+$AD$12),IF(BN134-$BS$7&gt;150,BN134-$BS$7-1000+$AD$17,BN134-$BS$7+$AD$17)),IF(BN134-$BS$7&gt;150,BN134-$BS$7-1000,BN134-$BS$7)),"-"))</f>
        <v>-</v>
      </c>
      <c r="BQ134" s="173">
        <f t="shared" si="61"/>
        <v>11276</v>
      </c>
      <c r="BR134" s="453"/>
      <c r="BS134" s="171"/>
      <c r="BT134" s="464" t="str">
        <f t="shared" si="62"/>
        <v>-</v>
      </c>
      <c r="BU134" s="464" t="str">
        <f t="shared" si="63"/>
        <v>-</v>
      </c>
      <c r="BX134" s="204">
        <f>COUNTIF($BY$4:BY134,"&lt;100")</f>
        <v>0</v>
      </c>
      <c r="BY134" s="213" t="str">
        <f t="shared" si="53"/>
        <v/>
      </c>
      <c r="BZ134" s="216" t="str">
        <f t="shared" si="54"/>
        <v/>
      </c>
      <c r="CA134" s="213" t="e">
        <f t="shared" si="59"/>
        <v>#N/A</v>
      </c>
      <c r="CB134" s="209" t="e">
        <f t="shared" si="60"/>
        <v>#N/A</v>
      </c>
      <c r="CC134" s="205" t="str">
        <f t="shared" ref="CC134:CC197" si="65">IFERROR(IF(OR(AND(CA134&gt;CA133,CA134&gt;=1),AND(CA134&lt;CA133,CA134&lt;=-1)),1,0),"")</f>
        <v/>
      </c>
      <c r="CD134" s="205" t="str">
        <f t="shared" si="55"/>
        <v>-</v>
      </c>
      <c r="CE134" s="204">
        <f t="shared" si="57"/>
        <v>0</v>
      </c>
      <c r="CG134" s="20" t="str">
        <f t="shared" si="58"/>
        <v/>
      </c>
    </row>
    <row r="135" spans="14:85" ht="21">
      <c r="N135" s="8"/>
      <c r="O135" s="8"/>
      <c r="AJ135"/>
      <c r="AK135"/>
      <c r="AL135"/>
      <c r="AM135" s="87"/>
      <c r="AN135" s="87"/>
      <c r="AO135" s="14" t="str">
        <f>IF(R32="","",COUNTA($R$3:R32)+$AO$105)</f>
        <v/>
      </c>
      <c r="AP135" s="88" t="str">
        <f>IF(AO135="","",IF(AO135+Расчет!$Y$57+$BD$2-Расчет!$X$57&gt;200,AO135+Расчет!$Y$57+$BD$2-1000,AO135+Расчет!$Y$57+$BD$2))</f>
        <v/>
      </c>
      <c r="BL135" s="172">
        <f>COUNTIF($BM$5:BM135,"&lt;-115")</f>
        <v>0</v>
      </c>
      <c r="BM135" s="154" t="str">
        <f>IFERROR(IF(OR(IFERROR(VLOOKUP(BN135,$E$3:$E$105,1,FALSE),"0")=BN135,IFERROR(VLOOKUP(BN135,$R$3:$R$105,1,FALSE),"0")=BN135),BO135,IF(OR(VLOOKUP(BN135,Расчет!A:E,5,FALSE)="2PS",VLOOKUP(BN135,Расчет!A:E,5,FALSE)="2QL"),IF(VLOOKUP(BN135,Расчет!A:B,2,FALSE)="831W",BN135-$BS$7+$AD$17,BN135-$BS$7+$AD$12),BN135-$BS$7)),"-")</f>
        <v>-</v>
      </c>
      <c r="BN135" s="154">
        <f>IF(OR(Расчет!C132="A0",Расчет!C132="P9",Расчет!B132="722W"),"-",Расчет!A132)</f>
        <v>11277</v>
      </c>
      <c r="BO135" s="173">
        <f t="shared" si="64"/>
        <v>0</v>
      </c>
      <c r="BP135" s="172" t="str">
        <f>IF(BQ135="-","-",IFERROR(IF(OR(VLOOKUP(BN135,Расчет!$A$2:$E$582,5,FALSE)="2PS",VLOOKUP(BN135,Расчет!$A$2:$E$582,5,FALSE)="2QL"),IF(OR(VLOOKUP(BN135,Расчет!$A$2:$E$582,2,FALSE)="664W",VLOOKUP(BN135,Расчет!$A$2:$E$582,2,FALSE)="813W"),IF(BN135-$BS$7&gt;150,BN135-$BS$7-1000+$AD$12,BN135-$BS$7+$AD$12),IF(BN135-$BS$7&gt;150,BN135-$BS$7-1000+$AD$17,BN135-$BS$7+$AD$17)),IF(BN135-$BS$7&gt;150,BN135-$BS$7-1000,BN135-$BS$7)),"-"))</f>
        <v>-</v>
      </c>
      <c r="BQ135" s="173">
        <f t="shared" si="61"/>
        <v>11277</v>
      </c>
      <c r="BR135" s="453"/>
      <c r="BS135" s="171"/>
      <c r="BT135" s="464" t="str">
        <f t="shared" si="62"/>
        <v>-</v>
      </c>
      <c r="BU135" s="464" t="str">
        <f t="shared" si="63"/>
        <v>-</v>
      </c>
      <c r="BX135" s="204">
        <f>COUNTIF($BY$4:BY135,"&lt;100")</f>
        <v>0</v>
      </c>
      <c r="BY135" s="213" t="str">
        <f t="shared" si="53"/>
        <v/>
      </c>
      <c r="BZ135" s="216" t="str">
        <f t="shared" si="54"/>
        <v/>
      </c>
      <c r="CA135" s="213" t="e">
        <f t="shared" si="59"/>
        <v>#N/A</v>
      </c>
      <c r="CB135" s="209" t="e">
        <f t="shared" si="60"/>
        <v>#N/A</v>
      </c>
      <c r="CC135" s="205" t="str">
        <f t="shared" si="65"/>
        <v/>
      </c>
      <c r="CD135" s="205" t="str">
        <f t="shared" si="55"/>
        <v>-</v>
      </c>
      <c r="CE135" s="204">
        <f t="shared" si="57"/>
        <v>0</v>
      </c>
      <c r="CG135" s="20" t="str">
        <f t="shared" si="58"/>
        <v/>
      </c>
    </row>
    <row r="136" spans="14:85" ht="21">
      <c r="N136" s="8"/>
      <c r="O136" s="8"/>
      <c r="AJ136"/>
      <c r="AK136"/>
      <c r="AL136"/>
      <c r="AM136" s="87"/>
      <c r="AN136" s="87"/>
      <c r="AO136" s="14" t="str">
        <f>IF(R33="","",COUNTA($R$3:R33)+$AO$105)</f>
        <v/>
      </c>
      <c r="AP136" s="88" t="str">
        <f>IF(AO136="","",IF(AO136+Расчет!$Y$57+$BD$2-Расчет!$X$57&gt;200,AO136+Расчет!$Y$57+$BD$2-1000,AO136+Расчет!$Y$57+$BD$2))</f>
        <v/>
      </c>
      <c r="BL136" s="172">
        <f>COUNTIF($BM$5:BM136,"&lt;-115")</f>
        <v>0</v>
      </c>
      <c r="BM136" s="154" t="str">
        <f>IFERROR(IF(OR(IFERROR(VLOOKUP(BN136,$E$3:$E$105,1,FALSE),"0")=BN136,IFERROR(VLOOKUP(BN136,$R$3:$R$105,1,FALSE),"0")=BN136),BO136,IF(OR(VLOOKUP(BN136,Расчет!A:E,5,FALSE)="2PS",VLOOKUP(BN136,Расчет!A:E,5,FALSE)="2QL"),IF(VLOOKUP(BN136,Расчет!A:B,2,FALSE)="831W",BN136-$BS$7+$AD$17,BN136-$BS$7+$AD$12),BN136-$BS$7)),"-")</f>
        <v>-</v>
      </c>
      <c r="BN136" s="154">
        <f>IF(OR(Расчет!C133="A0",Расчет!C133="P9",Расчет!B133="722W"),"-",Расчет!A133)</f>
        <v>11278</v>
      </c>
      <c r="BO136" s="173">
        <f t="shared" si="64"/>
        <v>0</v>
      </c>
      <c r="BP136" s="172" t="str">
        <f>IF(BQ136="-","-",IFERROR(IF(OR(VLOOKUP(BN136,Расчет!$A$2:$E$582,5,FALSE)="2PS",VLOOKUP(BN136,Расчет!$A$2:$E$582,5,FALSE)="2QL"),IF(OR(VLOOKUP(BN136,Расчет!$A$2:$E$582,2,FALSE)="664W",VLOOKUP(BN136,Расчет!$A$2:$E$582,2,FALSE)="813W"),IF(BN136-$BS$7&gt;150,BN136-$BS$7-1000+$AD$12,BN136-$BS$7+$AD$12),IF(BN136-$BS$7&gt;150,BN136-$BS$7-1000+$AD$17,BN136-$BS$7+$AD$17)),IF(BN136-$BS$7&gt;150,BN136-$BS$7-1000,BN136-$BS$7)),"-"))</f>
        <v>-</v>
      </c>
      <c r="BQ136" s="173">
        <f t="shared" si="61"/>
        <v>11278</v>
      </c>
      <c r="BR136" s="453"/>
      <c r="BS136" s="171"/>
      <c r="BT136" s="464" t="str">
        <f t="shared" si="62"/>
        <v>-</v>
      </c>
      <c r="BU136" s="464" t="str">
        <f t="shared" si="63"/>
        <v>-</v>
      </c>
      <c r="BX136" s="204">
        <f>COUNTIF($BY$4:BY136,"&lt;100")</f>
        <v>0</v>
      </c>
      <c r="BY136" s="213" t="str">
        <f t="shared" si="53"/>
        <v/>
      </c>
      <c r="BZ136" s="216" t="str">
        <f t="shared" si="54"/>
        <v/>
      </c>
      <c r="CA136" s="213" t="e">
        <f t="shared" si="59"/>
        <v>#N/A</v>
      </c>
      <c r="CB136" s="209" t="e">
        <f t="shared" si="60"/>
        <v>#N/A</v>
      </c>
      <c r="CC136" s="205" t="str">
        <f t="shared" si="65"/>
        <v/>
      </c>
      <c r="CD136" s="205" t="str">
        <f t="shared" si="55"/>
        <v>-</v>
      </c>
      <c r="CE136" s="204">
        <f t="shared" si="57"/>
        <v>0</v>
      </c>
      <c r="CG136" s="20" t="str">
        <f t="shared" si="58"/>
        <v/>
      </c>
    </row>
    <row r="137" spans="14:85" ht="21">
      <c r="N137" s="8"/>
      <c r="O137" s="8"/>
      <c r="AJ137"/>
      <c r="AK137"/>
      <c r="AL137"/>
      <c r="AM137" s="87"/>
      <c r="AN137" s="87"/>
      <c r="AO137" s="14" t="str">
        <f>IF(R34="","",COUNTA($R$3:R34)+$AO$105)</f>
        <v/>
      </c>
      <c r="AP137" s="88" t="str">
        <f>IF(AO137="","",IF(AO137+Расчет!$Y$57+$BD$2-Расчет!$X$57&gt;200,AO137+Расчет!$Y$57+$BD$2-1000,AO137+Расчет!$Y$57+$BD$2))</f>
        <v/>
      </c>
      <c r="BL137" s="172">
        <f>COUNTIF($BM$5:BM137,"&lt;-115")</f>
        <v>0</v>
      </c>
      <c r="BM137" s="154" t="str">
        <f>IFERROR(IF(OR(IFERROR(VLOOKUP(BN137,$E$3:$E$105,1,FALSE),"0")=BN137,IFERROR(VLOOKUP(BN137,$R$3:$R$105,1,FALSE),"0")=BN137),BO137,IF(OR(VLOOKUP(BN137,Расчет!A:E,5,FALSE)="2PS",VLOOKUP(BN137,Расчет!A:E,5,FALSE)="2QL"),IF(VLOOKUP(BN137,Расчет!A:B,2,FALSE)="831W",BN137-$BS$7+$AD$17,BN137-$BS$7+$AD$12),BN137-$BS$7)),"-")</f>
        <v>-</v>
      </c>
      <c r="BN137" s="154">
        <f>IF(OR(Расчет!C134="A0",Расчет!C134="P9",Расчет!B134="722W"),"-",Расчет!A134)</f>
        <v>11279</v>
      </c>
      <c r="BO137" s="173">
        <f t="shared" si="64"/>
        <v>0</v>
      </c>
      <c r="BP137" s="172" t="str">
        <f>IF(BQ137="-","-",IFERROR(IF(OR(VLOOKUP(BN137,Расчет!$A$2:$E$582,5,FALSE)="2PS",VLOOKUP(BN137,Расчет!$A$2:$E$582,5,FALSE)="2QL"),IF(OR(VLOOKUP(BN137,Расчет!$A$2:$E$582,2,FALSE)="664W",VLOOKUP(BN137,Расчет!$A$2:$E$582,2,FALSE)="813W"),IF(BN137-$BS$7&gt;150,BN137-$BS$7-1000+$AD$12,BN137-$BS$7+$AD$12),IF(BN137-$BS$7&gt;150,BN137-$BS$7-1000+$AD$17,BN137-$BS$7+$AD$17)),IF(BN137-$BS$7&gt;150,BN137-$BS$7-1000,BN137-$BS$7)),"-"))</f>
        <v>-</v>
      </c>
      <c r="BQ137" s="173">
        <f t="shared" si="61"/>
        <v>11279</v>
      </c>
      <c r="BR137" s="453"/>
      <c r="BS137" s="171"/>
      <c r="BT137" s="464" t="str">
        <f t="shared" si="62"/>
        <v>-</v>
      </c>
      <c r="BU137" s="464" t="str">
        <f t="shared" si="63"/>
        <v>-</v>
      </c>
      <c r="BX137" s="204">
        <f>COUNTIF($BY$4:BY137,"&lt;100")</f>
        <v>0</v>
      </c>
      <c r="BY137" s="213" t="str">
        <f t="shared" si="53"/>
        <v/>
      </c>
      <c r="BZ137" s="216" t="str">
        <f t="shared" si="54"/>
        <v/>
      </c>
      <c r="CA137" s="213" t="e">
        <f t="shared" si="59"/>
        <v>#N/A</v>
      </c>
      <c r="CB137" s="209" t="e">
        <f t="shared" si="60"/>
        <v>#N/A</v>
      </c>
      <c r="CC137" s="205" t="str">
        <f t="shared" si="65"/>
        <v/>
      </c>
      <c r="CD137" s="205" t="str">
        <f t="shared" si="55"/>
        <v>-</v>
      </c>
      <c r="CE137" s="204">
        <f t="shared" si="57"/>
        <v>0</v>
      </c>
      <c r="CG137" s="20" t="str">
        <f t="shared" si="58"/>
        <v/>
      </c>
    </row>
    <row r="138" spans="14:85" ht="21">
      <c r="N138" s="8"/>
      <c r="O138" s="8"/>
      <c r="AJ138"/>
      <c r="AK138"/>
      <c r="AL138"/>
      <c r="AM138" s="87"/>
      <c r="AN138" s="87"/>
      <c r="AO138" s="14" t="str">
        <f>IF(R35="","",COUNTA($R$3:R35)+$AO$105)</f>
        <v/>
      </c>
      <c r="AP138" s="88" t="str">
        <f>IF(AO138="","",IF(AO138+Расчет!$Y$57+$BD$2-Расчет!$X$57&gt;200,AO138+Расчет!$Y$57+$BD$2-1000,AO138+Расчет!$Y$57+$BD$2))</f>
        <v/>
      </c>
      <c r="BL138" s="172">
        <f>COUNTIF($BM$5:BM138,"&lt;-115")</f>
        <v>0</v>
      </c>
      <c r="BM138" s="154" t="str">
        <f>IFERROR(IF(OR(IFERROR(VLOOKUP(BN138,$E$3:$E$105,1,FALSE),"0")=BN138,IFERROR(VLOOKUP(BN138,$R$3:$R$105,1,FALSE),"0")=BN138),BO138,IF(OR(VLOOKUP(BN138,Расчет!A:E,5,FALSE)="2PS",VLOOKUP(BN138,Расчет!A:E,5,FALSE)="2QL"),IF(VLOOKUP(BN138,Расчет!A:B,2,FALSE)="831W",BN138-$BS$7+$AD$17,BN138-$BS$7+$AD$12),BN138-$BS$7)),"-")</f>
        <v>-</v>
      </c>
      <c r="BN138" s="154">
        <f>IF(OR(Расчет!C135="A0",Расчет!C135="P9",Расчет!B135="722W"),"-",Расчет!A135)</f>
        <v>11280</v>
      </c>
      <c r="BO138" s="173">
        <f t="shared" si="64"/>
        <v>0</v>
      </c>
      <c r="BP138" s="172" t="str">
        <f>IF(BQ138="-","-",IFERROR(IF(OR(VLOOKUP(BN138,Расчет!$A$2:$E$582,5,FALSE)="2PS",VLOOKUP(BN138,Расчет!$A$2:$E$582,5,FALSE)="2QL"),IF(OR(VLOOKUP(BN138,Расчет!$A$2:$E$582,2,FALSE)="664W",VLOOKUP(BN138,Расчет!$A$2:$E$582,2,FALSE)="813W"),IF(BN138-$BS$7&gt;150,BN138-$BS$7-1000+$AD$12,BN138-$BS$7+$AD$12),IF(BN138-$BS$7&gt;150,BN138-$BS$7-1000+$AD$17,BN138-$BS$7+$AD$17)),IF(BN138-$BS$7&gt;150,BN138-$BS$7-1000,BN138-$BS$7)),"-"))</f>
        <v>-</v>
      </c>
      <c r="BQ138" s="173">
        <f t="shared" si="61"/>
        <v>11280</v>
      </c>
      <c r="BR138" s="453"/>
      <c r="BS138" s="171"/>
      <c r="BT138" s="464" t="str">
        <f t="shared" si="62"/>
        <v>-</v>
      </c>
      <c r="BU138" s="464" t="str">
        <f t="shared" si="63"/>
        <v>-</v>
      </c>
      <c r="BX138" s="204">
        <f>COUNTIF($BY$4:BY138,"&lt;100")</f>
        <v>0</v>
      </c>
      <c r="BY138" s="213" t="str">
        <f t="shared" si="53"/>
        <v/>
      </c>
      <c r="BZ138" s="216" t="str">
        <f t="shared" si="54"/>
        <v/>
      </c>
      <c r="CA138" s="213" t="e">
        <f t="shared" si="59"/>
        <v>#N/A</v>
      </c>
      <c r="CB138" s="209" t="e">
        <f t="shared" si="60"/>
        <v>#N/A</v>
      </c>
      <c r="CC138" s="205" t="str">
        <f t="shared" si="65"/>
        <v/>
      </c>
      <c r="CD138" s="205" t="str">
        <f t="shared" si="55"/>
        <v>-</v>
      </c>
      <c r="CE138" s="204">
        <f t="shared" si="57"/>
        <v>0</v>
      </c>
      <c r="CG138" s="20" t="str">
        <f t="shared" si="58"/>
        <v/>
      </c>
    </row>
    <row r="139" spans="14:85" ht="21">
      <c r="N139" s="8"/>
      <c r="O139" s="8"/>
      <c r="AJ139"/>
      <c r="AK139"/>
      <c r="AL139"/>
      <c r="AM139" s="87"/>
      <c r="AN139" s="87"/>
      <c r="AO139" s="14" t="str">
        <f>IF(R36="","",COUNTA($R$3:R36)+$AO$105)</f>
        <v/>
      </c>
      <c r="AP139" s="88" t="str">
        <f>IF(AO139="","",IF(AO139+Расчет!$Y$57+$BD$2-Расчет!$X$57&gt;200,AO139+Расчет!$Y$57+$BD$2-1000,AO139+Расчет!$Y$57+$BD$2))</f>
        <v/>
      </c>
      <c r="BL139" s="172">
        <f>COUNTIF($BM$5:BM139,"&lt;-115")</f>
        <v>0</v>
      </c>
      <c r="BM139" s="154" t="str">
        <f>IFERROR(IF(OR(IFERROR(VLOOKUP(BN139,$E$3:$E$105,1,FALSE),"0")=BN139,IFERROR(VLOOKUP(BN139,$R$3:$R$105,1,FALSE),"0")=BN139),BO139,IF(OR(VLOOKUP(BN139,Расчет!A:E,5,FALSE)="2PS",VLOOKUP(BN139,Расчет!A:E,5,FALSE)="2QL"),IF(VLOOKUP(BN139,Расчет!A:B,2,FALSE)="831W",BN139-$BS$7+$AD$17,BN139-$BS$7+$AD$12),BN139-$BS$7)),"-")</f>
        <v>-</v>
      </c>
      <c r="BN139" s="154">
        <f>IF(OR(Расчет!C136="A0",Расчет!C136="P9",Расчет!B136="722W"),"-",Расчет!A136)</f>
        <v>11281</v>
      </c>
      <c r="BO139" s="173">
        <f t="shared" si="64"/>
        <v>0</v>
      </c>
      <c r="BP139" s="172" t="str">
        <f>IF(BQ139="-","-",IFERROR(IF(OR(VLOOKUP(BN139,Расчет!$A$2:$E$582,5,FALSE)="2PS",VLOOKUP(BN139,Расчет!$A$2:$E$582,5,FALSE)="2QL"),IF(OR(VLOOKUP(BN139,Расчет!$A$2:$E$582,2,FALSE)="664W",VLOOKUP(BN139,Расчет!$A$2:$E$582,2,FALSE)="813W"),IF(BN139-$BS$7&gt;150,BN139-$BS$7-1000+$AD$12,BN139-$BS$7+$AD$12),IF(BN139-$BS$7&gt;150,BN139-$BS$7-1000+$AD$17,BN139-$BS$7+$AD$17)),IF(BN139-$BS$7&gt;150,BN139-$BS$7-1000,BN139-$BS$7)),"-"))</f>
        <v>-</v>
      </c>
      <c r="BQ139" s="173">
        <f t="shared" si="61"/>
        <v>11281</v>
      </c>
      <c r="BR139" s="453"/>
      <c r="BS139" s="171"/>
      <c r="BT139" s="464" t="str">
        <f t="shared" si="62"/>
        <v>-</v>
      </c>
      <c r="BU139" s="464" t="str">
        <f t="shared" si="63"/>
        <v>-</v>
      </c>
      <c r="BX139" s="204">
        <f>COUNTIF($BY$4:BY139,"&lt;100")</f>
        <v>0</v>
      </c>
      <c r="BY139" s="213" t="str">
        <f t="shared" ref="BY139:BY170" si="66">AM35</f>
        <v/>
      </c>
      <c r="BZ139" s="216" t="str">
        <f t="shared" ref="BZ139:BZ170" si="67">AN35</f>
        <v/>
      </c>
      <c r="CA139" s="213" t="e">
        <f t="shared" si="59"/>
        <v>#N/A</v>
      </c>
      <c r="CB139" s="209" t="e">
        <f t="shared" si="60"/>
        <v>#N/A</v>
      </c>
      <c r="CC139" s="205" t="str">
        <f t="shared" si="65"/>
        <v/>
      </c>
      <c r="CD139" s="205" t="str">
        <f t="shared" ref="CD139:CD170" si="68">N35</f>
        <v>-</v>
      </c>
      <c r="CE139" s="204">
        <f t="shared" si="57"/>
        <v>0</v>
      </c>
      <c r="CG139" s="20" t="str">
        <f t="shared" si="58"/>
        <v/>
      </c>
    </row>
    <row r="140" spans="14:85" ht="21">
      <c r="N140" s="8"/>
      <c r="O140" s="8"/>
      <c r="AJ140"/>
      <c r="AK140"/>
      <c r="AL140"/>
      <c r="AM140" s="87"/>
      <c r="AN140" s="87"/>
      <c r="AO140" s="14" t="str">
        <f>IF(R37="","",COUNTA($R$3:R37)+$AO$105)</f>
        <v/>
      </c>
      <c r="AP140" s="88" t="str">
        <f>IF(AO140="","",IF(AO140+Расчет!$Y$57+$BD$2-Расчет!$X$57&gt;200,AO140+Расчет!$Y$57+$BD$2-1000,AO140+Расчет!$Y$57+$BD$2))</f>
        <v/>
      </c>
      <c r="BL140" s="172">
        <f>COUNTIF($BM$5:BM140,"&lt;-115")</f>
        <v>0</v>
      </c>
      <c r="BM140" s="154" t="str">
        <f>IFERROR(IF(OR(IFERROR(VLOOKUP(BN140,$E$3:$E$105,1,FALSE),"0")=BN140,IFERROR(VLOOKUP(BN140,$R$3:$R$105,1,FALSE),"0")=BN140),BO140,IF(OR(VLOOKUP(BN140,Расчет!A:E,5,FALSE)="2PS",VLOOKUP(BN140,Расчет!A:E,5,FALSE)="2QL"),IF(VLOOKUP(BN140,Расчет!A:B,2,FALSE)="831W",BN140-$BS$7+$AD$17,BN140-$BS$7+$AD$12),BN140-$BS$7)),"-")</f>
        <v>-</v>
      </c>
      <c r="BN140" s="154">
        <f>IF(OR(Расчет!C137="A0",Расчет!C137="P9",Расчет!B137="722W"),"-",Расчет!A137)</f>
        <v>11282</v>
      </c>
      <c r="BO140" s="173">
        <f t="shared" si="64"/>
        <v>0</v>
      </c>
      <c r="BP140" s="172" t="str">
        <f>IF(BQ140="-","-",IFERROR(IF(OR(VLOOKUP(BN140,Расчет!$A$2:$E$582,5,FALSE)="2PS",VLOOKUP(BN140,Расчет!$A$2:$E$582,5,FALSE)="2QL"),IF(OR(VLOOKUP(BN140,Расчет!$A$2:$E$582,2,FALSE)="664W",VLOOKUP(BN140,Расчет!$A$2:$E$582,2,FALSE)="813W"),IF(BN140-$BS$7&gt;150,BN140-$BS$7-1000+$AD$12,BN140-$BS$7+$AD$12),IF(BN140-$BS$7&gt;150,BN140-$BS$7-1000+$AD$17,BN140-$BS$7+$AD$17)),IF(BN140-$BS$7&gt;150,BN140-$BS$7-1000,BN140-$BS$7)),"-"))</f>
        <v>-</v>
      </c>
      <c r="BQ140" s="173">
        <f t="shared" si="61"/>
        <v>11282</v>
      </c>
      <c r="BR140" s="453"/>
      <c r="BS140" s="171"/>
      <c r="BT140" s="464" t="str">
        <f t="shared" si="62"/>
        <v>-</v>
      </c>
      <c r="BU140" s="464" t="str">
        <f t="shared" si="63"/>
        <v>-</v>
      </c>
      <c r="BX140" s="204">
        <f>COUNTIF($BY$4:BY140,"&lt;100")</f>
        <v>0</v>
      </c>
      <c r="BY140" s="213" t="str">
        <f t="shared" si="66"/>
        <v/>
      </c>
      <c r="BZ140" s="216" t="str">
        <f t="shared" si="67"/>
        <v/>
      </c>
      <c r="CA140" s="213" t="e">
        <f t="shared" si="59"/>
        <v>#N/A</v>
      </c>
      <c r="CB140" s="209" t="e">
        <f t="shared" si="60"/>
        <v>#N/A</v>
      </c>
      <c r="CC140" s="205" t="str">
        <f t="shared" si="65"/>
        <v/>
      </c>
      <c r="CD140" s="205" t="str">
        <f t="shared" si="68"/>
        <v>-</v>
      </c>
      <c r="CE140" s="204">
        <f t="shared" si="57"/>
        <v>0</v>
      </c>
      <c r="CG140" s="20" t="str">
        <f t="shared" si="58"/>
        <v/>
      </c>
    </row>
    <row r="141" spans="14:85" ht="21">
      <c r="N141" s="8"/>
      <c r="O141" s="8"/>
      <c r="AJ141"/>
      <c r="AK141"/>
      <c r="AL141"/>
      <c r="AM141" s="87"/>
      <c r="AN141" s="87"/>
      <c r="AO141" s="14" t="str">
        <f>IF(R38="","",COUNTA($R$3:R38)+$AO$105)</f>
        <v/>
      </c>
      <c r="AP141" s="88" t="str">
        <f>IF(AO141="","",IF(AO141+Расчет!$Y$57+$BD$2-Расчет!$X$57&gt;200,AO141+Расчет!$Y$57+$BD$2-1000,AO141+Расчет!$Y$57+$BD$2))</f>
        <v/>
      </c>
      <c r="BL141" s="172">
        <f>COUNTIF($BM$5:BM141,"&lt;-115")</f>
        <v>0</v>
      </c>
      <c r="BM141" s="154" t="str">
        <f>IFERROR(IF(OR(IFERROR(VLOOKUP(BN141,$E$3:$E$105,1,FALSE),"0")=BN141,IFERROR(VLOOKUP(BN141,$R$3:$R$105,1,FALSE),"0")=BN141),BO141,IF(OR(VLOOKUP(BN141,Расчет!A:E,5,FALSE)="2PS",VLOOKUP(BN141,Расчет!A:E,5,FALSE)="2QL"),IF(VLOOKUP(BN141,Расчет!A:B,2,FALSE)="831W",BN141-$BS$7+$AD$17,BN141-$BS$7+$AD$12),BN141-$BS$7)),"-")</f>
        <v>-</v>
      </c>
      <c r="BN141" s="154">
        <f>IF(OR(Расчет!C138="A0",Расчет!C138="P9",Расчет!B138="722W"),"-",Расчет!A138)</f>
        <v>11283</v>
      </c>
      <c r="BO141" s="173">
        <f t="shared" si="64"/>
        <v>0</v>
      </c>
      <c r="BP141" s="172" t="str">
        <f>IF(BQ141="-","-",IFERROR(IF(OR(VLOOKUP(BN141,Расчет!$A$2:$E$582,5,FALSE)="2PS",VLOOKUP(BN141,Расчет!$A$2:$E$582,5,FALSE)="2QL"),IF(OR(VLOOKUP(BN141,Расчет!$A$2:$E$582,2,FALSE)="664W",VLOOKUP(BN141,Расчет!$A$2:$E$582,2,FALSE)="813W"),IF(BN141-$BS$7&gt;150,BN141-$BS$7-1000+$AD$12,BN141-$BS$7+$AD$12),IF(BN141-$BS$7&gt;150,BN141-$BS$7-1000+$AD$17,BN141-$BS$7+$AD$17)),IF(BN141-$BS$7&gt;150,BN141-$BS$7-1000,BN141-$BS$7)),"-"))</f>
        <v>-</v>
      </c>
      <c r="BQ141" s="173">
        <f t="shared" si="61"/>
        <v>11283</v>
      </c>
      <c r="BR141" s="453"/>
      <c r="BS141" s="171"/>
      <c r="BT141" s="464" t="str">
        <f t="shared" si="62"/>
        <v>-</v>
      </c>
      <c r="BU141" s="464" t="str">
        <f t="shared" si="63"/>
        <v>-</v>
      </c>
      <c r="BX141" s="204">
        <f>COUNTIF($BY$4:BY141,"&lt;100")</f>
        <v>0</v>
      </c>
      <c r="BY141" s="213" t="str">
        <f t="shared" si="66"/>
        <v/>
      </c>
      <c r="BZ141" s="216" t="str">
        <f t="shared" si="67"/>
        <v/>
      </c>
      <c r="CA141" s="213" t="e">
        <f t="shared" si="59"/>
        <v>#N/A</v>
      </c>
      <c r="CB141" s="209" t="e">
        <f t="shared" si="60"/>
        <v>#N/A</v>
      </c>
      <c r="CC141" s="205" t="str">
        <f t="shared" si="65"/>
        <v/>
      </c>
      <c r="CD141" s="205" t="str">
        <f t="shared" si="68"/>
        <v>-</v>
      </c>
      <c r="CE141" s="204">
        <f t="shared" ref="CE141:CE172" si="69">IF(OR(AND($T37="Rich",$T36="Rich"),AND($T37="Rich",$T35="Rich"),AND($U37="TWIN-C",$U36="TWIN-C"),AND($U37="TWIN-C",$U36="4WD",$U35="TWIN-C"),AND($U37="TWIN-C",$T36="Rich",$U35="TWIN-C"),AND(COUNTIF($CG146:$CG149,"Rich")&gt;1,COUNTIF($CG146:$CG149,"Mech")&gt;1),AND($CG149="Sport",COUNTIF($CG144:$CG149,"Sport")&gt;1))=TRUE(),1,0)</f>
        <v>0</v>
      </c>
      <c r="CG141" s="20" t="str">
        <f t="shared" si="58"/>
        <v/>
      </c>
    </row>
    <row r="142" spans="14:85" ht="21">
      <c r="N142" s="8"/>
      <c r="O142" s="8"/>
      <c r="AJ142"/>
      <c r="AK142"/>
      <c r="AL142"/>
      <c r="AM142" s="87"/>
      <c r="AN142" s="87"/>
      <c r="AO142" s="14" t="str">
        <f>IF(R39="","",COUNTA($R$3:R39)+$AO$105)</f>
        <v/>
      </c>
      <c r="AP142" s="88" t="str">
        <f>IF(AO142="","",IF(AO142+Расчет!$Y$57+$BD$2-Расчет!$X$57&gt;200,AO142+Расчет!$Y$57+$BD$2-1000,AO142+Расчет!$Y$57+$BD$2))</f>
        <v/>
      </c>
      <c r="BL142" s="172">
        <f>COUNTIF($BM$5:BM142,"&lt;-115")</f>
        <v>0</v>
      </c>
      <c r="BM142" s="154" t="str">
        <f>IFERROR(IF(OR(IFERROR(VLOOKUP(BN142,$E$3:$E$105,1,FALSE),"0")=BN142,IFERROR(VLOOKUP(BN142,$R$3:$R$105,1,FALSE),"0")=BN142),BO142,IF(OR(VLOOKUP(BN142,Расчет!A:E,5,FALSE)="2PS",VLOOKUP(BN142,Расчет!A:E,5,FALSE)="2QL"),IF(VLOOKUP(BN142,Расчет!A:B,2,FALSE)="831W",BN142-$BS$7+$AD$17,BN142-$BS$7+$AD$12),BN142-$BS$7)),"-")</f>
        <v>-</v>
      </c>
      <c r="BN142" s="154">
        <f>IF(OR(Расчет!C139="A0",Расчет!C139="P9",Расчет!B139="722W"),"-",Расчет!A139)</f>
        <v>11284</v>
      </c>
      <c r="BO142" s="173">
        <f t="shared" si="64"/>
        <v>0</v>
      </c>
      <c r="BP142" s="172" t="str">
        <f>IF(BQ142="-","-",IFERROR(IF(OR(VLOOKUP(BN142,Расчет!$A$2:$E$582,5,FALSE)="2PS",VLOOKUP(BN142,Расчет!$A$2:$E$582,5,FALSE)="2QL"),IF(OR(VLOOKUP(BN142,Расчет!$A$2:$E$582,2,FALSE)="664W",VLOOKUP(BN142,Расчет!$A$2:$E$582,2,FALSE)="813W"),IF(BN142-$BS$7&gt;150,BN142-$BS$7-1000+$AD$12,BN142-$BS$7+$AD$12),IF(BN142-$BS$7&gt;150,BN142-$BS$7-1000+$AD$17,BN142-$BS$7+$AD$17)),IF(BN142-$BS$7&gt;150,BN142-$BS$7-1000,BN142-$BS$7)),"-"))</f>
        <v>-</v>
      </c>
      <c r="BQ142" s="173">
        <f t="shared" si="61"/>
        <v>11284</v>
      </c>
      <c r="BR142" s="453"/>
      <c r="BS142" s="171"/>
      <c r="BT142" s="464" t="str">
        <f t="shared" si="62"/>
        <v>-</v>
      </c>
      <c r="BU142" s="464" t="str">
        <f t="shared" si="63"/>
        <v>-</v>
      </c>
      <c r="BX142" s="204">
        <f>COUNTIF($BY$4:BY142,"&lt;100")</f>
        <v>0</v>
      </c>
      <c r="BY142" s="213" t="str">
        <f t="shared" si="66"/>
        <v/>
      </c>
      <c r="BZ142" s="216" t="str">
        <f t="shared" si="67"/>
        <v/>
      </c>
      <c r="CA142" s="213" t="e">
        <f t="shared" si="59"/>
        <v>#N/A</v>
      </c>
      <c r="CB142" s="209" t="e">
        <f t="shared" si="60"/>
        <v>#N/A</v>
      </c>
      <c r="CC142" s="205" t="str">
        <f t="shared" si="65"/>
        <v/>
      </c>
      <c r="CD142" s="205" t="str">
        <f t="shared" si="68"/>
        <v>-</v>
      </c>
      <c r="CE142" s="204">
        <f t="shared" si="69"/>
        <v>0</v>
      </c>
      <c r="CG142" s="20" t="str">
        <f t="shared" si="58"/>
        <v/>
      </c>
    </row>
    <row r="143" spans="14:85" ht="21">
      <c r="N143" s="8"/>
      <c r="O143" s="8"/>
      <c r="AJ143"/>
      <c r="AK143"/>
      <c r="AL143"/>
      <c r="AM143" s="87"/>
      <c r="AN143" s="87"/>
      <c r="AO143" s="14" t="str">
        <f>IF(R40="","",COUNTA($R$3:R40)+$AO$105)</f>
        <v/>
      </c>
      <c r="AP143" s="88" t="str">
        <f>IF(AO143="","",IF(AO143+Расчет!$Y$57+$BD$2-Расчет!$X$57&gt;200,AO143+Расчет!$Y$57+$BD$2-1000,AO143+Расчет!$Y$57+$BD$2))</f>
        <v/>
      </c>
      <c r="BL143" s="172">
        <f>COUNTIF($BM$5:BM143,"&lt;-115")</f>
        <v>0</v>
      </c>
      <c r="BM143" s="154" t="str">
        <f>IFERROR(IF(OR(IFERROR(VLOOKUP(BN143,$E$3:$E$105,1,FALSE),"0")=BN143,IFERROR(VLOOKUP(BN143,$R$3:$R$105,1,FALSE),"0")=BN143),BO143,IF(OR(VLOOKUP(BN143,Расчет!A:E,5,FALSE)="2PS",VLOOKUP(BN143,Расчет!A:E,5,FALSE)="2QL"),IF(VLOOKUP(BN143,Расчет!A:B,2,FALSE)="831W",BN143-$BS$7+$AD$17,BN143-$BS$7+$AD$12),BN143-$BS$7)),"-")</f>
        <v>-</v>
      </c>
      <c r="BN143" s="154">
        <f>IF(OR(Расчет!C140="A0",Расчет!C140="P9",Расчет!B140="722W"),"-",Расчет!A140)</f>
        <v>11285</v>
      </c>
      <c r="BO143" s="173">
        <f t="shared" si="64"/>
        <v>0</v>
      </c>
      <c r="BP143" s="172" t="str">
        <f>IF(BQ143="-","-",IFERROR(IF(OR(VLOOKUP(BN143,Расчет!$A$2:$E$582,5,FALSE)="2PS",VLOOKUP(BN143,Расчет!$A$2:$E$582,5,FALSE)="2QL"),IF(OR(VLOOKUP(BN143,Расчет!$A$2:$E$582,2,FALSE)="664W",VLOOKUP(BN143,Расчет!$A$2:$E$582,2,FALSE)="813W"),IF(BN143-$BS$7&gt;150,BN143-$BS$7-1000+$AD$12,BN143-$BS$7+$AD$12),IF(BN143-$BS$7&gt;150,BN143-$BS$7-1000+$AD$17,BN143-$BS$7+$AD$17)),IF(BN143-$BS$7&gt;150,BN143-$BS$7-1000,BN143-$BS$7)),"-"))</f>
        <v>-</v>
      </c>
      <c r="BQ143" s="173">
        <f t="shared" si="61"/>
        <v>11285</v>
      </c>
      <c r="BR143" s="453"/>
      <c r="BS143" s="171"/>
      <c r="BT143" s="464" t="str">
        <f t="shared" si="62"/>
        <v>-</v>
      </c>
      <c r="BU143" s="464" t="str">
        <f t="shared" si="63"/>
        <v>-</v>
      </c>
      <c r="BX143" s="204">
        <f>COUNTIF($BY$4:BY143,"&lt;100")</f>
        <v>0</v>
      </c>
      <c r="BY143" s="213" t="str">
        <f t="shared" si="66"/>
        <v/>
      </c>
      <c r="BZ143" s="216" t="str">
        <f t="shared" si="67"/>
        <v/>
      </c>
      <c r="CA143" s="213" t="e">
        <f t="shared" si="59"/>
        <v>#N/A</v>
      </c>
      <c r="CB143" s="209" t="e">
        <f t="shared" si="60"/>
        <v>#N/A</v>
      </c>
      <c r="CC143" s="205" t="str">
        <f t="shared" si="65"/>
        <v/>
      </c>
      <c r="CD143" s="205" t="str">
        <f t="shared" si="68"/>
        <v>-</v>
      </c>
      <c r="CE143" s="204">
        <f t="shared" si="69"/>
        <v>0</v>
      </c>
      <c r="CG143" s="20" t="str">
        <f t="shared" si="58"/>
        <v/>
      </c>
    </row>
    <row r="144" spans="14:85" ht="21">
      <c r="N144" s="8"/>
      <c r="O144" s="8"/>
      <c r="AJ144"/>
      <c r="AK144"/>
      <c r="AL144"/>
      <c r="AM144" s="87"/>
      <c r="AN144" s="87"/>
      <c r="AO144" s="14" t="str">
        <f>IF(R41="","",COUNTA($R$3:R41)+$AO$105)</f>
        <v/>
      </c>
      <c r="AP144" s="88" t="str">
        <f>IF(AO144="","",IF(AO144+Расчет!$Y$57+$BD$2-Расчет!$X$57&gt;200,AO144+Расчет!$Y$57+$BD$2-1000,AO144+Расчет!$Y$57+$BD$2))</f>
        <v/>
      </c>
      <c r="BL144" s="172">
        <f>COUNTIF($BM$5:BM144,"&lt;-115")</f>
        <v>0</v>
      </c>
      <c r="BM144" s="154" t="str">
        <f>IFERROR(IF(OR(IFERROR(VLOOKUP(BN144,$E$3:$E$105,1,FALSE),"0")=BN144,IFERROR(VLOOKUP(BN144,$R$3:$R$105,1,FALSE),"0")=BN144),BO144,IF(OR(VLOOKUP(BN144,Расчет!A:E,5,FALSE)="2PS",VLOOKUP(BN144,Расчет!A:E,5,FALSE)="2QL"),IF(VLOOKUP(BN144,Расчет!A:B,2,FALSE)="831W",BN144-$BS$7+$AD$17,BN144-$BS$7+$AD$12),BN144-$BS$7)),"-")</f>
        <v>-</v>
      </c>
      <c r="BN144" s="154">
        <f>IF(OR(Расчет!C141="A0",Расчет!C141="P9",Расчет!B141="722W"),"-",Расчет!A141)</f>
        <v>11286</v>
      </c>
      <c r="BO144" s="173">
        <f t="shared" si="64"/>
        <v>0</v>
      </c>
      <c r="BP144" s="172" t="str">
        <f>IF(BQ144="-","-",IFERROR(IF(OR(VLOOKUP(BN144,Расчет!$A$2:$E$582,5,FALSE)="2PS",VLOOKUP(BN144,Расчет!$A$2:$E$582,5,FALSE)="2QL"),IF(OR(VLOOKUP(BN144,Расчет!$A$2:$E$582,2,FALSE)="664W",VLOOKUP(BN144,Расчет!$A$2:$E$582,2,FALSE)="813W"),IF(BN144-$BS$7&gt;150,BN144-$BS$7-1000+$AD$12,BN144-$BS$7+$AD$12),IF(BN144-$BS$7&gt;150,BN144-$BS$7-1000+$AD$17,BN144-$BS$7+$AD$17)),IF(BN144-$BS$7&gt;150,BN144-$BS$7-1000,BN144-$BS$7)),"-"))</f>
        <v>-</v>
      </c>
      <c r="BQ144" s="173">
        <f t="shared" si="61"/>
        <v>11286</v>
      </c>
      <c r="BR144" s="453"/>
      <c r="BS144" s="171"/>
      <c r="BT144" s="464" t="str">
        <f t="shared" si="62"/>
        <v>-</v>
      </c>
      <c r="BU144" s="464" t="str">
        <f t="shared" si="63"/>
        <v>-</v>
      </c>
      <c r="BX144" s="204">
        <f>COUNTIF($BY$4:BY144,"&lt;100")</f>
        <v>0</v>
      </c>
      <c r="BY144" s="213" t="str">
        <f t="shared" si="66"/>
        <v/>
      </c>
      <c r="BZ144" s="216" t="str">
        <f t="shared" si="67"/>
        <v/>
      </c>
      <c r="CA144" s="213" t="e">
        <f t="shared" si="59"/>
        <v>#N/A</v>
      </c>
      <c r="CB144" s="209" t="e">
        <f t="shared" si="60"/>
        <v>#N/A</v>
      </c>
      <c r="CC144" s="205" t="str">
        <f t="shared" si="65"/>
        <v/>
      </c>
      <c r="CD144" s="205" t="str">
        <f t="shared" si="68"/>
        <v>-</v>
      </c>
      <c r="CE144" s="204">
        <f t="shared" si="69"/>
        <v>0</v>
      </c>
      <c r="CG144" s="20" t="str">
        <f t="shared" si="58"/>
        <v/>
      </c>
    </row>
    <row r="145" spans="36:85" ht="21">
      <c r="AJ145"/>
      <c r="AK145"/>
      <c r="AL145"/>
      <c r="AM145" s="87"/>
      <c r="AN145" s="87"/>
      <c r="AO145" s="14" t="str">
        <f>IF(R42="","",COUNTA($R$3:R42)+$AO$105)</f>
        <v/>
      </c>
      <c r="AP145" s="88" t="str">
        <f>IF(AO145="","",IF(AO145+Расчет!$Y$57+$BD$2-Расчет!$X$57&gt;200,AO145+Расчет!$Y$57+$BD$2-1000,AO145+Расчет!$Y$57+$BD$2))</f>
        <v/>
      </c>
      <c r="BL145" s="172">
        <f>COUNTIF($BM$5:BM145,"&lt;-115")</f>
        <v>0</v>
      </c>
      <c r="BM145" s="154" t="str">
        <f>IFERROR(IF(OR(IFERROR(VLOOKUP(BN145,$E$3:$E$105,1,FALSE),"0")=BN145,IFERROR(VLOOKUP(BN145,$R$3:$R$105,1,FALSE),"0")=BN145),BO145,IF(OR(VLOOKUP(BN145,Расчет!A:E,5,FALSE)="2PS",VLOOKUP(BN145,Расчет!A:E,5,FALSE)="2QL"),IF(VLOOKUP(BN145,Расчет!A:B,2,FALSE)="831W",BN145-$BS$7+$AD$17,BN145-$BS$7+$AD$12),BN145-$BS$7)),"-")</f>
        <v>-</v>
      </c>
      <c r="BN145" s="154">
        <f>IF(OR(Расчет!C142="A0",Расчет!C142="P9",Расчет!B142="722W"),"-",Расчет!A142)</f>
        <v>11287</v>
      </c>
      <c r="BO145" s="173">
        <f t="shared" si="64"/>
        <v>0</v>
      </c>
      <c r="BP145" s="172" t="str">
        <f>IF(BQ145="-","-",IFERROR(IF(OR(VLOOKUP(BN145,Расчет!$A$2:$E$582,5,FALSE)="2PS",VLOOKUP(BN145,Расчет!$A$2:$E$582,5,FALSE)="2QL"),IF(OR(VLOOKUP(BN145,Расчет!$A$2:$E$582,2,FALSE)="664W",VLOOKUP(BN145,Расчет!$A$2:$E$582,2,FALSE)="813W"),IF(BN145-$BS$7&gt;150,BN145-$BS$7-1000+$AD$12,BN145-$BS$7+$AD$12),IF(BN145-$BS$7&gt;150,BN145-$BS$7-1000+$AD$17,BN145-$BS$7+$AD$17)),IF(BN145-$BS$7&gt;150,BN145-$BS$7-1000,BN145-$BS$7)),"-"))</f>
        <v>-</v>
      </c>
      <c r="BQ145" s="173">
        <f t="shared" si="61"/>
        <v>11287</v>
      </c>
      <c r="BR145" s="453"/>
      <c r="BS145" s="171"/>
      <c r="BT145" s="464" t="str">
        <f t="shared" si="62"/>
        <v>-</v>
      </c>
      <c r="BU145" s="464" t="str">
        <f t="shared" si="63"/>
        <v>-</v>
      </c>
      <c r="BX145" s="204">
        <f>COUNTIF($BY$4:BY145,"&lt;100")</f>
        <v>0</v>
      </c>
      <c r="BY145" s="213" t="str">
        <f t="shared" si="66"/>
        <v/>
      </c>
      <c r="BZ145" s="216" t="str">
        <f t="shared" si="67"/>
        <v/>
      </c>
      <c r="CA145" s="213" t="e">
        <f t="shared" si="59"/>
        <v>#N/A</v>
      </c>
      <c r="CB145" s="209" t="e">
        <f t="shared" si="60"/>
        <v>#N/A</v>
      </c>
      <c r="CC145" s="205" t="str">
        <f t="shared" si="65"/>
        <v/>
      </c>
      <c r="CD145" s="205" t="str">
        <f t="shared" si="68"/>
        <v>-</v>
      </c>
      <c r="CE145" s="204">
        <f t="shared" si="69"/>
        <v>0</v>
      </c>
      <c r="CG145" s="20" t="str">
        <f t="shared" si="58"/>
        <v/>
      </c>
    </row>
    <row r="146" spans="36:85" ht="21">
      <c r="AJ146"/>
      <c r="AK146"/>
      <c r="AL146"/>
      <c r="AM146" s="87"/>
      <c r="AN146" s="87"/>
      <c r="AO146" s="14" t="str">
        <f>IF(R43="","",COUNTA($R$3:R43)+$AO$105)</f>
        <v/>
      </c>
      <c r="AP146" s="88" t="str">
        <f>IF(AO146="","",IF(AO146+Расчет!$Y$57+$BD$2-Расчет!$X$57&gt;200,AO146+Расчет!$Y$57+$BD$2-1000,AO146+Расчет!$Y$57+$BD$2))</f>
        <v/>
      </c>
      <c r="BL146" s="172">
        <f>COUNTIF($BM$5:BM146,"&lt;-115")</f>
        <v>0</v>
      </c>
      <c r="BM146" s="154" t="str">
        <f>IFERROR(IF(OR(IFERROR(VLOOKUP(BN146,$E$3:$E$105,1,FALSE),"0")=BN146,IFERROR(VLOOKUP(BN146,$R$3:$R$105,1,FALSE),"0")=BN146),BO146,IF(OR(VLOOKUP(BN146,Расчет!A:E,5,FALSE)="2PS",VLOOKUP(BN146,Расчет!A:E,5,FALSE)="2QL"),IF(VLOOKUP(BN146,Расчет!A:B,2,FALSE)="831W",BN146-$BS$7+$AD$17,BN146-$BS$7+$AD$12),BN146-$BS$7)),"-")</f>
        <v>-</v>
      </c>
      <c r="BN146" s="154">
        <f>IF(OR(Расчет!C143="A0",Расчет!C143="P9",Расчет!B143="722W"),"-",Расчет!A143)</f>
        <v>11288</v>
      </c>
      <c r="BO146" s="173">
        <f t="shared" si="64"/>
        <v>0</v>
      </c>
      <c r="BP146" s="172" t="str">
        <f>IF(BQ146="-","-",IFERROR(IF(OR(VLOOKUP(BN146,Расчет!$A$2:$E$582,5,FALSE)="2PS",VLOOKUP(BN146,Расчет!$A$2:$E$582,5,FALSE)="2QL"),IF(OR(VLOOKUP(BN146,Расчет!$A$2:$E$582,2,FALSE)="664W",VLOOKUP(BN146,Расчет!$A$2:$E$582,2,FALSE)="813W"),IF(BN146-$BS$7&gt;150,BN146-$BS$7-1000+$AD$12,BN146-$BS$7+$AD$12),IF(BN146-$BS$7&gt;150,BN146-$BS$7-1000+$AD$17,BN146-$BS$7+$AD$17)),IF(BN146-$BS$7&gt;150,BN146-$BS$7-1000,BN146-$BS$7)),"-"))</f>
        <v>-</v>
      </c>
      <c r="BQ146" s="173">
        <f t="shared" si="61"/>
        <v>11288</v>
      </c>
      <c r="BR146" s="453"/>
      <c r="BS146" s="171"/>
      <c r="BT146" s="464" t="str">
        <f t="shared" si="62"/>
        <v>-</v>
      </c>
      <c r="BU146" s="464" t="str">
        <f t="shared" si="63"/>
        <v>-</v>
      </c>
      <c r="BX146" s="204">
        <f>COUNTIF($BY$4:BY146,"&lt;100")</f>
        <v>0</v>
      </c>
      <c r="BY146" s="213" t="str">
        <f t="shared" si="66"/>
        <v/>
      </c>
      <c r="BZ146" s="216" t="str">
        <f t="shared" si="67"/>
        <v/>
      </c>
      <c r="CA146" s="213" t="e">
        <f t="shared" si="59"/>
        <v>#N/A</v>
      </c>
      <c r="CB146" s="209" t="e">
        <f t="shared" si="60"/>
        <v>#N/A</v>
      </c>
      <c r="CC146" s="205" t="str">
        <f t="shared" si="65"/>
        <v/>
      </c>
      <c r="CD146" s="205" t="str">
        <f t="shared" si="68"/>
        <v>-</v>
      </c>
      <c r="CE146" s="204">
        <f t="shared" si="69"/>
        <v>0</v>
      </c>
      <c r="CG146" s="20" t="str">
        <f t="shared" si="58"/>
        <v/>
      </c>
    </row>
    <row r="147" spans="36:85" ht="21">
      <c r="AJ147"/>
      <c r="AK147"/>
      <c r="AL147"/>
      <c r="AM147" s="87"/>
      <c r="AN147" s="87"/>
      <c r="AO147" s="14" t="str">
        <f>IF(R44="","",COUNTA($R$3:R44)+$AO$105)</f>
        <v/>
      </c>
      <c r="AP147" s="88" t="str">
        <f>IF(AO147="","",IF(AO147+Расчет!$Y$57+$BD$2-Расчет!$X$57&gt;200,AO147+Расчет!$Y$57+$BD$2-1000,AO147+Расчет!$Y$57+$BD$2))</f>
        <v/>
      </c>
      <c r="BL147" s="172">
        <f>COUNTIF($BM$5:BM147,"&lt;-115")</f>
        <v>0</v>
      </c>
      <c r="BM147" s="154" t="str">
        <f>IFERROR(IF(OR(IFERROR(VLOOKUP(BN147,$E$3:$E$105,1,FALSE),"0")=BN147,IFERROR(VLOOKUP(BN147,$R$3:$R$105,1,FALSE),"0")=BN147),BO147,IF(OR(VLOOKUP(BN147,Расчет!A:E,5,FALSE)="2PS",VLOOKUP(BN147,Расчет!A:E,5,FALSE)="2QL"),IF(VLOOKUP(BN147,Расчет!A:B,2,FALSE)="831W",BN147-$BS$7+$AD$17,BN147-$BS$7+$AD$12),BN147-$BS$7)),"-")</f>
        <v>-</v>
      </c>
      <c r="BN147" s="154">
        <f>IF(OR(Расчет!C144="A0",Расчет!C144="P9",Расчет!B144="722W"),"-",Расчет!A144)</f>
        <v>11289</v>
      </c>
      <c r="BO147" s="173">
        <f t="shared" si="64"/>
        <v>0</v>
      </c>
      <c r="BP147" s="172" t="str">
        <f>IF(BQ147="-","-",IFERROR(IF(OR(VLOOKUP(BN147,Расчет!$A$2:$E$582,5,FALSE)="2PS",VLOOKUP(BN147,Расчет!$A$2:$E$582,5,FALSE)="2QL"),IF(OR(VLOOKUP(BN147,Расчет!$A$2:$E$582,2,FALSE)="664W",VLOOKUP(BN147,Расчет!$A$2:$E$582,2,FALSE)="813W"),IF(BN147-$BS$7&gt;150,BN147-$BS$7-1000+$AD$12,BN147-$BS$7+$AD$12),IF(BN147-$BS$7&gt;150,BN147-$BS$7-1000+$AD$17,BN147-$BS$7+$AD$17)),IF(BN147-$BS$7&gt;150,BN147-$BS$7-1000,BN147-$BS$7)),"-"))</f>
        <v>-</v>
      </c>
      <c r="BQ147" s="173">
        <f t="shared" si="61"/>
        <v>11289</v>
      </c>
      <c r="BR147" s="453"/>
      <c r="BS147" s="171"/>
      <c r="BT147" s="464" t="str">
        <f t="shared" si="62"/>
        <v>-</v>
      </c>
      <c r="BU147" s="464" t="str">
        <f t="shared" si="63"/>
        <v>-</v>
      </c>
      <c r="BX147" s="204">
        <f>COUNTIF($BY$4:BY147,"&lt;100")</f>
        <v>0</v>
      </c>
      <c r="BY147" s="213" t="str">
        <f t="shared" si="66"/>
        <v/>
      </c>
      <c r="BZ147" s="216" t="str">
        <f t="shared" si="67"/>
        <v/>
      </c>
      <c r="CA147" s="213" t="e">
        <f t="shared" si="59"/>
        <v>#N/A</v>
      </c>
      <c r="CB147" s="209" t="e">
        <f t="shared" si="60"/>
        <v>#N/A</v>
      </c>
      <c r="CC147" s="205" t="str">
        <f t="shared" si="65"/>
        <v/>
      </c>
      <c r="CD147" s="205" t="str">
        <f t="shared" si="68"/>
        <v>-</v>
      </c>
      <c r="CE147" s="204">
        <f t="shared" si="69"/>
        <v>0</v>
      </c>
      <c r="CG147" s="20" t="str">
        <f t="shared" ref="CG147:CG178" si="70">T35</f>
        <v/>
      </c>
    </row>
    <row r="148" spans="36:85" ht="21">
      <c r="AJ148"/>
      <c r="AK148"/>
      <c r="AL148"/>
      <c r="AM148" s="87"/>
      <c r="AN148" s="87"/>
      <c r="AO148" s="14" t="str">
        <f>IF(R45="","",COUNTA($R$3:R45)+$AO$105)</f>
        <v/>
      </c>
      <c r="AP148" s="88" t="str">
        <f>IF(AO148="","",IF(AO148+Расчет!$Y$57+$BD$2-Расчет!$X$57&gt;200,AO148+Расчет!$Y$57+$BD$2-1000,AO148+Расчет!$Y$57+$BD$2))</f>
        <v/>
      </c>
      <c r="BL148" s="172">
        <f>COUNTIF($BM$5:BM148,"&lt;-115")</f>
        <v>0</v>
      </c>
      <c r="BM148" s="154" t="str">
        <f>IFERROR(IF(OR(IFERROR(VLOOKUP(BN148,$E$3:$E$105,1,FALSE),"0")=BN148,IFERROR(VLOOKUP(BN148,$R$3:$R$105,1,FALSE),"0")=BN148),BO148,IF(OR(VLOOKUP(BN148,Расчет!A:E,5,FALSE)="2PS",VLOOKUP(BN148,Расчет!A:E,5,FALSE)="2QL"),IF(VLOOKUP(BN148,Расчет!A:B,2,FALSE)="831W",BN148-$BS$7+$AD$17,BN148-$BS$7+$AD$12),BN148-$BS$7)),"-")</f>
        <v>-</v>
      </c>
      <c r="BN148" s="154">
        <f>IF(OR(Расчет!C145="A0",Расчет!C145="P9",Расчет!B145="722W"),"-",Расчет!A145)</f>
        <v>11290</v>
      </c>
      <c r="BO148" s="173">
        <f t="shared" si="64"/>
        <v>0</v>
      </c>
      <c r="BP148" s="172" t="str">
        <f>IF(BQ148="-","-",IFERROR(IF(OR(VLOOKUP(BN148,Расчет!$A$2:$E$582,5,FALSE)="2PS",VLOOKUP(BN148,Расчет!$A$2:$E$582,5,FALSE)="2QL"),IF(OR(VLOOKUP(BN148,Расчет!$A$2:$E$582,2,FALSE)="664W",VLOOKUP(BN148,Расчет!$A$2:$E$582,2,FALSE)="813W"),IF(BN148-$BS$7&gt;150,BN148-$BS$7-1000+$AD$12,BN148-$BS$7+$AD$12),IF(BN148-$BS$7&gt;150,BN148-$BS$7-1000+$AD$17,BN148-$BS$7+$AD$17)),IF(BN148-$BS$7&gt;150,BN148-$BS$7-1000,BN148-$BS$7)),"-"))</f>
        <v>-</v>
      </c>
      <c r="BQ148" s="173">
        <f t="shared" si="61"/>
        <v>11290</v>
      </c>
      <c r="BR148" s="453"/>
      <c r="BS148" s="171"/>
      <c r="BT148" s="464" t="str">
        <f t="shared" si="62"/>
        <v>-</v>
      </c>
      <c r="BU148" s="464" t="str">
        <f t="shared" si="63"/>
        <v>-</v>
      </c>
      <c r="BX148" s="204">
        <f>COUNTIF($BY$4:BY148,"&lt;100")</f>
        <v>0</v>
      </c>
      <c r="BY148" s="213" t="str">
        <f t="shared" si="66"/>
        <v/>
      </c>
      <c r="BZ148" s="216" t="str">
        <f t="shared" si="67"/>
        <v/>
      </c>
      <c r="CA148" s="213" t="e">
        <f t="shared" si="59"/>
        <v>#N/A</v>
      </c>
      <c r="CB148" s="209" t="e">
        <f t="shared" si="60"/>
        <v>#N/A</v>
      </c>
      <c r="CC148" s="205" t="str">
        <f t="shared" si="65"/>
        <v/>
      </c>
      <c r="CD148" s="205" t="str">
        <f t="shared" si="68"/>
        <v>-</v>
      </c>
      <c r="CE148" s="204">
        <f t="shared" si="69"/>
        <v>0</v>
      </c>
      <c r="CG148" s="20" t="str">
        <f t="shared" si="70"/>
        <v/>
      </c>
    </row>
    <row r="149" spans="36:85" ht="21">
      <c r="AJ149"/>
      <c r="AK149"/>
      <c r="AL149"/>
      <c r="AM149" s="87"/>
      <c r="AN149" s="87"/>
      <c r="AO149" s="14" t="str">
        <f>IF(R46="","",COUNTA($R$3:R46)+$AO$105)</f>
        <v/>
      </c>
      <c r="AP149" s="88" t="str">
        <f>IF(AO149="","",IF(AO149+Расчет!$Y$57+$BD$2-Расчет!$X$57&gt;200,AO149+Расчет!$Y$57+$BD$2-1000,AO149+Расчет!$Y$57+$BD$2))</f>
        <v/>
      </c>
      <c r="BL149" s="172">
        <f>COUNTIF($BM$5:BM149,"&lt;-115")</f>
        <v>0</v>
      </c>
      <c r="BM149" s="154" t="str">
        <f>IFERROR(IF(OR(IFERROR(VLOOKUP(BN149,$E$3:$E$105,1,FALSE),"0")=BN149,IFERROR(VLOOKUP(BN149,$R$3:$R$105,1,FALSE),"0")=BN149),BO149,IF(OR(VLOOKUP(BN149,Расчет!A:E,5,FALSE)="2PS",VLOOKUP(BN149,Расчет!A:E,5,FALSE)="2QL"),IF(VLOOKUP(BN149,Расчет!A:B,2,FALSE)="831W",BN149-$BS$7+$AD$17,BN149-$BS$7+$AD$12),BN149-$BS$7)),"-")</f>
        <v>-</v>
      </c>
      <c r="BN149" s="154">
        <f>IF(OR(Расчет!C146="A0",Расчет!C146="P9",Расчет!B146="722W"),"-",Расчет!A146)</f>
        <v>11291</v>
      </c>
      <c r="BO149" s="173">
        <f t="shared" si="64"/>
        <v>0</v>
      </c>
      <c r="BP149" s="172" t="str">
        <f>IF(BQ149="-","-",IFERROR(IF(OR(VLOOKUP(BN149,Расчет!$A$2:$E$582,5,FALSE)="2PS",VLOOKUP(BN149,Расчет!$A$2:$E$582,5,FALSE)="2QL"),IF(OR(VLOOKUP(BN149,Расчет!$A$2:$E$582,2,FALSE)="664W",VLOOKUP(BN149,Расчет!$A$2:$E$582,2,FALSE)="813W"),IF(BN149-$BS$7&gt;150,BN149-$BS$7-1000+$AD$12,BN149-$BS$7+$AD$12),IF(BN149-$BS$7&gt;150,BN149-$BS$7-1000+$AD$17,BN149-$BS$7+$AD$17)),IF(BN149-$BS$7&gt;150,BN149-$BS$7-1000,BN149-$BS$7)),"-"))</f>
        <v>-</v>
      </c>
      <c r="BQ149" s="173">
        <f t="shared" si="61"/>
        <v>11291</v>
      </c>
      <c r="BR149" s="453"/>
      <c r="BS149" s="171"/>
      <c r="BT149" s="464" t="str">
        <f t="shared" si="62"/>
        <v>-</v>
      </c>
      <c r="BU149" s="464" t="str">
        <f t="shared" si="63"/>
        <v>-</v>
      </c>
      <c r="BX149" s="204">
        <f>COUNTIF($BY$4:BY149,"&lt;100")</f>
        <v>0</v>
      </c>
      <c r="BY149" s="213" t="str">
        <f t="shared" si="66"/>
        <v/>
      </c>
      <c r="BZ149" s="216" t="str">
        <f t="shared" si="67"/>
        <v/>
      </c>
      <c r="CA149" s="213" t="e">
        <f t="shared" si="59"/>
        <v>#N/A</v>
      </c>
      <c r="CB149" s="209" t="e">
        <f t="shared" si="60"/>
        <v>#N/A</v>
      </c>
      <c r="CC149" s="205" t="str">
        <f t="shared" si="65"/>
        <v/>
      </c>
      <c r="CD149" s="205" t="str">
        <f t="shared" si="68"/>
        <v>-</v>
      </c>
      <c r="CE149" s="204">
        <f t="shared" si="69"/>
        <v>0</v>
      </c>
      <c r="CG149" s="20" t="str">
        <f t="shared" si="70"/>
        <v/>
      </c>
    </row>
    <row r="150" spans="36:85" ht="21">
      <c r="AJ150"/>
      <c r="AK150"/>
      <c r="AL150"/>
      <c r="AM150" s="87"/>
      <c r="AN150" s="87"/>
      <c r="AO150" s="14" t="str">
        <f>IF(R47="","",COUNTA($R$3:R47)+$AO$105)</f>
        <v/>
      </c>
      <c r="AP150" s="88" t="str">
        <f>IF(AO150="","",IF(AO150+Расчет!$Y$57+$BD$2-Расчет!$X$57&gt;200,AO150+Расчет!$Y$57+$BD$2-1000,AO150+Расчет!$Y$57+$BD$2))</f>
        <v/>
      </c>
      <c r="BL150" s="172">
        <f>COUNTIF($BM$5:BM150,"&lt;-115")</f>
        <v>0</v>
      </c>
      <c r="BM150" s="154" t="str">
        <f>IFERROR(IF(OR(IFERROR(VLOOKUP(BN150,$E$3:$E$105,1,FALSE),"0")=BN150,IFERROR(VLOOKUP(BN150,$R$3:$R$105,1,FALSE),"0")=BN150),BO150,IF(OR(VLOOKUP(BN150,Расчет!A:E,5,FALSE)="2PS",VLOOKUP(BN150,Расчет!A:E,5,FALSE)="2QL"),IF(VLOOKUP(BN150,Расчет!A:B,2,FALSE)="831W",BN150-$BS$7+$AD$17,BN150-$BS$7+$AD$12),BN150-$BS$7)),"-")</f>
        <v>-</v>
      </c>
      <c r="BN150" s="154">
        <f>IF(OR(Расчет!C147="A0",Расчет!C147="P9",Расчет!B147="722W"),"-",Расчет!A147)</f>
        <v>11292</v>
      </c>
      <c r="BO150" s="173">
        <f t="shared" si="64"/>
        <v>0</v>
      </c>
      <c r="BP150" s="172" t="str">
        <f>IF(BQ150="-","-",IFERROR(IF(OR(VLOOKUP(BN150,Расчет!$A$2:$E$582,5,FALSE)="2PS",VLOOKUP(BN150,Расчет!$A$2:$E$582,5,FALSE)="2QL"),IF(OR(VLOOKUP(BN150,Расчет!$A$2:$E$582,2,FALSE)="664W",VLOOKUP(BN150,Расчет!$A$2:$E$582,2,FALSE)="813W"),IF(BN150-$BS$7&gt;150,BN150-$BS$7-1000+$AD$12,BN150-$BS$7+$AD$12),IF(BN150-$BS$7&gt;150,BN150-$BS$7-1000+$AD$17,BN150-$BS$7+$AD$17)),IF(BN150-$BS$7&gt;150,BN150-$BS$7-1000,BN150-$BS$7)),"-"))</f>
        <v>-</v>
      </c>
      <c r="BQ150" s="173">
        <f t="shared" si="61"/>
        <v>11292</v>
      </c>
      <c r="BR150" s="453"/>
      <c r="BS150" s="171"/>
      <c r="BT150" s="464" t="str">
        <f t="shared" si="62"/>
        <v>-</v>
      </c>
      <c r="BU150" s="464" t="str">
        <f t="shared" si="63"/>
        <v>-</v>
      </c>
      <c r="BX150" s="204">
        <f>COUNTIF($BY$4:BY150,"&lt;100")</f>
        <v>0</v>
      </c>
      <c r="BY150" s="213" t="str">
        <f t="shared" si="66"/>
        <v/>
      </c>
      <c r="BZ150" s="216" t="str">
        <f t="shared" si="67"/>
        <v/>
      </c>
      <c r="CA150" s="213" t="e">
        <f t="shared" si="59"/>
        <v>#N/A</v>
      </c>
      <c r="CB150" s="209" t="e">
        <f t="shared" si="60"/>
        <v>#N/A</v>
      </c>
      <c r="CC150" s="205" t="str">
        <f t="shared" si="65"/>
        <v/>
      </c>
      <c r="CD150" s="205" t="str">
        <f t="shared" si="68"/>
        <v>-</v>
      </c>
      <c r="CE150" s="204">
        <f t="shared" si="69"/>
        <v>0</v>
      </c>
      <c r="CG150" s="20" t="str">
        <f t="shared" si="70"/>
        <v/>
      </c>
    </row>
    <row r="151" spans="36:85" ht="21">
      <c r="AJ151"/>
      <c r="AK151"/>
      <c r="AL151"/>
      <c r="AM151" s="87"/>
      <c r="AN151" s="87"/>
      <c r="AO151" s="14" t="str">
        <f>IF(R48="","",COUNTA($R$3:R48)+$AO$105)</f>
        <v/>
      </c>
      <c r="AP151" s="88" t="str">
        <f>IF(AO151="","",IF(AO151+Расчет!$Y$57+$BD$2-Расчет!$X$57&gt;200,AO151+Расчет!$Y$57+$BD$2-1000,AO151+Расчет!$Y$57+$BD$2))</f>
        <v/>
      </c>
      <c r="BL151" s="172">
        <f>COUNTIF($BM$5:BM151,"&lt;-115")</f>
        <v>0</v>
      </c>
      <c r="BM151" s="154" t="str">
        <f>IFERROR(IF(OR(IFERROR(VLOOKUP(BN151,$E$3:$E$105,1,FALSE),"0")=BN151,IFERROR(VLOOKUP(BN151,$R$3:$R$105,1,FALSE),"0")=BN151),BO151,IF(OR(VLOOKUP(BN151,Расчет!A:E,5,FALSE)="2PS",VLOOKUP(BN151,Расчет!A:E,5,FALSE)="2QL"),IF(VLOOKUP(BN151,Расчет!A:B,2,FALSE)="831W",BN151-$BS$7+$AD$17,BN151-$BS$7+$AD$12),BN151-$BS$7)),"-")</f>
        <v>-</v>
      </c>
      <c r="BN151" s="154">
        <f>IF(OR(Расчет!C148="A0",Расчет!C148="P9",Расчет!B148="722W"),"-",Расчет!A148)</f>
        <v>11293</v>
      </c>
      <c r="BO151" s="173">
        <f t="shared" si="64"/>
        <v>0</v>
      </c>
      <c r="BP151" s="172" t="str">
        <f>IF(BQ151="-","-",IFERROR(IF(OR(VLOOKUP(BN151,Расчет!$A$2:$E$582,5,FALSE)="2PS",VLOOKUP(BN151,Расчет!$A$2:$E$582,5,FALSE)="2QL"),IF(OR(VLOOKUP(BN151,Расчет!$A$2:$E$582,2,FALSE)="664W",VLOOKUP(BN151,Расчет!$A$2:$E$582,2,FALSE)="813W"),IF(BN151-$BS$7&gt;150,BN151-$BS$7-1000+$AD$12,BN151-$BS$7+$AD$12),IF(BN151-$BS$7&gt;150,BN151-$BS$7-1000+$AD$17,BN151-$BS$7+$AD$17)),IF(BN151-$BS$7&gt;150,BN151-$BS$7-1000,BN151-$BS$7)),"-"))</f>
        <v>-</v>
      </c>
      <c r="BQ151" s="173">
        <f t="shared" si="61"/>
        <v>11293</v>
      </c>
      <c r="BR151" s="453"/>
      <c r="BS151" s="171"/>
      <c r="BT151" s="464" t="str">
        <f t="shared" si="62"/>
        <v>-</v>
      </c>
      <c r="BU151" s="464" t="str">
        <f t="shared" si="63"/>
        <v>-</v>
      </c>
      <c r="BX151" s="204">
        <f>COUNTIF($BY$4:BY151,"&lt;100")</f>
        <v>0</v>
      </c>
      <c r="BY151" s="213" t="str">
        <f t="shared" si="66"/>
        <v/>
      </c>
      <c r="BZ151" s="216" t="str">
        <f t="shared" si="67"/>
        <v/>
      </c>
      <c r="CA151" s="213" t="e">
        <f t="shared" si="59"/>
        <v>#N/A</v>
      </c>
      <c r="CB151" s="209" t="e">
        <f t="shared" si="60"/>
        <v>#N/A</v>
      </c>
      <c r="CC151" s="205" t="str">
        <f t="shared" si="65"/>
        <v/>
      </c>
      <c r="CD151" s="205" t="str">
        <f t="shared" si="68"/>
        <v>-</v>
      </c>
      <c r="CE151" s="204">
        <f t="shared" si="69"/>
        <v>0</v>
      </c>
      <c r="CG151" s="20" t="str">
        <f t="shared" si="70"/>
        <v/>
      </c>
    </row>
    <row r="152" spans="36:85" ht="21">
      <c r="AJ152"/>
      <c r="AK152"/>
      <c r="AL152"/>
      <c r="AM152" s="87"/>
      <c r="AN152" s="87"/>
      <c r="AO152" s="14" t="str">
        <f>IF(R49="","",COUNTA($R$3:R49)+$AO$105)</f>
        <v/>
      </c>
      <c r="AP152" s="88" t="str">
        <f>IF(AO152="","",IF(AO152+Расчет!$Y$57+$BD$2-Расчет!$X$57&gt;200,AO152+Расчет!$Y$57+$BD$2-1000,AO152+Расчет!$Y$57+$BD$2))</f>
        <v/>
      </c>
      <c r="BL152" s="172">
        <f>COUNTIF($BM$5:BM152,"&lt;-115")</f>
        <v>0</v>
      </c>
      <c r="BM152" s="154" t="str">
        <f>IFERROR(IF(OR(IFERROR(VLOOKUP(BN152,$E$3:$E$105,1,FALSE),"0")=BN152,IFERROR(VLOOKUP(BN152,$R$3:$R$105,1,FALSE),"0")=BN152),BO152,IF(OR(VLOOKUP(BN152,Расчет!A:E,5,FALSE)="2PS",VLOOKUP(BN152,Расчет!A:E,5,FALSE)="2QL"),IF(VLOOKUP(BN152,Расчет!A:B,2,FALSE)="831W",BN152-$BS$7+$AD$17,BN152-$BS$7+$AD$12),BN152-$BS$7)),"-")</f>
        <v>-</v>
      </c>
      <c r="BN152" s="154">
        <f>IF(OR(Расчет!C149="A0",Расчет!C149="P9",Расчет!B149="722W"),"-",Расчет!A149)</f>
        <v>11294</v>
      </c>
      <c r="BO152" s="173">
        <f t="shared" si="64"/>
        <v>0</v>
      </c>
      <c r="BP152" s="172" t="str">
        <f>IF(BQ152="-","-",IFERROR(IF(OR(VLOOKUP(BN152,Расчет!$A$2:$E$582,5,FALSE)="2PS",VLOOKUP(BN152,Расчет!$A$2:$E$582,5,FALSE)="2QL"),IF(OR(VLOOKUP(BN152,Расчет!$A$2:$E$582,2,FALSE)="664W",VLOOKUP(BN152,Расчет!$A$2:$E$582,2,FALSE)="813W"),IF(BN152-$BS$7&gt;150,BN152-$BS$7-1000+$AD$12,BN152-$BS$7+$AD$12),IF(BN152-$BS$7&gt;150,BN152-$BS$7-1000+$AD$17,BN152-$BS$7+$AD$17)),IF(BN152-$BS$7&gt;150,BN152-$BS$7-1000,BN152-$BS$7)),"-"))</f>
        <v>-</v>
      </c>
      <c r="BQ152" s="173">
        <f t="shared" si="61"/>
        <v>11294</v>
      </c>
      <c r="BR152" s="453"/>
      <c r="BS152" s="171"/>
      <c r="BT152" s="464" t="str">
        <f t="shared" si="62"/>
        <v>-</v>
      </c>
      <c r="BU152" s="464" t="str">
        <f t="shared" si="63"/>
        <v>-</v>
      </c>
      <c r="BX152" s="204">
        <f>COUNTIF($BY$4:BY152,"&lt;100")</f>
        <v>0</v>
      </c>
      <c r="BY152" s="213" t="str">
        <f t="shared" si="66"/>
        <v/>
      </c>
      <c r="BZ152" s="216" t="str">
        <f t="shared" si="67"/>
        <v/>
      </c>
      <c r="CA152" s="213" t="e">
        <f t="shared" si="59"/>
        <v>#N/A</v>
      </c>
      <c r="CB152" s="209" t="e">
        <f t="shared" si="60"/>
        <v>#N/A</v>
      </c>
      <c r="CC152" s="205" t="str">
        <f t="shared" si="65"/>
        <v/>
      </c>
      <c r="CD152" s="205" t="str">
        <f t="shared" si="68"/>
        <v>-</v>
      </c>
      <c r="CE152" s="204">
        <f t="shared" si="69"/>
        <v>0</v>
      </c>
      <c r="CG152" s="20" t="str">
        <f t="shared" si="70"/>
        <v/>
      </c>
    </row>
    <row r="153" spans="36:85" ht="21">
      <c r="AJ153"/>
      <c r="AK153"/>
      <c r="AL153"/>
      <c r="AM153" s="87"/>
      <c r="AN153" s="87"/>
      <c r="AO153" s="14" t="str">
        <f>IF(R50="","",COUNTA($R$3:R50)+$AO$105)</f>
        <v/>
      </c>
      <c r="AP153" s="88" t="str">
        <f>IF(AO153="","",IF(AO153+Расчет!$Y$57+$BD$2-Расчет!$X$57&gt;200,AO153+Расчет!$Y$57+$BD$2-1000,AO153+Расчет!$Y$57+$BD$2))</f>
        <v/>
      </c>
      <c r="BL153" s="172">
        <f>COUNTIF($BM$5:BM153,"&lt;-115")</f>
        <v>0</v>
      </c>
      <c r="BM153" s="154" t="str">
        <f>IFERROR(IF(OR(IFERROR(VLOOKUP(BN153,$E$3:$E$105,1,FALSE),"0")=BN153,IFERROR(VLOOKUP(BN153,$R$3:$R$105,1,FALSE),"0")=BN153),BO153,IF(OR(VLOOKUP(BN153,Расчет!A:E,5,FALSE)="2PS",VLOOKUP(BN153,Расчет!A:E,5,FALSE)="2QL"),IF(VLOOKUP(BN153,Расчет!A:B,2,FALSE)="831W",BN153-$BS$7+$AD$17,BN153-$BS$7+$AD$12),BN153-$BS$7)),"-")</f>
        <v>-</v>
      </c>
      <c r="BN153" s="154">
        <f>IF(OR(Расчет!C150="A0",Расчет!C150="P9",Расчет!B150="722W"),"-",Расчет!A150)</f>
        <v>11295</v>
      </c>
      <c r="BO153" s="173">
        <f t="shared" si="64"/>
        <v>0</v>
      </c>
      <c r="BP153" s="172" t="str">
        <f>IF(BQ153="-","-",IFERROR(IF(OR(VLOOKUP(BN153,Расчет!$A$2:$E$582,5,FALSE)="2PS",VLOOKUP(BN153,Расчет!$A$2:$E$582,5,FALSE)="2QL"),IF(OR(VLOOKUP(BN153,Расчет!$A$2:$E$582,2,FALSE)="664W",VLOOKUP(BN153,Расчет!$A$2:$E$582,2,FALSE)="813W"),IF(BN153-$BS$7&gt;150,BN153-$BS$7-1000+$AD$12,BN153-$BS$7+$AD$12),IF(BN153-$BS$7&gt;150,BN153-$BS$7-1000+$AD$17,BN153-$BS$7+$AD$17)),IF(BN153-$BS$7&gt;150,BN153-$BS$7-1000,BN153-$BS$7)),"-"))</f>
        <v>-</v>
      </c>
      <c r="BQ153" s="173">
        <f t="shared" si="61"/>
        <v>11295</v>
      </c>
      <c r="BR153" s="453"/>
      <c r="BS153" s="171"/>
      <c r="BT153" s="464" t="str">
        <f t="shared" si="62"/>
        <v>-</v>
      </c>
      <c r="BU153" s="464" t="str">
        <f t="shared" si="63"/>
        <v>-</v>
      </c>
      <c r="BX153" s="204">
        <f>COUNTIF($BY$4:BY153,"&lt;100")</f>
        <v>0</v>
      </c>
      <c r="BY153" s="213" t="str">
        <f t="shared" si="66"/>
        <v/>
      </c>
      <c r="BZ153" s="216" t="str">
        <f t="shared" si="67"/>
        <v/>
      </c>
      <c r="CA153" s="213" t="e">
        <f t="shared" si="59"/>
        <v>#N/A</v>
      </c>
      <c r="CB153" s="209" t="e">
        <f t="shared" si="60"/>
        <v>#N/A</v>
      </c>
      <c r="CC153" s="205" t="str">
        <f t="shared" si="65"/>
        <v/>
      </c>
      <c r="CD153" s="205" t="str">
        <f t="shared" si="68"/>
        <v>-</v>
      </c>
      <c r="CE153" s="204">
        <f t="shared" si="69"/>
        <v>0</v>
      </c>
      <c r="CG153" s="20" t="str">
        <f t="shared" si="70"/>
        <v/>
      </c>
    </row>
    <row r="154" spans="36:85" ht="21">
      <c r="AJ154"/>
      <c r="AK154"/>
      <c r="AL154"/>
      <c r="AM154" s="87"/>
      <c r="AN154" s="87"/>
      <c r="AO154" s="14" t="str">
        <f>IF(R51="","",COUNTA($R$3:R51)+$AO$105)</f>
        <v/>
      </c>
      <c r="AP154" s="88" t="str">
        <f>IF(AO154="","",IF(AO154+Расчет!$Y$57+$BD$2-Расчет!$X$57&gt;200,AO154+Расчет!$Y$57+$BD$2-1000,AO154+Расчет!$Y$57+$BD$2))</f>
        <v/>
      </c>
      <c r="BL154" s="172">
        <f>COUNTIF($BM$5:BM154,"&lt;-115")</f>
        <v>0</v>
      </c>
      <c r="BM154" s="154" t="str">
        <f>IFERROR(IF(OR(IFERROR(VLOOKUP(BN154,$E$3:$E$105,1,FALSE),"0")=BN154,IFERROR(VLOOKUP(BN154,$R$3:$R$105,1,FALSE),"0")=BN154),BO154,IF(OR(VLOOKUP(BN154,Расчет!A:E,5,FALSE)="2PS",VLOOKUP(BN154,Расчет!A:E,5,FALSE)="2QL"),IF(VLOOKUP(BN154,Расчет!A:B,2,FALSE)="831W",BN154-$BS$7+$AD$17,BN154-$BS$7+$AD$12),BN154-$BS$7)),"-")</f>
        <v>-</v>
      </c>
      <c r="BN154" s="154">
        <f>IF(OR(Расчет!C151="A0",Расчет!C151="P9",Расчет!B151="722W"),"-",Расчет!A151)</f>
        <v>11296</v>
      </c>
      <c r="BO154" s="173">
        <f t="shared" si="64"/>
        <v>0</v>
      </c>
      <c r="BP154" s="172" t="str">
        <f>IF(BQ154="-","-",IFERROR(IF(OR(VLOOKUP(BN154,Расчет!$A$2:$E$582,5,FALSE)="2PS",VLOOKUP(BN154,Расчет!$A$2:$E$582,5,FALSE)="2QL"),IF(OR(VLOOKUP(BN154,Расчет!$A$2:$E$582,2,FALSE)="664W",VLOOKUP(BN154,Расчет!$A$2:$E$582,2,FALSE)="813W"),IF(BN154-$BS$7&gt;150,BN154-$BS$7-1000+$AD$12,BN154-$BS$7+$AD$12),IF(BN154-$BS$7&gt;150,BN154-$BS$7-1000+$AD$17,BN154-$BS$7+$AD$17)),IF(BN154-$BS$7&gt;150,BN154-$BS$7-1000,BN154-$BS$7)),"-"))</f>
        <v>-</v>
      </c>
      <c r="BQ154" s="173">
        <f t="shared" si="61"/>
        <v>11296</v>
      </c>
      <c r="BR154" s="453"/>
      <c r="BS154" s="171"/>
      <c r="BT154" s="464" t="str">
        <f t="shared" si="62"/>
        <v>-</v>
      </c>
      <c r="BU154" s="464" t="str">
        <f t="shared" si="63"/>
        <v>-</v>
      </c>
      <c r="BX154" s="204">
        <f>COUNTIF($BY$4:BY154,"&lt;100")</f>
        <v>0</v>
      </c>
      <c r="BY154" s="213" t="str">
        <f t="shared" si="66"/>
        <v/>
      </c>
      <c r="BZ154" s="216" t="str">
        <f t="shared" si="67"/>
        <v/>
      </c>
      <c r="CA154" s="213" t="e">
        <f t="shared" si="59"/>
        <v>#N/A</v>
      </c>
      <c r="CB154" s="209" t="e">
        <f t="shared" si="60"/>
        <v>#N/A</v>
      </c>
      <c r="CC154" s="205" t="str">
        <f t="shared" si="65"/>
        <v/>
      </c>
      <c r="CD154" s="205" t="str">
        <f t="shared" si="68"/>
        <v>-</v>
      </c>
      <c r="CE154" s="204">
        <f t="shared" si="69"/>
        <v>0</v>
      </c>
      <c r="CG154" s="20" t="str">
        <f t="shared" si="70"/>
        <v/>
      </c>
    </row>
    <row r="155" spans="36:85" ht="21">
      <c r="AJ155"/>
      <c r="AK155"/>
      <c r="AL155"/>
      <c r="AM155" s="87"/>
      <c r="AN155" s="87"/>
      <c r="AO155" s="14" t="str">
        <f>IF(R52="","",COUNTA($R$3:R52)+$AO$105)</f>
        <v/>
      </c>
      <c r="AP155" s="88" t="str">
        <f>IF(AO155="","",IF(AO155+Расчет!$Y$57+$BD$2-Расчет!$X$57&gt;200,AO155+Расчет!$Y$57+$BD$2-1000,AO155+Расчет!$Y$57+$BD$2))</f>
        <v/>
      </c>
      <c r="BL155" s="172">
        <f>COUNTIF($BM$5:BM155,"&lt;-115")</f>
        <v>0</v>
      </c>
      <c r="BM155" s="154" t="str">
        <f>IFERROR(IF(OR(IFERROR(VLOOKUP(BN155,$E$3:$E$105,1,FALSE),"0")=BN155,IFERROR(VLOOKUP(BN155,$R$3:$R$105,1,FALSE),"0")=BN155),BO155,IF(OR(VLOOKUP(BN155,Расчет!A:E,5,FALSE)="2PS",VLOOKUP(BN155,Расчет!A:E,5,FALSE)="2QL"),IF(VLOOKUP(BN155,Расчет!A:B,2,FALSE)="831W",BN155-$BS$7+$AD$17,BN155-$BS$7+$AD$12),BN155-$BS$7)),"-")</f>
        <v>-</v>
      </c>
      <c r="BN155" s="154">
        <f>IF(OR(Расчет!C152="A0",Расчет!C152="P9",Расчет!B152="722W"),"-",Расчет!A152)</f>
        <v>11297</v>
      </c>
      <c r="BO155" s="173">
        <f t="shared" si="64"/>
        <v>0</v>
      </c>
      <c r="BP155" s="172" t="str">
        <f>IF(BQ155="-","-",IFERROR(IF(OR(VLOOKUP(BN155,Расчет!$A$2:$E$582,5,FALSE)="2PS",VLOOKUP(BN155,Расчет!$A$2:$E$582,5,FALSE)="2QL"),IF(OR(VLOOKUP(BN155,Расчет!$A$2:$E$582,2,FALSE)="664W",VLOOKUP(BN155,Расчет!$A$2:$E$582,2,FALSE)="813W"),IF(BN155-$BS$7&gt;150,BN155-$BS$7-1000+$AD$12,BN155-$BS$7+$AD$12),IF(BN155-$BS$7&gt;150,BN155-$BS$7-1000+$AD$17,BN155-$BS$7+$AD$17)),IF(BN155-$BS$7&gt;150,BN155-$BS$7-1000,BN155-$BS$7)),"-"))</f>
        <v>-</v>
      </c>
      <c r="BQ155" s="173">
        <f t="shared" si="61"/>
        <v>11297</v>
      </c>
      <c r="BR155" s="453"/>
      <c r="BS155" s="171"/>
      <c r="BT155" s="464" t="str">
        <f t="shared" si="62"/>
        <v>-</v>
      </c>
      <c r="BU155" s="464" t="str">
        <f t="shared" si="63"/>
        <v>-</v>
      </c>
      <c r="BX155" s="204">
        <f>COUNTIF($BY$4:BY155,"&lt;100")</f>
        <v>0</v>
      </c>
      <c r="BY155" s="213" t="str">
        <f t="shared" si="66"/>
        <v/>
      </c>
      <c r="BZ155" s="216" t="str">
        <f t="shared" si="67"/>
        <v/>
      </c>
      <c r="CA155" s="213" t="e">
        <f t="shared" si="59"/>
        <v>#N/A</v>
      </c>
      <c r="CB155" s="209" t="e">
        <f t="shared" si="60"/>
        <v>#N/A</v>
      </c>
      <c r="CC155" s="205" t="str">
        <f t="shared" si="65"/>
        <v/>
      </c>
      <c r="CD155" s="205" t="str">
        <f t="shared" si="68"/>
        <v>-</v>
      </c>
      <c r="CE155" s="204">
        <f t="shared" si="69"/>
        <v>0</v>
      </c>
      <c r="CG155" s="20" t="str">
        <f t="shared" si="70"/>
        <v/>
      </c>
    </row>
    <row r="156" spans="36:85" ht="21">
      <c r="AJ156"/>
      <c r="AK156"/>
      <c r="AL156"/>
      <c r="AM156" s="87"/>
      <c r="AN156" s="87"/>
      <c r="AO156" s="14" t="str">
        <f>IF(R53="","",COUNTA($R$3:R53)+$AO$105)</f>
        <v/>
      </c>
      <c r="AP156" s="88" t="str">
        <f>IF(AO156="","",IF(AO156+Расчет!$Y$57+$BD$2-Расчет!$X$57&gt;200,AO156+Расчет!$Y$57+$BD$2-1000,AO156+Расчет!$Y$57+$BD$2))</f>
        <v/>
      </c>
      <c r="BL156" s="172">
        <f>COUNTIF($BM$5:BM156,"&lt;-115")</f>
        <v>0</v>
      </c>
      <c r="BM156" s="154" t="str">
        <f>IFERROR(IF(OR(IFERROR(VLOOKUP(BN156,$E$3:$E$105,1,FALSE),"0")=BN156,IFERROR(VLOOKUP(BN156,$R$3:$R$105,1,FALSE),"0")=BN156),BO156,IF(OR(VLOOKUP(BN156,Расчет!A:E,5,FALSE)="2PS",VLOOKUP(BN156,Расчет!A:E,5,FALSE)="2QL"),IF(VLOOKUP(BN156,Расчет!A:B,2,FALSE)="831W",BN156-$BS$7+$AD$17,BN156-$BS$7+$AD$12),BN156-$BS$7)),"-")</f>
        <v>-</v>
      </c>
      <c r="BN156" s="154">
        <f>IF(OR(Расчет!C153="A0",Расчет!C153="P9",Расчет!B153="722W"),"-",Расчет!A153)</f>
        <v>11298</v>
      </c>
      <c r="BO156" s="173">
        <f t="shared" si="64"/>
        <v>0</v>
      </c>
      <c r="BP156" s="172" t="str">
        <f>IF(BQ156="-","-",IFERROR(IF(OR(VLOOKUP(BN156,Расчет!$A$2:$E$582,5,FALSE)="2PS",VLOOKUP(BN156,Расчет!$A$2:$E$582,5,FALSE)="2QL"),IF(OR(VLOOKUP(BN156,Расчет!$A$2:$E$582,2,FALSE)="664W",VLOOKUP(BN156,Расчет!$A$2:$E$582,2,FALSE)="813W"),IF(BN156-$BS$7&gt;150,BN156-$BS$7-1000+$AD$12,BN156-$BS$7+$AD$12),IF(BN156-$BS$7&gt;150,BN156-$BS$7-1000+$AD$17,BN156-$BS$7+$AD$17)),IF(BN156-$BS$7&gt;150,BN156-$BS$7-1000,BN156-$BS$7)),"-"))</f>
        <v>-</v>
      </c>
      <c r="BQ156" s="173">
        <f t="shared" si="61"/>
        <v>11298</v>
      </c>
      <c r="BR156" s="453"/>
      <c r="BS156" s="171"/>
      <c r="BT156" s="464" t="str">
        <f t="shared" si="62"/>
        <v>-</v>
      </c>
      <c r="BU156" s="464" t="str">
        <f t="shared" si="63"/>
        <v>-</v>
      </c>
      <c r="BX156" s="204">
        <f>COUNTIF($BY$4:BY156,"&lt;100")</f>
        <v>0</v>
      </c>
      <c r="BY156" s="213" t="str">
        <f t="shared" si="66"/>
        <v/>
      </c>
      <c r="BZ156" s="216" t="str">
        <f t="shared" si="67"/>
        <v/>
      </c>
      <c r="CA156" s="213" t="e">
        <f t="shared" si="59"/>
        <v>#N/A</v>
      </c>
      <c r="CB156" s="209" t="e">
        <f t="shared" si="60"/>
        <v>#N/A</v>
      </c>
      <c r="CC156" s="205" t="str">
        <f t="shared" si="65"/>
        <v/>
      </c>
      <c r="CD156" s="205" t="str">
        <f t="shared" si="68"/>
        <v>-</v>
      </c>
      <c r="CE156" s="204">
        <f t="shared" si="69"/>
        <v>0</v>
      </c>
      <c r="CG156" s="20" t="str">
        <f t="shared" si="70"/>
        <v/>
      </c>
    </row>
    <row r="157" spans="36:85" ht="21">
      <c r="AJ157"/>
      <c r="AK157"/>
      <c r="AL157"/>
      <c r="AM157" s="87"/>
      <c r="AN157" s="87"/>
      <c r="AO157" s="14" t="str">
        <f>IF(R54="","",COUNTA($R$3:R54)+$AO$105)</f>
        <v/>
      </c>
      <c r="AP157" s="88" t="str">
        <f>IF(AO157="","",IF(AO157+Расчет!$Y$57+$BD$2-Расчет!$X$57&gt;200,AO157+Расчет!$Y$57+$BD$2-1000,AO157+Расчет!$Y$57+$BD$2))</f>
        <v/>
      </c>
      <c r="AZ157"/>
      <c r="BA157"/>
      <c r="BB157"/>
      <c r="BC157"/>
      <c r="BD157"/>
      <c r="BL157" s="172">
        <f>COUNTIF($BM$5:BM157,"&lt;-115")</f>
        <v>0</v>
      </c>
      <c r="BM157" s="154" t="str">
        <f>IFERROR(IF(OR(IFERROR(VLOOKUP(BN157,$E$3:$E$105,1,FALSE),"0")=BN157,IFERROR(VLOOKUP(BN157,$R$3:$R$105,1,FALSE),"0")=BN157),BO157,IF(OR(VLOOKUP(BN157,Расчет!A:E,5,FALSE)="2PS",VLOOKUP(BN157,Расчет!A:E,5,FALSE)="2QL"),IF(VLOOKUP(BN157,Расчет!A:B,2,FALSE)="831W",BN157-$BS$7+$AD$17,BN157-$BS$7+$AD$12),BN157-$BS$7)),"-")</f>
        <v>-</v>
      </c>
      <c r="BN157" s="154">
        <f>IF(OR(Расчет!C154="A0",Расчет!C154="P9",Расчет!B154="722W"),"-",Расчет!A154)</f>
        <v>11299</v>
      </c>
      <c r="BO157" s="173">
        <f t="shared" si="64"/>
        <v>0</v>
      </c>
      <c r="BP157" s="172" t="str">
        <f>IF(BQ157="-","-",IFERROR(IF(OR(VLOOKUP(BN157,Расчет!$A$2:$E$582,5,FALSE)="2PS",VLOOKUP(BN157,Расчет!$A$2:$E$582,5,FALSE)="2QL"),IF(OR(VLOOKUP(BN157,Расчет!$A$2:$E$582,2,FALSE)="664W",VLOOKUP(BN157,Расчет!$A$2:$E$582,2,FALSE)="813W"),IF(BN157-$BS$7&gt;150,BN157-$BS$7-1000+$AD$12,BN157-$BS$7+$AD$12),IF(BN157-$BS$7&gt;150,BN157-$BS$7-1000+$AD$17,BN157-$BS$7+$AD$17)),IF(BN157-$BS$7&gt;150,BN157-$BS$7-1000,BN157-$BS$7)),"-"))</f>
        <v>-</v>
      </c>
      <c r="BQ157" s="173">
        <f t="shared" si="61"/>
        <v>11299</v>
      </c>
      <c r="BR157" s="453"/>
      <c r="BS157" s="171"/>
      <c r="BT157" s="464" t="str">
        <f t="shared" si="62"/>
        <v>-</v>
      </c>
      <c r="BU157" s="464" t="str">
        <f t="shared" si="63"/>
        <v>-</v>
      </c>
      <c r="BX157" s="204">
        <f>COUNTIF($BY$4:BY157,"&lt;100")</f>
        <v>0</v>
      </c>
      <c r="BY157" s="213" t="str">
        <f t="shared" si="66"/>
        <v/>
      </c>
      <c r="BZ157" s="216" t="str">
        <f t="shared" si="67"/>
        <v/>
      </c>
      <c r="CA157" s="213" t="e">
        <f t="shared" si="59"/>
        <v>#N/A</v>
      </c>
      <c r="CB157" s="209" t="e">
        <f t="shared" si="60"/>
        <v>#N/A</v>
      </c>
      <c r="CC157" s="205" t="str">
        <f t="shared" si="65"/>
        <v/>
      </c>
      <c r="CD157" s="205" t="str">
        <f t="shared" si="68"/>
        <v>-</v>
      </c>
      <c r="CE157" s="204">
        <f t="shared" si="69"/>
        <v>0</v>
      </c>
      <c r="CG157" s="20" t="str">
        <f t="shared" si="70"/>
        <v/>
      </c>
    </row>
    <row r="158" spans="36:85" ht="21">
      <c r="AJ158"/>
      <c r="AK158"/>
      <c r="AL158"/>
      <c r="AM158" s="87"/>
      <c r="AN158" s="87"/>
      <c r="AO158" s="14" t="str">
        <f>IF(R55="","",COUNTA($R$3:R55)+$AO$105)</f>
        <v/>
      </c>
      <c r="AP158" s="88" t="str">
        <f>IF(AO158="","",IF(AO158+Расчет!$Y$57+$BD$2-Расчет!$X$57&gt;200,AO158+Расчет!$Y$57+$BD$2-1000,AO158+Расчет!$Y$57+$BD$2))</f>
        <v/>
      </c>
      <c r="AZ158"/>
      <c r="BA158"/>
      <c r="BB158"/>
      <c r="BC158"/>
      <c r="BD158"/>
      <c r="BL158" s="172">
        <f>COUNTIF($BM$5:BM158,"&lt;-115")</f>
        <v>0</v>
      </c>
      <c r="BM158" s="154" t="str">
        <f>IFERROR(IF(OR(IFERROR(VLOOKUP(BN158,$E$3:$E$105,1,FALSE),"0")=BN158,IFERROR(VLOOKUP(BN158,$R$3:$R$105,1,FALSE),"0")=BN158),BO158,IF(OR(VLOOKUP(BN158,Расчет!A:E,5,FALSE)="2PS",VLOOKUP(BN158,Расчет!A:E,5,FALSE)="2QL"),IF(VLOOKUP(BN158,Расчет!A:B,2,FALSE)="831W",BN158-$BS$7+$AD$17,BN158-$BS$7+$AD$12),BN158-$BS$7)),"-")</f>
        <v>-</v>
      </c>
      <c r="BN158" s="154">
        <f>IF(OR(Расчет!C155="A0",Расчет!C155="P9",Расчет!B155="722W"),"-",Расчет!A155)</f>
        <v>11300</v>
      </c>
      <c r="BO158" s="173">
        <f t="shared" si="64"/>
        <v>0</v>
      </c>
      <c r="BP158" s="172" t="str">
        <f>IF(BQ158="-","-",IFERROR(IF(OR(VLOOKUP(BN158,Расчет!$A$2:$E$582,5,FALSE)="2PS",VLOOKUP(BN158,Расчет!$A$2:$E$582,5,FALSE)="2QL"),IF(OR(VLOOKUP(BN158,Расчет!$A$2:$E$582,2,FALSE)="664W",VLOOKUP(BN158,Расчет!$A$2:$E$582,2,FALSE)="813W"),IF(BN158-$BS$7&gt;150,BN158-$BS$7-1000+$AD$12,BN158-$BS$7+$AD$12),IF(BN158-$BS$7&gt;150,BN158-$BS$7-1000+$AD$17,BN158-$BS$7+$AD$17)),IF(BN158-$BS$7&gt;150,BN158-$BS$7-1000,BN158-$BS$7)),"-"))</f>
        <v>-</v>
      </c>
      <c r="BQ158" s="173">
        <f t="shared" si="61"/>
        <v>11300</v>
      </c>
      <c r="BR158" s="453"/>
      <c r="BS158" s="171"/>
      <c r="BT158" s="464" t="str">
        <f t="shared" si="62"/>
        <v>-</v>
      </c>
      <c r="BU158" s="464" t="str">
        <f t="shared" si="63"/>
        <v>-</v>
      </c>
      <c r="BX158" s="204">
        <f>COUNTIF($BY$4:BY158,"&lt;100")</f>
        <v>0</v>
      </c>
      <c r="BY158" s="213" t="str">
        <f t="shared" si="66"/>
        <v/>
      </c>
      <c r="BZ158" s="216" t="str">
        <f t="shared" si="67"/>
        <v/>
      </c>
      <c r="CA158" s="213" t="e">
        <f t="shared" si="59"/>
        <v>#N/A</v>
      </c>
      <c r="CB158" s="209" t="e">
        <f t="shared" si="60"/>
        <v>#N/A</v>
      </c>
      <c r="CC158" s="205" t="str">
        <f t="shared" si="65"/>
        <v/>
      </c>
      <c r="CD158" s="205" t="str">
        <f t="shared" si="68"/>
        <v>-</v>
      </c>
      <c r="CE158" s="204">
        <f t="shared" si="69"/>
        <v>0</v>
      </c>
      <c r="CG158" s="20" t="str">
        <f t="shared" si="70"/>
        <v/>
      </c>
    </row>
    <row r="159" spans="36:85" ht="21">
      <c r="AJ159"/>
      <c r="AK159"/>
      <c r="AL159"/>
      <c r="AM159" s="87"/>
      <c r="AN159" s="87"/>
      <c r="AO159" s="14" t="str">
        <f>IF(R56="","",COUNTA($R$3:R56)+$AO$105)</f>
        <v/>
      </c>
      <c r="AP159" s="88" t="str">
        <f>IF(AO159="","",IF(AO159+Расчет!$Y$57+$BD$2-Расчет!$X$57&gt;200,AO159+Расчет!$Y$57+$BD$2-1000,AO159+Расчет!$Y$57+$BD$2))</f>
        <v/>
      </c>
      <c r="AZ159"/>
      <c r="BA159"/>
      <c r="BB159"/>
      <c r="BC159"/>
      <c r="BD159"/>
      <c r="BL159" s="172">
        <f>COUNTIF($BM$5:BM159,"&lt;-115")</f>
        <v>0</v>
      </c>
      <c r="BM159" s="154" t="str">
        <f>IFERROR(IF(OR(IFERROR(VLOOKUP(BN159,$E$3:$E$105,1,FALSE),"0")=BN159,IFERROR(VLOOKUP(BN159,$R$3:$R$105,1,FALSE),"0")=BN159),BO159,IF(OR(VLOOKUP(BN159,Расчет!A:E,5,FALSE)="2PS",VLOOKUP(BN159,Расчет!A:E,5,FALSE)="2QL"),IF(VLOOKUP(BN159,Расчет!A:B,2,FALSE)="831W",BN159-$BS$7+$AD$17,BN159-$BS$7+$AD$12),BN159-$BS$7)),"-")</f>
        <v>-</v>
      </c>
      <c r="BN159" s="154">
        <f>IF(OR(Расчет!C156="A0",Расчет!C156="P9",Расчет!B156="722W"),"-",Расчет!A156)</f>
        <v>11301</v>
      </c>
      <c r="BO159" s="173">
        <f t="shared" si="64"/>
        <v>0</v>
      </c>
      <c r="BP159" s="172" t="str">
        <f>IF(BQ159="-","-",IFERROR(IF(OR(VLOOKUP(BN159,Расчет!$A$2:$E$582,5,FALSE)="2PS",VLOOKUP(BN159,Расчет!$A$2:$E$582,5,FALSE)="2QL"),IF(OR(VLOOKUP(BN159,Расчет!$A$2:$E$582,2,FALSE)="664W",VLOOKUP(BN159,Расчет!$A$2:$E$582,2,FALSE)="813W"),IF(BN159-$BS$7&gt;150,BN159-$BS$7-1000+$AD$12,BN159-$BS$7+$AD$12),IF(BN159-$BS$7&gt;150,BN159-$BS$7-1000+$AD$17,BN159-$BS$7+$AD$17)),IF(BN159-$BS$7&gt;150,BN159-$BS$7-1000,BN159-$BS$7)),"-"))</f>
        <v>-</v>
      </c>
      <c r="BQ159" s="173">
        <f t="shared" si="61"/>
        <v>11301</v>
      </c>
      <c r="BR159" s="453"/>
      <c r="BS159" s="171"/>
      <c r="BT159" s="464" t="str">
        <f t="shared" si="62"/>
        <v>-</v>
      </c>
      <c r="BU159" s="464" t="str">
        <f t="shared" si="63"/>
        <v>-</v>
      </c>
      <c r="BX159" s="204">
        <f>COUNTIF($BY$4:BY159,"&lt;100")</f>
        <v>0</v>
      </c>
      <c r="BY159" s="213" t="str">
        <f t="shared" si="66"/>
        <v/>
      </c>
      <c r="BZ159" s="216" t="str">
        <f t="shared" si="67"/>
        <v/>
      </c>
      <c r="CA159" s="213" t="e">
        <f t="shared" si="59"/>
        <v>#N/A</v>
      </c>
      <c r="CB159" s="209" t="e">
        <f t="shared" si="60"/>
        <v>#N/A</v>
      </c>
      <c r="CC159" s="205" t="str">
        <f t="shared" si="65"/>
        <v/>
      </c>
      <c r="CD159" s="205" t="str">
        <f t="shared" si="68"/>
        <v>-</v>
      </c>
      <c r="CE159" s="204">
        <f t="shared" si="69"/>
        <v>0</v>
      </c>
      <c r="CG159" s="20" t="str">
        <f t="shared" si="70"/>
        <v/>
      </c>
    </row>
    <row r="160" spans="36:85" ht="21">
      <c r="AJ160"/>
      <c r="AK160"/>
      <c r="AL160"/>
      <c r="AM160" s="87"/>
      <c r="AN160" s="87"/>
      <c r="AO160" s="14" t="str">
        <f>IF(R57="","",COUNTA($R$3:R57)+$AO$105)</f>
        <v/>
      </c>
      <c r="AP160" s="88" t="str">
        <f>IF(AO160="","",IF(AO160+Расчет!$Y$57+$BD$2-Расчет!$X$57&gt;200,AO160+Расчет!$Y$57+$BD$2-1000,AO160+Расчет!$Y$57+$BD$2))</f>
        <v/>
      </c>
      <c r="AZ160"/>
      <c r="BA160"/>
      <c r="BB160"/>
      <c r="BC160"/>
      <c r="BD160"/>
      <c r="BL160" s="172">
        <f>COUNTIF($BM$5:BM160,"&lt;-115")</f>
        <v>0</v>
      </c>
      <c r="BM160" s="154" t="str">
        <f>IFERROR(IF(OR(IFERROR(VLOOKUP(BN160,$E$3:$E$105,1,FALSE),"0")=BN160,IFERROR(VLOOKUP(BN160,$R$3:$R$105,1,FALSE),"0")=BN160),BO160,IF(OR(VLOOKUP(BN160,Расчет!A:E,5,FALSE)="2PS",VLOOKUP(BN160,Расчет!A:E,5,FALSE)="2QL"),IF(VLOOKUP(BN160,Расчет!A:B,2,FALSE)="831W",BN160-$BS$7+$AD$17,BN160-$BS$7+$AD$12),BN160-$BS$7)),"-")</f>
        <v>-</v>
      </c>
      <c r="BN160" s="154">
        <f>IF(OR(Расчет!C157="A0",Расчет!C157="P9",Расчет!B157="722W"),"-",Расчет!A157)</f>
        <v>11302</v>
      </c>
      <c r="BO160" s="173">
        <f t="shared" si="64"/>
        <v>0</v>
      </c>
      <c r="BP160" s="172" t="str">
        <f>IF(BQ160="-","-",IFERROR(IF(OR(VLOOKUP(BN160,Расчет!$A$2:$E$582,5,FALSE)="2PS",VLOOKUP(BN160,Расчет!$A$2:$E$582,5,FALSE)="2QL"),IF(OR(VLOOKUP(BN160,Расчет!$A$2:$E$582,2,FALSE)="664W",VLOOKUP(BN160,Расчет!$A$2:$E$582,2,FALSE)="813W"),IF(BN160-$BS$7&gt;150,BN160-$BS$7-1000+$AD$12,BN160-$BS$7+$AD$12),IF(BN160-$BS$7&gt;150,BN160-$BS$7-1000+$AD$17,BN160-$BS$7+$AD$17)),IF(BN160-$BS$7&gt;150,BN160-$BS$7-1000,BN160-$BS$7)),"-"))</f>
        <v>-</v>
      </c>
      <c r="BQ160" s="173">
        <f t="shared" si="61"/>
        <v>11302</v>
      </c>
      <c r="BR160" s="453"/>
      <c r="BS160" s="171"/>
      <c r="BT160" s="464" t="str">
        <f t="shared" si="62"/>
        <v>-</v>
      </c>
      <c r="BU160" s="464" t="str">
        <f t="shared" si="63"/>
        <v>-</v>
      </c>
      <c r="BX160" s="204">
        <f>COUNTIF($BY$4:BY160,"&lt;100")</f>
        <v>0</v>
      </c>
      <c r="BY160" s="213" t="str">
        <f t="shared" si="66"/>
        <v/>
      </c>
      <c r="BZ160" s="216" t="str">
        <f t="shared" si="67"/>
        <v/>
      </c>
      <c r="CA160" s="213" t="e">
        <f t="shared" si="59"/>
        <v>#N/A</v>
      </c>
      <c r="CB160" s="209" t="e">
        <f t="shared" si="60"/>
        <v>#N/A</v>
      </c>
      <c r="CC160" s="205" t="str">
        <f t="shared" si="65"/>
        <v/>
      </c>
      <c r="CD160" s="205" t="str">
        <f t="shared" si="68"/>
        <v>-</v>
      </c>
      <c r="CE160" s="204">
        <f t="shared" si="69"/>
        <v>0</v>
      </c>
      <c r="CG160" s="20" t="str">
        <f t="shared" si="70"/>
        <v/>
      </c>
    </row>
    <row r="161" spans="36:85" ht="21">
      <c r="AJ161"/>
      <c r="AK161"/>
      <c r="AL161"/>
      <c r="AM161" s="87"/>
      <c r="AN161" s="87"/>
      <c r="AO161" s="14" t="str">
        <f>IF(R58="","",COUNTA($R$3:R58)+$AO$105)</f>
        <v/>
      </c>
      <c r="AP161" s="88" t="str">
        <f>IF(AO161="","",IF(AO161+Расчет!$Y$57+$BD$2-Расчет!$X$57&gt;200,AO161+Расчет!$Y$57+$BD$2-1000,AO161+Расчет!$Y$57+$BD$2))</f>
        <v/>
      </c>
      <c r="AZ161"/>
      <c r="BA161"/>
      <c r="BB161"/>
      <c r="BC161"/>
      <c r="BD161"/>
      <c r="BL161" s="172">
        <f>COUNTIF($BM$5:BM161,"&lt;-115")</f>
        <v>0</v>
      </c>
      <c r="BM161" s="154" t="str">
        <f>IFERROR(IF(OR(IFERROR(VLOOKUP(BN161,$E$3:$E$105,1,FALSE),"0")=BN161,IFERROR(VLOOKUP(BN161,$R$3:$R$105,1,FALSE),"0")=BN161),BO161,IF(OR(VLOOKUP(BN161,Расчет!A:E,5,FALSE)="2PS",VLOOKUP(BN161,Расчет!A:E,5,FALSE)="2QL"),IF(VLOOKUP(BN161,Расчет!A:B,2,FALSE)="831W",BN161-$BS$7+$AD$17,BN161-$BS$7+$AD$12),BN161-$BS$7)),"-")</f>
        <v>-</v>
      </c>
      <c r="BN161" s="154">
        <f>IF(OR(Расчет!C158="A0",Расчет!C158="P9",Расчет!B158="722W"),"-",Расчет!A158)</f>
        <v>11303</v>
      </c>
      <c r="BO161" s="173">
        <f t="shared" si="64"/>
        <v>0</v>
      </c>
      <c r="BP161" s="172" t="str">
        <f>IF(BQ161="-","-",IFERROR(IF(OR(VLOOKUP(BN161,Расчет!$A$2:$E$582,5,FALSE)="2PS",VLOOKUP(BN161,Расчет!$A$2:$E$582,5,FALSE)="2QL"),IF(OR(VLOOKUP(BN161,Расчет!$A$2:$E$582,2,FALSE)="664W",VLOOKUP(BN161,Расчет!$A$2:$E$582,2,FALSE)="813W"),IF(BN161-$BS$7&gt;150,BN161-$BS$7-1000+$AD$12,BN161-$BS$7+$AD$12),IF(BN161-$BS$7&gt;150,BN161-$BS$7-1000+$AD$17,BN161-$BS$7+$AD$17)),IF(BN161-$BS$7&gt;150,BN161-$BS$7-1000,BN161-$BS$7)),"-"))</f>
        <v>-</v>
      </c>
      <c r="BQ161" s="173">
        <f t="shared" si="61"/>
        <v>11303</v>
      </c>
      <c r="BR161" s="453"/>
      <c r="BS161" s="171"/>
      <c r="BT161" s="464" t="str">
        <f t="shared" si="62"/>
        <v>-</v>
      </c>
      <c r="BU161" s="464" t="str">
        <f t="shared" si="63"/>
        <v>-</v>
      </c>
      <c r="BX161" s="204">
        <f>COUNTIF($BY$4:BY161,"&lt;100")</f>
        <v>0</v>
      </c>
      <c r="BY161" s="213" t="str">
        <f t="shared" si="66"/>
        <v/>
      </c>
      <c r="BZ161" s="216" t="str">
        <f t="shared" si="67"/>
        <v/>
      </c>
      <c r="CA161" s="213" t="e">
        <f t="shared" si="59"/>
        <v>#N/A</v>
      </c>
      <c r="CB161" s="209" t="e">
        <f t="shared" si="60"/>
        <v>#N/A</v>
      </c>
      <c r="CC161" s="205" t="str">
        <f t="shared" si="65"/>
        <v/>
      </c>
      <c r="CD161" s="205" t="str">
        <f t="shared" si="68"/>
        <v>-</v>
      </c>
      <c r="CE161" s="204">
        <f t="shared" si="69"/>
        <v>0</v>
      </c>
      <c r="CG161" s="20" t="str">
        <f t="shared" si="70"/>
        <v/>
      </c>
    </row>
    <row r="162" spans="36:85" ht="21">
      <c r="AJ162"/>
      <c r="AK162"/>
      <c r="AL162"/>
      <c r="AM162" s="87"/>
      <c r="AN162" s="87"/>
      <c r="AO162" s="14" t="str">
        <f>IF(R59="","",COUNTA($R$3:R59)+$AO$105)</f>
        <v/>
      </c>
      <c r="AP162" s="88" t="str">
        <f>IF(AO162="","",IF(AO162+Расчет!$Y$57+$BD$2-Расчет!$X$57&gt;200,AO162+Расчет!$Y$57+$BD$2-1000,AO162+Расчет!$Y$57+$BD$2))</f>
        <v/>
      </c>
      <c r="AZ162"/>
      <c r="BA162"/>
      <c r="BB162"/>
      <c r="BC162"/>
      <c r="BD162"/>
      <c r="BL162" s="172">
        <f>COUNTIF($BM$5:BM162,"&lt;-115")</f>
        <v>0</v>
      </c>
      <c r="BM162" s="154" t="str">
        <f>IFERROR(IF(OR(IFERROR(VLOOKUP(BN162,$E$3:$E$105,1,FALSE),"0")=BN162,IFERROR(VLOOKUP(BN162,$R$3:$R$105,1,FALSE),"0")=BN162),BO162,IF(OR(VLOOKUP(BN162,Расчет!A:E,5,FALSE)="2PS",VLOOKUP(BN162,Расчет!A:E,5,FALSE)="2QL"),IF(VLOOKUP(BN162,Расчет!A:B,2,FALSE)="831W",BN162-$BS$7+$AD$17,BN162-$BS$7+$AD$12),BN162-$BS$7)),"-")</f>
        <v>-</v>
      </c>
      <c r="BN162" s="154">
        <f>IF(OR(Расчет!C159="A0",Расчет!C159="P9",Расчет!B159="722W"),"-",Расчет!A159)</f>
        <v>11304</v>
      </c>
      <c r="BO162" s="173">
        <f t="shared" si="64"/>
        <v>0</v>
      </c>
      <c r="BP162" s="172" t="str">
        <f>IF(BQ162="-","-",IFERROR(IF(OR(VLOOKUP(BN162,Расчет!$A$2:$E$582,5,FALSE)="2PS",VLOOKUP(BN162,Расчет!$A$2:$E$582,5,FALSE)="2QL"),IF(OR(VLOOKUP(BN162,Расчет!$A$2:$E$582,2,FALSE)="664W",VLOOKUP(BN162,Расчет!$A$2:$E$582,2,FALSE)="813W"),IF(BN162-$BS$7&gt;150,BN162-$BS$7-1000+$AD$12,BN162-$BS$7+$AD$12),IF(BN162-$BS$7&gt;150,BN162-$BS$7-1000+$AD$17,BN162-$BS$7+$AD$17)),IF(BN162-$BS$7&gt;150,BN162-$BS$7-1000,BN162-$BS$7)),"-"))</f>
        <v>-</v>
      </c>
      <c r="BQ162" s="173">
        <f t="shared" si="61"/>
        <v>11304</v>
      </c>
      <c r="BR162" s="453"/>
      <c r="BS162" s="171"/>
      <c r="BT162" s="464" t="str">
        <f t="shared" si="62"/>
        <v>-</v>
      </c>
      <c r="BU162" s="464" t="str">
        <f t="shared" si="63"/>
        <v>-</v>
      </c>
      <c r="BX162" s="204">
        <f>COUNTIF($BY$4:BY162,"&lt;100")</f>
        <v>0</v>
      </c>
      <c r="BY162" s="213" t="str">
        <f t="shared" si="66"/>
        <v/>
      </c>
      <c r="BZ162" s="216" t="str">
        <f t="shared" si="67"/>
        <v/>
      </c>
      <c r="CA162" s="213" t="e">
        <f t="shared" si="59"/>
        <v>#N/A</v>
      </c>
      <c r="CB162" s="209" t="e">
        <f t="shared" si="60"/>
        <v>#N/A</v>
      </c>
      <c r="CC162" s="205" t="str">
        <f t="shared" si="65"/>
        <v/>
      </c>
      <c r="CD162" s="205" t="str">
        <f t="shared" si="68"/>
        <v>-</v>
      </c>
      <c r="CE162" s="204">
        <f t="shared" si="69"/>
        <v>0</v>
      </c>
      <c r="CG162" s="20" t="str">
        <f t="shared" si="70"/>
        <v/>
      </c>
    </row>
    <row r="163" spans="36:85" ht="21">
      <c r="AJ163"/>
      <c r="AK163"/>
      <c r="AL163"/>
      <c r="AM163" s="87"/>
      <c r="AN163" s="87"/>
      <c r="AO163" s="14" t="str">
        <f>IF(R60="","",COUNTA($R$3:R60)+$AO$105)</f>
        <v/>
      </c>
      <c r="AP163" s="88" t="str">
        <f>IF(AO163="","",IF(AO163+Расчет!$Y$57+$BD$2-Расчет!$X$57&gt;200,AO163+Расчет!$Y$57+$BD$2-1000,AO163+Расчет!$Y$57+$BD$2))</f>
        <v/>
      </c>
      <c r="BL163" s="172">
        <f>COUNTIF($BM$5:BM163,"&lt;-115")</f>
        <v>0</v>
      </c>
      <c r="BM163" s="154" t="str">
        <f>IFERROR(IF(OR(IFERROR(VLOOKUP(BN163,$E$3:$E$105,1,FALSE),"0")=BN163,IFERROR(VLOOKUP(BN163,$R$3:$R$105,1,FALSE),"0")=BN163),BO163,IF(OR(VLOOKUP(BN163,Расчет!A:E,5,FALSE)="2PS",VLOOKUP(BN163,Расчет!A:E,5,FALSE)="2QL"),IF(VLOOKUP(BN163,Расчет!A:B,2,FALSE)="831W",BN163-$BS$7+$AD$17,BN163-$BS$7+$AD$12),BN163-$BS$7)),"-")</f>
        <v>-</v>
      </c>
      <c r="BN163" s="154">
        <f>IF(OR(Расчет!C160="A0",Расчет!C160="P9",Расчет!B160="722W"),"-",Расчет!A160)</f>
        <v>11305</v>
      </c>
      <c r="BO163" s="173">
        <f t="shared" si="64"/>
        <v>0</v>
      </c>
      <c r="BP163" s="172" t="str">
        <f>IF(BQ163="-","-",IFERROR(IF(OR(VLOOKUP(BN163,Расчет!$A$2:$E$582,5,FALSE)="2PS",VLOOKUP(BN163,Расчет!$A$2:$E$582,5,FALSE)="2QL"),IF(OR(VLOOKUP(BN163,Расчет!$A$2:$E$582,2,FALSE)="664W",VLOOKUP(BN163,Расчет!$A$2:$E$582,2,FALSE)="813W"),IF(BN163-$BS$7&gt;150,BN163-$BS$7-1000+$AD$12,BN163-$BS$7+$AD$12),IF(BN163-$BS$7&gt;150,BN163-$BS$7-1000+$AD$17,BN163-$BS$7+$AD$17)),IF(BN163-$BS$7&gt;150,BN163-$BS$7-1000,BN163-$BS$7)),"-"))</f>
        <v>-</v>
      </c>
      <c r="BQ163" s="173">
        <f t="shared" si="61"/>
        <v>11305</v>
      </c>
      <c r="BR163" s="453"/>
      <c r="BS163" s="171"/>
      <c r="BT163" s="464" t="str">
        <f t="shared" si="62"/>
        <v>-</v>
      </c>
      <c r="BU163" s="464" t="str">
        <f t="shared" si="63"/>
        <v>-</v>
      </c>
      <c r="BX163" s="204">
        <f>COUNTIF($BY$4:BY163,"&lt;100")</f>
        <v>0</v>
      </c>
      <c r="BY163" s="213" t="str">
        <f t="shared" si="66"/>
        <v/>
      </c>
      <c r="BZ163" s="216" t="str">
        <f t="shared" si="67"/>
        <v/>
      </c>
      <c r="CA163" s="213" t="e">
        <f t="shared" si="59"/>
        <v>#N/A</v>
      </c>
      <c r="CB163" s="209" t="e">
        <f t="shared" si="60"/>
        <v>#N/A</v>
      </c>
      <c r="CC163" s="205" t="str">
        <f t="shared" si="65"/>
        <v/>
      </c>
      <c r="CD163" s="205" t="str">
        <f t="shared" si="68"/>
        <v>-</v>
      </c>
      <c r="CE163" s="204">
        <f t="shared" si="69"/>
        <v>0</v>
      </c>
      <c r="CG163" s="20" t="str">
        <f t="shared" si="70"/>
        <v/>
      </c>
    </row>
    <row r="164" spans="36:85" ht="21">
      <c r="AJ164"/>
      <c r="AK164"/>
      <c r="AL164"/>
      <c r="AM164" s="87"/>
      <c r="AN164" s="87"/>
      <c r="AO164" s="14" t="str">
        <f>IF(R61="","",COUNTA($R$3:R61)+$AO$105)</f>
        <v/>
      </c>
      <c r="AP164" s="88" t="str">
        <f>IF(AO164="","",IF(AO164+Расчет!$Y$57+$BD$2-Расчет!$X$57&gt;200,AO164+Расчет!$Y$57+$BD$2-1000,AO164+Расчет!$Y$57+$BD$2))</f>
        <v/>
      </c>
      <c r="BL164" s="172">
        <f>COUNTIF($BM$5:BM164,"&lt;-115")</f>
        <v>0</v>
      </c>
      <c r="BM164" s="154" t="str">
        <f>IFERROR(IF(OR(IFERROR(VLOOKUP(BN164,$E$3:$E$105,1,FALSE),"0")=BN164,IFERROR(VLOOKUP(BN164,$R$3:$R$105,1,FALSE),"0")=BN164),BO164,IF(OR(VLOOKUP(BN164,Расчет!A:E,5,FALSE)="2PS",VLOOKUP(BN164,Расчет!A:E,5,FALSE)="2QL"),IF(VLOOKUP(BN164,Расчет!A:B,2,FALSE)="831W",BN164-$BS$7+$AD$17,BN164-$BS$7+$AD$12),BN164-$BS$7)),"-")</f>
        <v>-</v>
      </c>
      <c r="BN164" s="154">
        <f>IF(OR(Расчет!C161="A0",Расчет!C161="P9",Расчет!B161="722W"),"-",Расчет!A161)</f>
        <v>11306</v>
      </c>
      <c r="BO164" s="173">
        <f t="shared" si="64"/>
        <v>0</v>
      </c>
      <c r="BP164" s="172" t="str">
        <f>IF(BQ164="-","-",IFERROR(IF(OR(VLOOKUP(BN164,Расчет!$A$2:$E$582,5,FALSE)="2PS",VLOOKUP(BN164,Расчет!$A$2:$E$582,5,FALSE)="2QL"),IF(OR(VLOOKUP(BN164,Расчет!$A$2:$E$582,2,FALSE)="664W",VLOOKUP(BN164,Расчет!$A$2:$E$582,2,FALSE)="813W"),IF(BN164-$BS$7&gt;150,BN164-$BS$7-1000+$AD$12,BN164-$BS$7+$AD$12),IF(BN164-$BS$7&gt;150,BN164-$BS$7-1000+$AD$17,BN164-$BS$7+$AD$17)),IF(BN164-$BS$7&gt;150,BN164-$BS$7-1000,BN164-$BS$7)),"-"))</f>
        <v>-</v>
      </c>
      <c r="BQ164" s="173">
        <f t="shared" si="61"/>
        <v>11306</v>
      </c>
      <c r="BR164" s="453"/>
      <c r="BS164" s="171"/>
      <c r="BT164" s="464" t="str">
        <f t="shared" si="62"/>
        <v>-</v>
      </c>
      <c r="BU164" s="464" t="str">
        <f t="shared" si="63"/>
        <v>-</v>
      </c>
      <c r="BX164" s="204">
        <f>COUNTIF($BY$4:BY164,"&lt;100")</f>
        <v>0</v>
      </c>
      <c r="BY164" s="213" t="str">
        <f t="shared" si="66"/>
        <v/>
      </c>
      <c r="BZ164" s="216" t="str">
        <f t="shared" si="67"/>
        <v/>
      </c>
      <c r="CA164" s="213" t="e">
        <f t="shared" si="59"/>
        <v>#N/A</v>
      </c>
      <c r="CB164" s="209" t="e">
        <f t="shared" si="60"/>
        <v>#N/A</v>
      </c>
      <c r="CC164" s="205" t="str">
        <f t="shared" si="65"/>
        <v/>
      </c>
      <c r="CD164" s="205" t="str">
        <f t="shared" si="68"/>
        <v>-</v>
      </c>
      <c r="CE164" s="204">
        <f t="shared" si="69"/>
        <v>0</v>
      </c>
      <c r="CG164" s="20" t="str">
        <f t="shared" si="70"/>
        <v/>
      </c>
    </row>
    <row r="165" spans="36:85" ht="21">
      <c r="AJ165"/>
      <c r="AK165"/>
      <c r="AL165"/>
      <c r="AM165" s="87"/>
      <c r="AN165" s="87"/>
      <c r="AO165" s="14" t="str">
        <f>IF(R62="","",COUNTA($R$3:R62)+$AO$105)</f>
        <v/>
      </c>
      <c r="AP165" s="88" t="str">
        <f>IF(AO165="","",IF(AO165+Расчет!$Y$57+$BD$2-Расчет!$X$57&gt;200,AO165+Расчет!$Y$57+$BD$2-1000,AO165+Расчет!$Y$57+$BD$2))</f>
        <v/>
      </c>
      <c r="BL165" s="172">
        <f>COUNTIF($BM$5:BM165,"&lt;-115")</f>
        <v>0</v>
      </c>
      <c r="BM165" s="154" t="str">
        <f>IFERROR(IF(OR(IFERROR(VLOOKUP(BN165,$E$3:$E$105,1,FALSE),"0")=BN165,IFERROR(VLOOKUP(BN165,$R$3:$R$105,1,FALSE),"0")=BN165),BO165,IF(OR(VLOOKUP(BN165,Расчет!A:E,5,FALSE)="2PS",VLOOKUP(BN165,Расчет!A:E,5,FALSE)="2QL"),IF(VLOOKUP(BN165,Расчет!A:B,2,FALSE)="831W",BN165-$BS$7+$AD$17,BN165-$BS$7+$AD$12),BN165-$BS$7)),"-")</f>
        <v>-</v>
      </c>
      <c r="BN165" s="154">
        <f>IF(OR(Расчет!C162="A0",Расчет!C162="P9",Расчет!B162="722W"),"-",Расчет!A162)</f>
        <v>11307</v>
      </c>
      <c r="BO165" s="173">
        <f t="shared" si="64"/>
        <v>0</v>
      </c>
      <c r="BP165" s="172" t="str">
        <f>IF(BQ165="-","-",IFERROR(IF(OR(VLOOKUP(BN165,Расчет!$A$2:$E$582,5,FALSE)="2PS",VLOOKUP(BN165,Расчет!$A$2:$E$582,5,FALSE)="2QL"),IF(OR(VLOOKUP(BN165,Расчет!$A$2:$E$582,2,FALSE)="664W",VLOOKUP(BN165,Расчет!$A$2:$E$582,2,FALSE)="813W"),IF(BN165-$BS$7&gt;150,BN165-$BS$7-1000+$AD$12,BN165-$BS$7+$AD$12),IF(BN165-$BS$7&gt;150,BN165-$BS$7-1000+$AD$17,BN165-$BS$7+$AD$17)),IF(BN165-$BS$7&gt;150,BN165-$BS$7-1000,BN165-$BS$7)),"-"))</f>
        <v>-</v>
      </c>
      <c r="BQ165" s="173">
        <f t="shared" si="61"/>
        <v>11307</v>
      </c>
      <c r="BR165" s="453"/>
      <c r="BS165" s="171"/>
      <c r="BT165" s="464" t="str">
        <f t="shared" si="62"/>
        <v>-</v>
      </c>
      <c r="BU165" s="464" t="str">
        <f t="shared" si="63"/>
        <v>-</v>
      </c>
      <c r="BX165" s="204">
        <f>COUNTIF($BY$4:BY165,"&lt;100")</f>
        <v>0</v>
      </c>
      <c r="BY165" s="213" t="str">
        <f t="shared" si="66"/>
        <v/>
      </c>
      <c r="BZ165" s="216" t="str">
        <f t="shared" si="67"/>
        <v/>
      </c>
      <c r="CA165" s="213" t="e">
        <f t="shared" si="59"/>
        <v>#N/A</v>
      </c>
      <c r="CB165" s="209" t="e">
        <f t="shared" si="60"/>
        <v>#N/A</v>
      </c>
      <c r="CC165" s="205" t="str">
        <f t="shared" si="65"/>
        <v/>
      </c>
      <c r="CD165" s="205" t="str">
        <f t="shared" si="68"/>
        <v>-</v>
      </c>
      <c r="CE165" s="204">
        <f t="shared" si="69"/>
        <v>0</v>
      </c>
      <c r="CG165" s="20" t="str">
        <f t="shared" si="70"/>
        <v/>
      </c>
    </row>
    <row r="166" spans="36:85" ht="21">
      <c r="AJ166"/>
      <c r="AK166"/>
      <c r="AL166"/>
      <c r="AM166" s="87"/>
      <c r="AN166" s="87"/>
      <c r="AO166" s="14" t="str">
        <f>IF(R63="","",COUNTA($R$3:R63)+$AO$105)</f>
        <v/>
      </c>
      <c r="AP166" s="88" t="str">
        <f>IF(AO166="","",IF(AO166+Расчет!$Y$57+$BD$2-Расчет!$X$57&gt;200,AO166+Расчет!$Y$57+$BD$2-1000,AO166+Расчет!$Y$57+$BD$2))</f>
        <v/>
      </c>
      <c r="BL166" s="172">
        <f>COUNTIF($BM$5:BM166,"&lt;-115")</f>
        <v>0</v>
      </c>
      <c r="BM166" s="154" t="str">
        <f>IFERROR(IF(OR(IFERROR(VLOOKUP(BN166,$E$3:$E$105,1,FALSE),"0")=BN166,IFERROR(VLOOKUP(BN166,$R$3:$R$105,1,FALSE),"0")=BN166),BO166,IF(OR(VLOOKUP(BN166,Расчет!A:E,5,FALSE)="2PS",VLOOKUP(BN166,Расчет!A:E,5,FALSE)="2QL"),IF(VLOOKUP(BN166,Расчет!A:B,2,FALSE)="831W",BN166-$BS$7+$AD$17,BN166-$BS$7+$AD$12),BN166-$BS$7)),"-")</f>
        <v>-</v>
      </c>
      <c r="BN166" s="154">
        <f>IF(OR(Расчет!C163="A0",Расчет!C163="P9",Расчет!B163="722W"),"-",Расчет!A163)</f>
        <v>11308</v>
      </c>
      <c r="BO166" s="173">
        <f t="shared" si="64"/>
        <v>0</v>
      </c>
      <c r="BP166" s="172" t="str">
        <f>IF(BQ166="-","-",IFERROR(IF(OR(VLOOKUP(BN166,Расчет!$A$2:$E$582,5,FALSE)="2PS",VLOOKUP(BN166,Расчет!$A$2:$E$582,5,FALSE)="2QL"),IF(OR(VLOOKUP(BN166,Расчет!$A$2:$E$582,2,FALSE)="664W",VLOOKUP(BN166,Расчет!$A$2:$E$582,2,FALSE)="813W"),IF(BN166-$BS$7&gt;150,BN166-$BS$7-1000+$AD$12,BN166-$BS$7+$AD$12),IF(BN166-$BS$7&gt;150,BN166-$BS$7-1000+$AD$17,BN166-$BS$7+$AD$17)),IF(BN166-$BS$7&gt;150,BN166-$BS$7-1000,BN166-$BS$7)),"-"))</f>
        <v>-</v>
      </c>
      <c r="BQ166" s="173">
        <f t="shared" si="61"/>
        <v>11308</v>
      </c>
      <c r="BR166" s="453"/>
      <c r="BS166" s="171"/>
      <c r="BT166" s="464" t="str">
        <f t="shared" si="62"/>
        <v>-</v>
      </c>
      <c r="BU166" s="464" t="str">
        <f t="shared" si="63"/>
        <v>-</v>
      </c>
      <c r="BX166" s="204">
        <f>COUNTIF($BY$4:BY166,"&lt;100")</f>
        <v>0</v>
      </c>
      <c r="BY166" s="213" t="str">
        <f t="shared" si="66"/>
        <v/>
      </c>
      <c r="BZ166" s="216" t="str">
        <f t="shared" si="67"/>
        <v/>
      </c>
      <c r="CA166" s="213" t="e">
        <f t="shared" si="59"/>
        <v>#N/A</v>
      </c>
      <c r="CB166" s="209" t="e">
        <f t="shared" si="60"/>
        <v>#N/A</v>
      </c>
      <c r="CC166" s="205" t="str">
        <f t="shared" si="65"/>
        <v/>
      </c>
      <c r="CD166" s="205" t="str">
        <f t="shared" si="68"/>
        <v>-</v>
      </c>
      <c r="CE166" s="204">
        <f t="shared" si="69"/>
        <v>0</v>
      </c>
      <c r="CG166" s="20" t="str">
        <f t="shared" si="70"/>
        <v/>
      </c>
    </row>
    <row r="167" spans="36:85" ht="21">
      <c r="AJ167"/>
      <c r="AK167"/>
      <c r="AL167"/>
      <c r="AM167" s="87"/>
      <c r="AN167" s="87"/>
      <c r="AO167" s="14" t="str">
        <f>IF(R64="","",COUNTA($R$3:R64)+$AO$105)</f>
        <v/>
      </c>
      <c r="AP167" s="88" t="str">
        <f>IF(AO167="","",IF(AO167+Расчет!$Y$57+$BD$2-Расчет!$X$57&gt;200,AO167+Расчет!$Y$57+$BD$2-1000,AO167+Расчет!$Y$57+$BD$2))</f>
        <v/>
      </c>
      <c r="BL167" s="172">
        <f>COUNTIF($BM$5:BM167,"&lt;-115")</f>
        <v>0</v>
      </c>
      <c r="BM167" s="154" t="str">
        <f>IFERROR(IF(OR(IFERROR(VLOOKUP(BN167,$E$3:$E$105,1,FALSE),"0")=BN167,IFERROR(VLOOKUP(BN167,$R$3:$R$105,1,FALSE),"0")=BN167),BO167,IF(OR(VLOOKUP(BN167,Расчет!A:E,5,FALSE)="2PS",VLOOKUP(BN167,Расчет!A:E,5,FALSE)="2QL"),IF(VLOOKUP(BN167,Расчет!A:B,2,FALSE)="831W",BN167-$BS$7+$AD$17,BN167-$BS$7+$AD$12),BN167-$BS$7)),"-")</f>
        <v>-</v>
      </c>
      <c r="BN167" s="154">
        <f>IF(OR(Расчет!C164="A0",Расчет!C164="P9",Расчет!B164="722W"),"-",Расчет!A164)</f>
        <v>11309</v>
      </c>
      <c r="BO167" s="173">
        <f t="shared" si="64"/>
        <v>0</v>
      </c>
      <c r="BP167" s="172" t="str">
        <f>IF(BQ167="-","-",IFERROR(IF(OR(VLOOKUP(BN167,Расчет!$A$2:$E$582,5,FALSE)="2PS",VLOOKUP(BN167,Расчет!$A$2:$E$582,5,FALSE)="2QL"),IF(OR(VLOOKUP(BN167,Расчет!$A$2:$E$582,2,FALSE)="664W",VLOOKUP(BN167,Расчет!$A$2:$E$582,2,FALSE)="813W"),IF(BN167-$BS$7&gt;150,BN167-$BS$7-1000+$AD$12,BN167-$BS$7+$AD$12),IF(BN167-$BS$7&gt;150,BN167-$BS$7-1000+$AD$17,BN167-$BS$7+$AD$17)),IF(BN167-$BS$7&gt;150,BN167-$BS$7-1000,BN167-$BS$7)),"-"))</f>
        <v>-</v>
      </c>
      <c r="BQ167" s="173">
        <f t="shared" si="61"/>
        <v>11309</v>
      </c>
      <c r="BR167" s="453"/>
      <c r="BS167" s="171"/>
      <c r="BT167" s="464" t="str">
        <f t="shared" si="62"/>
        <v>-</v>
      </c>
      <c r="BU167" s="464" t="str">
        <f t="shared" si="63"/>
        <v>-</v>
      </c>
      <c r="BX167" s="204">
        <f>COUNTIF($BY$4:BY167,"&lt;100")</f>
        <v>0</v>
      </c>
      <c r="BY167" s="213" t="str">
        <f t="shared" si="66"/>
        <v/>
      </c>
      <c r="BZ167" s="216" t="str">
        <f t="shared" si="67"/>
        <v/>
      </c>
      <c r="CA167" s="213" t="e">
        <f t="shared" si="59"/>
        <v>#N/A</v>
      </c>
      <c r="CB167" s="209" t="e">
        <f t="shared" si="60"/>
        <v>#N/A</v>
      </c>
      <c r="CC167" s="205" t="str">
        <f t="shared" si="65"/>
        <v/>
      </c>
      <c r="CD167" s="205" t="str">
        <f t="shared" si="68"/>
        <v>-</v>
      </c>
      <c r="CE167" s="204">
        <f t="shared" si="69"/>
        <v>0</v>
      </c>
      <c r="CG167" s="20" t="str">
        <f t="shared" si="70"/>
        <v/>
      </c>
    </row>
    <row r="168" spans="36:85" ht="21">
      <c r="AJ168"/>
      <c r="AK168"/>
      <c r="AL168"/>
      <c r="AM168" s="87"/>
      <c r="AN168" s="87"/>
      <c r="AO168" s="14" t="str">
        <f>IF(R65="","",COUNTA($R$3:R65)+$AO$105)</f>
        <v/>
      </c>
      <c r="AP168" s="88" t="str">
        <f>IF(AO168="","",IF(AO168+Расчет!$Y$57+$BD$2-Расчет!$X$57&gt;200,AO168+Расчет!$Y$57+$BD$2-1000,AO168+Расчет!$Y$57+$BD$2))</f>
        <v/>
      </c>
      <c r="BL168" s="172">
        <f>COUNTIF($BM$5:BM168,"&lt;-115")</f>
        <v>0</v>
      </c>
      <c r="BM168" s="154" t="str">
        <f>IFERROR(IF(OR(IFERROR(VLOOKUP(BN168,$E$3:$E$105,1,FALSE),"0")=BN168,IFERROR(VLOOKUP(BN168,$R$3:$R$105,1,FALSE),"0")=BN168),BO168,IF(OR(VLOOKUP(BN168,Расчет!A:E,5,FALSE)="2PS",VLOOKUP(BN168,Расчет!A:E,5,FALSE)="2QL"),IF(VLOOKUP(BN168,Расчет!A:B,2,FALSE)="831W",BN168-$BS$7+$AD$17,BN168-$BS$7+$AD$12),BN168-$BS$7)),"-")</f>
        <v>-</v>
      </c>
      <c r="BN168" s="154">
        <f>IF(OR(Расчет!C165="A0",Расчет!C165="P9",Расчет!B165="722W"),"-",Расчет!A165)</f>
        <v>11310</v>
      </c>
      <c r="BO168" s="173">
        <f t="shared" si="64"/>
        <v>0</v>
      </c>
      <c r="BP168" s="172" t="str">
        <f>IF(BQ168="-","-",IFERROR(IF(OR(VLOOKUP(BN168,Расчет!$A$2:$E$582,5,FALSE)="2PS",VLOOKUP(BN168,Расчет!$A$2:$E$582,5,FALSE)="2QL"),IF(OR(VLOOKUP(BN168,Расчет!$A$2:$E$582,2,FALSE)="664W",VLOOKUP(BN168,Расчет!$A$2:$E$582,2,FALSE)="813W"),IF(BN168-$BS$7&gt;150,BN168-$BS$7-1000+$AD$12,BN168-$BS$7+$AD$12),IF(BN168-$BS$7&gt;150,BN168-$BS$7-1000+$AD$17,BN168-$BS$7+$AD$17)),IF(BN168-$BS$7&gt;150,BN168-$BS$7-1000,BN168-$BS$7)),"-"))</f>
        <v>-</v>
      </c>
      <c r="BQ168" s="173">
        <f t="shared" si="61"/>
        <v>11310</v>
      </c>
      <c r="BR168" s="453"/>
      <c r="BS168" s="171"/>
      <c r="BT168" s="464" t="str">
        <f t="shared" si="62"/>
        <v>-</v>
      </c>
      <c r="BU168" s="464" t="str">
        <f t="shared" si="63"/>
        <v>-</v>
      </c>
      <c r="BX168" s="204">
        <f>COUNTIF($BY$4:BY168,"&lt;100")</f>
        <v>0</v>
      </c>
      <c r="BY168" s="213" t="str">
        <f t="shared" si="66"/>
        <v/>
      </c>
      <c r="BZ168" s="216" t="str">
        <f t="shared" si="67"/>
        <v/>
      </c>
      <c r="CA168" s="213" t="e">
        <f t="shared" si="59"/>
        <v>#N/A</v>
      </c>
      <c r="CB168" s="209" t="e">
        <f t="shared" si="60"/>
        <v>#N/A</v>
      </c>
      <c r="CC168" s="205" t="str">
        <f t="shared" si="65"/>
        <v/>
      </c>
      <c r="CD168" s="205" t="str">
        <f t="shared" si="68"/>
        <v>-</v>
      </c>
      <c r="CE168" s="204">
        <f t="shared" si="69"/>
        <v>0</v>
      </c>
      <c r="CG168" s="20" t="str">
        <f t="shared" si="70"/>
        <v/>
      </c>
    </row>
    <row r="169" spans="36:85" ht="21">
      <c r="AJ169"/>
      <c r="AK169"/>
      <c r="AL169"/>
      <c r="AM169" s="87"/>
      <c r="AN169" s="87"/>
      <c r="AO169" s="14" t="str">
        <f>IF(R66="","",COUNTA($R$3:R66)+$AO$105)</f>
        <v/>
      </c>
      <c r="AP169" s="88" t="str">
        <f>IF(AO169="","",IF(AO169+Расчет!$Y$57+$BD$2-Расчет!$X$57&gt;200,AO169+Расчет!$Y$57+$BD$2-1000,AO169+Расчет!$Y$57+$BD$2))</f>
        <v/>
      </c>
      <c r="BL169" s="172">
        <f>COUNTIF($BM$5:BM169,"&lt;-115")</f>
        <v>0</v>
      </c>
      <c r="BM169" s="154" t="str">
        <f>IFERROR(IF(OR(IFERROR(VLOOKUP(BN169,$E$3:$E$105,1,FALSE),"0")=BN169,IFERROR(VLOOKUP(BN169,$R$3:$R$105,1,FALSE),"0")=BN169),BO169,IF(OR(VLOOKUP(BN169,Расчет!A:E,5,FALSE)="2PS",VLOOKUP(BN169,Расчет!A:E,5,FALSE)="2QL"),IF(VLOOKUP(BN169,Расчет!A:B,2,FALSE)="831W",BN169-$BS$7+$AD$17,BN169-$BS$7+$AD$12),BN169-$BS$7)),"-")</f>
        <v>-</v>
      </c>
      <c r="BN169" s="154">
        <f>IF(OR(Расчет!C166="A0",Расчет!C166="P9",Расчет!B166="722W"),"-",Расчет!A166)</f>
        <v>11311</v>
      </c>
      <c r="BO169" s="173">
        <f t="shared" si="64"/>
        <v>0</v>
      </c>
      <c r="BP169" s="172" t="str">
        <f>IF(BQ169="-","-",IFERROR(IF(OR(VLOOKUP(BN169,Расчет!$A$2:$E$582,5,FALSE)="2PS",VLOOKUP(BN169,Расчет!$A$2:$E$582,5,FALSE)="2QL"),IF(OR(VLOOKUP(BN169,Расчет!$A$2:$E$582,2,FALSE)="664W",VLOOKUP(BN169,Расчет!$A$2:$E$582,2,FALSE)="813W"),IF(BN169-$BS$7&gt;150,BN169-$BS$7-1000+$AD$12,BN169-$BS$7+$AD$12),IF(BN169-$BS$7&gt;150,BN169-$BS$7-1000+$AD$17,BN169-$BS$7+$AD$17)),IF(BN169-$BS$7&gt;150,BN169-$BS$7-1000,BN169-$BS$7)),"-"))</f>
        <v>-</v>
      </c>
      <c r="BQ169" s="173">
        <f t="shared" si="61"/>
        <v>11311</v>
      </c>
      <c r="BR169" s="453"/>
      <c r="BS169" s="171"/>
      <c r="BT169" s="464" t="str">
        <f t="shared" si="62"/>
        <v>-</v>
      </c>
      <c r="BU169" s="464" t="str">
        <f t="shared" si="63"/>
        <v>-</v>
      </c>
      <c r="BX169" s="204">
        <f>COUNTIF($BY$4:BY169,"&lt;100")</f>
        <v>0</v>
      </c>
      <c r="BY169" s="213" t="str">
        <f t="shared" si="66"/>
        <v/>
      </c>
      <c r="BZ169" s="216" t="str">
        <f t="shared" si="67"/>
        <v/>
      </c>
      <c r="CA169" s="213" t="e">
        <f t="shared" si="59"/>
        <v>#N/A</v>
      </c>
      <c r="CB169" s="209" t="e">
        <f t="shared" si="60"/>
        <v>#N/A</v>
      </c>
      <c r="CC169" s="205" t="str">
        <f t="shared" si="65"/>
        <v/>
      </c>
      <c r="CD169" s="205" t="str">
        <f t="shared" si="68"/>
        <v>-</v>
      </c>
      <c r="CE169" s="204">
        <f t="shared" si="69"/>
        <v>0</v>
      </c>
      <c r="CG169" s="20" t="str">
        <f t="shared" si="70"/>
        <v/>
      </c>
    </row>
    <row r="170" spans="36:85" ht="21">
      <c r="AJ170"/>
      <c r="AK170"/>
      <c r="AL170"/>
      <c r="AM170" s="87"/>
      <c r="AN170" s="87"/>
      <c r="AO170" s="14" t="str">
        <f>IF(R67="","",COUNTA($R$3:R67)+$AO$105)</f>
        <v/>
      </c>
      <c r="AP170" s="88" t="str">
        <f>IF(AO170="","",IF(AO170+Расчет!$Y$57+$BD$2-Расчет!$X$57&gt;200,AO170+Расчет!$Y$57+$BD$2-1000,AO170+Расчет!$Y$57+$BD$2))</f>
        <v/>
      </c>
      <c r="BL170" s="172">
        <f>COUNTIF($BM$5:BM170,"&lt;-115")</f>
        <v>0</v>
      </c>
      <c r="BM170" s="154" t="str">
        <f>IFERROR(IF(OR(IFERROR(VLOOKUP(BN170,$E$3:$E$105,1,FALSE),"0")=BN170,IFERROR(VLOOKUP(BN170,$R$3:$R$105,1,FALSE),"0")=BN170),BO170,IF(OR(VLOOKUP(BN170,Расчет!A:E,5,FALSE)="2PS",VLOOKUP(BN170,Расчет!A:E,5,FALSE)="2QL"),IF(VLOOKUP(BN170,Расчет!A:B,2,FALSE)="831W",BN170-$BS$7+$AD$17,BN170-$BS$7+$AD$12),BN170-$BS$7)),"-")</f>
        <v>-</v>
      </c>
      <c r="BN170" s="154">
        <f>IF(OR(Расчет!C167="A0",Расчет!C167="P9",Расчет!B167="722W"),"-",Расчет!A167)</f>
        <v>11312</v>
      </c>
      <c r="BO170" s="173">
        <f t="shared" si="64"/>
        <v>0</v>
      </c>
      <c r="BP170" s="172" t="str">
        <f>IF(BQ170="-","-",IFERROR(IF(OR(VLOOKUP(BN170,Расчет!$A$2:$E$582,5,FALSE)="2PS",VLOOKUP(BN170,Расчет!$A$2:$E$582,5,FALSE)="2QL"),IF(OR(VLOOKUP(BN170,Расчет!$A$2:$E$582,2,FALSE)="664W",VLOOKUP(BN170,Расчет!$A$2:$E$582,2,FALSE)="813W"),IF(BN170-$BS$7&gt;150,BN170-$BS$7-1000+$AD$12,BN170-$BS$7+$AD$12),IF(BN170-$BS$7&gt;150,BN170-$BS$7-1000+$AD$17,BN170-$BS$7+$AD$17)),IF(BN170-$BS$7&gt;150,BN170-$BS$7-1000,BN170-$BS$7)),"-"))</f>
        <v>-</v>
      </c>
      <c r="BQ170" s="173">
        <f t="shared" si="61"/>
        <v>11312</v>
      </c>
      <c r="BR170" s="453"/>
      <c r="BS170" s="171"/>
      <c r="BT170" s="464" t="str">
        <f t="shared" si="62"/>
        <v>-</v>
      </c>
      <c r="BU170" s="464" t="str">
        <f t="shared" si="63"/>
        <v>-</v>
      </c>
      <c r="BX170" s="204">
        <f>COUNTIF($BY$4:BY170,"&lt;100")</f>
        <v>0</v>
      </c>
      <c r="BY170" s="213" t="str">
        <f t="shared" si="66"/>
        <v/>
      </c>
      <c r="BZ170" s="216" t="str">
        <f t="shared" si="67"/>
        <v/>
      </c>
      <c r="CA170" s="213" t="e">
        <f t="shared" si="59"/>
        <v>#N/A</v>
      </c>
      <c r="CB170" s="209" t="e">
        <f t="shared" si="60"/>
        <v>#N/A</v>
      </c>
      <c r="CC170" s="205" t="str">
        <f t="shared" si="65"/>
        <v/>
      </c>
      <c r="CD170" s="205" t="str">
        <f t="shared" si="68"/>
        <v>-</v>
      </c>
      <c r="CE170" s="204">
        <f t="shared" si="69"/>
        <v>0</v>
      </c>
      <c r="CG170" s="20" t="str">
        <f t="shared" si="70"/>
        <v/>
      </c>
    </row>
    <row r="171" spans="36:85" ht="21">
      <c r="AJ171"/>
      <c r="AK171"/>
      <c r="AL171"/>
      <c r="AM171" s="87"/>
      <c r="AN171" s="87"/>
      <c r="AO171" s="14" t="str">
        <f>IF(R68="","",COUNTA($R$3:R68)+$AO$105)</f>
        <v/>
      </c>
      <c r="AP171" s="88" t="str">
        <f>IF(AO171="","",IF(AO171+Расчет!$Y$57+$BD$2-Расчет!$X$57&gt;200,AO171+Расчет!$Y$57+$BD$2-1000,AO171+Расчет!$Y$57+$BD$2))</f>
        <v/>
      </c>
      <c r="BL171" s="172">
        <f>COUNTIF($BM$5:BM171,"&lt;-115")</f>
        <v>0</v>
      </c>
      <c r="BM171" s="154" t="str">
        <f>IFERROR(IF(OR(IFERROR(VLOOKUP(BN171,$E$3:$E$105,1,FALSE),"0")=BN171,IFERROR(VLOOKUP(BN171,$R$3:$R$105,1,FALSE),"0")=BN171),BO171,IF(OR(VLOOKUP(BN171,Расчет!A:E,5,FALSE)="2PS",VLOOKUP(BN171,Расчет!A:E,5,FALSE)="2QL"),IF(VLOOKUP(BN171,Расчет!A:B,2,FALSE)="831W",BN171-$BS$7+$AD$17,BN171-$BS$7+$AD$12),BN171-$BS$7)),"-")</f>
        <v>-</v>
      </c>
      <c r="BN171" s="154">
        <f>IF(OR(Расчет!C168="A0",Расчет!C168="P9",Расчет!B168="722W"),"-",Расчет!A168)</f>
        <v>11313</v>
      </c>
      <c r="BO171" s="173">
        <f t="shared" si="64"/>
        <v>0</v>
      </c>
      <c r="BP171" s="172" t="str">
        <f>IF(BQ171="-","-",IFERROR(IF(OR(VLOOKUP(BN171,Расчет!$A$2:$E$582,5,FALSE)="2PS",VLOOKUP(BN171,Расчет!$A$2:$E$582,5,FALSE)="2QL"),IF(OR(VLOOKUP(BN171,Расчет!$A$2:$E$582,2,FALSE)="664W",VLOOKUP(BN171,Расчет!$A$2:$E$582,2,FALSE)="813W"),IF(BN171-$BS$7&gt;150,BN171-$BS$7-1000+$AD$12,BN171-$BS$7+$AD$12),IF(BN171-$BS$7&gt;150,BN171-$BS$7-1000+$AD$17,BN171-$BS$7+$AD$17)),IF(BN171-$BS$7&gt;150,BN171-$BS$7-1000,BN171-$BS$7)),"-"))</f>
        <v>-</v>
      </c>
      <c r="BQ171" s="173">
        <f t="shared" si="61"/>
        <v>11313</v>
      </c>
      <c r="BR171" s="453"/>
      <c r="BS171" s="171"/>
      <c r="BT171" s="464" t="str">
        <f t="shared" si="62"/>
        <v>-</v>
      </c>
      <c r="BU171" s="464" t="str">
        <f t="shared" si="63"/>
        <v>-</v>
      </c>
      <c r="BX171" s="204">
        <f>COUNTIF($BY$4:BY171,"&lt;100")</f>
        <v>0</v>
      </c>
      <c r="BY171" s="213" t="str">
        <f t="shared" ref="BY171:BY202" si="71">AM67</f>
        <v/>
      </c>
      <c r="BZ171" s="216" t="str">
        <f t="shared" ref="BZ171:BZ202" si="72">AN67</f>
        <v/>
      </c>
      <c r="CA171" s="213" t="e">
        <f t="shared" si="59"/>
        <v>#N/A</v>
      </c>
      <c r="CB171" s="209" t="e">
        <f t="shared" si="60"/>
        <v>#N/A</v>
      </c>
      <c r="CC171" s="205" t="str">
        <f t="shared" si="65"/>
        <v/>
      </c>
      <c r="CD171" s="205" t="str">
        <f t="shared" ref="CD171:CD202" si="73">N67</f>
        <v>-</v>
      </c>
      <c r="CE171" s="204">
        <f t="shared" si="69"/>
        <v>0</v>
      </c>
      <c r="CG171" s="20" t="str">
        <f t="shared" si="70"/>
        <v/>
      </c>
    </row>
    <row r="172" spans="36:85" ht="21">
      <c r="AJ172"/>
      <c r="AK172"/>
      <c r="AL172"/>
      <c r="AM172" s="87"/>
      <c r="AN172" s="87"/>
      <c r="AO172" s="14" t="str">
        <f>IF(R69="","",COUNTA($R$3:R69)+$AO$105)</f>
        <v/>
      </c>
      <c r="AP172" s="88" t="str">
        <f>IF(AO172="","",IF(AO172+Расчет!$Y$57+$BD$2-Расчет!$X$57&gt;200,AO172+Расчет!$Y$57+$BD$2-1000,AO172+Расчет!$Y$57+$BD$2))</f>
        <v/>
      </c>
      <c r="BL172" s="172">
        <f>COUNTIF($BM$5:BM172,"&lt;-115")</f>
        <v>0</v>
      </c>
      <c r="BM172" s="154" t="str">
        <f>IFERROR(IF(OR(IFERROR(VLOOKUP(BN172,$E$3:$E$105,1,FALSE),"0")=BN172,IFERROR(VLOOKUP(BN172,$R$3:$R$105,1,FALSE),"0")=BN172),BO172,IF(OR(VLOOKUP(BN172,Расчет!A:E,5,FALSE)="2PS",VLOOKUP(BN172,Расчет!A:E,5,FALSE)="2QL"),IF(VLOOKUP(BN172,Расчет!A:B,2,FALSE)="831W",BN172-$BS$7+$AD$17,BN172-$BS$7+$AD$12),BN172-$BS$7)),"-")</f>
        <v>-</v>
      </c>
      <c r="BN172" s="154">
        <f>IF(OR(Расчет!C169="A0",Расчет!C169="P9",Расчет!B169="722W"),"-",Расчет!A169)</f>
        <v>11314</v>
      </c>
      <c r="BO172" s="173">
        <f t="shared" si="64"/>
        <v>0</v>
      </c>
      <c r="BP172" s="172" t="str">
        <f>IF(BQ172="-","-",IFERROR(IF(OR(VLOOKUP(BN172,Расчет!$A$2:$E$582,5,FALSE)="2PS",VLOOKUP(BN172,Расчет!$A$2:$E$582,5,FALSE)="2QL"),IF(OR(VLOOKUP(BN172,Расчет!$A$2:$E$582,2,FALSE)="664W",VLOOKUP(BN172,Расчет!$A$2:$E$582,2,FALSE)="813W"),IF(BN172-$BS$7&gt;150,BN172-$BS$7-1000+$AD$12,BN172-$BS$7+$AD$12),IF(BN172-$BS$7&gt;150,BN172-$BS$7-1000+$AD$17,BN172-$BS$7+$AD$17)),IF(BN172-$BS$7&gt;150,BN172-$BS$7-1000,BN172-$BS$7)),"-"))</f>
        <v>-</v>
      </c>
      <c r="BQ172" s="173">
        <f t="shared" si="61"/>
        <v>11314</v>
      </c>
      <c r="BR172" s="453"/>
      <c r="BS172" s="171"/>
      <c r="BT172" s="464" t="str">
        <f t="shared" si="62"/>
        <v>-</v>
      </c>
      <c r="BU172" s="464" t="str">
        <f t="shared" si="63"/>
        <v>-</v>
      </c>
      <c r="BX172" s="204">
        <f>COUNTIF($BY$4:BY172,"&lt;100")</f>
        <v>0</v>
      </c>
      <c r="BY172" s="213" t="str">
        <f t="shared" si="71"/>
        <v/>
      </c>
      <c r="BZ172" s="216" t="str">
        <f t="shared" si="72"/>
        <v/>
      </c>
      <c r="CA172" s="213" t="e">
        <f t="shared" si="59"/>
        <v>#N/A</v>
      </c>
      <c r="CB172" s="209" t="e">
        <f t="shared" si="60"/>
        <v>#N/A</v>
      </c>
      <c r="CC172" s="205" t="str">
        <f t="shared" si="65"/>
        <v/>
      </c>
      <c r="CD172" s="205" t="str">
        <f t="shared" si="73"/>
        <v>-</v>
      </c>
      <c r="CE172" s="204">
        <f t="shared" si="69"/>
        <v>0</v>
      </c>
      <c r="CG172" s="20" t="str">
        <f t="shared" si="70"/>
        <v/>
      </c>
    </row>
    <row r="173" spans="36:85" ht="21">
      <c r="AJ173"/>
      <c r="AK173"/>
      <c r="AL173"/>
      <c r="AM173" s="87"/>
      <c r="AN173" s="87"/>
      <c r="AO173" s="14" t="str">
        <f>IF(R70="","",COUNTA($R$3:R70)+$AO$105)</f>
        <v/>
      </c>
      <c r="AP173" s="88" t="str">
        <f>IF(AO173="","",IF(AO173+Расчет!$Y$57+$BD$2-Расчет!$X$57&gt;200,AO173+Расчет!$Y$57+$BD$2-1000,AO173+Расчет!$Y$57+$BD$2))</f>
        <v/>
      </c>
      <c r="BL173" s="172">
        <f>COUNTIF($BM$5:BM173,"&lt;-115")</f>
        <v>0</v>
      </c>
      <c r="BM173" s="154" t="str">
        <f>IFERROR(IF(OR(IFERROR(VLOOKUP(BN173,$E$3:$E$105,1,FALSE),"0")=BN173,IFERROR(VLOOKUP(BN173,$R$3:$R$105,1,FALSE),"0")=BN173),BO173,IF(OR(VLOOKUP(BN173,Расчет!A:E,5,FALSE)="2PS",VLOOKUP(BN173,Расчет!A:E,5,FALSE)="2QL"),IF(VLOOKUP(BN173,Расчет!A:B,2,FALSE)="831W",BN173-$BS$7+$AD$17,BN173-$BS$7+$AD$12),BN173-$BS$7)),"-")</f>
        <v>-</v>
      </c>
      <c r="BN173" s="154">
        <f>IF(OR(Расчет!C170="A0",Расчет!C170="P9",Расчет!B170="722W"),"-",Расчет!A170)</f>
        <v>11315</v>
      </c>
      <c r="BO173" s="173">
        <f t="shared" si="64"/>
        <v>0</v>
      </c>
      <c r="BP173" s="172" t="str">
        <f>IF(BQ173="-","-",IFERROR(IF(OR(VLOOKUP(BN173,Расчет!$A$2:$E$582,5,FALSE)="2PS",VLOOKUP(BN173,Расчет!$A$2:$E$582,5,FALSE)="2QL"),IF(OR(VLOOKUP(BN173,Расчет!$A$2:$E$582,2,FALSE)="664W",VLOOKUP(BN173,Расчет!$A$2:$E$582,2,FALSE)="813W"),IF(BN173-$BS$7&gt;150,BN173-$BS$7-1000+$AD$12,BN173-$BS$7+$AD$12),IF(BN173-$BS$7&gt;150,BN173-$BS$7-1000+$AD$17,BN173-$BS$7+$AD$17)),IF(BN173-$BS$7&gt;150,BN173-$BS$7-1000,BN173-$BS$7)),"-"))</f>
        <v>-</v>
      </c>
      <c r="BQ173" s="173">
        <f t="shared" si="61"/>
        <v>11315</v>
      </c>
      <c r="BR173" s="453"/>
      <c r="BS173" s="171"/>
      <c r="BT173" s="464" t="str">
        <f t="shared" si="62"/>
        <v>-</v>
      </c>
      <c r="BU173" s="464" t="str">
        <f t="shared" si="63"/>
        <v>-</v>
      </c>
      <c r="BX173" s="204">
        <f>COUNTIF($BY$4:BY173,"&lt;100")</f>
        <v>0</v>
      </c>
      <c r="BY173" s="213" t="str">
        <f t="shared" si="71"/>
        <v/>
      </c>
      <c r="BZ173" s="216" t="str">
        <f t="shared" si="72"/>
        <v/>
      </c>
      <c r="CA173" s="213" t="e">
        <f t="shared" si="59"/>
        <v>#N/A</v>
      </c>
      <c r="CB173" s="209" t="e">
        <f t="shared" si="60"/>
        <v>#N/A</v>
      </c>
      <c r="CC173" s="205" t="str">
        <f t="shared" si="65"/>
        <v/>
      </c>
      <c r="CD173" s="205" t="str">
        <f t="shared" si="73"/>
        <v>-</v>
      </c>
      <c r="CE173" s="204">
        <f t="shared" ref="CE173:CE204" si="74">IF(OR(AND($T69="Rich",$T68="Rich"),AND($T69="Rich",$T67="Rich"),AND($U69="TWIN-C",$U68="TWIN-C"),AND($U69="TWIN-C",$U68="4WD",$U67="TWIN-C"),AND($U69="TWIN-C",$T68="Rich",$U67="TWIN-C"),AND(COUNTIF($CG178:$CG181,"Rich")&gt;1,COUNTIF($CG178:$CG181,"Mech")&gt;1),AND($CG181="Sport",COUNTIF($CG176:$CG181,"Sport")&gt;1))=TRUE(),1,0)</f>
        <v>0</v>
      </c>
      <c r="CG173" s="20" t="str">
        <f t="shared" si="70"/>
        <v/>
      </c>
    </row>
    <row r="174" spans="36:85" ht="21">
      <c r="AJ174"/>
      <c r="AK174"/>
      <c r="AL174"/>
      <c r="AM174" s="87"/>
      <c r="AN174" s="87"/>
      <c r="AO174" s="14" t="str">
        <f>IF(R71="","",COUNTA($R$3:R71)+$AO$105)</f>
        <v/>
      </c>
      <c r="AP174" s="88" t="str">
        <f>IF(AO174="","",IF(AO174+Расчет!$Y$57+$BD$2-Расчет!$X$57&gt;200,AO174+Расчет!$Y$57+$BD$2-1000,AO174+Расчет!$Y$57+$BD$2))</f>
        <v/>
      </c>
      <c r="BL174" s="172">
        <f>COUNTIF($BM$5:BM174,"&lt;-115")</f>
        <v>0</v>
      </c>
      <c r="BM174" s="154" t="str">
        <f>IFERROR(IF(OR(IFERROR(VLOOKUP(BN174,$E$3:$E$105,1,FALSE),"0")=BN174,IFERROR(VLOOKUP(BN174,$R$3:$R$105,1,FALSE),"0")=BN174),BO174,IF(OR(VLOOKUP(BN174,Расчет!A:E,5,FALSE)="2PS",VLOOKUP(BN174,Расчет!A:E,5,FALSE)="2QL"),IF(VLOOKUP(BN174,Расчет!A:B,2,FALSE)="831W",BN174-$BS$7+$AD$17,BN174-$BS$7+$AD$12),BN174-$BS$7)),"-")</f>
        <v>-</v>
      </c>
      <c r="BN174" s="154">
        <f>IF(OR(Расчет!C171="A0",Расчет!C171="P9",Расчет!B171="722W"),"-",Расчет!A171)</f>
        <v>11316</v>
      </c>
      <c r="BO174" s="173">
        <f t="shared" si="64"/>
        <v>0</v>
      </c>
      <c r="BP174" s="172" t="str">
        <f>IF(BQ174="-","-",IFERROR(IF(OR(VLOOKUP(BN174,Расчет!$A$2:$E$582,5,FALSE)="2PS",VLOOKUP(BN174,Расчет!$A$2:$E$582,5,FALSE)="2QL"),IF(OR(VLOOKUP(BN174,Расчет!$A$2:$E$582,2,FALSE)="664W",VLOOKUP(BN174,Расчет!$A$2:$E$582,2,FALSE)="813W"),IF(BN174-$BS$7&gt;150,BN174-$BS$7-1000+$AD$12,BN174-$BS$7+$AD$12),IF(BN174-$BS$7&gt;150,BN174-$BS$7-1000+$AD$17,BN174-$BS$7+$AD$17)),IF(BN174-$BS$7&gt;150,BN174-$BS$7-1000,BN174-$BS$7)),"-"))</f>
        <v>-</v>
      </c>
      <c r="BQ174" s="173">
        <f t="shared" si="61"/>
        <v>11316</v>
      </c>
      <c r="BR174" s="453"/>
      <c r="BS174" s="171"/>
      <c r="BT174" s="464" t="str">
        <f t="shared" si="62"/>
        <v>-</v>
      </c>
      <c r="BU174" s="464" t="str">
        <f t="shared" si="63"/>
        <v>-</v>
      </c>
      <c r="BX174" s="204">
        <f>COUNTIF($BY$4:BY174,"&lt;100")</f>
        <v>0</v>
      </c>
      <c r="BY174" s="213" t="str">
        <f t="shared" si="71"/>
        <v/>
      </c>
      <c r="BZ174" s="216" t="str">
        <f t="shared" si="72"/>
        <v/>
      </c>
      <c r="CA174" s="213" t="e">
        <f t="shared" si="59"/>
        <v>#N/A</v>
      </c>
      <c r="CB174" s="209" t="e">
        <f t="shared" si="60"/>
        <v>#N/A</v>
      </c>
      <c r="CC174" s="205" t="str">
        <f t="shared" si="65"/>
        <v/>
      </c>
      <c r="CD174" s="205" t="str">
        <f t="shared" si="73"/>
        <v>-</v>
      </c>
      <c r="CE174" s="204">
        <f t="shared" si="74"/>
        <v>0</v>
      </c>
      <c r="CG174" s="20" t="str">
        <f t="shared" si="70"/>
        <v/>
      </c>
    </row>
    <row r="175" spans="36:85" ht="21">
      <c r="AJ175"/>
      <c r="AK175"/>
      <c r="AL175"/>
      <c r="AM175" s="87"/>
      <c r="AN175" s="87"/>
      <c r="AO175" s="14" t="str">
        <f>IF(R72="","",COUNTA($R$3:R72)+$AO$105)</f>
        <v/>
      </c>
      <c r="AP175" s="88" t="str">
        <f>IF(AO175="","",IF(AO175+Расчет!$Y$57+$BD$2-Расчет!$X$57&gt;200,AO175+Расчет!$Y$57+$BD$2-1000,AO175+Расчет!$Y$57+$BD$2))</f>
        <v/>
      </c>
      <c r="BL175" s="172">
        <f>COUNTIF($BM$5:BM175,"&lt;-115")</f>
        <v>0</v>
      </c>
      <c r="BM175" s="154" t="str">
        <f>IFERROR(IF(OR(IFERROR(VLOOKUP(BN175,$E$3:$E$105,1,FALSE),"0")=BN175,IFERROR(VLOOKUP(BN175,$R$3:$R$105,1,FALSE),"0")=BN175),BO175,IF(OR(VLOOKUP(BN175,Расчет!A:E,5,FALSE)="2PS",VLOOKUP(BN175,Расчет!A:E,5,FALSE)="2QL"),IF(VLOOKUP(BN175,Расчет!A:B,2,FALSE)="831W",BN175-$BS$7+$AD$17,BN175-$BS$7+$AD$12),BN175-$BS$7)),"-")</f>
        <v>-</v>
      </c>
      <c r="BN175" s="154">
        <f>IF(OR(Расчет!C172="A0",Расчет!C172="P9",Расчет!B172="722W"),"-",Расчет!A172)</f>
        <v>11317</v>
      </c>
      <c r="BO175" s="173">
        <f t="shared" si="64"/>
        <v>0</v>
      </c>
      <c r="BP175" s="172" t="str">
        <f>IF(BQ175="-","-",IFERROR(IF(OR(VLOOKUP(BN175,Расчет!$A$2:$E$582,5,FALSE)="2PS",VLOOKUP(BN175,Расчет!$A$2:$E$582,5,FALSE)="2QL"),IF(OR(VLOOKUP(BN175,Расчет!$A$2:$E$582,2,FALSE)="664W",VLOOKUP(BN175,Расчет!$A$2:$E$582,2,FALSE)="813W"),IF(BN175-$BS$7&gt;150,BN175-$BS$7-1000+$AD$12,BN175-$BS$7+$AD$12),IF(BN175-$BS$7&gt;150,BN175-$BS$7-1000+$AD$17,BN175-$BS$7+$AD$17)),IF(BN175-$BS$7&gt;150,BN175-$BS$7-1000,BN175-$BS$7)),"-"))</f>
        <v>-</v>
      </c>
      <c r="BQ175" s="173">
        <f t="shared" si="61"/>
        <v>11317</v>
      </c>
      <c r="BR175" s="453"/>
      <c r="BS175" s="171"/>
      <c r="BT175" s="464" t="str">
        <f t="shared" si="62"/>
        <v>-</v>
      </c>
      <c r="BU175" s="464" t="str">
        <f t="shared" si="63"/>
        <v>-</v>
      </c>
      <c r="BX175" s="204">
        <f>COUNTIF($BY$4:BY175,"&lt;100")</f>
        <v>0</v>
      </c>
      <c r="BY175" s="213" t="str">
        <f t="shared" si="71"/>
        <v/>
      </c>
      <c r="BZ175" s="216" t="str">
        <f t="shared" si="72"/>
        <v/>
      </c>
      <c r="CA175" s="213" t="e">
        <f t="shared" si="59"/>
        <v>#N/A</v>
      </c>
      <c r="CB175" s="209" t="e">
        <f t="shared" si="60"/>
        <v>#N/A</v>
      </c>
      <c r="CC175" s="205" t="str">
        <f t="shared" si="65"/>
        <v/>
      </c>
      <c r="CD175" s="205" t="str">
        <f t="shared" si="73"/>
        <v>-</v>
      </c>
      <c r="CE175" s="204">
        <f t="shared" si="74"/>
        <v>0</v>
      </c>
      <c r="CG175" s="20" t="str">
        <f t="shared" si="70"/>
        <v/>
      </c>
    </row>
    <row r="176" spans="36:85" ht="21">
      <c r="AJ176"/>
      <c r="AK176"/>
      <c r="AL176"/>
      <c r="AM176" s="87"/>
      <c r="AN176" s="87"/>
      <c r="AO176" s="14" t="str">
        <f>IF(R73="","",COUNTA($R$3:R73)+$AO$105)</f>
        <v/>
      </c>
      <c r="AP176" s="88" t="str">
        <f>IF(AO176="","",IF(AO176+Расчет!$Y$57+$BD$2-Расчет!$X$57&gt;200,AO176+Расчет!$Y$57+$BD$2-1000,AO176+Расчет!$Y$57+$BD$2))</f>
        <v/>
      </c>
      <c r="BL176" s="172">
        <f>COUNTIF($BM$5:BM176,"&lt;-115")</f>
        <v>0</v>
      </c>
      <c r="BM176" s="154" t="str">
        <f>IFERROR(IF(OR(IFERROR(VLOOKUP(BN176,$E$3:$E$105,1,FALSE),"0")=BN176,IFERROR(VLOOKUP(BN176,$R$3:$R$105,1,FALSE),"0")=BN176),BO176,IF(OR(VLOOKUP(BN176,Расчет!A:E,5,FALSE)="2PS",VLOOKUP(BN176,Расчет!A:E,5,FALSE)="2QL"),IF(VLOOKUP(BN176,Расчет!A:B,2,FALSE)="831W",BN176-$BS$7+$AD$17,BN176-$BS$7+$AD$12),BN176-$BS$7)),"-")</f>
        <v>-</v>
      </c>
      <c r="BN176" s="154">
        <f>IF(OR(Расчет!C173="A0",Расчет!C173="P9",Расчет!B173="722W"),"-",Расчет!A173)</f>
        <v>11318</v>
      </c>
      <c r="BO176" s="173">
        <f t="shared" si="64"/>
        <v>0</v>
      </c>
      <c r="BP176" s="172" t="str">
        <f>IF(BQ176="-","-",IFERROR(IF(OR(VLOOKUP(BN176,Расчет!$A$2:$E$582,5,FALSE)="2PS",VLOOKUP(BN176,Расчет!$A$2:$E$582,5,FALSE)="2QL"),IF(OR(VLOOKUP(BN176,Расчет!$A$2:$E$582,2,FALSE)="664W",VLOOKUP(BN176,Расчет!$A$2:$E$582,2,FALSE)="813W"),IF(BN176-$BS$7&gt;150,BN176-$BS$7-1000+$AD$12,BN176-$BS$7+$AD$12),IF(BN176-$BS$7&gt;150,BN176-$BS$7-1000+$AD$17,BN176-$BS$7+$AD$17)),IF(BN176-$BS$7&gt;150,BN176-$BS$7-1000,BN176-$BS$7)),"-"))</f>
        <v>-</v>
      </c>
      <c r="BQ176" s="173">
        <f t="shared" si="61"/>
        <v>11318</v>
      </c>
      <c r="BR176" s="453"/>
      <c r="BS176" s="171"/>
      <c r="BT176" s="464" t="str">
        <f t="shared" si="62"/>
        <v>-</v>
      </c>
      <c r="BU176" s="464" t="str">
        <f t="shared" si="63"/>
        <v>-</v>
      </c>
      <c r="BX176" s="204">
        <f>COUNTIF($BY$4:BY176,"&lt;100")</f>
        <v>0</v>
      </c>
      <c r="BY176" s="213" t="str">
        <f t="shared" si="71"/>
        <v/>
      </c>
      <c r="BZ176" s="216" t="str">
        <f t="shared" si="72"/>
        <v/>
      </c>
      <c r="CA176" s="213" t="e">
        <f t="shared" si="59"/>
        <v>#N/A</v>
      </c>
      <c r="CB176" s="209" t="e">
        <f t="shared" si="60"/>
        <v>#N/A</v>
      </c>
      <c r="CC176" s="205" t="str">
        <f t="shared" si="65"/>
        <v/>
      </c>
      <c r="CD176" s="205" t="str">
        <f t="shared" si="73"/>
        <v>-</v>
      </c>
      <c r="CE176" s="204">
        <f t="shared" si="74"/>
        <v>0</v>
      </c>
      <c r="CG176" s="20" t="str">
        <f t="shared" si="70"/>
        <v/>
      </c>
    </row>
    <row r="177" spans="36:85" ht="21">
      <c r="AJ177"/>
      <c r="AK177"/>
      <c r="AL177"/>
      <c r="AM177" s="87"/>
      <c r="AN177" s="87"/>
      <c r="AO177" s="14" t="str">
        <f>IF(R74="","",COUNTA($R$3:R74)+$AO$105)</f>
        <v/>
      </c>
      <c r="AP177" s="88" t="str">
        <f>IF(AO177="","",IF(AO177+Расчет!$Y$57+$BD$2-Расчет!$X$57&gt;200,AO177+Расчет!$Y$57+$BD$2-1000,AO177+Расчет!$Y$57+$BD$2))</f>
        <v/>
      </c>
      <c r="BL177" s="172">
        <f>COUNTIF($BM$5:BM177,"&lt;-115")</f>
        <v>0</v>
      </c>
      <c r="BM177" s="154" t="str">
        <f>IFERROR(IF(OR(IFERROR(VLOOKUP(BN177,$E$3:$E$105,1,FALSE),"0")=BN177,IFERROR(VLOOKUP(BN177,$R$3:$R$105,1,FALSE),"0")=BN177),BO177,IF(OR(VLOOKUP(BN177,Расчет!A:E,5,FALSE)="2PS",VLOOKUP(BN177,Расчет!A:E,5,FALSE)="2QL"),IF(VLOOKUP(BN177,Расчет!A:B,2,FALSE)="831W",BN177-$BS$7+$AD$17,BN177-$BS$7+$AD$12),BN177-$BS$7)),"-")</f>
        <v>-</v>
      </c>
      <c r="BN177" s="154">
        <f>IF(OR(Расчет!C174="A0",Расчет!C174="P9",Расчет!B174="722W"),"-",Расчет!A174)</f>
        <v>11319</v>
      </c>
      <c r="BO177" s="173">
        <f t="shared" si="64"/>
        <v>0</v>
      </c>
      <c r="BP177" s="172" t="str">
        <f>IF(BQ177="-","-",IFERROR(IF(OR(VLOOKUP(BN177,Расчет!$A$2:$E$582,5,FALSE)="2PS",VLOOKUP(BN177,Расчет!$A$2:$E$582,5,FALSE)="2QL"),IF(OR(VLOOKUP(BN177,Расчет!$A$2:$E$582,2,FALSE)="664W",VLOOKUP(BN177,Расчет!$A$2:$E$582,2,FALSE)="813W"),IF(BN177-$BS$7&gt;150,BN177-$BS$7-1000+$AD$12,BN177-$BS$7+$AD$12),IF(BN177-$BS$7&gt;150,BN177-$BS$7-1000+$AD$17,BN177-$BS$7+$AD$17)),IF(BN177-$BS$7&gt;150,BN177-$BS$7-1000,BN177-$BS$7)),"-"))</f>
        <v>-</v>
      </c>
      <c r="BQ177" s="173">
        <f t="shared" si="61"/>
        <v>11319</v>
      </c>
      <c r="BR177" s="453"/>
      <c r="BS177" s="171"/>
      <c r="BT177" s="464" t="str">
        <f t="shared" si="62"/>
        <v>-</v>
      </c>
      <c r="BU177" s="464" t="str">
        <f t="shared" si="63"/>
        <v>-</v>
      </c>
      <c r="BX177" s="204">
        <f>COUNTIF($BY$4:BY177,"&lt;100")</f>
        <v>0</v>
      </c>
      <c r="BY177" s="213" t="str">
        <f t="shared" si="71"/>
        <v/>
      </c>
      <c r="BZ177" s="216" t="str">
        <f t="shared" si="72"/>
        <v/>
      </c>
      <c r="CA177" s="213" t="e">
        <f t="shared" si="59"/>
        <v>#N/A</v>
      </c>
      <c r="CB177" s="209" t="e">
        <f t="shared" si="60"/>
        <v>#N/A</v>
      </c>
      <c r="CC177" s="205" t="str">
        <f t="shared" si="65"/>
        <v/>
      </c>
      <c r="CD177" s="205" t="str">
        <f t="shared" si="73"/>
        <v>-</v>
      </c>
      <c r="CE177" s="204">
        <f t="shared" si="74"/>
        <v>0</v>
      </c>
      <c r="CG177" s="20" t="str">
        <f t="shared" si="70"/>
        <v/>
      </c>
    </row>
    <row r="178" spans="36:85" ht="21">
      <c r="AJ178"/>
      <c r="AK178"/>
      <c r="AL178"/>
      <c r="AM178" s="87"/>
      <c r="AN178" s="87"/>
      <c r="AO178" s="14" t="str">
        <f>IF(R75="","",COUNTA($R$3:R75)+$AO$105)</f>
        <v/>
      </c>
      <c r="AP178" s="88" t="str">
        <f>IF(AO178="","",IF(AO178+Расчет!$Y$57+$BD$2-Расчет!$X$57&gt;200,AO178+Расчет!$Y$57+$BD$2-1000,AO178+Расчет!$Y$57+$BD$2))</f>
        <v/>
      </c>
      <c r="BL178" s="172">
        <f>COUNTIF($BM$5:BM178,"&lt;-115")</f>
        <v>0</v>
      </c>
      <c r="BM178" s="154" t="str">
        <f>IFERROR(IF(OR(IFERROR(VLOOKUP(BN178,$E$3:$E$105,1,FALSE),"0")=BN178,IFERROR(VLOOKUP(BN178,$R$3:$R$105,1,FALSE),"0")=BN178),BO178,IF(OR(VLOOKUP(BN178,Расчет!A:E,5,FALSE)="2PS",VLOOKUP(BN178,Расчет!A:E,5,FALSE)="2QL"),IF(VLOOKUP(BN178,Расчет!A:B,2,FALSE)="831W",BN178-$BS$7+$AD$17,BN178-$BS$7+$AD$12),BN178-$BS$7)),"-")</f>
        <v>-</v>
      </c>
      <c r="BN178" s="154">
        <f>IF(OR(Расчет!C175="A0",Расчет!C175="P9",Расчет!B175="722W"),"-",Расчет!A175)</f>
        <v>11320</v>
      </c>
      <c r="BO178" s="173">
        <f t="shared" si="64"/>
        <v>0</v>
      </c>
      <c r="BP178" s="172" t="str">
        <f>IF(BQ178="-","-",IFERROR(IF(OR(VLOOKUP(BN178,Расчет!$A$2:$E$582,5,FALSE)="2PS",VLOOKUP(BN178,Расчет!$A$2:$E$582,5,FALSE)="2QL"),IF(OR(VLOOKUP(BN178,Расчет!$A$2:$E$582,2,FALSE)="664W",VLOOKUP(BN178,Расчет!$A$2:$E$582,2,FALSE)="813W"),IF(BN178-$BS$7&gt;150,BN178-$BS$7-1000+$AD$12,BN178-$BS$7+$AD$12),IF(BN178-$BS$7&gt;150,BN178-$BS$7-1000+$AD$17,BN178-$BS$7+$AD$17)),IF(BN178-$BS$7&gt;150,BN178-$BS$7-1000,BN178-$BS$7)),"-"))</f>
        <v>-</v>
      </c>
      <c r="BQ178" s="173">
        <f t="shared" si="61"/>
        <v>11320</v>
      </c>
      <c r="BR178" s="453"/>
      <c r="BS178" s="171"/>
      <c r="BT178" s="464" t="str">
        <f t="shared" si="62"/>
        <v>-</v>
      </c>
      <c r="BU178" s="464" t="str">
        <f t="shared" si="63"/>
        <v>-</v>
      </c>
      <c r="BX178" s="204">
        <f>COUNTIF($BY$4:BY178,"&lt;100")</f>
        <v>0</v>
      </c>
      <c r="BY178" s="213" t="str">
        <f t="shared" si="71"/>
        <v/>
      </c>
      <c r="BZ178" s="216" t="str">
        <f t="shared" si="72"/>
        <v/>
      </c>
      <c r="CA178" s="213" t="e">
        <f t="shared" si="59"/>
        <v>#N/A</v>
      </c>
      <c r="CB178" s="209" t="e">
        <f t="shared" si="60"/>
        <v>#N/A</v>
      </c>
      <c r="CC178" s="205" t="str">
        <f t="shared" si="65"/>
        <v/>
      </c>
      <c r="CD178" s="205" t="str">
        <f t="shared" si="73"/>
        <v>-</v>
      </c>
      <c r="CE178" s="204">
        <f t="shared" si="74"/>
        <v>0</v>
      </c>
      <c r="CG178" s="20" t="str">
        <f t="shared" si="70"/>
        <v/>
      </c>
    </row>
    <row r="179" spans="36:85" ht="21">
      <c r="AJ179"/>
      <c r="AK179"/>
      <c r="AL179"/>
      <c r="AM179" s="87"/>
      <c r="AN179" s="87"/>
      <c r="AO179" s="14" t="str">
        <f>IF(R76="","",COUNTA($R$3:R76)+$AO$105)</f>
        <v/>
      </c>
      <c r="AP179" s="88" t="str">
        <f>IF(AO179="","",IF(AO179+Расчет!$Y$57+$BD$2-Расчет!$X$57&gt;200,AO179+Расчет!$Y$57+$BD$2-1000,AO179+Расчет!$Y$57+$BD$2))</f>
        <v/>
      </c>
      <c r="BL179" s="172">
        <f>COUNTIF($BM$5:BM179,"&lt;-115")</f>
        <v>0</v>
      </c>
      <c r="BM179" s="154" t="str">
        <f>IFERROR(IF(OR(IFERROR(VLOOKUP(BN179,$E$3:$E$105,1,FALSE),"0")=BN179,IFERROR(VLOOKUP(BN179,$R$3:$R$105,1,FALSE),"0")=BN179),BO179,IF(OR(VLOOKUP(BN179,Расчет!A:E,5,FALSE)="2PS",VLOOKUP(BN179,Расчет!A:E,5,FALSE)="2QL"),IF(VLOOKUP(BN179,Расчет!A:B,2,FALSE)="831W",BN179-$BS$7+$AD$17,BN179-$BS$7+$AD$12),BN179-$BS$7)),"-")</f>
        <v>-</v>
      </c>
      <c r="BN179" s="154">
        <f>IF(OR(Расчет!C176="A0",Расчет!C176="P9",Расчет!B176="722W"),"-",Расчет!A176)</f>
        <v>11321</v>
      </c>
      <c r="BO179" s="173">
        <f t="shared" si="64"/>
        <v>0</v>
      </c>
      <c r="BP179" s="172" t="str">
        <f>IF(BQ179="-","-",IFERROR(IF(OR(VLOOKUP(BN179,Расчет!$A$2:$E$582,5,FALSE)="2PS",VLOOKUP(BN179,Расчет!$A$2:$E$582,5,FALSE)="2QL"),IF(OR(VLOOKUP(BN179,Расчет!$A$2:$E$582,2,FALSE)="664W",VLOOKUP(BN179,Расчет!$A$2:$E$582,2,FALSE)="813W"),IF(BN179-$BS$7&gt;150,BN179-$BS$7-1000+$AD$12,BN179-$BS$7+$AD$12),IF(BN179-$BS$7&gt;150,BN179-$BS$7-1000+$AD$17,BN179-$BS$7+$AD$17)),IF(BN179-$BS$7&gt;150,BN179-$BS$7-1000,BN179-$BS$7)),"-"))</f>
        <v>-</v>
      </c>
      <c r="BQ179" s="173">
        <f t="shared" si="61"/>
        <v>11321</v>
      </c>
      <c r="BR179" s="453"/>
      <c r="BS179" s="171"/>
      <c r="BT179" s="464" t="str">
        <f t="shared" si="62"/>
        <v>-</v>
      </c>
      <c r="BU179" s="464" t="str">
        <f t="shared" si="63"/>
        <v>-</v>
      </c>
      <c r="BX179" s="204">
        <f>COUNTIF($BY$4:BY179,"&lt;100")</f>
        <v>0</v>
      </c>
      <c r="BY179" s="213" t="str">
        <f t="shared" si="71"/>
        <v/>
      </c>
      <c r="BZ179" s="216" t="str">
        <f t="shared" si="72"/>
        <v/>
      </c>
      <c r="CA179" s="213" t="e">
        <f t="shared" si="59"/>
        <v>#N/A</v>
      </c>
      <c r="CB179" s="209" t="e">
        <f t="shared" si="60"/>
        <v>#N/A</v>
      </c>
      <c r="CC179" s="205" t="str">
        <f t="shared" si="65"/>
        <v/>
      </c>
      <c r="CD179" s="205" t="str">
        <f t="shared" si="73"/>
        <v>-</v>
      </c>
      <c r="CE179" s="204">
        <f t="shared" si="74"/>
        <v>0</v>
      </c>
      <c r="CG179" s="20" t="str">
        <f t="shared" ref="CG179:CG210" si="75">T67</f>
        <v/>
      </c>
    </row>
    <row r="180" spans="36:85" ht="21">
      <c r="AJ180"/>
      <c r="AK180"/>
      <c r="AL180"/>
      <c r="AM180" s="87"/>
      <c r="AN180" s="87"/>
      <c r="AO180" s="14" t="str">
        <f>IF(R77="","",COUNTA($R$3:R77)+$AO$105)</f>
        <v/>
      </c>
      <c r="AP180" s="88" t="str">
        <f>IF(AO180="","",IF(AO180+Расчет!$Y$57+$BD$2-Расчет!$X$57&gt;200,AO180+Расчет!$Y$57+$BD$2-1000,AO180+Расчет!$Y$57+$BD$2))</f>
        <v/>
      </c>
      <c r="BL180" s="172">
        <f>COUNTIF($BM$5:BM180,"&lt;-115")</f>
        <v>0</v>
      </c>
      <c r="BM180" s="154" t="str">
        <f>IFERROR(IF(OR(IFERROR(VLOOKUP(BN180,$E$3:$E$105,1,FALSE),"0")=BN180,IFERROR(VLOOKUP(BN180,$R$3:$R$105,1,FALSE),"0")=BN180),BO180,IF(OR(VLOOKUP(BN180,Расчет!A:E,5,FALSE)="2PS",VLOOKUP(BN180,Расчет!A:E,5,FALSE)="2QL"),IF(VLOOKUP(BN180,Расчет!A:B,2,FALSE)="831W",BN180-$BS$7+$AD$17,BN180-$BS$7+$AD$12),BN180-$BS$7)),"-")</f>
        <v>-</v>
      </c>
      <c r="BN180" s="154">
        <f>IF(OR(Расчет!C177="A0",Расчет!C177="P9",Расчет!B177="722W"),"-",Расчет!A177)</f>
        <v>11322</v>
      </c>
      <c r="BO180" s="173">
        <f t="shared" si="64"/>
        <v>0</v>
      </c>
      <c r="BP180" s="172" t="str">
        <f>IF(BQ180="-","-",IFERROR(IF(OR(VLOOKUP(BN180,Расчет!$A$2:$E$582,5,FALSE)="2PS",VLOOKUP(BN180,Расчет!$A$2:$E$582,5,FALSE)="2QL"),IF(OR(VLOOKUP(BN180,Расчет!$A$2:$E$582,2,FALSE)="664W",VLOOKUP(BN180,Расчет!$A$2:$E$582,2,FALSE)="813W"),IF(BN180-$BS$7&gt;150,BN180-$BS$7-1000+$AD$12,BN180-$BS$7+$AD$12),IF(BN180-$BS$7&gt;150,BN180-$BS$7-1000+$AD$17,BN180-$BS$7+$AD$17)),IF(BN180-$BS$7&gt;150,BN180-$BS$7-1000,BN180-$BS$7)),"-"))</f>
        <v>-</v>
      </c>
      <c r="BQ180" s="173">
        <f t="shared" si="61"/>
        <v>11322</v>
      </c>
      <c r="BR180" s="453"/>
      <c r="BS180" s="171"/>
      <c r="BT180" s="464" t="str">
        <f t="shared" si="62"/>
        <v>-</v>
      </c>
      <c r="BU180" s="464" t="str">
        <f t="shared" si="63"/>
        <v>-</v>
      </c>
      <c r="BX180" s="204">
        <f>COUNTIF($BY$4:BY180,"&lt;100")</f>
        <v>0</v>
      </c>
      <c r="BY180" s="213" t="str">
        <f t="shared" si="71"/>
        <v/>
      </c>
      <c r="BZ180" s="216" t="str">
        <f t="shared" si="72"/>
        <v/>
      </c>
      <c r="CA180" s="213" t="e">
        <f t="shared" si="59"/>
        <v>#N/A</v>
      </c>
      <c r="CB180" s="209" t="e">
        <f t="shared" si="60"/>
        <v>#N/A</v>
      </c>
      <c r="CC180" s="205" t="str">
        <f t="shared" si="65"/>
        <v/>
      </c>
      <c r="CD180" s="205" t="str">
        <f t="shared" si="73"/>
        <v>-</v>
      </c>
      <c r="CE180" s="204">
        <f t="shared" si="74"/>
        <v>0</v>
      </c>
      <c r="CG180" s="20" t="str">
        <f t="shared" si="75"/>
        <v/>
      </c>
    </row>
    <row r="181" spans="36:85" ht="21">
      <c r="AJ181"/>
      <c r="AK181"/>
      <c r="AL181"/>
      <c r="AM181" s="87"/>
      <c r="AN181" s="87"/>
      <c r="AO181" s="14" t="str">
        <f>IF(R78="","",COUNTA($R$3:R78)+$AO$105)</f>
        <v/>
      </c>
      <c r="AP181" s="88" t="str">
        <f>IF(AO181="","",IF(AO181+Расчет!$Y$57+$BD$2-Расчет!$X$57&gt;200,AO181+Расчет!$Y$57+$BD$2-1000,AO181+Расчет!$Y$57+$BD$2))</f>
        <v/>
      </c>
      <c r="BL181" s="172">
        <f>COUNTIF($BM$5:BM181,"&lt;-115")</f>
        <v>0</v>
      </c>
      <c r="BM181" s="154" t="str">
        <f>IFERROR(IF(OR(IFERROR(VLOOKUP(BN181,$E$3:$E$105,1,FALSE),"0")=BN181,IFERROR(VLOOKUP(BN181,$R$3:$R$105,1,FALSE),"0")=BN181),BO181,IF(OR(VLOOKUP(BN181,Расчет!A:E,5,FALSE)="2PS",VLOOKUP(BN181,Расчет!A:E,5,FALSE)="2QL"),IF(VLOOKUP(BN181,Расчет!A:B,2,FALSE)="831W",BN181-$BS$7+$AD$17,BN181-$BS$7+$AD$12),BN181-$BS$7)),"-")</f>
        <v>-</v>
      </c>
      <c r="BN181" s="154">
        <f>IF(OR(Расчет!C178="A0",Расчет!C178="P9",Расчет!B178="722W"),"-",Расчет!A178)</f>
        <v>11323</v>
      </c>
      <c r="BO181" s="173">
        <f t="shared" si="64"/>
        <v>0</v>
      </c>
      <c r="BP181" s="172" t="str">
        <f>IF(BQ181="-","-",IFERROR(IF(OR(VLOOKUP(BN181,Расчет!$A$2:$E$582,5,FALSE)="2PS",VLOOKUP(BN181,Расчет!$A$2:$E$582,5,FALSE)="2QL"),IF(OR(VLOOKUP(BN181,Расчет!$A$2:$E$582,2,FALSE)="664W",VLOOKUP(BN181,Расчет!$A$2:$E$582,2,FALSE)="813W"),IF(BN181-$BS$7&gt;150,BN181-$BS$7-1000+$AD$12,BN181-$BS$7+$AD$12),IF(BN181-$BS$7&gt;150,BN181-$BS$7-1000+$AD$17,BN181-$BS$7+$AD$17)),IF(BN181-$BS$7&gt;150,BN181-$BS$7-1000,BN181-$BS$7)),"-"))</f>
        <v>-</v>
      </c>
      <c r="BQ181" s="173">
        <f t="shared" si="61"/>
        <v>11323</v>
      </c>
      <c r="BR181" s="453"/>
      <c r="BS181" s="171"/>
      <c r="BT181" s="464" t="str">
        <f t="shared" si="62"/>
        <v>-</v>
      </c>
      <c r="BU181" s="464" t="str">
        <f t="shared" si="63"/>
        <v>-</v>
      </c>
      <c r="BX181" s="204">
        <f>COUNTIF($BY$4:BY181,"&lt;100")</f>
        <v>0</v>
      </c>
      <c r="BY181" s="213" t="str">
        <f t="shared" si="71"/>
        <v/>
      </c>
      <c r="BZ181" s="216" t="str">
        <f t="shared" si="72"/>
        <v/>
      </c>
      <c r="CA181" s="213" t="e">
        <f t="shared" si="59"/>
        <v>#N/A</v>
      </c>
      <c r="CB181" s="209" t="e">
        <f t="shared" si="60"/>
        <v>#N/A</v>
      </c>
      <c r="CC181" s="205" t="str">
        <f t="shared" si="65"/>
        <v/>
      </c>
      <c r="CD181" s="205" t="str">
        <f t="shared" si="73"/>
        <v>-</v>
      </c>
      <c r="CE181" s="204">
        <f t="shared" si="74"/>
        <v>0</v>
      </c>
      <c r="CG181" s="20" t="str">
        <f t="shared" si="75"/>
        <v/>
      </c>
    </row>
    <row r="182" spans="36:85" ht="21">
      <c r="AJ182"/>
      <c r="AK182"/>
      <c r="AL182"/>
      <c r="AM182" s="87"/>
      <c r="AN182" s="87"/>
      <c r="AO182" s="14" t="str">
        <f>IF(R79="","",COUNTA($R$3:R79)+$AO$105)</f>
        <v/>
      </c>
      <c r="AP182" s="88" t="str">
        <f>IF(AO182="","",IF(AO182+Расчет!$Y$57+$BD$2-Расчет!$X$57&gt;200,AO182+Расчет!$Y$57+$BD$2-1000,AO182+Расчет!$Y$57+$BD$2))</f>
        <v/>
      </c>
      <c r="BL182" s="172">
        <f>COUNTIF($BM$5:BM182,"&lt;-115")</f>
        <v>0</v>
      </c>
      <c r="BM182" s="154" t="str">
        <f>IFERROR(IF(OR(IFERROR(VLOOKUP(BN182,$E$3:$E$105,1,FALSE),"0")=BN182,IFERROR(VLOOKUP(BN182,$R$3:$R$105,1,FALSE),"0")=BN182),BO182,IF(OR(VLOOKUP(BN182,Расчет!A:E,5,FALSE)="2PS",VLOOKUP(BN182,Расчет!A:E,5,FALSE)="2QL"),IF(VLOOKUP(BN182,Расчет!A:B,2,FALSE)="831W",BN182-$BS$7+$AD$17,BN182-$BS$7+$AD$12),BN182-$BS$7)),"-")</f>
        <v>-</v>
      </c>
      <c r="BN182" s="154">
        <f>IF(OR(Расчет!C179="A0",Расчет!C179="P9",Расчет!B179="722W"),"-",Расчет!A179)</f>
        <v>11324</v>
      </c>
      <c r="BO182" s="173">
        <f t="shared" si="64"/>
        <v>0</v>
      </c>
      <c r="BP182" s="172" t="str">
        <f>IF(BQ182="-","-",IFERROR(IF(OR(VLOOKUP(BN182,Расчет!$A$2:$E$582,5,FALSE)="2PS",VLOOKUP(BN182,Расчет!$A$2:$E$582,5,FALSE)="2QL"),IF(OR(VLOOKUP(BN182,Расчет!$A$2:$E$582,2,FALSE)="664W",VLOOKUP(BN182,Расчет!$A$2:$E$582,2,FALSE)="813W"),IF(BN182-$BS$7&gt;150,BN182-$BS$7-1000+$AD$12,BN182-$BS$7+$AD$12),IF(BN182-$BS$7&gt;150,BN182-$BS$7-1000+$AD$17,BN182-$BS$7+$AD$17)),IF(BN182-$BS$7&gt;150,BN182-$BS$7-1000,BN182-$BS$7)),"-"))</f>
        <v>-</v>
      </c>
      <c r="BQ182" s="173">
        <f t="shared" si="61"/>
        <v>11324</v>
      </c>
      <c r="BR182" s="453"/>
      <c r="BS182" s="171"/>
      <c r="BT182" s="464" t="str">
        <f t="shared" si="62"/>
        <v>-</v>
      </c>
      <c r="BU182" s="464" t="str">
        <f t="shared" si="63"/>
        <v>-</v>
      </c>
      <c r="BX182" s="204">
        <f>COUNTIF($BY$4:BY182,"&lt;100")</f>
        <v>0</v>
      </c>
      <c r="BY182" s="213" t="str">
        <f t="shared" si="71"/>
        <v/>
      </c>
      <c r="BZ182" s="216" t="str">
        <f t="shared" si="72"/>
        <v/>
      </c>
      <c r="CA182" s="213" t="e">
        <f t="shared" si="59"/>
        <v>#N/A</v>
      </c>
      <c r="CB182" s="209" t="e">
        <f t="shared" si="60"/>
        <v>#N/A</v>
      </c>
      <c r="CC182" s="205" t="str">
        <f t="shared" si="65"/>
        <v/>
      </c>
      <c r="CD182" s="205" t="str">
        <f t="shared" si="73"/>
        <v>-</v>
      </c>
      <c r="CE182" s="204">
        <f t="shared" si="74"/>
        <v>0</v>
      </c>
      <c r="CG182" s="20" t="str">
        <f t="shared" si="75"/>
        <v/>
      </c>
    </row>
    <row r="183" spans="36:85" ht="21">
      <c r="AJ183"/>
      <c r="AK183"/>
      <c r="AL183"/>
      <c r="AM183" s="87"/>
      <c r="AN183" s="87"/>
      <c r="AO183" s="14" t="str">
        <f>IF(R80="","",COUNTA($R$3:R80)+$AO$105)</f>
        <v/>
      </c>
      <c r="AP183" s="88" t="str">
        <f>IF(AO183="","",IF(AO183+Расчет!$Y$57+$BD$2-Расчет!$X$57&gt;200,AO183+Расчет!$Y$57+$BD$2-1000,AO183+Расчет!$Y$57+$BD$2))</f>
        <v/>
      </c>
      <c r="BL183" s="172">
        <f>COUNTIF($BM$5:BM183,"&lt;-115")</f>
        <v>0</v>
      </c>
      <c r="BM183" s="154" t="str">
        <f>IFERROR(IF(OR(IFERROR(VLOOKUP(BN183,$E$3:$E$105,1,FALSE),"0")=BN183,IFERROR(VLOOKUP(BN183,$R$3:$R$105,1,FALSE),"0")=BN183),BO183,IF(OR(VLOOKUP(BN183,Расчет!A:E,5,FALSE)="2PS",VLOOKUP(BN183,Расчет!A:E,5,FALSE)="2QL"),IF(VLOOKUP(BN183,Расчет!A:B,2,FALSE)="831W",BN183-$BS$7+$AD$17,BN183-$BS$7+$AD$12),BN183-$BS$7)),"-")</f>
        <v>-</v>
      </c>
      <c r="BN183" s="154">
        <f>IF(OR(Расчет!C180="A0",Расчет!C180="P9",Расчет!B180="722W"),"-",Расчет!A180)</f>
        <v>11325</v>
      </c>
      <c r="BO183" s="173">
        <f t="shared" si="64"/>
        <v>0</v>
      </c>
      <c r="BP183" s="172" t="str">
        <f>IF(BQ183="-","-",IFERROR(IF(OR(VLOOKUP(BN183,Расчет!$A$2:$E$582,5,FALSE)="2PS",VLOOKUP(BN183,Расчет!$A$2:$E$582,5,FALSE)="2QL"),IF(OR(VLOOKUP(BN183,Расчет!$A$2:$E$582,2,FALSE)="664W",VLOOKUP(BN183,Расчет!$A$2:$E$582,2,FALSE)="813W"),IF(BN183-$BS$7&gt;150,BN183-$BS$7-1000+$AD$12,BN183-$BS$7+$AD$12),IF(BN183-$BS$7&gt;150,BN183-$BS$7-1000+$AD$17,BN183-$BS$7+$AD$17)),IF(BN183-$BS$7&gt;150,BN183-$BS$7-1000,BN183-$BS$7)),"-"))</f>
        <v>-</v>
      </c>
      <c r="BQ183" s="173">
        <f t="shared" si="61"/>
        <v>11325</v>
      </c>
      <c r="BR183" s="453"/>
      <c r="BS183" s="171"/>
      <c r="BT183" s="464" t="str">
        <f t="shared" si="62"/>
        <v>-</v>
      </c>
      <c r="BU183" s="464" t="str">
        <f t="shared" si="63"/>
        <v>-</v>
      </c>
      <c r="BX183" s="204">
        <f>COUNTIF($BY$4:BY183,"&lt;100")</f>
        <v>0</v>
      </c>
      <c r="BY183" s="213" t="str">
        <f t="shared" si="71"/>
        <v/>
      </c>
      <c r="BZ183" s="216" t="str">
        <f t="shared" si="72"/>
        <v/>
      </c>
      <c r="CA183" s="213" t="e">
        <f t="shared" si="59"/>
        <v>#N/A</v>
      </c>
      <c r="CB183" s="209" t="e">
        <f t="shared" si="60"/>
        <v>#N/A</v>
      </c>
      <c r="CC183" s="205" t="str">
        <f t="shared" si="65"/>
        <v/>
      </c>
      <c r="CD183" s="205" t="str">
        <f t="shared" si="73"/>
        <v>-</v>
      </c>
      <c r="CE183" s="204">
        <f t="shared" si="74"/>
        <v>0</v>
      </c>
      <c r="CG183" s="20" t="str">
        <f t="shared" si="75"/>
        <v/>
      </c>
    </row>
    <row r="184" spans="36:85" ht="21">
      <c r="AJ184"/>
      <c r="AK184"/>
      <c r="AL184"/>
      <c r="AM184" s="87"/>
      <c r="AN184" s="87"/>
      <c r="AO184" s="14" t="str">
        <f>IF(R81="","",COUNTA($R$3:R81)+$AO$105)</f>
        <v/>
      </c>
      <c r="AP184" s="88" t="str">
        <f>IF(AO184="","",IF(AO184+Расчет!$Y$57+$BD$2-Расчет!$X$57&gt;200,AO184+Расчет!$Y$57+$BD$2-1000,AO184+Расчет!$Y$57+$BD$2))</f>
        <v/>
      </c>
      <c r="BL184" s="172">
        <f>COUNTIF($BM$5:BM184,"&lt;-115")</f>
        <v>0</v>
      </c>
      <c r="BM184" s="154" t="str">
        <f>IFERROR(IF(OR(IFERROR(VLOOKUP(BN184,$E$3:$E$105,1,FALSE),"0")=BN184,IFERROR(VLOOKUP(BN184,$R$3:$R$105,1,FALSE),"0")=BN184),BO184,IF(OR(VLOOKUP(BN184,Расчет!A:E,5,FALSE)="2PS",VLOOKUP(BN184,Расчет!A:E,5,FALSE)="2QL"),IF(VLOOKUP(BN184,Расчет!A:B,2,FALSE)="831W",BN184-$BS$7+$AD$17,BN184-$BS$7+$AD$12),BN184-$BS$7)),"-")</f>
        <v>-</v>
      </c>
      <c r="BN184" s="154">
        <f>IF(OR(Расчет!C181="A0",Расчет!C181="P9",Расчет!B181="722W"),"-",Расчет!A181)</f>
        <v>11326</v>
      </c>
      <c r="BO184" s="173">
        <f t="shared" si="64"/>
        <v>0</v>
      </c>
      <c r="BP184" s="172" t="str">
        <f>IF(BQ184="-","-",IFERROR(IF(OR(VLOOKUP(BN184,Расчет!$A$2:$E$582,5,FALSE)="2PS",VLOOKUP(BN184,Расчет!$A$2:$E$582,5,FALSE)="2QL"),IF(OR(VLOOKUP(BN184,Расчет!$A$2:$E$582,2,FALSE)="664W",VLOOKUP(BN184,Расчет!$A$2:$E$582,2,FALSE)="813W"),IF(BN184-$BS$7&gt;150,BN184-$BS$7-1000+$AD$12,BN184-$BS$7+$AD$12),IF(BN184-$BS$7&gt;150,BN184-$BS$7-1000+$AD$17,BN184-$BS$7+$AD$17)),IF(BN184-$BS$7&gt;150,BN184-$BS$7-1000,BN184-$BS$7)),"-"))</f>
        <v>-</v>
      </c>
      <c r="BQ184" s="173">
        <f t="shared" si="61"/>
        <v>11326</v>
      </c>
      <c r="BR184" s="453"/>
      <c r="BS184" s="171"/>
      <c r="BT184" s="464" t="str">
        <f t="shared" si="62"/>
        <v>-</v>
      </c>
      <c r="BU184" s="464" t="str">
        <f t="shared" si="63"/>
        <v>-</v>
      </c>
      <c r="BX184" s="204">
        <f>COUNTIF($BY$4:BY184,"&lt;100")</f>
        <v>0</v>
      </c>
      <c r="BY184" s="213" t="str">
        <f t="shared" si="71"/>
        <v/>
      </c>
      <c r="BZ184" s="216" t="str">
        <f t="shared" si="72"/>
        <v/>
      </c>
      <c r="CA184" s="213" t="e">
        <f t="shared" si="59"/>
        <v>#N/A</v>
      </c>
      <c r="CB184" s="209" t="e">
        <f t="shared" si="60"/>
        <v>#N/A</v>
      </c>
      <c r="CC184" s="205" t="str">
        <f t="shared" si="65"/>
        <v/>
      </c>
      <c r="CD184" s="205" t="str">
        <f t="shared" si="73"/>
        <v>-</v>
      </c>
      <c r="CE184" s="204">
        <f t="shared" si="74"/>
        <v>0</v>
      </c>
      <c r="CG184" s="20" t="str">
        <f t="shared" si="75"/>
        <v/>
      </c>
    </row>
    <row r="185" spans="36:85" ht="21">
      <c r="AJ185"/>
      <c r="AK185"/>
      <c r="AL185"/>
      <c r="AM185" s="87"/>
      <c r="AN185" s="87"/>
      <c r="AO185" s="14" t="str">
        <f>IF(R82="","",COUNTA($R$3:R82)+$AO$105)</f>
        <v/>
      </c>
      <c r="AP185" s="88" t="str">
        <f>IF(AO185="","",IF(AO185+Расчет!$Y$57+$BD$2-Расчет!$X$57&gt;200,AO185+Расчет!$Y$57+$BD$2-1000,AO185+Расчет!$Y$57+$BD$2))</f>
        <v/>
      </c>
      <c r="BL185" s="172">
        <f>COUNTIF($BM$5:BM185,"&lt;-115")</f>
        <v>0</v>
      </c>
      <c r="BM185" s="154" t="str">
        <f>IFERROR(IF(OR(IFERROR(VLOOKUP(BN185,$E$3:$E$105,1,FALSE),"0")=BN185,IFERROR(VLOOKUP(BN185,$R$3:$R$105,1,FALSE),"0")=BN185),BO185,IF(OR(VLOOKUP(BN185,Расчет!A:E,5,FALSE)="2PS",VLOOKUP(BN185,Расчет!A:E,5,FALSE)="2QL"),IF(VLOOKUP(BN185,Расчет!A:B,2,FALSE)="831W",BN185-$BS$7+$AD$17,BN185-$BS$7+$AD$12),BN185-$BS$7)),"-")</f>
        <v>-</v>
      </c>
      <c r="BN185" s="154">
        <f>IF(OR(Расчет!C182="A0",Расчет!C182="P9",Расчет!B182="722W"),"-",Расчет!A182)</f>
        <v>11327</v>
      </c>
      <c r="BO185" s="173">
        <f t="shared" si="64"/>
        <v>0</v>
      </c>
      <c r="BP185" s="172" t="str">
        <f>IF(BQ185="-","-",IFERROR(IF(OR(VLOOKUP(BN185,Расчет!$A$2:$E$582,5,FALSE)="2PS",VLOOKUP(BN185,Расчет!$A$2:$E$582,5,FALSE)="2QL"),IF(OR(VLOOKUP(BN185,Расчет!$A$2:$E$582,2,FALSE)="664W",VLOOKUP(BN185,Расчет!$A$2:$E$582,2,FALSE)="813W"),IF(BN185-$BS$7&gt;150,BN185-$BS$7-1000+$AD$12,BN185-$BS$7+$AD$12),IF(BN185-$BS$7&gt;150,BN185-$BS$7-1000+$AD$17,BN185-$BS$7+$AD$17)),IF(BN185-$BS$7&gt;150,BN185-$BS$7-1000,BN185-$BS$7)),"-"))</f>
        <v>-</v>
      </c>
      <c r="BQ185" s="173">
        <f t="shared" si="61"/>
        <v>11327</v>
      </c>
      <c r="BR185" s="453"/>
      <c r="BS185" s="171"/>
      <c r="BT185" s="464" t="str">
        <f t="shared" si="62"/>
        <v>-</v>
      </c>
      <c r="BU185" s="464" t="str">
        <f t="shared" si="63"/>
        <v>-</v>
      </c>
      <c r="BX185" s="204">
        <f>COUNTIF($BY$4:BY185,"&lt;100")</f>
        <v>0</v>
      </c>
      <c r="BY185" s="213" t="str">
        <f t="shared" si="71"/>
        <v/>
      </c>
      <c r="BZ185" s="216" t="str">
        <f t="shared" si="72"/>
        <v/>
      </c>
      <c r="CA185" s="213" t="e">
        <f t="shared" si="59"/>
        <v>#N/A</v>
      </c>
      <c r="CB185" s="209" t="e">
        <f t="shared" si="60"/>
        <v>#N/A</v>
      </c>
      <c r="CC185" s="205" t="str">
        <f t="shared" si="65"/>
        <v/>
      </c>
      <c r="CD185" s="205" t="str">
        <f t="shared" si="73"/>
        <v>-</v>
      </c>
      <c r="CE185" s="204">
        <f t="shared" si="74"/>
        <v>0</v>
      </c>
      <c r="CG185" s="20" t="str">
        <f t="shared" si="75"/>
        <v/>
      </c>
    </row>
    <row r="186" spans="36:85" ht="21">
      <c r="AJ186"/>
      <c r="AK186"/>
      <c r="AL186"/>
      <c r="AM186" s="87"/>
      <c r="AN186" s="87"/>
      <c r="AO186" s="14" t="str">
        <f>IF(R83="","",COUNTA($R$3:R83)+$AO$105)</f>
        <v/>
      </c>
      <c r="AP186" s="88" t="str">
        <f>IF(AO186="","",IF(AO186+Расчет!$Y$57+$BD$2-Расчет!$X$57&gt;200,AO186+Расчет!$Y$57+$BD$2-1000,AO186+Расчет!$Y$57+$BD$2))</f>
        <v/>
      </c>
      <c r="BL186" s="172">
        <f>COUNTIF($BM$5:BM186,"&lt;-115")</f>
        <v>0</v>
      </c>
      <c r="BM186" s="154" t="str">
        <f>IFERROR(IF(OR(IFERROR(VLOOKUP(BN186,$E$3:$E$105,1,FALSE),"0")=BN186,IFERROR(VLOOKUP(BN186,$R$3:$R$105,1,FALSE),"0")=BN186),BO186,IF(OR(VLOOKUP(BN186,Расчет!A:E,5,FALSE)="2PS",VLOOKUP(BN186,Расчет!A:E,5,FALSE)="2QL"),IF(VLOOKUP(BN186,Расчет!A:B,2,FALSE)="831W",BN186-$BS$7+$AD$17,BN186-$BS$7+$AD$12),BN186-$BS$7)),"-")</f>
        <v>-</v>
      </c>
      <c r="BN186" s="154">
        <f>IF(OR(Расчет!C183="A0",Расчет!C183="P9",Расчет!B183="722W"),"-",Расчет!A183)</f>
        <v>11328</v>
      </c>
      <c r="BO186" s="173">
        <f t="shared" si="64"/>
        <v>0</v>
      </c>
      <c r="BP186" s="172" t="str">
        <f>IF(BQ186="-","-",IFERROR(IF(OR(VLOOKUP(BN186,Расчет!$A$2:$E$582,5,FALSE)="2PS",VLOOKUP(BN186,Расчет!$A$2:$E$582,5,FALSE)="2QL"),IF(OR(VLOOKUP(BN186,Расчет!$A$2:$E$582,2,FALSE)="664W",VLOOKUP(BN186,Расчет!$A$2:$E$582,2,FALSE)="813W"),IF(BN186-$BS$7&gt;150,BN186-$BS$7-1000+$AD$12,BN186-$BS$7+$AD$12),IF(BN186-$BS$7&gt;150,BN186-$BS$7-1000+$AD$17,BN186-$BS$7+$AD$17)),IF(BN186-$BS$7&gt;150,BN186-$BS$7-1000,BN186-$BS$7)),"-"))</f>
        <v>-</v>
      </c>
      <c r="BQ186" s="173">
        <f t="shared" si="61"/>
        <v>11328</v>
      </c>
      <c r="BR186" s="453"/>
      <c r="BS186" s="171"/>
      <c r="BT186" s="464" t="str">
        <f t="shared" si="62"/>
        <v>-</v>
      </c>
      <c r="BU186" s="464" t="str">
        <f t="shared" si="63"/>
        <v>-</v>
      </c>
      <c r="BX186" s="204">
        <f>COUNTIF($BY$4:BY186,"&lt;100")</f>
        <v>0</v>
      </c>
      <c r="BY186" s="213" t="str">
        <f t="shared" si="71"/>
        <v/>
      </c>
      <c r="BZ186" s="216" t="str">
        <f t="shared" si="72"/>
        <v/>
      </c>
      <c r="CA186" s="213" t="e">
        <f t="shared" si="59"/>
        <v>#N/A</v>
      </c>
      <c r="CB186" s="209" t="e">
        <f t="shared" si="60"/>
        <v>#N/A</v>
      </c>
      <c r="CC186" s="205" t="str">
        <f t="shared" si="65"/>
        <v/>
      </c>
      <c r="CD186" s="205" t="str">
        <f t="shared" si="73"/>
        <v>-</v>
      </c>
      <c r="CE186" s="204">
        <f t="shared" si="74"/>
        <v>0</v>
      </c>
      <c r="CG186" s="20" t="str">
        <f t="shared" si="75"/>
        <v/>
      </c>
    </row>
    <row r="187" spans="36:85" ht="21">
      <c r="AJ187"/>
      <c r="AK187"/>
      <c r="AL187"/>
      <c r="AM187" s="87"/>
      <c r="AN187" s="87"/>
      <c r="AO187" s="14" t="str">
        <f>IF(R84="","",COUNTA($R$3:R84)+$AO$105)</f>
        <v/>
      </c>
      <c r="AP187" s="88" t="str">
        <f>IF(AO187="","",IF(AO187+Расчет!$Y$57+$BD$2-Расчет!$X$57&gt;200,AO187+Расчет!$Y$57+$BD$2-1000,AO187+Расчет!$Y$57+$BD$2))</f>
        <v/>
      </c>
      <c r="BL187" s="172">
        <f>COUNTIF($BM$5:BM187,"&lt;-115")</f>
        <v>0</v>
      </c>
      <c r="BM187" s="154" t="str">
        <f>IFERROR(IF(OR(IFERROR(VLOOKUP(BN187,$E$3:$E$105,1,FALSE),"0")=BN187,IFERROR(VLOOKUP(BN187,$R$3:$R$105,1,FALSE),"0")=BN187),BO187,IF(OR(VLOOKUP(BN187,Расчет!A:E,5,FALSE)="2PS",VLOOKUP(BN187,Расчет!A:E,5,FALSE)="2QL"),IF(VLOOKUP(BN187,Расчет!A:B,2,FALSE)="831W",BN187-$BS$7+$AD$17,BN187-$BS$7+$AD$12),BN187-$BS$7)),"-")</f>
        <v>-</v>
      </c>
      <c r="BN187" s="154">
        <f>IF(OR(Расчет!C184="A0",Расчет!C184="P9",Расчет!B184="722W"),"-",Расчет!A184)</f>
        <v>11329</v>
      </c>
      <c r="BO187" s="173">
        <f t="shared" si="64"/>
        <v>0</v>
      </c>
      <c r="BP187" s="172" t="str">
        <f>IF(BQ187="-","-",IFERROR(IF(OR(VLOOKUP(BN187,Расчет!$A$2:$E$582,5,FALSE)="2PS",VLOOKUP(BN187,Расчет!$A$2:$E$582,5,FALSE)="2QL"),IF(OR(VLOOKUP(BN187,Расчет!$A$2:$E$582,2,FALSE)="664W",VLOOKUP(BN187,Расчет!$A$2:$E$582,2,FALSE)="813W"),IF(BN187-$BS$7&gt;150,BN187-$BS$7-1000+$AD$12,BN187-$BS$7+$AD$12),IF(BN187-$BS$7&gt;150,BN187-$BS$7-1000+$AD$17,BN187-$BS$7+$AD$17)),IF(BN187-$BS$7&gt;150,BN187-$BS$7-1000,BN187-$BS$7)),"-"))</f>
        <v>-</v>
      </c>
      <c r="BQ187" s="173">
        <f t="shared" si="61"/>
        <v>11329</v>
      </c>
      <c r="BR187" s="453"/>
      <c r="BS187" s="171"/>
      <c r="BT187" s="464" t="str">
        <f t="shared" si="62"/>
        <v>-</v>
      </c>
      <c r="BU187" s="464" t="str">
        <f t="shared" si="63"/>
        <v>-</v>
      </c>
      <c r="BX187" s="204">
        <f>COUNTIF($BY$4:BY187,"&lt;100")</f>
        <v>0</v>
      </c>
      <c r="BY187" s="213" t="str">
        <f t="shared" si="71"/>
        <v/>
      </c>
      <c r="BZ187" s="216" t="str">
        <f t="shared" si="72"/>
        <v/>
      </c>
      <c r="CA187" s="213" t="e">
        <f t="shared" si="59"/>
        <v>#N/A</v>
      </c>
      <c r="CB187" s="209" t="e">
        <f t="shared" si="60"/>
        <v>#N/A</v>
      </c>
      <c r="CC187" s="205" t="str">
        <f t="shared" si="65"/>
        <v/>
      </c>
      <c r="CD187" s="205" t="str">
        <f t="shared" si="73"/>
        <v>-</v>
      </c>
      <c r="CE187" s="204">
        <f t="shared" si="74"/>
        <v>0</v>
      </c>
      <c r="CG187" s="20" t="str">
        <f t="shared" si="75"/>
        <v/>
      </c>
    </row>
    <row r="188" spans="36:85" ht="21">
      <c r="AJ188"/>
      <c r="AK188"/>
      <c r="AL188"/>
      <c r="AM188" s="87"/>
      <c r="AN188" s="87"/>
      <c r="AO188" s="14" t="str">
        <f>IF(R85="","",COUNTA($R$3:R85)+$AO$105)</f>
        <v/>
      </c>
      <c r="AP188" s="88" t="str">
        <f>IF(AO188="","",IF(AO188+Расчет!$Y$57+$BD$2-Расчет!$X$57&gt;200,AO188+Расчет!$Y$57+$BD$2-1000,AO188+Расчет!$Y$57+$BD$2))</f>
        <v/>
      </c>
      <c r="BL188" s="172">
        <f>COUNTIF($BM$5:BM188,"&lt;-115")</f>
        <v>0</v>
      </c>
      <c r="BM188" s="154" t="str">
        <f>IFERROR(IF(OR(IFERROR(VLOOKUP(BN188,$E$3:$E$105,1,FALSE),"0")=BN188,IFERROR(VLOOKUP(BN188,$R$3:$R$105,1,FALSE),"0")=BN188),BO188,IF(OR(VLOOKUP(BN188,Расчет!A:E,5,FALSE)="2PS",VLOOKUP(BN188,Расчет!A:E,5,FALSE)="2QL"),IF(VLOOKUP(BN188,Расчет!A:B,2,FALSE)="831W",BN188-$BS$7+$AD$17,BN188-$BS$7+$AD$12),BN188-$BS$7)),"-")</f>
        <v>-</v>
      </c>
      <c r="BN188" s="154">
        <f>IF(OR(Расчет!C185="A0",Расчет!C185="P9",Расчет!B185="722W"),"-",Расчет!A185)</f>
        <v>11330</v>
      </c>
      <c r="BO188" s="173">
        <f t="shared" si="64"/>
        <v>0</v>
      </c>
      <c r="BP188" s="172" t="str">
        <f>IF(BQ188="-","-",IFERROR(IF(OR(VLOOKUP(BN188,Расчет!$A$2:$E$582,5,FALSE)="2PS",VLOOKUP(BN188,Расчет!$A$2:$E$582,5,FALSE)="2QL"),IF(OR(VLOOKUP(BN188,Расчет!$A$2:$E$582,2,FALSE)="664W",VLOOKUP(BN188,Расчет!$A$2:$E$582,2,FALSE)="813W"),IF(BN188-$BS$7&gt;150,BN188-$BS$7-1000+$AD$12,BN188-$BS$7+$AD$12),IF(BN188-$BS$7&gt;150,BN188-$BS$7-1000+$AD$17,BN188-$BS$7+$AD$17)),IF(BN188-$BS$7&gt;150,BN188-$BS$7-1000,BN188-$BS$7)),"-"))</f>
        <v>-</v>
      </c>
      <c r="BQ188" s="173">
        <f t="shared" si="61"/>
        <v>11330</v>
      </c>
      <c r="BR188" s="453"/>
      <c r="BS188" s="171"/>
      <c r="BT188" s="464" t="str">
        <f t="shared" si="62"/>
        <v>-</v>
      </c>
      <c r="BU188" s="464" t="str">
        <f t="shared" si="63"/>
        <v>-</v>
      </c>
      <c r="BX188" s="204">
        <f>COUNTIF($BY$4:BY188,"&lt;100")</f>
        <v>0</v>
      </c>
      <c r="BY188" s="213" t="str">
        <f t="shared" si="71"/>
        <v/>
      </c>
      <c r="BZ188" s="216" t="str">
        <f t="shared" si="72"/>
        <v/>
      </c>
      <c r="CA188" s="213" t="e">
        <f t="shared" si="59"/>
        <v>#N/A</v>
      </c>
      <c r="CB188" s="209" t="e">
        <f t="shared" si="60"/>
        <v>#N/A</v>
      </c>
      <c r="CC188" s="205" t="str">
        <f t="shared" si="65"/>
        <v/>
      </c>
      <c r="CD188" s="205" t="str">
        <f t="shared" si="73"/>
        <v>-</v>
      </c>
      <c r="CE188" s="204">
        <f t="shared" si="74"/>
        <v>0</v>
      </c>
      <c r="CG188" s="20" t="str">
        <f t="shared" si="75"/>
        <v/>
      </c>
    </row>
    <row r="189" spans="36:85" ht="21">
      <c r="AJ189"/>
      <c r="AK189"/>
      <c r="AL189"/>
      <c r="AM189" s="87"/>
      <c r="AN189" s="87"/>
      <c r="AO189" s="14" t="str">
        <f>IF(R86="","",COUNTA($R$3:R86)+$AO$105)</f>
        <v/>
      </c>
      <c r="AP189" s="88" t="str">
        <f>IF(AO189="","",IF(AO189+Расчет!$Y$57+$BD$2-Расчет!$X$57&gt;200,AO189+Расчет!$Y$57+$BD$2-1000,AO189+Расчет!$Y$57+$BD$2))</f>
        <v/>
      </c>
      <c r="BL189" s="172">
        <f>COUNTIF($BM$5:BM189,"&lt;-115")</f>
        <v>0</v>
      </c>
      <c r="BM189" s="154" t="str">
        <f>IFERROR(IF(OR(IFERROR(VLOOKUP(BN189,$E$3:$E$105,1,FALSE),"0")=BN189,IFERROR(VLOOKUP(BN189,$R$3:$R$105,1,FALSE),"0")=BN189),BO189,IF(OR(VLOOKUP(BN189,Расчет!A:E,5,FALSE)="2PS",VLOOKUP(BN189,Расчет!A:E,5,FALSE)="2QL"),IF(VLOOKUP(BN189,Расчет!A:B,2,FALSE)="831W",BN189-$BS$7+$AD$17,BN189-$BS$7+$AD$12),BN189-$BS$7)),"-")</f>
        <v>-</v>
      </c>
      <c r="BN189" s="154">
        <f>IF(OR(Расчет!C186="A0",Расчет!C186="P9",Расчет!B186="722W"),"-",Расчет!A186)</f>
        <v>11331</v>
      </c>
      <c r="BO189" s="173">
        <f t="shared" si="64"/>
        <v>0</v>
      </c>
      <c r="BP189" s="172" t="str">
        <f>IF(BQ189="-","-",IFERROR(IF(OR(VLOOKUP(BN189,Расчет!$A$2:$E$582,5,FALSE)="2PS",VLOOKUP(BN189,Расчет!$A$2:$E$582,5,FALSE)="2QL"),IF(OR(VLOOKUP(BN189,Расчет!$A$2:$E$582,2,FALSE)="664W",VLOOKUP(BN189,Расчет!$A$2:$E$582,2,FALSE)="813W"),IF(BN189-$BS$7&gt;150,BN189-$BS$7-1000+$AD$12,BN189-$BS$7+$AD$12),IF(BN189-$BS$7&gt;150,BN189-$BS$7-1000+$AD$17,BN189-$BS$7+$AD$17)),IF(BN189-$BS$7&gt;150,BN189-$BS$7-1000,BN189-$BS$7)),"-"))</f>
        <v>-</v>
      </c>
      <c r="BQ189" s="173">
        <f t="shared" si="61"/>
        <v>11331</v>
      </c>
      <c r="BR189" s="453"/>
      <c r="BS189" s="171"/>
      <c r="BT189" s="464" t="str">
        <f t="shared" si="62"/>
        <v>-</v>
      </c>
      <c r="BU189" s="464" t="str">
        <f t="shared" si="63"/>
        <v>-</v>
      </c>
      <c r="BX189" s="204">
        <f>COUNTIF($BY$4:BY189,"&lt;100")</f>
        <v>0</v>
      </c>
      <c r="BY189" s="213" t="str">
        <f t="shared" si="71"/>
        <v/>
      </c>
      <c r="BZ189" s="216" t="str">
        <f t="shared" si="72"/>
        <v/>
      </c>
      <c r="CA189" s="213" t="e">
        <f t="shared" si="59"/>
        <v>#N/A</v>
      </c>
      <c r="CB189" s="209" t="e">
        <f t="shared" si="60"/>
        <v>#N/A</v>
      </c>
      <c r="CC189" s="205" t="str">
        <f t="shared" si="65"/>
        <v/>
      </c>
      <c r="CD189" s="205" t="str">
        <f t="shared" si="73"/>
        <v>-</v>
      </c>
      <c r="CE189" s="204">
        <f t="shared" si="74"/>
        <v>0</v>
      </c>
      <c r="CG189" s="20" t="str">
        <f t="shared" si="75"/>
        <v/>
      </c>
    </row>
    <row r="190" spans="36:85" ht="21">
      <c r="AJ190"/>
      <c r="AK190"/>
      <c r="AL190"/>
      <c r="AM190" s="87"/>
      <c r="AN190" s="87"/>
      <c r="AO190" s="14" t="str">
        <f>IF(R87="","",COUNTA($R$3:R87)+$AO$105)</f>
        <v/>
      </c>
      <c r="AP190" s="88" t="str">
        <f>IF(AO190="","",IF(AO190+Расчет!$Y$57+$BD$2-Расчет!$X$57&gt;200,AO190+Расчет!$Y$57+$BD$2-1000,AO190+Расчет!$Y$57+$BD$2))</f>
        <v/>
      </c>
      <c r="BL190" s="172">
        <f>COUNTIF($BM$5:BM190,"&lt;-115")</f>
        <v>0</v>
      </c>
      <c r="BM190" s="154" t="str">
        <f>IFERROR(IF(OR(IFERROR(VLOOKUP(BN190,$E$3:$E$105,1,FALSE),"0")=BN190,IFERROR(VLOOKUP(BN190,$R$3:$R$105,1,FALSE),"0")=BN190),BO190,IF(OR(VLOOKUP(BN190,Расчет!A:E,5,FALSE)="2PS",VLOOKUP(BN190,Расчет!A:E,5,FALSE)="2QL"),IF(VLOOKUP(BN190,Расчет!A:B,2,FALSE)="831W",BN190-$BS$7+$AD$17,BN190-$BS$7+$AD$12),BN190-$BS$7)),"-")</f>
        <v>-</v>
      </c>
      <c r="BN190" s="154">
        <f>IF(OR(Расчет!C187="A0",Расчет!C187="P9",Расчет!B187="722W"),"-",Расчет!A187)</f>
        <v>11332</v>
      </c>
      <c r="BO190" s="173">
        <f t="shared" si="64"/>
        <v>0</v>
      </c>
      <c r="BP190" s="172" t="str">
        <f>IF(BQ190="-","-",IFERROR(IF(OR(VLOOKUP(BN190,Расчет!$A$2:$E$582,5,FALSE)="2PS",VLOOKUP(BN190,Расчет!$A$2:$E$582,5,FALSE)="2QL"),IF(OR(VLOOKUP(BN190,Расчет!$A$2:$E$582,2,FALSE)="664W",VLOOKUP(BN190,Расчет!$A$2:$E$582,2,FALSE)="813W"),IF(BN190-$BS$7&gt;150,BN190-$BS$7-1000+$AD$12,BN190-$BS$7+$AD$12),IF(BN190-$BS$7&gt;150,BN190-$BS$7-1000+$AD$17,BN190-$BS$7+$AD$17)),IF(BN190-$BS$7&gt;150,BN190-$BS$7-1000,BN190-$BS$7)),"-"))</f>
        <v>-</v>
      </c>
      <c r="BQ190" s="173">
        <f t="shared" si="61"/>
        <v>11332</v>
      </c>
      <c r="BR190" s="453"/>
      <c r="BS190" s="171"/>
      <c r="BT190" s="464" t="str">
        <f t="shared" si="62"/>
        <v>-</v>
      </c>
      <c r="BU190" s="464" t="str">
        <f t="shared" si="63"/>
        <v>-</v>
      </c>
      <c r="BX190" s="204">
        <f>COUNTIF($BY$4:BY190,"&lt;100")</f>
        <v>0</v>
      </c>
      <c r="BY190" s="213" t="str">
        <f t="shared" si="71"/>
        <v/>
      </c>
      <c r="BZ190" s="216" t="str">
        <f t="shared" si="72"/>
        <v/>
      </c>
      <c r="CA190" s="213" t="e">
        <f t="shared" si="59"/>
        <v>#N/A</v>
      </c>
      <c r="CB190" s="209" t="e">
        <f t="shared" si="60"/>
        <v>#N/A</v>
      </c>
      <c r="CC190" s="205" t="str">
        <f t="shared" si="65"/>
        <v/>
      </c>
      <c r="CD190" s="205" t="str">
        <f t="shared" si="73"/>
        <v>-</v>
      </c>
      <c r="CE190" s="204">
        <f t="shared" si="74"/>
        <v>0</v>
      </c>
      <c r="CG190" s="20" t="str">
        <f t="shared" si="75"/>
        <v/>
      </c>
    </row>
    <row r="191" spans="36:85" ht="21">
      <c r="AJ191"/>
      <c r="AK191"/>
      <c r="AL191"/>
      <c r="AM191" s="87"/>
      <c r="AN191" s="87"/>
      <c r="AO191" s="14" t="str">
        <f>IF(R88="","",COUNTA($R$3:R88)+$AO$105)</f>
        <v/>
      </c>
      <c r="AP191" s="88" t="str">
        <f>IF(AO191="","",IF(AO191+Расчет!$Y$57+$BD$2-Расчет!$X$57&gt;200,AO191+Расчет!$Y$57+$BD$2-1000,AO191+Расчет!$Y$57+$BD$2))</f>
        <v/>
      </c>
      <c r="BL191" s="172">
        <f>COUNTIF($BM$5:BM191,"&lt;-115")</f>
        <v>0</v>
      </c>
      <c r="BM191" s="154" t="str">
        <f>IFERROR(IF(OR(IFERROR(VLOOKUP(BN191,$E$3:$E$105,1,FALSE),"0")=BN191,IFERROR(VLOOKUP(BN191,$R$3:$R$105,1,FALSE),"0")=BN191),BO191,IF(OR(VLOOKUP(BN191,Расчет!A:E,5,FALSE)="2PS",VLOOKUP(BN191,Расчет!A:E,5,FALSE)="2QL"),IF(VLOOKUP(BN191,Расчет!A:B,2,FALSE)="831W",BN191-$BS$7+$AD$17,BN191-$BS$7+$AD$12),BN191-$BS$7)),"-")</f>
        <v>-</v>
      </c>
      <c r="BN191" s="154">
        <f>IF(OR(Расчет!C188="A0",Расчет!C188="P9",Расчет!B188="722W"),"-",Расчет!A188)</f>
        <v>11333</v>
      </c>
      <c r="BO191" s="173">
        <f t="shared" si="64"/>
        <v>0</v>
      </c>
      <c r="BP191" s="172" t="str">
        <f>IF(BQ191="-","-",IFERROR(IF(OR(VLOOKUP(BN191,Расчет!$A$2:$E$582,5,FALSE)="2PS",VLOOKUP(BN191,Расчет!$A$2:$E$582,5,FALSE)="2QL"),IF(OR(VLOOKUP(BN191,Расчет!$A$2:$E$582,2,FALSE)="664W",VLOOKUP(BN191,Расчет!$A$2:$E$582,2,FALSE)="813W"),IF(BN191-$BS$7&gt;150,BN191-$BS$7-1000+$AD$12,BN191-$BS$7+$AD$12),IF(BN191-$BS$7&gt;150,BN191-$BS$7-1000+$AD$17,BN191-$BS$7+$AD$17)),IF(BN191-$BS$7&gt;150,BN191-$BS$7-1000,BN191-$BS$7)),"-"))</f>
        <v>-</v>
      </c>
      <c r="BQ191" s="173">
        <f t="shared" si="61"/>
        <v>11333</v>
      </c>
      <c r="BR191" s="453"/>
      <c r="BS191" s="171"/>
      <c r="BT191" s="464" t="str">
        <f t="shared" si="62"/>
        <v>-</v>
      </c>
      <c r="BU191" s="464" t="str">
        <f t="shared" si="63"/>
        <v>-</v>
      </c>
      <c r="BX191" s="204">
        <f>COUNTIF($BY$4:BY191,"&lt;100")</f>
        <v>0</v>
      </c>
      <c r="BY191" s="213" t="str">
        <f t="shared" si="71"/>
        <v/>
      </c>
      <c r="BZ191" s="216" t="str">
        <f t="shared" si="72"/>
        <v/>
      </c>
      <c r="CA191" s="213" t="e">
        <f t="shared" si="59"/>
        <v>#N/A</v>
      </c>
      <c r="CB191" s="209" t="e">
        <f t="shared" si="60"/>
        <v>#N/A</v>
      </c>
      <c r="CC191" s="205" t="str">
        <f t="shared" si="65"/>
        <v/>
      </c>
      <c r="CD191" s="205" t="str">
        <f t="shared" si="73"/>
        <v>-</v>
      </c>
      <c r="CE191" s="204">
        <f t="shared" si="74"/>
        <v>0</v>
      </c>
      <c r="CG191" s="20" t="str">
        <f t="shared" si="75"/>
        <v/>
      </c>
    </row>
    <row r="192" spans="36:85" ht="21">
      <c r="AJ192"/>
      <c r="AK192"/>
      <c r="AL192"/>
      <c r="AM192" s="87"/>
      <c r="AN192" s="87"/>
      <c r="AO192" s="14" t="str">
        <f>IF(R89="","",COUNTA($R$3:R89)+$AO$105)</f>
        <v/>
      </c>
      <c r="AP192" s="88" t="str">
        <f>IF(AO192="","",IF(AO192+Расчет!$Y$57+$BD$2-Расчет!$X$57&gt;200,AO192+Расчет!$Y$57+$BD$2-1000,AO192+Расчет!$Y$57+$BD$2))</f>
        <v/>
      </c>
      <c r="BL192" s="172">
        <f>COUNTIF($BM$5:BM192,"&lt;-115")</f>
        <v>0</v>
      </c>
      <c r="BM192" s="154" t="str">
        <f>IFERROR(IF(OR(IFERROR(VLOOKUP(BN192,$E$3:$E$105,1,FALSE),"0")=BN192,IFERROR(VLOOKUP(BN192,$R$3:$R$105,1,FALSE),"0")=BN192),BO192,IF(OR(VLOOKUP(BN192,Расчет!A:E,5,FALSE)="2PS",VLOOKUP(BN192,Расчет!A:E,5,FALSE)="2QL"),IF(VLOOKUP(BN192,Расчет!A:B,2,FALSE)="831W",BN192-$BS$7+$AD$17,BN192-$BS$7+$AD$12),BN192-$BS$7)),"-")</f>
        <v>-</v>
      </c>
      <c r="BN192" s="154">
        <f>IF(OR(Расчет!C189="A0",Расчет!C189="P9",Расчет!B189="722W"),"-",Расчет!A189)</f>
        <v>11334</v>
      </c>
      <c r="BO192" s="173">
        <f t="shared" si="64"/>
        <v>0</v>
      </c>
      <c r="BP192" s="172" t="str">
        <f>IF(BQ192="-","-",IFERROR(IF(OR(VLOOKUP(BN192,Расчет!$A$2:$E$582,5,FALSE)="2PS",VLOOKUP(BN192,Расчет!$A$2:$E$582,5,FALSE)="2QL"),IF(OR(VLOOKUP(BN192,Расчет!$A$2:$E$582,2,FALSE)="664W",VLOOKUP(BN192,Расчет!$A$2:$E$582,2,FALSE)="813W"),IF(BN192-$BS$7&gt;150,BN192-$BS$7-1000+$AD$12,BN192-$BS$7+$AD$12),IF(BN192-$BS$7&gt;150,BN192-$BS$7-1000+$AD$17,BN192-$BS$7+$AD$17)),IF(BN192-$BS$7&gt;150,BN192-$BS$7-1000,BN192-$BS$7)),"-"))</f>
        <v>-</v>
      </c>
      <c r="BQ192" s="173">
        <f t="shared" si="61"/>
        <v>11334</v>
      </c>
      <c r="BR192" s="453"/>
      <c r="BS192" s="171"/>
      <c r="BT192" s="464" t="str">
        <f t="shared" si="62"/>
        <v>-</v>
      </c>
      <c r="BU192" s="464" t="str">
        <f t="shared" si="63"/>
        <v>-</v>
      </c>
      <c r="BX192" s="204">
        <f>COUNTIF($BY$4:BY192,"&lt;100")</f>
        <v>0</v>
      </c>
      <c r="BY192" s="213" t="str">
        <f t="shared" si="71"/>
        <v/>
      </c>
      <c r="BZ192" s="216" t="str">
        <f t="shared" si="72"/>
        <v/>
      </c>
      <c r="CA192" s="213" t="e">
        <f t="shared" si="59"/>
        <v>#N/A</v>
      </c>
      <c r="CB192" s="209" t="e">
        <f t="shared" si="60"/>
        <v>#N/A</v>
      </c>
      <c r="CC192" s="205" t="str">
        <f t="shared" si="65"/>
        <v/>
      </c>
      <c r="CD192" s="205" t="str">
        <f t="shared" si="73"/>
        <v>-</v>
      </c>
      <c r="CE192" s="204">
        <f t="shared" si="74"/>
        <v>0</v>
      </c>
      <c r="CG192" s="20" t="str">
        <f t="shared" si="75"/>
        <v/>
      </c>
    </row>
    <row r="193" spans="31:85" ht="21">
      <c r="AJ193"/>
      <c r="AK193"/>
      <c r="AL193"/>
      <c r="AM193" s="87"/>
      <c r="AN193" s="87"/>
      <c r="AO193" s="14" t="str">
        <f>IF(R90="","",COUNTA($R$3:R90)+$AO$105)</f>
        <v/>
      </c>
      <c r="AP193" s="88" t="str">
        <f>IF(AO193="","",IF(AO193+Расчет!$Y$57+$BD$2-Расчет!$X$57&gt;200,AO193+Расчет!$Y$57+$BD$2-1000,AO193+Расчет!$Y$57+$BD$2))</f>
        <v/>
      </c>
      <c r="BL193" s="172">
        <f>COUNTIF($BM$5:BM193,"&lt;-115")</f>
        <v>0</v>
      </c>
      <c r="BM193" s="154" t="str">
        <f>IFERROR(IF(OR(IFERROR(VLOOKUP(BN193,$E$3:$E$105,1,FALSE),"0")=BN193,IFERROR(VLOOKUP(BN193,$R$3:$R$105,1,FALSE),"0")=BN193),BO193,IF(OR(VLOOKUP(BN193,Расчет!A:E,5,FALSE)="2PS",VLOOKUP(BN193,Расчет!A:E,5,FALSE)="2QL"),IF(VLOOKUP(BN193,Расчет!A:B,2,FALSE)="831W",BN193-$BS$7+$AD$17,BN193-$BS$7+$AD$12),BN193-$BS$7)),"-")</f>
        <v>-</v>
      </c>
      <c r="BN193" s="154">
        <f>IF(OR(Расчет!C190="A0",Расчет!C190="P9",Расчет!B190="722W"),"-",Расчет!A190)</f>
        <v>11335</v>
      </c>
      <c r="BO193" s="173">
        <f t="shared" si="64"/>
        <v>0</v>
      </c>
      <c r="BP193" s="172" t="str">
        <f>IF(BQ193="-","-",IFERROR(IF(OR(VLOOKUP(BN193,Расчет!$A$2:$E$582,5,FALSE)="2PS",VLOOKUP(BN193,Расчет!$A$2:$E$582,5,FALSE)="2QL"),IF(OR(VLOOKUP(BN193,Расчет!$A$2:$E$582,2,FALSE)="664W",VLOOKUP(BN193,Расчет!$A$2:$E$582,2,FALSE)="813W"),IF(BN193-$BS$7&gt;150,BN193-$BS$7-1000+$AD$12,BN193-$BS$7+$AD$12),IF(BN193-$BS$7&gt;150,BN193-$BS$7-1000+$AD$17,BN193-$BS$7+$AD$17)),IF(BN193-$BS$7&gt;150,BN193-$BS$7-1000,BN193-$BS$7)),"-"))</f>
        <v>-</v>
      </c>
      <c r="BQ193" s="173">
        <f t="shared" si="61"/>
        <v>11335</v>
      </c>
      <c r="BR193" s="453"/>
      <c r="BS193" s="171"/>
      <c r="BT193" s="464" t="str">
        <f t="shared" si="62"/>
        <v>-</v>
      </c>
      <c r="BU193" s="464" t="str">
        <f t="shared" si="63"/>
        <v>-</v>
      </c>
      <c r="BX193" s="204">
        <f>COUNTIF($BY$4:BY193,"&lt;100")</f>
        <v>0</v>
      </c>
      <c r="BY193" s="213" t="str">
        <f t="shared" si="71"/>
        <v/>
      </c>
      <c r="BZ193" s="216" t="str">
        <f t="shared" si="72"/>
        <v/>
      </c>
      <c r="CA193" s="213" t="e">
        <f t="shared" si="59"/>
        <v>#N/A</v>
      </c>
      <c r="CB193" s="209" t="e">
        <f t="shared" si="60"/>
        <v>#N/A</v>
      </c>
      <c r="CC193" s="205" t="str">
        <f t="shared" si="65"/>
        <v/>
      </c>
      <c r="CD193" s="205" t="str">
        <f t="shared" si="73"/>
        <v>-</v>
      </c>
      <c r="CE193" s="204">
        <f t="shared" si="74"/>
        <v>0</v>
      </c>
      <c r="CG193" s="20" t="str">
        <f t="shared" si="75"/>
        <v/>
      </c>
    </row>
    <row r="194" spans="31:85" ht="21">
      <c r="AJ194"/>
      <c r="AK194"/>
      <c r="AL194"/>
      <c r="AM194" s="87"/>
      <c r="AN194" s="87"/>
      <c r="AO194" s="14" t="str">
        <f>IF(R91="","",COUNTA($R$3:R91)+$AO$105)</f>
        <v/>
      </c>
      <c r="AP194" s="88" t="str">
        <f>IF(AO194="","",IF(AO194+Расчет!$Y$57+$BD$2-Расчет!$X$57&gt;200,AO194+Расчет!$Y$57+$BD$2-1000,AO194+Расчет!$Y$57+$BD$2))</f>
        <v/>
      </c>
      <c r="BL194" s="172">
        <f>COUNTIF($BM$5:BM194,"&lt;-115")</f>
        <v>0</v>
      </c>
      <c r="BM194" s="154" t="str">
        <f>IFERROR(IF(OR(IFERROR(VLOOKUP(BN194,$E$3:$E$105,1,FALSE),"0")=BN194,IFERROR(VLOOKUP(BN194,$R$3:$R$105,1,FALSE),"0")=BN194),BO194,IF(OR(VLOOKUP(BN194,Расчет!A:E,5,FALSE)="2PS",VLOOKUP(BN194,Расчет!A:E,5,FALSE)="2QL"),IF(VLOOKUP(BN194,Расчет!A:B,2,FALSE)="831W",BN194-$BS$7+$AD$17,BN194-$BS$7+$AD$12),BN194-$BS$7)),"-")</f>
        <v>-</v>
      </c>
      <c r="BN194" s="154">
        <f>IF(OR(Расчет!C191="A0",Расчет!C191="P9",Расчет!B191="722W"),"-",Расчет!A191)</f>
        <v>11336</v>
      </c>
      <c r="BO194" s="173">
        <f t="shared" si="64"/>
        <v>0</v>
      </c>
      <c r="BP194" s="172" t="str">
        <f>IF(BQ194="-","-",IFERROR(IF(OR(VLOOKUP(BN194,Расчет!$A$2:$E$582,5,FALSE)="2PS",VLOOKUP(BN194,Расчет!$A$2:$E$582,5,FALSE)="2QL"),IF(OR(VLOOKUP(BN194,Расчет!$A$2:$E$582,2,FALSE)="664W",VLOOKUP(BN194,Расчет!$A$2:$E$582,2,FALSE)="813W"),IF(BN194-$BS$7&gt;150,BN194-$BS$7-1000+$AD$12,BN194-$BS$7+$AD$12),IF(BN194-$BS$7&gt;150,BN194-$BS$7-1000+$AD$17,BN194-$BS$7+$AD$17)),IF(BN194-$BS$7&gt;150,BN194-$BS$7-1000,BN194-$BS$7)),"-"))</f>
        <v>-</v>
      </c>
      <c r="BQ194" s="173">
        <f t="shared" si="61"/>
        <v>11336</v>
      </c>
      <c r="BR194" s="453"/>
      <c r="BS194" s="171"/>
      <c r="BT194" s="464" t="str">
        <f t="shared" si="62"/>
        <v>-</v>
      </c>
      <c r="BU194" s="464" t="str">
        <f t="shared" si="63"/>
        <v>-</v>
      </c>
      <c r="BX194" s="204">
        <f>COUNTIF($BY$4:BY194,"&lt;100")</f>
        <v>0</v>
      </c>
      <c r="BY194" s="213" t="str">
        <f t="shared" si="71"/>
        <v/>
      </c>
      <c r="BZ194" s="216" t="str">
        <f t="shared" si="72"/>
        <v/>
      </c>
      <c r="CA194" s="213" t="e">
        <f t="shared" si="59"/>
        <v>#N/A</v>
      </c>
      <c r="CB194" s="209" t="e">
        <f t="shared" si="60"/>
        <v>#N/A</v>
      </c>
      <c r="CC194" s="205" t="str">
        <f t="shared" si="65"/>
        <v/>
      </c>
      <c r="CD194" s="205" t="str">
        <f t="shared" si="73"/>
        <v>-</v>
      </c>
      <c r="CE194" s="204">
        <f t="shared" si="74"/>
        <v>0</v>
      </c>
      <c r="CG194" s="20" t="str">
        <f t="shared" si="75"/>
        <v/>
      </c>
    </row>
    <row r="195" spans="31:85" ht="21">
      <c r="AJ195"/>
      <c r="AK195"/>
      <c r="AL195"/>
      <c r="AM195" s="87"/>
      <c r="AN195" s="87"/>
      <c r="AO195" s="14" t="str">
        <f>IF(R92="","",COUNTA($R$3:R92)+$AO$105)</f>
        <v/>
      </c>
      <c r="AP195" s="88" t="str">
        <f>IF(AO195="","",IF(AO195+Расчет!$Y$57+$BD$2-Расчет!$X$57&gt;200,AO195+Расчет!$Y$57+$BD$2-1000,AO195+Расчет!$Y$57+$BD$2))</f>
        <v/>
      </c>
      <c r="BL195" s="172">
        <f>COUNTIF($BM$5:BM195,"&lt;-115")</f>
        <v>0</v>
      </c>
      <c r="BM195" s="154" t="str">
        <f>IFERROR(IF(OR(IFERROR(VLOOKUP(BN195,$E$3:$E$105,1,FALSE),"0")=BN195,IFERROR(VLOOKUP(BN195,$R$3:$R$105,1,FALSE),"0")=BN195),BO195,IF(OR(VLOOKUP(BN195,Расчет!A:E,5,FALSE)="2PS",VLOOKUP(BN195,Расчет!A:E,5,FALSE)="2QL"),IF(VLOOKUP(BN195,Расчет!A:B,2,FALSE)="831W",BN195-$BS$7+$AD$17,BN195-$BS$7+$AD$12),BN195-$BS$7)),"-")</f>
        <v>-</v>
      </c>
      <c r="BN195" s="154">
        <f>IF(OR(Расчет!C192="A0",Расчет!C192="P9",Расчет!B192="722W"),"-",Расчет!A192)</f>
        <v>11337</v>
      </c>
      <c r="BO195" s="173">
        <f t="shared" si="64"/>
        <v>0</v>
      </c>
      <c r="BP195" s="172" t="str">
        <f>IF(BQ195="-","-",IFERROR(IF(OR(VLOOKUP(BN195,Расчет!$A$2:$E$582,5,FALSE)="2PS",VLOOKUP(BN195,Расчет!$A$2:$E$582,5,FALSE)="2QL"),IF(OR(VLOOKUP(BN195,Расчет!$A$2:$E$582,2,FALSE)="664W",VLOOKUP(BN195,Расчет!$A$2:$E$582,2,FALSE)="813W"),IF(BN195-$BS$7&gt;150,BN195-$BS$7-1000+$AD$12,BN195-$BS$7+$AD$12),IF(BN195-$BS$7&gt;150,BN195-$BS$7-1000+$AD$17,BN195-$BS$7+$AD$17)),IF(BN195-$BS$7&gt;150,BN195-$BS$7-1000,BN195-$BS$7)),"-"))</f>
        <v>-</v>
      </c>
      <c r="BQ195" s="173">
        <f t="shared" si="61"/>
        <v>11337</v>
      </c>
      <c r="BR195" s="453"/>
      <c r="BS195" s="171"/>
      <c r="BT195" s="464" t="str">
        <f t="shared" si="62"/>
        <v>-</v>
      </c>
      <c r="BU195" s="464" t="str">
        <f t="shared" si="63"/>
        <v>-</v>
      </c>
      <c r="BX195" s="204">
        <f>COUNTIF($BY$4:BY195,"&lt;100")</f>
        <v>0</v>
      </c>
      <c r="BY195" s="213" t="str">
        <f t="shared" si="71"/>
        <v/>
      </c>
      <c r="BZ195" s="216" t="str">
        <f t="shared" si="72"/>
        <v/>
      </c>
      <c r="CA195" s="213" t="e">
        <f t="shared" si="59"/>
        <v>#N/A</v>
      </c>
      <c r="CB195" s="209" t="e">
        <f t="shared" si="60"/>
        <v>#N/A</v>
      </c>
      <c r="CC195" s="205" t="str">
        <f t="shared" si="65"/>
        <v/>
      </c>
      <c r="CD195" s="205" t="str">
        <f t="shared" si="73"/>
        <v>-</v>
      </c>
      <c r="CE195" s="204">
        <f t="shared" si="74"/>
        <v>0</v>
      </c>
      <c r="CG195" s="20" t="str">
        <f t="shared" si="75"/>
        <v/>
      </c>
    </row>
    <row r="196" spans="31:85" ht="21">
      <c r="AJ196"/>
      <c r="AK196"/>
      <c r="AL196"/>
      <c r="AM196" s="87"/>
      <c r="AN196" s="87"/>
      <c r="AO196" s="14" t="str">
        <f>IF(R93="","",COUNTA($R$3:R93)+$AO$105)</f>
        <v/>
      </c>
      <c r="AP196" s="88" t="str">
        <f>IF(AO196="","",IF(AO196+Расчет!$Y$57+$BD$2-Расчет!$X$57&gt;200,AO196+Расчет!$Y$57+$BD$2-1000,AO196+Расчет!$Y$57+$BD$2))</f>
        <v/>
      </c>
      <c r="BL196" s="172">
        <f>COUNTIF($BM$5:BM196,"&lt;-115")</f>
        <v>0</v>
      </c>
      <c r="BM196" s="154" t="str">
        <f>IFERROR(IF(OR(IFERROR(VLOOKUP(BN196,$E$3:$E$105,1,FALSE),"0")=BN196,IFERROR(VLOOKUP(BN196,$R$3:$R$105,1,FALSE),"0")=BN196),BO196,IF(OR(VLOOKUP(BN196,Расчет!A:E,5,FALSE)="2PS",VLOOKUP(BN196,Расчет!A:E,5,FALSE)="2QL"),IF(VLOOKUP(BN196,Расчет!A:B,2,FALSE)="831W",BN196-$BS$7+$AD$17,BN196-$BS$7+$AD$12),BN196-$BS$7)),"-")</f>
        <v>-</v>
      </c>
      <c r="BN196" s="154">
        <f>IF(OR(Расчет!C193="A0",Расчет!C193="P9",Расчет!B193="722W"),"-",Расчет!A193)</f>
        <v>11338</v>
      </c>
      <c r="BO196" s="173">
        <f t="shared" si="64"/>
        <v>0</v>
      </c>
      <c r="BP196" s="172" t="str">
        <f>IF(BQ196="-","-",IFERROR(IF(OR(VLOOKUP(BN196,Расчет!$A$2:$E$582,5,FALSE)="2PS",VLOOKUP(BN196,Расчет!$A$2:$E$582,5,FALSE)="2QL"),IF(OR(VLOOKUP(BN196,Расчет!$A$2:$E$582,2,FALSE)="664W",VLOOKUP(BN196,Расчет!$A$2:$E$582,2,FALSE)="813W"),IF(BN196-$BS$7&gt;150,BN196-$BS$7-1000+$AD$12,BN196-$BS$7+$AD$12),IF(BN196-$BS$7&gt;150,BN196-$BS$7-1000+$AD$17,BN196-$BS$7+$AD$17)),IF(BN196-$BS$7&gt;150,BN196-$BS$7-1000,BN196-$BS$7)),"-"))</f>
        <v>-</v>
      </c>
      <c r="BQ196" s="173">
        <f t="shared" si="61"/>
        <v>11338</v>
      </c>
      <c r="BR196" s="453"/>
      <c r="BS196" s="171"/>
      <c r="BT196" s="464" t="str">
        <f t="shared" si="62"/>
        <v>-</v>
      </c>
      <c r="BU196" s="464" t="str">
        <f t="shared" si="63"/>
        <v>-</v>
      </c>
      <c r="BX196" s="204">
        <f>COUNTIF($BY$4:BY196,"&lt;100")</f>
        <v>0</v>
      </c>
      <c r="BY196" s="213" t="str">
        <f t="shared" si="71"/>
        <v/>
      </c>
      <c r="BZ196" s="216" t="str">
        <f t="shared" si="72"/>
        <v/>
      </c>
      <c r="CA196" s="213" t="e">
        <f t="shared" ref="CA196:CA209" si="76">VLOOKUP(ROW(A193),$BX$4:$BY$209,2,FALSE)</f>
        <v>#N/A</v>
      </c>
      <c r="CB196" s="209" t="e">
        <f t="shared" ref="CB196:CB209" si="77">VLOOKUP(ROW(A193),$BX$4:$BZ$209,3,FALSE)</f>
        <v>#N/A</v>
      </c>
      <c r="CC196" s="205" t="str">
        <f t="shared" si="65"/>
        <v/>
      </c>
      <c r="CD196" s="205" t="str">
        <f t="shared" si="73"/>
        <v>-</v>
      </c>
      <c r="CE196" s="204">
        <f t="shared" si="74"/>
        <v>0</v>
      </c>
      <c r="CG196" s="20" t="str">
        <f t="shared" si="75"/>
        <v/>
      </c>
    </row>
    <row r="197" spans="31:85" ht="21">
      <c r="AJ197"/>
      <c r="AK197"/>
      <c r="AL197"/>
      <c r="AM197" s="87"/>
      <c r="AN197" s="87"/>
      <c r="AO197" s="14" t="str">
        <f>IF(R94="","",COUNTA($R$3:R94)+$AO$105)</f>
        <v/>
      </c>
      <c r="AP197" s="88" t="str">
        <f>IF(AO197="","",IF(AO197+Расчет!$Y$57+$BD$2-Расчет!$X$57&gt;200,AO197+Расчет!$Y$57+$BD$2-1000,AO197+Расчет!$Y$57+$BD$2))</f>
        <v/>
      </c>
      <c r="BL197" s="172">
        <f>COUNTIF($BM$5:BM197,"&lt;-115")</f>
        <v>0</v>
      </c>
      <c r="BM197" s="154" t="str">
        <f>IFERROR(IF(OR(IFERROR(VLOOKUP(BN197,$E$3:$E$105,1,FALSE),"0")=BN197,IFERROR(VLOOKUP(BN197,$R$3:$R$105,1,FALSE),"0")=BN197),BO197,IF(OR(VLOOKUP(BN197,Расчет!A:E,5,FALSE)="2PS",VLOOKUP(BN197,Расчет!A:E,5,FALSE)="2QL"),IF(VLOOKUP(BN197,Расчет!A:B,2,FALSE)="831W",BN197-$BS$7+$AD$17,BN197-$BS$7+$AD$12),BN197-$BS$7)),"-")</f>
        <v>-</v>
      </c>
      <c r="BN197" s="154">
        <f>IF(OR(Расчет!C194="A0",Расчет!C194="P9",Расчет!B194="722W"),"-",Расчет!A194)</f>
        <v>11339</v>
      </c>
      <c r="BO197" s="173">
        <f t="shared" si="64"/>
        <v>0</v>
      </c>
      <c r="BP197" s="172" t="str">
        <f>IF(BQ197="-","-",IFERROR(IF(OR(VLOOKUP(BN197,Расчет!$A$2:$E$582,5,FALSE)="2PS",VLOOKUP(BN197,Расчет!$A$2:$E$582,5,FALSE)="2QL"),IF(OR(VLOOKUP(BN197,Расчет!$A$2:$E$582,2,FALSE)="664W",VLOOKUP(BN197,Расчет!$A$2:$E$582,2,FALSE)="813W"),IF(BN197-$BS$7&gt;150,BN197-$BS$7-1000+$AD$12,BN197-$BS$7+$AD$12),IF(BN197-$BS$7&gt;150,BN197-$BS$7-1000+$AD$17,BN197-$BS$7+$AD$17)),IF(BN197-$BS$7&gt;150,BN197-$BS$7-1000,BN197-$BS$7)),"-"))</f>
        <v>-</v>
      </c>
      <c r="BQ197" s="173">
        <f t="shared" ref="BQ197:BQ259" si="78">IFERROR(IF(OR(IFERROR(VLOOKUP(BN197,$E$3:$E$105,1,FALSE),"0")=BN197,IFERROR(VLOOKUP(BN197,$R$3:$R$105,1,FALSE),"0")=BN197),"-",BN197),"-")</f>
        <v>11339</v>
      </c>
      <c r="BR197" s="453"/>
      <c r="BS197" s="171"/>
      <c r="BT197" s="464" t="str">
        <f t="shared" ref="BT197:BT259" si="79">IF(BQ197="-","-",IF(AND(BP197&gt;=$BR$5,BP197&lt;$BR$5+9),BP197,"-"))</f>
        <v>-</v>
      </c>
      <c r="BU197" s="464" t="str">
        <f t="shared" ref="BU197:BU259" si="80">IF(OR(BP197=$AC$2+1,BP197=$AC$2+2,BP197=$AC$2+3,BP197=$AC$2+4,BP197=$AC$2+5,BP197=$AC$2+6),BP197,"-")</f>
        <v>-</v>
      </c>
      <c r="BX197" s="204">
        <f>COUNTIF($BY$4:BY197,"&lt;100")</f>
        <v>0</v>
      </c>
      <c r="BY197" s="213" t="str">
        <f t="shared" si="71"/>
        <v/>
      </c>
      <c r="BZ197" s="216" t="str">
        <f t="shared" si="72"/>
        <v/>
      </c>
      <c r="CA197" s="213" t="e">
        <f t="shared" si="76"/>
        <v>#N/A</v>
      </c>
      <c r="CB197" s="209" t="e">
        <f t="shared" si="77"/>
        <v>#N/A</v>
      </c>
      <c r="CC197" s="205" t="str">
        <f t="shared" si="65"/>
        <v/>
      </c>
      <c r="CD197" s="205" t="str">
        <f t="shared" si="73"/>
        <v>-</v>
      </c>
      <c r="CE197" s="204">
        <f t="shared" si="74"/>
        <v>0</v>
      </c>
      <c r="CG197" s="20" t="str">
        <f t="shared" si="75"/>
        <v/>
      </c>
    </row>
    <row r="198" spans="31:85" ht="21">
      <c r="AJ198"/>
      <c r="AK198"/>
      <c r="AL198"/>
      <c r="AM198" s="87"/>
      <c r="AN198" s="87"/>
      <c r="AO198" s="14" t="str">
        <f>IF(R95="","",COUNTA($R$3:R95)+$AO$105)</f>
        <v/>
      </c>
      <c r="AP198" s="88" t="str">
        <f>IF(AO198="","",IF(AO198+Расчет!$Y$57+$BD$2-Расчет!$X$57&gt;200,AO198+Расчет!$Y$57+$BD$2-1000,AO198+Расчет!$Y$57+$BD$2))</f>
        <v/>
      </c>
      <c r="BL198" s="172">
        <f>COUNTIF($BM$5:BM198,"&lt;-115")</f>
        <v>0</v>
      </c>
      <c r="BM198" s="154" t="str">
        <f>IFERROR(IF(OR(IFERROR(VLOOKUP(BN198,$E$3:$E$105,1,FALSE),"0")=BN198,IFERROR(VLOOKUP(BN198,$R$3:$R$105,1,FALSE),"0")=BN198),BO198,IF(OR(VLOOKUP(BN198,Расчет!A:E,5,FALSE)="2PS",VLOOKUP(BN198,Расчет!A:E,5,FALSE)="2QL"),IF(VLOOKUP(BN198,Расчет!A:B,2,FALSE)="831W",BN198-$BS$7+$AD$17,BN198-$BS$7+$AD$12),BN198-$BS$7)),"-")</f>
        <v>-</v>
      </c>
      <c r="BN198" s="154">
        <f>IF(OR(Расчет!C195="A0",Расчет!C195="P9",Расчет!B195="722W"),"-",Расчет!A195)</f>
        <v>11340</v>
      </c>
      <c r="BO198" s="173">
        <f t="shared" ref="BO198:BO259" si="81">IF(IFERROR(INDEX($A$3:$A$105,MATCH(BN198,$E$3:$E$105,0)),"-")&lt;&gt;"-",IFERROR(INDEX($A$3:$A$105,MATCH(BN198,$E$3:$E$105,0)),0),IFERROR(INDEX($N$3:$N$105,MATCH(BN198,$R$3:$R$105,0)),0))</f>
        <v>0</v>
      </c>
      <c r="BP198" s="172" t="str">
        <f>IF(BQ198="-","-",IFERROR(IF(OR(VLOOKUP(BN198,Расчет!$A$2:$E$582,5,FALSE)="2PS",VLOOKUP(BN198,Расчет!$A$2:$E$582,5,FALSE)="2QL"),IF(OR(VLOOKUP(BN198,Расчет!$A$2:$E$582,2,FALSE)="664W",VLOOKUP(BN198,Расчет!$A$2:$E$582,2,FALSE)="813W"),IF(BN198-$BS$7&gt;150,BN198-$BS$7-1000+$AD$12,BN198-$BS$7+$AD$12),IF(BN198-$BS$7&gt;150,BN198-$BS$7-1000+$AD$17,BN198-$BS$7+$AD$17)),IF(BN198-$BS$7&gt;150,BN198-$BS$7-1000,BN198-$BS$7)),"-"))</f>
        <v>-</v>
      </c>
      <c r="BQ198" s="173">
        <f t="shared" si="78"/>
        <v>11340</v>
      </c>
      <c r="BR198" s="453"/>
      <c r="BS198" s="171"/>
      <c r="BT198" s="464" t="str">
        <f t="shared" si="79"/>
        <v>-</v>
      </c>
      <c r="BU198" s="464" t="str">
        <f t="shared" si="80"/>
        <v>-</v>
      </c>
      <c r="BX198" s="204">
        <f>COUNTIF($BY$4:BY198,"&lt;100")</f>
        <v>0</v>
      </c>
      <c r="BY198" s="213" t="str">
        <f t="shared" si="71"/>
        <v/>
      </c>
      <c r="BZ198" s="216" t="str">
        <f t="shared" si="72"/>
        <v/>
      </c>
      <c r="CA198" s="213" t="e">
        <f t="shared" si="76"/>
        <v>#N/A</v>
      </c>
      <c r="CB198" s="209" t="e">
        <f t="shared" si="77"/>
        <v>#N/A</v>
      </c>
      <c r="CC198" s="205" t="str">
        <f t="shared" ref="CC198:CC209" si="82">IFERROR(IF(OR(AND(CA198&gt;CA197,CA198&gt;=1),AND(CA198&lt;CA197,CA198&lt;=-1)),1,0),"")</f>
        <v/>
      </c>
      <c r="CD198" s="205" t="str">
        <f t="shared" si="73"/>
        <v>-</v>
      </c>
      <c r="CE198" s="204">
        <f t="shared" si="74"/>
        <v>0</v>
      </c>
      <c r="CG198" s="20" t="str">
        <f t="shared" si="75"/>
        <v/>
      </c>
    </row>
    <row r="199" spans="31:85" ht="21">
      <c r="AJ199"/>
      <c r="AK199"/>
      <c r="AL199"/>
      <c r="AM199" s="87"/>
      <c r="AN199" s="87"/>
      <c r="AO199" s="14" t="str">
        <f>IF(R96="","",COUNTA($R$3:R96)+$AO$105)</f>
        <v/>
      </c>
      <c r="AP199" s="88" t="str">
        <f>IF(AO199="","",IF(AO199+Расчет!$Y$57+$BD$2-Расчет!$X$57&gt;200,AO199+Расчет!$Y$57+$BD$2-1000,AO199+Расчет!$Y$57+$BD$2))</f>
        <v/>
      </c>
      <c r="BL199" s="172">
        <f>COUNTIF($BM$5:BM199,"&lt;-115")</f>
        <v>0</v>
      </c>
      <c r="BM199" s="154" t="str">
        <f>IFERROR(IF(OR(IFERROR(VLOOKUP(BN199,$E$3:$E$105,1,FALSE),"0")=BN199,IFERROR(VLOOKUP(BN199,$R$3:$R$105,1,FALSE),"0")=BN199),BO199,IF(OR(VLOOKUP(BN199,Расчет!A:E,5,FALSE)="2PS",VLOOKUP(BN199,Расчет!A:E,5,FALSE)="2QL"),IF(VLOOKUP(BN199,Расчет!A:B,2,FALSE)="831W",BN199-$BS$7+$AD$17,BN199-$BS$7+$AD$12),BN199-$BS$7)),"-")</f>
        <v>-</v>
      </c>
      <c r="BN199" s="154">
        <f>IF(OR(Расчет!C196="A0",Расчет!C196="P9",Расчет!B196="722W"),"-",Расчет!A196)</f>
        <v>11341</v>
      </c>
      <c r="BO199" s="173">
        <f t="shared" si="81"/>
        <v>0</v>
      </c>
      <c r="BP199" s="172" t="str">
        <f>IF(BQ199="-","-",IFERROR(IF(OR(VLOOKUP(BN199,Расчет!$A$2:$E$582,5,FALSE)="2PS",VLOOKUP(BN199,Расчет!$A$2:$E$582,5,FALSE)="2QL"),IF(OR(VLOOKUP(BN199,Расчет!$A$2:$E$582,2,FALSE)="664W",VLOOKUP(BN199,Расчет!$A$2:$E$582,2,FALSE)="813W"),IF(BN199-$BS$7&gt;150,BN199-$BS$7-1000+$AD$12,BN199-$BS$7+$AD$12),IF(BN199-$BS$7&gt;150,BN199-$BS$7-1000+$AD$17,BN199-$BS$7+$AD$17)),IF(BN199-$BS$7&gt;150,BN199-$BS$7-1000,BN199-$BS$7)),"-"))</f>
        <v>-</v>
      </c>
      <c r="BQ199" s="173">
        <f t="shared" si="78"/>
        <v>11341</v>
      </c>
      <c r="BR199" s="453"/>
      <c r="BS199" s="171"/>
      <c r="BT199" s="464" t="str">
        <f t="shared" si="79"/>
        <v>-</v>
      </c>
      <c r="BU199" s="464" t="str">
        <f t="shared" si="80"/>
        <v>-</v>
      </c>
      <c r="BX199" s="204">
        <f>COUNTIF($BY$4:BY199,"&lt;100")</f>
        <v>0</v>
      </c>
      <c r="BY199" s="213" t="str">
        <f t="shared" si="71"/>
        <v/>
      </c>
      <c r="BZ199" s="216" t="str">
        <f t="shared" si="72"/>
        <v/>
      </c>
      <c r="CA199" s="213" t="e">
        <f t="shared" si="76"/>
        <v>#N/A</v>
      </c>
      <c r="CB199" s="209" t="e">
        <f t="shared" si="77"/>
        <v>#N/A</v>
      </c>
      <c r="CC199" s="205" t="str">
        <f t="shared" si="82"/>
        <v/>
      </c>
      <c r="CD199" s="205" t="str">
        <f t="shared" si="73"/>
        <v>-</v>
      </c>
      <c r="CE199" s="204">
        <f t="shared" si="74"/>
        <v>0</v>
      </c>
      <c r="CG199" s="20" t="str">
        <f t="shared" si="75"/>
        <v/>
      </c>
    </row>
    <row r="200" spans="31:85" ht="21">
      <c r="AJ200"/>
      <c r="AK200"/>
      <c r="AL200"/>
      <c r="AM200" s="87"/>
      <c r="AN200" s="87"/>
      <c r="AO200" s="14" t="str">
        <f>IF(R97="","",COUNTA($R$3:R97)+$AO$105)</f>
        <v/>
      </c>
      <c r="AP200" s="88" t="str">
        <f>IF(AO200="","",IF(AO200+Расчет!$Y$57+$BD$2-Расчет!$X$57&gt;200,AO200+Расчет!$Y$57+$BD$2-1000,AO200+Расчет!$Y$57+$BD$2))</f>
        <v/>
      </c>
      <c r="BL200" s="172">
        <f>COUNTIF($BM$5:BM200,"&lt;-115")</f>
        <v>0</v>
      </c>
      <c r="BM200" s="154" t="str">
        <f>IFERROR(IF(OR(IFERROR(VLOOKUP(BN200,$E$3:$E$105,1,FALSE),"0")=BN200,IFERROR(VLOOKUP(BN200,$R$3:$R$105,1,FALSE),"0")=BN200),BO200,IF(OR(VLOOKUP(BN200,Расчет!A:E,5,FALSE)="2PS",VLOOKUP(BN200,Расчет!A:E,5,FALSE)="2QL"),IF(VLOOKUP(BN200,Расчет!A:B,2,FALSE)="831W",BN200-$BS$7+$AD$17,BN200-$BS$7+$AD$12),BN200-$BS$7)),"-")</f>
        <v>-</v>
      </c>
      <c r="BN200" s="154">
        <f>IF(OR(Расчет!C197="A0",Расчет!C197="P9",Расчет!B197="722W"),"-",Расчет!A197)</f>
        <v>11342</v>
      </c>
      <c r="BO200" s="173">
        <f t="shared" si="81"/>
        <v>0</v>
      </c>
      <c r="BP200" s="172" t="str">
        <f>IF(BQ200="-","-",IFERROR(IF(OR(VLOOKUP(BN200,Расчет!$A$2:$E$582,5,FALSE)="2PS",VLOOKUP(BN200,Расчет!$A$2:$E$582,5,FALSE)="2QL"),IF(OR(VLOOKUP(BN200,Расчет!$A$2:$E$582,2,FALSE)="664W",VLOOKUP(BN200,Расчет!$A$2:$E$582,2,FALSE)="813W"),IF(BN200-$BS$7&gt;150,BN200-$BS$7-1000+$AD$12,BN200-$BS$7+$AD$12),IF(BN200-$BS$7&gt;150,BN200-$BS$7-1000+$AD$17,BN200-$BS$7+$AD$17)),IF(BN200-$BS$7&gt;150,BN200-$BS$7-1000,BN200-$BS$7)),"-"))</f>
        <v>-</v>
      </c>
      <c r="BQ200" s="173">
        <f t="shared" si="78"/>
        <v>11342</v>
      </c>
      <c r="BR200" s="453"/>
      <c r="BS200" s="171"/>
      <c r="BT200" s="464" t="str">
        <f t="shared" si="79"/>
        <v>-</v>
      </c>
      <c r="BU200" s="464" t="str">
        <f t="shared" si="80"/>
        <v>-</v>
      </c>
      <c r="BX200" s="204">
        <f>COUNTIF($BY$4:BY200,"&lt;100")</f>
        <v>0</v>
      </c>
      <c r="BY200" s="213" t="str">
        <f t="shared" si="71"/>
        <v/>
      </c>
      <c r="BZ200" s="216" t="str">
        <f t="shared" si="72"/>
        <v/>
      </c>
      <c r="CA200" s="213" t="e">
        <f t="shared" si="76"/>
        <v>#N/A</v>
      </c>
      <c r="CB200" s="209" t="e">
        <f t="shared" si="77"/>
        <v>#N/A</v>
      </c>
      <c r="CC200" s="205" t="str">
        <f t="shared" si="82"/>
        <v/>
      </c>
      <c r="CD200" s="205" t="str">
        <f t="shared" si="73"/>
        <v>-</v>
      </c>
      <c r="CE200" s="204">
        <f t="shared" si="74"/>
        <v>0</v>
      </c>
      <c r="CG200" s="20" t="str">
        <f t="shared" si="75"/>
        <v/>
      </c>
    </row>
    <row r="201" spans="31:85" ht="21">
      <c r="AJ201"/>
      <c r="AK201"/>
      <c r="AL201"/>
      <c r="AM201" s="87"/>
      <c r="AN201" s="87"/>
      <c r="AO201" s="14" t="str">
        <f>IF(R98="","",COUNTA($R$3:R98)+$AO$105)</f>
        <v/>
      </c>
      <c r="AP201" s="88" t="str">
        <f>IF(AO201="","",IF(AO201+Расчет!$Y$57+$BD$2-Расчет!$X$57&gt;200,AO201+Расчет!$Y$57+$BD$2-1000,AO201+Расчет!$Y$57+$BD$2))</f>
        <v/>
      </c>
      <c r="BL201" s="172">
        <f>COUNTIF($BM$5:BM201,"&lt;-115")</f>
        <v>0</v>
      </c>
      <c r="BM201" s="154" t="str">
        <f>IFERROR(IF(OR(IFERROR(VLOOKUP(BN201,$E$3:$E$105,1,FALSE),"0")=BN201,IFERROR(VLOOKUP(BN201,$R$3:$R$105,1,FALSE),"0")=BN201),BO201,IF(OR(VLOOKUP(BN201,Расчет!A:E,5,FALSE)="2PS",VLOOKUP(BN201,Расчет!A:E,5,FALSE)="2QL"),IF(VLOOKUP(BN201,Расчет!A:B,2,FALSE)="831W",BN201-$BS$7+$AD$17,BN201-$BS$7+$AD$12),BN201-$BS$7)),"-")</f>
        <v>-</v>
      </c>
      <c r="BN201" s="154">
        <f>IF(OR(Расчет!C198="A0",Расчет!C198="P9",Расчет!B198="722W"),"-",Расчет!A198)</f>
        <v>11343</v>
      </c>
      <c r="BO201" s="173">
        <f t="shared" si="81"/>
        <v>0</v>
      </c>
      <c r="BP201" s="172" t="str">
        <f>IF(BQ201="-","-",IFERROR(IF(OR(VLOOKUP(BN201,Расчет!$A$2:$E$582,5,FALSE)="2PS",VLOOKUP(BN201,Расчет!$A$2:$E$582,5,FALSE)="2QL"),IF(OR(VLOOKUP(BN201,Расчет!$A$2:$E$582,2,FALSE)="664W",VLOOKUP(BN201,Расчет!$A$2:$E$582,2,FALSE)="813W"),IF(BN201-$BS$7&gt;150,BN201-$BS$7-1000+$AD$12,BN201-$BS$7+$AD$12),IF(BN201-$BS$7&gt;150,BN201-$BS$7-1000+$AD$17,BN201-$BS$7+$AD$17)),IF(BN201-$BS$7&gt;150,BN201-$BS$7-1000,BN201-$BS$7)),"-"))</f>
        <v>-</v>
      </c>
      <c r="BQ201" s="173">
        <f t="shared" si="78"/>
        <v>11343</v>
      </c>
      <c r="BR201" s="453"/>
      <c r="BS201" s="171"/>
      <c r="BT201" s="464" t="str">
        <f t="shared" si="79"/>
        <v>-</v>
      </c>
      <c r="BU201" s="464" t="str">
        <f t="shared" si="80"/>
        <v>-</v>
      </c>
      <c r="BX201" s="204">
        <f>COUNTIF($BY$4:BY201,"&lt;100")</f>
        <v>0</v>
      </c>
      <c r="BY201" s="213" t="str">
        <f t="shared" si="71"/>
        <v/>
      </c>
      <c r="BZ201" s="216" t="str">
        <f t="shared" si="72"/>
        <v/>
      </c>
      <c r="CA201" s="213" t="e">
        <f t="shared" si="76"/>
        <v>#N/A</v>
      </c>
      <c r="CB201" s="209" t="e">
        <f t="shared" si="77"/>
        <v>#N/A</v>
      </c>
      <c r="CC201" s="205" t="str">
        <f t="shared" si="82"/>
        <v/>
      </c>
      <c r="CD201" s="205" t="str">
        <f t="shared" si="73"/>
        <v>-</v>
      </c>
      <c r="CE201" s="204">
        <f t="shared" si="74"/>
        <v>0</v>
      </c>
      <c r="CG201" s="20" t="str">
        <f t="shared" si="75"/>
        <v/>
      </c>
    </row>
    <row r="202" spans="31:85" ht="21">
      <c r="AJ202"/>
      <c r="AK202"/>
      <c r="AL202"/>
      <c r="AM202" s="87"/>
      <c r="AN202" s="87"/>
      <c r="AO202" s="14" t="str">
        <f>IF(R99="","",COUNTA($R$3:R99)+$AO$105)</f>
        <v/>
      </c>
      <c r="AP202" s="88" t="str">
        <f>IF(AO202="","",IF(AO202+Расчет!$Y$57+$BD$2-Расчет!$X$57&gt;200,AO202+Расчет!$Y$57+$BD$2-1000,AO202+Расчет!$Y$57+$BD$2))</f>
        <v/>
      </c>
      <c r="BL202" s="172">
        <f>COUNTIF($BM$5:BM202,"&lt;-115")</f>
        <v>0</v>
      </c>
      <c r="BM202" s="154" t="str">
        <f>IFERROR(IF(OR(IFERROR(VLOOKUP(BN202,$E$3:$E$105,1,FALSE),"0")=BN202,IFERROR(VLOOKUP(BN202,$R$3:$R$105,1,FALSE),"0")=BN202),BO202,IF(OR(VLOOKUP(BN202,Расчет!A:E,5,FALSE)="2PS",VLOOKUP(BN202,Расчет!A:E,5,FALSE)="2QL"),IF(VLOOKUP(BN202,Расчет!A:B,2,FALSE)="831W",BN202-$BS$7+$AD$17,BN202-$BS$7+$AD$12),BN202-$BS$7)),"-")</f>
        <v>-</v>
      </c>
      <c r="BN202" s="154">
        <f>IF(OR(Расчет!C199="A0",Расчет!C199="P9",Расчет!B199="722W"),"-",Расчет!A199)</f>
        <v>11344</v>
      </c>
      <c r="BO202" s="173">
        <f t="shared" si="81"/>
        <v>0</v>
      </c>
      <c r="BP202" s="172" t="str">
        <f>IF(BQ202="-","-",IFERROR(IF(OR(VLOOKUP(BN202,Расчет!$A$2:$E$582,5,FALSE)="2PS",VLOOKUP(BN202,Расчет!$A$2:$E$582,5,FALSE)="2QL"),IF(OR(VLOOKUP(BN202,Расчет!$A$2:$E$582,2,FALSE)="664W",VLOOKUP(BN202,Расчет!$A$2:$E$582,2,FALSE)="813W"),IF(BN202-$BS$7&gt;150,BN202-$BS$7-1000+$AD$12,BN202-$BS$7+$AD$12),IF(BN202-$BS$7&gt;150,BN202-$BS$7-1000+$AD$17,BN202-$BS$7+$AD$17)),IF(BN202-$BS$7&gt;150,BN202-$BS$7-1000,BN202-$BS$7)),"-"))</f>
        <v>-</v>
      </c>
      <c r="BQ202" s="173">
        <f t="shared" si="78"/>
        <v>11344</v>
      </c>
      <c r="BR202" s="453"/>
      <c r="BS202" s="171"/>
      <c r="BT202" s="464" t="str">
        <f t="shared" si="79"/>
        <v>-</v>
      </c>
      <c r="BU202" s="464" t="str">
        <f t="shared" si="80"/>
        <v>-</v>
      </c>
      <c r="BX202" s="204">
        <f>COUNTIF($BY$4:BY202,"&lt;100")</f>
        <v>0</v>
      </c>
      <c r="BY202" s="213" t="str">
        <f t="shared" si="71"/>
        <v/>
      </c>
      <c r="BZ202" s="216" t="str">
        <f t="shared" si="72"/>
        <v/>
      </c>
      <c r="CA202" s="213" t="e">
        <f t="shared" si="76"/>
        <v>#N/A</v>
      </c>
      <c r="CB202" s="209" t="e">
        <f t="shared" si="77"/>
        <v>#N/A</v>
      </c>
      <c r="CC202" s="205" t="str">
        <f t="shared" si="82"/>
        <v/>
      </c>
      <c r="CD202" s="205" t="str">
        <f t="shared" si="73"/>
        <v>-</v>
      </c>
      <c r="CE202" s="204">
        <f t="shared" si="74"/>
        <v>0</v>
      </c>
      <c r="CG202" s="20" t="str">
        <f t="shared" si="75"/>
        <v/>
      </c>
    </row>
    <row r="203" spans="31:85" ht="21">
      <c r="AE203"/>
      <c r="AF203"/>
      <c r="AG203"/>
      <c r="AH203"/>
      <c r="AI203"/>
      <c r="AJ203"/>
      <c r="AK203"/>
      <c r="AL203"/>
      <c r="AM203"/>
      <c r="AN203"/>
      <c r="AO203" s="14" t="str">
        <f>IF(R100="","",COUNTA($R$3:R100)+$AO$105)</f>
        <v/>
      </c>
      <c r="AP203" s="88" t="str">
        <f>IF(AO203="","",IF(AO203+Расчет!$Y$57+$BD$2-Расчет!$X$57&gt;200,AO203+Расчет!$Y$57+$BD$2-1000,AO203+Расчет!$Y$57+$BD$2))</f>
        <v/>
      </c>
      <c r="AQ203"/>
      <c r="AR203"/>
      <c r="AS203"/>
      <c r="AT203"/>
      <c r="AU203"/>
      <c r="BL203" s="172">
        <f>COUNTIF($BM$5:BM203,"&lt;-115")</f>
        <v>0</v>
      </c>
      <c r="BM203" s="154" t="str">
        <f>IFERROR(IF(OR(IFERROR(VLOOKUP(BN203,$E$3:$E$105,1,FALSE),"0")=BN203,IFERROR(VLOOKUP(BN203,$R$3:$R$105,1,FALSE),"0")=BN203),BO203,IF(OR(VLOOKUP(BN203,Расчет!A:E,5,FALSE)="2PS",VLOOKUP(BN203,Расчет!A:E,5,FALSE)="2QL"),IF(VLOOKUP(BN203,Расчет!A:B,2,FALSE)="831W",BN203-$BS$7+$AD$17,BN203-$BS$7+$AD$12),BN203-$BS$7)),"-")</f>
        <v>-</v>
      </c>
      <c r="BN203" s="154">
        <f>IF(OR(Расчет!C200="A0",Расчет!C200="P9",Расчет!B200="722W"),"-",Расчет!A200)</f>
        <v>11345</v>
      </c>
      <c r="BO203" s="173">
        <f t="shared" si="81"/>
        <v>0</v>
      </c>
      <c r="BP203" s="172" t="str">
        <f>IF(BQ203="-","-",IFERROR(IF(OR(VLOOKUP(BN203,Расчет!$A$2:$E$582,5,FALSE)="2PS",VLOOKUP(BN203,Расчет!$A$2:$E$582,5,FALSE)="2QL"),IF(OR(VLOOKUP(BN203,Расчет!$A$2:$E$582,2,FALSE)="664W",VLOOKUP(BN203,Расчет!$A$2:$E$582,2,FALSE)="813W"),IF(BN203-$BS$7&gt;150,BN203-$BS$7-1000+$AD$12,BN203-$BS$7+$AD$12),IF(BN203-$BS$7&gt;150,BN203-$BS$7-1000+$AD$17,BN203-$BS$7+$AD$17)),IF(BN203-$BS$7&gt;150,BN203-$BS$7-1000,BN203-$BS$7)),"-"))</f>
        <v>-</v>
      </c>
      <c r="BQ203" s="173">
        <f t="shared" si="78"/>
        <v>11345</v>
      </c>
      <c r="BR203" s="453"/>
      <c r="BS203" s="171"/>
      <c r="BT203" s="464" t="str">
        <f t="shared" si="79"/>
        <v>-</v>
      </c>
      <c r="BU203" s="464" t="str">
        <f t="shared" si="80"/>
        <v>-</v>
      </c>
      <c r="BX203" s="204">
        <f>COUNTIF($BY$4:BY203,"&lt;100")</f>
        <v>0</v>
      </c>
      <c r="BY203" s="213" t="str">
        <f t="shared" ref="BY203:BZ209" si="83">AM99</f>
        <v/>
      </c>
      <c r="BZ203" s="216" t="str">
        <f t="shared" si="83"/>
        <v/>
      </c>
      <c r="CA203" s="213" t="e">
        <f t="shared" si="76"/>
        <v>#N/A</v>
      </c>
      <c r="CB203" s="209" t="e">
        <f t="shared" si="77"/>
        <v>#N/A</v>
      </c>
      <c r="CC203" s="205" t="str">
        <f t="shared" si="82"/>
        <v/>
      </c>
      <c r="CD203" s="205" t="str">
        <f t="shared" ref="CD203:CD209" si="84">N99</f>
        <v>-</v>
      </c>
      <c r="CE203" s="204">
        <f t="shared" si="74"/>
        <v>0</v>
      </c>
      <c r="CG203" s="20" t="str">
        <f t="shared" si="75"/>
        <v/>
      </c>
    </row>
    <row r="204" spans="31:85" ht="21">
      <c r="AE204"/>
      <c r="AF204"/>
      <c r="AG204"/>
      <c r="AH204"/>
      <c r="AI204"/>
      <c r="AJ204"/>
      <c r="AK204"/>
      <c r="AL204"/>
      <c r="AM204"/>
      <c r="AN204"/>
      <c r="AO204" s="14" t="str">
        <f>IF(R101="","",COUNTA($R$3:R101)+$AO$105)</f>
        <v/>
      </c>
      <c r="AP204" s="88" t="str">
        <f>IF(AO204="","",IF(AO204+Расчет!$Y$57+$BD$2-Расчет!$X$57&gt;200,AO204+Расчет!$Y$57+$BD$2-1000,AO204+Расчет!$Y$57+$BD$2))</f>
        <v/>
      </c>
      <c r="AQ204"/>
      <c r="AR204"/>
      <c r="AS204"/>
      <c r="AT204"/>
      <c r="AU204"/>
      <c r="BL204" s="172">
        <f>COUNTIF($BM$5:BM204,"&lt;-115")</f>
        <v>0</v>
      </c>
      <c r="BM204" s="154" t="str">
        <f>IFERROR(IF(OR(IFERROR(VLOOKUP(BN204,$E$3:$E$105,1,FALSE),"0")=BN204,IFERROR(VLOOKUP(BN204,$R$3:$R$105,1,FALSE),"0")=BN204),BO204,IF(OR(VLOOKUP(BN204,Расчет!A:E,5,FALSE)="2PS",VLOOKUP(BN204,Расчет!A:E,5,FALSE)="2QL"),IF(VLOOKUP(BN204,Расчет!A:B,2,FALSE)="831W",BN204-$BS$7+$AD$17,BN204-$BS$7+$AD$12),BN204-$BS$7)),"-")</f>
        <v>-</v>
      </c>
      <c r="BN204" s="154">
        <f>IF(OR(Расчет!C201="A0",Расчет!C201="P9",Расчет!B201="722W"),"-",Расчет!A201)</f>
        <v>11346</v>
      </c>
      <c r="BO204" s="173">
        <f t="shared" si="81"/>
        <v>0</v>
      </c>
      <c r="BP204" s="172" t="str">
        <f>IF(BQ204="-","-",IFERROR(IF(OR(VLOOKUP(BN204,Расчет!$A$2:$E$582,5,FALSE)="2PS",VLOOKUP(BN204,Расчет!$A$2:$E$582,5,FALSE)="2QL"),IF(OR(VLOOKUP(BN204,Расчет!$A$2:$E$582,2,FALSE)="664W",VLOOKUP(BN204,Расчет!$A$2:$E$582,2,FALSE)="813W"),IF(BN204-$BS$7&gt;150,BN204-$BS$7-1000+$AD$12,BN204-$BS$7+$AD$12),IF(BN204-$BS$7&gt;150,BN204-$BS$7-1000+$AD$17,BN204-$BS$7+$AD$17)),IF(BN204-$BS$7&gt;150,BN204-$BS$7-1000,BN204-$BS$7)),"-"))</f>
        <v>-</v>
      </c>
      <c r="BQ204" s="173">
        <f t="shared" si="78"/>
        <v>11346</v>
      </c>
      <c r="BR204" s="453"/>
      <c r="BS204" s="171"/>
      <c r="BT204" s="464" t="str">
        <f t="shared" si="79"/>
        <v>-</v>
      </c>
      <c r="BU204" s="464" t="str">
        <f t="shared" si="80"/>
        <v>-</v>
      </c>
      <c r="BX204" s="204">
        <f>COUNTIF($BY$4:BY204,"&lt;100")</f>
        <v>0</v>
      </c>
      <c r="BY204" s="213" t="str">
        <f t="shared" si="83"/>
        <v/>
      </c>
      <c r="BZ204" s="216" t="str">
        <f t="shared" si="83"/>
        <v/>
      </c>
      <c r="CA204" s="213" t="e">
        <f t="shared" si="76"/>
        <v>#N/A</v>
      </c>
      <c r="CB204" s="209" t="e">
        <f t="shared" si="77"/>
        <v>#N/A</v>
      </c>
      <c r="CC204" s="205" t="str">
        <f t="shared" si="82"/>
        <v/>
      </c>
      <c r="CD204" s="205" t="str">
        <f t="shared" si="84"/>
        <v>-</v>
      </c>
      <c r="CE204" s="204">
        <f t="shared" si="74"/>
        <v>0</v>
      </c>
      <c r="CG204" s="20" t="str">
        <f t="shared" si="75"/>
        <v/>
      </c>
    </row>
    <row r="205" spans="31:85" ht="21">
      <c r="AE205"/>
      <c r="AF205"/>
      <c r="AG205"/>
      <c r="AH205"/>
      <c r="AI205"/>
      <c r="AJ205"/>
      <c r="AK205"/>
      <c r="AL205"/>
      <c r="AM205"/>
      <c r="AN205"/>
      <c r="AO205" s="14" t="str">
        <f>IF(R102="","",COUNTA($R$3:R102)+$AO$105)</f>
        <v/>
      </c>
      <c r="AP205" s="88" t="str">
        <f>IF(AO205="","",IF(AO205+Расчет!$Y$57+$BD$2-Расчет!$X$57&gt;200,AO205+Расчет!$Y$57+$BD$2-1000,AO205+Расчет!$Y$57+$BD$2))</f>
        <v/>
      </c>
      <c r="AQ205"/>
      <c r="AR205"/>
      <c r="AS205"/>
      <c r="AT205"/>
      <c r="AU205"/>
      <c r="BL205" s="172">
        <f>COUNTIF($BM$5:BM205,"&lt;-115")</f>
        <v>0</v>
      </c>
      <c r="BM205" s="154" t="str">
        <f>IFERROR(IF(OR(IFERROR(VLOOKUP(BN205,$E$3:$E$105,1,FALSE),"0")=BN205,IFERROR(VLOOKUP(BN205,$R$3:$R$105,1,FALSE),"0")=BN205),BO205,IF(OR(VLOOKUP(BN205,Расчет!A:E,5,FALSE)="2PS",VLOOKUP(BN205,Расчет!A:E,5,FALSE)="2QL"),IF(VLOOKUP(BN205,Расчет!A:B,2,FALSE)="831W",BN205-$BS$7+$AD$17,BN205-$BS$7+$AD$12),BN205-$BS$7)),"-")</f>
        <v>-</v>
      </c>
      <c r="BN205" s="154">
        <f>IF(OR(Расчет!C202="A0",Расчет!C202="P9",Расчет!B202="722W"),"-",Расчет!A202)</f>
        <v>11347</v>
      </c>
      <c r="BO205" s="173">
        <f t="shared" si="81"/>
        <v>0</v>
      </c>
      <c r="BP205" s="172" t="str">
        <f>IF(BQ205="-","-",IFERROR(IF(OR(VLOOKUP(BN205,Расчет!$A$2:$E$582,5,FALSE)="2PS",VLOOKUP(BN205,Расчет!$A$2:$E$582,5,FALSE)="2QL"),IF(OR(VLOOKUP(BN205,Расчет!$A$2:$E$582,2,FALSE)="664W",VLOOKUP(BN205,Расчет!$A$2:$E$582,2,FALSE)="813W"),IF(BN205-$BS$7&gt;150,BN205-$BS$7-1000+$AD$12,BN205-$BS$7+$AD$12),IF(BN205-$BS$7&gt;150,BN205-$BS$7-1000+$AD$17,BN205-$BS$7+$AD$17)),IF(BN205-$BS$7&gt;150,BN205-$BS$7-1000,BN205-$BS$7)),"-"))</f>
        <v>-</v>
      </c>
      <c r="BQ205" s="173">
        <f t="shared" si="78"/>
        <v>11347</v>
      </c>
      <c r="BR205" s="453"/>
      <c r="BS205" s="171"/>
      <c r="BT205" s="464" t="str">
        <f t="shared" si="79"/>
        <v>-</v>
      </c>
      <c r="BU205" s="464" t="str">
        <f t="shared" si="80"/>
        <v>-</v>
      </c>
      <c r="BX205" s="204">
        <f>COUNTIF($BY$4:BY205,"&lt;100")</f>
        <v>0</v>
      </c>
      <c r="BY205" s="213" t="str">
        <f t="shared" si="83"/>
        <v/>
      </c>
      <c r="BZ205" s="216" t="str">
        <f t="shared" si="83"/>
        <v/>
      </c>
      <c r="CA205" s="213" t="e">
        <f t="shared" si="76"/>
        <v>#N/A</v>
      </c>
      <c r="CB205" s="209" t="e">
        <f t="shared" si="77"/>
        <v>#N/A</v>
      </c>
      <c r="CC205" s="205" t="str">
        <f t="shared" si="82"/>
        <v/>
      </c>
      <c r="CD205" s="205" t="str">
        <f t="shared" si="84"/>
        <v>-</v>
      </c>
      <c r="CE205" s="204">
        <f t="shared" ref="CE205:CE209" si="85">IF(OR(AND($T101="Rich",$T100="Rich"),AND($T101="Rich",$T99="Rich"),AND($U101="TWIN-C",$U100="TWIN-C"),AND($U101="TWIN-C",$U100="4WD",$U99="TWIN-C"),AND($U101="TWIN-C",$T100="Rich",$U99="TWIN-C"),AND(COUNTIF($CG210:$CG213,"Rich")&gt;1,COUNTIF($CG210:$CG213,"Mech")&gt;1),AND($CG213="Sport",COUNTIF($CG208:$CG213,"Sport")&gt;1))=TRUE(),1,0)</f>
        <v>0</v>
      </c>
      <c r="CG205" s="20" t="str">
        <f t="shared" si="75"/>
        <v/>
      </c>
    </row>
    <row r="206" spans="31:85" ht="21">
      <c r="AE206"/>
      <c r="AF206"/>
      <c r="AG206"/>
      <c r="AH206"/>
      <c r="AI206"/>
      <c r="AJ206"/>
      <c r="AK206"/>
      <c r="AL206"/>
      <c r="AM206"/>
      <c r="AN206"/>
      <c r="AO206" s="14" t="str">
        <f>IF(R103="","",COUNTA($R$3:R103)+$AO$105)</f>
        <v/>
      </c>
      <c r="AP206" s="88" t="str">
        <f>IF(AO206="","",IF(AO206+Расчет!$Y$57+$BD$2-Расчет!$X$57&gt;200,AO206+Расчет!$Y$57+$BD$2-1000,AO206+Расчет!$Y$57+$BD$2))</f>
        <v/>
      </c>
      <c r="AQ206"/>
      <c r="AR206"/>
      <c r="AS206"/>
      <c r="AT206"/>
      <c r="AU206"/>
      <c r="BL206" s="172">
        <f>COUNTIF($BM$5:BM206,"&lt;-115")</f>
        <v>0</v>
      </c>
      <c r="BM206" s="154" t="str">
        <f>IFERROR(IF(OR(IFERROR(VLOOKUP(BN206,$E$3:$E$105,1,FALSE),"0")=BN206,IFERROR(VLOOKUP(BN206,$R$3:$R$105,1,FALSE),"0")=BN206),BO206,IF(OR(VLOOKUP(BN206,Расчет!A:E,5,FALSE)="2PS",VLOOKUP(BN206,Расчет!A:E,5,FALSE)="2QL"),IF(VLOOKUP(BN206,Расчет!A:B,2,FALSE)="831W",BN206-$BS$7+$AD$17,BN206-$BS$7+$AD$12),BN206-$BS$7)),"-")</f>
        <v>-</v>
      </c>
      <c r="BN206" s="154">
        <f>IF(OR(Расчет!C203="A0",Расчет!C203="P9",Расчет!B203="722W"),"-",Расчет!A203)</f>
        <v>11348</v>
      </c>
      <c r="BO206" s="173">
        <f t="shared" si="81"/>
        <v>0</v>
      </c>
      <c r="BP206" s="172" t="str">
        <f>IF(BQ206="-","-",IFERROR(IF(OR(VLOOKUP(BN206,Расчет!$A$2:$E$582,5,FALSE)="2PS",VLOOKUP(BN206,Расчет!$A$2:$E$582,5,FALSE)="2QL"),IF(OR(VLOOKUP(BN206,Расчет!$A$2:$E$582,2,FALSE)="664W",VLOOKUP(BN206,Расчет!$A$2:$E$582,2,FALSE)="813W"),IF(BN206-$BS$7&gt;150,BN206-$BS$7-1000+$AD$12,BN206-$BS$7+$AD$12),IF(BN206-$BS$7&gt;150,BN206-$BS$7-1000+$AD$17,BN206-$BS$7+$AD$17)),IF(BN206-$BS$7&gt;150,BN206-$BS$7-1000,BN206-$BS$7)),"-"))</f>
        <v>-</v>
      </c>
      <c r="BQ206" s="173">
        <f t="shared" si="78"/>
        <v>11348</v>
      </c>
      <c r="BR206" s="453"/>
      <c r="BS206" s="171"/>
      <c r="BT206" s="464" t="str">
        <f t="shared" si="79"/>
        <v>-</v>
      </c>
      <c r="BU206" s="464" t="str">
        <f t="shared" si="80"/>
        <v>-</v>
      </c>
      <c r="BX206" s="204">
        <f>COUNTIF($BY$4:BY206,"&lt;100")</f>
        <v>0</v>
      </c>
      <c r="BY206" s="213" t="str">
        <f t="shared" si="83"/>
        <v/>
      </c>
      <c r="BZ206" s="216" t="str">
        <f t="shared" si="83"/>
        <v/>
      </c>
      <c r="CA206" s="213" t="e">
        <f t="shared" si="76"/>
        <v>#N/A</v>
      </c>
      <c r="CB206" s="209" t="e">
        <f t="shared" si="77"/>
        <v>#N/A</v>
      </c>
      <c r="CC206" s="205" t="str">
        <f t="shared" si="82"/>
        <v/>
      </c>
      <c r="CD206" s="205" t="str">
        <f t="shared" si="84"/>
        <v>-</v>
      </c>
      <c r="CE206" s="204">
        <f t="shared" si="85"/>
        <v>0</v>
      </c>
      <c r="CG206" s="20" t="str">
        <f t="shared" si="75"/>
        <v/>
      </c>
    </row>
    <row r="207" spans="31:85" ht="21">
      <c r="AE207"/>
      <c r="AF207"/>
      <c r="AG207"/>
      <c r="AH207"/>
      <c r="AI207"/>
      <c r="AJ207"/>
      <c r="AK207"/>
      <c r="AL207"/>
      <c r="AM207"/>
      <c r="AN207"/>
      <c r="AO207" s="14" t="str">
        <f>IF(R104="","",COUNTA($R$3:R104)+$AO$105)</f>
        <v/>
      </c>
      <c r="AP207" s="88" t="str">
        <f>IF(AO207="","",IF(AO207+Расчет!$Y$57+$BD$2-Расчет!$X$57&gt;200,AO207+Расчет!$Y$57+$BD$2-1000,AO207+Расчет!$Y$57+$BD$2))</f>
        <v/>
      </c>
      <c r="AQ207"/>
      <c r="AR207"/>
      <c r="AS207"/>
      <c r="AT207"/>
      <c r="AU207"/>
      <c r="BL207" s="172">
        <f>COUNTIF($BM$5:BM207,"&lt;-115")</f>
        <v>0</v>
      </c>
      <c r="BM207" s="154" t="str">
        <f>IFERROR(IF(OR(IFERROR(VLOOKUP(BN207,$E$3:$E$105,1,FALSE),"0")=BN207,IFERROR(VLOOKUP(BN207,$R$3:$R$105,1,FALSE),"0")=BN207),BO207,IF(OR(VLOOKUP(BN207,Расчет!A:E,5,FALSE)="2PS",VLOOKUP(BN207,Расчет!A:E,5,FALSE)="2QL"),IF(VLOOKUP(BN207,Расчет!A:B,2,FALSE)="831W",BN207-$BS$7+$AD$17,BN207-$BS$7+$AD$12),BN207-$BS$7)),"-")</f>
        <v>-</v>
      </c>
      <c r="BN207" s="154">
        <f>IF(OR(Расчет!C204="A0",Расчет!C204="P9",Расчет!B204="722W"),"-",Расчет!A204)</f>
        <v>11349</v>
      </c>
      <c r="BO207" s="173">
        <f t="shared" si="81"/>
        <v>0</v>
      </c>
      <c r="BP207" s="172" t="str">
        <f>IF(BQ207="-","-",IFERROR(IF(OR(VLOOKUP(BN207,Расчет!$A$2:$E$582,5,FALSE)="2PS",VLOOKUP(BN207,Расчет!$A$2:$E$582,5,FALSE)="2QL"),IF(OR(VLOOKUP(BN207,Расчет!$A$2:$E$582,2,FALSE)="664W",VLOOKUP(BN207,Расчет!$A$2:$E$582,2,FALSE)="813W"),IF(BN207-$BS$7&gt;150,BN207-$BS$7-1000+$AD$12,BN207-$BS$7+$AD$12),IF(BN207-$BS$7&gt;150,BN207-$BS$7-1000+$AD$17,BN207-$BS$7+$AD$17)),IF(BN207-$BS$7&gt;150,BN207-$BS$7-1000,BN207-$BS$7)),"-"))</f>
        <v>-</v>
      </c>
      <c r="BQ207" s="173">
        <f t="shared" si="78"/>
        <v>11349</v>
      </c>
      <c r="BR207" s="453"/>
      <c r="BS207" s="171"/>
      <c r="BT207" s="464" t="str">
        <f t="shared" si="79"/>
        <v>-</v>
      </c>
      <c r="BU207" s="464" t="str">
        <f t="shared" si="80"/>
        <v>-</v>
      </c>
      <c r="BX207" s="204">
        <f>COUNTIF($BY$4:BY207,"&lt;100")</f>
        <v>0</v>
      </c>
      <c r="BY207" s="213" t="str">
        <f t="shared" si="83"/>
        <v/>
      </c>
      <c r="BZ207" s="216" t="str">
        <f t="shared" si="83"/>
        <v/>
      </c>
      <c r="CA207" s="213" t="e">
        <f t="shared" si="76"/>
        <v>#N/A</v>
      </c>
      <c r="CB207" s="209" t="e">
        <f t="shared" si="77"/>
        <v>#N/A</v>
      </c>
      <c r="CC207" s="205" t="str">
        <f t="shared" si="82"/>
        <v/>
      </c>
      <c r="CD207" s="205" t="str">
        <f t="shared" si="84"/>
        <v>-</v>
      </c>
      <c r="CE207" s="204">
        <f t="shared" si="85"/>
        <v>0</v>
      </c>
      <c r="CG207" s="20" t="str">
        <f t="shared" si="75"/>
        <v/>
      </c>
    </row>
    <row r="208" spans="31:85" ht="21">
      <c r="AE208"/>
      <c r="AF208"/>
      <c r="AG208"/>
      <c r="AH208"/>
      <c r="AI208"/>
      <c r="AJ208"/>
      <c r="AK208"/>
      <c r="AL208"/>
      <c r="AM208"/>
      <c r="AN208"/>
      <c r="AO208" s="14" t="str">
        <f>IF(R105="","",COUNTA($R$3:R105)+$AO$105)</f>
        <v/>
      </c>
      <c r="AP208" s="88" t="str">
        <f>IF(AO208="","",IF(AO208+Расчет!$Y$57+$BD$2-Расчет!$X$57&gt;200,AO208+Расчет!$Y$57+$BD$2-1000,AO208+Расчет!$Y$57+$BD$2))</f>
        <v/>
      </c>
      <c r="AQ208"/>
      <c r="AR208"/>
      <c r="AS208"/>
      <c r="AT208"/>
      <c r="AU208"/>
      <c r="BL208" s="172">
        <f>COUNTIF($BM$5:BM208,"&lt;-115")</f>
        <v>0</v>
      </c>
      <c r="BM208" s="154" t="str">
        <f>IFERROR(IF(OR(IFERROR(VLOOKUP(BN208,$E$3:$E$105,1,FALSE),"0")=BN208,IFERROR(VLOOKUP(BN208,$R$3:$R$105,1,FALSE),"0")=BN208),BO208,IF(OR(VLOOKUP(BN208,Расчет!A:E,5,FALSE)="2PS",VLOOKUP(BN208,Расчет!A:E,5,FALSE)="2QL"),IF(VLOOKUP(BN208,Расчет!A:B,2,FALSE)="831W",BN208-$BS$7+$AD$17,BN208-$BS$7+$AD$12),BN208-$BS$7)),"-")</f>
        <v>-</v>
      </c>
      <c r="BN208" s="154">
        <f>IF(OR(Расчет!C205="A0",Расчет!C205="P9",Расчет!B205="722W"),"-",Расчет!A205)</f>
        <v>11350</v>
      </c>
      <c r="BO208" s="173">
        <f t="shared" si="81"/>
        <v>0</v>
      </c>
      <c r="BP208" s="172" t="str">
        <f>IF(BQ208="-","-",IFERROR(IF(OR(VLOOKUP(BN208,Расчет!$A$2:$E$582,5,FALSE)="2PS",VLOOKUP(BN208,Расчет!$A$2:$E$582,5,FALSE)="2QL"),IF(OR(VLOOKUP(BN208,Расчет!$A$2:$E$582,2,FALSE)="664W",VLOOKUP(BN208,Расчет!$A$2:$E$582,2,FALSE)="813W"),IF(BN208-$BS$7&gt;150,BN208-$BS$7-1000+$AD$12,BN208-$BS$7+$AD$12),IF(BN208-$BS$7&gt;150,BN208-$BS$7-1000+$AD$17,BN208-$BS$7+$AD$17)),IF(BN208-$BS$7&gt;150,BN208-$BS$7-1000,BN208-$BS$7)),"-"))</f>
        <v>-</v>
      </c>
      <c r="BQ208" s="173">
        <f t="shared" si="78"/>
        <v>11350</v>
      </c>
      <c r="BR208" s="453"/>
      <c r="BS208" s="171"/>
      <c r="BT208" s="464" t="str">
        <f t="shared" si="79"/>
        <v>-</v>
      </c>
      <c r="BU208" s="464" t="str">
        <f t="shared" si="80"/>
        <v>-</v>
      </c>
      <c r="BX208" s="204">
        <f>COUNTIF($BY$4:BY208,"&lt;100")</f>
        <v>0</v>
      </c>
      <c r="BY208" s="213" t="str">
        <f t="shared" si="83"/>
        <v/>
      </c>
      <c r="BZ208" s="216" t="str">
        <f t="shared" si="83"/>
        <v/>
      </c>
      <c r="CA208" s="213" t="e">
        <f t="shared" si="76"/>
        <v>#N/A</v>
      </c>
      <c r="CB208" s="209" t="e">
        <f t="shared" si="77"/>
        <v>#N/A</v>
      </c>
      <c r="CC208" s="205" t="str">
        <f t="shared" si="82"/>
        <v/>
      </c>
      <c r="CD208" s="205" t="str">
        <f t="shared" si="84"/>
        <v>-</v>
      </c>
      <c r="CE208" s="204">
        <f t="shared" si="85"/>
        <v>0</v>
      </c>
      <c r="CG208" s="20" t="str">
        <f t="shared" si="75"/>
        <v/>
      </c>
    </row>
    <row r="209" spans="31:85" ht="21.75" thickBot="1">
      <c r="AE209"/>
      <c r="AF209"/>
      <c r="AG209"/>
      <c r="AH209"/>
      <c r="AI209"/>
      <c r="AJ209"/>
      <c r="AK209"/>
      <c r="AL209"/>
      <c r="AM209"/>
      <c r="AN209"/>
      <c r="AO209" s="14" t="str">
        <f>IF(R106="","",COUNTA($R$3:R106)+$AO$105)</f>
        <v/>
      </c>
      <c r="AP209" s="88" t="str">
        <f>IF(AO209="","",IF(AO209+Расчет!$Y$57+$BD$2-Расчет!$X$57&gt;200,AO209+Расчет!$Y$57+$BD$2-1000,AO209+Расчет!$Y$57+$BD$2))</f>
        <v/>
      </c>
      <c r="AQ209"/>
      <c r="AR209"/>
      <c r="AS209"/>
      <c r="AT209"/>
      <c r="AU209"/>
      <c r="BL209" s="172">
        <f>COUNTIF($BM$5:BM209,"&lt;-115")</f>
        <v>0</v>
      </c>
      <c r="BM209" s="154" t="str">
        <f>IFERROR(IF(OR(IFERROR(VLOOKUP(BN209,$E$3:$E$105,1,FALSE),"0")=BN209,IFERROR(VLOOKUP(BN209,$R$3:$R$105,1,FALSE),"0")=BN209),BO209,IF(OR(VLOOKUP(BN209,Расчет!A:E,5,FALSE)="2PS",VLOOKUP(BN209,Расчет!A:E,5,FALSE)="2QL"),IF(VLOOKUP(BN209,Расчет!A:B,2,FALSE)="831W",BN209-$BS$7+$AD$17,BN209-$BS$7+$AD$12),BN209-$BS$7)),"-")</f>
        <v>-</v>
      </c>
      <c r="BN209" s="154">
        <f>IF(OR(Расчет!C206="A0",Расчет!C206="P9",Расчет!B206="722W"),"-",Расчет!A206)</f>
        <v>11351</v>
      </c>
      <c r="BO209" s="173">
        <f t="shared" si="81"/>
        <v>0</v>
      </c>
      <c r="BP209" s="172" t="str">
        <f>IF(BQ209="-","-",IFERROR(IF(OR(VLOOKUP(BN209,Расчет!$A$2:$E$582,5,FALSE)="2PS",VLOOKUP(BN209,Расчет!$A$2:$E$582,5,FALSE)="2QL"),IF(OR(VLOOKUP(BN209,Расчет!$A$2:$E$582,2,FALSE)="664W",VLOOKUP(BN209,Расчет!$A$2:$E$582,2,FALSE)="813W"),IF(BN209-$BS$7&gt;150,BN209-$BS$7-1000+$AD$12,BN209-$BS$7+$AD$12),IF(BN209-$BS$7&gt;150,BN209-$BS$7-1000+$AD$17,BN209-$BS$7+$AD$17)),IF(BN209-$BS$7&gt;150,BN209-$BS$7-1000,BN209-$BS$7)),"-"))</f>
        <v>-</v>
      </c>
      <c r="BQ209" s="173">
        <f t="shared" si="78"/>
        <v>11351</v>
      </c>
      <c r="BR209" s="453"/>
      <c r="BS209" s="171"/>
      <c r="BT209" s="464" t="str">
        <f t="shared" si="79"/>
        <v>-</v>
      </c>
      <c r="BU209" s="464" t="str">
        <f t="shared" si="80"/>
        <v>-</v>
      </c>
      <c r="BX209" s="204">
        <f>COUNTIF($BY$4:BY209,"&lt;100")</f>
        <v>0</v>
      </c>
      <c r="BY209" s="214" t="str">
        <f t="shared" si="83"/>
        <v/>
      </c>
      <c r="BZ209" s="217" t="str">
        <f t="shared" si="83"/>
        <v/>
      </c>
      <c r="CA209" s="214" t="e">
        <f t="shared" si="76"/>
        <v>#N/A</v>
      </c>
      <c r="CB209" s="210" t="e">
        <f t="shared" si="77"/>
        <v>#N/A</v>
      </c>
      <c r="CC209" s="205" t="str">
        <f t="shared" si="82"/>
        <v/>
      </c>
      <c r="CD209" s="336" t="str">
        <f t="shared" si="84"/>
        <v>-</v>
      </c>
      <c r="CE209" s="204">
        <f t="shared" si="85"/>
        <v>0</v>
      </c>
      <c r="CG209" s="20" t="str">
        <f t="shared" si="75"/>
        <v/>
      </c>
    </row>
    <row r="210" spans="31:85" ht="21">
      <c r="AE210"/>
      <c r="AF210"/>
      <c r="AG210"/>
      <c r="AH210"/>
      <c r="AI210"/>
      <c r="AJ210"/>
      <c r="AK210"/>
      <c r="AL210"/>
      <c r="AM210"/>
      <c r="AN210"/>
      <c r="AO210" s="14" t="str">
        <f>IF(R107="","",COUNTA($R$3:R107)+$AO$105)</f>
        <v/>
      </c>
      <c r="AP210" s="88" t="str">
        <f>IF(AO210="","",IF(AO210+Расчет!$Y$57+$BD$2-Расчет!$X$57&gt;200,AO210+Расчет!$Y$57+$BD$2-1000,AO210+Расчет!$Y$57+$BD$2))</f>
        <v/>
      </c>
      <c r="AQ210"/>
      <c r="AR210"/>
      <c r="AS210"/>
      <c r="AT210"/>
      <c r="AU210"/>
      <c r="BL210" s="172">
        <f>COUNTIF($BM$5:BM210,"&lt;-115")</f>
        <v>0</v>
      </c>
      <c r="BM210" s="154" t="str">
        <f>IFERROR(IF(OR(IFERROR(VLOOKUP(BN210,$E$3:$E$105,1,FALSE),"0")=BN210,IFERROR(VLOOKUP(BN210,$R$3:$R$105,1,FALSE),"0")=BN210),BO210,IF(OR(VLOOKUP(BN210,Расчет!A:E,5,FALSE)="2PS",VLOOKUP(BN210,Расчет!A:E,5,FALSE)="2QL"),IF(VLOOKUP(BN210,Расчет!A:B,2,FALSE)="831W",BN210-$BS$7+$AD$17,BN210-$BS$7+$AD$12),BN210-$BS$7)),"-")</f>
        <v>-</v>
      </c>
      <c r="BN210" s="154">
        <f>IF(OR(Расчет!C207="A0",Расчет!C207="P9",Расчет!B207="722W"),"-",Расчет!A207)</f>
        <v>11352</v>
      </c>
      <c r="BO210" s="173">
        <f t="shared" si="81"/>
        <v>0</v>
      </c>
      <c r="BP210" s="172" t="str">
        <f>IF(BQ210="-","-",IFERROR(IF(OR(VLOOKUP(BN210,Расчет!$A$2:$E$582,5,FALSE)="2PS",VLOOKUP(BN210,Расчет!$A$2:$E$582,5,FALSE)="2QL"),IF(OR(VLOOKUP(BN210,Расчет!$A$2:$E$582,2,FALSE)="664W",VLOOKUP(BN210,Расчет!$A$2:$E$582,2,FALSE)="813W"),IF(BN210-$BS$7&gt;150,BN210-$BS$7-1000+$AD$12,BN210-$BS$7+$AD$12),IF(BN210-$BS$7&gt;150,BN210-$BS$7-1000+$AD$17,BN210-$BS$7+$AD$17)),IF(BN210-$BS$7&gt;150,BN210-$BS$7-1000,BN210-$BS$7)),"-"))</f>
        <v>-</v>
      </c>
      <c r="BQ210" s="173">
        <f t="shared" si="78"/>
        <v>11352</v>
      </c>
      <c r="BR210" s="453"/>
      <c r="BS210" s="171"/>
      <c r="BT210" s="464" t="str">
        <f t="shared" si="79"/>
        <v>-</v>
      </c>
      <c r="BU210" s="464" t="str">
        <f t="shared" si="80"/>
        <v>-</v>
      </c>
      <c r="BX210"/>
      <c r="BY210"/>
      <c r="CG210" s="20" t="str">
        <f t="shared" si="75"/>
        <v/>
      </c>
    </row>
    <row r="211" spans="31:85" ht="21">
      <c r="AE211"/>
      <c r="AF211"/>
      <c r="AG211"/>
      <c r="AH211"/>
      <c r="AI211"/>
      <c r="AJ211"/>
      <c r="AK211"/>
      <c r="AL211"/>
      <c r="AM211"/>
      <c r="AN211"/>
      <c r="AO211" s="14" t="str">
        <f>IF(R108="","",COUNTA($R$3:R108)+$AO$105)</f>
        <v/>
      </c>
      <c r="AP211" s="88" t="str">
        <f>IF(AO211="","",IF(AO211+Расчет!$Y$57+$BD$2-Расчет!$X$57&gt;200,AO211+Расчет!$Y$57+$BD$2-1000,AO211+Расчет!$Y$57+$BD$2))</f>
        <v/>
      </c>
      <c r="AQ211"/>
      <c r="AR211"/>
      <c r="AS211"/>
      <c r="AT211"/>
      <c r="AU211"/>
      <c r="BL211" s="172">
        <f>COUNTIF($BM$5:BM211,"&lt;-115")</f>
        <v>0</v>
      </c>
      <c r="BM211" s="154" t="str">
        <f>IFERROR(IF(OR(IFERROR(VLOOKUP(BN211,$E$3:$E$105,1,FALSE),"0")=BN211,IFERROR(VLOOKUP(BN211,$R$3:$R$105,1,FALSE),"0")=BN211),BO211,IF(OR(VLOOKUP(BN211,Расчет!A:E,5,FALSE)="2PS",VLOOKUP(BN211,Расчет!A:E,5,FALSE)="2QL"),IF(VLOOKUP(BN211,Расчет!A:B,2,FALSE)="831W",BN211-$BS$7+$AD$17,BN211-$BS$7+$AD$12),BN211-$BS$7)),"-")</f>
        <v>-</v>
      </c>
      <c r="BN211" s="154">
        <f>IF(OR(Расчет!C208="A0",Расчет!C208="P9",Расчет!B208="722W"),"-",Расчет!A208)</f>
        <v>11353</v>
      </c>
      <c r="BO211" s="173">
        <f t="shared" si="81"/>
        <v>0</v>
      </c>
      <c r="BP211" s="172" t="str">
        <f>IF(BQ211="-","-",IFERROR(IF(OR(VLOOKUP(BN211,Расчет!$A$2:$E$582,5,FALSE)="2PS",VLOOKUP(BN211,Расчет!$A$2:$E$582,5,FALSE)="2QL"),IF(OR(VLOOKUP(BN211,Расчет!$A$2:$E$582,2,FALSE)="664W",VLOOKUP(BN211,Расчет!$A$2:$E$582,2,FALSE)="813W"),IF(BN211-$BS$7&gt;150,BN211-$BS$7-1000+$AD$12,BN211-$BS$7+$AD$12),IF(BN211-$BS$7&gt;150,BN211-$BS$7-1000+$AD$17,BN211-$BS$7+$AD$17)),IF(BN211-$BS$7&gt;150,BN211-$BS$7-1000,BN211-$BS$7)),"-"))</f>
        <v>-</v>
      </c>
      <c r="BQ211" s="173">
        <f t="shared" si="78"/>
        <v>11353</v>
      </c>
      <c r="BR211" s="453"/>
      <c r="BS211" s="171"/>
      <c r="BT211" s="464" t="str">
        <f t="shared" si="79"/>
        <v>-</v>
      </c>
      <c r="BU211" s="464" t="str">
        <f t="shared" si="80"/>
        <v>-</v>
      </c>
      <c r="BX211"/>
      <c r="BY211"/>
      <c r="CG211" s="20" t="str">
        <f t="shared" ref="CG211:CG217" si="86">T99</f>
        <v/>
      </c>
    </row>
    <row r="212" spans="31:85" ht="21">
      <c r="BL212" s="172">
        <f>COUNTIF($BM$5:BM212,"&lt;-115")</f>
        <v>0</v>
      </c>
      <c r="BM212" s="154" t="str">
        <f>IFERROR(IF(OR(IFERROR(VLOOKUP(BN212,$E$3:$E$105,1,FALSE),"0")=BN212,IFERROR(VLOOKUP(BN212,$R$3:$R$105,1,FALSE),"0")=BN212),BO212,IF(OR(VLOOKUP(BN212,Расчет!A:E,5,FALSE)="2PS",VLOOKUP(BN212,Расчет!A:E,5,FALSE)="2QL"),IF(VLOOKUP(BN212,Расчет!A:B,2,FALSE)="831W",BN212-$BS$7+$AD$17,BN212-$BS$7+$AD$12),BN212-$BS$7)),"-")</f>
        <v>-</v>
      </c>
      <c r="BN212" s="154">
        <f>IF(OR(Расчет!C209="A0",Расчет!C209="P9",Расчет!B209="722W"),"-",Расчет!A209)</f>
        <v>11354</v>
      </c>
      <c r="BO212" s="173">
        <f t="shared" si="81"/>
        <v>0</v>
      </c>
      <c r="BP212" s="172" t="str">
        <f>IF(BQ212="-","-",IFERROR(IF(OR(VLOOKUP(BN212,Расчет!$A$2:$E$582,5,FALSE)="2PS",VLOOKUP(BN212,Расчет!$A$2:$E$582,5,FALSE)="2QL"),IF(OR(VLOOKUP(BN212,Расчет!$A$2:$E$582,2,FALSE)="664W",VLOOKUP(BN212,Расчет!$A$2:$E$582,2,FALSE)="813W"),IF(BN212-$BS$7&gt;150,BN212-$BS$7-1000+$AD$12,BN212-$BS$7+$AD$12),IF(BN212-$BS$7&gt;150,BN212-$BS$7-1000+$AD$17,BN212-$BS$7+$AD$17)),IF(BN212-$BS$7&gt;150,BN212-$BS$7-1000,BN212-$BS$7)),"-"))</f>
        <v>-</v>
      </c>
      <c r="BQ212" s="173">
        <f t="shared" si="78"/>
        <v>11354</v>
      </c>
      <c r="BR212" s="453"/>
      <c r="BS212" s="171"/>
      <c r="BT212" s="464" t="str">
        <f t="shared" si="79"/>
        <v>-</v>
      </c>
      <c r="BU212" s="464" t="str">
        <f t="shared" si="80"/>
        <v>-</v>
      </c>
      <c r="BX212"/>
      <c r="BY212"/>
      <c r="CG212" s="20" t="str">
        <f t="shared" si="86"/>
        <v/>
      </c>
    </row>
    <row r="213" spans="31:85" ht="21">
      <c r="BL213" s="172">
        <f>COUNTIF($BM$5:BM213,"&lt;-115")</f>
        <v>0</v>
      </c>
      <c r="BM213" s="154" t="str">
        <f>IFERROR(IF(OR(IFERROR(VLOOKUP(BN213,$E$3:$E$105,1,FALSE),"0")=BN213,IFERROR(VLOOKUP(BN213,$R$3:$R$105,1,FALSE),"0")=BN213),BO213,IF(OR(VLOOKUP(BN213,Расчет!A:E,5,FALSE)="2PS",VLOOKUP(BN213,Расчет!A:E,5,FALSE)="2QL"),IF(VLOOKUP(BN213,Расчет!A:B,2,FALSE)="831W",BN213-$BS$7+$AD$17,BN213-$BS$7+$AD$12),BN213-$BS$7)),"-")</f>
        <v>-</v>
      </c>
      <c r="BN213" s="154">
        <f>IF(OR(Расчет!C210="A0",Расчет!C210="P9",Расчет!B210="722W"),"-",Расчет!A210)</f>
        <v>11355</v>
      </c>
      <c r="BO213" s="173">
        <f t="shared" si="81"/>
        <v>0</v>
      </c>
      <c r="BP213" s="172" t="str">
        <f>IF(BQ213="-","-",IFERROR(IF(OR(VLOOKUP(BN213,Расчет!$A$2:$E$582,5,FALSE)="2PS",VLOOKUP(BN213,Расчет!$A$2:$E$582,5,FALSE)="2QL"),IF(OR(VLOOKUP(BN213,Расчет!$A$2:$E$582,2,FALSE)="664W",VLOOKUP(BN213,Расчет!$A$2:$E$582,2,FALSE)="813W"),IF(BN213-$BS$7&gt;150,BN213-$BS$7-1000+$AD$12,BN213-$BS$7+$AD$12),IF(BN213-$BS$7&gt;150,BN213-$BS$7-1000+$AD$17,BN213-$BS$7+$AD$17)),IF(BN213-$BS$7&gt;150,BN213-$BS$7-1000,BN213-$BS$7)),"-"))</f>
        <v>-</v>
      </c>
      <c r="BQ213" s="173">
        <f t="shared" si="78"/>
        <v>11355</v>
      </c>
      <c r="BR213" s="453"/>
      <c r="BS213" s="171"/>
      <c r="BT213" s="464" t="str">
        <f t="shared" si="79"/>
        <v>-</v>
      </c>
      <c r="BU213" s="464" t="str">
        <f t="shared" si="80"/>
        <v>-</v>
      </c>
      <c r="BX213"/>
      <c r="BY213"/>
      <c r="CG213" s="20" t="str">
        <f t="shared" si="86"/>
        <v/>
      </c>
    </row>
    <row r="214" spans="31:85" ht="21">
      <c r="BL214" s="172">
        <f>COUNTIF($BM$5:BM214,"&lt;-115")</f>
        <v>0</v>
      </c>
      <c r="BM214" s="154" t="str">
        <f>IFERROR(IF(OR(IFERROR(VLOOKUP(BN214,$E$3:$E$105,1,FALSE),"0")=BN214,IFERROR(VLOOKUP(BN214,$R$3:$R$105,1,FALSE),"0")=BN214),BO214,IF(OR(VLOOKUP(BN214,Расчет!A:E,5,FALSE)="2PS",VLOOKUP(BN214,Расчет!A:E,5,FALSE)="2QL"),IF(VLOOKUP(BN214,Расчет!A:B,2,FALSE)="831W",BN214-$BS$7+$AD$17,BN214-$BS$7+$AD$12),BN214-$BS$7)),"-")</f>
        <v>-</v>
      </c>
      <c r="BN214" s="154">
        <f>IF(OR(Расчет!C211="A0",Расчет!C211="P9",Расчет!B211="722W"),"-",Расчет!A211)</f>
        <v>11356</v>
      </c>
      <c r="BO214" s="173">
        <f t="shared" si="81"/>
        <v>0</v>
      </c>
      <c r="BP214" s="172" t="str">
        <f>IF(BQ214="-","-",IFERROR(IF(OR(VLOOKUP(BN214,Расчет!$A$2:$E$582,5,FALSE)="2PS",VLOOKUP(BN214,Расчет!$A$2:$E$582,5,FALSE)="2QL"),IF(OR(VLOOKUP(BN214,Расчет!$A$2:$E$582,2,FALSE)="664W",VLOOKUP(BN214,Расчет!$A$2:$E$582,2,FALSE)="813W"),IF(BN214-$BS$7&gt;150,BN214-$BS$7-1000+$AD$12,BN214-$BS$7+$AD$12),IF(BN214-$BS$7&gt;150,BN214-$BS$7-1000+$AD$17,BN214-$BS$7+$AD$17)),IF(BN214-$BS$7&gt;150,BN214-$BS$7-1000,BN214-$BS$7)),"-"))</f>
        <v>-</v>
      </c>
      <c r="BQ214" s="173">
        <f t="shared" si="78"/>
        <v>11356</v>
      </c>
      <c r="BR214" s="453"/>
      <c r="BS214" s="171"/>
      <c r="BT214" s="464" t="str">
        <f t="shared" si="79"/>
        <v>-</v>
      </c>
      <c r="BU214" s="464" t="str">
        <f t="shared" si="80"/>
        <v>-</v>
      </c>
      <c r="BX214"/>
      <c r="BY214"/>
      <c r="CG214" s="20" t="str">
        <f t="shared" si="86"/>
        <v/>
      </c>
    </row>
    <row r="215" spans="31:85" ht="21">
      <c r="BL215" s="172">
        <f>COUNTIF($BM$5:BM215,"&lt;-115")</f>
        <v>0</v>
      </c>
      <c r="BM215" s="154" t="str">
        <f>IFERROR(IF(OR(IFERROR(VLOOKUP(BN215,$E$3:$E$105,1,FALSE),"0")=BN215,IFERROR(VLOOKUP(BN215,$R$3:$R$105,1,FALSE),"0")=BN215),BO215,IF(OR(VLOOKUP(BN215,Расчет!A:E,5,FALSE)="2PS",VLOOKUP(BN215,Расчет!A:E,5,FALSE)="2QL"),IF(VLOOKUP(BN215,Расчет!A:B,2,FALSE)="831W",BN215-$BS$7+$AD$17,BN215-$BS$7+$AD$12),BN215-$BS$7)),"-")</f>
        <v>-</v>
      </c>
      <c r="BN215" s="154">
        <f>IF(OR(Расчет!C212="A0",Расчет!C212="P9",Расчет!B212="722W"),"-",Расчет!A212)</f>
        <v>11357</v>
      </c>
      <c r="BO215" s="173">
        <f t="shared" si="81"/>
        <v>0</v>
      </c>
      <c r="BP215" s="172" t="str">
        <f>IF(BQ215="-","-",IFERROR(IF(OR(VLOOKUP(BN215,Расчет!$A$2:$E$582,5,FALSE)="2PS",VLOOKUP(BN215,Расчет!$A$2:$E$582,5,FALSE)="2QL"),IF(OR(VLOOKUP(BN215,Расчет!$A$2:$E$582,2,FALSE)="664W",VLOOKUP(BN215,Расчет!$A$2:$E$582,2,FALSE)="813W"),IF(BN215-$BS$7&gt;150,BN215-$BS$7-1000+$AD$12,BN215-$BS$7+$AD$12),IF(BN215-$BS$7&gt;150,BN215-$BS$7-1000+$AD$17,BN215-$BS$7+$AD$17)),IF(BN215-$BS$7&gt;150,BN215-$BS$7-1000,BN215-$BS$7)),"-"))</f>
        <v>-</v>
      </c>
      <c r="BQ215" s="173">
        <f t="shared" si="78"/>
        <v>11357</v>
      </c>
      <c r="BR215" s="453"/>
      <c r="BS215" s="171"/>
      <c r="BT215" s="464" t="str">
        <f t="shared" si="79"/>
        <v>-</v>
      </c>
      <c r="BU215" s="464" t="str">
        <f t="shared" si="80"/>
        <v>-</v>
      </c>
      <c r="BX215"/>
      <c r="BY215"/>
      <c r="CG215" s="20" t="str">
        <f t="shared" si="86"/>
        <v/>
      </c>
    </row>
    <row r="216" spans="31:85" ht="21">
      <c r="BL216" s="172">
        <f>COUNTIF($BM$5:BM216,"&lt;-115")</f>
        <v>0</v>
      </c>
      <c r="BM216" s="154" t="str">
        <f>IFERROR(IF(OR(IFERROR(VLOOKUP(BN216,$E$3:$E$105,1,FALSE),"0")=BN216,IFERROR(VLOOKUP(BN216,$R$3:$R$105,1,FALSE),"0")=BN216),BO216,IF(OR(VLOOKUP(BN216,Расчет!A:E,5,FALSE)="2PS",VLOOKUP(BN216,Расчет!A:E,5,FALSE)="2QL"),IF(VLOOKUP(BN216,Расчет!A:B,2,FALSE)="831W",BN216-$BS$7+$AD$17,BN216-$BS$7+$AD$12),BN216-$BS$7)),"-")</f>
        <v>-</v>
      </c>
      <c r="BN216" s="154">
        <f>IF(OR(Расчет!C213="A0",Расчет!C213="P9",Расчет!B213="722W"),"-",Расчет!A213)</f>
        <v>11358</v>
      </c>
      <c r="BO216" s="173">
        <f t="shared" si="81"/>
        <v>0</v>
      </c>
      <c r="BP216" s="172" t="str">
        <f>IF(BQ216="-","-",IFERROR(IF(OR(VLOOKUP(BN216,Расчет!$A$2:$E$582,5,FALSE)="2PS",VLOOKUP(BN216,Расчет!$A$2:$E$582,5,FALSE)="2QL"),IF(OR(VLOOKUP(BN216,Расчет!$A$2:$E$582,2,FALSE)="664W",VLOOKUP(BN216,Расчет!$A$2:$E$582,2,FALSE)="813W"),IF(BN216-$BS$7&gt;150,BN216-$BS$7-1000+$AD$12,BN216-$BS$7+$AD$12),IF(BN216-$BS$7&gt;150,BN216-$BS$7-1000+$AD$17,BN216-$BS$7+$AD$17)),IF(BN216-$BS$7&gt;150,BN216-$BS$7-1000,BN216-$BS$7)),"-"))</f>
        <v>-</v>
      </c>
      <c r="BQ216" s="173">
        <f t="shared" si="78"/>
        <v>11358</v>
      </c>
      <c r="BR216" s="453"/>
      <c r="BS216" s="171"/>
      <c r="BT216" s="464" t="str">
        <f t="shared" si="79"/>
        <v>-</v>
      </c>
      <c r="BU216" s="464" t="str">
        <f t="shared" si="80"/>
        <v>-</v>
      </c>
      <c r="BX216"/>
      <c r="BY216"/>
      <c r="CG216" s="20" t="str">
        <f t="shared" si="86"/>
        <v/>
      </c>
    </row>
    <row r="217" spans="31:85" ht="21">
      <c r="BL217" s="172">
        <f>COUNTIF($BM$5:BM217,"&lt;-115")</f>
        <v>0</v>
      </c>
      <c r="BM217" s="154" t="str">
        <f>IFERROR(IF(OR(IFERROR(VLOOKUP(BN217,$E$3:$E$105,1,FALSE),"0")=BN217,IFERROR(VLOOKUP(BN217,$R$3:$R$105,1,FALSE),"0")=BN217),BO217,IF(OR(VLOOKUP(BN217,Расчет!A:E,5,FALSE)="2PS",VLOOKUP(BN217,Расчет!A:E,5,FALSE)="2QL"),IF(VLOOKUP(BN217,Расчет!A:B,2,FALSE)="831W",BN217-$BS$7+$AD$17,BN217-$BS$7+$AD$12),BN217-$BS$7)),"-")</f>
        <v>-</v>
      </c>
      <c r="BN217" s="154">
        <f>IF(OR(Расчет!C214="A0",Расчет!C214="P9",Расчет!B214="722W"),"-",Расчет!A214)</f>
        <v>11359</v>
      </c>
      <c r="BO217" s="173">
        <f t="shared" si="81"/>
        <v>0</v>
      </c>
      <c r="BP217" s="172" t="str">
        <f>IF(BQ217="-","-",IFERROR(IF(OR(VLOOKUP(BN217,Расчет!$A$2:$E$582,5,FALSE)="2PS",VLOOKUP(BN217,Расчет!$A$2:$E$582,5,FALSE)="2QL"),IF(OR(VLOOKUP(BN217,Расчет!$A$2:$E$582,2,FALSE)="664W",VLOOKUP(BN217,Расчет!$A$2:$E$582,2,FALSE)="813W"),IF(BN217-$BS$7&gt;150,BN217-$BS$7-1000+$AD$12,BN217-$BS$7+$AD$12),IF(BN217-$BS$7&gt;150,BN217-$BS$7-1000+$AD$17,BN217-$BS$7+$AD$17)),IF(BN217-$BS$7&gt;150,BN217-$BS$7-1000,BN217-$BS$7)),"-"))</f>
        <v>-</v>
      </c>
      <c r="BQ217" s="173">
        <f t="shared" si="78"/>
        <v>11359</v>
      </c>
      <c r="BR217" s="453"/>
      <c r="BS217" s="171"/>
      <c r="BT217" s="464" t="str">
        <f t="shared" si="79"/>
        <v>-</v>
      </c>
      <c r="BU217" s="464" t="str">
        <f t="shared" si="80"/>
        <v>-</v>
      </c>
      <c r="BX217"/>
      <c r="BY217"/>
      <c r="CG217" s="20" t="str">
        <f t="shared" si="86"/>
        <v/>
      </c>
    </row>
    <row r="218" spans="31:85" ht="21">
      <c r="BL218" s="172">
        <f>COUNTIF($BM$5:BM218,"&lt;-115")</f>
        <v>0</v>
      </c>
      <c r="BM218" s="154" t="str">
        <f>IFERROR(IF(OR(IFERROR(VLOOKUP(BN218,$E$3:$E$105,1,FALSE),"0")=BN218,IFERROR(VLOOKUP(BN218,$R$3:$R$105,1,FALSE),"0")=BN218),BO218,IF(OR(VLOOKUP(BN218,Расчет!A:E,5,FALSE)="2PS",VLOOKUP(BN218,Расчет!A:E,5,FALSE)="2QL"),IF(VLOOKUP(BN218,Расчет!A:B,2,FALSE)="831W",BN218-$BS$7+$AD$17,BN218-$BS$7+$AD$12),BN218-$BS$7)),"-")</f>
        <v>-</v>
      </c>
      <c r="BN218" s="154">
        <f>IF(OR(Расчет!C215="A0",Расчет!C215="P9",Расчет!B215="722W"),"-",Расчет!A215)</f>
        <v>11360</v>
      </c>
      <c r="BO218" s="173">
        <f t="shared" si="81"/>
        <v>0</v>
      </c>
      <c r="BP218" s="172" t="str">
        <f>IF(BQ218="-","-",IFERROR(IF(OR(VLOOKUP(BN218,Расчет!$A$2:$E$582,5,FALSE)="2PS",VLOOKUP(BN218,Расчет!$A$2:$E$582,5,FALSE)="2QL"),IF(OR(VLOOKUP(BN218,Расчет!$A$2:$E$582,2,FALSE)="664W",VLOOKUP(BN218,Расчет!$A$2:$E$582,2,FALSE)="813W"),IF(BN218-$BS$7&gt;150,BN218-$BS$7-1000+$AD$12,BN218-$BS$7+$AD$12),IF(BN218-$BS$7&gt;150,BN218-$BS$7-1000+$AD$17,BN218-$BS$7+$AD$17)),IF(BN218-$BS$7&gt;150,BN218-$BS$7-1000,BN218-$BS$7)),"-"))</f>
        <v>-</v>
      </c>
      <c r="BQ218" s="173">
        <f t="shared" si="78"/>
        <v>11360</v>
      </c>
      <c r="BR218" s="453"/>
      <c r="BS218" s="171"/>
      <c r="BT218" s="464" t="str">
        <f t="shared" si="79"/>
        <v>-</v>
      </c>
      <c r="BU218" s="464" t="str">
        <f t="shared" si="80"/>
        <v>-</v>
      </c>
      <c r="BX218"/>
      <c r="BY218"/>
    </row>
    <row r="219" spans="31:85" ht="21">
      <c r="BL219" s="172">
        <f>COUNTIF($BM$5:BM219,"&lt;-115")</f>
        <v>0</v>
      </c>
      <c r="BM219" s="154" t="str">
        <f>IFERROR(IF(OR(IFERROR(VLOOKUP(BN219,$E$3:$E$105,1,FALSE),"0")=BN219,IFERROR(VLOOKUP(BN219,$R$3:$R$105,1,FALSE),"0")=BN219),BO219,IF(OR(VLOOKUP(BN219,Расчет!A:E,5,FALSE)="2PS",VLOOKUP(BN219,Расчет!A:E,5,FALSE)="2QL"),IF(VLOOKUP(BN219,Расчет!A:B,2,FALSE)="831W",BN219-$BS$7+$AD$17,BN219-$BS$7+$AD$12),BN219-$BS$7)),"-")</f>
        <v>-</v>
      </c>
      <c r="BN219" s="154">
        <f>IF(OR(Расчет!C216="A0",Расчет!C216="P9",Расчет!B216="722W"),"-",Расчет!A216)</f>
        <v>11361</v>
      </c>
      <c r="BO219" s="173">
        <f t="shared" si="81"/>
        <v>0</v>
      </c>
      <c r="BP219" s="172" t="str">
        <f>IF(BQ219="-","-",IFERROR(IF(OR(VLOOKUP(BN219,Расчет!$A$2:$E$582,5,FALSE)="2PS",VLOOKUP(BN219,Расчет!$A$2:$E$582,5,FALSE)="2QL"),IF(OR(VLOOKUP(BN219,Расчет!$A$2:$E$582,2,FALSE)="664W",VLOOKUP(BN219,Расчет!$A$2:$E$582,2,FALSE)="813W"),IF(BN219-$BS$7&gt;150,BN219-$BS$7-1000+$AD$12,BN219-$BS$7+$AD$12),IF(BN219-$BS$7&gt;150,BN219-$BS$7-1000+$AD$17,BN219-$BS$7+$AD$17)),IF(BN219-$BS$7&gt;150,BN219-$BS$7-1000,BN219-$BS$7)),"-"))</f>
        <v>-</v>
      </c>
      <c r="BQ219" s="173">
        <f t="shared" si="78"/>
        <v>11361</v>
      </c>
      <c r="BR219" s="453"/>
      <c r="BS219" s="171"/>
      <c r="BT219" s="464" t="str">
        <f t="shared" si="79"/>
        <v>-</v>
      </c>
      <c r="BU219" s="464" t="str">
        <f t="shared" si="80"/>
        <v>-</v>
      </c>
      <c r="BX219"/>
      <c r="BY219"/>
    </row>
    <row r="220" spans="31:85" ht="21">
      <c r="BL220" s="172">
        <f>COUNTIF($BM$5:BM220,"&lt;-115")</f>
        <v>0</v>
      </c>
      <c r="BM220" s="154" t="str">
        <f>IFERROR(IF(OR(IFERROR(VLOOKUP(BN220,$E$3:$E$105,1,FALSE),"0")=BN220,IFERROR(VLOOKUP(BN220,$R$3:$R$105,1,FALSE),"0")=BN220),BO220,IF(OR(VLOOKUP(BN220,Расчет!A:E,5,FALSE)="2PS",VLOOKUP(BN220,Расчет!A:E,5,FALSE)="2QL"),IF(VLOOKUP(BN220,Расчет!A:B,2,FALSE)="831W",BN220-$BS$7+$AD$17,BN220-$BS$7+$AD$12),BN220-$BS$7)),"-")</f>
        <v>-</v>
      </c>
      <c r="BN220" s="154">
        <f>IF(OR(Расчет!C217="A0",Расчет!C217="P9",Расчет!B217="722W"),"-",Расчет!A217)</f>
        <v>11362</v>
      </c>
      <c r="BO220" s="173">
        <f t="shared" si="81"/>
        <v>0</v>
      </c>
      <c r="BP220" s="172" t="str">
        <f>IF(BQ220="-","-",IFERROR(IF(OR(VLOOKUP(BN220,Расчет!$A$2:$E$582,5,FALSE)="2PS",VLOOKUP(BN220,Расчет!$A$2:$E$582,5,FALSE)="2QL"),IF(OR(VLOOKUP(BN220,Расчет!$A$2:$E$582,2,FALSE)="664W",VLOOKUP(BN220,Расчет!$A$2:$E$582,2,FALSE)="813W"),IF(BN220-$BS$7&gt;150,BN220-$BS$7-1000+$AD$12,BN220-$BS$7+$AD$12),IF(BN220-$BS$7&gt;150,BN220-$BS$7-1000+$AD$17,BN220-$BS$7+$AD$17)),IF(BN220-$BS$7&gt;150,BN220-$BS$7-1000,BN220-$BS$7)),"-"))</f>
        <v>-</v>
      </c>
      <c r="BQ220" s="173">
        <f t="shared" si="78"/>
        <v>11362</v>
      </c>
      <c r="BR220" s="453"/>
      <c r="BS220" s="171"/>
      <c r="BT220" s="464" t="str">
        <f t="shared" si="79"/>
        <v>-</v>
      </c>
      <c r="BU220" s="464" t="str">
        <f t="shared" si="80"/>
        <v>-</v>
      </c>
      <c r="BX220"/>
      <c r="BY220"/>
    </row>
    <row r="221" spans="31:85" ht="21">
      <c r="BL221" s="172">
        <f>COUNTIF($BM$5:BM221,"&lt;-115")</f>
        <v>0</v>
      </c>
      <c r="BM221" s="154" t="str">
        <f>IFERROR(IF(OR(IFERROR(VLOOKUP(BN221,$E$3:$E$105,1,FALSE),"0")=BN221,IFERROR(VLOOKUP(BN221,$R$3:$R$105,1,FALSE),"0")=BN221),BO221,IF(OR(VLOOKUP(BN221,Расчет!A:E,5,FALSE)="2PS",VLOOKUP(BN221,Расчет!A:E,5,FALSE)="2QL"),IF(VLOOKUP(BN221,Расчет!A:B,2,FALSE)="831W",BN221-$BS$7+$AD$17,BN221-$BS$7+$AD$12),BN221-$BS$7)),"-")</f>
        <v>-</v>
      </c>
      <c r="BN221" s="154">
        <f>IF(OR(Расчет!C218="A0",Расчет!C218="P9",Расчет!B218="722W"),"-",Расчет!A218)</f>
        <v>11363</v>
      </c>
      <c r="BO221" s="173">
        <f t="shared" si="81"/>
        <v>0</v>
      </c>
      <c r="BP221" s="172" t="str">
        <f>IF(BQ221="-","-",IFERROR(IF(OR(VLOOKUP(BN221,Расчет!$A$2:$E$582,5,FALSE)="2PS",VLOOKUP(BN221,Расчет!$A$2:$E$582,5,FALSE)="2QL"),IF(OR(VLOOKUP(BN221,Расчет!$A$2:$E$582,2,FALSE)="664W",VLOOKUP(BN221,Расчет!$A$2:$E$582,2,FALSE)="813W"),IF(BN221-$BS$7&gt;150,BN221-$BS$7-1000+$AD$12,BN221-$BS$7+$AD$12),IF(BN221-$BS$7&gt;150,BN221-$BS$7-1000+$AD$17,BN221-$BS$7+$AD$17)),IF(BN221-$BS$7&gt;150,BN221-$BS$7-1000,BN221-$BS$7)),"-"))</f>
        <v>-</v>
      </c>
      <c r="BQ221" s="173">
        <f t="shared" si="78"/>
        <v>11363</v>
      </c>
      <c r="BR221" s="453"/>
      <c r="BS221" s="171"/>
      <c r="BT221" s="464" t="str">
        <f t="shared" si="79"/>
        <v>-</v>
      </c>
      <c r="BU221" s="464" t="str">
        <f t="shared" si="80"/>
        <v>-</v>
      </c>
      <c r="BX221"/>
      <c r="BY221"/>
    </row>
    <row r="222" spans="31:85" ht="21">
      <c r="BL222" s="172">
        <f>COUNTIF($BM$5:BM222,"&lt;-115")</f>
        <v>0</v>
      </c>
      <c r="BM222" s="154" t="str">
        <f>IFERROR(IF(OR(IFERROR(VLOOKUP(BN222,$E$3:$E$105,1,FALSE),"0")=BN222,IFERROR(VLOOKUP(BN222,$R$3:$R$105,1,FALSE),"0")=BN222),BO222,IF(OR(VLOOKUP(BN222,Расчет!A:E,5,FALSE)="2PS",VLOOKUP(BN222,Расчет!A:E,5,FALSE)="2QL"),IF(VLOOKUP(BN222,Расчет!A:B,2,FALSE)="831W",BN222-$BS$7+$AD$17,BN222-$BS$7+$AD$12),BN222-$BS$7)),"-")</f>
        <v>-</v>
      </c>
      <c r="BN222" s="154">
        <f>IF(OR(Расчет!C219="A0",Расчет!C219="P9",Расчет!B219="722W"),"-",Расчет!A219)</f>
        <v>11364</v>
      </c>
      <c r="BO222" s="173">
        <f t="shared" si="81"/>
        <v>0</v>
      </c>
      <c r="BP222" s="172" t="str">
        <f>IF(BQ222="-","-",IFERROR(IF(OR(VLOOKUP(BN222,Расчет!$A$2:$E$582,5,FALSE)="2PS",VLOOKUP(BN222,Расчет!$A$2:$E$582,5,FALSE)="2QL"),IF(OR(VLOOKUP(BN222,Расчет!$A$2:$E$582,2,FALSE)="664W",VLOOKUP(BN222,Расчет!$A$2:$E$582,2,FALSE)="813W"),IF(BN222-$BS$7&gt;150,BN222-$BS$7-1000+$AD$12,BN222-$BS$7+$AD$12),IF(BN222-$BS$7&gt;150,BN222-$BS$7-1000+$AD$17,BN222-$BS$7+$AD$17)),IF(BN222-$BS$7&gt;150,BN222-$BS$7-1000,BN222-$BS$7)),"-"))</f>
        <v>-</v>
      </c>
      <c r="BQ222" s="173">
        <f t="shared" si="78"/>
        <v>11364</v>
      </c>
      <c r="BR222" s="453"/>
      <c r="BS222" s="171"/>
      <c r="BT222" s="464" t="str">
        <f t="shared" si="79"/>
        <v>-</v>
      </c>
      <c r="BU222" s="464" t="str">
        <f t="shared" si="80"/>
        <v>-</v>
      </c>
      <c r="BX222"/>
      <c r="BY222"/>
    </row>
    <row r="223" spans="31:85" ht="21">
      <c r="BL223" s="172">
        <f>COUNTIF($BM$5:BM223,"&lt;-115")</f>
        <v>0</v>
      </c>
      <c r="BM223" s="154" t="str">
        <f>IFERROR(IF(OR(IFERROR(VLOOKUP(BN223,$E$3:$E$105,1,FALSE),"0")=BN223,IFERROR(VLOOKUP(BN223,$R$3:$R$105,1,FALSE),"0")=BN223),BO223,IF(OR(VLOOKUP(BN223,Расчет!A:E,5,FALSE)="2PS",VLOOKUP(BN223,Расчет!A:E,5,FALSE)="2QL"),IF(VLOOKUP(BN223,Расчет!A:B,2,FALSE)="831W",BN223-$BS$7+$AD$17,BN223-$BS$7+$AD$12),BN223-$BS$7)),"-")</f>
        <v>-</v>
      </c>
      <c r="BN223" s="154">
        <f>IF(OR(Расчет!C220="A0",Расчет!C220="P9",Расчет!B220="722W"),"-",Расчет!A220)</f>
        <v>11365</v>
      </c>
      <c r="BO223" s="173">
        <f t="shared" si="81"/>
        <v>0</v>
      </c>
      <c r="BP223" s="172" t="str">
        <f>IF(BQ223="-","-",IFERROR(IF(OR(VLOOKUP(BN223,Расчет!$A$2:$E$582,5,FALSE)="2PS",VLOOKUP(BN223,Расчет!$A$2:$E$582,5,FALSE)="2QL"),IF(OR(VLOOKUP(BN223,Расчет!$A$2:$E$582,2,FALSE)="664W",VLOOKUP(BN223,Расчет!$A$2:$E$582,2,FALSE)="813W"),IF(BN223-$BS$7&gt;150,BN223-$BS$7-1000+$AD$12,BN223-$BS$7+$AD$12),IF(BN223-$BS$7&gt;150,BN223-$BS$7-1000+$AD$17,BN223-$BS$7+$AD$17)),IF(BN223-$BS$7&gt;150,BN223-$BS$7-1000,BN223-$BS$7)),"-"))</f>
        <v>-</v>
      </c>
      <c r="BQ223" s="173">
        <f t="shared" si="78"/>
        <v>11365</v>
      </c>
      <c r="BR223" s="453"/>
      <c r="BS223" s="171"/>
      <c r="BT223" s="464" t="str">
        <f t="shared" si="79"/>
        <v>-</v>
      </c>
      <c r="BU223" s="464" t="str">
        <f t="shared" si="80"/>
        <v>-</v>
      </c>
      <c r="BX223"/>
      <c r="BY223"/>
    </row>
    <row r="224" spans="31:85" ht="21">
      <c r="BL224" s="172">
        <f>COUNTIF($BM$5:BM224,"&lt;-115")</f>
        <v>0</v>
      </c>
      <c r="BM224" s="154" t="str">
        <f>IFERROR(IF(OR(IFERROR(VLOOKUP(BN224,$E$3:$E$105,1,FALSE),"0")=BN224,IFERROR(VLOOKUP(BN224,$R$3:$R$105,1,FALSE),"0")=BN224),BO224,IF(OR(VLOOKUP(BN224,Расчет!A:E,5,FALSE)="2PS",VLOOKUP(BN224,Расчет!A:E,5,FALSE)="2QL"),IF(VLOOKUP(BN224,Расчет!A:B,2,FALSE)="831W",BN224-$BS$7+$AD$17,BN224-$BS$7+$AD$12),BN224-$BS$7)),"-")</f>
        <v>-</v>
      </c>
      <c r="BN224" s="154">
        <f>IF(OR(Расчет!C221="A0",Расчет!C221="P9",Расчет!B221="722W"),"-",Расчет!A221)</f>
        <v>11366</v>
      </c>
      <c r="BO224" s="173">
        <f t="shared" si="81"/>
        <v>0</v>
      </c>
      <c r="BP224" s="172" t="str">
        <f>IF(BQ224="-","-",IFERROR(IF(OR(VLOOKUP(BN224,Расчет!$A$2:$E$582,5,FALSE)="2PS",VLOOKUP(BN224,Расчет!$A$2:$E$582,5,FALSE)="2QL"),IF(OR(VLOOKUP(BN224,Расчет!$A$2:$E$582,2,FALSE)="664W",VLOOKUP(BN224,Расчет!$A$2:$E$582,2,FALSE)="813W"),IF(BN224-$BS$7&gt;150,BN224-$BS$7-1000+$AD$12,BN224-$BS$7+$AD$12),IF(BN224-$BS$7&gt;150,BN224-$BS$7-1000+$AD$17,BN224-$BS$7+$AD$17)),IF(BN224-$BS$7&gt;150,BN224-$BS$7-1000,BN224-$BS$7)),"-"))</f>
        <v>-</v>
      </c>
      <c r="BQ224" s="173">
        <f t="shared" si="78"/>
        <v>11366</v>
      </c>
      <c r="BR224" s="453"/>
      <c r="BS224" s="171"/>
      <c r="BT224" s="464" t="str">
        <f t="shared" si="79"/>
        <v>-</v>
      </c>
      <c r="BU224" s="464" t="str">
        <f t="shared" si="80"/>
        <v>-</v>
      </c>
      <c r="BX224"/>
      <c r="BY224"/>
    </row>
    <row r="225" spans="64:77" ht="21">
      <c r="BL225" s="172">
        <f>COUNTIF($BM$5:BM225,"&lt;-115")</f>
        <v>0</v>
      </c>
      <c r="BM225" s="154" t="str">
        <f>IFERROR(IF(OR(IFERROR(VLOOKUP(BN225,$E$3:$E$105,1,FALSE),"0")=BN225,IFERROR(VLOOKUP(BN225,$R$3:$R$105,1,FALSE),"0")=BN225),BO225,IF(OR(VLOOKUP(BN225,Расчет!A:E,5,FALSE)="2PS",VLOOKUP(BN225,Расчет!A:E,5,FALSE)="2QL"),IF(VLOOKUP(BN225,Расчет!A:B,2,FALSE)="831W",BN225-$BS$7+$AD$17,BN225-$BS$7+$AD$12),BN225-$BS$7)),"-")</f>
        <v>-</v>
      </c>
      <c r="BN225" s="154">
        <f>IF(OR(Расчет!C222="A0",Расчет!C222="P9",Расчет!B222="722W"),"-",Расчет!A222)</f>
        <v>11367</v>
      </c>
      <c r="BO225" s="173">
        <f t="shared" si="81"/>
        <v>0</v>
      </c>
      <c r="BP225" s="172" t="str">
        <f>IF(BQ225="-","-",IFERROR(IF(OR(VLOOKUP(BN225,Расчет!$A$2:$E$582,5,FALSE)="2PS",VLOOKUP(BN225,Расчет!$A$2:$E$582,5,FALSE)="2QL"),IF(OR(VLOOKUP(BN225,Расчет!$A$2:$E$582,2,FALSE)="664W",VLOOKUP(BN225,Расчет!$A$2:$E$582,2,FALSE)="813W"),IF(BN225-$BS$7&gt;150,BN225-$BS$7-1000+$AD$12,BN225-$BS$7+$AD$12),IF(BN225-$BS$7&gt;150,BN225-$BS$7-1000+$AD$17,BN225-$BS$7+$AD$17)),IF(BN225-$BS$7&gt;150,BN225-$BS$7-1000,BN225-$BS$7)),"-"))</f>
        <v>-</v>
      </c>
      <c r="BQ225" s="173">
        <f t="shared" si="78"/>
        <v>11367</v>
      </c>
      <c r="BR225" s="453"/>
      <c r="BS225" s="171"/>
      <c r="BT225" s="464" t="str">
        <f t="shared" si="79"/>
        <v>-</v>
      </c>
      <c r="BU225" s="464" t="str">
        <f t="shared" si="80"/>
        <v>-</v>
      </c>
      <c r="BX225"/>
      <c r="BY225"/>
    </row>
    <row r="226" spans="64:77" ht="21">
      <c r="BL226" s="172">
        <f>COUNTIF($BM$5:BM226,"&lt;-115")</f>
        <v>0</v>
      </c>
      <c r="BM226" s="154" t="str">
        <f>IFERROR(IF(OR(IFERROR(VLOOKUP(BN226,$E$3:$E$105,1,FALSE),"0")=BN226,IFERROR(VLOOKUP(BN226,$R$3:$R$105,1,FALSE),"0")=BN226),BO226,IF(OR(VLOOKUP(BN226,Расчет!A:E,5,FALSE)="2PS",VLOOKUP(BN226,Расчет!A:E,5,FALSE)="2QL"),IF(VLOOKUP(BN226,Расчет!A:B,2,FALSE)="831W",BN226-$BS$7+$AD$17,BN226-$BS$7+$AD$12),BN226-$BS$7)),"-")</f>
        <v>-</v>
      </c>
      <c r="BN226" s="154">
        <f>IF(OR(Расчет!C223="A0",Расчет!C223="P9",Расчет!B223="722W"),"-",Расчет!A223)</f>
        <v>11368</v>
      </c>
      <c r="BO226" s="173">
        <f t="shared" si="81"/>
        <v>0</v>
      </c>
      <c r="BP226" s="172" t="str">
        <f>IF(BQ226="-","-",IFERROR(IF(OR(VLOOKUP(BN226,Расчет!$A$2:$E$582,5,FALSE)="2PS",VLOOKUP(BN226,Расчет!$A$2:$E$582,5,FALSE)="2QL"),IF(OR(VLOOKUP(BN226,Расчет!$A$2:$E$582,2,FALSE)="664W",VLOOKUP(BN226,Расчет!$A$2:$E$582,2,FALSE)="813W"),IF(BN226-$BS$7&gt;150,BN226-$BS$7-1000+$AD$12,BN226-$BS$7+$AD$12),IF(BN226-$BS$7&gt;150,BN226-$BS$7-1000+$AD$17,BN226-$BS$7+$AD$17)),IF(BN226-$BS$7&gt;150,BN226-$BS$7-1000,BN226-$BS$7)),"-"))</f>
        <v>-</v>
      </c>
      <c r="BQ226" s="173">
        <f t="shared" si="78"/>
        <v>11368</v>
      </c>
      <c r="BR226" s="453"/>
      <c r="BS226" s="171"/>
      <c r="BT226" s="464" t="str">
        <f t="shared" si="79"/>
        <v>-</v>
      </c>
      <c r="BU226" s="464" t="str">
        <f t="shared" si="80"/>
        <v>-</v>
      </c>
      <c r="BX226"/>
      <c r="BY226"/>
    </row>
    <row r="227" spans="64:77" ht="21">
      <c r="BL227" s="172">
        <f>COUNTIF($BM$5:BM227,"&lt;-115")</f>
        <v>0</v>
      </c>
      <c r="BM227" s="154" t="str">
        <f>IFERROR(IF(OR(IFERROR(VLOOKUP(BN227,$E$3:$E$105,1,FALSE),"0")=BN227,IFERROR(VLOOKUP(BN227,$R$3:$R$105,1,FALSE),"0")=BN227),BO227,IF(OR(VLOOKUP(BN227,Расчет!A:E,5,FALSE)="2PS",VLOOKUP(BN227,Расчет!A:E,5,FALSE)="2QL"),IF(VLOOKUP(BN227,Расчет!A:B,2,FALSE)="831W",BN227-$BS$7+$AD$17,BN227-$BS$7+$AD$12),BN227-$BS$7)),"-")</f>
        <v>-</v>
      </c>
      <c r="BN227" s="154">
        <f>IF(OR(Расчет!C224="A0",Расчет!C224="P9",Расчет!B224="722W"),"-",Расчет!A224)</f>
        <v>11369</v>
      </c>
      <c r="BO227" s="173">
        <f t="shared" si="81"/>
        <v>0</v>
      </c>
      <c r="BP227" s="172" t="str">
        <f>IF(BQ227="-","-",IFERROR(IF(OR(VLOOKUP(BN227,Расчет!$A$2:$E$582,5,FALSE)="2PS",VLOOKUP(BN227,Расчет!$A$2:$E$582,5,FALSE)="2QL"),IF(OR(VLOOKUP(BN227,Расчет!$A$2:$E$582,2,FALSE)="664W",VLOOKUP(BN227,Расчет!$A$2:$E$582,2,FALSE)="813W"),IF(BN227-$BS$7&gt;150,BN227-$BS$7-1000+$AD$12,BN227-$BS$7+$AD$12),IF(BN227-$BS$7&gt;150,BN227-$BS$7-1000+$AD$17,BN227-$BS$7+$AD$17)),IF(BN227-$BS$7&gt;150,BN227-$BS$7-1000,BN227-$BS$7)),"-"))</f>
        <v>-</v>
      </c>
      <c r="BQ227" s="173">
        <f t="shared" si="78"/>
        <v>11369</v>
      </c>
      <c r="BR227" s="453"/>
      <c r="BS227" s="171"/>
      <c r="BT227" s="464" t="str">
        <f t="shared" si="79"/>
        <v>-</v>
      </c>
      <c r="BU227" s="464" t="str">
        <f t="shared" si="80"/>
        <v>-</v>
      </c>
      <c r="BX227"/>
      <c r="BY227"/>
    </row>
    <row r="228" spans="64:77" ht="21">
      <c r="BL228" s="172">
        <f>COUNTIF($BM$5:BM228,"&lt;-115")</f>
        <v>0</v>
      </c>
      <c r="BM228" s="154" t="str">
        <f>IFERROR(IF(OR(IFERROR(VLOOKUP(BN228,$E$3:$E$105,1,FALSE),"0")=BN228,IFERROR(VLOOKUP(BN228,$R$3:$R$105,1,FALSE),"0")=BN228),BO228,IF(OR(VLOOKUP(BN228,Расчет!A:E,5,FALSE)="2PS",VLOOKUP(BN228,Расчет!A:E,5,FALSE)="2QL"),IF(VLOOKUP(BN228,Расчет!A:B,2,FALSE)="831W",BN228-$BS$7+$AD$17,BN228-$BS$7+$AD$12),BN228-$BS$7)),"-")</f>
        <v>-</v>
      </c>
      <c r="BN228" s="154">
        <f>IF(OR(Расчет!C225="A0",Расчет!C225="P9",Расчет!B225="722W"),"-",Расчет!A225)</f>
        <v>11370</v>
      </c>
      <c r="BO228" s="173">
        <f t="shared" si="81"/>
        <v>0</v>
      </c>
      <c r="BP228" s="172" t="str">
        <f>IF(BQ228="-","-",IFERROR(IF(OR(VLOOKUP(BN228,Расчет!$A$2:$E$582,5,FALSE)="2PS",VLOOKUP(BN228,Расчет!$A$2:$E$582,5,FALSE)="2QL"),IF(OR(VLOOKUP(BN228,Расчет!$A$2:$E$582,2,FALSE)="664W",VLOOKUP(BN228,Расчет!$A$2:$E$582,2,FALSE)="813W"),IF(BN228-$BS$7&gt;150,BN228-$BS$7-1000+$AD$12,BN228-$BS$7+$AD$12),IF(BN228-$BS$7&gt;150,BN228-$BS$7-1000+$AD$17,BN228-$BS$7+$AD$17)),IF(BN228-$BS$7&gt;150,BN228-$BS$7-1000,BN228-$BS$7)),"-"))</f>
        <v>-</v>
      </c>
      <c r="BQ228" s="173">
        <f t="shared" si="78"/>
        <v>11370</v>
      </c>
      <c r="BR228" s="453"/>
      <c r="BS228" s="171"/>
      <c r="BT228" s="464" t="str">
        <f t="shared" si="79"/>
        <v>-</v>
      </c>
      <c r="BU228" s="464" t="str">
        <f t="shared" si="80"/>
        <v>-</v>
      </c>
      <c r="BX228"/>
      <c r="BY228"/>
    </row>
    <row r="229" spans="64:77" ht="21">
      <c r="BL229" s="172">
        <f>COUNTIF($BM$5:BM229,"&lt;-115")</f>
        <v>0</v>
      </c>
      <c r="BM229" s="154" t="str">
        <f>IFERROR(IF(OR(IFERROR(VLOOKUP(BN229,$E$3:$E$105,1,FALSE),"0")=BN229,IFERROR(VLOOKUP(BN229,$R$3:$R$105,1,FALSE),"0")=BN229),BO229,IF(OR(VLOOKUP(BN229,Расчет!A:E,5,FALSE)="2PS",VLOOKUP(BN229,Расчет!A:E,5,FALSE)="2QL"),IF(VLOOKUP(BN229,Расчет!A:B,2,FALSE)="831W",BN229-$BS$7+$AD$17,BN229-$BS$7+$AD$12),BN229-$BS$7)),"-")</f>
        <v>-</v>
      </c>
      <c r="BN229" s="154">
        <f>IF(OR(Расчет!C226="A0",Расчет!C226="P9",Расчет!B226="722W"),"-",Расчет!A226)</f>
        <v>11371</v>
      </c>
      <c r="BO229" s="173">
        <f t="shared" si="81"/>
        <v>0</v>
      </c>
      <c r="BP229" s="172" t="str">
        <f>IF(BQ229="-","-",IFERROR(IF(OR(VLOOKUP(BN229,Расчет!$A$2:$E$582,5,FALSE)="2PS",VLOOKUP(BN229,Расчет!$A$2:$E$582,5,FALSE)="2QL"),IF(OR(VLOOKUP(BN229,Расчет!$A$2:$E$582,2,FALSE)="664W",VLOOKUP(BN229,Расчет!$A$2:$E$582,2,FALSE)="813W"),IF(BN229-$BS$7&gt;150,BN229-$BS$7-1000+$AD$12,BN229-$BS$7+$AD$12),IF(BN229-$BS$7&gt;150,BN229-$BS$7-1000+$AD$17,BN229-$BS$7+$AD$17)),IF(BN229-$BS$7&gt;150,BN229-$BS$7-1000,BN229-$BS$7)),"-"))</f>
        <v>-</v>
      </c>
      <c r="BQ229" s="173">
        <f t="shared" si="78"/>
        <v>11371</v>
      </c>
      <c r="BR229" s="453"/>
      <c r="BS229" s="171"/>
      <c r="BT229" s="464" t="str">
        <f t="shared" si="79"/>
        <v>-</v>
      </c>
      <c r="BU229" s="464" t="str">
        <f t="shared" si="80"/>
        <v>-</v>
      </c>
      <c r="BX229"/>
      <c r="BY229"/>
    </row>
    <row r="230" spans="64:77" ht="21">
      <c r="BL230" s="172">
        <f>COUNTIF($BM$5:BM230,"&lt;-115")</f>
        <v>0</v>
      </c>
      <c r="BM230" s="154" t="str">
        <f>IFERROR(IF(OR(IFERROR(VLOOKUP(BN230,$E$3:$E$105,1,FALSE),"0")=BN230,IFERROR(VLOOKUP(BN230,$R$3:$R$105,1,FALSE),"0")=BN230),BO230,IF(OR(VLOOKUP(BN230,Расчет!A:E,5,FALSE)="2PS",VLOOKUP(BN230,Расчет!A:E,5,FALSE)="2QL"),IF(VLOOKUP(BN230,Расчет!A:B,2,FALSE)="831W",BN230-$BS$7+$AD$17,BN230-$BS$7+$AD$12),BN230-$BS$7)),"-")</f>
        <v>-</v>
      </c>
      <c r="BN230" s="154">
        <f>IF(OR(Расчет!C227="A0",Расчет!C227="P9",Расчет!B227="722W"),"-",Расчет!A227)</f>
        <v>11372</v>
      </c>
      <c r="BO230" s="173">
        <f t="shared" si="81"/>
        <v>0</v>
      </c>
      <c r="BP230" s="172" t="str">
        <f>IF(BQ230="-","-",IFERROR(IF(OR(VLOOKUP(BN230,Расчет!$A$2:$E$582,5,FALSE)="2PS",VLOOKUP(BN230,Расчет!$A$2:$E$582,5,FALSE)="2QL"),IF(OR(VLOOKUP(BN230,Расчет!$A$2:$E$582,2,FALSE)="664W",VLOOKUP(BN230,Расчет!$A$2:$E$582,2,FALSE)="813W"),IF(BN230-$BS$7&gt;150,BN230-$BS$7-1000+$AD$12,BN230-$BS$7+$AD$12),IF(BN230-$BS$7&gt;150,BN230-$BS$7-1000+$AD$17,BN230-$BS$7+$AD$17)),IF(BN230-$BS$7&gt;150,BN230-$BS$7-1000,BN230-$BS$7)),"-"))</f>
        <v>-</v>
      </c>
      <c r="BQ230" s="173">
        <f t="shared" si="78"/>
        <v>11372</v>
      </c>
      <c r="BR230" s="453"/>
      <c r="BS230" s="171"/>
      <c r="BT230" s="464" t="str">
        <f t="shared" si="79"/>
        <v>-</v>
      </c>
      <c r="BU230" s="464" t="str">
        <f t="shared" si="80"/>
        <v>-</v>
      </c>
      <c r="BX230"/>
      <c r="BY230"/>
    </row>
    <row r="231" spans="64:77" ht="21">
      <c r="BL231" s="172">
        <f>COUNTIF($BM$5:BM231,"&lt;-115")</f>
        <v>0</v>
      </c>
      <c r="BM231" s="154" t="str">
        <f>IFERROR(IF(OR(IFERROR(VLOOKUP(BN231,$E$3:$E$105,1,FALSE),"0")=BN231,IFERROR(VLOOKUP(BN231,$R$3:$R$105,1,FALSE),"0")=BN231),BO231,IF(OR(VLOOKUP(BN231,Расчет!A:E,5,FALSE)="2PS",VLOOKUP(BN231,Расчет!A:E,5,FALSE)="2QL"),IF(VLOOKUP(BN231,Расчет!A:B,2,FALSE)="831W",BN231-$BS$7+$AD$17,BN231-$BS$7+$AD$12),BN231-$BS$7)),"-")</f>
        <v>-</v>
      </c>
      <c r="BN231" s="154">
        <f>IF(OR(Расчет!C228="A0",Расчет!C228="P9",Расчет!B228="722W"),"-",Расчет!A228)</f>
        <v>11373</v>
      </c>
      <c r="BO231" s="173">
        <f t="shared" si="81"/>
        <v>0</v>
      </c>
      <c r="BP231" s="172" t="str">
        <f>IF(BQ231="-","-",IFERROR(IF(OR(VLOOKUP(BN231,Расчет!$A$2:$E$582,5,FALSE)="2PS",VLOOKUP(BN231,Расчет!$A$2:$E$582,5,FALSE)="2QL"),IF(OR(VLOOKUP(BN231,Расчет!$A$2:$E$582,2,FALSE)="664W",VLOOKUP(BN231,Расчет!$A$2:$E$582,2,FALSE)="813W"),IF(BN231-$BS$7&gt;150,BN231-$BS$7-1000+$AD$12,BN231-$BS$7+$AD$12),IF(BN231-$BS$7&gt;150,BN231-$BS$7-1000+$AD$17,BN231-$BS$7+$AD$17)),IF(BN231-$BS$7&gt;150,BN231-$BS$7-1000,BN231-$BS$7)),"-"))</f>
        <v>-</v>
      </c>
      <c r="BQ231" s="173">
        <f t="shared" si="78"/>
        <v>11373</v>
      </c>
      <c r="BR231" s="453"/>
      <c r="BS231" s="171"/>
      <c r="BT231" s="464" t="str">
        <f t="shared" si="79"/>
        <v>-</v>
      </c>
      <c r="BU231" s="464" t="str">
        <f t="shared" si="80"/>
        <v>-</v>
      </c>
      <c r="BX231"/>
      <c r="BY231"/>
    </row>
    <row r="232" spans="64:77" ht="21">
      <c r="BL232" s="172">
        <f>COUNTIF($BM$5:BM232,"&lt;-115")</f>
        <v>0</v>
      </c>
      <c r="BM232" s="154" t="str">
        <f>IFERROR(IF(OR(IFERROR(VLOOKUP(BN232,$E$3:$E$105,1,FALSE),"0")=BN232,IFERROR(VLOOKUP(BN232,$R$3:$R$105,1,FALSE),"0")=BN232),BO232,IF(OR(VLOOKUP(BN232,Расчет!A:E,5,FALSE)="2PS",VLOOKUP(BN232,Расчет!A:E,5,FALSE)="2QL"),IF(VLOOKUP(BN232,Расчет!A:B,2,FALSE)="831W",BN232-$BS$7+$AD$17,BN232-$BS$7+$AD$12),BN232-$BS$7)),"-")</f>
        <v>-</v>
      </c>
      <c r="BN232" s="154">
        <f>IF(OR(Расчет!C229="A0",Расчет!C229="P9",Расчет!B229="722W"),"-",Расчет!A229)</f>
        <v>11374</v>
      </c>
      <c r="BO232" s="173">
        <f t="shared" si="81"/>
        <v>0</v>
      </c>
      <c r="BP232" s="172" t="str">
        <f>IF(BQ232="-","-",IFERROR(IF(OR(VLOOKUP(BN232,Расчет!$A$2:$E$582,5,FALSE)="2PS",VLOOKUP(BN232,Расчет!$A$2:$E$582,5,FALSE)="2QL"),IF(OR(VLOOKUP(BN232,Расчет!$A$2:$E$582,2,FALSE)="664W",VLOOKUP(BN232,Расчет!$A$2:$E$582,2,FALSE)="813W"),IF(BN232-$BS$7&gt;150,BN232-$BS$7-1000+$AD$12,BN232-$BS$7+$AD$12),IF(BN232-$BS$7&gt;150,BN232-$BS$7-1000+$AD$17,BN232-$BS$7+$AD$17)),IF(BN232-$BS$7&gt;150,BN232-$BS$7-1000,BN232-$BS$7)),"-"))</f>
        <v>-</v>
      </c>
      <c r="BQ232" s="173">
        <f t="shared" si="78"/>
        <v>11374</v>
      </c>
      <c r="BR232" s="453"/>
      <c r="BS232" s="171"/>
      <c r="BT232" s="464" t="str">
        <f t="shared" si="79"/>
        <v>-</v>
      </c>
      <c r="BU232" s="464" t="str">
        <f t="shared" si="80"/>
        <v>-</v>
      </c>
      <c r="BX232"/>
      <c r="BY232"/>
    </row>
    <row r="233" spans="64:77" ht="21">
      <c r="BL233" s="172">
        <f>COUNTIF($BM$5:BM233,"&lt;-115")</f>
        <v>0</v>
      </c>
      <c r="BM233" s="154" t="str">
        <f>IFERROR(IF(OR(IFERROR(VLOOKUP(BN233,$E$3:$E$105,1,FALSE),"0")=BN233,IFERROR(VLOOKUP(BN233,$R$3:$R$105,1,FALSE),"0")=BN233),BO233,IF(OR(VLOOKUP(BN233,Расчет!A:E,5,FALSE)="2PS",VLOOKUP(BN233,Расчет!A:E,5,FALSE)="2QL"),IF(VLOOKUP(BN233,Расчет!A:B,2,FALSE)="831W",BN233-$BS$7+$AD$17,BN233-$BS$7+$AD$12),BN233-$BS$7)),"-")</f>
        <v>-</v>
      </c>
      <c r="BN233" s="154">
        <f>IF(OR(Расчет!C230="A0",Расчет!C230="P9",Расчет!B230="722W"),"-",Расчет!A230)</f>
        <v>11375</v>
      </c>
      <c r="BO233" s="173">
        <f t="shared" si="81"/>
        <v>0</v>
      </c>
      <c r="BP233" s="172" t="str">
        <f>IF(BQ233="-","-",IFERROR(IF(OR(VLOOKUP(BN233,Расчет!$A$2:$E$582,5,FALSE)="2PS",VLOOKUP(BN233,Расчет!$A$2:$E$582,5,FALSE)="2QL"),IF(OR(VLOOKUP(BN233,Расчет!$A$2:$E$582,2,FALSE)="664W",VLOOKUP(BN233,Расчет!$A$2:$E$582,2,FALSE)="813W"),IF(BN233-$BS$7&gt;150,BN233-$BS$7-1000+$AD$12,BN233-$BS$7+$AD$12),IF(BN233-$BS$7&gt;150,BN233-$BS$7-1000+$AD$17,BN233-$BS$7+$AD$17)),IF(BN233-$BS$7&gt;150,BN233-$BS$7-1000,BN233-$BS$7)),"-"))</f>
        <v>-</v>
      </c>
      <c r="BQ233" s="173">
        <f t="shared" si="78"/>
        <v>11375</v>
      </c>
      <c r="BR233" s="453"/>
      <c r="BS233" s="171"/>
      <c r="BT233" s="464" t="str">
        <f t="shared" si="79"/>
        <v>-</v>
      </c>
      <c r="BU233" s="464" t="str">
        <f t="shared" si="80"/>
        <v>-</v>
      </c>
      <c r="BX233"/>
      <c r="BY233"/>
    </row>
    <row r="234" spans="64:77" ht="21">
      <c r="BL234" s="172">
        <f>COUNTIF($BM$5:BM234,"&lt;-115")</f>
        <v>0</v>
      </c>
      <c r="BM234" s="154" t="str">
        <f>IFERROR(IF(OR(IFERROR(VLOOKUP(BN234,$E$3:$E$105,1,FALSE),"0")=BN234,IFERROR(VLOOKUP(BN234,$R$3:$R$105,1,FALSE),"0")=BN234),BO234,IF(OR(VLOOKUP(BN234,Расчет!A:E,5,FALSE)="2PS",VLOOKUP(BN234,Расчет!A:E,5,FALSE)="2QL"),IF(VLOOKUP(BN234,Расчет!A:B,2,FALSE)="831W",BN234-$BS$7+$AD$17,BN234-$BS$7+$AD$12),BN234-$BS$7)),"-")</f>
        <v>-</v>
      </c>
      <c r="BN234" s="154">
        <f>IF(OR(Расчет!C231="A0",Расчет!C231="P9",Расчет!B231="722W"),"-",Расчет!A231)</f>
        <v>11376</v>
      </c>
      <c r="BO234" s="173">
        <f t="shared" si="81"/>
        <v>0</v>
      </c>
      <c r="BP234" s="172" t="str">
        <f>IF(BQ234="-","-",IFERROR(IF(OR(VLOOKUP(BN234,Расчет!$A$2:$E$582,5,FALSE)="2PS",VLOOKUP(BN234,Расчет!$A$2:$E$582,5,FALSE)="2QL"),IF(OR(VLOOKUP(BN234,Расчет!$A$2:$E$582,2,FALSE)="664W",VLOOKUP(BN234,Расчет!$A$2:$E$582,2,FALSE)="813W"),IF(BN234-$BS$7&gt;150,BN234-$BS$7-1000+$AD$12,BN234-$BS$7+$AD$12),IF(BN234-$BS$7&gt;150,BN234-$BS$7-1000+$AD$17,BN234-$BS$7+$AD$17)),IF(BN234-$BS$7&gt;150,BN234-$BS$7-1000,BN234-$BS$7)),"-"))</f>
        <v>-</v>
      </c>
      <c r="BQ234" s="173">
        <f t="shared" si="78"/>
        <v>11376</v>
      </c>
      <c r="BR234" s="453"/>
      <c r="BS234" s="171"/>
      <c r="BT234" s="464" t="str">
        <f t="shared" si="79"/>
        <v>-</v>
      </c>
      <c r="BU234" s="464" t="str">
        <f t="shared" si="80"/>
        <v>-</v>
      </c>
      <c r="BX234"/>
      <c r="BY234"/>
    </row>
    <row r="235" spans="64:77" ht="21">
      <c r="BL235" s="172">
        <f>COUNTIF($BM$5:BM235,"&lt;-115")</f>
        <v>0</v>
      </c>
      <c r="BM235" s="154" t="str">
        <f>IFERROR(IF(OR(IFERROR(VLOOKUP(BN235,$E$3:$E$105,1,FALSE),"0")=BN235,IFERROR(VLOOKUP(BN235,$R$3:$R$105,1,FALSE),"0")=BN235),BO235,IF(OR(VLOOKUP(BN235,Расчет!A:E,5,FALSE)="2PS",VLOOKUP(BN235,Расчет!A:E,5,FALSE)="2QL"),IF(VLOOKUP(BN235,Расчет!A:B,2,FALSE)="831W",BN235-$BS$7+$AD$17,BN235-$BS$7+$AD$12),BN235-$BS$7)),"-")</f>
        <v>-</v>
      </c>
      <c r="BN235" s="154">
        <f>IF(OR(Расчет!C232="A0",Расчет!C232="P9",Расчет!B232="722W"),"-",Расчет!A232)</f>
        <v>11377</v>
      </c>
      <c r="BO235" s="173">
        <f t="shared" si="81"/>
        <v>0</v>
      </c>
      <c r="BP235" s="172" t="str">
        <f>IF(BQ235="-","-",IFERROR(IF(OR(VLOOKUP(BN235,Расчет!$A$2:$E$582,5,FALSE)="2PS",VLOOKUP(BN235,Расчет!$A$2:$E$582,5,FALSE)="2QL"),IF(OR(VLOOKUP(BN235,Расчет!$A$2:$E$582,2,FALSE)="664W",VLOOKUP(BN235,Расчет!$A$2:$E$582,2,FALSE)="813W"),IF(BN235-$BS$7&gt;150,BN235-$BS$7-1000+$AD$12,BN235-$BS$7+$AD$12),IF(BN235-$BS$7&gt;150,BN235-$BS$7-1000+$AD$17,BN235-$BS$7+$AD$17)),IF(BN235-$BS$7&gt;150,BN235-$BS$7-1000,BN235-$BS$7)),"-"))</f>
        <v>-</v>
      </c>
      <c r="BQ235" s="173">
        <f t="shared" si="78"/>
        <v>11377</v>
      </c>
      <c r="BR235" s="453"/>
      <c r="BS235" s="171"/>
      <c r="BT235" s="464" t="str">
        <f t="shared" si="79"/>
        <v>-</v>
      </c>
      <c r="BU235" s="464" t="str">
        <f t="shared" si="80"/>
        <v>-</v>
      </c>
      <c r="BX235"/>
      <c r="BY235"/>
    </row>
    <row r="236" spans="64:77" ht="21">
      <c r="BL236" s="172">
        <f>COUNTIF($BM$5:BM236,"&lt;-115")</f>
        <v>0</v>
      </c>
      <c r="BM236" s="154" t="str">
        <f>IFERROR(IF(OR(IFERROR(VLOOKUP(BN236,$E$3:$E$105,1,FALSE),"0")=BN236,IFERROR(VLOOKUP(BN236,$R$3:$R$105,1,FALSE),"0")=BN236),BO236,IF(OR(VLOOKUP(BN236,Расчет!A:E,5,FALSE)="2PS",VLOOKUP(BN236,Расчет!A:E,5,FALSE)="2QL"),IF(VLOOKUP(BN236,Расчет!A:B,2,FALSE)="831W",BN236-$BS$7+$AD$17,BN236-$BS$7+$AD$12),BN236-$BS$7)),"-")</f>
        <v>-</v>
      </c>
      <c r="BN236" s="154">
        <f>IF(OR(Расчет!C233="A0",Расчет!C233="P9",Расчет!B233="722W"),"-",Расчет!A233)</f>
        <v>11378</v>
      </c>
      <c r="BO236" s="173">
        <f t="shared" si="81"/>
        <v>0</v>
      </c>
      <c r="BP236" s="172" t="str">
        <f>IF(BQ236="-","-",IFERROR(IF(OR(VLOOKUP(BN236,Расчет!$A$2:$E$582,5,FALSE)="2PS",VLOOKUP(BN236,Расчет!$A$2:$E$582,5,FALSE)="2QL"),IF(OR(VLOOKUP(BN236,Расчет!$A$2:$E$582,2,FALSE)="664W",VLOOKUP(BN236,Расчет!$A$2:$E$582,2,FALSE)="813W"),IF(BN236-$BS$7&gt;150,BN236-$BS$7-1000+$AD$12,BN236-$BS$7+$AD$12),IF(BN236-$BS$7&gt;150,BN236-$BS$7-1000+$AD$17,BN236-$BS$7+$AD$17)),IF(BN236-$BS$7&gt;150,BN236-$BS$7-1000,BN236-$BS$7)),"-"))</f>
        <v>-</v>
      </c>
      <c r="BQ236" s="173">
        <f t="shared" si="78"/>
        <v>11378</v>
      </c>
      <c r="BR236" s="453"/>
      <c r="BS236" s="171"/>
      <c r="BT236" s="464" t="str">
        <f t="shared" si="79"/>
        <v>-</v>
      </c>
      <c r="BU236" s="464" t="str">
        <f t="shared" si="80"/>
        <v>-</v>
      </c>
      <c r="BX236"/>
      <c r="BY236"/>
    </row>
    <row r="237" spans="64:77" ht="21">
      <c r="BL237" s="172">
        <f>COUNTIF($BM$5:BM237,"&lt;-115")</f>
        <v>0</v>
      </c>
      <c r="BM237" s="154" t="str">
        <f>IFERROR(IF(OR(IFERROR(VLOOKUP(BN237,$E$3:$E$105,1,FALSE),"0")=BN237,IFERROR(VLOOKUP(BN237,$R$3:$R$105,1,FALSE),"0")=BN237),BO237,IF(OR(VLOOKUP(BN237,Расчет!A:E,5,FALSE)="2PS",VLOOKUP(BN237,Расчет!A:E,5,FALSE)="2QL"),IF(VLOOKUP(BN237,Расчет!A:B,2,FALSE)="831W",BN237-$BS$7+$AD$17,BN237-$BS$7+$AD$12),BN237-$BS$7)),"-")</f>
        <v>-</v>
      </c>
      <c r="BN237" s="154">
        <f>IF(OR(Расчет!C234="A0",Расчет!C234="P9",Расчет!B234="722W"),"-",Расчет!A234)</f>
        <v>11379</v>
      </c>
      <c r="BO237" s="173">
        <f t="shared" si="81"/>
        <v>0</v>
      </c>
      <c r="BP237" s="172" t="str">
        <f>IF(BQ237="-","-",IFERROR(IF(OR(VLOOKUP(BN237,Расчет!$A$2:$E$582,5,FALSE)="2PS",VLOOKUP(BN237,Расчет!$A$2:$E$582,5,FALSE)="2QL"),IF(OR(VLOOKUP(BN237,Расчет!$A$2:$E$582,2,FALSE)="664W",VLOOKUP(BN237,Расчет!$A$2:$E$582,2,FALSE)="813W"),IF(BN237-$BS$7&gt;150,BN237-$BS$7-1000+$AD$12,BN237-$BS$7+$AD$12),IF(BN237-$BS$7&gt;150,BN237-$BS$7-1000+$AD$17,BN237-$BS$7+$AD$17)),IF(BN237-$BS$7&gt;150,BN237-$BS$7-1000,BN237-$BS$7)),"-"))</f>
        <v>-</v>
      </c>
      <c r="BQ237" s="173">
        <f t="shared" si="78"/>
        <v>11379</v>
      </c>
      <c r="BR237" s="453"/>
      <c r="BS237" s="171"/>
      <c r="BT237" s="464" t="str">
        <f t="shared" si="79"/>
        <v>-</v>
      </c>
      <c r="BU237" s="464" t="str">
        <f t="shared" si="80"/>
        <v>-</v>
      </c>
      <c r="BX237"/>
      <c r="BY237"/>
    </row>
    <row r="238" spans="64:77" ht="21">
      <c r="BL238" s="172">
        <f>COUNTIF($BM$5:BM238,"&lt;-115")</f>
        <v>0</v>
      </c>
      <c r="BM238" s="154" t="str">
        <f>IFERROR(IF(OR(IFERROR(VLOOKUP(BN238,$E$3:$E$105,1,FALSE),"0")=BN238,IFERROR(VLOOKUP(BN238,$R$3:$R$105,1,FALSE),"0")=BN238),BO238,IF(OR(VLOOKUP(BN238,Расчет!A:E,5,FALSE)="2PS",VLOOKUP(BN238,Расчет!A:E,5,FALSE)="2QL"),IF(VLOOKUP(BN238,Расчет!A:B,2,FALSE)="831W",BN238-$BS$7+$AD$17,BN238-$BS$7+$AD$12),BN238-$BS$7)),"-")</f>
        <v>-</v>
      </c>
      <c r="BN238" s="154">
        <f>IF(OR(Расчет!C235="A0",Расчет!C235="P9",Расчет!B235="722W"),"-",Расчет!A235)</f>
        <v>11380</v>
      </c>
      <c r="BO238" s="173">
        <f t="shared" si="81"/>
        <v>0</v>
      </c>
      <c r="BP238" s="172" t="str">
        <f>IF(BQ238="-","-",IFERROR(IF(OR(VLOOKUP(BN238,Расчет!$A$2:$E$582,5,FALSE)="2PS",VLOOKUP(BN238,Расчет!$A$2:$E$582,5,FALSE)="2QL"),IF(OR(VLOOKUP(BN238,Расчет!$A$2:$E$582,2,FALSE)="664W",VLOOKUP(BN238,Расчет!$A$2:$E$582,2,FALSE)="813W"),IF(BN238-$BS$7&gt;150,BN238-$BS$7-1000+$AD$12,BN238-$BS$7+$AD$12),IF(BN238-$BS$7&gt;150,BN238-$BS$7-1000+$AD$17,BN238-$BS$7+$AD$17)),IF(BN238-$BS$7&gt;150,BN238-$BS$7-1000,BN238-$BS$7)),"-"))</f>
        <v>-</v>
      </c>
      <c r="BQ238" s="173">
        <f t="shared" si="78"/>
        <v>11380</v>
      </c>
      <c r="BR238" s="453"/>
      <c r="BS238" s="171"/>
      <c r="BT238" s="464" t="str">
        <f t="shared" si="79"/>
        <v>-</v>
      </c>
      <c r="BU238" s="464" t="str">
        <f t="shared" si="80"/>
        <v>-</v>
      </c>
      <c r="BX238"/>
      <c r="BY238"/>
    </row>
    <row r="239" spans="64:77" ht="21">
      <c r="BL239" s="172">
        <f>COUNTIF($BM$5:BM239,"&lt;-115")</f>
        <v>0</v>
      </c>
      <c r="BM239" s="154" t="str">
        <f>IFERROR(IF(OR(IFERROR(VLOOKUP(BN239,$E$3:$E$105,1,FALSE),"0")=BN239,IFERROR(VLOOKUP(BN239,$R$3:$R$105,1,FALSE),"0")=BN239),BO239,IF(OR(VLOOKUP(BN239,Расчет!A:E,5,FALSE)="2PS",VLOOKUP(BN239,Расчет!A:E,5,FALSE)="2QL"),IF(VLOOKUP(BN239,Расчет!A:B,2,FALSE)="831W",BN239-$BS$7+$AD$17,BN239-$BS$7+$AD$12),BN239-$BS$7)),"-")</f>
        <v>-</v>
      </c>
      <c r="BN239" s="154">
        <f>IF(OR(Расчет!C236="A0",Расчет!C236="P9",Расчет!B236="722W"),"-",Расчет!A236)</f>
        <v>11381</v>
      </c>
      <c r="BO239" s="173">
        <f t="shared" si="81"/>
        <v>0</v>
      </c>
      <c r="BP239" s="172" t="str">
        <f>IF(BQ239="-","-",IFERROR(IF(OR(VLOOKUP(BN239,Расчет!$A$2:$E$582,5,FALSE)="2PS",VLOOKUP(BN239,Расчет!$A$2:$E$582,5,FALSE)="2QL"),IF(OR(VLOOKUP(BN239,Расчет!$A$2:$E$582,2,FALSE)="664W",VLOOKUP(BN239,Расчет!$A$2:$E$582,2,FALSE)="813W"),IF(BN239-$BS$7&gt;150,BN239-$BS$7-1000+$AD$12,BN239-$BS$7+$AD$12),IF(BN239-$BS$7&gt;150,BN239-$BS$7-1000+$AD$17,BN239-$BS$7+$AD$17)),IF(BN239-$BS$7&gt;150,BN239-$BS$7-1000,BN239-$BS$7)),"-"))</f>
        <v>-</v>
      </c>
      <c r="BQ239" s="173">
        <f t="shared" si="78"/>
        <v>11381</v>
      </c>
      <c r="BR239" s="453"/>
      <c r="BS239" s="171"/>
      <c r="BT239" s="464" t="str">
        <f t="shared" si="79"/>
        <v>-</v>
      </c>
      <c r="BU239" s="464" t="str">
        <f t="shared" si="80"/>
        <v>-</v>
      </c>
      <c r="BX239"/>
      <c r="BY239"/>
    </row>
    <row r="240" spans="64:77" ht="21">
      <c r="BL240" s="172">
        <f>COUNTIF($BM$5:BM240,"&lt;-115")</f>
        <v>0</v>
      </c>
      <c r="BM240" s="154" t="str">
        <f>IFERROR(IF(OR(IFERROR(VLOOKUP(BN240,$E$3:$E$105,1,FALSE),"0")=BN240,IFERROR(VLOOKUP(BN240,$R$3:$R$105,1,FALSE),"0")=BN240),BO240,IF(OR(VLOOKUP(BN240,Расчет!A:E,5,FALSE)="2PS",VLOOKUP(BN240,Расчет!A:E,5,FALSE)="2QL"),IF(VLOOKUP(BN240,Расчет!A:B,2,FALSE)="831W",BN240-$BS$7+$AD$17,BN240-$BS$7+$AD$12),BN240-$BS$7)),"-")</f>
        <v>-</v>
      </c>
      <c r="BN240" s="154">
        <f>IF(OR(Расчет!C237="A0",Расчет!C237="P9",Расчет!B237="722W"),"-",Расчет!A237)</f>
        <v>11382</v>
      </c>
      <c r="BO240" s="173">
        <f t="shared" si="81"/>
        <v>0</v>
      </c>
      <c r="BP240" s="172" t="str">
        <f>IF(BQ240="-","-",IFERROR(IF(OR(VLOOKUP(BN240,Расчет!$A$2:$E$582,5,FALSE)="2PS",VLOOKUP(BN240,Расчет!$A$2:$E$582,5,FALSE)="2QL"),IF(OR(VLOOKUP(BN240,Расчет!$A$2:$E$582,2,FALSE)="664W",VLOOKUP(BN240,Расчет!$A$2:$E$582,2,FALSE)="813W"),IF(BN240-$BS$7&gt;150,BN240-$BS$7-1000+$AD$12,BN240-$BS$7+$AD$12),IF(BN240-$BS$7&gt;150,BN240-$BS$7-1000+$AD$17,BN240-$BS$7+$AD$17)),IF(BN240-$BS$7&gt;150,BN240-$BS$7-1000,BN240-$BS$7)),"-"))</f>
        <v>-</v>
      </c>
      <c r="BQ240" s="173">
        <f t="shared" si="78"/>
        <v>11382</v>
      </c>
      <c r="BR240" s="453"/>
      <c r="BS240" s="171"/>
      <c r="BT240" s="464" t="str">
        <f t="shared" si="79"/>
        <v>-</v>
      </c>
      <c r="BU240" s="464" t="str">
        <f t="shared" si="80"/>
        <v>-</v>
      </c>
      <c r="BX240"/>
      <c r="BY240"/>
    </row>
    <row r="241" spans="64:77" ht="21">
      <c r="BL241" s="172">
        <f>COUNTIF($BM$5:BM241,"&lt;-115")</f>
        <v>0</v>
      </c>
      <c r="BM241" s="154" t="str">
        <f>IFERROR(IF(OR(IFERROR(VLOOKUP(BN241,$E$3:$E$105,1,FALSE),"0")=BN241,IFERROR(VLOOKUP(BN241,$R$3:$R$105,1,FALSE),"0")=BN241),BO241,IF(OR(VLOOKUP(BN241,Расчет!A:E,5,FALSE)="2PS",VLOOKUP(BN241,Расчет!A:E,5,FALSE)="2QL"),IF(VLOOKUP(BN241,Расчет!A:B,2,FALSE)="831W",BN241-$BS$7+$AD$17,BN241-$BS$7+$AD$12),BN241-$BS$7)),"-")</f>
        <v>-</v>
      </c>
      <c r="BN241" s="154">
        <f>IF(OR(Расчет!C238="A0",Расчет!C238="P9",Расчет!B238="722W"),"-",Расчет!A238)</f>
        <v>11383</v>
      </c>
      <c r="BO241" s="173">
        <f t="shared" si="81"/>
        <v>0</v>
      </c>
      <c r="BP241" s="172" t="str">
        <f>IF(BQ241="-","-",IFERROR(IF(OR(VLOOKUP(BN241,Расчет!$A$2:$E$582,5,FALSE)="2PS",VLOOKUP(BN241,Расчет!$A$2:$E$582,5,FALSE)="2QL"),IF(OR(VLOOKUP(BN241,Расчет!$A$2:$E$582,2,FALSE)="664W",VLOOKUP(BN241,Расчет!$A$2:$E$582,2,FALSE)="813W"),IF(BN241-$BS$7&gt;150,BN241-$BS$7-1000+$AD$12,BN241-$BS$7+$AD$12),IF(BN241-$BS$7&gt;150,BN241-$BS$7-1000+$AD$17,BN241-$BS$7+$AD$17)),IF(BN241-$BS$7&gt;150,BN241-$BS$7-1000,BN241-$BS$7)),"-"))</f>
        <v>-</v>
      </c>
      <c r="BQ241" s="173">
        <f t="shared" si="78"/>
        <v>11383</v>
      </c>
      <c r="BR241" s="453"/>
      <c r="BS241" s="171"/>
      <c r="BT241" s="464" t="str">
        <f t="shared" si="79"/>
        <v>-</v>
      </c>
      <c r="BU241" s="464" t="str">
        <f t="shared" si="80"/>
        <v>-</v>
      </c>
      <c r="BX241"/>
      <c r="BY241"/>
    </row>
    <row r="242" spans="64:77" ht="21">
      <c r="BL242" s="172">
        <f>COUNTIF($BM$5:BM242,"&lt;-115")</f>
        <v>0</v>
      </c>
      <c r="BM242" s="154" t="str">
        <f>IFERROR(IF(OR(IFERROR(VLOOKUP(BN242,$E$3:$E$105,1,FALSE),"0")=BN242,IFERROR(VLOOKUP(BN242,$R$3:$R$105,1,FALSE),"0")=BN242),BO242,IF(OR(VLOOKUP(BN242,Расчет!A:E,5,FALSE)="2PS",VLOOKUP(BN242,Расчет!A:E,5,FALSE)="2QL"),IF(VLOOKUP(BN242,Расчет!A:B,2,FALSE)="831W",BN242-$BS$7+$AD$17,BN242-$BS$7+$AD$12),BN242-$BS$7)),"-")</f>
        <v>-</v>
      </c>
      <c r="BN242" s="154">
        <f>IF(OR(Расчет!C239="A0",Расчет!C239="P9",Расчет!B239="722W"),"-",Расчет!A239)</f>
        <v>11384</v>
      </c>
      <c r="BO242" s="173">
        <f t="shared" si="81"/>
        <v>0</v>
      </c>
      <c r="BP242" s="172" t="str">
        <f>IF(BQ242="-","-",IFERROR(IF(OR(VLOOKUP(BN242,Расчет!$A$2:$E$582,5,FALSE)="2PS",VLOOKUP(BN242,Расчет!$A$2:$E$582,5,FALSE)="2QL"),IF(OR(VLOOKUP(BN242,Расчет!$A$2:$E$582,2,FALSE)="664W",VLOOKUP(BN242,Расчет!$A$2:$E$582,2,FALSE)="813W"),IF(BN242-$BS$7&gt;150,BN242-$BS$7-1000+$AD$12,BN242-$BS$7+$AD$12),IF(BN242-$BS$7&gt;150,BN242-$BS$7-1000+$AD$17,BN242-$BS$7+$AD$17)),IF(BN242-$BS$7&gt;150,BN242-$BS$7-1000,BN242-$BS$7)),"-"))</f>
        <v>-</v>
      </c>
      <c r="BQ242" s="173">
        <f t="shared" si="78"/>
        <v>11384</v>
      </c>
      <c r="BR242" s="453"/>
      <c r="BS242" s="171"/>
      <c r="BT242" s="464" t="str">
        <f t="shared" si="79"/>
        <v>-</v>
      </c>
      <c r="BU242" s="464" t="str">
        <f t="shared" si="80"/>
        <v>-</v>
      </c>
      <c r="BX242"/>
      <c r="BY242"/>
    </row>
    <row r="243" spans="64:77" ht="21">
      <c r="BL243" s="172">
        <f>COUNTIF($BM$5:BM243,"&lt;-115")</f>
        <v>0</v>
      </c>
      <c r="BM243" s="154" t="str">
        <f>IFERROR(IF(OR(IFERROR(VLOOKUP(BN243,$E$3:$E$105,1,FALSE),"0")=BN243,IFERROR(VLOOKUP(BN243,$R$3:$R$105,1,FALSE),"0")=BN243),BO243,IF(OR(VLOOKUP(BN243,Расчет!A:E,5,FALSE)="2PS",VLOOKUP(BN243,Расчет!A:E,5,FALSE)="2QL"),IF(VLOOKUP(BN243,Расчет!A:B,2,FALSE)="831W",BN243-$BS$7+$AD$17,BN243-$BS$7+$AD$12),BN243-$BS$7)),"-")</f>
        <v>-</v>
      </c>
      <c r="BN243" s="154">
        <f>IF(OR(Расчет!C240="A0",Расчет!C240="P9",Расчет!B240="722W"),"-",Расчет!A240)</f>
        <v>11385</v>
      </c>
      <c r="BO243" s="173">
        <f t="shared" si="81"/>
        <v>0</v>
      </c>
      <c r="BP243" s="172" t="str">
        <f>IF(BQ243="-","-",IFERROR(IF(OR(VLOOKUP(BN243,Расчет!$A$2:$E$582,5,FALSE)="2PS",VLOOKUP(BN243,Расчет!$A$2:$E$582,5,FALSE)="2QL"),IF(OR(VLOOKUP(BN243,Расчет!$A$2:$E$582,2,FALSE)="664W",VLOOKUP(BN243,Расчет!$A$2:$E$582,2,FALSE)="813W"),IF(BN243-$BS$7&gt;150,BN243-$BS$7-1000+$AD$12,BN243-$BS$7+$AD$12),IF(BN243-$BS$7&gt;150,BN243-$BS$7-1000+$AD$17,BN243-$BS$7+$AD$17)),IF(BN243-$BS$7&gt;150,BN243-$BS$7-1000,BN243-$BS$7)),"-"))</f>
        <v>-</v>
      </c>
      <c r="BQ243" s="173">
        <f t="shared" si="78"/>
        <v>11385</v>
      </c>
      <c r="BR243" s="453"/>
      <c r="BS243" s="171"/>
      <c r="BT243" s="464" t="str">
        <f t="shared" si="79"/>
        <v>-</v>
      </c>
      <c r="BU243" s="464" t="str">
        <f t="shared" si="80"/>
        <v>-</v>
      </c>
      <c r="BX243"/>
      <c r="BY243"/>
    </row>
    <row r="244" spans="64:77" ht="21">
      <c r="BL244" s="172">
        <f>COUNTIF($BM$5:BM244,"&lt;-115")</f>
        <v>0</v>
      </c>
      <c r="BM244" s="154" t="str">
        <f>IFERROR(IF(OR(IFERROR(VLOOKUP(BN244,$E$3:$E$105,1,FALSE),"0")=BN244,IFERROR(VLOOKUP(BN244,$R$3:$R$105,1,FALSE),"0")=BN244),BO244,IF(OR(VLOOKUP(BN244,Расчет!A:E,5,FALSE)="2PS",VLOOKUP(BN244,Расчет!A:E,5,FALSE)="2QL"),IF(VLOOKUP(BN244,Расчет!A:B,2,FALSE)="831W",BN244-$BS$7+$AD$17,BN244-$BS$7+$AD$12),BN244-$BS$7)),"-")</f>
        <v>-</v>
      </c>
      <c r="BN244" s="154">
        <f>IF(OR(Расчет!C241="A0",Расчет!C241="P9",Расчет!B241="722W"),"-",Расчет!A241)</f>
        <v>11386</v>
      </c>
      <c r="BO244" s="173">
        <f t="shared" si="81"/>
        <v>0</v>
      </c>
      <c r="BP244" s="172" t="str">
        <f>IF(BQ244="-","-",IFERROR(IF(OR(VLOOKUP(BN244,Расчет!$A$2:$E$582,5,FALSE)="2PS",VLOOKUP(BN244,Расчет!$A$2:$E$582,5,FALSE)="2QL"),IF(OR(VLOOKUP(BN244,Расчет!$A$2:$E$582,2,FALSE)="664W",VLOOKUP(BN244,Расчет!$A$2:$E$582,2,FALSE)="813W"),IF(BN244-$BS$7&gt;150,BN244-$BS$7-1000+$AD$12,BN244-$BS$7+$AD$12),IF(BN244-$BS$7&gt;150,BN244-$BS$7-1000+$AD$17,BN244-$BS$7+$AD$17)),IF(BN244-$BS$7&gt;150,BN244-$BS$7-1000,BN244-$BS$7)),"-"))</f>
        <v>-</v>
      </c>
      <c r="BQ244" s="173">
        <f t="shared" si="78"/>
        <v>11386</v>
      </c>
      <c r="BR244" s="453"/>
      <c r="BS244" s="171"/>
      <c r="BT244" s="464" t="str">
        <f t="shared" si="79"/>
        <v>-</v>
      </c>
      <c r="BU244" s="464" t="str">
        <f t="shared" si="80"/>
        <v>-</v>
      </c>
      <c r="BX244"/>
      <c r="BY244"/>
    </row>
    <row r="245" spans="64:77" ht="21">
      <c r="BL245" s="172">
        <f>COUNTIF($BM$5:BM245,"&lt;-115")</f>
        <v>0</v>
      </c>
      <c r="BM245" s="154" t="str">
        <f>IFERROR(IF(OR(IFERROR(VLOOKUP(BN245,$E$3:$E$105,1,FALSE),"0")=BN245,IFERROR(VLOOKUP(BN245,$R$3:$R$105,1,FALSE),"0")=BN245),BO245,IF(OR(VLOOKUP(BN245,Расчет!A:E,5,FALSE)="2PS",VLOOKUP(BN245,Расчет!A:E,5,FALSE)="2QL"),IF(VLOOKUP(BN245,Расчет!A:B,2,FALSE)="831W",BN245-$BS$7+$AD$17,BN245-$BS$7+$AD$12),BN245-$BS$7)),"-")</f>
        <v>-</v>
      </c>
      <c r="BN245" s="154">
        <f>IF(OR(Расчет!C242="A0",Расчет!C242="P9",Расчет!B242="722W"),"-",Расчет!A242)</f>
        <v>11387</v>
      </c>
      <c r="BO245" s="173">
        <f t="shared" si="81"/>
        <v>0</v>
      </c>
      <c r="BP245" s="172" t="str">
        <f>IF(BQ245="-","-",IFERROR(IF(OR(VLOOKUP(BN245,Расчет!$A$2:$E$582,5,FALSE)="2PS",VLOOKUP(BN245,Расчет!$A$2:$E$582,5,FALSE)="2QL"),IF(OR(VLOOKUP(BN245,Расчет!$A$2:$E$582,2,FALSE)="664W",VLOOKUP(BN245,Расчет!$A$2:$E$582,2,FALSE)="813W"),IF(BN245-$BS$7&gt;150,BN245-$BS$7-1000+$AD$12,BN245-$BS$7+$AD$12),IF(BN245-$BS$7&gt;150,BN245-$BS$7-1000+$AD$17,BN245-$BS$7+$AD$17)),IF(BN245-$BS$7&gt;150,BN245-$BS$7-1000,BN245-$BS$7)),"-"))</f>
        <v>-</v>
      </c>
      <c r="BQ245" s="173">
        <f t="shared" si="78"/>
        <v>11387</v>
      </c>
      <c r="BR245" s="453"/>
      <c r="BS245" s="171"/>
      <c r="BT245" s="464" t="str">
        <f t="shared" si="79"/>
        <v>-</v>
      </c>
      <c r="BU245" s="464" t="str">
        <f t="shared" si="80"/>
        <v>-</v>
      </c>
      <c r="BX245"/>
      <c r="BY245"/>
    </row>
    <row r="246" spans="64:77" ht="21">
      <c r="BL246" s="172">
        <f>COUNTIF($BM$5:BM246,"&lt;-115")</f>
        <v>0</v>
      </c>
      <c r="BM246" s="154" t="str">
        <f>IFERROR(IF(OR(IFERROR(VLOOKUP(BN246,$E$3:$E$105,1,FALSE),"0")=BN246,IFERROR(VLOOKUP(BN246,$R$3:$R$105,1,FALSE),"0")=BN246),BO246,IF(OR(VLOOKUP(BN246,Расчет!A:E,5,FALSE)="2PS",VLOOKUP(BN246,Расчет!A:E,5,FALSE)="2QL"),IF(VLOOKUP(BN246,Расчет!A:B,2,FALSE)="831W",BN246-$BS$7+$AD$17,BN246-$BS$7+$AD$12),BN246-$BS$7)),"-")</f>
        <v>-</v>
      </c>
      <c r="BN246" s="154">
        <f>IF(OR(Расчет!C243="A0",Расчет!C243="P9",Расчет!B243="722W"),"-",Расчет!A243)</f>
        <v>11388</v>
      </c>
      <c r="BO246" s="173">
        <f t="shared" si="81"/>
        <v>0</v>
      </c>
      <c r="BP246" s="172" t="str">
        <f>IF(BQ246="-","-",IFERROR(IF(OR(VLOOKUP(BN246,Расчет!$A$2:$E$582,5,FALSE)="2PS",VLOOKUP(BN246,Расчет!$A$2:$E$582,5,FALSE)="2QL"),IF(OR(VLOOKUP(BN246,Расчет!$A$2:$E$582,2,FALSE)="664W",VLOOKUP(BN246,Расчет!$A$2:$E$582,2,FALSE)="813W"),IF(BN246-$BS$7&gt;150,BN246-$BS$7-1000+$AD$12,BN246-$BS$7+$AD$12),IF(BN246-$BS$7&gt;150,BN246-$BS$7-1000+$AD$17,BN246-$BS$7+$AD$17)),IF(BN246-$BS$7&gt;150,BN246-$BS$7-1000,BN246-$BS$7)),"-"))</f>
        <v>-</v>
      </c>
      <c r="BQ246" s="173">
        <f t="shared" si="78"/>
        <v>11388</v>
      </c>
      <c r="BR246" s="453"/>
      <c r="BS246" s="171"/>
      <c r="BT246" s="464" t="str">
        <f t="shared" si="79"/>
        <v>-</v>
      </c>
      <c r="BU246" s="464" t="str">
        <f t="shared" si="80"/>
        <v>-</v>
      </c>
      <c r="BX246"/>
      <c r="BY246"/>
    </row>
    <row r="247" spans="64:77" ht="21">
      <c r="BL247" s="172">
        <f>COUNTIF($BM$5:BM247,"&lt;-115")</f>
        <v>0</v>
      </c>
      <c r="BM247" s="154" t="str">
        <f>IFERROR(IF(OR(IFERROR(VLOOKUP(BN247,$E$3:$E$105,1,FALSE),"0")=BN247,IFERROR(VLOOKUP(BN247,$R$3:$R$105,1,FALSE),"0")=BN247),BO247,IF(OR(VLOOKUP(BN247,Расчет!A:E,5,FALSE)="2PS",VLOOKUP(BN247,Расчет!A:E,5,FALSE)="2QL"),IF(VLOOKUP(BN247,Расчет!A:B,2,FALSE)="831W",BN247-$BS$7+$AD$17,BN247-$BS$7+$AD$12),BN247-$BS$7)),"-")</f>
        <v>-</v>
      </c>
      <c r="BN247" s="154">
        <f>IF(OR(Расчет!C244="A0",Расчет!C244="P9",Расчет!B244="722W"),"-",Расчет!A244)</f>
        <v>11389</v>
      </c>
      <c r="BO247" s="173">
        <f t="shared" si="81"/>
        <v>0</v>
      </c>
      <c r="BP247" s="172" t="str">
        <f>IF(BQ247="-","-",IFERROR(IF(OR(VLOOKUP(BN247,Расчет!$A$2:$E$582,5,FALSE)="2PS",VLOOKUP(BN247,Расчет!$A$2:$E$582,5,FALSE)="2QL"),IF(OR(VLOOKUP(BN247,Расчет!$A$2:$E$582,2,FALSE)="664W",VLOOKUP(BN247,Расчет!$A$2:$E$582,2,FALSE)="813W"),IF(BN247-$BS$7&gt;150,BN247-$BS$7-1000+$AD$12,BN247-$BS$7+$AD$12),IF(BN247-$BS$7&gt;150,BN247-$BS$7-1000+$AD$17,BN247-$BS$7+$AD$17)),IF(BN247-$BS$7&gt;150,BN247-$BS$7-1000,BN247-$BS$7)),"-"))</f>
        <v>-</v>
      </c>
      <c r="BQ247" s="173">
        <f t="shared" si="78"/>
        <v>11389</v>
      </c>
      <c r="BR247" s="453"/>
      <c r="BS247" s="171"/>
      <c r="BT247" s="464" t="str">
        <f t="shared" si="79"/>
        <v>-</v>
      </c>
      <c r="BU247" s="464" t="str">
        <f t="shared" si="80"/>
        <v>-</v>
      </c>
      <c r="BX247"/>
      <c r="BY247"/>
    </row>
    <row r="248" spans="64:77" ht="21">
      <c r="BL248" s="172">
        <f>COUNTIF($BM$5:BM248,"&lt;-115")</f>
        <v>0</v>
      </c>
      <c r="BM248" s="154" t="str">
        <f>IFERROR(IF(OR(IFERROR(VLOOKUP(BN248,$E$3:$E$105,1,FALSE),"0")=BN248,IFERROR(VLOOKUP(BN248,$R$3:$R$105,1,FALSE),"0")=BN248),BO248,IF(OR(VLOOKUP(BN248,Расчет!A:E,5,FALSE)="2PS",VLOOKUP(BN248,Расчет!A:E,5,FALSE)="2QL"),IF(VLOOKUP(BN248,Расчет!A:B,2,FALSE)="831W",BN248-$BS$7+$AD$17,BN248-$BS$7+$AD$12),BN248-$BS$7)),"-")</f>
        <v>-</v>
      </c>
      <c r="BN248" s="154">
        <f>IF(OR(Расчет!C245="A0",Расчет!C245="P9",Расчет!B245="722W"),"-",Расчет!A245)</f>
        <v>11390</v>
      </c>
      <c r="BO248" s="173">
        <f t="shared" si="81"/>
        <v>0</v>
      </c>
      <c r="BP248" s="172" t="str">
        <f>IF(BQ248="-","-",IFERROR(IF(OR(VLOOKUP(BN248,Расчет!$A$2:$E$582,5,FALSE)="2PS",VLOOKUP(BN248,Расчет!$A$2:$E$582,5,FALSE)="2QL"),IF(OR(VLOOKUP(BN248,Расчет!$A$2:$E$582,2,FALSE)="664W",VLOOKUP(BN248,Расчет!$A$2:$E$582,2,FALSE)="813W"),IF(BN248-$BS$7&gt;150,BN248-$BS$7-1000+$AD$12,BN248-$BS$7+$AD$12),IF(BN248-$BS$7&gt;150,BN248-$BS$7-1000+$AD$17,BN248-$BS$7+$AD$17)),IF(BN248-$BS$7&gt;150,BN248-$BS$7-1000,BN248-$BS$7)),"-"))</f>
        <v>-</v>
      </c>
      <c r="BQ248" s="173">
        <f t="shared" si="78"/>
        <v>11390</v>
      </c>
      <c r="BR248" s="453"/>
      <c r="BS248" s="171"/>
      <c r="BT248" s="464" t="str">
        <f t="shared" si="79"/>
        <v>-</v>
      </c>
      <c r="BU248" s="464" t="str">
        <f t="shared" si="80"/>
        <v>-</v>
      </c>
      <c r="BX248"/>
      <c r="BY248"/>
    </row>
    <row r="249" spans="64:77" ht="21">
      <c r="BL249" s="172">
        <f>COUNTIF($BM$5:BM249,"&lt;-115")</f>
        <v>0</v>
      </c>
      <c r="BM249" s="154" t="str">
        <f>IFERROR(IF(OR(IFERROR(VLOOKUP(BN249,$E$3:$E$105,1,FALSE),"0")=BN249,IFERROR(VLOOKUP(BN249,$R$3:$R$105,1,FALSE),"0")=BN249),BO249,IF(OR(VLOOKUP(BN249,Расчет!A:E,5,FALSE)="2PS",VLOOKUP(BN249,Расчет!A:E,5,FALSE)="2QL"),IF(VLOOKUP(BN249,Расчет!A:B,2,FALSE)="831W",BN249-$BS$7+$AD$17,BN249-$BS$7+$AD$12),BN249-$BS$7)),"-")</f>
        <v>-</v>
      </c>
      <c r="BN249" s="154">
        <f>IF(OR(Расчет!C246="A0",Расчет!C246="P9",Расчет!B246="722W"),"-",Расчет!A246)</f>
        <v>11391</v>
      </c>
      <c r="BO249" s="173">
        <f t="shared" si="81"/>
        <v>0</v>
      </c>
      <c r="BP249" s="172" t="str">
        <f>IF(BQ249="-","-",IFERROR(IF(OR(VLOOKUP(BN249,Расчет!$A$2:$E$582,5,FALSE)="2PS",VLOOKUP(BN249,Расчет!$A$2:$E$582,5,FALSE)="2QL"),IF(OR(VLOOKUP(BN249,Расчет!$A$2:$E$582,2,FALSE)="664W",VLOOKUP(BN249,Расчет!$A$2:$E$582,2,FALSE)="813W"),IF(BN249-$BS$7&gt;150,BN249-$BS$7-1000+$AD$12,BN249-$BS$7+$AD$12),IF(BN249-$BS$7&gt;150,BN249-$BS$7-1000+$AD$17,BN249-$BS$7+$AD$17)),IF(BN249-$BS$7&gt;150,BN249-$BS$7-1000,BN249-$BS$7)),"-"))</f>
        <v>-</v>
      </c>
      <c r="BQ249" s="173">
        <f t="shared" si="78"/>
        <v>11391</v>
      </c>
      <c r="BR249" s="453"/>
      <c r="BS249" s="171"/>
      <c r="BT249" s="464" t="str">
        <f t="shared" si="79"/>
        <v>-</v>
      </c>
      <c r="BU249" s="464" t="str">
        <f t="shared" si="80"/>
        <v>-</v>
      </c>
      <c r="BX249"/>
      <c r="BY249"/>
    </row>
    <row r="250" spans="64:77" ht="21">
      <c r="BL250" s="172">
        <f>COUNTIF($BM$5:BM250,"&lt;-115")</f>
        <v>0</v>
      </c>
      <c r="BM250" s="154" t="str">
        <f>IFERROR(IF(OR(IFERROR(VLOOKUP(BN250,$E$3:$E$105,1,FALSE),"0")=BN250,IFERROR(VLOOKUP(BN250,$R$3:$R$105,1,FALSE),"0")=BN250),BO250,IF(OR(VLOOKUP(BN250,Расчет!A:E,5,FALSE)="2PS",VLOOKUP(BN250,Расчет!A:E,5,FALSE)="2QL"),IF(VLOOKUP(BN250,Расчет!A:B,2,FALSE)="831W",BN250-$BS$7+$AD$17,BN250-$BS$7+$AD$12),BN250-$BS$7)),"-")</f>
        <v>-</v>
      </c>
      <c r="BN250" s="154">
        <f>IF(OR(Расчет!C247="A0",Расчет!C247="P9",Расчет!B247="722W"),"-",Расчет!A247)</f>
        <v>11392</v>
      </c>
      <c r="BO250" s="173">
        <f t="shared" si="81"/>
        <v>0</v>
      </c>
      <c r="BP250" s="172" t="str">
        <f>IF(BQ250="-","-",IFERROR(IF(OR(VLOOKUP(BN250,Расчет!$A$2:$E$582,5,FALSE)="2PS",VLOOKUP(BN250,Расчет!$A$2:$E$582,5,FALSE)="2QL"),IF(OR(VLOOKUP(BN250,Расчет!$A$2:$E$582,2,FALSE)="664W",VLOOKUP(BN250,Расчет!$A$2:$E$582,2,FALSE)="813W"),IF(BN250-$BS$7&gt;150,BN250-$BS$7-1000+$AD$12,BN250-$BS$7+$AD$12),IF(BN250-$BS$7&gt;150,BN250-$BS$7-1000+$AD$17,BN250-$BS$7+$AD$17)),IF(BN250-$BS$7&gt;150,BN250-$BS$7-1000,BN250-$BS$7)),"-"))</f>
        <v>-</v>
      </c>
      <c r="BQ250" s="173">
        <f t="shared" si="78"/>
        <v>11392</v>
      </c>
      <c r="BR250" s="453"/>
      <c r="BS250" s="171"/>
      <c r="BT250" s="464" t="str">
        <f t="shared" si="79"/>
        <v>-</v>
      </c>
      <c r="BU250" s="464" t="str">
        <f t="shared" si="80"/>
        <v>-</v>
      </c>
      <c r="BX250"/>
      <c r="BY250"/>
    </row>
    <row r="251" spans="64:77" ht="21">
      <c r="BL251" s="172">
        <f>COUNTIF($BM$5:BM251,"&lt;-115")</f>
        <v>0</v>
      </c>
      <c r="BM251" s="154" t="str">
        <f>IFERROR(IF(OR(IFERROR(VLOOKUP(BN251,$E$3:$E$105,1,FALSE),"0")=BN251,IFERROR(VLOOKUP(BN251,$R$3:$R$105,1,FALSE),"0")=BN251),BO251,IF(OR(VLOOKUP(BN251,Расчет!A:E,5,FALSE)="2PS",VLOOKUP(BN251,Расчет!A:E,5,FALSE)="2QL"),IF(VLOOKUP(BN251,Расчет!A:B,2,FALSE)="831W",BN251-$BS$7+$AD$17,BN251-$BS$7+$AD$12),BN251-$BS$7)),"-")</f>
        <v>-</v>
      </c>
      <c r="BN251" s="154">
        <f>IF(OR(Расчет!C248="A0",Расчет!C248="P9",Расчет!B248="722W"),"-",Расчет!A248)</f>
        <v>11393</v>
      </c>
      <c r="BO251" s="173">
        <f t="shared" si="81"/>
        <v>0</v>
      </c>
      <c r="BP251" s="172" t="str">
        <f>IF(BQ251="-","-",IFERROR(IF(OR(VLOOKUP(BN251,Расчет!$A$2:$E$582,5,FALSE)="2PS",VLOOKUP(BN251,Расчет!$A$2:$E$582,5,FALSE)="2QL"),IF(OR(VLOOKUP(BN251,Расчет!$A$2:$E$582,2,FALSE)="664W",VLOOKUP(BN251,Расчет!$A$2:$E$582,2,FALSE)="813W"),IF(BN251-$BS$7&gt;150,BN251-$BS$7-1000+$AD$12,BN251-$BS$7+$AD$12),IF(BN251-$BS$7&gt;150,BN251-$BS$7-1000+$AD$17,BN251-$BS$7+$AD$17)),IF(BN251-$BS$7&gt;150,BN251-$BS$7-1000,BN251-$BS$7)),"-"))</f>
        <v>-</v>
      </c>
      <c r="BQ251" s="173">
        <f t="shared" si="78"/>
        <v>11393</v>
      </c>
      <c r="BR251" s="453"/>
      <c r="BS251" s="171"/>
      <c r="BT251" s="464" t="str">
        <f t="shared" si="79"/>
        <v>-</v>
      </c>
      <c r="BU251" s="464" t="str">
        <f t="shared" si="80"/>
        <v>-</v>
      </c>
      <c r="BX251"/>
      <c r="BY251"/>
    </row>
    <row r="252" spans="64:77" ht="21">
      <c r="BL252" s="172">
        <f>COUNTIF($BM$5:BM252,"&lt;-115")</f>
        <v>0</v>
      </c>
      <c r="BM252" s="154" t="str">
        <f>IFERROR(IF(OR(IFERROR(VLOOKUP(BN252,$E$3:$E$105,1,FALSE),"0")=BN252,IFERROR(VLOOKUP(BN252,$R$3:$R$105,1,FALSE),"0")=BN252),BO252,IF(OR(VLOOKUP(BN252,Расчет!A:E,5,FALSE)="2PS",VLOOKUP(BN252,Расчет!A:E,5,FALSE)="2QL"),IF(VLOOKUP(BN252,Расчет!A:B,2,FALSE)="831W",BN252-$BS$7+$AD$17,BN252-$BS$7+$AD$12),BN252-$BS$7)),"-")</f>
        <v>-</v>
      </c>
      <c r="BN252" s="154">
        <f>IF(OR(Расчет!C249="A0",Расчет!C249="P9",Расчет!B249="722W"),"-",Расчет!A249)</f>
        <v>11394</v>
      </c>
      <c r="BO252" s="173">
        <f t="shared" si="81"/>
        <v>0</v>
      </c>
      <c r="BP252" s="172" t="str">
        <f>IF(BQ252="-","-",IFERROR(IF(OR(VLOOKUP(BN252,Расчет!$A$2:$E$582,5,FALSE)="2PS",VLOOKUP(BN252,Расчет!$A$2:$E$582,5,FALSE)="2QL"),IF(OR(VLOOKUP(BN252,Расчет!$A$2:$E$582,2,FALSE)="664W",VLOOKUP(BN252,Расчет!$A$2:$E$582,2,FALSE)="813W"),IF(BN252-$BS$7&gt;150,BN252-$BS$7-1000+$AD$12,BN252-$BS$7+$AD$12),IF(BN252-$BS$7&gt;150,BN252-$BS$7-1000+$AD$17,BN252-$BS$7+$AD$17)),IF(BN252-$BS$7&gt;150,BN252-$BS$7-1000,BN252-$BS$7)),"-"))</f>
        <v>-</v>
      </c>
      <c r="BQ252" s="173">
        <f t="shared" si="78"/>
        <v>11394</v>
      </c>
      <c r="BR252" s="453"/>
      <c r="BS252" s="171"/>
      <c r="BT252" s="464" t="str">
        <f t="shared" si="79"/>
        <v>-</v>
      </c>
      <c r="BU252" s="464" t="str">
        <f t="shared" si="80"/>
        <v>-</v>
      </c>
      <c r="BX252"/>
      <c r="BY252"/>
    </row>
    <row r="253" spans="64:77" ht="21">
      <c r="BL253" s="172">
        <f>COUNTIF($BM$5:BM253,"&lt;-115")</f>
        <v>0</v>
      </c>
      <c r="BM253" s="154" t="str">
        <f>IFERROR(IF(OR(IFERROR(VLOOKUP(BN253,$E$3:$E$105,1,FALSE),"0")=BN253,IFERROR(VLOOKUP(BN253,$R$3:$R$105,1,FALSE),"0")=BN253),BO253,IF(OR(VLOOKUP(BN253,Расчет!A:E,5,FALSE)="2PS",VLOOKUP(BN253,Расчет!A:E,5,FALSE)="2QL"),IF(VLOOKUP(BN253,Расчет!A:B,2,FALSE)="831W",BN253-$BS$7+$AD$17,BN253-$BS$7+$AD$12),BN253-$BS$7)),"-")</f>
        <v>-</v>
      </c>
      <c r="BN253" s="154">
        <f>IF(OR(Расчет!C250="A0",Расчет!C250="P9",Расчет!B250="722W"),"-",Расчет!A250)</f>
        <v>11395</v>
      </c>
      <c r="BO253" s="173">
        <f t="shared" si="81"/>
        <v>0</v>
      </c>
      <c r="BP253" s="172" t="str">
        <f>IF(BQ253="-","-",IFERROR(IF(OR(VLOOKUP(BN253,Расчет!$A$2:$E$582,5,FALSE)="2PS",VLOOKUP(BN253,Расчет!$A$2:$E$582,5,FALSE)="2QL"),IF(OR(VLOOKUP(BN253,Расчет!$A$2:$E$582,2,FALSE)="664W",VLOOKUP(BN253,Расчет!$A$2:$E$582,2,FALSE)="813W"),IF(BN253-$BS$7&gt;150,BN253-$BS$7-1000+$AD$12,BN253-$BS$7+$AD$12),IF(BN253-$BS$7&gt;150,BN253-$BS$7-1000+$AD$17,BN253-$BS$7+$AD$17)),IF(BN253-$BS$7&gt;150,BN253-$BS$7-1000,BN253-$BS$7)),"-"))</f>
        <v>-</v>
      </c>
      <c r="BQ253" s="173">
        <f t="shared" si="78"/>
        <v>11395</v>
      </c>
      <c r="BR253" s="453"/>
      <c r="BS253" s="171"/>
      <c r="BT253" s="464" t="str">
        <f t="shared" si="79"/>
        <v>-</v>
      </c>
      <c r="BU253" s="464" t="str">
        <f t="shared" si="80"/>
        <v>-</v>
      </c>
      <c r="BX253"/>
      <c r="BY253"/>
    </row>
    <row r="254" spans="64:77" ht="21">
      <c r="BL254" s="172">
        <f>COUNTIF($BM$5:BM254,"&lt;-115")</f>
        <v>0</v>
      </c>
      <c r="BM254" s="154" t="str">
        <f>IFERROR(IF(OR(IFERROR(VLOOKUP(BN254,$E$3:$E$105,1,FALSE),"0")=BN254,IFERROR(VLOOKUP(BN254,$R$3:$R$105,1,FALSE),"0")=BN254),BO254,IF(OR(VLOOKUP(BN254,Расчет!A:E,5,FALSE)="2PS",VLOOKUP(BN254,Расчет!A:E,5,FALSE)="2QL"),IF(VLOOKUP(BN254,Расчет!A:B,2,FALSE)="831W",BN254-$BS$7+$AD$17,BN254-$BS$7+$AD$12),BN254-$BS$7)),"-")</f>
        <v>-</v>
      </c>
      <c r="BN254" s="154">
        <f>IF(OR(Расчет!C251="A0",Расчет!C251="P9",Расчет!B251="722W"),"-",Расчет!A251)</f>
        <v>11396</v>
      </c>
      <c r="BO254" s="173">
        <f t="shared" si="81"/>
        <v>0</v>
      </c>
      <c r="BP254" s="172" t="str">
        <f>IF(BQ254="-","-",IFERROR(IF(OR(VLOOKUP(BN254,Расчет!$A$2:$E$582,5,FALSE)="2PS",VLOOKUP(BN254,Расчет!$A$2:$E$582,5,FALSE)="2QL"),IF(OR(VLOOKUP(BN254,Расчет!$A$2:$E$582,2,FALSE)="664W",VLOOKUP(BN254,Расчет!$A$2:$E$582,2,FALSE)="813W"),IF(BN254-$BS$7&gt;150,BN254-$BS$7-1000+$AD$12,BN254-$BS$7+$AD$12),IF(BN254-$BS$7&gt;150,BN254-$BS$7-1000+$AD$17,BN254-$BS$7+$AD$17)),IF(BN254-$BS$7&gt;150,BN254-$BS$7-1000,BN254-$BS$7)),"-"))</f>
        <v>-</v>
      </c>
      <c r="BQ254" s="173">
        <f t="shared" si="78"/>
        <v>11396</v>
      </c>
      <c r="BR254" s="453"/>
      <c r="BS254" s="171"/>
      <c r="BT254" s="464" t="str">
        <f t="shared" si="79"/>
        <v>-</v>
      </c>
      <c r="BU254" s="464" t="str">
        <f t="shared" si="80"/>
        <v>-</v>
      </c>
      <c r="BX254"/>
      <c r="BY254"/>
    </row>
    <row r="255" spans="64:77" ht="21">
      <c r="BL255" s="172">
        <f>COUNTIF($BM$5:BM255,"&lt;-115")</f>
        <v>0</v>
      </c>
      <c r="BM255" s="154" t="str">
        <f>IFERROR(IF(OR(IFERROR(VLOOKUP(BN255,$E$3:$E$105,1,FALSE),"0")=BN255,IFERROR(VLOOKUP(BN255,$R$3:$R$105,1,FALSE),"0")=BN255),BO255,IF(OR(VLOOKUP(BN255,Расчет!A:E,5,FALSE)="2PS",VLOOKUP(BN255,Расчет!A:E,5,FALSE)="2QL"),IF(VLOOKUP(BN255,Расчет!A:B,2,FALSE)="831W",BN255-$BS$7+$AD$17,BN255-$BS$7+$AD$12),BN255-$BS$7)),"-")</f>
        <v>-</v>
      </c>
      <c r="BN255" s="154">
        <f>IF(OR(Расчет!C252="A0",Расчет!C252="P9",Расчет!B252="722W"),"-",Расчет!A252)</f>
        <v>11397</v>
      </c>
      <c r="BO255" s="173">
        <f t="shared" si="81"/>
        <v>0</v>
      </c>
      <c r="BP255" s="172" t="str">
        <f>IF(BQ255="-","-",IFERROR(IF(OR(VLOOKUP(BN255,Расчет!$A$2:$E$582,5,FALSE)="2PS",VLOOKUP(BN255,Расчет!$A$2:$E$582,5,FALSE)="2QL"),IF(OR(VLOOKUP(BN255,Расчет!$A$2:$E$582,2,FALSE)="664W",VLOOKUP(BN255,Расчет!$A$2:$E$582,2,FALSE)="813W"),IF(BN255-$BS$7&gt;150,BN255-$BS$7-1000+$AD$12,BN255-$BS$7+$AD$12),IF(BN255-$BS$7&gt;150,BN255-$BS$7-1000+$AD$17,BN255-$BS$7+$AD$17)),IF(BN255-$BS$7&gt;150,BN255-$BS$7-1000,BN255-$BS$7)),"-"))</f>
        <v>-</v>
      </c>
      <c r="BQ255" s="173">
        <f t="shared" si="78"/>
        <v>11397</v>
      </c>
      <c r="BR255" s="453"/>
      <c r="BS255" s="171"/>
      <c r="BT255" s="464" t="str">
        <f t="shared" si="79"/>
        <v>-</v>
      </c>
      <c r="BU255" s="464" t="str">
        <f t="shared" si="80"/>
        <v>-</v>
      </c>
      <c r="BX255"/>
      <c r="BY255"/>
    </row>
    <row r="256" spans="64:77" ht="21">
      <c r="BL256" s="172">
        <f>COUNTIF($BM$5:BM256,"&lt;-115")</f>
        <v>0</v>
      </c>
      <c r="BM256" s="154" t="str">
        <f>IFERROR(IF(OR(IFERROR(VLOOKUP(BN256,$E$3:$E$105,1,FALSE),"0")=BN256,IFERROR(VLOOKUP(BN256,$R$3:$R$105,1,FALSE),"0")=BN256),BO256,IF(OR(VLOOKUP(BN256,Расчет!A:E,5,FALSE)="2PS",VLOOKUP(BN256,Расчет!A:E,5,FALSE)="2QL"),IF(VLOOKUP(BN256,Расчет!A:B,2,FALSE)="831W",BN256-$BS$7+$AD$17,BN256-$BS$7+$AD$12),BN256-$BS$7)),"-")</f>
        <v>-</v>
      </c>
      <c r="BN256" s="154">
        <f>IF(OR(Расчет!C253="A0",Расчет!C253="P9",Расчет!B253="722W"),"-",Расчет!A253)</f>
        <v>11398</v>
      </c>
      <c r="BO256" s="173">
        <f t="shared" si="81"/>
        <v>0</v>
      </c>
      <c r="BP256" s="172" t="str">
        <f>IF(BQ256="-","-",IFERROR(IF(OR(VLOOKUP(BN256,Расчет!$A$2:$E$582,5,FALSE)="2PS",VLOOKUP(BN256,Расчет!$A$2:$E$582,5,FALSE)="2QL"),IF(OR(VLOOKUP(BN256,Расчет!$A$2:$E$582,2,FALSE)="664W",VLOOKUP(BN256,Расчет!$A$2:$E$582,2,FALSE)="813W"),IF(BN256-$BS$7&gt;150,BN256-$BS$7-1000+$AD$12,BN256-$BS$7+$AD$12),IF(BN256-$BS$7&gt;150,BN256-$BS$7-1000+$AD$17,BN256-$BS$7+$AD$17)),IF(BN256-$BS$7&gt;150,BN256-$BS$7-1000,BN256-$BS$7)),"-"))</f>
        <v>-</v>
      </c>
      <c r="BQ256" s="173">
        <f t="shared" si="78"/>
        <v>11398</v>
      </c>
      <c r="BR256" s="453"/>
      <c r="BS256" s="171"/>
      <c r="BT256" s="464" t="str">
        <f t="shared" si="79"/>
        <v>-</v>
      </c>
      <c r="BU256" s="464" t="str">
        <f t="shared" si="80"/>
        <v>-</v>
      </c>
      <c r="BX256"/>
      <c r="BY256"/>
    </row>
    <row r="257" spans="64:77" ht="21">
      <c r="BL257" s="172">
        <f>COUNTIF($BM$5:BM257,"&lt;-115")</f>
        <v>0</v>
      </c>
      <c r="BM257" s="154" t="str">
        <f>IFERROR(IF(OR(IFERROR(VLOOKUP(BN257,$E$3:$E$105,1,FALSE),"0")=BN257,IFERROR(VLOOKUP(BN257,$R$3:$R$105,1,FALSE),"0")=BN257),BO257,IF(OR(VLOOKUP(BN257,Расчет!A:E,5,FALSE)="2PS",VLOOKUP(BN257,Расчет!A:E,5,FALSE)="2QL"),IF(VLOOKUP(BN257,Расчет!A:B,2,FALSE)="831W",BN257-$BS$7+$AD$17,BN257-$BS$7+$AD$12),BN257-$BS$7)),"-")</f>
        <v>-</v>
      </c>
      <c r="BN257" s="154">
        <f>IF(OR(Расчет!C254="A0",Расчет!C254="P9",Расчет!B254="722W"),"-",Расчет!A254)</f>
        <v>11399</v>
      </c>
      <c r="BO257" s="173">
        <f t="shared" si="81"/>
        <v>0</v>
      </c>
      <c r="BP257" s="172" t="str">
        <f>IF(BQ257="-","-",IFERROR(IF(OR(VLOOKUP(BN257,Расчет!$A$2:$E$582,5,FALSE)="2PS",VLOOKUP(BN257,Расчет!$A$2:$E$582,5,FALSE)="2QL"),IF(OR(VLOOKUP(BN257,Расчет!$A$2:$E$582,2,FALSE)="664W",VLOOKUP(BN257,Расчет!$A$2:$E$582,2,FALSE)="813W"),IF(BN257-$BS$7&gt;150,BN257-$BS$7-1000+$AD$12,BN257-$BS$7+$AD$12),IF(BN257-$BS$7&gt;150,BN257-$BS$7-1000+$AD$17,BN257-$BS$7+$AD$17)),IF(BN257-$BS$7&gt;150,BN257-$BS$7-1000,BN257-$BS$7)),"-"))</f>
        <v>-</v>
      </c>
      <c r="BQ257" s="173">
        <f t="shared" si="78"/>
        <v>11399</v>
      </c>
      <c r="BR257" s="453"/>
      <c r="BS257" s="171"/>
      <c r="BT257" s="464" t="str">
        <f t="shared" si="79"/>
        <v>-</v>
      </c>
      <c r="BU257" s="464" t="str">
        <f t="shared" si="80"/>
        <v>-</v>
      </c>
      <c r="BX257"/>
      <c r="BY257"/>
    </row>
    <row r="258" spans="64:77" ht="21">
      <c r="BL258" s="172">
        <f>COUNTIF($BM$5:BM258,"&lt;-115")</f>
        <v>0</v>
      </c>
      <c r="BM258" s="154" t="str">
        <f>IFERROR(IF(OR(IFERROR(VLOOKUP(BN258,$E$3:$E$105,1,FALSE),"0")=BN258,IFERROR(VLOOKUP(BN258,$R$3:$R$105,1,FALSE),"0")=BN258),BO258,IF(OR(VLOOKUP(BN258,Расчет!A:E,5,FALSE)="2PS",VLOOKUP(BN258,Расчет!A:E,5,FALSE)="2QL"),IF(VLOOKUP(BN258,Расчет!A:B,2,FALSE)="831W",BN258-$BS$7+$AD$17,BN258-$BS$7+$AD$12),BN258-$BS$7)),"-")</f>
        <v>-</v>
      </c>
      <c r="BN258" s="154">
        <f>IF(OR(Расчет!C255="A0",Расчет!C255="P9",Расчет!B255="722W"),"-",Расчет!A255)</f>
        <v>11400</v>
      </c>
      <c r="BO258" s="173">
        <f t="shared" si="81"/>
        <v>0</v>
      </c>
      <c r="BP258" s="172" t="str">
        <f>IF(BQ258="-","-",IFERROR(IF(OR(VLOOKUP(BN258,Расчет!$A$2:$E$582,5,FALSE)="2PS",VLOOKUP(BN258,Расчет!$A$2:$E$582,5,FALSE)="2QL"),IF(OR(VLOOKUP(BN258,Расчет!$A$2:$E$582,2,FALSE)="664W",VLOOKUP(BN258,Расчет!$A$2:$E$582,2,FALSE)="813W"),IF(BN258-$BS$7&gt;150,BN258-$BS$7-1000+$AD$12,BN258-$BS$7+$AD$12),IF(BN258-$BS$7&gt;150,BN258-$BS$7-1000+$AD$17,BN258-$BS$7+$AD$17)),IF(BN258-$BS$7&gt;150,BN258-$BS$7-1000,BN258-$BS$7)),"-"))</f>
        <v>-</v>
      </c>
      <c r="BQ258" s="173">
        <f t="shared" si="78"/>
        <v>11400</v>
      </c>
      <c r="BR258" s="453"/>
      <c r="BS258" s="171"/>
      <c r="BT258" s="464" t="str">
        <f t="shared" si="79"/>
        <v>-</v>
      </c>
      <c r="BU258" s="464" t="str">
        <f t="shared" si="80"/>
        <v>-</v>
      </c>
      <c r="BX258"/>
      <c r="BY258"/>
    </row>
    <row r="259" spans="64:77" ht="21.75" thickBot="1">
      <c r="BL259" s="183">
        <f>COUNTIF($BM$5:BM259,"&lt;-115")</f>
        <v>0</v>
      </c>
      <c r="BM259" s="184" t="str">
        <f>IFERROR(IF(OR(IFERROR(VLOOKUP(BN259,$E$3:$E$105,1,FALSE),"0")=BN259,IFERROR(VLOOKUP(BN259,$R$3:$R$105,1,FALSE),"0")=BN259),BO259,IF(OR(VLOOKUP(BN259,Расчет!A:E,5,FALSE)="2PS",VLOOKUP(BN259,Расчет!A:E,5,FALSE)="2QL"),IF(VLOOKUP(BN259,Расчет!A:B,2,FALSE)="831W",BN259-$BS$7+$AD$17,BN259-$BS$7+$AD$12),BN259-$BS$7)),"-")</f>
        <v>-</v>
      </c>
      <c r="BN259" s="184">
        <f>IF(OR(Расчет!C256="A0",Расчет!C256="P9",Расчет!B256="722W"),"-",Расчет!A256)</f>
        <v>11401</v>
      </c>
      <c r="BO259" s="185">
        <f t="shared" si="81"/>
        <v>0</v>
      </c>
      <c r="BP259" s="172" t="str">
        <f>IF(BQ259="-","-",IFERROR(IF(OR(VLOOKUP(BN259,Расчет!$A$2:$E$582,5,FALSE)="2PS",VLOOKUP(BN259,Расчет!$A$2:$E$582,5,FALSE)="2QL"),IF(OR(VLOOKUP(BN259,Расчет!$A$2:$E$582,2,FALSE)="664W",VLOOKUP(BN259,Расчет!$A$2:$E$582,2,FALSE)="813W"),IF(BN259-$BS$7&gt;150,BN259-$BS$7-1000+$AD$12,BN259-$BS$7+$AD$12),IF(BN259-$BS$7&gt;150,BN259-$BS$7-1000+$AD$17,BN259-$BS$7+$AD$17)),IF(BN259-$BS$7&gt;150,BN259-$BS$7-1000,BN259-$BS$7)),"-"))</f>
        <v>-</v>
      </c>
      <c r="BQ259" s="185">
        <f t="shared" si="78"/>
        <v>11401</v>
      </c>
      <c r="BR259" s="458"/>
      <c r="BS259" s="454"/>
      <c r="BT259" s="465" t="str">
        <f t="shared" si="79"/>
        <v>-</v>
      </c>
      <c r="BU259" s="465" t="str">
        <f t="shared" si="80"/>
        <v>-</v>
      </c>
      <c r="BX259"/>
      <c r="BY259"/>
    </row>
  </sheetData>
  <dataConsolidate>
    <dataRefs count="1">
      <dataRef ref="R17:R18" sheet="Бланк" r:id="rId1"/>
    </dataRefs>
  </dataConsolidate>
  <mergeCells count="107">
    <mergeCell ref="AD64:AD65"/>
    <mergeCell ref="Z67:AD67"/>
    <mergeCell ref="Z68:AD68"/>
    <mergeCell ref="Z79:AC79"/>
    <mergeCell ref="Z92:AD92"/>
    <mergeCell ref="Z93:AD93"/>
    <mergeCell ref="Z62:Z63"/>
    <mergeCell ref="AA62:AA63"/>
    <mergeCell ref="AB62:AB63"/>
    <mergeCell ref="AC62:AC63"/>
    <mergeCell ref="Z64:Z65"/>
    <mergeCell ref="AA64:AA65"/>
    <mergeCell ref="AB64:AB65"/>
    <mergeCell ref="AC64:AC65"/>
    <mergeCell ref="Z53:AA53"/>
    <mergeCell ref="Z54:AA54"/>
    <mergeCell ref="Z55:AA55"/>
    <mergeCell ref="AB57:AC57"/>
    <mergeCell ref="AB58:AC59"/>
    <mergeCell ref="AB60:AB61"/>
    <mergeCell ref="AC60:AC61"/>
    <mergeCell ref="Z47:AA47"/>
    <mergeCell ref="Z48:AA48"/>
    <mergeCell ref="Z49:AA49"/>
    <mergeCell ref="Z50:AA50"/>
    <mergeCell ref="Z51:AA51"/>
    <mergeCell ref="Z52:AA52"/>
    <mergeCell ref="Z41:AD41"/>
    <mergeCell ref="Z42:AA42"/>
    <mergeCell ref="Z43:AA43"/>
    <mergeCell ref="Z44:AA44"/>
    <mergeCell ref="Z45:AA45"/>
    <mergeCell ref="Z46:AA46"/>
    <mergeCell ref="AX34:AY35"/>
    <mergeCell ref="AZ34:BA35"/>
    <mergeCell ref="BB34:BC35"/>
    <mergeCell ref="BD34:BE35"/>
    <mergeCell ref="BF34:BG37"/>
    <mergeCell ref="Z33:AD33"/>
    <mergeCell ref="AX36:AY37"/>
    <mergeCell ref="AZ36:BA37"/>
    <mergeCell ref="BB36:BC37"/>
    <mergeCell ref="BD36:BE37"/>
    <mergeCell ref="AX30:AY31"/>
    <mergeCell ref="AZ30:BA31"/>
    <mergeCell ref="BD30:BE31"/>
    <mergeCell ref="BF30:BG31"/>
    <mergeCell ref="AX32:AY33"/>
    <mergeCell ref="AZ32:BA33"/>
    <mergeCell ref="BB32:BC33"/>
    <mergeCell ref="BD32:BE33"/>
    <mergeCell ref="BF32:BG33"/>
    <mergeCell ref="BI28:BI29"/>
    <mergeCell ref="BJ28:BJ29"/>
    <mergeCell ref="BH23:BI23"/>
    <mergeCell ref="Z21:AD21"/>
    <mergeCell ref="BH24:BI24"/>
    <mergeCell ref="Z22:AD22"/>
    <mergeCell ref="BH25:BI25"/>
    <mergeCell ref="AX26:AY27"/>
    <mergeCell ref="AZ26:BA27"/>
    <mergeCell ref="BD26:BG27"/>
    <mergeCell ref="BH26:BI26"/>
    <mergeCell ref="BH27:BI27"/>
    <mergeCell ref="AY17:AZ17"/>
    <mergeCell ref="AX23:BG25"/>
    <mergeCell ref="AY8:AZ8"/>
    <mergeCell ref="AD9:AD11"/>
    <mergeCell ref="AY9:AZ9"/>
    <mergeCell ref="AX10:BB11"/>
    <mergeCell ref="AY12:AZ12"/>
    <mergeCell ref="AY13:AZ13"/>
    <mergeCell ref="AX28:AY29"/>
    <mergeCell ref="AZ28:BA29"/>
    <mergeCell ref="BD28:BE29"/>
    <mergeCell ref="BF28:BG29"/>
    <mergeCell ref="BV6:BV7"/>
    <mergeCell ref="BW6:BW7"/>
    <mergeCell ref="AY7:AZ7"/>
    <mergeCell ref="BI7:BJ7"/>
    <mergeCell ref="AT2:AU2"/>
    <mergeCell ref="BD2:BE2"/>
    <mergeCell ref="BL3:BO3"/>
    <mergeCell ref="AD14:AD16"/>
    <mergeCell ref="AY14:AZ14"/>
    <mergeCell ref="AY15:AZ15"/>
    <mergeCell ref="AY16:AZ16"/>
    <mergeCell ref="BV1:BW1"/>
    <mergeCell ref="A1:D1"/>
    <mergeCell ref="E1:G1"/>
    <mergeCell ref="H1:J1"/>
    <mergeCell ref="K1:T1"/>
    <mergeCell ref="AE1:AG1"/>
    <mergeCell ref="Z4:AA4"/>
    <mergeCell ref="AB4:AC4"/>
    <mergeCell ref="AX4:BB5"/>
    <mergeCell ref="BD4:BG5"/>
    <mergeCell ref="AJ1:AL1"/>
    <mergeCell ref="AM1:AN1"/>
    <mergeCell ref="AW1:AX1"/>
    <mergeCell ref="AY1:AZ1"/>
    <mergeCell ref="BD1:BE1"/>
    <mergeCell ref="Z1:AA1"/>
    <mergeCell ref="AB1:AC1"/>
    <mergeCell ref="BP3:BQ3"/>
    <mergeCell ref="BV4:BV5"/>
    <mergeCell ref="BW4:BW5"/>
  </mergeCells>
  <conditionalFormatting sqref="V3:V105 I3:I105">
    <cfRule type="cellIs" dxfId="391" priority="194" operator="equal">
      <formula>"3,5 L"</formula>
    </cfRule>
  </conditionalFormatting>
  <conditionalFormatting sqref="T3:U105">
    <cfRule type="expression" dxfId="390" priority="187">
      <formula>T3&amp;V3="Rich2,5 L"</formula>
    </cfRule>
    <cfRule type="expression" dxfId="389" priority="188">
      <formula>V3&amp;T3="2,0 LMech"</formula>
    </cfRule>
    <cfRule type="containsText" dxfId="388" priority="189" operator="containsText" text="Standard">
      <formula>NOT(ISERROR(SEARCH("Standard",T3)))</formula>
    </cfRule>
    <cfRule type="expression" dxfId="387" priority="190">
      <formula>T3&amp;V3="Rich3,5 L"</formula>
    </cfRule>
    <cfRule type="containsText" dxfId="386" priority="191" operator="containsText" text="Mech">
      <formula>NOT(ISERROR(SEARCH("Mech",T3)))</formula>
    </cfRule>
    <cfRule type="containsText" dxfId="385" priority="192" operator="containsText" text="Auto">
      <formula>NOT(ISERROR(SEARCH("Auto",T3)))</formula>
    </cfRule>
    <cfRule type="containsText" dxfId="384" priority="193" operator="containsText" text="CVT">
      <formula>NOT(ISERROR(SEARCH("CVT",T3)))</formula>
    </cfRule>
  </conditionalFormatting>
  <conditionalFormatting sqref="V3:V105">
    <cfRule type="expression" dxfId="383" priority="186">
      <formula>V3&amp;T3="2,0 LMech"</formula>
    </cfRule>
  </conditionalFormatting>
  <conditionalFormatting sqref="S3:S105">
    <cfRule type="containsText" dxfId="382" priority="93" operator="containsText" text="RAV4">
      <formula>NOT(ISERROR(SEARCH("RAV4",S3)))</formula>
    </cfRule>
    <cfRule type="containsText" dxfId="381" priority="94" operator="containsText" text="Camry">
      <formula>NOT(ISERROR(SEARCH("Camry",S3)))</formula>
    </cfRule>
    <cfRule type="expression" dxfId="380" priority="101">
      <formula>$AK3="R"</formula>
    </cfRule>
    <cfRule type="expression" dxfId="379" priority="184">
      <formula>$AK3="C"</formula>
    </cfRule>
  </conditionalFormatting>
  <conditionalFormatting sqref="G3:H105 T3:U105">
    <cfRule type="containsText" dxfId="378" priority="183" operator="containsText" text="Special">
      <formula>NOT(ISERROR(SEARCH("Special",G3)))</formula>
    </cfRule>
  </conditionalFormatting>
  <conditionalFormatting sqref="G3:G105">
    <cfRule type="expression" dxfId="377" priority="176">
      <formula>G3&amp;I3="Rich2,5 L"</formula>
    </cfRule>
    <cfRule type="expression" dxfId="376" priority="177">
      <formula>I3&amp;G3="2,0 LMech"</formula>
    </cfRule>
    <cfRule type="containsText" dxfId="375" priority="178" operator="containsText" text="Standard">
      <formula>NOT(ISERROR(SEARCH("Standard",G3)))</formula>
    </cfRule>
    <cfRule type="expression" dxfId="374" priority="179">
      <formula>G3&amp;I3="Rich3,5 L"</formula>
    </cfRule>
    <cfRule type="containsText" dxfId="373" priority="180" operator="containsText" text="Mech">
      <formula>NOT(ISERROR(SEARCH("Mech",G3)))</formula>
    </cfRule>
    <cfRule type="containsText" dxfId="372" priority="181" operator="containsText" text="Auto">
      <formula>NOT(ISERROR(SEARCH("Auto",G3)))</formula>
    </cfRule>
    <cfRule type="containsText" dxfId="371" priority="182" operator="containsText" text="CVT">
      <formula>NOT(ISERROR(SEARCH("CVT",G3)))</formula>
    </cfRule>
  </conditionalFormatting>
  <conditionalFormatting sqref="I3:I105">
    <cfRule type="expression" dxfId="370" priority="175">
      <formula>I3&amp;G3="2,0 LMech"</formula>
    </cfRule>
  </conditionalFormatting>
  <conditionalFormatting sqref="H3:H105">
    <cfRule type="expression" dxfId="369" priority="168">
      <formula>H3&amp;J3="Rich2,5 L"</formula>
    </cfRule>
    <cfRule type="expression" dxfId="368" priority="169">
      <formula>J3&amp;H3="2,0 LMech"</formula>
    </cfRule>
    <cfRule type="containsText" dxfId="367" priority="170" operator="containsText" text="Standard">
      <formula>NOT(ISERROR(SEARCH("Standard",H3)))</formula>
    </cfRule>
    <cfRule type="expression" dxfId="366" priority="171">
      <formula>H3&amp;J3="Rich3,5 L"</formula>
    </cfRule>
    <cfRule type="containsText" dxfId="365" priority="172" operator="containsText" text="Mech">
      <formula>NOT(ISERROR(SEARCH("Mech",H3)))</formula>
    </cfRule>
    <cfRule type="containsText" dxfId="364" priority="173" operator="containsText" text="Auto">
      <formula>NOT(ISERROR(SEARCH("Auto",H3)))</formula>
    </cfRule>
    <cfRule type="containsText" dxfId="363" priority="174" operator="containsText" text="CVT">
      <formula>NOT(ISERROR(SEARCH("CVT",H3)))</formula>
    </cfRule>
  </conditionalFormatting>
  <conditionalFormatting sqref="H3:H105">
    <cfRule type="expression" dxfId="362" priority="161">
      <formula>H3&amp;J3="Rich2,5 L"</formula>
    </cfRule>
    <cfRule type="expression" dxfId="361" priority="162">
      <formula>J3&amp;H3="2,0 LMech"</formula>
    </cfRule>
    <cfRule type="containsText" dxfId="360" priority="163" operator="containsText" text="Standard">
      <formula>NOT(ISERROR(SEARCH("Standard",H3)))</formula>
    </cfRule>
    <cfRule type="expression" dxfId="359" priority="164">
      <formula>H3&amp;J3="Rich3,5 L"</formula>
    </cfRule>
    <cfRule type="containsText" dxfId="358" priority="165" operator="containsText" text="Mech">
      <formula>NOT(ISERROR(SEARCH("Mech",H3)))</formula>
    </cfRule>
    <cfRule type="containsText" dxfId="357" priority="166" operator="containsText" text="Auto">
      <formula>NOT(ISERROR(SEARCH("Auto",H3)))</formula>
    </cfRule>
    <cfRule type="containsText" dxfId="356" priority="167" operator="containsText" text="CVT">
      <formula>NOT(ISERROR(SEARCH("CVT",H3)))</formula>
    </cfRule>
  </conditionalFormatting>
  <conditionalFormatting sqref="U3:U105">
    <cfRule type="expression" dxfId="355" priority="154">
      <formula>U3&amp;W3="Rich2,5 L"</formula>
    </cfRule>
    <cfRule type="expression" dxfId="354" priority="155">
      <formula>W3&amp;U3="2,0 LMech"</formula>
    </cfRule>
    <cfRule type="containsText" dxfId="353" priority="156" operator="containsText" text="Standard">
      <formula>NOT(ISERROR(SEARCH("Standard",U3)))</formula>
    </cfRule>
    <cfRule type="expression" dxfId="352" priority="157">
      <formula>U3&amp;W3="Rich3,5 L"</formula>
    </cfRule>
    <cfRule type="containsText" dxfId="351" priority="158" operator="containsText" text="Mech">
      <formula>NOT(ISERROR(SEARCH("Mech",U3)))</formula>
    </cfRule>
    <cfRule type="containsText" dxfId="350" priority="159" operator="containsText" text="Auto">
      <formula>NOT(ISERROR(SEARCH("Auto",U3)))</formula>
    </cfRule>
    <cfRule type="containsText" dxfId="349" priority="160" operator="containsText" text="CVT">
      <formula>NOT(ISERROR(SEARCH("CVT",U3)))</formula>
    </cfRule>
  </conditionalFormatting>
  <conditionalFormatting sqref="AA6:AA16 E3 R3:R105 E5:E105">
    <cfRule type="duplicateValues" dxfId="348" priority="152"/>
  </conditionalFormatting>
  <conditionalFormatting sqref="Z6:Z16 AB55">
    <cfRule type="containsText" dxfId="347" priority="150" operator="containsText" text="P3">
      <formula>NOT(ISERROR(SEARCH("P3",Z6)))</formula>
    </cfRule>
    <cfRule type="containsText" dxfId="346" priority="151" operator="containsText" text="P2">
      <formula>NOT(ISERROR(SEARCH("P2",Z6)))</formula>
    </cfRule>
  </conditionalFormatting>
  <conditionalFormatting sqref="U3:U105">
    <cfRule type="expression" dxfId="345" priority="143">
      <formula>U3&amp;W3="Rich2,5 L"</formula>
    </cfRule>
    <cfRule type="expression" dxfId="344" priority="144">
      <formula>W3&amp;U3="2,0 LMech"</formula>
    </cfRule>
    <cfRule type="containsText" dxfId="343" priority="145" operator="containsText" text="Standard">
      <formula>NOT(ISERROR(SEARCH("Standard",U3)))</formula>
    </cfRule>
    <cfRule type="expression" dxfId="342" priority="146">
      <formula>U3&amp;W3="Rich3,5 L"</formula>
    </cfRule>
    <cfRule type="containsText" dxfId="341" priority="147" operator="containsText" text="Mech">
      <formula>NOT(ISERROR(SEARCH("Mech",U3)))</formula>
    </cfRule>
    <cfRule type="containsText" dxfId="340" priority="148" operator="containsText" text="Auto">
      <formula>NOT(ISERROR(SEARCH("Auto",U3)))</formula>
    </cfRule>
    <cfRule type="containsText" dxfId="339" priority="149" operator="containsText" text="CVT">
      <formula>NOT(ISERROR(SEARCH("CVT",U3)))</formula>
    </cfRule>
  </conditionalFormatting>
  <conditionalFormatting sqref="U3:U105">
    <cfRule type="expression" dxfId="338" priority="136">
      <formula>U3&amp;W3="Rich2,5 L"</formula>
    </cfRule>
    <cfRule type="expression" dxfId="337" priority="137">
      <formula>W3&amp;U3="2,0 LMech"</formula>
    </cfRule>
    <cfRule type="containsText" dxfId="336" priority="138" operator="containsText" text="Standard">
      <formula>NOT(ISERROR(SEARCH("Standard",U3)))</formula>
    </cfRule>
    <cfRule type="expression" dxfId="335" priority="139">
      <formula>U3&amp;W3="Rich3,5 L"</formula>
    </cfRule>
    <cfRule type="containsText" dxfId="334" priority="140" operator="containsText" text="Mech">
      <formula>NOT(ISERROR(SEARCH("Mech",U3)))</formula>
    </cfRule>
    <cfRule type="containsText" dxfId="333" priority="141" operator="containsText" text="Auto">
      <formula>NOT(ISERROR(SEARCH("Auto",U3)))</formula>
    </cfRule>
    <cfRule type="containsText" dxfId="332" priority="142" operator="containsText" text="CVT">
      <formula>NOT(ISERROR(SEARCH("CVT",U3)))</formula>
    </cfRule>
  </conditionalFormatting>
  <conditionalFormatting sqref="X3:X105">
    <cfRule type="expression" dxfId="331" priority="132">
      <formula>Y3&lt;=$BF$2</formula>
    </cfRule>
    <cfRule type="expression" dxfId="330" priority="133">
      <formula>Y3&gt;$BF$2</formula>
    </cfRule>
  </conditionalFormatting>
  <conditionalFormatting sqref="G3:G105 T3:T105">
    <cfRule type="containsText" dxfId="329" priority="131" operator="containsText" text="Diesel">
      <formula>NOT(ISERROR(SEARCH("Diesel",G3)))</formula>
    </cfRule>
  </conditionalFormatting>
  <conditionalFormatting sqref="T3:T105">
    <cfRule type="expression" dxfId="328" priority="124">
      <formula>T3&amp;V3="Rich2,5 L"</formula>
    </cfRule>
    <cfRule type="expression" dxfId="327" priority="125">
      <formula>V3&amp;T3="2,0 LMech"</formula>
    </cfRule>
    <cfRule type="containsText" dxfId="326" priority="126" operator="containsText" text="Standard">
      <formula>NOT(ISERROR(SEARCH("Standard",T3)))</formula>
    </cfRule>
    <cfRule type="expression" dxfId="325" priority="127">
      <formula>T3&amp;V3="Rich3,5 L"</formula>
    </cfRule>
    <cfRule type="containsText" dxfId="324" priority="128" operator="containsText" text="Mech">
      <formula>NOT(ISERROR(SEARCH("Mech",T3)))</formula>
    </cfRule>
    <cfRule type="containsText" dxfId="323" priority="129" operator="containsText" text="Auto">
      <formula>NOT(ISERROR(SEARCH("Auto",T3)))</formula>
    </cfRule>
    <cfRule type="containsText" dxfId="322" priority="130" operator="containsText" text="CVT">
      <formula>NOT(ISERROR(SEARCH("CVT",T3)))</formula>
    </cfRule>
  </conditionalFormatting>
  <conditionalFormatting sqref="U3:U105">
    <cfRule type="expression" dxfId="321" priority="117">
      <formula>U3&amp;W3="Rich2,5 L"</formula>
    </cfRule>
    <cfRule type="expression" dxfId="320" priority="118">
      <formula>W3&amp;U3="2,0 LMech"</formula>
    </cfRule>
    <cfRule type="containsText" dxfId="319" priority="119" operator="containsText" text="Standard">
      <formula>NOT(ISERROR(SEARCH("Standard",U3)))</formula>
    </cfRule>
    <cfRule type="expression" dxfId="318" priority="120">
      <formula>U3&amp;W3="Rich3,5 L"</formula>
    </cfRule>
    <cfRule type="containsText" dxfId="317" priority="121" operator="containsText" text="Mech">
      <formula>NOT(ISERROR(SEARCH("Mech",U3)))</formula>
    </cfRule>
    <cfRule type="containsText" dxfId="316" priority="122" operator="containsText" text="Auto">
      <formula>NOT(ISERROR(SEARCH("Auto",U3)))</formula>
    </cfRule>
    <cfRule type="containsText" dxfId="315" priority="123" operator="containsText" text="CVT">
      <formula>NOT(ISERROR(SEARCH("CVT",U3)))</formula>
    </cfRule>
  </conditionalFormatting>
  <conditionalFormatting sqref="U3:U105">
    <cfRule type="containsText" dxfId="314" priority="112" operator="containsText" text="Standard">
      <formula>NOT(ISERROR(SEARCH("Standard",U3)))</formula>
    </cfRule>
    <cfRule type="expression" dxfId="313" priority="113">
      <formula>U3&amp;W3="Rich3,5 L"</formula>
    </cfRule>
    <cfRule type="containsText" dxfId="312" priority="114" operator="containsText" text="Mech">
      <formula>NOT(ISERROR(SEARCH("Mech",U3)))</formula>
    </cfRule>
    <cfRule type="containsText" dxfId="311" priority="115" operator="containsText" text="Auto">
      <formula>NOT(ISERROR(SEARCH("Auto",U3)))</formula>
    </cfRule>
    <cfRule type="containsText" dxfId="310" priority="116" operator="containsText" text="CVT">
      <formula>NOT(ISERROR(SEARCH("CVT",U3)))</formula>
    </cfRule>
  </conditionalFormatting>
  <conditionalFormatting sqref="B3:C105">
    <cfRule type="expression" dxfId="309" priority="185">
      <formula>$B3&lt;&gt;$C3</formula>
    </cfRule>
  </conditionalFormatting>
  <conditionalFormatting sqref="C3:C105 P3:P105">
    <cfRule type="containsBlanks" dxfId="308" priority="110">
      <formula>LEN(TRIM(C3))=0</formula>
    </cfRule>
  </conditionalFormatting>
  <conditionalFormatting sqref="O3:P105">
    <cfRule type="expression" dxfId="307" priority="111">
      <formula>$O3&lt;&gt;$P3</formula>
    </cfRule>
  </conditionalFormatting>
  <conditionalFormatting sqref="AH3:AI105 AM3:AN105">
    <cfRule type="colorScale" priority="106">
      <colorScale>
        <cfvo type="num" val="-8"/>
        <cfvo type="num" val="0"/>
        <cfvo type="num" val="8"/>
        <color rgb="FFC00000"/>
        <color theme="0" tint="-0.14999847407452621"/>
        <color rgb="FFC00000"/>
      </colorScale>
    </cfRule>
  </conditionalFormatting>
  <conditionalFormatting sqref="BF28:BG31">
    <cfRule type="cellIs" dxfId="306" priority="103" operator="greaterThanOrEqual">
      <formula>0.91</formula>
    </cfRule>
    <cfRule type="cellIs" dxfId="305" priority="104" operator="lessThanOrEqual">
      <formula>-0.91</formula>
    </cfRule>
    <cfRule type="cellIs" dxfId="304" priority="105" operator="between">
      <formula>0.9</formula>
      <formula>-0.9</formula>
    </cfRule>
  </conditionalFormatting>
  <conditionalFormatting sqref="F3:F105">
    <cfRule type="containsText" dxfId="303" priority="96" operator="containsText" text="RAV4">
      <formula>NOT(ISERROR(SEARCH("RAV4",F3)))</formula>
    </cfRule>
    <cfRule type="containsText" dxfId="302" priority="100" operator="containsText" text="Camry">
      <formula>NOT(ISERROR(SEARCH("Camry",F3)))</formula>
    </cfRule>
    <cfRule type="expression" dxfId="301" priority="102">
      <formula>$AF3="R"</formula>
    </cfRule>
    <cfRule type="expression" dxfId="300" priority="109">
      <formula>$AF3="C"</formula>
    </cfRule>
  </conditionalFormatting>
  <conditionalFormatting sqref="E3 R3:R105 E5:E105">
    <cfRule type="duplicateValues" dxfId="299" priority="92"/>
  </conditionalFormatting>
  <conditionalFormatting sqref="AK212:AL259">
    <cfRule type="containsText" dxfId="298" priority="98" operator="containsText" text="C">
      <formula>NOT(ISERROR(SEARCH("C",AK212)))</formula>
    </cfRule>
    <cfRule type="containsText" dxfId="297" priority="99" operator="containsText" text="R">
      <formula>NOT(ISERROR(SEARCH("R",AK212)))</formula>
    </cfRule>
  </conditionalFormatting>
  <conditionalFormatting sqref="AM106:AN202">
    <cfRule type="colorScale" priority="97">
      <colorScale>
        <cfvo type="num" val="-8"/>
        <cfvo type="num" val="0"/>
        <cfvo type="num" val="8"/>
        <color rgb="FFC00000"/>
        <color theme="0" tint="-0.14999847407452621"/>
        <color rgb="FFC00000"/>
      </colorScale>
    </cfRule>
  </conditionalFormatting>
  <conditionalFormatting sqref="AF3:AG105 AK3:AL105">
    <cfRule type="containsText" dxfId="296" priority="107" operator="containsText" text="C">
      <formula>NOT(ISERROR(SEARCH("C",AF3)))</formula>
    </cfRule>
    <cfRule type="containsText" dxfId="295" priority="108" operator="containsText" text="R">
      <formula>NOT(ISERROR(SEARCH("R",AF3)))</formula>
    </cfRule>
  </conditionalFormatting>
  <conditionalFormatting sqref="K4:K105">
    <cfRule type="expression" dxfId="294" priority="134">
      <formula>L4&lt;=$BF$2</formula>
    </cfRule>
    <cfRule type="expression" dxfId="293" priority="135">
      <formula>L4&gt;$BF$2</formula>
    </cfRule>
  </conditionalFormatting>
  <conditionalFormatting sqref="Z24:Z32">
    <cfRule type="containsText" dxfId="292" priority="89" operator="containsText" text="Camry">
      <formula>NOT(ISERROR(SEARCH("Camry",Z24)))</formula>
    </cfRule>
    <cfRule type="containsText" dxfId="291" priority="90" operator="containsText" text="RAV4">
      <formula>NOT(ISERROR(SEARCH("RAV4",Z24)))</formula>
    </cfRule>
  </conditionalFormatting>
  <conditionalFormatting sqref="AC43:AC54">
    <cfRule type="duplicateValues" dxfId="290" priority="88"/>
  </conditionalFormatting>
  <conditionalFormatting sqref="AB43:AB54">
    <cfRule type="containsText" dxfId="289" priority="86" operator="containsText" text="P3">
      <formula>NOT(ISERROR(SEARCH("P3",AB43)))</formula>
    </cfRule>
    <cfRule type="containsText" dxfId="288" priority="87" operator="containsText" text="P2">
      <formula>NOT(ISERROR(SEARCH("P2",AB43)))</formula>
    </cfRule>
  </conditionalFormatting>
  <conditionalFormatting sqref="AA6:AA16">
    <cfRule type="duplicateValues" dxfId="287" priority="85"/>
  </conditionalFormatting>
  <conditionalFormatting sqref="AC43:AC55">
    <cfRule type="duplicateValues" dxfId="286" priority="153"/>
  </conditionalFormatting>
  <conditionalFormatting sqref="Z33:Z34">
    <cfRule type="containsText" dxfId="285" priority="81" operator="containsText" text="Camry">
      <formula>NOT(ISERROR(SEARCH("Camry",Z33)))</formula>
    </cfRule>
    <cfRule type="containsText" dxfId="284" priority="82" operator="containsText" text="RAV4">
      <formula>NOT(ISERROR(SEARCH("RAV4",Z33)))</formula>
    </cfRule>
  </conditionalFormatting>
  <conditionalFormatting sqref="AC34">
    <cfRule type="duplicateValues" dxfId="283" priority="84"/>
  </conditionalFormatting>
  <conditionalFormatting sqref="AC34">
    <cfRule type="duplicateValues" dxfId="282" priority="83"/>
  </conditionalFormatting>
  <conditionalFormatting sqref="AC34">
    <cfRule type="expression" dxfId="281" priority="80">
      <formula>AB34&lt;=-14</formula>
    </cfRule>
  </conditionalFormatting>
  <conditionalFormatting sqref="Z36:Z40">
    <cfRule type="containsText" dxfId="280" priority="78" operator="containsText" text="Camry">
      <formula>NOT(ISERROR(SEARCH("Camry",Z36)))</formula>
    </cfRule>
    <cfRule type="containsText" dxfId="279" priority="79" operator="containsText" text="RAV4">
      <formula>NOT(ISERROR(SEARCH("RAV4",Z36)))</formula>
    </cfRule>
  </conditionalFormatting>
  <conditionalFormatting sqref="Z35">
    <cfRule type="containsText" dxfId="278" priority="76" operator="containsText" text="Camry">
      <formula>NOT(ISERROR(SEARCH("Camry",Z35)))</formula>
    </cfRule>
    <cfRule type="containsText" dxfId="277" priority="77" operator="containsText" text="RAV4">
      <formula>NOT(ISERROR(SEARCH("RAV4",Z35)))</formula>
    </cfRule>
  </conditionalFormatting>
  <conditionalFormatting sqref="AC43:AC55 E3 R3:R105 E5:E105">
    <cfRule type="duplicateValues" dxfId="276" priority="54"/>
  </conditionalFormatting>
  <conditionalFormatting sqref="Z70:Z78">
    <cfRule type="containsText" dxfId="275" priority="73" operator="containsText" text="Camry">
      <formula>NOT(ISERROR(SEARCH("Camry",Z70)))</formula>
    </cfRule>
    <cfRule type="containsText" dxfId="274" priority="74" operator="containsText" text="RAV4">
      <formula>NOT(ISERROR(SEARCH("RAV4",Z70)))</formula>
    </cfRule>
  </conditionalFormatting>
  <conditionalFormatting sqref="Z79:Z80">
    <cfRule type="containsText" dxfId="273" priority="69" operator="containsText" text="Camry">
      <formula>NOT(ISERROR(SEARCH("Camry",Z79)))</formula>
    </cfRule>
    <cfRule type="containsText" dxfId="272" priority="70" operator="containsText" text="RAV4">
      <formula>NOT(ISERROR(SEARCH("RAV4",Z79)))</formula>
    </cfRule>
  </conditionalFormatting>
  <conditionalFormatting sqref="AC80">
    <cfRule type="duplicateValues" dxfId="271" priority="72"/>
  </conditionalFormatting>
  <conditionalFormatting sqref="AC80">
    <cfRule type="duplicateValues" dxfId="270" priority="71"/>
  </conditionalFormatting>
  <conditionalFormatting sqref="AC80">
    <cfRule type="expression" dxfId="269" priority="68">
      <formula>AB80&lt;=-14</formula>
    </cfRule>
  </conditionalFormatting>
  <conditionalFormatting sqref="Z81:Z86">
    <cfRule type="containsText" dxfId="268" priority="66" operator="containsText" text="Camry">
      <formula>NOT(ISERROR(SEARCH("Camry",Z81)))</formula>
    </cfRule>
    <cfRule type="containsText" dxfId="267" priority="67" operator="containsText" text="RAV4">
      <formula>NOT(ISERROR(SEARCH("RAV4",Z81)))</formula>
    </cfRule>
  </conditionalFormatting>
  <conditionalFormatting sqref="F3:F105 S3:S105">
    <cfRule type="containsText" dxfId="266" priority="65" operator="containsText" text="TNGA">
      <formula>NOT(ISERROR(SEARCH("TNGA",F3)))</formula>
    </cfRule>
  </conditionalFormatting>
  <conditionalFormatting sqref="AD42">
    <cfRule type="containsText" dxfId="265" priority="63" operator="containsText" text="Camry">
      <formula>NOT(ISERROR(SEARCH("Camry",AD42)))</formula>
    </cfRule>
    <cfRule type="containsText" dxfId="264" priority="64" operator="containsText" text="RAV4">
      <formula>NOT(ISERROR(SEARCH("RAV4",AD42)))</formula>
    </cfRule>
  </conditionalFormatting>
  <conditionalFormatting sqref="AD24:AD32">
    <cfRule type="containsText" dxfId="263" priority="61" operator="containsText" text="P3">
      <formula>NOT(ISERROR(SEARCH("P3",AD24)))</formula>
    </cfRule>
    <cfRule type="containsText" dxfId="262" priority="62" operator="containsText" text="P2">
      <formula>NOT(ISERROR(SEARCH("P2",AD24)))</formula>
    </cfRule>
  </conditionalFormatting>
  <conditionalFormatting sqref="AD35:AD40">
    <cfRule type="containsText" dxfId="261" priority="59" operator="containsText" text="P3">
      <formula>NOT(ISERROR(SEARCH("P3",AD35)))</formula>
    </cfRule>
    <cfRule type="containsText" dxfId="260" priority="60" operator="containsText" text="P2">
      <formula>NOT(ISERROR(SEARCH("P2",AD35)))</formula>
    </cfRule>
  </conditionalFormatting>
  <conditionalFormatting sqref="AD70:AD78">
    <cfRule type="containsText" dxfId="259" priority="57" operator="containsText" text="P3">
      <formula>NOT(ISERROR(SEARCH("P3",AD70)))</formula>
    </cfRule>
    <cfRule type="containsText" dxfId="258" priority="58" operator="containsText" text="P2">
      <formula>NOT(ISERROR(SEARCH("P2",AD70)))</formula>
    </cfRule>
  </conditionalFormatting>
  <conditionalFormatting sqref="AD81:AD86">
    <cfRule type="containsText" dxfId="257" priority="55" operator="containsText" text="P3">
      <formula>NOT(ISERROR(SEARCH("P3",AD81)))</formula>
    </cfRule>
    <cfRule type="containsText" dxfId="256" priority="56" operator="containsText" text="P2">
      <formula>NOT(ISERROR(SEARCH("P2",AD81)))</formula>
    </cfRule>
  </conditionalFormatting>
  <conditionalFormatting sqref="E3 AA6:AA16 R3:R105 E5:E105">
    <cfRule type="expression" dxfId="255" priority="49">
      <formula>VLOOKUP(E3,$AD$10:$AD$20,1,FALSE)=E3</formula>
    </cfRule>
  </conditionalFormatting>
  <conditionalFormatting sqref="P4:W4 W5:W8">
    <cfRule type="expression" dxfId="254" priority="53">
      <formula>OR(AND($U4="Rich",$G105="Rich"),AND($H105="TWIN-C",$U3="4WD",$U4="TWIN-C"),AND($H105="TWIN-C",$T3="Rich",$U4="TWIN-C"))</formula>
    </cfRule>
  </conditionalFormatting>
  <conditionalFormatting sqref="C3:J3 J4 F4:F20">
    <cfRule type="expression" dxfId="253" priority="52">
      <formula>OR(AND($G3="Rich",$BK2="Rich"),AND($G3="Rich",$BK1="Rich"),AND($BK2="Mech",$G3="Mech"),AND($BK2="Mech",$G3="Rich"),AND($BK2="Rich",$G3="Mech"),AND($BK$1="Mech",$BL$2="4WD",$G$3="Mech"),AND($BL1="TWIN-C",$BL2="4WD",$H3="TWIN-C"),AND($BL1="TWIN-C",$BK2="Rich",$H3="TWIN-C"),AND($BL2="TWIN-C",$H3="TWIN-C"))</formula>
    </cfRule>
  </conditionalFormatting>
  <conditionalFormatting sqref="C4:D4 F4:J4">
    <cfRule type="expression" dxfId="252" priority="34">
      <formula>OR(AND($G4="Rich",$BK2="Rich"),AND($BL2="TWIN-C",$H3="4WD",$H4="TWIN-C"),AND($BL2="TWIN-C",$G3="Rich",$H4="TWIN-C"))</formula>
    </cfRule>
  </conditionalFormatting>
  <conditionalFormatting sqref="P3:W3 S4:S105">
    <cfRule type="expression" dxfId="251" priority="50">
      <formula>OR(AND($T3="Rich",$G105="Rich"),AND($T3="Rich",$G104="Rich"),AND($H104="TWIN-C",$H105="4WD",$U3="TWIN-C"),AND($H104="TWIN-C",$G105="Rich",$U3="TWIN-C"),AND($H105="TWIN-C",$U3="TWIN-C"))</formula>
    </cfRule>
  </conditionalFormatting>
  <conditionalFormatting sqref="E1 K1 U1:X1">
    <cfRule type="expression" dxfId="250" priority="47">
      <formula>$BA$2&gt;=$BB$2</formula>
    </cfRule>
  </conditionalFormatting>
  <conditionalFormatting sqref="E1">
    <cfRule type="containsText" dxfId="249" priority="45" operator="containsText" text="RED">
      <formula>NOT(ISERROR(SEARCH("RED",E1)))</formula>
    </cfRule>
    <cfRule type="expression" dxfId="248" priority="46">
      <formula>$BA$2=$BB$2</formula>
    </cfRule>
  </conditionalFormatting>
  <conditionalFormatting sqref="AC24:AC32">
    <cfRule type="duplicateValues" dxfId="247" priority="43"/>
  </conditionalFormatting>
  <conditionalFormatting sqref="AC26">
    <cfRule type="expression" dxfId="246" priority="42">
      <formula>OR($AB$26=-18,$AB$26=-19)</formula>
    </cfRule>
  </conditionalFormatting>
  <conditionalFormatting sqref="AC24:AC32">
    <cfRule type="expression" dxfId="245" priority="41">
      <formula>AB24&lt;=-6</formula>
    </cfRule>
  </conditionalFormatting>
  <conditionalFormatting sqref="AC35:AC40">
    <cfRule type="duplicateValues" dxfId="244" priority="40"/>
  </conditionalFormatting>
  <conditionalFormatting sqref="AC70:AC78">
    <cfRule type="duplicateValues" dxfId="243" priority="38"/>
  </conditionalFormatting>
  <conditionalFormatting sqref="AC72">
    <cfRule type="expression" dxfId="242" priority="37">
      <formula>OR($AB$26=-18,$AB$26=-19)</formula>
    </cfRule>
  </conditionalFormatting>
  <conditionalFormatting sqref="AC70:AC78">
    <cfRule type="expression" dxfId="241" priority="36">
      <formula>AB70&lt;=-6</formula>
    </cfRule>
  </conditionalFormatting>
  <conditionalFormatting sqref="AC81:AC91 Z87:AB91">
    <cfRule type="duplicateValues" dxfId="240" priority="35"/>
  </conditionalFormatting>
  <conditionalFormatting sqref="H3:J105">
    <cfRule type="expression" dxfId="239" priority="51">
      <formula>$J3="2QL"</formula>
    </cfRule>
    <cfRule type="expression" dxfId="238" priority="75">
      <formula>$J3="2PS"</formula>
    </cfRule>
  </conditionalFormatting>
  <conditionalFormatting sqref="U3:W105">
    <cfRule type="expression" dxfId="237" priority="31">
      <formula>$W3="2QL"</formula>
    </cfRule>
    <cfRule type="expression" dxfId="236" priority="33">
      <formula>$W3="2PS"</formula>
    </cfRule>
  </conditionalFormatting>
  <conditionalFormatting sqref="G1:G1048576 T1:T1048576">
    <cfRule type="containsText" dxfId="235" priority="30" operator="containsText" text="Sport">
      <formula>NOT(ISERROR(SEARCH("Sport",G1)))</formula>
    </cfRule>
  </conditionalFormatting>
  <conditionalFormatting sqref="AY53:AY63">
    <cfRule type="duplicateValues" dxfId="234" priority="28"/>
  </conditionalFormatting>
  <conditionalFormatting sqref="AY53:AY63">
    <cfRule type="duplicateValues" dxfId="233" priority="29"/>
  </conditionalFormatting>
  <conditionalFormatting sqref="AY53:AY63">
    <cfRule type="duplicateValues" dxfId="232" priority="27"/>
  </conditionalFormatting>
  <conditionalFormatting sqref="A3:A105">
    <cfRule type="cellIs" dxfId="231" priority="25" operator="lessThan">
      <formula>$AB$2</formula>
    </cfRule>
    <cfRule type="cellIs" dxfId="230" priority="26" operator="between">
      <formula>$AC$2+1</formula>
      <formula>10000</formula>
    </cfRule>
  </conditionalFormatting>
  <conditionalFormatting sqref="N3:N105">
    <cfRule type="cellIs" dxfId="229" priority="23" operator="lessThan">
      <formula>$AB$2</formula>
    </cfRule>
    <cfRule type="cellIs" dxfId="228" priority="24" operator="between">
      <formula>$AC$2+1</formula>
      <formula>10000</formula>
    </cfRule>
  </conditionalFormatting>
  <conditionalFormatting sqref="F22:F25">
    <cfRule type="expression" dxfId="227" priority="197">
      <formula>OR(AND($G22="Rich",#REF!="Rich"),AND($G22="Rich",#REF!="Rich"),AND(#REF!="Mech",$G22="Mech"),AND(#REF!="Mech",$G22="Rich"),AND(#REF!="Rich",$G22="Mech"),AND($BK$1="Mech",$BL$2="4WD",$G$3="Mech"),AND($BL20="TWIN-C",$BL21="4WD",$H22="TWIN-C"),AND($BL20="TWIN-C",#REF!="Rich",$H22="TWIN-C"),AND($BL21="TWIN-C",$H22="TWIN-C"))</formula>
    </cfRule>
  </conditionalFormatting>
  <conditionalFormatting sqref="F21">
    <cfRule type="expression" dxfId="226" priority="199">
      <formula>OR(AND($G21="Rich",#REF!="Rich"),AND($G21="Rich",#REF!="Rich"),AND(#REF!="Mech",$G21="Mech"),AND(#REF!="Mech",$G21="Rich"),AND(#REF!="Rich",$G21="Mech"),AND($BK$1="Mech",$BL$2="4WD",$G$3="Mech"),AND($BL19="TWIN-C",$BL20="4WD",$H21="TWIN-C"),AND($BL19="TWIN-C",#REF!="Rich",$H21="TWIN-C"),AND($BL20="TWIN-C",$H21="TWIN-C"))</formula>
    </cfRule>
  </conditionalFormatting>
  <conditionalFormatting sqref="AC6:AC20">
    <cfRule type="expression" dxfId="225" priority="17">
      <formula>VLOOKUP($AC6,$R$3:$R$105,1,FALSE)=$AC6</formula>
    </cfRule>
    <cfRule type="expression" dxfId="224" priority="18">
      <formula>VLOOKUP($AC6,$E$3:$E$105,1,FALSE)=$AC6</formula>
    </cfRule>
    <cfRule type="duplicateValues" dxfId="223" priority="22"/>
  </conditionalFormatting>
  <conditionalFormatting sqref="AC6:AC20">
    <cfRule type="duplicateValues" dxfId="222" priority="19"/>
  </conditionalFormatting>
  <conditionalFormatting sqref="AB6:AB20">
    <cfRule type="containsText" dxfId="221" priority="20" operator="containsText" text="P3">
      <formula>NOT(ISERROR(SEARCH("P3",AB6)))</formula>
    </cfRule>
    <cfRule type="containsText" dxfId="220" priority="21" operator="containsText" text="P2">
      <formula>NOT(ISERROR(SEARCH("P2",AB6)))</formula>
    </cfRule>
  </conditionalFormatting>
  <conditionalFormatting sqref="E4">
    <cfRule type="duplicateValues" dxfId="219" priority="16"/>
  </conditionalFormatting>
  <conditionalFormatting sqref="E4">
    <cfRule type="duplicateValues" dxfId="218" priority="14"/>
  </conditionalFormatting>
  <conditionalFormatting sqref="E4">
    <cfRule type="duplicateValues" dxfId="217" priority="13"/>
  </conditionalFormatting>
  <conditionalFormatting sqref="E4">
    <cfRule type="expression" dxfId="216" priority="12">
      <formula>VLOOKUP(E4,$AD$10:$AD$20,1,FALSE)=E4</formula>
    </cfRule>
  </conditionalFormatting>
  <conditionalFormatting sqref="Z95:Z105">
    <cfRule type="containsText" dxfId="215" priority="8" operator="containsText" text="Camry">
      <formula>NOT(ISERROR(SEARCH("Camry",Z95)))</formula>
    </cfRule>
    <cfRule type="containsText" dxfId="214" priority="9" operator="containsText" text="RAV4">
      <formula>NOT(ISERROR(SEARCH("RAV4",Z95)))</formula>
    </cfRule>
  </conditionalFormatting>
  <conditionalFormatting sqref="AD95:AD105">
    <cfRule type="containsText" dxfId="213" priority="6" operator="containsText" text="P3">
      <formula>NOT(ISERROR(SEARCH("P3",AD95)))</formula>
    </cfRule>
    <cfRule type="containsText" dxfId="212" priority="7" operator="containsText" text="P2">
      <formula>NOT(ISERROR(SEARCH("P2",AD95)))</formula>
    </cfRule>
  </conditionalFormatting>
  <conditionalFormatting sqref="AC95:AC105">
    <cfRule type="duplicateValues" dxfId="211" priority="4"/>
  </conditionalFormatting>
  <conditionalFormatting sqref="AC95:AC105">
    <cfRule type="expression" dxfId="210" priority="3">
      <formula>AB95&lt;=-6</formula>
    </cfRule>
  </conditionalFormatting>
  <conditionalFormatting sqref="F39:F105">
    <cfRule type="expression" dxfId="209" priority="380">
      <formula>OR(AND($G39="Rich",$BK40="Rich"),AND($G39="Rich",$BK39="Rich"),AND($BK40="Mech",$G39="Mech"),AND($BK40="Mech",$G39="Rich"),AND($BK40="Rich",$G39="Mech"),AND($BK$1="Mech",$BL$2="4WD",$G$3="Mech"),AND($BL37="TWIN-C",$BL38="4WD",$H39="TWIN-C"),AND($BL37="TWIN-C",$BK40="Rich",$H39="TWIN-C"),AND($BL38="TWIN-C",$H39="TWIN-C"))</formula>
    </cfRule>
  </conditionalFormatting>
  <conditionalFormatting sqref="F21">
    <cfRule type="expression" dxfId="208" priority="395">
      <formula>OR(AND($G21="Rich",$BK23="Rich"),AND($G21="Rich",$BK19="Rich"),AND($BK23="Mech",$G21="Mech"),AND($BK23="Mech",$G21="Rich"),AND($BK23="Rich",$G21="Mech"),AND($BK$1="Mech",$BL$2="4WD",$G$3="Mech"),AND($BL19="TWIN-C",$BL20="4WD",$H21="TWIN-C"),AND($BL19="TWIN-C",$BK23="Rich",$H21="TWIN-C"),AND($BL20="TWIN-C",$H21="TWIN-C"))</formula>
    </cfRule>
  </conditionalFormatting>
  <conditionalFormatting sqref="F22:F36">
    <cfRule type="expression" dxfId="207" priority="418">
      <formula>OR(AND($G22="Rich",$BK24="Rich"),AND($G22="Rich",$BK23="Rich"),AND($BK24="Mech",$G22="Mech"),AND($BK24="Mech",$G22="Rich"),AND($BK24="Rich",$G22="Mech"),AND($BK$1="Mech",$BL$2="4WD",$G$3="Mech"),AND($BL20="TWIN-C",$BL21="4WD",$H22="TWIN-C"),AND($BL20="TWIN-C",$BK24="Rich",$H22="TWIN-C"),AND($BL21="TWIN-C",$H22="TWIN-C"))</formula>
    </cfRule>
  </conditionalFormatting>
  <conditionalFormatting sqref="F26">
    <cfRule type="expression" dxfId="206" priority="419">
      <formula>OR(AND($G26="Rich",$BK28="Rich"),AND($G26="Rich",#REF!="Rich"),AND($BK28="Mech",$G26="Mech"),AND($BK28="Mech",$G26="Rich"),AND($BK28="Rich",$G26="Mech"),AND($BK$1="Mech",$BL$2="4WD",$G$3="Mech"),AND($BL24="TWIN-C",$BL25="4WD",$H26="TWIN-C"),AND($BL24="TWIN-C",$BK28="Rich",$H26="TWIN-C"),AND($BL25="TWIN-C",$H26="TWIN-C"))</formula>
    </cfRule>
  </conditionalFormatting>
  <conditionalFormatting sqref="F37">
    <cfRule type="expression" dxfId="205" priority="422">
      <formula>OR(AND($G37="Rich",#REF!="Rich"),AND($G37="Rich",$BK38="Rich"),AND(#REF!="Mech",$G37="Mech"),AND(#REF!="Mech",$G37="Rich"),AND(#REF!="Rich",$G37="Mech"),AND($BK$1="Mech",$BL$2="4WD",$G$3="Mech"),AND($BL35="TWIN-C",$BL36="4WD",$H37="TWIN-C"),AND($BL35="TWIN-C",#REF!="Rich",$H37="TWIN-C"),AND($BL36="TWIN-C",$H37="TWIN-C"))</formula>
    </cfRule>
  </conditionalFormatting>
  <conditionalFormatting sqref="F38">
    <cfRule type="expression" dxfId="204" priority="423">
      <formula>OR(AND($G38="Rich",$BK39="Rich"),AND($G38="Rich",#REF!="Rich"),AND($BK39="Mech",$G38="Mech"),AND($BK39="Mech",$G38="Rich"),AND($BK39="Rich",$G38="Mech"),AND($BK$1="Mech",$BL$2="4WD",$G$3="Mech"),AND($BL36="TWIN-C",$BL37="4WD",$H38="TWIN-C"),AND($BL36="TWIN-C",$BK39="Rich",$H38="TWIN-C"),AND($BL37="TWIN-C",$H38="TWIN-C"))</formula>
    </cfRule>
  </conditionalFormatting>
  <conditionalFormatting sqref="F19">
    <cfRule type="expression" dxfId="203" priority="441">
      <formula>OR(AND($G19="Rich",$BK19="Rich"),AND($G19="Rich",$BK17="Rich"),AND($BK19="Mech",$G19="Mech"),AND($BK19="Mech",$G19="Rich"),AND($BK19="Rich",$G19="Mech"),AND($BK$1="Mech",$BL$2="4WD",$G$3="Mech"),AND($BL17="TWIN-C",$BL18="4WD",$H19="TWIN-C"),AND($BL17="TWIN-C",$BK19="Rich",$H19="TWIN-C"),AND($BL18="TWIN-C",$H19="TWIN-C"))</formula>
    </cfRule>
  </conditionalFormatting>
  <conditionalFormatting sqref="F20">
    <cfRule type="expression" dxfId="202" priority="442">
      <formula>OR(AND($G20="Rich",#REF!="Rich"),AND($G20="Rich",$BK19="Rich"),AND(#REF!="Mech",$G20="Mech"),AND(#REF!="Mech",$G20="Rich"),AND(#REF!="Rich",$G20="Mech"),AND($BK$1="Mech",$BL$2="4WD",$G$3="Mech"),AND($BL18="TWIN-C",$BL19="4WD",$H20="TWIN-C"),AND($BL18="TWIN-C",#REF!="Rich",$H20="TWIN-C"),AND($BL19="TWIN-C",$H20="TWIN-C"))</formula>
    </cfRule>
  </conditionalFormatting>
  <conditionalFormatting sqref="C3:J105">
    <cfRule type="expression" dxfId="201" priority="503">
      <formula>AND(COUNTIF($CG9:$CG12,"Rich")&gt;1,COUNTIF($CG9:$CG12,"Mech")&gt;1)</formula>
    </cfRule>
    <cfRule type="expression" dxfId="200" priority="504">
      <formula>AND($CG12="Sport",COUNTIF($CG7:$CG12,"Sport")&gt;1)</formula>
    </cfRule>
    <cfRule type="expression" dxfId="199" priority="505">
      <formula>OR(AND($G3="Rich",$G2="Rich"),AND($G3="Rich",$G1="Rich"),AND($H3="TWIN-C",$H2="TWIN-C"),AND($H3="TWIN-C",$H2="4WD",$H1="TWIN-C"),AND($H3="TWIN-C",$G2="Rich",$H1="TWIN-C"))</formula>
    </cfRule>
  </conditionalFormatting>
  <conditionalFormatting sqref="P3:W105">
    <cfRule type="expression" dxfId="198" priority="506">
      <formula>AND($CG115="Sport",COUNTIF($CG110:$CG115,"Sport")&gt;1)</formula>
    </cfRule>
    <cfRule type="expression" dxfId="197" priority="507">
      <formula>AND(COUNTIF($CG112:$CG115,"Rich")&gt;1,COUNTIF($CG112:$CG115,"Mech")&gt;1)</formula>
    </cfRule>
    <cfRule type="expression" dxfId="196" priority="508">
      <formula>OR(AND($T3="Rich",$T2="Rich"),AND($T3="Rich",$T1="Rich"),AND($U3="TWIN-C",$U2="TWIN-C"),AND($U3="TWIN-C",$U2="4WD",$U1="TWIN-C"),AND($U3="TWIN-C",$T2="Rich",$U1="TWIN-C"))</formula>
    </cfRule>
  </conditionalFormatting>
  <dataValidations count="3">
    <dataValidation type="list" allowBlank="1" showInputMessage="1" showErrorMessage="1" sqref="E1:G1" xr:uid="{00000000-0002-0000-0200-000000000000}">
      <formula1>$AQ$9:$AQ$10</formula1>
    </dataValidation>
    <dataValidation type="list" allowBlank="1" showInputMessage="1" showErrorMessage="1" sqref="U2 G2:H2" xr:uid="{00000000-0002-0000-0200-000001000000}">
      <formula1>Seat</formula1>
    </dataValidation>
    <dataValidation type="list" allowBlank="1" showInputMessage="1" showErrorMessage="1" sqref="H1:J1" xr:uid="{00000000-0002-0000-0200-000002000000}">
      <formula1>$AQ$11:$AQ$12</formula1>
    </dataValidation>
  </dataValidations>
  <printOptions horizontalCentered="1" verticalCentered="1"/>
  <pageMargins left="0" right="0" top="0" bottom="0" header="0" footer="0"/>
  <pageSetup paperSize="9" scale="27" orientation="portrait" verticalDpi="18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76"/>
  <dimension ref="A1:CH259"/>
  <sheetViews>
    <sheetView view="pageBreakPreview" zoomScale="70" zoomScaleNormal="100" zoomScaleSheetLayoutView="70" workbookViewId="0">
      <pane xSplit="4" ySplit="2" topLeftCell="E3" activePane="bottomRight" state="frozen"/>
      <selection sqref="A1:BJ45"/>
      <selection pane="topRight" sqref="A1:BJ45"/>
      <selection pane="bottomLeft" sqref="A1:BJ45"/>
      <selection pane="bottomRight" activeCell="Z40" sqref="Z40"/>
    </sheetView>
  </sheetViews>
  <sheetFormatPr defaultRowHeight="15"/>
  <cols>
    <col min="1" max="1" width="5.5" style="8" customWidth="1"/>
    <col min="2" max="2" width="5.5" style="8" hidden="1" customWidth="1"/>
    <col min="3" max="3" width="4.125" style="8" customWidth="1"/>
    <col min="4" max="4" width="5.875" style="10" customWidth="1"/>
    <col min="5" max="5" width="9.625" style="29" customWidth="1"/>
    <col min="6" max="6" width="7.25" style="10" customWidth="1"/>
    <col min="7" max="7" width="8.625" style="8" customWidth="1"/>
    <col min="8" max="8" width="7.5" style="8" customWidth="1"/>
    <col min="9" max="10" width="6.25" style="8" customWidth="1"/>
    <col min="11" max="11" width="9.625" style="8" customWidth="1"/>
    <col min="12" max="12" width="6.5" style="8" hidden="1" customWidth="1"/>
    <col min="13" max="13" width="1.875" style="11" customWidth="1"/>
    <col min="14" max="14" width="4.625" style="11" customWidth="1"/>
    <col min="15" max="15" width="3.625" style="11" hidden="1" customWidth="1"/>
    <col min="16" max="16" width="4.625" style="8" customWidth="1"/>
    <col min="17" max="17" width="6.125" style="8" customWidth="1"/>
    <col min="18" max="18" width="9.625" style="29" customWidth="1"/>
    <col min="19" max="19" width="7.25" style="10" customWidth="1"/>
    <col min="20" max="20" width="8.625" style="8" customWidth="1"/>
    <col min="21" max="21" width="7" style="8" customWidth="1"/>
    <col min="22" max="23" width="6.25" style="8" customWidth="1"/>
    <col min="24" max="24" width="9.625" style="8" customWidth="1"/>
    <col min="25" max="25" width="6.5" style="8" hidden="1" customWidth="1"/>
    <col min="26" max="26" width="11.875" style="8" customWidth="1"/>
    <col min="27" max="27" width="10.875" style="8" customWidth="1"/>
    <col min="28" max="28" width="10.375" style="8" customWidth="1"/>
    <col min="29" max="29" width="11.125" style="8" customWidth="1"/>
    <col min="30" max="30" width="14.5" style="8" customWidth="1"/>
    <col min="31" max="31" width="4.625" style="8" customWidth="1"/>
    <col min="32" max="32" width="6.625" style="8" customWidth="1"/>
    <col min="33" max="33" width="6.625" style="75" customWidth="1"/>
    <col min="34" max="35" width="7.5" style="75" customWidth="1"/>
    <col min="36" max="36" width="4.625" style="8" customWidth="1"/>
    <col min="37" max="37" width="6.625" style="8" customWidth="1"/>
    <col min="38" max="38" width="6.625" style="75" customWidth="1"/>
    <col min="39" max="40" width="7.5" style="75" customWidth="1"/>
    <col min="41" max="41" width="9" style="8" hidden="1" customWidth="1"/>
    <col min="42" max="42" width="9" style="10" hidden="1" customWidth="1"/>
    <col min="43" max="45" width="9" style="8" hidden="1" customWidth="1"/>
    <col min="46" max="46" width="15.125" style="8" hidden="1" customWidth="1"/>
    <col min="47" max="47" width="6.5" style="8" hidden="1" customWidth="1"/>
    <col min="48" max="48" width="8.375" hidden="1" customWidth="1"/>
    <col min="49" max="49" width="6.125" style="10" customWidth="1"/>
    <col min="50" max="50" width="7.75" style="10" customWidth="1"/>
    <col min="51" max="51" width="7.25" style="10" customWidth="1"/>
    <col min="52" max="52" width="9.75" style="10" customWidth="1"/>
    <col min="53" max="54" width="9" style="10" customWidth="1"/>
    <col min="55" max="55" width="2.375" style="10" customWidth="1"/>
    <col min="56" max="56" width="9" style="10" customWidth="1"/>
    <col min="57" max="64" width="9" style="8" customWidth="1"/>
    <col min="65" max="65" width="12.625" style="8" customWidth="1"/>
    <col min="66" max="71" width="9" style="8" customWidth="1"/>
    <col min="72" max="72" width="9" customWidth="1"/>
    <col min="73" max="73" width="10.25" customWidth="1"/>
    <col min="74" max="74" width="9" style="8" customWidth="1"/>
    <col min="75" max="75" width="9" customWidth="1"/>
    <col min="76" max="76" width="11.5" style="8" customWidth="1"/>
    <col min="77" max="77" width="10.125" style="8" customWidth="1"/>
    <col min="78" max="83" width="9" customWidth="1"/>
    <col min="84" max="16384" width="9" style="8"/>
  </cols>
  <sheetData>
    <row r="1" spans="1:85" ht="35.25" customHeight="1" thickBot="1">
      <c r="A1" s="602">
        <v>44144</v>
      </c>
      <c r="B1" s="603"/>
      <c r="C1" s="603"/>
      <c r="D1" s="604"/>
      <c r="E1" s="605" t="s">
        <v>948</v>
      </c>
      <c r="F1" s="606"/>
      <c r="G1" s="606"/>
      <c r="H1" s="607" t="s">
        <v>151</v>
      </c>
      <c r="I1" s="608"/>
      <c r="J1" s="609"/>
      <c r="K1" s="610" t="s">
        <v>3</v>
      </c>
      <c r="L1" s="610"/>
      <c r="M1" s="610"/>
      <c r="N1" s="610"/>
      <c r="O1" s="610"/>
      <c r="P1" s="610"/>
      <c r="Q1" s="610"/>
      <c r="R1" s="610"/>
      <c r="S1" s="610"/>
      <c r="T1" s="610"/>
      <c r="U1" s="358"/>
      <c r="V1" s="358"/>
      <c r="W1" s="358"/>
      <c r="X1" s="359"/>
      <c r="Y1" s="35"/>
      <c r="Z1" s="629">
        <f>Расчет!AG10</f>
        <v>95</v>
      </c>
      <c r="AA1" s="630"/>
      <c r="AB1" s="631" t="s">
        <v>945</v>
      </c>
      <c r="AC1" s="631"/>
      <c r="AE1" s="611" t="s">
        <v>119</v>
      </c>
      <c r="AF1" s="611"/>
      <c r="AG1" s="612"/>
      <c r="AH1" s="121">
        <v>0</v>
      </c>
      <c r="AI1" s="121">
        <v>0</v>
      </c>
      <c r="AJ1" s="621" t="s">
        <v>1153</v>
      </c>
      <c r="AK1" s="622"/>
      <c r="AL1" s="623"/>
      <c r="AM1" s="624">
        <f>(COUNTBLANK(K3:K105)-COUNTBLANK(E3:E105))-(COUNTBLANK(R3:R105)-COUNTBLANK(X3:X105))</f>
        <v>3</v>
      </c>
      <c r="AN1" s="625"/>
      <c r="AO1" s="92"/>
      <c r="AP1" s="93"/>
      <c r="AQ1" s="92"/>
      <c r="AR1" s="92"/>
      <c r="AS1" s="92"/>
      <c r="AT1" s="92"/>
      <c r="AU1" s="11"/>
      <c r="AW1" s="626" t="s">
        <v>30</v>
      </c>
      <c r="AX1" s="626"/>
      <c r="AY1" s="626" t="s">
        <v>52</v>
      </c>
      <c r="AZ1" s="626"/>
      <c r="BA1" s="437" t="s">
        <v>53</v>
      </c>
      <c r="BB1" s="57" t="s">
        <v>56</v>
      </c>
      <c r="BD1" s="627" t="s">
        <v>73</v>
      </c>
      <c r="BE1" s="628"/>
      <c r="BF1" s="186" t="s">
        <v>147</v>
      </c>
      <c r="BH1" s="246">
        <f>BH2-1</f>
        <v>94</v>
      </c>
      <c r="BI1" s="246">
        <f>VLOOKUP(BH1,Расчет!BM2:BN895,2,FALSE)</f>
        <v>11174</v>
      </c>
      <c r="BJ1" s="246" t="str">
        <f>IFERROR(IF(VLOOKUP(BI1,Расчет!$A$2:$B$350,2,FALSE)="664W","Camry",IF(VLOOKUP(BI1,Расчет!$A$2:$B$350,2,FALSE)="813W","Goshi","RAV4")),"")</f>
        <v>Camry</v>
      </c>
      <c r="BK1" s="275" t="str">
        <f>IFERROR(IF(BJ1="Camry",VLOOKUP(BI1,Расчет!$A$2:$Q$650,17,FALSE),VLOOKUP(BI1,Расчет!$A$2:$R$650,18,FALSE)),"")</f>
        <v>Standard</v>
      </c>
      <c r="BL1" s="275" t="str">
        <f>IFERROR(VLOOKUP(VLOOKUP(BI1,Расчет!$A:$D,4,FALSE),$AT$6:$AV$15,3,FALSE),"")</f>
        <v/>
      </c>
      <c r="BO1" s="249" t="str">
        <f>IFERROR(IF(BJ1="Camry",VLOOKUP(BI1,Расчет!$A$2:$Q$650,17,FALSE),VLOOKUP(BI1,Расчет!$A$2:$R$650,18,FALSE)),"")</f>
        <v>Standard</v>
      </c>
      <c r="BP1" s="274" t="str">
        <f>IFERROR(VLOOKUP(VLOOKUP(BI1,Расчет!$A:$D,4,FALSE),$AT$6:$AV$15,3,FALSE),"")</f>
        <v/>
      </c>
      <c r="BQ1"/>
      <c r="BR1"/>
      <c r="BV1" s="600" t="s">
        <v>947</v>
      </c>
      <c r="BW1" s="601"/>
      <c r="BX1" s="324">
        <f>COUNT(K3:K105)+COUNT(X3:X105)</f>
        <v>56</v>
      </c>
      <c r="BY1" s="324">
        <f>IF(BX1&gt;103,BX1-103,BX1)</f>
        <v>56</v>
      </c>
      <c r="CG1" s="349" t="s">
        <v>950</v>
      </c>
    </row>
    <row r="2" spans="1:85" ht="24.75" customHeight="1" thickBot="1">
      <c r="A2" s="27" t="s">
        <v>72</v>
      </c>
      <c r="B2" s="12" t="s">
        <v>4</v>
      </c>
      <c r="C2" s="12" t="s">
        <v>4</v>
      </c>
      <c r="D2" s="17" t="s">
        <v>16</v>
      </c>
      <c r="E2" s="28" t="s">
        <v>5</v>
      </c>
      <c r="F2" s="442" t="s">
        <v>27</v>
      </c>
      <c r="G2" s="27" t="s">
        <v>35</v>
      </c>
      <c r="H2" s="27" t="s">
        <v>920</v>
      </c>
      <c r="I2" s="12" t="s">
        <v>7</v>
      </c>
      <c r="J2" s="12" t="s">
        <v>8</v>
      </c>
      <c r="K2" s="12" t="s">
        <v>9</v>
      </c>
      <c r="L2" s="27" t="s">
        <v>55</v>
      </c>
      <c r="M2" s="13"/>
      <c r="N2" s="27" t="s">
        <v>72</v>
      </c>
      <c r="O2" s="12" t="s">
        <v>4</v>
      </c>
      <c r="P2" s="12" t="s">
        <v>4</v>
      </c>
      <c r="Q2" s="14" t="s">
        <v>16</v>
      </c>
      <c r="R2" s="28" t="s">
        <v>5</v>
      </c>
      <c r="S2" s="17" t="s">
        <v>27</v>
      </c>
      <c r="T2" s="15" t="s">
        <v>6</v>
      </c>
      <c r="U2" s="27" t="s">
        <v>920</v>
      </c>
      <c r="V2" s="12" t="s">
        <v>7</v>
      </c>
      <c r="W2" s="12" t="s">
        <v>8</v>
      </c>
      <c r="X2" s="16" t="s">
        <v>9</v>
      </c>
      <c r="Y2" s="27" t="s">
        <v>55</v>
      </c>
      <c r="Z2" s="440"/>
      <c r="AA2" s="440"/>
      <c r="AB2" s="441">
        <v>-4</v>
      </c>
      <c r="AC2" s="441">
        <v>24</v>
      </c>
      <c r="AE2" s="70" t="s">
        <v>4</v>
      </c>
      <c r="AF2" s="85" t="s">
        <v>95</v>
      </c>
      <c r="AG2" s="80" t="s">
        <v>96</v>
      </c>
      <c r="AH2" s="71" t="s">
        <v>76</v>
      </c>
      <c r="AI2" s="72" t="s">
        <v>77</v>
      </c>
      <c r="AJ2" s="70" t="s">
        <v>4</v>
      </c>
      <c r="AK2" s="85" t="s">
        <v>95</v>
      </c>
      <c r="AL2" s="80" t="s">
        <v>96</v>
      </c>
      <c r="AM2" s="71" t="s">
        <v>76</v>
      </c>
      <c r="AN2" s="72" t="s">
        <v>77</v>
      </c>
      <c r="AO2" s="82"/>
      <c r="AP2" s="83"/>
      <c r="AQ2" s="84"/>
      <c r="AR2" s="92"/>
      <c r="AS2" s="92"/>
      <c r="AT2" s="642" t="s">
        <v>19</v>
      </c>
      <c r="AU2" s="643"/>
      <c r="AW2" s="81">
        <f>AQ16+AQ17</f>
        <v>26</v>
      </c>
      <c r="AX2" s="34">
        <f>AW2/BA2</f>
        <v>0.44067796610169491</v>
      </c>
      <c r="AY2" s="20">
        <f>AS16+AS17</f>
        <v>33</v>
      </c>
      <c r="AZ2" s="34">
        <f>AY2/BA2</f>
        <v>0.55932203389830504</v>
      </c>
      <c r="BA2" s="20">
        <f>AU16+AU17</f>
        <v>59</v>
      </c>
      <c r="BB2" s="58">
        <f>Расчет!AG1</f>
        <v>173</v>
      </c>
      <c r="BD2" s="644">
        <f>Расчет!AF6</f>
        <v>70</v>
      </c>
      <c r="BE2" s="628"/>
      <c r="BF2" s="187">
        <v>1.7708333333333332E-3</v>
      </c>
      <c r="BH2" s="246">
        <f>Расчет!AG10</f>
        <v>95</v>
      </c>
      <c r="BI2" s="246">
        <f>VLOOKUP(BH2,Расчет!BM2:BN895,2,FALSE)</f>
        <v>11186</v>
      </c>
      <c r="BJ2" s="246" t="str">
        <f>IFERROR(IF(VLOOKUP(BI2,Расчет!$A$2:$B$350,2,FALSE)="664W","Camry",IF(VLOOKUP(BI2,Расчет!$A$2:$B$350,2,FALSE)="813W","Goshi","RAV4")),"")</f>
        <v>RAV4</v>
      </c>
      <c r="BK2" s="275" t="str">
        <f>IFERROR(IF(BJ2="Camry",VLOOKUP(BI2,Расчет!$A$2:$Q$650,17,FALSE),VLOOKUP(BI2,Расчет!$A$2:$R$650,18,FALSE)),"")</f>
        <v>Auto</v>
      </c>
      <c r="BL2" s="455" t="str">
        <f>IFERROR(VLOOKUP(VLOOKUP(BI2,Расчет!$A:$D,4,FALSE),$AT$6:$AV$15,3,FALSE),"")</f>
        <v>4WD</v>
      </c>
      <c r="BO2" s="456" t="str">
        <f>IFERROR(IF(BJ2="Camry",VLOOKUP(BI2,Расчет!$A$2:$Q$650,17,FALSE),VLOOKUP(BI2,Расчет!$A$2:$R$650,18,FALSE)),"")</f>
        <v>Auto</v>
      </c>
      <c r="BP2" s="274" t="str">
        <f>IFERROR(VLOOKUP(VLOOKUP(BI2,Расчет!$A:$D,4,FALSE),$AT$6:$AV$15,3,FALSE),"")</f>
        <v>4WD</v>
      </c>
      <c r="CA2" s="206">
        <f>AH1</f>
        <v>0</v>
      </c>
      <c r="CB2" s="207">
        <f>AI1</f>
        <v>0</v>
      </c>
      <c r="CF2" s="10">
        <f>IF(CF3-1&lt;0,999,CF3-1)</f>
        <v>86</v>
      </c>
      <c r="CG2" s="20" t="str">
        <f>IF(VLOOKUP(CF2,Расчет!I:R,10,FALSE)="",VLOOKUP(CF2,Расчет!I:R,9,FALSE),VLOOKUP(CF2,Расчет!I:R,10,FALSE))</f>
        <v>CVT</v>
      </c>
    </row>
    <row r="3" spans="1:85" ht="23.1" customHeight="1" thickBot="1">
      <c r="A3" s="40">
        <f>IF(AND(IFERROR(VLOOKUP(E3,Расчет!A:J,10,FALSE),"  ")&lt;&gt;"  ",IFERROR(LEFT(VLOOKUP(E3,Расчет!A:J,10,FALSE),1)," ")&lt;&gt;"H"),0,IFERROR(IF(F3="Camry",IF(OR(J3="2PS",J3="2QL"),IF(E3-AP3&gt;100,E3-AP3-1000+$AD$12,E3-AP3+$AD$12),IF(E3-AP3&gt;100,E3-AP3-1000,E3-AP3)),IF(J3="2PS",IF(E3-AP3&gt;100,E3-AP3-1000+$AD$17,E3-AP3+$AD$17),IF(E3-AP3&gt;100,E3-AP3-1000,E3-AP3))),"-"))</f>
        <v>-76</v>
      </c>
      <c r="B3" s="46">
        <v>1</v>
      </c>
      <c r="C3" s="19">
        <f>IF(E3="","",COUNTA($E$3:E3))</f>
        <v>1</v>
      </c>
      <c r="D3" s="18">
        <f>IFERROR(IF(AO3&gt;=1000,AO3-1000,AO3),"")</f>
        <v>96</v>
      </c>
      <c r="E3" s="30">
        <v>11090</v>
      </c>
      <c r="F3" s="44" t="str">
        <f>IFERROR(IF(VLOOKUP(E3,Расчет!$A$2:$B$650,2,FALSE)="664W","Camry",IF(VLOOKUP(E3,Расчет!$A$2:$B$650,2,FALSE)="813W","Goshi","RAV4")),"")</f>
        <v>RAV4</v>
      </c>
      <c r="G3" s="32" t="str">
        <f>IFERROR(IF(F3="Camry",VLOOKUP(E3,Расчет!$A$2:$Q$650,17,FALSE),VLOOKUP(E3,Расчет!$A$2:$R$650,18,FALSE)),"")</f>
        <v>CVT</v>
      </c>
      <c r="H3" s="32" t="str">
        <f>IFERROR(VLOOKUP(VLOOKUP(E3,Расчет!$A:$D,4,FALSE),$AT$6:$AV$15,3,FALSE),"")</f>
        <v>FF</v>
      </c>
      <c r="I3" s="31" t="str">
        <f>IFERROR(VLOOKUP(IFERROR(VLOOKUP(E3,Расчет!$A$2:$D$650,4,FALSE),0),$AT$3:$AU$15,2,FALSE),"")</f>
        <v>2,0 L</v>
      </c>
      <c r="J3" s="33" t="str">
        <f>IFERROR(VLOOKUP(E3,Расчет!$A$2:$E$650,5,FALSE),"")</f>
        <v>040</v>
      </c>
      <c r="K3" s="189">
        <v>0.72362268518518524</v>
      </c>
      <c r="L3" s="32"/>
      <c r="M3" s="9"/>
      <c r="N3" s="40" t="str">
        <f>IF(AND(IFERROR(VLOOKUP(R3,Расчет!A:J,10,FALSE),"  ")&lt;&gt;"  ",IFERROR(LEFT(VLOOKUP(R3,Расчет!A:J,10,FALSE),1)," ")&lt;&gt;"H"),0,IFERROR(IF(S3="Camry",IF(OR(W3="2PS",W3="2QL"),IF(R3-AP106&gt;100,R3-AP106-1000+$AD$12,R3-AP106+$AD$12),IF(R3-AP106&gt;100,R3-AP106-1000,R3-AP106)),IF(W3="2PS",IF(R3-AP106&gt;100,R3-AP106-1000+$AD$17,R3-AP106+$AD$17),IF(R3-AP106&gt;100,R3-AP106-1000,R3-AP106))),"-"))</f>
        <v>-</v>
      </c>
      <c r="O3" s="46">
        <v>104</v>
      </c>
      <c r="P3" s="19" t="str">
        <f>IF(R3="","",COUNTA($R$3:R3)+$C$105)</f>
        <v/>
      </c>
      <c r="Q3" s="18" t="str">
        <f>IFERROR(IF(AO106&gt;=1000,AO106-1000,AO106),"")</f>
        <v/>
      </c>
      <c r="R3" s="30"/>
      <c r="S3" s="45" t="str">
        <f>IFERROR(IF(VLOOKUP(R3,Расчет!$A$2:$B$650,2,FALSE)="664W","Camry",IF(VLOOKUP(R3,Расчет!$A$2:$B$650,2,FALSE)="813W","Goshi","RAV4")),"")</f>
        <v/>
      </c>
      <c r="T3" s="32" t="str">
        <f>IFERROR(IF(S3="Camry",VLOOKUP(R3,Расчет!$A$2:$Q$650,17,FALSE),VLOOKUP(R3,Расчет!$A$2:$R$650,18,FALSE)),"")</f>
        <v/>
      </c>
      <c r="U3" s="32" t="str">
        <f>IFERROR(VLOOKUP(VLOOKUP(R3,Расчет!$A:$D,4,FALSE),$AT$6:$AV$15,3,FALSE),"")</f>
        <v/>
      </c>
      <c r="V3" s="31" t="str">
        <f>IFERROR(VLOOKUP(IFERROR(VLOOKUP(R3,Расчет!$A$2:$D$650,4,FALSE),0),$AT$3:$AU$15,2,FALSE),"")</f>
        <v/>
      </c>
      <c r="W3" s="33" t="str">
        <f>IFERROR(VLOOKUP(R3,Расчет!$A$2:$E$650,5,FALSE),"")</f>
        <v/>
      </c>
      <c r="X3" s="190"/>
      <c r="Y3" s="188">
        <f>X3-K105</f>
        <v>0</v>
      </c>
      <c r="Z3" s="11"/>
      <c r="AA3" s="11"/>
      <c r="AB3" s="11"/>
      <c r="AC3" s="11"/>
      <c r="AD3" s="11"/>
      <c r="AE3" s="86">
        <v>1</v>
      </c>
      <c r="AF3" s="44" t="str">
        <f>IF(VLOOKUP(AE3,Расчет!$AH$2:$AN$201,5,FALSE)="8","C",IF(VLOOKUP(AE3,Расчет!$AH$2:$AN$201,5,FALSE)="G","G","R"))</f>
        <v>R</v>
      </c>
      <c r="AG3" s="73" t="str">
        <f>IF(F3="","",IF(F3="RAV4","R",IF(F3="GOSHI","G","C")))</f>
        <v>R</v>
      </c>
      <c r="AH3" s="87">
        <f>IF(AG3="","",COUNTIF($AG$2:AG3,"C")-COUNTIF($AF$2:AF3,"C")+$AH$1)</f>
        <v>0</v>
      </c>
      <c r="AI3" s="87">
        <f>IF(AG3="","",COUNTIF($AG$2:AG3,"R")-COUNTIF($AF$2:AF3,"R")+$AI$1)</f>
        <v>0</v>
      </c>
      <c r="AJ3" s="89">
        <v>104</v>
      </c>
      <c r="AK3" s="44" t="str">
        <f>IF(VLOOKUP(AJ3,Расчет!$AH$2:$AN$211,5,FALSE)="8","C",IF(VLOOKUP(AJ3,Расчет!$AH$2:$AN$211,5,FALSE)="G","G","R"))</f>
        <v>R</v>
      </c>
      <c r="AL3" s="74" t="str">
        <f>IF(S3="","",IF(S3="RAV4","R",IF(S3="GOSHI","G","C")))</f>
        <v/>
      </c>
      <c r="AM3" s="118" t="str">
        <f>IF(AL3="","",(COUNTIF($AG$2:$AG$105,"C")+COUNTIF($AL$2:$AL3,"C"))-(COUNTIF($AF$2:$AF$105,"C")+COUNTIF($AK$2:$AK3,"C"))+$AH$1)</f>
        <v/>
      </c>
      <c r="AN3" s="119" t="str">
        <f>IF(AL3="","",(COUNTIF($AG$2:$AG$105,"R")+COUNTIF($AL$2:$AL3,"R"))-(COUNTIF($AF$2:$AF$105,"R")+COUNTIF($AK$2:$AK3,"R"))+$AI$1)</f>
        <v/>
      </c>
      <c r="AO3" s="117">
        <f>IF(E3="","",COUNTA($E$3:E3)+$Z$1)</f>
        <v>96</v>
      </c>
      <c r="AP3" s="88">
        <f>IF(AO3="","",IF(AO3+Расчет!$Y$57+$BD$2-Расчет!$X$57&gt;200,AO3+Расчет!$Y$57+$BD$2-1000,AO3+Расчет!$Y$57+$BD$2))</f>
        <v>11166</v>
      </c>
      <c r="AQ3"/>
      <c r="AR3" s="92"/>
      <c r="AS3" s="92"/>
      <c r="AT3" s="259" t="s">
        <v>907</v>
      </c>
      <c r="AU3" s="229" t="s">
        <v>11</v>
      </c>
      <c r="AW3" s="52"/>
      <c r="AX3" s="52"/>
      <c r="AY3" s="52"/>
      <c r="AZ3" s="52"/>
      <c r="BA3" s="52"/>
      <c r="BB3" s="52"/>
      <c r="BK3" s="174"/>
      <c r="BL3" s="645" t="s">
        <v>142</v>
      </c>
      <c r="BM3" s="646"/>
      <c r="BN3" s="646"/>
      <c r="BO3" s="647"/>
      <c r="BP3" s="632" t="s">
        <v>141</v>
      </c>
      <c r="BQ3" s="633"/>
      <c r="BT3" s="461" t="s">
        <v>1303</v>
      </c>
      <c r="BU3" s="461" t="s">
        <v>140</v>
      </c>
      <c r="BV3" s="201" t="s">
        <v>17</v>
      </c>
      <c r="BW3" s="202" t="s">
        <v>144</v>
      </c>
      <c r="BX3" s="203" t="s">
        <v>4</v>
      </c>
      <c r="BY3" s="206" t="s">
        <v>76</v>
      </c>
      <c r="BZ3" s="207" t="s">
        <v>77</v>
      </c>
      <c r="CA3" s="206" t="s">
        <v>30</v>
      </c>
      <c r="CB3" s="207" t="s">
        <v>52</v>
      </c>
      <c r="CC3" s="208" t="s">
        <v>153</v>
      </c>
      <c r="CD3" s="337" t="s">
        <v>945</v>
      </c>
      <c r="CE3" s="347" t="s">
        <v>946</v>
      </c>
      <c r="CF3" s="10">
        <f>IF(CF4-1&lt;0,999,CF4-1)</f>
        <v>87</v>
      </c>
      <c r="CG3" s="20" t="str">
        <f>IF(VLOOKUP(CF3,Расчет!I:R,10,FALSE)="",VLOOKUP(CF3,Расчет!I:R,9,FALSE),VLOOKUP(CF3,Расчет!I:R,10,FALSE))</f>
        <v>CVT</v>
      </c>
    </row>
    <row r="4" spans="1:85" ht="23.1" customHeight="1" thickBot="1">
      <c r="A4" s="40">
        <f>IF(AND(IFERROR(VLOOKUP(E4,Расчет!A:J,10,FALSE),"  ")&lt;&gt;"  ",IFERROR(LEFT(VLOOKUP(E4,Расчет!A:J,10,FALSE),1)," ")&lt;&gt;"H"),0,IFERROR(IF(F4="Camry",IF(OR(J4="2PS",J4="2QL"),IF(E4-AP4&gt;100,E4-AP4-1000+$AD$12,E4-AP4+$AD$12),IF(E4-AP4&gt;100,E4-AP4-1000,E4-AP4)),IF(J4="2PS",IF(E4-AP4&gt;100,E4-AP4-1000+$AD$17,E4-AP4+$AD$17),IF(E4-AP4&gt;100,E4-AP4-1000,E4-AP4))),"-"))</f>
        <v>9</v>
      </c>
      <c r="B4" s="46">
        <v>2</v>
      </c>
      <c r="C4" s="19">
        <f>IF(E4="","",COUNTA($E$3:E4))</f>
        <v>2</v>
      </c>
      <c r="D4" s="18">
        <f t="shared" ref="D4:D67" si="0">IFERROR(IF(AO4&gt;=1000,AO4-1000,AO4),"")</f>
        <v>97</v>
      </c>
      <c r="E4" s="30">
        <v>11176</v>
      </c>
      <c r="F4" s="44" t="str">
        <f>IFERROR(IF(VLOOKUP(E4,Расчет!$A$2:$B$650,2,FALSE)="664W","Camry",IF(VLOOKUP(E4,Расчет!$A$2:$B$650,2,FALSE)="813W","Goshi","RAV4")),"")</f>
        <v>Camry</v>
      </c>
      <c r="G4" s="32" t="str">
        <f>IFERROR(IF(F4="Camry",VLOOKUP(E4,Расчет!$A$2:$Q$650,17,FALSE),VLOOKUP(E4,Расчет!$A$2:$R$650,18,FALSE)),"")</f>
        <v>Standard</v>
      </c>
      <c r="H4" s="32" t="str">
        <f>IFERROR(VLOOKUP(VLOOKUP(E4,Расчет!$A:$D,4,FALSE),$AT$6:$AV$15,3,FALSE),"")</f>
        <v/>
      </c>
      <c r="I4" s="31" t="str">
        <f>IFERROR(VLOOKUP(IFERROR(VLOOKUP(E4,Расчет!$A$2:$D$650,4,FALSE),0),$AT$3:$AU$15,2,FALSE),"")</f>
        <v>2,5 L</v>
      </c>
      <c r="J4" s="33" t="str">
        <f>IFERROR(VLOOKUP(E4,Расчет!$A$2:$E$650,5,FALSE),"")</f>
        <v>089</v>
      </c>
      <c r="K4" s="189">
        <v>0.72524305555555557</v>
      </c>
      <c r="L4" s="188">
        <f>K4-K3</f>
        <v>1.6203703703703276E-3</v>
      </c>
      <c r="M4" s="9"/>
      <c r="N4" s="40" t="str">
        <f>IF(AND(IFERROR(VLOOKUP(R4,Расчет!A:J,10,FALSE),"  ")&lt;&gt;"  ",IFERROR(LEFT(VLOOKUP(R4,Расчет!A:J,10,FALSE),1)," ")&lt;&gt;"H"),0,IFERROR(IF(S4="Camry",IF(OR(W4="2PS",W4="2QL"),IF(R4-AP107&gt;100,R4-AP107-1000+$AD$12,R4-AP107+$AD$12),IF(R4-AP107&gt;100,R4-AP107-1000,R4-AP107)),IF(W4="2PS",IF(R4-AP107&gt;100,R4-AP107-1000+$AD$17,R4-AP107+$AD$17),IF(R4-AP107&gt;100,R4-AP107-1000,R4-AP107))),"-"))</f>
        <v>-</v>
      </c>
      <c r="O4" s="46">
        <v>105</v>
      </c>
      <c r="P4" s="19" t="str">
        <f>IF(R4="","",COUNTA($R$3:R4)+$C$105)</f>
        <v/>
      </c>
      <c r="Q4" s="18" t="str">
        <f t="shared" ref="Q4:Q67" si="1">IFERROR(IF(AO107&gt;=1000,AO107-1000,AO107),"")</f>
        <v/>
      </c>
      <c r="R4" s="30"/>
      <c r="S4" s="45" t="str">
        <f>IFERROR(IF(VLOOKUP(R4,Расчет!$A$2:$B$650,2,FALSE)="664W","Camry",IF(VLOOKUP(R4,Расчет!$A$2:$B$650,2,FALSE)="813W","Goshi","RAV4")),"")</f>
        <v/>
      </c>
      <c r="T4" s="32" t="str">
        <f>IFERROR(IF(S4="Camry",VLOOKUP(R4,Расчет!$A$2:$Q$650,17,FALSE),VLOOKUP(R4,Расчет!$A$2:$R$650,18,FALSE)),"")</f>
        <v/>
      </c>
      <c r="U4" s="32" t="str">
        <f>IFERROR(VLOOKUP(VLOOKUP(R4,Расчет!$A:$D,4,FALSE),$AT$6:$AV$15,3,FALSE),"")</f>
        <v/>
      </c>
      <c r="V4" s="31" t="str">
        <f>IFERROR(VLOOKUP(IFERROR(VLOOKUP(R4,Расчет!$A$2:$D$650,4,FALSE),0),$AT$3:$AU$15,2,FALSE),"")</f>
        <v/>
      </c>
      <c r="W4" s="33" t="str">
        <f>IFERROR(VLOOKUP(R4,Расчет!$A$2:$E$650,5,FALSE),"")</f>
        <v/>
      </c>
      <c r="X4" s="189"/>
      <c r="Y4" s="191">
        <f>X4-X3</f>
        <v>0</v>
      </c>
      <c r="Z4" s="613" t="s">
        <v>138</v>
      </c>
      <c r="AA4" s="614"/>
      <c r="AB4" s="613" t="s">
        <v>1147</v>
      </c>
      <c r="AC4" s="614"/>
      <c r="AD4" s="416"/>
      <c r="AE4" s="195">
        <v>2</v>
      </c>
      <c r="AF4" s="44" t="str">
        <f>IF(VLOOKUP(AE4,Расчет!$AH$2:$AN$201,5,FALSE)="8","C",IF(VLOOKUP(AE4,Расчет!$AH$2:$AN$201,5,FALSE)="G","G","R"))</f>
        <v>C</v>
      </c>
      <c r="AG4" s="73" t="str">
        <f t="shared" ref="AG4:AG67" si="2">IF(F4="","",IF(F4="RAV4","R",IF(F4="GOSHI","G","C")))</f>
        <v>C</v>
      </c>
      <c r="AH4" s="87">
        <f>IF(AG4="","",COUNTIF($AG$2:AG4,"C")-COUNTIF($AF$2:AF4,"C")+$AH$1)</f>
        <v>0</v>
      </c>
      <c r="AI4" s="87">
        <f>IF(AG4="","",COUNTIF($AG$2:AG4,"R")-COUNTIF($AF$2:AF4,"R")+$AI$1)</f>
        <v>0</v>
      </c>
      <c r="AJ4" s="89">
        <v>105</v>
      </c>
      <c r="AK4" s="44" t="str">
        <f>IF(VLOOKUP(AJ4,Расчет!$AH$2:$AN$211,5,FALSE)="8","C",IF(VLOOKUP(AJ4,Расчет!$AH$2:$AN$211,5,FALSE)="G","G","R"))</f>
        <v>C</v>
      </c>
      <c r="AL4" s="74" t="str">
        <f t="shared" ref="AL4:AL67" si="3">IF(S4="","",IF(S4="RAV4","R",IF(S4="GOSHI","G","C")))</f>
        <v/>
      </c>
      <c r="AM4" s="118" t="str">
        <f>IF(AL4="","",(COUNTIF($AG$2:$AG$105,"C")+COUNTIF($AL$2:$AL4,"C"))-(COUNTIF($AF$2:$AF$105,"C")+COUNTIF($AK$2:$AK4,"C"))+$AH$1)</f>
        <v/>
      </c>
      <c r="AN4" s="119" t="str">
        <f>IF(AL4="","",(COUNTIF($AG$2:$AG$105,"R")+COUNTIF($AL$2:$AL4,"R"))-(COUNTIF($AF$2:$AF$105,"R")+COUNTIF($AK$2:$AK4,"R"))+$AI$1)</f>
        <v/>
      </c>
      <c r="AO4" s="117">
        <f>IF(E4="","",COUNTA($E$3:E4)+$Z$1)</f>
        <v>97</v>
      </c>
      <c r="AP4" s="88">
        <f>IF(AO4="","",IF(AO4+Расчет!$Y$57+$BD$2-Расчет!$X$57&gt;200,AO4+Расчет!$Y$57+$BD$2-1000,AO4+Расчет!$Y$57+$BD$2))</f>
        <v>11167</v>
      </c>
      <c r="AQ4" s="90"/>
      <c r="AR4" s="92"/>
      <c r="AS4" s="92"/>
      <c r="AT4" s="258" t="s">
        <v>906</v>
      </c>
      <c r="AU4" s="232" t="s">
        <v>12</v>
      </c>
      <c r="AW4" s="48"/>
      <c r="AX4" s="615" t="s">
        <v>70</v>
      </c>
      <c r="AY4" s="616"/>
      <c r="AZ4" s="616"/>
      <c r="BA4" s="616"/>
      <c r="BB4" s="616"/>
      <c r="BC4" s="78"/>
      <c r="BD4" s="616" t="s">
        <v>66</v>
      </c>
      <c r="BE4" s="616"/>
      <c r="BF4" s="616"/>
      <c r="BG4" s="619"/>
      <c r="BH4" s="48"/>
      <c r="BI4" s="48"/>
      <c r="BJ4" s="48"/>
      <c r="BK4" s="48"/>
      <c r="BL4" s="182" t="s">
        <v>143</v>
      </c>
      <c r="BM4" s="179" t="s">
        <v>134</v>
      </c>
      <c r="BN4" s="179" t="s">
        <v>26</v>
      </c>
      <c r="BO4" s="457" t="s">
        <v>134</v>
      </c>
      <c r="BP4" s="182" t="s">
        <v>134</v>
      </c>
      <c r="BQ4" s="457" t="s">
        <v>26</v>
      </c>
      <c r="BR4" s="172" t="s">
        <v>74</v>
      </c>
      <c r="BS4" s="171"/>
      <c r="BT4" s="463" t="s">
        <v>134</v>
      </c>
      <c r="BU4" s="463" t="s">
        <v>134</v>
      </c>
      <c r="BV4" s="634">
        <f>COUNTIFS(A3:A105,"&lt;"&amp;AB2,C3:C105,"&lt;="&amp;AB58)+COUNTIFS(N3:N105,"&lt;"&amp;AB2,P3:P105,"&lt;="&amp;AB58)</f>
        <v>5</v>
      </c>
      <c r="BW4" s="635">
        <f>COUNTIFS(A3:A105,"&gt;"&amp;AC2,C3:C105,"&lt;="&amp;AB58)+COUNTIFS(N3:N105,"&gt;"&amp;AC2,P3:P105,"&lt;="&amp;AB58)</f>
        <v>0</v>
      </c>
      <c r="BX4" s="204">
        <f>COUNTIF($BY$4:BY4,"&lt;100")</f>
        <v>1</v>
      </c>
      <c r="BY4" s="211">
        <f t="shared" ref="BY4:BZ35" si="4">AH3</f>
        <v>0</v>
      </c>
      <c r="BZ4" s="215">
        <f t="shared" si="4"/>
        <v>0</v>
      </c>
      <c r="CA4" s="211">
        <f t="shared" ref="CA4:CA67" si="5">VLOOKUP(ROW(A1),$BX$4:$BY$209,2,FALSE)</f>
        <v>0</v>
      </c>
      <c r="CB4" s="212">
        <f t="shared" ref="CB4:CB67" si="6">VLOOKUP(ROW(A1),$BX$4:$BZ$209,3,FALSE)</f>
        <v>0</v>
      </c>
      <c r="CC4" s="218">
        <f>IFERROR(IF(OR(AND(CA4&gt;CA2,CA4&gt;=1),AND(CA4&lt;CA2,CA4&lt;=-1)),1,0),"")</f>
        <v>0</v>
      </c>
      <c r="CD4" s="204">
        <f t="shared" ref="CD4:CD67" si="7">A3</f>
        <v>-76</v>
      </c>
      <c r="CE4" s="204">
        <f>IF(OR(AND($G3="Rich",$BK2="Rich"),AND($G3="Rich",$BK1="Rich"),AND($BL1="TWIN-C",$BL2="4WD",$H3="TWIN-C"),AND($BL1="TWIN-C",$BK2="Rich",$H3="TWIN-C"),AND($BL2="TWIN-C",$H3="TWIN-C"),AND(COUNTIF($CG9:$CG12,"Rich")&gt;1,COUNTIF($CG9:$CG12,"Mech")&gt;1),AND($CG12="Sport",COUNTIF($CG7:$CG12,"Sport")&gt;1))=TRUE(),1,0)</f>
        <v>0</v>
      </c>
      <c r="CF4" s="10">
        <f t="shared" ref="CF4:CF10" si="8">IF(CF5-1&lt;0,999,CF5-1)</f>
        <v>88</v>
      </c>
      <c r="CG4" s="20" t="str">
        <f>IF(VLOOKUP(CF4,Расчет!I:R,10,FALSE)="",VLOOKUP(CF4,Расчет!I:R,9,FALSE),VLOOKUP(CF4,Расчет!I:R,10,FALSE))</f>
        <v>Sport</v>
      </c>
    </row>
    <row r="5" spans="1:85" ht="23.1" customHeight="1" thickBot="1">
      <c r="A5" s="40">
        <f>IF(AND(IFERROR(VLOOKUP(E5,Расчет!A:J,10,FALSE),"  ")&lt;&gt;"  ",IFERROR(LEFT(VLOOKUP(E5,Расчет!A:J,10,FALSE),1)," ")&lt;&gt;"H"),0,IFERROR(IF(F5="Camry",IF(OR(J5="2PS",J5="2QL"),IF(E5-AP5&gt;100,E5-AP5-1000+$AD$12,E5-AP5+$AD$12),IF(E5-AP5&gt;100,E5-AP5-1000,E5-AP5)),IF(J5="2PS",IF(E5-AP5&gt;100,E5-AP5-1000+$AD$17,E5-AP5+$AD$17),IF(E5-AP5&gt;100,E5-AP5-1000,E5-AP5))),"-"))</f>
        <v>21</v>
      </c>
      <c r="B5" s="46">
        <v>3</v>
      </c>
      <c r="C5" s="19">
        <f>IF(E5="","",COUNTA($E$3:E5))</f>
        <v>3</v>
      </c>
      <c r="D5" s="18">
        <f t="shared" si="0"/>
        <v>98</v>
      </c>
      <c r="E5" s="30">
        <v>11189</v>
      </c>
      <c r="F5" s="44" t="str">
        <f>IFERROR(IF(VLOOKUP(E5,Расчет!$A$2:$B$650,2,FALSE)="664W","Camry",IF(VLOOKUP(E5,Расчет!$A$2:$B$650,2,FALSE)="813W","Goshi","RAV4")),"")</f>
        <v>RAV4</v>
      </c>
      <c r="G5" s="32" t="str">
        <f>IFERROR(IF(F5="Camry",VLOOKUP(E5,Расчет!$A$2:$Q$650,17,FALSE),VLOOKUP(E5,Расчет!$A$2:$R$650,18,FALSE)),"")</f>
        <v>Auto</v>
      </c>
      <c r="H5" s="32" t="str">
        <f>IFERROR(VLOOKUP(VLOOKUP(E5,Расчет!$A:$D,4,FALSE),$AT$6:$AV$15,3,FALSE),"")</f>
        <v>TWIN-C</v>
      </c>
      <c r="I5" s="31" t="str">
        <f>IFERROR(VLOOKUP(IFERROR(VLOOKUP(E5,Расчет!$A$2:$D$650,4,FALSE),0),$AT$3:$AU$15,2,FALSE),"")</f>
        <v>2,5 L</v>
      </c>
      <c r="J5" s="33" t="str">
        <f>IFERROR(VLOOKUP(E5,Расчет!$A$2:$E$650,5,FALSE),"")</f>
        <v>089</v>
      </c>
      <c r="K5" s="189">
        <v>0.72680555555555559</v>
      </c>
      <c r="L5" s="188">
        <f t="shared" ref="L5:L68" si="9">K5-K4</f>
        <v>1.5625000000000222E-3</v>
      </c>
      <c r="M5" s="9"/>
      <c r="N5" s="40" t="str">
        <f>IF(AND(IFERROR(VLOOKUP(R5,Расчет!A:J,10,FALSE),"  ")&lt;&gt;"  ",IFERROR(LEFT(VLOOKUP(R5,Расчет!A:J,10,FALSE),1)," ")&lt;&gt;"H"),0,IFERROR(IF(S5="Camry",IF(OR(W5="2PS",W5="2QL"),IF(R5-AP108&gt;100,R5-AP108-1000+$AD$12,R5-AP108+$AD$12),IF(R5-AP108&gt;100,R5-AP108-1000,R5-AP108)),IF(W5="2PS",IF(R5-AP108&gt;100,R5-AP108-1000+$AD$17,R5-AP108+$AD$17),IF(R5-AP108&gt;100,R5-AP108-1000,R5-AP108))),"-"))</f>
        <v>-</v>
      </c>
      <c r="O5" s="46">
        <v>106</v>
      </c>
      <c r="P5" s="19" t="str">
        <f>IF(R5="","",COUNTA($R$3:R5)+$C$105)</f>
        <v/>
      </c>
      <c r="Q5" s="18" t="str">
        <f t="shared" si="1"/>
        <v/>
      </c>
      <c r="R5" s="30"/>
      <c r="S5" s="45" t="str">
        <f>IFERROR(IF(VLOOKUP(R5,Расчет!$A$2:$B$650,2,FALSE)="664W","Camry",IF(VLOOKUP(R5,Расчет!$A$2:$B$650,2,FALSE)="813W","Goshi","RAV4")),"")</f>
        <v/>
      </c>
      <c r="T5" s="32" t="str">
        <f>IFERROR(IF(S5="Camry",VLOOKUP(R5,Расчет!$A$2:$Q$650,17,FALSE),VLOOKUP(R5,Расчет!$A$2:$R$650,18,FALSE)),"")</f>
        <v/>
      </c>
      <c r="U5" s="32" t="str">
        <f>IFERROR(VLOOKUP(VLOOKUP(R5,Расчет!$A:$D,4,FALSE),$AT$6:$AV$15,3,FALSE),"")</f>
        <v/>
      </c>
      <c r="V5" s="31" t="str">
        <f>IFERROR(VLOOKUP(IFERROR(VLOOKUP(R5,Расчет!$A$2:$D$650,4,FALSE),0),$AT$3:$AU$15,2,FALSE),"")</f>
        <v/>
      </c>
      <c r="W5" s="33" t="str">
        <f>IFERROR(VLOOKUP(R5,Расчет!$A$2:$E$650,5,FALSE),"")</f>
        <v/>
      </c>
      <c r="X5" s="189"/>
      <c r="Y5" s="191">
        <f t="shared" ref="Y5:Y68" si="10">X5-X4</f>
        <v>0</v>
      </c>
      <c r="Z5" s="155" t="s">
        <v>132</v>
      </c>
      <c r="AA5" s="155" t="s">
        <v>26</v>
      </c>
      <c r="AB5" s="155" t="s">
        <v>132</v>
      </c>
      <c r="AC5" s="155" t="s">
        <v>26</v>
      </c>
      <c r="AD5" s="415"/>
      <c r="AE5" s="195">
        <v>3</v>
      </c>
      <c r="AF5" s="44" t="str">
        <f>IF(VLOOKUP(AE5,Расчет!$AH$2:$AN$201,5,FALSE)="8","C",IF(VLOOKUP(AE5,Расчет!$AH$2:$AN$201,5,FALSE)="G","G","R"))</f>
        <v>R</v>
      </c>
      <c r="AG5" s="73" t="str">
        <f t="shared" si="2"/>
        <v>R</v>
      </c>
      <c r="AH5" s="87">
        <f>IF(AG5="","",COUNTIF($AG$2:AG5,"C")-COUNTIF($AF$2:AF5,"C")+$AH$1)</f>
        <v>0</v>
      </c>
      <c r="AI5" s="87">
        <f>IF(AG5="","",COUNTIF($AG$2:AG5,"R")-COUNTIF($AF$2:AF5,"R")+$AI$1)</f>
        <v>0</v>
      </c>
      <c r="AJ5" s="89">
        <v>106</v>
      </c>
      <c r="AK5" s="44" t="str">
        <f>IF(VLOOKUP(AJ5,Расчет!$AH$2:$AN$211,5,FALSE)="8","C",IF(VLOOKUP(AJ5,Расчет!$AH$2:$AN$211,5,FALSE)="G","G","R"))</f>
        <v>R</v>
      </c>
      <c r="AL5" s="74" t="str">
        <f t="shared" si="3"/>
        <v/>
      </c>
      <c r="AM5" s="118" t="str">
        <f>IF(AL5="","",(COUNTIF($AG$2:$AG$105,"C")+COUNTIF($AL$2:$AL5,"C"))-(COUNTIF($AF$2:$AF$105,"C")+COUNTIF($AK$2:$AK5,"C"))+$AH$1)</f>
        <v/>
      </c>
      <c r="AN5" s="119" t="str">
        <f>IF(AL5="","",(COUNTIF($AG$2:$AG$105,"R")+COUNTIF($AL$2:$AL5,"R"))-(COUNTIF($AF$2:$AF$105,"R")+COUNTIF($AK$2:$AK5,"R"))+$AI$1)</f>
        <v/>
      </c>
      <c r="AO5" s="117">
        <f>IF(E5="","",COUNTA($E$3:E5)+$Z$1)</f>
        <v>98</v>
      </c>
      <c r="AP5" s="88">
        <f>IF(AO5="","",IF(AO5+Расчет!$Y$57+$BD$2-Расчет!$X$57&gt;200,AO5+Расчет!$Y$57+$BD$2-1000,AO5+Расчет!$Y$57+$BD$2))</f>
        <v>11168</v>
      </c>
      <c r="AQ5" s="90"/>
      <c r="AR5" s="92"/>
      <c r="AS5" s="92"/>
      <c r="AT5" s="258" t="s">
        <v>908</v>
      </c>
      <c r="AU5" s="233" t="s">
        <v>13</v>
      </c>
      <c r="AW5" s="48"/>
      <c r="AX5" s="617"/>
      <c r="AY5" s="618"/>
      <c r="AZ5" s="618"/>
      <c r="BA5" s="618"/>
      <c r="BB5" s="618"/>
      <c r="BC5" s="79"/>
      <c r="BD5" s="618"/>
      <c r="BE5" s="618"/>
      <c r="BF5" s="618"/>
      <c r="BG5" s="620"/>
      <c r="BH5" s="48"/>
      <c r="BI5" s="48"/>
      <c r="BJ5" s="48"/>
      <c r="BK5" s="48"/>
      <c r="BL5" s="172">
        <f>COUNTIF($BM$5:BM5,"&lt;-115")</f>
        <v>0</v>
      </c>
      <c r="BM5" s="154">
        <f>IFERROR(IF(OR(IFERROR(VLOOKUP(BN5,$E$3:$E$105,1,FALSE),"0")=BN5,IFERROR(VLOOKUP(BN5,$R$3:$R$105,1,FALSE),"0")=BN5),BO5,IF(OR(VLOOKUP(BN5,Расчет!A:E,5,FALSE)="2PS",VLOOKUP(BN5,Расчет!A:E,5,FALSE)="2QL"),IF(VLOOKUP(BN5,Расчет!A:B,2,FALSE)="831W",BN5-$BS$7+$AD$17,BN5-$BS$7+$AD$12),BN5-$BS$7)),"-")</f>
        <v>0</v>
      </c>
      <c r="BN5" s="154">
        <f>IF(OR(Расчет!C2="A0",Расчет!C2="P9",Расчет!B2="722W"),"-",Расчет!A2)</f>
        <v>10383</v>
      </c>
      <c r="BO5" s="173">
        <f>IF(IFERROR(INDEX($A$3:$A$105,MATCH(BN5,$E$3:$E$105,0)),"-")&lt;&gt;"-",IFERROR(INDEX($A$3:$A$105,MATCH(BN5,$E$3:$E$105,0)),0),IFERROR(INDEX($N$3:$N$105,MATCH(BN5,$R$3:$R$105,0)),0))</f>
        <v>0</v>
      </c>
      <c r="BP5" s="172" t="str">
        <f>IF(BQ5="-","-",IFERROR(IF(OR(VLOOKUP(BN5,Расчет!$A$2:$E$582,5,FALSE)="2PS",VLOOKUP(BN5,Расчет!$A$2:$E$582,5,FALSE)="2QL"),IF(OR(VLOOKUP(BN5,Расчет!$A$2:$E$582,2,FALSE)="664W",VLOOKUP(BN5,Расчет!$A$2:$E$582,2,FALSE)="813W"),IF(BN5-$BS$7&gt;150,BN5-$BS$7-1000+$AD$12,BN5-$BS$7+$AD$12),IF(BN5-$BS$7&gt;150,BN5-$BS$7-1000+$AD$17,BN5-$BS$7+$AD$17)),IF(BN5-$BS$7&gt;150,BN5-$BS$7-1000,BN5-$BS$7)),"-"))</f>
        <v>-</v>
      </c>
      <c r="BQ5" s="173" t="str">
        <f t="shared" ref="BQ5:BQ68" si="11">IFERROR(IF(OR(IFERROR(VLOOKUP(BN5,$E$3:$E$105,1,FALSE),"0")=BN5,IFERROR(VLOOKUP(BN5,$R$3:$R$105,1,FALSE),"0")=BN5),"-",BN5),"-")</f>
        <v>-</v>
      </c>
      <c r="BR5" s="459">
        <f>AB2</f>
        <v>-4</v>
      </c>
      <c r="BS5" s="171"/>
      <c r="BT5" s="464" t="str">
        <f t="shared" ref="BT5:BT68" si="12">IF(BQ5="-","-",IF(AND(BP5&gt;=$BR$5,BP5&lt;$BR$5+9),BP5,"-"))</f>
        <v>-</v>
      </c>
      <c r="BU5" s="464" t="str">
        <f t="shared" ref="BU5:BU68" si="13">IF(OR(BP5=$AC$2+1,BP5=$AC$2+2,BP5=$AC$2+3,BP5=$AC$2+4,BP5=$AC$2+5,BP5=$AC$2+6),BP5,"-")</f>
        <v>-</v>
      </c>
      <c r="BV5" s="634"/>
      <c r="BW5" s="635"/>
      <c r="BX5" s="204">
        <f>COUNTIF($BY$4:BY5,"&lt;100")</f>
        <v>2</v>
      </c>
      <c r="BY5" s="213">
        <f t="shared" si="4"/>
        <v>0</v>
      </c>
      <c r="BZ5" s="216">
        <f t="shared" si="4"/>
        <v>0</v>
      </c>
      <c r="CA5" s="213">
        <f t="shared" si="5"/>
        <v>0</v>
      </c>
      <c r="CB5" s="209">
        <f t="shared" si="6"/>
        <v>0</v>
      </c>
      <c r="CC5" s="205">
        <f>IFERROR(IF(OR(AND(CA5&gt;CA4,CA5&gt;=1),AND(CA5&lt;CA4,CA5&lt;=-1)),1,0),"")</f>
        <v>0</v>
      </c>
      <c r="CD5" s="205">
        <f t="shared" si="7"/>
        <v>9</v>
      </c>
      <c r="CE5" s="204">
        <f>IF(OR(AND($G4="Rich",$G3="Rich"),AND($G4="Rich",$G3="Rich"),AND($BL2="TWIN-C",$H$3="4WD",$H4="TWIN-C"),AND($BL2="TWIN-C",$G$3="Rich",$H4="TWIN-C"),AND($H3="TWIN-C",$H4="TWIN-C"),AND(COUNTIF($CG10:$CG13,"Rich")&gt;1,COUNTIF($CG10:$CG13,"Mech")&gt;1),AND($CG13="Sport",COUNTIF($CG8:$CG13,"Sport")&gt;1))=TRUE(),1,0)</f>
        <v>0</v>
      </c>
      <c r="CF5" s="10">
        <f t="shared" si="8"/>
        <v>89</v>
      </c>
      <c r="CG5" s="20" t="str">
        <f>IF(VLOOKUP(CF5,Расчет!I:R,10,FALSE)="",VLOOKUP(CF5,Расчет!I:R,9,FALSE),VLOOKUP(CF5,Расчет!I:R,10,FALSE))</f>
        <v>Auto</v>
      </c>
    </row>
    <row r="6" spans="1:85" ht="23.1" customHeight="1" thickBot="1">
      <c r="A6" s="40">
        <f>IF(AND(IFERROR(VLOOKUP(E6,Расчет!A:J,10,FALSE),"  ")&lt;&gt;"  ",IFERROR(LEFT(VLOOKUP(E6,Расчет!A:J,10,FALSE),1)," ")&lt;&gt;"H"),0,IFERROR(IF(F6="Camry",IF(OR(J6="2PS",J6="2QL"),IF(E6-AP6&gt;100,E6-AP6-1000+$AD$12,E6-AP6+$AD$12),IF(E6-AP6&gt;100,E6-AP6-1000,E6-AP6)),IF(J6="2PS",IF(E6-AP6&gt;100,E6-AP6-1000+$AD$17,E6-AP6+$AD$17),IF(E6-AP6&gt;100,E6-AP6-1000,E6-AP6))),"-"))</f>
        <v>18</v>
      </c>
      <c r="B6" s="46">
        <v>4</v>
      </c>
      <c r="C6" s="19">
        <f>IF(E6="","",COUNTA($E$3:E6))</f>
        <v>4</v>
      </c>
      <c r="D6" s="18">
        <f t="shared" si="0"/>
        <v>99</v>
      </c>
      <c r="E6" s="30">
        <v>11187</v>
      </c>
      <c r="F6" s="44" t="str">
        <f>IFERROR(IF(VLOOKUP(E6,Расчет!$A$2:$B$650,2,FALSE)="664W","Camry",IF(VLOOKUP(E6,Расчет!$A$2:$B$650,2,FALSE)="813W","Goshi","RAV4")),"")</f>
        <v>Camry</v>
      </c>
      <c r="G6" s="32" t="str">
        <f>IFERROR(IF(F6="Camry",VLOOKUP(E6,Расчет!$A$2:$Q$650,17,FALSE),VLOOKUP(E6,Расчет!$A$2:$R$650,18,FALSE)),"")</f>
        <v>Standard</v>
      </c>
      <c r="H6" s="32" t="str">
        <f>IFERROR(VLOOKUP(VLOOKUP(E6,Расчет!$A:$D,4,FALSE),$AT$6:$AV$15,3,FALSE),"")</f>
        <v/>
      </c>
      <c r="I6" s="31" t="str">
        <f>IFERROR(VLOOKUP(IFERROR(VLOOKUP(E6,Расчет!$A$2:$D$650,4,FALSE),0),$AT$3:$AU$15,2,FALSE),"")</f>
        <v>2,5 L</v>
      </c>
      <c r="J6" s="33" t="str">
        <f>IFERROR(VLOOKUP(E6,Расчет!$A$2:$E$650,5,FALSE),"")</f>
        <v>1F7</v>
      </c>
      <c r="K6" s="189">
        <v>0.72841435185185188</v>
      </c>
      <c r="L6" s="188">
        <f t="shared" si="9"/>
        <v>1.6087962962962887E-3</v>
      </c>
      <c r="M6" s="9"/>
      <c r="N6" s="40" t="str">
        <f>IF(AND(IFERROR(VLOOKUP(R6,Расчет!A:J,10,FALSE),"  ")&lt;&gt;"  ",IFERROR(LEFT(VLOOKUP(R6,Расчет!A:J,10,FALSE),1)," ")&lt;&gt;"H"),0,IFERROR(IF(S6="Camry",IF(OR(W6="2PS",W6="2QL"),IF(R6-AP109&gt;100,R6-AP109-1000+$AD$12,R6-AP109+$AD$12),IF(R6-AP109&gt;100,R6-AP109-1000,R6-AP109)),IF(W6="2PS",IF(R6-AP109&gt;100,R6-AP109-1000+$AD$17,R6-AP109+$AD$17),IF(R6-AP109&gt;100,R6-AP109-1000,R6-AP109))),"-"))</f>
        <v>-</v>
      </c>
      <c r="O6" s="46">
        <v>107</v>
      </c>
      <c r="P6" s="19" t="str">
        <f>IF(R6="","",COUNTA($R$3:R6)+$C$105)</f>
        <v/>
      </c>
      <c r="Q6" s="18" t="str">
        <f t="shared" si="1"/>
        <v/>
      </c>
      <c r="R6" s="30"/>
      <c r="S6" s="45" t="str">
        <f>IFERROR(IF(VLOOKUP(R6,Расчет!$A$2:$B$650,2,FALSE)="664W","Camry",IF(VLOOKUP(R6,Расчет!$A$2:$B$650,2,FALSE)="813W","Goshi","RAV4")),"")</f>
        <v/>
      </c>
      <c r="T6" s="32" t="str">
        <f>IFERROR(IF(S6="Camry",VLOOKUP(R6,Расчет!$A$2:$Q$650,17,FALSE),VLOOKUP(R6,Расчет!$A$2:$R$650,18,FALSE)),"")</f>
        <v/>
      </c>
      <c r="U6" s="32" t="str">
        <f>IFERROR(VLOOKUP(VLOOKUP(R6,Расчет!$A:$D,4,FALSE),$AT$6:$AV$15,3,FALSE),"")</f>
        <v/>
      </c>
      <c r="V6" s="31" t="str">
        <f>IFERROR(VLOOKUP(IFERROR(VLOOKUP(R6,Расчет!$A$2:$D$650,4,FALSE),0),$AT$3:$AU$15,2,FALSE),"")</f>
        <v/>
      </c>
      <c r="W6" s="33" t="str">
        <f>IFERROR(VLOOKUP(R6,Расчет!$A$2:$E$650,5,FALSE),"")</f>
        <v/>
      </c>
      <c r="X6" s="189"/>
      <c r="Y6" s="191">
        <f t="shared" si="10"/>
        <v>0</v>
      </c>
      <c r="Z6" s="175" t="str">
        <f>IFERROR(VLOOKUP(AA6,Расчет!$BS:$BT,2,FALSE),"")</f>
        <v/>
      </c>
      <c r="AA6" s="148" t="str">
        <f>IF(IFERROR(VLOOKUP(ROW(A1),$BL$5:$BM$300,2,FALSE),"")&lt;0,VLOOKUP(ROW(A1),$BL$5:$BN$300,3,FALSE),"")</f>
        <v/>
      </c>
      <c r="AB6" s="400" t="str">
        <f>IFERROR(VLOOKUP(AC6,Расчет!$BS:$BT,2,FALSE),"")</f>
        <v/>
      </c>
      <c r="AC6" s="148"/>
      <c r="AD6" s="56"/>
      <c r="AE6" s="195">
        <v>4</v>
      </c>
      <c r="AF6" s="44" t="str">
        <f>IF(VLOOKUP(AE6,Расчет!$AH$2:$AN$201,5,FALSE)="8","C",IF(VLOOKUP(AE6,Расчет!$AH$2:$AN$201,5,FALSE)="G","G","R"))</f>
        <v>C</v>
      </c>
      <c r="AG6" s="73" t="str">
        <f t="shared" si="2"/>
        <v>C</v>
      </c>
      <c r="AH6" s="87">
        <f>IF(AG6="","",COUNTIF($AG$2:AG6,"C")-COUNTIF($AF$2:AF6,"C")+$AH$1)</f>
        <v>0</v>
      </c>
      <c r="AI6" s="87">
        <f>IF(AG6="","",COUNTIF($AG$2:AG6,"R")-COUNTIF($AF$2:AF6,"R")+$AI$1)</f>
        <v>0</v>
      </c>
      <c r="AJ6" s="89">
        <v>107</v>
      </c>
      <c r="AK6" s="44" t="str">
        <f>IF(VLOOKUP(AJ6,Расчет!$AH$2:$AN$211,5,FALSE)="8","C",IF(VLOOKUP(AJ6,Расчет!$AH$2:$AN$211,5,FALSE)="G","G","R"))</f>
        <v>C</v>
      </c>
      <c r="AL6" s="74" t="str">
        <f t="shared" si="3"/>
        <v/>
      </c>
      <c r="AM6" s="118" t="str">
        <f>IF(AL6="","",(COUNTIF($AG$2:$AG$105,"C")+COUNTIF($AL$2:$AL6,"C"))-(COUNTIF($AF$2:$AF$105,"C")+COUNTIF($AK$2:$AK6,"C"))+$AH$1)</f>
        <v/>
      </c>
      <c r="AN6" s="119" t="str">
        <f>IF(AL6="","",(COUNTIF($AG$2:$AG$105,"R")+COUNTIF($AL$2:$AL6,"R"))-(COUNTIF($AF$2:$AF$105,"R")+COUNTIF($AK$2:$AK6,"R"))+$AI$1)</f>
        <v/>
      </c>
      <c r="AO6" s="117">
        <f>IF(E6="","",COUNTA($E$3:E6)+$Z$1)</f>
        <v>99</v>
      </c>
      <c r="AP6" s="88">
        <f>IF(AO6="","",IF(AO6+Расчет!$Y$57+$BD$2-Расчет!$X$57&gt;200,AO6+Расчет!$Y$57+$BD$2-1000,AO6+Расчет!$Y$57+$BD$2))</f>
        <v>11169</v>
      </c>
      <c r="AQ6"/>
      <c r="AR6" s="92"/>
      <c r="AS6" s="92"/>
      <c r="AT6" s="230" t="s">
        <v>909</v>
      </c>
      <c r="AU6" s="230" t="s">
        <v>12</v>
      </c>
      <c r="AV6" s="271" t="s">
        <v>935</v>
      </c>
      <c r="AW6" s="48"/>
      <c r="AX6" s="47"/>
      <c r="AY6" s="48"/>
      <c r="AZ6" s="48"/>
      <c r="BA6" s="48"/>
      <c r="BB6" s="48"/>
      <c r="BC6" s="48"/>
      <c r="BD6" s="49"/>
      <c r="BE6" s="49"/>
      <c r="BF6" s="50"/>
      <c r="BG6" s="51"/>
      <c r="BH6" s="48"/>
      <c r="BI6" s="48"/>
      <c r="BJ6" s="48"/>
      <c r="BK6" s="48"/>
      <c r="BL6" s="172">
        <f>COUNTIF($BM$5:BM6,"&lt;-115")</f>
        <v>0</v>
      </c>
      <c r="BM6" s="154" t="str">
        <f>IFERROR(IF(OR(IFERROR(VLOOKUP(BN6,$E$3:$E$105,1,FALSE),"0")=BN6,IFERROR(VLOOKUP(BN6,$R$3:$R$105,1,FALSE),"0")=BN6),BO6,IF(OR(VLOOKUP(BN6,Расчет!A:E,5,FALSE)="2PS",VLOOKUP(BN6,Расчет!A:E,5,FALSE)="2QL"),IF(VLOOKUP(BN6,Расчет!A:B,2,FALSE)="831W",BN6-$BS$7+$AD$17,BN6-$BS$7+$AD$12),BN6-$BS$7)),"-")</f>
        <v>-</v>
      </c>
      <c r="BN6" s="154" t="str">
        <f>IF(OR(Расчет!C3="A0",Расчет!C3="P9",Расчет!B3="722W"),"-",Расчет!A3)</f>
        <v>-</v>
      </c>
      <c r="BO6" s="173">
        <f t="shared" ref="BO6:BO69" si="14">IF(IFERROR(INDEX($A$3:$A$105,MATCH(BN6,$E$3:$E$105,0)),"-")&lt;&gt;"-",IFERROR(INDEX($A$3:$A$105,MATCH(BN6,$E$3:$E$105,0)),0),IFERROR(INDEX($N$3:$N$105,MATCH(BN6,$R$3:$R$105,0)),0))</f>
        <v>0</v>
      </c>
      <c r="BP6" s="172" t="str">
        <f>IF(BQ6="-","-",IFERROR(IF(OR(VLOOKUP(BN6,Расчет!$A$2:$E$582,5,FALSE)="2PS",VLOOKUP(BN6,Расчет!$A$2:$E$582,5,FALSE)="2QL"),IF(OR(VLOOKUP(BN6,Расчет!$A$2:$E$582,2,FALSE)="664W",VLOOKUP(BN6,Расчет!$A$2:$E$582,2,FALSE)="813W"),IF(BN6-$BS$7&gt;150,BN6-$BS$7-1000+$AD$12,BN6-$BS$7+$AD$12),IF(BN6-$BS$7&gt;150,BN6-$BS$7-1000+$AD$17,BN6-$BS$7+$AD$17)),IF(BN6-$BS$7&gt;150,BN6-$BS$7-1000,BN6-$BS$7)),"-"))</f>
        <v>-</v>
      </c>
      <c r="BQ6" s="173" t="str">
        <f t="shared" si="11"/>
        <v>-</v>
      </c>
      <c r="BR6" s="460" t="s">
        <v>135</v>
      </c>
      <c r="BS6" s="462" t="s">
        <v>136</v>
      </c>
      <c r="BT6" s="464" t="str">
        <f t="shared" si="12"/>
        <v>-</v>
      </c>
      <c r="BU6" s="464" t="str">
        <f t="shared" si="13"/>
        <v>-</v>
      </c>
      <c r="BV6" s="634">
        <f>COUNTIFS(A3:A105,"&lt;"&amp;AB2,C3:C105,"&gt;"&amp;AB58)+COUNTIFS(N3:N105,"&lt;"&amp;AB2,P3:P105,"&gt;"&amp;AB58)</f>
        <v>0</v>
      </c>
      <c r="BW6" s="635">
        <f>COUNTIFS(A3:A105,"&gt;"&amp;AC2,C3:C105,"&gt;"&amp;AB58)+COUNTIFS(N3:N105,"&gt;"&amp;AC2,P3:P105,"&gt;"&amp;AB58)</f>
        <v>0</v>
      </c>
      <c r="BX6" s="204">
        <f>COUNTIF($BY$4:BY6,"&lt;100")</f>
        <v>3</v>
      </c>
      <c r="BY6" s="213">
        <f t="shared" si="4"/>
        <v>0</v>
      </c>
      <c r="BZ6" s="216">
        <f t="shared" si="4"/>
        <v>0</v>
      </c>
      <c r="CA6" s="213">
        <f t="shared" si="5"/>
        <v>0</v>
      </c>
      <c r="CB6" s="209">
        <f t="shared" si="6"/>
        <v>0</v>
      </c>
      <c r="CC6" s="205">
        <f t="shared" ref="CC6:CC69" si="15">IFERROR(IF(OR(AND(CA6&gt;CA5,CA6&gt;=1),AND(CA6&lt;CA5,CA6&lt;=-1)),1,0),"")</f>
        <v>0</v>
      </c>
      <c r="CD6" s="205">
        <f t="shared" si="7"/>
        <v>21</v>
      </c>
      <c r="CE6" s="205">
        <f t="shared" ref="CE6:CE69" si="16">IF(OR(AND($G5="Rich",$G4="Rich"),AND($G5="Rich",$G3="Rich"),AND($H5="TWIN-C",$H4="4WD",$H3="TWIN-C"),AND($H5="TWIN-C",$G4="Rich",$H3="TWIN-C"),AND(COUNTIF($CG11:$CG14,"Rich")&gt;1,COUNTIF($CG11:$CG14,"Mech")&gt;1),AND($CG14="Sport",COUNTIF($CG9:$CG14,"Sport")&gt;1))=TRUE(),1,0)</f>
        <v>0</v>
      </c>
      <c r="CF6" s="10">
        <f t="shared" si="8"/>
        <v>90</v>
      </c>
      <c r="CG6" s="20" t="str">
        <f>IF(VLOOKUP(CF6,Расчет!I:R,10,FALSE)="",VLOOKUP(CF6,Расчет!I:R,9,FALSE),VLOOKUP(CF6,Расчет!I:R,10,FALSE))</f>
        <v>Rich</v>
      </c>
    </row>
    <row r="7" spans="1:85" ht="23.1" customHeight="1" thickBot="1">
      <c r="A7" s="40">
        <f>IF(AND(IFERROR(VLOOKUP(E7,Расчет!A:J,10,FALSE),"  ")&lt;&gt;"  ",IFERROR(LEFT(VLOOKUP(E7,Расчет!A:J,10,FALSE),1)," ")&lt;&gt;"H"),0,IFERROR(IF(F7="Camry",IF(OR(J7="2PS",J7="2QL"),IF(E7-AP7&gt;100,E7-AP7-1000+$AD$12,E7-AP7+$AD$12),IF(E7-AP7&gt;100,E7-AP7-1000,E7-AP7)),IF(J7="2PS",IF(E7-AP7&gt;100,E7-AP7-1000+$AD$17,E7-AP7+$AD$17),IF(E7-AP7&gt;100,E7-AP7-1000,E7-AP7))),"-"))</f>
        <v>17</v>
      </c>
      <c r="B7" s="46">
        <v>5</v>
      </c>
      <c r="C7" s="19">
        <f>IF(E7="","",COUNTA($E$3:E7))</f>
        <v>5</v>
      </c>
      <c r="D7" s="18">
        <f t="shared" si="0"/>
        <v>100</v>
      </c>
      <c r="E7" s="30">
        <v>11087</v>
      </c>
      <c r="F7" s="44" t="str">
        <f>IFERROR(IF(VLOOKUP(E7,Расчет!$A$2:$B$650,2,FALSE)="664W","Camry",IF(VLOOKUP(E7,Расчет!$A$2:$B$650,2,FALSE)="813W","Goshi","RAV4")),"")</f>
        <v>RAV4</v>
      </c>
      <c r="G7" s="32" t="str">
        <f>IFERROR(IF(F7="Camry",VLOOKUP(E7,Расчет!$A$2:$Q$650,17,FALSE),VLOOKUP(E7,Расчет!$A$2:$R$650,18,FALSE)),"")</f>
        <v>CVT</v>
      </c>
      <c r="H7" s="32" t="str">
        <f>IFERROR(VLOOKUP(VLOOKUP(E7,Расчет!$A:$D,4,FALSE),$AT$6:$AV$15,3,FALSE),"")</f>
        <v>4WD</v>
      </c>
      <c r="I7" s="31" t="str">
        <f>IFERROR(VLOOKUP(IFERROR(VLOOKUP(E7,Расчет!$A$2:$D$650,4,FALSE),0),$AT$3:$AU$15,2,FALSE),"")</f>
        <v>2,0 L</v>
      </c>
      <c r="J7" s="33" t="str">
        <f>IFERROR(VLOOKUP(E7,Расчет!$A$2:$E$650,5,FALSE),"")</f>
        <v>2PS</v>
      </c>
      <c r="K7" s="189">
        <v>0.73</v>
      </c>
      <c r="L7" s="188">
        <f t="shared" si="9"/>
        <v>1.5856481481481E-3</v>
      </c>
      <c r="M7" s="9"/>
      <c r="N7" s="40" t="str">
        <f>IF(AND(IFERROR(VLOOKUP(R7,Расчет!A:J,10,FALSE),"  ")&lt;&gt;"  ",IFERROR(LEFT(VLOOKUP(R7,Расчет!A:J,10,FALSE),1)," ")&lt;&gt;"H"),0,IFERROR(IF(S7="Camry",IF(OR(W7="2PS",W7="2QL"),IF(R7-AP110&gt;100,R7-AP110-1000+$AD$12,R7-AP110+$AD$12),IF(R7-AP110&gt;100,R7-AP110-1000,R7-AP110)),IF(W7="2PS",IF(R7-AP110&gt;100,R7-AP110-1000+$AD$17,R7-AP110+$AD$17),IF(R7-AP110&gt;100,R7-AP110-1000,R7-AP110))),"-"))</f>
        <v>-</v>
      </c>
      <c r="O7" s="46">
        <v>108</v>
      </c>
      <c r="P7" s="19" t="str">
        <f>IF(R7="","",COUNTA($R$3:R7)+$C$105)</f>
        <v/>
      </c>
      <c r="Q7" s="18" t="str">
        <f t="shared" si="1"/>
        <v/>
      </c>
      <c r="R7" s="30"/>
      <c r="S7" s="45" t="str">
        <f>IFERROR(IF(VLOOKUP(R7,Расчет!$A$2:$B$650,2,FALSE)="664W","Camry",IF(VLOOKUP(R7,Расчет!$A$2:$B$650,2,FALSE)="813W","Goshi","RAV4")),"")</f>
        <v/>
      </c>
      <c r="T7" s="32" t="str">
        <f>IFERROR(IF(S7="Camry",VLOOKUP(R7,Расчет!$A$2:$Q$650,17,FALSE),VLOOKUP(R7,Расчет!$A$2:$R$650,18,FALSE)),"")</f>
        <v/>
      </c>
      <c r="U7" s="32" t="str">
        <f>IFERROR(VLOOKUP(VLOOKUP(R7,Расчет!$A:$D,4,FALSE),$AT$6:$AV$15,3,FALSE),"")</f>
        <v/>
      </c>
      <c r="V7" s="31" t="str">
        <f>IFERROR(VLOOKUP(IFERROR(VLOOKUP(R7,Расчет!$A$2:$D$650,4,FALSE),0),$AT$3:$AU$15,2,FALSE),"")</f>
        <v/>
      </c>
      <c r="W7" s="33" t="str">
        <f>IFERROR(VLOOKUP(R7,Расчет!$A$2:$E$650,5,FALSE),"")</f>
        <v/>
      </c>
      <c r="X7" s="189"/>
      <c r="Y7" s="191">
        <f t="shared" si="10"/>
        <v>0</v>
      </c>
      <c r="Z7" s="176" t="str">
        <f>IFERROR(VLOOKUP(AA7,Расчет!$BS:$BT,2,FALSE),"")</f>
        <v/>
      </c>
      <c r="AA7" s="156" t="str">
        <f t="shared" ref="AA7:AA16" si="17">IF(IFERROR(VLOOKUP(ROW(A2),$BL$5:$BM$300,2,FALSE),"")&lt;0,VLOOKUP(ROW(A2),$BL$5:$BN$300,3,FALSE),"")</f>
        <v/>
      </c>
      <c r="AB7" s="401" t="str">
        <f>IFERROR(VLOOKUP(AC7,Расчет!$BS:$BT,2,FALSE),"")</f>
        <v/>
      </c>
      <c r="AC7" s="156"/>
      <c r="AD7" s="56"/>
      <c r="AE7" s="195">
        <v>5</v>
      </c>
      <c r="AF7" s="44" t="str">
        <f>IF(VLOOKUP(AE7,Расчет!$AH$2:$AN$201,5,FALSE)="8","C",IF(VLOOKUP(AE7,Расчет!$AH$2:$AN$201,5,FALSE)="G","G","R"))</f>
        <v>R</v>
      </c>
      <c r="AG7" s="73" t="str">
        <f t="shared" si="2"/>
        <v>R</v>
      </c>
      <c r="AH7" s="87">
        <f>IF(AG7="","",COUNTIF($AG$2:AG7,"C")-COUNTIF($AF$2:AF7,"C")+$AH$1)</f>
        <v>0</v>
      </c>
      <c r="AI7" s="87">
        <f>IF(AG7="","",COUNTIF($AG$2:AG7,"R")-COUNTIF($AF$2:AF7,"R")+$AI$1)</f>
        <v>0</v>
      </c>
      <c r="AJ7" s="89">
        <v>108</v>
      </c>
      <c r="AK7" s="44" t="str">
        <f>IF(VLOOKUP(AJ7,Расчет!$AH$2:$AN$211,5,FALSE)="8","C",IF(VLOOKUP(AJ7,Расчет!$AH$2:$AN$211,5,FALSE)="G","G","R"))</f>
        <v>R</v>
      </c>
      <c r="AL7" s="74" t="str">
        <f t="shared" si="3"/>
        <v/>
      </c>
      <c r="AM7" s="118" t="str">
        <f>IF(AL7="","",(COUNTIF($AG$2:$AG$105,"C")+COUNTIF($AL$2:$AL7,"C"))-(COUNTIF($AF$2:$AF$105,"C")+COUNTIF($AK$2:$AK7,"C"))+$AH$1)</f>
        <v/>
      </c>
      <c r="AN7" s="119" t="str">
        <f>IF(AL7="","",(COUNTIF($AG$2:$AG$105,"R")+COUNTIF($AL$2:$AL7,"R"))-(COUNTIF($AF$2:$AF$105,"R")+COUNTIF($AK$2:$AK7,"R"))+$AI$1)</f>
        <v/>
      </c>
      <c r="AO7" s="117">
        <f>IF(E7="","",COUNTA($E$3:E7)+$Z$1)</f>
        <v>100</v>
      </c>
      <c r="AP7" s="88">
        <f>IF(AO7="","",IF(AO7+Расчет!$Y$57+$BD$2-Расчет!$X$57&gt;200,AO7+Расчет!$Y$57+$BD$2-1000,AO7+Расчет!$Y$57+$BD$2))</f>
        <v>11170</v>
      </c>
      <c r="AR7" s="92"/>
      <c r="AS7" s="92"/>
      <c r="AT7" s="260" t="s">
        <v>910</v>
      </c>
      <c r="AU7" s="230" t="s">
        <v>12</v>
      </c>
      <c r="AV7" s="438" t="s">
        <v>918</v>
      </c>
      <c r="AW7" s="48"/>
      <c r="AX7" s="47"/>
      <c r="AY7" s="638" t="s">
        <v>61</v>
      </c>
      <c r="AZ7" s="639"/>
      <c r="BA7" s="63">
        <f>COUNTIFS(I2:I105,"2,0 L",F2:F105,"Camry")+COUNTIFS(V2:V105,"2,0 L",S2:S105,"Camry")</f>
        <v>3</v>
      </c>
      <c r="BB7" s="48"/>
      <c r="BC7" s="48"/>
      <c r="BD7" s="60" t="s">
        <v>8</v>
      </c>
      <c r="BE7" s="61" t="s">
        <v>30</v>
      </c>
      <c r="BF7" s="61" t="s">
        <v>24</v>
      </c>
      <c r="BG7" s="140" t="s">
        <v>71</v>
      </c>
      <c r="BH7" s="436" t="s">
        <v>127</v>
      </c>
      <c r="BI7" s="640" t="s">
        <v>18</v>
      </c>
      <c r="BJ7" s="641"/>
      <c r="BK7" s="424" t="s">
        <v>128</v>
      </c>
      <c r="BL7" s="172">
        <f>COUNTIF($BM$5:BM7,"&lt;-115")</f>
        <v>0</v>
      </c>
      <c r="BM7" s="154">
        <f>IFERROR(IF(OR(IFERROR(VLOOKUP(BN7,$E$3:$E$105,1,FALSE),"0")=BN7,IFERROR(VLOOKUP(BN7,$R$3:$R$105,1,FALSE),"0")=BN7),BO7,IF(OR(VLOOKUP(BN7,Расчет!A:E,5,FALSE)="2PS",VLOOKUP(BN7,Расчет!A:E,5,FALSE)="2QL"),IF(VLOOKUP(BN7,Расчет!A:B,2,FALSE)="831W",BN7-$BS$7+$AD$17,BN7-$BS$7+$AD$12),BN7-$BS$7)),"-")</f>
        <v>-18</v>
      </c>
      <c r="BN7" s="154">
        <f>IF(OR(Расчет!C4="A0",Расчет!C4="P9",Расчет!B4="722W"),"-",Расчет!A4)</f>
        <v>11055</v>
      </c>
      <c r="BO7" s="173">
        <f t="shared" si="14"/>
        <v>-18</v>
      </c>
      <c r="BP7" s="172" t="str">
        <f>IF(BQ7="-","-",IFERROR(IF(OR(VLOOKUP(BN7,Расчет!$A$2:$E$582,5,FALSE)="2PS",VLOOKUP(BN7,Расчет!$A$2:$E$582,5,FALSE)="2QL"),IF(OR(VLOOKUP(BN7,Расчет!$A$2:$E$582,2,FALSE)="664W",VLOOKUP(BN7,Расчет!$A$2:$E$582,2,FALSE)="813W"),IF(BN7-$BS$7&gt;150,BN7-$BS$7-1000+$AD$12,BN7-$BS$7+$AD$12),IF(BN7-$BS$7&gt;150,BN7-$BS$7-1000+$AD$17,BN7-$BS$7+$AD$17)),IF(BN7-$BS$7&gt;150,BN7-$BS$7-1000,BN7-$BS$7)),"-"))</f>
        <v>-</v>
      </c>
      <c r="BQ7" s="173" t="str">
        <f t="shared" si="11"/>
        <v>-</v>
      </c>
      <c r="BR7" s="453">
        <f>MAX(AO3:AO211)</f>
        <v>154</v>
      </c>
      <c r="BS7" s="171">
        <f>VLOOKUP(BR7,AO3:AP211,2,FALSE)</f>
        <v>11224</v>
      </c>
      <c r="BT7" s="464" t="str">
        <f t="shared" si="12"/>
        <v>-</v>
      </c>
      <c r="BU7" s="464" t="str">
        <f t="shared" si="13"/>
        <v>-</v>
      </c>
      <c r="BV7" s="636"/>
      <c r="BW7" s="637"/>
      <c r="BX7" s="204">
        <f>COUNTIF($BY$4:BY7,"&lt;100")</f>
        <v>4</v>
      </c>
      <c r="BY7" s="213">
        <f t="shared" si="4"/>
        <v>0</v>
      </c>
      <c r="BZ7" s="216">
        <f t="shared" si="4"/>
        <v>0</v>
      </c>
      <c r="CA7" s="213">
        <f t="shared" si="5"/>
        <v>0</v>
      </c>
      <c r="CB7" s="209">
        <f t="shared" si="6"/>
        <v>0</v>
      </c>
      <c r="CC7" s="205">
        <f t="shared" si="15"/>
        <v>0</v>
      </c>
      <c r="CD7" s="205">
        <f t="shared" si="7"/>
        <v>18</v>
      </c>
      <c r="CE7" s="205">
        <f t="shared" si="16"/>
        <v>0</v>
      </c>
      <c r="CF7" s="10">
        <f t="shared" si="8"/>
        <v>91</v>
      </c>
      <c r="CG7" s="20" t="str">
        <f>IF(VLOOKUP(CF7,Расчет!I:R,10,FALSE)="",VLOOKUP(CF7,Расчет!I:R,9,FALSE),VLOOKUP(CF7,Расчет!I:R,10,FALSE))</f>
        <v>Mech</v>
      </c>
    </row>
    <row r="8" spans="1:85" ht="23.1" customHeight="1" thickBot="1">
      <c r="A8" s="40">
        <f>IF(AND(IFERROR(VLOOKUP(E8,Расчет!A:J,10,FALSE),"  ")&lt;&gt;"  ",IFERROR(LEFT(VLOOKUP(E8,Расчет!A:J,10,FALSE),1)," ")&lt;&gt;"H"),0,IFERROR(IF(F8="Camry",IF(OR(J8="2PS",J8="2QL"),IF(E8-AP8&gt;100,E8-AP8-1000+$AD$12,E8-AP8+$AD$12),IF(E8-AP8&gt;100,E8-AP8-1000,E8-AP8)),IF(J8="2PS",IF(E8-AP8&gt;100,E8-AP8-1000+$AD$17,E8-AP8+$AD$17),IF(E8-AP8&gt;100,E8-AP8-1000,E8-AP8))),"-"))</f>
        <v>7</v>
      </c>
      <c r="B8" s="46">
        <v>6</v>
      </c>
      <c r="C8" s="19">
        <f>IF(E8="","",COUNTA($E$3:E8))</f>
        <v>6</v>
      </c>
      <c r="D8" s="18">
        <f t="shared" si="0"/>
        <v>101</v>
      </c>
      <c r="E8" s="30">
        <v>11178</v>
      </c>
      <c r="F8" s="44" t="str">
        <f>IFERROR(IF(VLOOKUP(E8,Расчет!$A$2:$B$650,2,FALSE)="664W","Camry",IF(VLOOKUP(E8,Расчет!$A$2:$B$650,2,FALSE)="813W","Goshi","RAV4")),"")</f>
        <v>Camry</v>
      </c>
      <c r="G8" s="32" t="str">
        <f>IFERROR(IF(F8="Camry",VLOOKUP(E8,Расчет!$A$2:$Q$650,17,FALSE),VLOOKUP(E8,Расчет!$A$2:$R$650,18,FALSE)),"")</f>
        <v>Rich</v>
      </c>
      <c r="H8" s="32" t="str">
        <f>IFERROR(VLOOKUP(VLOOKUP(E8,Расчет!$A:$D,4,FALSE),$AT$6:$AV$15,3,FALSE),"")</f>
        <v/>
      </c>
      <c r="I8" s="31" t="str">
        <f>IFERROR(VLOOKUP(IFERROR(VLOOKUP(E8,Расчет!$A$2:$D$650,4,FALSE),0),$AT$3:$AU$15,2,FALSE),"")</f>
        <v>3,5 L</v>
      </c>
      <c r="J8" s="33" t="str">
        <f>IFERROR(VLOOKUP(E8,Расчет!$A$2:$E$650,5,FALSE),"")</f>
        <v>218</v>
      </c>
      <c r="K8" s="189">
        <v>0.73163194444444446</v>
      </c>
      <c r="L8" s="188">
        <f t="shared" si="9"/>
        <v>1.6319444444444775E-3</v>
      </c>
      <c r="M8" s="43"/>
      <c r="N8" s="40" t="str">
        <f>IF(AND(IFERROR(VLOOKUP(R8,Расчет!A:J,10,FALSE),"  ")&lt;&gt;"  ",IFERROR(LEFT(VLOOKUP(R8,Расчет!A:J,10,FALSE),1)," ")&lt;&gt;"H"),0,IFERROR(IF(S8="Camry",IF(OR(W8="2PS",W8="2QL"),IF(R8-AP111&gt;100,R8-AP111-1000+$AD$12,R8-AP111+$AD$12),IF(R8-AP111&gt;100,R8-AP111-1000,R8-AP111)),IF(W8="2PS",IF(R8-AP111&gt;100,R8-AP111-1000+$AD$17,R8-AP111+$AD$17),IF(R8-AP111&gt;100,R8-AP111-1000,R8-AP111))),"-"))</f>
        <v>-</v>
      </c>
      <c r="O8" s="46">
        <v>109</v>
      </c>
      <c r="P8" s="19" t="str">
        <f>IF(R8="","",COUNTA($R$3:R8)+$C$105)</f>
        <v/>
      </c>
      <c r="Q8" s="18" t="str">
        <f t="shared" si="1"/>
        <v/>
      </c>
      <c r="R8" s="30"/>
      <c r="S8" s="45" t="str">
        <f>IFERROR(IF(VLOOKUP(R8,Расчет!$A$2:$B$650,2,FALSE)="664W","Camry",IF(VLOOKUP(R8,Расчет!$A$2:$B$650,2,FALSE)="813W","Goshi","RAV4")),"")</f>
        <v/>
      </c>
      <c r="T8" s="32" t="str">
        <f>IFERROR(IF(S8="Camry",VLOOKUP(R8,Расчет!$A$2:$Q$650,17,FALSE),VLOOKUP(R8,Расчет!$A$2:$R$650,18,FALSE)),"")</f>
        <v/>
      </c>
      <c r="U8" s="32" t="str">
        <f>IFERROR(VLOOKUP(VLOOKUP(R8,Расчет!$A:$D,4,FALSE),$AT$6:$AV$15,3,FALSE),"")</f>
        <v/>
      </c>
      <c r="V8" s="31" t="str">
        <f>IFERROR(VLOOKUP(IFERROR(VLOOKUP(R8,Расчет!$A$2:$D$650,4,FALSE),0),$AT$3:$AU$15,2,FALSE),"")</f>
        <v/>
      </c>
      <c r="W8" s="33" t="str">
        <f>IFERROR(VLOOKUP(R8,Расчет!$A$2:$E$650,5,FALSE),"")</f>
        <v/>
      </c>
      <c r="X8" s="189"/>
      <c r="Y8" s="191">
        <f t="shared" si="10"/>
        <v>0</v>
      </c>
      <c r="Z8" s="176" t="str">
        <f>IFERROR(VLOOKUP(AA8,Расчет!$BS:$BT,2,FALSE),"")</f>
        <v/>
      </c>
      <c r="AA8" s="156" t="str">
        <f t="shared" si="17"/>
        <v/>
      </c>
      <c r="AB8" s="401" t="str">
        <f>IFERROR(VLOOKUP(AC8,Расчет!$BS:$BT,2,FALSE),"")</f>
        <v/>
      </c>
      <c r="AC8" s="156"/>
      <c r="AD8" s="417"/>
      <c r="AE8" s="195">
        <v>6</v>
      </c>
      <c r="AF8" s="44" t="str">
        <f>IF(VLOOKUP(AE8,Расчет!$AH$2:$AN$201,5,FALSE)="8","C",IF(VLOOKUP(AE8,Расчет!$AH$2:$AN$201,5,FALSE)="G","G","R"))</f>
        <v>C</v>
      </c>
      <c r="AG8" s="73" t="str">
        <f t="shared" si="2"/>
        <v>C</v>
      </c>
      <c r="AH8" s="87">
        <f>IF(AG8="","",COUNTIF($AG$2:AG8,"C")-COUNTIF($AF$2:AF8,"C")+$AH$1)</f>
        <v>0</v>
      </c>
      <c r="AI8" s="87">
        <f>IF(AG8="","",COUNTIF($AG$2:AG8,"R")-COUNTIF($AF$2:AF8,"R")+$AI$1)</f>
        <v>0</v>
      </c>
      <c r="AJ8" s="89">
        <v>109</v>
      </c>
      <c r="AK8" s="44" t="str">
        <f>IF(VLOOKUP(AJ8,Расчет!$AH$2:$AN$211,5,FALSE)="8","C",IF(VLOOKUP(AJ8,Расчет!$AH$2:$AN$211,5,FALSE)="G","G","R"))</f>
        <v>C</v>
      </c>
      <c r="AL8" s="74" t="str">
        <f t="shared" si="3"/>
        <v/>
      </c>
      <c r="AM8" s="118" t="str">
        <f>IF(AL8="","",(COUNTIF($AG$2:$AG$105,"C")+COUNTIF($AL$2:$AL8,"C"))-(COUNTIF($AF$2:$AF$105,"C")+COUNTIF($AK$2:$AK8,"C"))+$AH$1)</f>
        <v/>
      </c>
      <c r="AN8" s="119" t="str">
        <f>IF(AL8="","",(COUNTIF($AG$2:$AG$105,"R")+COUNTIF($AL$2:$AL8,"R"))-(COUNTIF($AF$2:$AF$105,"R")+COUNTIF($AK$2:$AK8,"R"))+$AI$1)</f>
        <v/>
      </c>
      <c r="AO8" s="22">
        <f>IF(E8="","",COUNTA($E$3:E8)+$Z$1)</f>
        <v>101</v>
      </c>
      <c r="AP8" s="88">
        <f>IF(AO8="","",IF(AO8+Расчет!$Y$57+$BD$2-Расчет!$X$57&gt;200,AO8+Расчет!$Y$57+$BD$2-1000,AO8+Расчет!$Y$57+$BD$2))</f>
        <v>11171</v>
      </c>
      <c r="AR8" s="92"/>
      <c r="AS8" s="92"/>
      <c r="AT8" s="230" t="s">
        <v>911</v>
      </c>
      <c r="AU8" s="230" t="s">
        <v>11</v>
      </c>
      <c r="AV8" s="438" t="s">
        <v>919</v>
      </c>
      <c r="AW8" s="48"/>
      <c r="AX8" s="47"/>
      <c r="AY8" s="665" t="s">
        <v>60</v>
      </c>
      <c r="AZ8" s="666"/>
      <c r="BA8" s="64">
        <f>COUNTIFS(I2:I105,"2,5 L",F2:F105,"Camry")+COUNTIFS(V2:V105,"2,5 L",S2:S105,"Camry")</f>
        <v>20</v>
      </c>
      <c r="BB8" s="48"/>
      <c r="BC8" s="48"/>
      <c r="BD8" s="66" t="s">
        <v>20</v>
      </c>
      <c r="BE8" s="59">
        <f>COUNTIFS($J$2:$J$105,BD8,$F$2:$F$105,"Camry")+COUNTIFS($W$2:$W$105,BD8,$S$2:$S$105,"Camry")</f>
        <v>11</v>
      </c>
      <c r="BF8" s="39">
        <f>COUNTIFS($J$2:$J$105,BD8,$F$2:$F$105,"RAV4")+COUNTIFS($W$2:$W$105,BD8,$S$2:$S$105,"RAV4")</f>
        <v>11</v>
      </c>
      <c r="BG8" s="141">
        <f t="shared" ref="BG8:BG14" si="18">BE8+BF8</f>
        <v>22</v>
      </c>
      <c r="BH8" s="142">
        <f t="shared" ref="BH8:BH18" si="19">BG8/$BG$19</f>
        <v>0.3728813559322034</v>
      </c>
      <c r="BI8" s="143">
        <f>COUNTIF(Расчет!$AY$2:$AY$500,BD8)</f>
        <v>57</v>
      </c>
      <c r="BJ8" s="142">
        <f t="shared" ref="BJ8:BJ18" si="20">BI8/$BI$19</f>
        <v>0.32947976878612717</v>
      </c>
      <c r="BK8" s="180">
        <f>BH8-BJ8</f>
        <v>4.3401587146076226E-2</v>
      </c>
      <c r="BL8" s="172">
        <f>COUNTIF($BM$5:BM8,"&lt;-115")</f>
        <v>0</v>
      </c>
      <c r="BM8" s="154">
        <f>IFERROR(IF(OR(IFERROR(VLOOKUP(BN8,$E$3:$E$105,1,FALSE),"0")=BN8,IFERROR(VLOOKUP(BN8,$R$3:$R$105,1,FALSE),"0")=BN8),BO8,IF(OR(VLOOKUP(BN8,Расчет!A:E,5,FALSE)="2PS",VLOOKUP(BN8,Расчет!A:E,5,FALSE)="2QL"),IF(VLOOKUP(BN8,Расчет!A:B,2,FALSE)="831W",BN8-$BS$7+$AD$17,BN8-$BS$7+$AD$12),BN8-$BS$7)),"-")</f>
        <v>0</v>
      </c>
      <c r="BN8" s="154">
        <f>IF(OR(Расчет!C5="A0",Расчет!C5="P9",Расчет!B5="722W"),"-",Расчет!A5)</f>
        <v>11065</v>
      </c>
      <c r="BO8" s="173">
        <f t="shared" si="14"/>
        <v>0</v>
      </c>
      <c r="BP8" s="172" t="str">
        <f>IF(BQ8="-","-",IFERROR(IF(OR(VLOOKUP(BN8,Расчет!$A$2:$E$582,5,FALSE)="2PS",VLOOKUP(BN8,Расчет!$A$2:$E$582,5,FALSE)="2QL"),IF(OR(VLOOKUP(BN8,Расчет!$A$2:$E$582,2,FALSE)="664W",VLOOKUP(BN8,Расчет!$A$2:$E$582,2,FALSE)="813W"),IF(BN8-$BS$7&gt;150,BN8-$BS$7-1000+$AD$12,BN8-$BS$7+$AD$12),IF(BN8-$BS$7&gt;150,BN8-$BS$7-1000+$AD$17,BN8-$BS$7+$AD$17)),IF(BN8-$BS$7&gt;150,BN8-$BS$7-1000,BN8-$BS$7)),"-"))</f>
        <v>-</v>
      </c>
      <c r="BQ8" s="173" t="str">
        <f t="shared" si="11"/>
        <v>-</v>
      </c>
      <c r="BR8" s="453"/>
      <c r="BS8" s="171"/>
      <c r="BT8" s="464" t="str">
        <f t="shared" si="12"/>
        <v>-</v>
      </c>
      <c r="BU8" s="464" t="str">
        <f t="shared" si="13"/>
        <v>-</v>
      </c>
      <c r="BW8" s="8"/>
      <c r="BX8" s="204">
        <f>COUNTIF($BY$4:BY8,"&lt;100")</f>
        <v>5</v>
      </c>
      <c r="BY8" s="213">
        <f t="shared" si="4"/>
        <v>0</v>
      </c>
      <c r="BZ8" s="216">
        <f t="shared" si="4"/>
        <v>0</v>
      </c>
      <c r="CA8" s="213">
        <f t="shared" si="5"/>
        <v>0</v>
      </c>
      <c r="CB8" s="209">
        <f t="shared" si="6"/>
        <v>0</v>
      </c>
      <c r="CC8" s="205">
        <f t="shared" si="15"/>
        <v>0</v>
      </c>
      <c r="CD8" s="205">
        <f t="shared" si="7"/>
        <v>17</v>
      </c>
      <c r="CE8" s="205">
        <f t="shared" si="16"/>
        <v>0</v>
      </c>
      <c r="CF8" s="10">
        <f t="shared" si="8"/>
        <v>92</v>
      </c>
      <c r="CG8" s="20" t="str">
        <f>IF(VLOOKUP(CF8,Расчет!I:R,10,FALSE)="",VLOOKUP(CF8,Расчет!I:R,9,FALSE),VLOOKUP(CF8,Расчет!I:R,10,FALSE))</f>
        <v>Standard</v>
      </c>
    </row>
    <row r="9" spans="1:85" ht="23.1" customHeight="1" thickBot="1">
      <c r="A9" s="40">
        <f>IF(AND(IFERROR(VLOOKUP(E9,Расчет!A:J,10,FALSE),"  ")&lt;&gt;"  ",IFERROR(LEFT(VLOOKUP(E9,Расчет!A:J,10,FALSE),1)," ")&lt;&gt;"H"),0,IFERROR(IF(F9="Camry",IF(OR(J9="2PS",J9="2QL"),IF(E9-AP9&gt;100,E9-AP9-1000+$AD$12,E9-AP9+$AD$12),IF(E9-AP9&gt;100,E9-AP9-1000,E9-AP9)),IF(J9="2PS",IF(E9-AP9&gt;100,E9-AP9-1000+$AD$17,E9-AP9+$AD$17),IF(E9-AP9&gt;100,E9-AP9-1000,E9-AP9))),"-"))</f>
        <v>21</v>
      </c>
      <c r="B9" s="46">
        <v>7</v>
      </c>
      <c r="C9" s="19">
        <f>IF(E9="","",COUNTA($E$3:E9))</f>
        <v>7</v>
      </c>
      <c r="D9" s="18">
        <f t="shared" si="0"/>
        <v>102</v>
      </c>
      <c r="E9" s="30">
        <v>11193</v>
      </c>
      <c r="F9" s="44" t="str">
        <f>IFERROR(IF(VLOOKUP(E9,Расчет!$A$2:$B$650,2,FALSE)="664W","Camry",IF(VLOOKUP(E9,Расчет!$A$2:$B$650,2,FALSE)="813W","Goshi","RAV4")),"")</f>
        <v>RAV4</v>
      </c>
      <c r="G9" s="32" t="str">
        <f>IFERROR(IF(F9="Camry",VLOOKUP(E9,Расчет!$A$2:$Q$650,17,FALSE),VLOOKUP(E9,Расчет!$A$2:$R$650,18,FALSE)),"")</f>
        <v>CVT</v>
      </c>
      <c r="H9" s="32" t="str">
        <f>IFERROR(VLOOKUP(VLOOKUP(E9,Расчет!$A:$D,4,FALSE),$AT$6:$AV$15,3,FALSE),"")</f>
        <v>4WD</v>
      </c>
      <c r="I9" s="31" t="str">
        <f>IFERROR(VLOOKUP(IFERROR(VLOOKUP(E9,Расчет!$A$2:$D$650,4,FALSE),0),$AT$3:$AU$15,2,FALSE),"")</f>
        <v>2,0 L</v>
      </c>
      <c r="J9" s="33" t="str">
        <f>IFERROR(VLOOKUP(E9,Расчет!$A$2:$E$650,5,FALSE),"")</f>
        <v>4X7</v>
      </c>
      <c r="K9" s="189">
        <v>0.73322916666666671</v>
      </c>
      <c r="L9" s="188">
        <f t="shared" si="9"/>
        <v>1.5972222222222499E-3</v>
      </c>
      <c r="M9" s="43"/>
      <c r="N9" s="40" t="str">
        <f>IF(AND(IFERROR(VLOOKUP(R9,Расчет!A:J,10,FALSE),"  ")&lt;&gt;"  ",IFERROR(LEFT(VLOOKUP(R9,Расчет!A:J,10,FALSE),1)," ")&lt;&gt;"H"),0,IFERROR(IF(S9="Camry",IF(OR(W9="2PS",W9="2QL"),IF(R9-AP112&gt;100,R9-AP112-1000+$AD$12,R9-AP112+$AD$12),IF(R9-AP112&gt;100,R9-AP112-1000,R9-AP112)),IF(W9="2PS",IF(R9-AP112&gt;100,R9-AP112-1000+$AD$17,R9-AP112+$AD$17),IF(R9-AP112&gt;100,R9-AP112-1000,R9-AP112))),"-"))</f>
        <v>-</v>
      </c>
      <c r="O9" s="46">
        <v>110</v>
      </c>
      <c r="P9" s="19" t="str">
        <f>IF(R9="","",COUNTA($R$3:R9)+$C$105)</f>
        <v/>
      </c>
      <c r="Q9" s="18" t="str">
        <f t="shared" si="1"/>
        <v/>
      </c>
      <c r="R9" s="30"/>
      <c r="S9" s="45" t="str">
        <f>IFERROR(IF(VLOOKUP(R9,Расчет!$A$2:$B$650,2,FALSE)="664W","Camry",IF(VLOOKUP(R9,Расчет!$A$2:$B$650,2,FALSE)="813W","Goshi","RAV4")),"")</f>
        <v/>
      </c>
      <c r="T9" s="32" t="str">
        <f>IFERROR(IF(S9="Camry",VLOOKUP(R9,Расчет!$A$2:$Q$650,17,FALSE),VLOOKUP(R9,Расчет!$A$2:$R$650,18,FALSE)),"")</f>
        <v/>
      </c>
      <c r="U9" s="32" t="str">
        <f>IFERROR(VLOOKUP(VLOOKUP(R9,Расчет!$A:$D,4,FALSE),$AT$6:$AV$15,3,FALSE),"")</f>
        <v/>
      </c>
      <c r="V9" s="31" t="str">
        <f>IFERROR(VLOOKUP(IFERROR(VLOOKUP(R9,Расчет!$A$2:$D$650,4,FALSE),0),$AT$3:$AU$15,2,FALSE),"")</f>
        <v/>
      </c>
      <c r="W9" s="33" t="str">
        <f>IFERROR(VLOOKUP(R9,Расчет!$A$2:$E$650,5,FALSE),"")</f>
        <v/>
      </c>
      <c r="X9" s="189"/>
      <c r="Y9" s="191">
        <f t="shared" si="10"/>
        <v>0</v>
      </c>
      <c r="Z9" s="177" t="str">
        <f>IFERROR(VLOOKUP(AA9,Расчет!$BS:$BT,2,FALSE),"")</f>
        <v/>
      </c>
      <c r="AA9" s="156" t="str">
        <f t="shared" si="17"/>
        <v/>
      </c>
      <c r="AB9" s="402" t="str">
        <f>IFERROR(VLOOKUP(AC9,Расчет!$BS:$BT,2,FALSE),"")</f>
        <v/>
      </c>
      <c r="AC9" s="156"/>
      <c r="AD9" s="648" t="s">
        <v>1151</v>
      </c>
      <c r="AE9" s="89">
        <v>7</v>
      </c>
      <c r="AF9" s="44" t="str">
        <f>IF(VLOOKUP(AE9,Расчет!$AH$2:$AN$201,5,FALSE)="8","C",IF(VLOOKUP(AE9,Расчет!$AH$2:$AN$201,5,FALSE)="G","G","R"))</f>
        <v>R</v>
      </c>
      <c r="AG9" s="73" t="str">
        <f t="shared" si="2"/>
        <v>R</v>
      </c>
      <c r="AH9" s="87">
        <f>IF(AG9="","",COUNTIF($AG$2:AG9,"C")-COUNTIF($AF$2:AF9,"C")+$AH$1)</f>
        <v>0</v>
      </c>
      <c r="AI9" s="87">
        <f>IF(AG9="","",COUNTIF($AG$2:AG9,"R")-COUNTIF($AF$2:AF9,"R")+$AI$1)</f>
        <v>0</v>
      </c>
      <c r="AJ9" s="89">
        <v>110</v>
      </c>
      <c r="AK9" s="44" t="str">
        <f>IF(VLOOKUP(AJ9,Расчет!$AH$2:$AN$211,5,FALSE)="8","C",IF(VLOOKUP(AJ9,Расчет!$AH$2:$AN$211,5,FALSE)="G","G","R"))</f>
        <v>R</v>
      </c>
      <c r="AL9" s="74" t="str">
        <f t="shared" si="3"/>
        <v/>
      </c>
      <c r="AM9" s="118" t="str">
        <f>IF(AL9="","",(COUNTIF($AG$2:$AG$105,"C")+COUNTIF($AL$2:$AL9,"C"))-(COUNTIF($AF$2:$AF$105,"C")+COUNTIF($AK$2:$AK9,"C"))+$AH$1)</f>
        <v/>
      </c>
      <c r="AN9" s="119" t="str">
        <f>IF(AL9="","",(COUNTIF($AG$2:$AG$105,"R")+COUNTIF($AL$2:$AL9,"R"))-(COUNTIF($AF$2:$AF$105,"R")+COUNTIF($AK$2:$AK9,"R"))+$AI$1)</f>
        <v/>
      </c>
      <c r="AO9" s="22">
        <f>IF(E9="","",COUNTA($E$3:E9)+$Z$1)</f>
        <v>102</v>
      </c>
      <c r="AP9" s="88">
        <f>IF(AO9="","",IF(AO9+Расчет!$Y$57+$BD$2-Расчет!$X$57&gt;200,AO9+Расчет!$Y$57+$BD$2-1000,AO9+Расчет!$Y$57+$BD$2))</f>
        <v>11172</v>
      </c>
      <c r="AQ9" s="325" t="s">
        <v>15</v>
      </c>
      <c r="AR9" s="92"/>
      <c r="AS9" s="92"/>
      <c r="AT9" s="231" t="s">
        <v>912</v>
      </c>
      <c r="AU9" s="230" t="s">
        <v>11</v>
      </c>
      <c r="AV9" s="438" t="s">
        <v>919</v>
      </c>
      <c r="AW9" s="48"/>
      <c r="AX9" s="47"/>
      <c r="AY9" s="667" t="s">
        <v>59</v>
      </c>
      <c r="AZ9" s="668"/>
      <c r="BA9" s="65">
        <f>COUNTIF(I2:I105,"3,5 L")+COUNTIF(V2:V105,"3,5 L")</f>
        <v>3</v>
      </c>
      <c r="BB9" s="48"/>
      <c r="BC9" s="48"/>
      <c r="BD9" s="67" t="s">
        <v>21</v>
      </c>
      <c r="BE9" s="59">
        <f t="shared" ref="BE9:BE18" si="21">COUNTIFS($J$2:$J$105,BD9,$F$2:$F$105,"Camry")+COUNTIFS($W$2:$W$105,BD9,$S$2:$S$105,"Camry")</f>
        <v>1</v>
      </c>
      <c r="BF9" s="39">
        <f t="shared" ref="BF9:BF18" si="22">COUNTIFS($J$2:$J$105,BD9,$F$2:$F$105,"RAV4")+COUNTIFS($W$2:$W$105,BD9,$S$2:$S$105,"RAV4")</f>
        <v>2</v>
      </c>
      <c r="BG9" s="141">
        <f t="shared" si="18"/>
        <v>3</v>
      </c>
      <c r="BH9" s="142">
        <f t="shared" si="19"/>
        <v>5.0847457627118647E-2</v>
      </c>
      <c r="BI9" s="143">
        <f>COUNTIF(Расчет!$AY$2:$AY$500,BD9)</f>
        <v>7</v>
      </c>
      <c r="BJ9" s="142">
        <f t="shared" si="20"/>
        <v>4.046242774566474E-2</v>
      </c>
      <c r="BK9" s="180">
        <f t="shared" ref="BK9:BK15" si="23">BH9-BJ9</f>
        <v>1.0385029881453907E-2</v>
      </c>
      <c r="BL9" s="172">
        <f>COUNTIF($BM$5:BM9,"&lt;-115")</f>
        <v>0</v>
      </c>
      <c r="BM9" s="154" t="str">
        <f>IFERROR(IF(OR(IFERROR(VLOOKUP(BN9,$E$3:$E$105,1,FALSE),"0")=BN9,IFERROR(VLOOKUP(BN9,$R$3:$R$105,1,FALSE),"0")=BN9),BO9,IF(OR(VLOOKUP(BN9,Расчет!A:E,5,FALSE)="2PS",VLOOKUP(BN9,Расчет!A:E,5,FALSE)="2QL"),IF(VLOOKUP(BN9,Расчет!A:B,2,FALSE)="831W",BN9-$BS$7+$AD$17,BN9-$BS$7+$AD$12),BN9-$BS$7)),"-")</f>
        <v>-</v>
      </c>
      <c r="BN9" s="154" t="str">
        <f>IF(OR(Расчет!C6="A0",Расчет!C6="P9",Расчет!B6="722W"),"-",Расчет!A6)</f>
        <v>-</v>
      </c>
      <c r="BO9" s="173">
        <f t="shared" si="14"/>
        <v>0</v>
      </c>
      <c r="BP9" s="172" t="str">
        <f>IF(BQ9="-","-",IFERROR(IF(OR(VLOOKUP(BN9,Расчет!$A$2:$E$582,5,FALSE)="2PS",VLOOKUP(BN9,Расчет!$A$2:$E$582,5,FALSE)="2QL"),IF(OR(VLOOKUP(BN9,Расчет!$A$2:$E$582,2,FALSE)="664W",VLOOKUP(BN9,Расчет!$A$2:$E$582,2,FALSE)="813W"),IF(BN9-$BS$7&gt;150,BN9-$BS$7-1000+$AD$12,BN9-$BS$7+$AD$12),IF(BN9-$BS$7&gt;150,BN9-$BS$7-1000+$AD$17,BN9-$BS$7+$AD$17)),IF(BN9-$BS$7&gt;150,BN9-$BS$7-1000,BN9-$BS$7)),"-"))</f>
        <v>-</v>
      </c>
      <c r="BQ9" s="173" t="str">
        <f t="shared" si="11"/>
        <v>-</v>
      </c>
      <c r="BR9" s="453"/>
      <c r="BS9" s="171"/>
      <c r="BT9" s="464" t="str">
        <f t="shared" si="12"/>
        <v>-</v>
      </c>
      <c r="BU9" s="464" t="str">
        <f t="shared" si="13"/>
        <v>-</v>
      </c>
      <c r="BW9" s="8"/>
      <c r="BX9" s="204">
        <f>COUNTIF($BY$4:BY9,"&lt;100")</f>
        <v>6</v>
      </c>
      <c r="BY9" s="213">
        <f t="shared" si="4"/>
        <v>0</v>
      </c>
      <c r="BZ9" s="216">
        <f t="shared" si="4"/>
        <v>0</v>
      </c>
      <c r="CA9" s="213">
        <f t="shared" si="5"/>
        <v>0</v>
      </c>
      <c r="CB9" s="209">
        <f t="shared" si="6"/>
        <v>0</v>
      </c>
      <c r="CC9" s="205">
        <f t="shared" si="15"/>
        <v>0</v>
      </c>
      <c r="CD9" s="205">
        <f t="shared" si="7"/>
        <v>7</v>
      </c>
      <c r="CE9" s="205">
        <f t="shared" si="16"/>
        <v>0</v>
      </c>
      <c r="CF9" s="10">
        <f t="shared" si="8"/>
        <v>93</v>
      </c>
      <c r="CG9" s="20" t="str">
        <f>IF(VLOOKUP(CF9,Расчет!I:R,10,FALSE)="",VLOOKUP(CF9,Расчет!I:R,9,FALSE),VLOOKUP(CF9,Расчет!I:R,10,FALSE))</f>
        <v>CVT</v>
      </c>
    </row>
    <row r="10" spans="1:85" ht="23.1" customHeight="1">
      <c r="A10" s="40">
        <f>IF(AND(IFERROR(VLOOKUP(E10,Расчет!A:J,10,FALSE),"  ")&lt;&gt;"  ",IFERROR(LEFT(VLOOKUP(E10,Расчет!A:J,10,FALSE),1)," ")&lt;&gt;"H"),0,IFERROR(IF(F10="Camry",IF(OR(J10="2PS",J10="2QL"),IF(E10-AP10&gt;100,E10-AP10-1000+$AD$12,E10-AP10+$AD$12),IF(E10-AP10&gt;100,E10-AP10-1000,E10-AP10)),IF(J10="2PS",IF(E10-AP10&gt;100,E10-AP10-1000+$AD$17,E10-AP10+$AD$17),IF(E10-AP10&gt;100,E10-AP10-1000,E10-AP10))),"-"))</f>
        <v>-18</v>
      </c>
      <c r="B10" s="46">
        <v>8</v>
      </c>
      <c r="C10" s="19">
        <f>IF(E10="","",COUNTA($E$3:E10))</f>
        <v>8</v>
      </c>
      <c r="D10" s="18">
        <f t="shared" si="0"/>
        <v>103</v>
      </c>
      <c r="E10" s="30">
        <v>11055</v>
      </c>
      <c r="F10" s="44" t="str">
        <f>IFERROR(IF(VLOOKUP(E10,Расчет!$A$2:$B$650,2,FALSE)="664W","Camry",IF(VLOOKUP(E10,Расчет!$A$2:$B$650,2,FALSE)="813W","Goshi","RAV4")),"")</f>
        <v>RAV4</v>
      </c>
      <c r="G10" s="32" t="str">
        <f>IFERROR(IF(F10="Camry",VLOOKUP(E10,Расчет!$A$2:$Q$650,17,FALSE),VLOOKUP(E10,Расчет!$A$2:$R$650,18,FALSE)),"")</f>
        <v>CVT</v>
      </c>
      <c r="H10" s="32" t="str">
        <f>IFERROR(VLOOKUP(VLOOKUP(E10,Расчет!$A:$D,4,FALSE),$AT$6:$AV$15,3,FALSE),"")</f>
        <v>4WD</v>
      </c>
      <c r="I10" s="31" t="str">
        <f>IFERROR(VLOOKUP(IFERROR(VLOOKUP(E10,Расчет!$A$2:$D$650,4,FALSE),0),$AT$3:$AU$15,2,FALSE),"")</f>
        <v>2,0 L</v>
      </c>
      <c r="J10" s="33" t="str">
        <f>IFERROR(VLOOKUP(E10,Расчет!$A$2:$E$650,5,FALSE),"")</f>
        <v>2PS</v>
      </c>
      <c r="K10" s="189">
        <v>0.73479166666666673</v>
      </c>
      <c r="L10" s="188">
        <f t="shared" si="9"/>
        <v>1.5625000000000222E-3</v>
      </c>
      <c r="M10" s="43"/>
      <c r="N10" s="40" t="str">
        <f>IF(AND(IFERROR(VLOOKUP(R10,Расчет!A:J,10,FALSE),"  ")&lt;&gt;"  ",IFERROR(LEFT(VLOOKUP(R10,Расчет!A:J,10,FALSE),1)," ")&lt;&gt;"H"),0,IFERROR(IF(S10="Camry",IF(OR(W10="2PS",W10="2QL"),IF(R10-AP113&gt;100,R10-AP113-1000+$AD$12,R10-AP113+$AD$12),IF(R10-AP113&gt;100,R10-AP113-1000,R10-AP113)),IF(W10="2PS",IF(R10-AP113&gt;100,R10-AP113-1000+$AD$17,R10-AP113+$AD$17),IF(R10-AP113&gt;100,R10-AP113-1000,R10-AP113))),"-"))</f>
        <v>-</v>
      </c>
      <c r="O10" s="46">
        <v>111</v>
      </c>
      <c r="P10" s="19" t="str">
        <f>IF(R10="","",COUNTA($R$3:R10)+$C$105)</f>
        <v/>
      </c>
      <c r="Q10" s="18" t="str">
        <f t="shared" si="1"/>
        <v/>
      </c>
      <c r="R10" s="30"/>
      <c r="S10" s="45" t="str">
        <f>IFERROR(IF(VLOOKUP(R10,Расчет!$A$2:$B$650,2,FALSE)="664W","Camry",IF(VLOOKUP(R10,Расчет!$A$2:$B$650,2,FALSE)="813W","Goshi","RAV4")),"")</f>
        <v/>
      </c>
      <c r="T10" s="32" t="str">
        <f>IFERROR(IF(S10="Camry",VLOOKUP(R10,Расчет!$A$2:$Q$650,17,FALSE),VLOOKUP(R10,Расчет!$A$2:$R$650,18,FALSE)),"")</f>
        <v/>
      </c>
      <c r="U10" s="32" t="str">
        <f>IFERROR(VLOOKUP(VLOOKUP(R10,Расчет!$A:$D,4,FALSE),$AT$6:$AV$15,3,FALSE),"")</f>
        <v/>
      </c>
      <c r="V10" s="31" t="str">
        <f>IFERROR(VLOOKUP(IFERROR(VLOOKUP(R10,Расчет!$A$2:$D$650,4,FALSE),0),$AT$3:$AU$15,2,FALSE),"")</f>
        <v/>
      </c>
      <c r="W10" s="33" t="str">
        <f>IFERROR(VLOOKUP(R10,Расчет!$A$2:$E$650,5,FALSE),"")</f>
        <v/>
      </c>
      <c r="X10" s="189"/>
      <c r="Y10" s="191">
        <f t="shared" si="10"/>
        <v>0</v>
      </c>
      <c r="Z10" s="177" t="str">
        <f>IFERROR(VLOOKUP(AA10,Расчет!$BS:$BT,2,FALSE),"")</f>
        <v/>
      </c>
      <c r="AA10" s="156" t="str">
        <f t="shared" si="17"/>
        <v/>
      </c>
      <c r="AB10" s="402" t="str">
        <f>IFERROR(VLOOKUP(AC10,Расчет!$BS:$BT,2,FALSE),"")</f>
        <v/>
      </c>
      <c r="AC10" s="156"/>
      <c r="AD10" s="649"/>
      <c r="AE10" s="89">
        <v>8</v>
      </c>
      <c r="AF10" s="44" t="str">
        <f>IF(VLOOKUP(AE10,Расчет!$AH$2:$AN$201,5,FALSE)="8","C",IF(VLOOKUP(AE10,Расчет!$AH$2:$AN$201,5,FALSE)="G","G","R"))</f>
        <v>R</v>
      </c>
      <c r="AG10" s="73" t="str">
        <f t="shared" si="2"/>
        <v>R</v>
      </c>
      <c r="AH10" s="87">
        <f>IF(AG10="","",COUNTIF($AG$2:AG10,"C")-COUNTIF($AF$2:AF10,"C")+$AH$1)</f>
        <v>0</v>
      </c>
      <c r="AI10" s="87">
        <f>IF(AG10="","",COUNTIF($AG$2:AG10,"R")-COUNTIF($AF$2:AF10,"R")+$AI$1)</f>
        <v>0</v>
      </c>
      <c r="AJ10" s="89">
        <v>111</v>
      </c>
      <c r="AK10" s="44" t="str">
        <f>IF(VLOOKUP(AJ10,Расчет!$AH$2:$AN$211,5,FALSE)="8","C",IF(VLOOKUP(AJ10,Расчет!$AH$2:$AN$211,5,FALSE)="G","G","R"))</f>
        <v>C</v>
      </c>
      <c r="AL10" s="74" t="str">
        <f t="shared" si="3"/>
        <v/>
      </c>
      <c r="AM10" s="118" t="str">
        <f>IF(AL10="","",(COUNTIF($AG$2:$AG$105,"C")+COUNTIF($AL$2:$AL10,"C"))-(COUNTIF($AF$2:$AF$105,"C")+COUNTIF($AK$2:$AK10,"C"))+$AH$1)</f>
        <v/>
      </c>
      <c r="AN10" s="119" t="str">
        <f>IF(AL10="","",(COUNTIF($AG$2:$AG$105,"R")+COUNTIF($AL$2:$AL10,"R"))-(COUNTIF($AF$2:$AF$105,"R")+COUNTIF($AK$2:$AK10,"R"))+$AI$1)</f>
        <v/>
      </c>
      <c r="AO10" s="22">
        <f>IF(E10="","",COUNTA($E$3:E10)+$Z$1)</f>
        <v>103</v>
      </c>
      <c r="AP10" s="88">
        <f>IF(AO10="","",IF(AO10+Расчет!$Y$57+$BD$2-Расчет!$X$57&gt;200,AO10+Расчет!$Y$57+$BD$2-1000,AO10+Расчет!$Y$57+$BD$2))</f>
        <v>11173</v>
      </c>
      <c r="AQ10" s="325" t="s">
        <v>948</v>
      </c>
      <c r="AR10" s="92"/>
      <c r="AS10" s="92"/>
      <c r="AT10" s="231" t="s">
        <v>913</v>
      </c>
      <c r="AU10" s="230" t="s">
        <v>11</v>
      </c>
      <c r="AV10" s="438" t="s">
        <v>919</v>
      </c>
      <c r="AW10" s="48"/>
      <c r="AX10" s="617" t="s">
        <v>69</v>
      </c>
      <c r="AY10" s="618"/>
      <c r="AZ10" s="618"/>
      <c r="BA10" s="618"/>
      <c r="BB10" s="618"/>
      <c r="BC10" s="48"/>
      <c r="BD10" s="68" t="s">
        <v>80</v>
      </c>
      <c r="BE10" s="59">
        <f t="shared" si="21"/>
        <v>10</v>
      </c>
      <c r="BF10" s="39">
        <f t="shared" si="22"/>
        <v>10</v>
      </c>
      <c r="BG10" s="141">
        <f t="shared" si="18"/>
        <v>20</v>
      </c>
      <c r="BH10" s="142">
        <f t="shared" si="19"/>
        <v>0.33898305084745761</v>
      </c>
      <c r="BI10" s="143">
        <f>COUNTIF(Расчет!$AY$2:$AY$500,BD10)</f>
        <v>58</v>
      </c>
      <c r="BJ10" s="142">
        <f t="shared" si="20"/>
        <v>0.33526011560693642</v>
      </c>
      <c r="BK10" s="180">
        <f t="shared" si="23"/>
        <v>3.7229352405211968E-3</v>
      </c>
      <c r="BL10" s="172">
        <f>COUNTIF($BM$5:BM10,"&lt;-115")</f>
        <v>0</v>
      </c>
      <c r="BM10" s="154">
        <f>IFERROR(IF(OR(IFERROR(VLOOKUP(BN10,$E$3:$E$105,1,FALSE),"0")=BN10,IFERROR(VLOOKUP(BN10,$R$3:$R$105,1,FALSE),"0")=BN10),BO10,IF(OR(VLOOKUP(BN10,Расчет!A:E,5,FALSE)="2PS",VLOOKUP(BN10,Расчет!A:E,5,FALSE)="2QL"),IF(VLOOKUP(BN10,Расчет!A:B,2,FALSE)="831W",BN10-$BS$7+$AD$17,BN10-$BS$7+$AD$12),BN10-$BS$7)),"-")</f>
        <v>17</v>
      </c>
      <c r="BN10" s="154">
        <f>IF(OR(Расчет!C7="A0",Расчет!C7="P9",Расчет!B7="722W"),"-",Расчет!A7)</f>
        <v>11087</v>
      </c>
      <c r="BO10" s="173">
        <f t="shared" si="14"/>
        <v>17</v>
      </c>
      <c r="BP10" s="172" t="str">
        <f>IF(BQ10="-","-",IFERROR(IF(OR(VLOOKUP(BN10,Расчет!$A$2:$E$582,5,FALSE)="2PS",VLOOKUP(BN10,Расчет!$A$2:$E$582,5,FALSE)="2QL"),IF(OR(VLOOKUP(BN10,Расчет!$A$2:$E$582,2,FALSE)="664W",VLOOKUP(BN10,Расчет!$A$2:$E$582,2,FALSE)="813W"),IF(BN10-$BS$7&gt;150,BN10-$BS$7-1000+$AD$12,BN10-$BS$7+$AD$12),IF(BN10-$BS$7&gt;150,BN10-$BS$7-1000+$AD$17,BN10-$BS$7+$AD$17)),IF(BN10-$BS$7&gt;150,BN10-$BS$7-1000,BN10-$BS$7)),"-"))</f>
        <v>-</v>
      </c>
      <c r="BQ10" s="173" t="str">
        <f t="shared" si="11"/>
        <v>-</v>
      </c>
      <c r="BR10" s="453"/>
      <c r="BS10" s="171"/>
      <c r="BT10" s="464" t="str">
        <f t="shared" si="12"/>
        <v>-</v>
      </c>
      <c r="BU10" s="464" t="str">
        <f t="shared" si="13"/>
        <v>-</v>
      </c>
      <c r="BW10" s="8"/>
      <c r="BX10" s="204">
        <f>COUNTIF($BY$4:BY10,"&lt;100")</f>
        <v>7</v>
      </c>
      <c r="BY10" s="213">
        <f t="shared" si="4"/>
        <v>0</v>
      </c>
      <c r="BZ10" s="216">
        <f t="shared" si="4"/>
        <v>0</v>
      </c>
      <c r="CA10" s="213">
        <f t="shared" si="5"/>
        <v>0</v>
      </c>
      <c r="CB10" s="209">
        <f t="shared" si="6"/>
        <v>0</v>
      </c>
      <c r="CC10" s="205">
        <f t="shared" si="15"/>
        <v>0</v>
      </c>
      <c r="CD10" s="205">
        <f t="shared" si="7"/>
        <v>21</v>
      </c>
      <c r="CE10" s="205">
        <f t="shared" si="16"/>
        <v>0</v>
      </c>
      <c r="CF10" s="10">
        <f t="shared" si="8"/>
        <v>94</v>
      </c>
      <c r="CG10" s="20" t="str">
        <f>IF(VLOOKUP(CF10,Расчет!I:R,10,FALSE)="",VLOOKUP(CF10,Расчет!I:R,9,FALSE),VLOOKUP(CF10,Расчет!I:R,10,FALSE))</f>
        <v>Standard</v>
      </c>
    </row>
    <row r="11" spans="1:85" ht="23.1" customHeight="1" thickBot="1">
      <c r="A11" s="40">
        <f>IF(AND(IFERROR(VLOOKUP(E11,Расчет!A:J,10,FALSE),"  ")&lt;&gt;"  ",IFERROR(LEFT(VLOOKUP(E11,Расчет!A:J,10,FALSE),1)," ")&lt;&gt;"H"),0,IFERROR(IF(F11="Camry",IF(OR(J11="2PS",J11="2QL"),IF(E11-AP11&gt;100,E11-AP11-1000+$AD$12,E11-AP11+$AD$12),IF(E11-AP11&gt;100,E11-AP11-1000,E11-AP11)),IF(J11="2PS",IF(E11-AP11&gt;100,E11-AP11-1000+$AD$17,E11-AP11+$AD$17),IF(E11-AP11&gt;100,E11-AP11-1000,E11-AP11))),"-"))</f>
        <v>6</v>
      </c>
      <c r="B11" s="46">
        <v>9</v>
      </c>
      <c r="C11" s="19">
        <f>IF(E11="","",COUNTA($E$3:E11))</f>
        <v>9</v>
      </c>
      <c r="D11" s="18">
        <f t="shared" si="0"/>
        <v>104</v>
      </c>
      <c r="E11" s="30">
        <v>11180</v>
      </c>
      <c r="F11" s="44" t="str">
        <f>IFERROR(IF(VLOOKUP(E11,Расчет!$A$2:$B$650,2,FALSE)="664W","Camry",IF(VLOOKUP(E11,Расчет!$A$2:$B$650,2,FALSE)="813W","Goshi","RAV4")),"")</f>
        <v>Camry</v>
      </c>
      <c r="G11" s="32" t="str">
        <f>IFERROR(IF(F11="Camry",VLOOKUP(E11,Расчет!$A$2:$Q$650,17,FALSE),VLOOKUP(E11,Расчет!$A$2:$R$650,18,FALSE)),"")</f>
        <v>Standard</v>
      </c>
      <c r="H11" s="32" t="str">
        <f>IFERROR(VLOOKUP(VLOOKUP(E11,Расчет!$A:$D,4,FALSE),$AT$6:$AV$15,3,FALSE),"")</f>
        <v/>
      </c>
      <c r="I11" s="31" t="str">
        <f>IFERROR(VLOOKUP(IFERROR(VLOOKUP(E11,Расчет!$A$2:$D$650,4,FALSE),0),$AT$3:$AU$15,2,FALSE),"")</f>
        <v>2,5 L</v>
      </c>
      <c r="J11" s="33" t="str">
        <f>IFERROR(VLOOKUP(E11,Расчет!$A$2:$E$650,5,FALSE),"")</f>
        <v>218</v>
      </c>
      <c r="K11" s="189">
        <v>0.73642361111111121</v>
      </c>
      <c r="L11" s="188">
        <f t="shared" si="9"/>
        <v>1.6319444444444775E-3</v>
      </c>
      <c r="M11" s="43"/>
      <c r="N11" s="40" t="str">
        <f>IF(AND(IFERROR(VLOOKUP(R11,Расчет!A:J,10,FALSE),"  ")&lt;&gt;"  ",IFERROR(LEFT(VLOOKUP(R11,Расчет!A:J,10,FALSE),1)," ")&lt;&gt;"H"),0,IFERROR(IF(S11="Camry",IF(OR(W11="2PS",W11="2QL"),IF(R11-AP114&gt;100,R11-AP114-1000+$AD$12,R11-AP114+$AD$12),IF(R11-AP114&gt;100,R11-AP114-1000,R11-AP114)),IF(W11="2PS",IF(R11-AP114&gt;100,R11-AP114-1000+$AD$17,R11-AP114+$AD$17),IF(R11-AP114&gt;100,R11-AP114-1000,R11-AP114))),"-"))</f>
        <v>-</v>
      </c>
      <c r="O11" s="46">
        <v>112</v>
      </c>
      <c r="P11" s="19" t="str">
        <f>IF(R11="","",COUNTA($R$3:R11)+$C$105)</f>
        <v/>
      </c>
      <c r="Q11" s="18" t="str">
        <f t="shared" si="1"/>
        <v/>
      </c>
      <c r="R11" s="30"/>
      <c r="S11" s="45" t="str">
        <f>IFERROR(IF(VLOOKUP(R11,Расчет!$A$2:$B$650,2,FALSE)="664W","Camry",IF(VLOOKUP(R11,Расчет!$A$2:$B$650,2,FALSE)="813W","Goshi","RAV4")),"")</f>
        <v/>
      </c>
      <c r="T11" s="32" t="str">
        <f>IFERROR(IF(S11="Camry",VLOOKUP(R11,Расчет!$A$2:$Q$650,17,FALSE),VLOOKUP(R11,Расчет!$A$2:$R$650,18,FALSE)),"")</f>
        <v/>
      </c>
      <c r="U11" s="32" t="str">
        <f>IFERROR(VLOOKUP(VLOOKUP(R11,Расчет!$A:$D,4,FALSE),$AT$6:$AV$15,3,FALSE),"")</f>
        <v/>
      </c>
      <c r="V11" s="31" t="str">
        <f>IFERROR(VLOOKUP(IFERROR(VLOOKUP(R11,Расчет!$A$2:$D$650,4,FALSE),0),$AT$3:$AU$15,2,FALSE),"")</f>
        <v/>
      </c>
      <c r="W11" s="33" t="str">
        <f>IFERROR(VLOOKUP(R11,Расчет!$A$2:$E$650,5,FALSE),"")</f>
        <v/>
      </c>
      <c r="X11" s="189"/>
      <c r="Y11" s="191">
        <f t="shared" si="10"/>
        <v>0</v>
      </c>
      <c r="Z11" s="177" t="str">
        <f>IFERROR(VLOOKUP(AA11,Расчет!$BS:$BT,2,FALSE),"")</f>
        <v/>
      </c>
      <c r="AA11" s="156" t="str">
        <f t="shared" si="17"/>
        <v/>
      </c>
      <c r="AB11" s="402" t="str">
        <f>IFERROR(VLOOKUP(AC11,Расчет!$BS:$BT,2,FALSE),"")</f>
        <v/>
      </c>
      <c r="AC11" s="156"/>
      <c r="AD11" s="650"/>
      <c r="AE11" s="89">
        <v>9</v>
      </c>
      <c r="AF11" s="44" t="str">
        <f>IF(VLOOKUP(AE11,Расчет!$AH$2:$AN$201,5,FALSE)="8","C",IF(VLOOKUP(AE11,Расчет!$AH$2:$AN$201,5,FALSE)="G","G","R"))</f>
        <v>C</v>
      </c>
      <c r="AG11" s="73" t="str">
        <f t="shared" si="2"/>
        <v>C</v>
      </c>
      <c r="AH11" s="87">
        <f>IF(AG11="","",COUNTIF($AG$2:AG11,"C")-COUNTIF($AF$2:AF11,"C")+$AH$1)</f>
        <v>0</v>
      </c>
      <c r="AI11" s="87">
        <f>IF(AG11="","",COUNTIF($AG$2:AG11,"R")-COUNTIF($AF$2:AF11,"R")+$AI$1)</f>
        <v>0</v>
      </c>
      <c r="AJ11" s="89">
        <v>112</v>
      </c>
      <c r="AK11" s="44" t="str">
        <f>IF(VLOOKUP(AJ11,Расчет!$AH$2:$AN$211,5,FALSE)="8","C",IF(VLOOKUP(AJ11,Расчет!$AH$2:$AN$211,5,FALSE)="G","G","R"))</f>
        <v>R</v>
      </c>
      <c r="AL11" s="74" t="str">
        <f t="shared" si="3"/>
        <v/>
      </c>
      <c r="AM11" s="118" t="str">
        <f>IF(AL11="","",(COUNTIF($AG$2:$AG$105,"C")+COUNTIF($AL$2:$AL11,"C"))-(COUNTIF($AF$2:$AF$105,"C")+COUNTIF($AK$2:$AK11,"C"))+$AH$1)</f>
        <v/>
      </c>
      <c r="AN11" s="119" t="str">
        <f>IF(AL11="","",(COUNTIF($AG$2:$AG$105,"R")+COUNTIF($AL$2:$AL11,"R"))-(COUNTIF($AF$2:$AF$105,"R")+COUNTIF($AK$2:$AK11,"R"))+$AI$1)</f>
        <v/>
      </c>
      <c r="AO11" s="22">
        <f>IF(E11="","",COUNTA($E$3:E11)+$Z$1)</f>
        <v>104</v>
      </c>
      <c r="AP11" s="88">
        <f>IF(AO11="","",IF(AO11+Расчет!$Y$57+$BD$2-Расчет!$X$57&gt;200,AO11+Расчет!$Y$57+$BD$2-1000,AO11+Расчет!$Y$57+$BD$2))</f>
        <v>11174</v>
      </c>
      <c r="AQ11" s="91" t="s">
        <v>150</v>
      </c>
      <c r="AR11" s="92"/>
      <c r="AS11" s="92"/>
      <c r="AT11" s="231" t="s">
        <v>905</v>
      </c>
      <c r="AU11" s="230" t="s">
        <v>11</v>
      </c>
      <c r="AV11" s="438" t="s">
        <v>919</v>
      </c>
      <c r="AW11" s="48"/>
      <c r="AX11" s="617"/>
      <c r="AY11" s="618"/>
      <c r="AZ11" s="618"/>
      <c r="BA11" s="618"/>
      <c r="BB11" s="618"/>
      <c r="BC11" s="48"/>
      <c r="BD11" s="69" t="s">
        <v>10</v>
      </c>
      <c r="BE11" s="59">
        <f t="shared" si="21"/>
        <v>2</v>
      </c>
      <c r="BF11" s="39">
        <f t="shared" si="22"/>
        <v>2</v>
      </c>
      <c r="BG11" s="141">
        <f t="shared" si="18"/>
        <v>4</v>
      </c>
      <c r="BH11" s="142">
        <f t="shared" si="19"/>
        <v>6.7796610169491525E-2</v>
      </c>
      <c r="BI11" s="143">
        <f>COUNTIF(Расчет!$AY$2:$AY$500,BD11)</f>
        <v>12</v>
      </c>
      <c r="BJ11" s="142">
        <f t="shared" si="20"/>
        <v>6.9364161849710976E-2</v>
      </c>
      <c r="BK11" s="180">
        <f t="shared" si="23"/>
        <v>-1.5675516802194506E-3</v>
      </c>
      <c r="BL11" s="172">
        <f>COUNTIF($BM$5:BM11,"&lt;-115")</f>
        <v>0</v>
      </c>
      <c r="BM11" s="154">
        <f>IFERROR(IF(OR(IFERROR(VLOOKUP(BN11,$E$3:$E$105,1,FALSE),"0")=BN11,IFERROR(VLOOKUP(BN11,$R$3:$R$105,1,FALSE),"0")=BN11),BO11,IF(OR(VLOOKUP(BN11,Расчет!A:E,5,FALSE)="2PS",VLOOKUP(BN11,Расчет!A:E,5,FALSE)="2QL"),IF(VLOOKUP(BN11,Расчет!A:B,2,FALSE)="831W",BN11-$BS$7+$AD$17,BN11-$BS$7+$AD$12),BN11-$BS$7)),"-")</f>
        <v>-76</v>
      </c>
      <c r="BN11" s="154">
        <f>IF(OR(Расчет!C8="A0",Расчет!C8="P9",Расчет!B8="722W"),"-",Расчет!A8)</f>
        <v>11090</v>
      </c>
      <c r="BO11" s="173">
        <f t="shared" si="14"/>
        <v>-76</v>
      </c>
      <c r="BP11" s="172" t="str">
        <f>IF(BQ11="-","-",IFERROR(IF(OR(VLOOKUP(BN11,Расчет!$A$2:$E$582,5,FALSE)="2PS",VLOOKUP(BN11,Расчет!$A$2:$E$582,5,FALSE)="2QL"),IF(OR(VLOOKUP(BN11,Расчет!$A$2:$E$582,2,FALSE)="664W",VLOOKUP(BN11,Расчет!$A$2:$E$582,2,FALSE)="813W"),IF(BN11-$BS$7&gt;150,BN11-$BS$7-1000+$AD$12,BN11-$BS$7+$AD$12),IF(BN11-$BS$7&gt;150,BN11-$BS$7-1000+$AD$17,BN11-$BS$7+$AD$17)),IF(BN11-$BS$7&gt;150,BN11-$BS$7-1000,BN11-$BS$7)),"-"))</f>
        <v>-</v>
      </c>
      <c r="BQ11" s="173" t="str">
        <f t="shared" si="11"/>
        <v>-</v>
      </c>
      <c r="BR11" s="453"/>
      <c r="BS11" s="171"/>
      <c r="BT11" s="464" t="str">
        <f t="shared" si="12"/>
        <v>-</v>
      </c>
      <c r="BU11" s="464" t="str">
        <f t="shared" si="13"/>
        <v>-</v>
      </c>
      <c r="BV11"/>
      <c r="BX11" s="204">
        <f>COUNTIF($BY$4:BY11,"&lt;100")</f>
        <v>8</v>
      </c>
      <c r="BY11" s="213">
        <f t="shared" si="4"/>
        <v>0</v>
      </c>
      <c r="BZ11" s="216">
        <f t="shared" si="4"/>
        <v>0</v>
      </c>
      <c r="CA11" s="213">
        <f t="shared" si="5"/>
        <v>0</v>
      </c>
      <c r="CB11" s="209">
        <f t="shared" si="6"/>
        <v>0</v>
      </c>
      <c r="CC11" s="205">
        <f t="shared" si="15"/>
        <v>0</v>
      </c>
      <c r="CD11" s="205">
        <f t="shared" si="7"/>
        <v>-18</v>
      </c>
      <c r="CE11" s="205">
        <f t="shared" si="16"/>
        <v>0</v>
      </c>
      <c r="CF11" s="348">
        <f>Расчет!AG10</f>
        <v>95</v>
      </c>
      <c r="CG11" s="20" t="str">
        <f>IF(VLOOKUP(CF11,Расчет!I:R,10,FALSE)="",VLOOKUP(CF11,Расчет!I:R,9,FALSE),VLOOKUP(CF11,Расчет!I:R,10,FALSE))</f>
        <v>Auto</v>
      </c>
    </row>
    <row r="12" spans="1:85" ht="23.1" customHeight="1" thickBot="1">
      <c r="A12" s="40">
        <f>IF(AND(IFERROR(VLOOKUP(E12,Расчет!A:J,10,FALSE),"  ")&lt;&gt;"  ",IFERROR(LEFT(VLOOKUP(E12,Расчет!A:J,10,FALSE),1)," ")&lt;&gt;"H"),0,IFERROR(IF(F12="Camry",IF(OR(J12="2PS",J12="2QL"),IF(E12-AP12&gt;100,E12-AP12-1000+$AD$12,E12-AP12+$AD$12),IF(E12-AP12&gt;100,E12-AP12-1000,E12-AP12)),IF(J12="2PS",IF(E12-AP12&gt;100,E12-AP12-1000+$AD$17,E12-AP12+$AD$17),IF(E12-AP12&gt;100,E12-AP12-1000,E12-AP12))),"-"))</f>
        <v>16</v>
      </c>
      <c r="B12" s="46">
        <v>10</v>
      </c>
      <c r="C12" s="19">
        <f>IF(E12="","",COUNTA($E$3:E12))</f>
        <v>10</v>
      </c>
      <c r="D12" s="18">
        <f t="shared" si="0"/>
        <v>105</v>
      </c>
      <c r="E12" s="30">
        <v>11191</v>
      </c>
      <c r="F12" s="44" t="str">
        <f>IFERROR(IF(VLOOKUP(E12,Расчет!$A$2:$B$650,2,FALSE)="664W","Camry",IF(VLOOKUP(E12,Расчет!$A$2:$B$650,2,FALSE)="813W","Goshi","RAV4")),"")</f>
        <v>RAV4</v>
      </c>
      <c r="G12" s="32" t="str">
        <f>IFERROR(IF(F12="Camry",VLOOKUP(E12,Расчет!$A$2:$Q$650,17,FALSE),VLOOKUP(E12,Расчет!$A$2:$R$650,18,FALSE)),"")</f>
        <v>CVT</v>
      </c>
      <c r="H12" s="32" t="str">
        <f>IFERROR(VLOOKUP(VLOOKUP(E12,Расчет!$A:$D,4,FALSE),$AT$6:$AV$15,3,FALSE),"")</f>
        <v>4WD</v>
      </c>
      <c r="I12" s="31" t="str">
        <f>IFERROR(VLOOKUP(IFERROR(VLOOKUP(E12,Расчет!$A$2:$D$650,4,FALSE),0),$AT$3:$AU$15,2,FALSE),"")</f>
        <v>2,0 L</v>
      </c>
      <c r="J12" s="33" t="str">
        <f>IFERROR(VLOOKUP(E12,Расчет!$A$2:$E$650,5,FALSE),"")</f>
        <v>089</v>
      </c>
      <c r="K12" s="189">
        <v>0.73820601851851853</v>
      </c>
      <c r="L12" s="188">
        <f t="shared" si="9"/>
        <v>1.782407407407316E-3</v>
      </c>
      <c r="M12" s="43"/>
      <c r="N12" s="40" t="str">
        <f>IF(AND(IFERROR(VLOOKUP(R12,Расчет!A:J,10,FALSE),"  ")&lt;&gt;"  ",IFERROR(LEFT(VLOOKUP(R12,Расчет!A:J,10,FALSE),1)," ")&lt;&gt;"H"),0,IFERROR(IF(S12="Camry",IF(OR(W12="2PS",W12="2QL"),IF(R12-AP115&gt;100,R12-AP115-1000+$AD$12,R12-AP115+$AD$12),IF(R12-AP115&gt;100,R12-AP115-1000,R12-AP115)),IF(W12="2PS",IF(R12-AP115&gt;100,R12-AP115-1000+$AD$17,R12-AP115+$AD$17),IF(R12-AP115&gt;100,R12-AP115-1000,R12-AP115))),"-"))</f>
        <v>-</v>
      </c>
      <c r="O12" s="46">
        <v>113</v>
      </c>
      <c r="P12" s="19" t="str">
        <f>IF(R12="","",COUNTA($R$3:R12)+$C$105)</f>
        <v/>
      </c>
      <c r="Q12" s="18" t="str">
        <f t="shared" si="1"/>
        <v/>
      </c>
      <c r="R12" s="30"/>
      <c r="S12" s="45" t="str">
        <f>IFERROR(IF(VLOOKUP(R12,Расчет!$A$2:$B$650,2,FALSE)="664W","Camry",IF(VLOOKUP(R12,Расчет!$A$2:$B$650,2,FALSE)="813W","Goshi","RAV4")),"")</f>
        <v/>
      </c>
      <c r="T12" s="32" t="str">
        <f>IFERROR(IF(S12="Camry",VLOOKUP(R12,Расчет!$A$2:$Q$650,17,FALSE),VLOOKUP(R12,Расчет!$A$2:$R$650,18,FALSE)),"")</f>
        <v/>
      </c>
      <c r="U12" s="32" t="str">
        <f>IFERROR(VLOOKUP(VLOOKUP(R12,Расчет!$A:$D,4,FALSE),$AT$6:$AV$15,3,FALSE),"")</f>
        <v/>
      </c>
      <c r="V12" s="31" t="str">
        <f>IFERROR(VLOOKUP(IFERROR(VLOOKUP(R12,Расчет!$A$2:$D$650,4,FALSE),0),$AT$3:$AU$15,2,FALSE),"")</f>
        <v/>
      </c>
      <c r="W12" s="33" t="str">
        <f>IFERROR(VLOOKUP(R12,Расчет!$A$2:$E$650,5,FALSE),"")</f>
        <v/>
      </c>
      <c r="X12" s="189"/>
      <c r="Y12" s="191">
        <f t="shared" si="10"/>
        <v>0</v>
      </c>
      <c r="Z12" s="177" t="str">
        <f>IFERROR(VLOOKUP(AA12,Расчет!$BS:$BT,2,FALSE),"")</f>
        <v/>
      </c>
      <c r="AA12" s="156" t="str">
        <f t="shared" si="17"/>
        <v/>
      </c>
      <c r="AB12" s="402" t="str">
        <f>IFERROR(VLOOKUP(AC12,Расчет!$BS:$BT,2,FALSE),"")</f>
        <v/>
      </c>
      <c r="AC12" s="156"/>
      <c r="AD12" s="418">
        <v>111</v>
      </c>
      <c r="AE12" s="89">
        <v>10</v>
      </c>
      <c r="AF12" s="44" t="str">
        <f>IF(VLOOKUP(AE12,Расчет!$AH$2:$AN$201,5,FALSE)="8","C",IF(VLOOKUP(AE12,Расчет!$AH$2:$AN$201,5,FALSE)="G","G","R"))</f>
        <v>R</v>
      </c>
      <c r="AG12" s="73" t="str">
        <f t="shared" si="2"/>
        <v>R</v>
      </c>
      <c r="AH12" s="87">
        <f>IF(AG12="","",COUNTIF($AG$2:AG12,"C")-COUNTIF($AF$2:AF12,"C")+$AH$1)</f>
        <v>0</v>
      </c>
      <c r="AI12" s="87">
        <f>IF(AG12="","",COUNTIF($AG$2:AG12,"R")-COUNTIF($AF$2:AF12,"R")+$AI$1)</f>
        <v>0</v>
      </c>
      <c r="AJ12" s="89">
        <v>113</v>
      </c>
      <c r="AK12" s="44" t="str">
        <f>IF(VLOOKUP(AJ12,Расчет!$AH$2:$AN$211,5,FALSE)="8","C",IF(VLOOKUP(AJ12,Расчет!$AH$2:$AN$211,5,FALSE)="G","G","R"))</f>
        <v>R</v>
      </c>
      <c r="AL12" s="74" t="str">
        <f t="shared" si="3"/>
        <v/>
      </c>
      <c r="AM12" s="118" t="str">
        <f>IF(AL12="","",(COUNTIF($AG$2:$AG$105,"C")+COUNTIF($AL$2:$AL12,"C"))-(COUNTIF($AF$2:$AF$105,"C")+COUNTIF($AK$2:$AK12,"C"))+$AH$1)</f>
        <v/>
      </c>
      <c r="AN12" s="119" t="str">
        <f>IF(AL12="","",(COUNTIF($AG$2:$AG$105,"R")+COUNTIF($AL$2:$AL12,"R"))-(COUNTIF($AF$2:$AF$105,"R")+COUNTIF($AK$2:$AK12,"R"))+$AI$1)</f>
        <v/>
      </c>
      <c r="AO12" s="22">
        <f>IF(E12="","",COUNTA($E$3:E12)+$Z$1)</f>
        <v>105</v>
      </c>
      <c r="AP12" s="88">
        <f>IF(AO12="","",IF(AO12+Расчет!$Y$57+$BD$2-Расчет!$X$57&gt;200,AO12+Расчет!$Y$57+$BD$2-1000,AO12+Расчет!$Y$57+$BD$2))</f>
        <v>11175</v>
      </c>
      <c r="AQ12" s="8" t="s">
        <v>151</v>
      </c>
      <c r="AT12" s="231" t="s">
        <v>914</v>
      </c>
      <c r="AU12" s="230" t="s">
        <v>11</v>
      </c>
      <c r="AV12" s="438" t="s">
        <v>918</v>
      </c>
      <c r="AW12" s="48"/>
      <c r="AX12" s="47"/>
      <c r="AY12" s="669" t="s">
        <v>62</v>
      </c>
      <c r="AZ12" s="670"/>
      <c r="BA12" s="63">
        <f>COUNTIF(G2:G105,"Auto")+COUNTIF(T2:T105,"Auto")</f>
        <v>13</v>
      </c>
      <c r="BB12" s="48"/>
      <c r="BC12" s="48"/>
      <c r="BD12" s="239">
        <v>221</v>
      </c>
      <c r="BE12" s="59">
        <f t="shared" si="21"/>
        <v>0</v>
      </c>
      <c r="BF12" s="39">
        <f t="shared" si="22"/>
        <v>0</v>
      </c>
      <c r="BG12" s="141">
        <f t="shared" si="18"/>
        <v>0</v>
      </c>
      <c r="BH12" s="142">
        <f t="shared" si="19"/>
        <v>0</v>
      </c>
      <c r="BI12" s="143">
        <f>COUNTIF(Расчет!$AY$2:$AY$500,BD12)</f>
        <v>2</v>
      </c>
      <c r="BJ12" s="142">
        <f t="shared" si="20"/>
        <v>1.1560693641618497E-2</v>
      </c>
      <c r="BK12" s="180">
        <f t="shared" si="23"/>
        <v>-1.1560693641618497E-2</v>
      </c>
      <c r="BL12" s="172">
        <f>COUNTIF($BM$5:BM12,"&lt;-115")</f>
        <v>0</v>
      </c>
      <c r="BM12" s="154">
        <f>IFERROR(IF(OR(IFERROR(VLOOKUP(BN12,$E$3:$E$105,1,FALSE),"0")=BN12,IFERROR(VLOOKUP(BN12,$R$3:$R$105,1,FALSE),"0")=BN12),BO12,IF(OR(VLOOKUP(BN12,Расчет!A:E,5,FALSE)="2PS",VLOOKUP(BN12,Расчет!A:E,5,FALSE)="2QL"),IF(VLOOKUP(BN12,Расчет!A:B,2,FALSE)="831W",BN12-$BS$7+$AD$17,BN12-$BS$7+$AD$12),BN12-$BS$7)),"-")</f>
        <v>18</v>
      </c>
      <c r="BN12" s="154">
        <f>IF(OR(Расчет!C9="A0",Расчет!C9="P9",Расчет!B9="722W"),"-",Расчет!A9)</f>
        <v>11097</v>
      </c>
      <c r="BO12" s="173">
        <f t="shared" si="14"/>
        <v>18</v>
      </c>
      <c r="BP12" s="172" t="str">
        <f>IF(BQ12="-","-",IFERROR(IF(OR(VLOOKUP(BN12,Расчет!$A$2:$E$582,5,FALSE)="2PS",VLOOKUP(BN12,Расчет!$A$2:$E$582,5,FALSE)="2QL"),IF(OR(VLOOKUP(BN12,Расчет!$A$2:$E$582,2,FALSE)="664W",VLOOKUP(BN12,Расчет!$A$2:$E$582,2,FALSE)="813W"),IF(BN12-$BS$7&gt;150,BN12-$BS$7-1000+$AD$12,BN12-$BS$7+$AD$12),IF(BN12-$BS$7&gt;150,BN12-$BS$7-1000+$AD$17,BN12-$BS$7+$AD$17)),IF(BN12-$BS$7&gt;150,BN12-$BS$7-1000,BN12-$BS$7)),"-"))</f>
        <v>-</v>
      </c>
      <c r="BQ12" s="173" t="str">
        <f t="shared" si="11"/>
        <v>-</v>
      </c>
      <c r="BR12" s="453"/>
      <c r="BS12" s="171"/>
      <c r="BT12" s="464" t="str">
        <f t="shared" si="12"/>
        <v>-</v>
      </c>
      <c r="BU12" s="464" t="str">
        <f t="shared" si="13"/>
        <v>-</v>
      </c>
      <c r="BV12"/>
      <c r="BX12" s="204">
        <f>COUNTIF($BY$4:BY12,"&lt;100")</f>
        <v>9</v>
      </c>
      <c r="BY12" s="213">
        <f t="shared" si="4"/>
        <v>0</v>
      </c>
      <c r="BZ12" s="216">
        <f t="shared" si="4"/>
        <v>0</v>
      </c>
      <c r="CA12" s="213">
        <f t="shared" si="5"/>
        <v>0</v>
      </c>
      <c r="CB12" s="209">
        <f t="shared" si="6"/>
        <v>0</v>
      </c>
      <c r="CC12" s="205">
        <f t="shared" si="15"/>
        <v>0</v>
      </c>
      <c r="CD12" s="205">
        <f t="shared" si="7"/>
        <v>6</v>
      </c>
      <c r="CE12" s="205">
        <f t="shared" si="16"/>
        <v>0</v>
      </c>
      <c r="CG12" s="20" t="str">
        <f t="shared" ref="CG12:CG75" si="24">G3</f>
        <v>CVT</v>
      </c>
    </row>
    <row r="13" spans="1:85" ht="23.1" customHeight="1" thickBot="1">
      <c r="A13" s="40">
        <f>IF(AND(IFERROR(VLOOKUP(E13,Расчет!A:J,10,FALSE),"  ")&lt;&gt;"  ",IFERROR(LEFT(VLOOKUP(E13,Расчет!A:J,10,FALSE),1)," ")&lt;&gt;"H"),0,IFERROR(IF(F13="Camry",IF(OR(J13="2PS",J13="2QL"),IF(E13-AP13&gt;100,E13-AP13-1000+$AD$12,E13-AP13+$AD$12),IF(E13-AP13&gt;100,E13-AP13-1000,E13-AP13)),IF(J13="2PS",IF(E13-AP13&gt;100,E13-AP13-1000+$AD$17,E13-AP13+$AD$17),IF(E13-AP13&gt;100,E13-AP13-1000,E13-AP13))),"-"))</f>
        <v>0</v>
      </c>
      <c r="B13" s="46">
        <v>11</v>
      </c>
      <c r="C13" s="19">
        <f>IF(E13="","",COUNTA($E$3:E13))</f>
        <v>11</v>
      </c>
      <c r="D13" s="18">
        <f t="shared" si="0"/>
        <v>106</v>
      </c>
      <c r="E13" s="30">
        <v>11065</v>
      </c>
      <c r="F13" s="44" t="str">
        <f>IFERROR(IF(VLOOKUP(E13,Расчет!$A$2:$B$650,2,FALSE)="664W","Camry",IF(VLOOKUP(E13,Расчет!$A$2:$B$650,2,FALSE)="813W","Goshi","RAV4")),"")</f>
        <v>Camry</v>
      </c>
      <c r="G13" s="32" t="str">
        <f>IFERROR(IF(F13="Camry",VLOOKUP(E13,Расчет!$A$2:$Q$650,17,FALSE),VLOOKUP(E13,Расчет!$A$2:$R$650,18,FALSE)),"")</f>
        <v>Sport</v>
      </c>
      <c r="H13" s="32" t="str">
        <f>IFERROR(VLOOKUP(VLOOKUP(E13,Расчет!$A:$D,4,FALSE),$AT$6:$AV$15,3,FALSE),"")</f>
        <v/>
      </c>
      <c r="I13" s="31" t="str">
        <f>IFERROR(VLOOKUP(IFERROR(VLOOKUP(E13,Расчет!$A$2:$D$650,4,FALSE),0),$AT$3:$AU$15,2,FALSE),"")</f>
        <v>2,5 L</v>
      </c>
      <c r="J13" s="33" t="str">
        <f>IFERROR(VLOOKUP(E13,Расчет!$A$2:$E$650,5,FALSE),"")</f>
        <v>2PS</v>
      </c>
      <c r="K13" s="189">
        <v>0.73988425925925927</v>
      </c>
      <c r="L13" s="188">
        <f t="shared" si="9"/>
        <v>1.678240740740744E-3</v>
      </c>
      <c r="M13" s="43"/>
      <c r="N13" s="40" t="str">
        <f>IF(AND(IFERROR(VLOOKUP(R13,Расчет!A:J,10,FALSE),"  ")&lt;&gt;"  ",IFERROR(LEFT(VLOOKUP(R13,Расчет!A:J,10,FALSE),1)," ")&lt;&gt;"H"),0,IFERROR(IF(S13="Camry",IF(OR(W13="2PS",W13="2QL"),IF(R13-AP116&gt;100,R13-AP116-1000+$AD$12,R13-AP116+$AD$12),IF(R13-AP116&gt;100,R13-AP116-1000,R13-AP116)),IF(W13="2PS",IF(R13-AP116&gt;100,R13-AP116-1000+$AD$17,R13-AP116+$AD$17),IF(R13-AP116&gt;100,R13-AP116-1000,R13-AP116))),"-"))</f>
        <v>-</v>
      </c>
      <c r="O13" s="46">
        <v>114</v>
      </c>
      <c r="P13" s="19" t="str">
        <f>IF(R13="","",COUNTA($R$3:R13)+$C$105)</f>
        <v/>
      </c>
      <c r="Q13" s="18" t="str">
        <f t="shared" si="1"/>
        <v/>
      </c>
      <c r="R13" s="30"/>
      <c r="S13" s="45" t="str">
        <f>IFERROR(IF(VLOOKUP(R13,Расчет!$A$2:$B$650,2,FALSE)="664W","Camry",IF(VLOOKUP(R13,Расчет!$A$2:$B$650,2,FALSE)="813W","Goshi","RAV4")),"")</f>
        <v/>
      </c>
      <c r="T13" s="32" t="str">
        <f>IFERROR(IF(S13="Camry",VLOOKUP(R13,Расчет!$A$2:$Q$650,17,FALSE),VLOOKUP(R13,Расчет!$A$2:$R$650,18,FALSE)),"")</f>
        <v/>
      </c>
      <c r="U13" s="32" t="str">
        <f>IFERROR(VLOOKUP(VLOOKUP(R13,Расчет!$A:$D,4,FALSE),$AT$6:$AV$15,3,FALSE),"")</f>
        <v/>
      </c>
      <c r="V13" s="31" t="str">
        <f>IFERROR(VLOOKUP(IFERROR(VLOOKUP(R13,Расчет!$A$2:$D$650,4,FALSE),0),$AT$3:$AU$15,2,FALSE),"")</f>
        <v/>
      </c>
      <c r="W13" s="33" t="str">
        <f>IFERROR(VLOOKUP(R13,Расчет!$A$2:$E$650,5,FALSE),"")</f>
        <v/>
      </c>
      <c r="X13" s="189"/>
      <c r="Y13" s="191">
        <f t="shared" si="10"/>
        <v>0</v>
      </c>
      <c r="Z13" s="177" t="str">
        <f>IFERROR(VLOOKUP(AA13,Расчет!$BS:$BT,2,FALSE),"")</f>
        <v/>
      </c>
      <c r="AA13" s="156" t="str">
        <f t="shared" si="17"/>
        <v/>
      </c>
      <c r="AB13" s="402" t="str">
        <f>IFERROR(VLOOKUP(AC13,Расчет!$BS:$BT,2,FALSE),"")</f>
        <v/>
      </c>
      <c r="AC13" s="156"/>
      <c r="AD13" s="414"/>
      <c r="AE13" s="89">
        <v>11</v>
      </c>
      <c r="AF13" s="44" t="str">
        <f>IF(VLOOKUP(AE13,Расчет!$AH$2:$AN$201,5,FALSE)="8","C",IF(VLOOKUP(AE13,Расчет!$AH$2:$AN$201,5,FALSE)="G","G","R"))</f>
        <v>C</v>
      </c>
      <c r="AG13" s="73" t="str">
        <f t="shared" si="2"/>
        <v>C</v>
      </c>
      <c r="AH13" s="87">
        <f>IF(AG13="","",COUNTIF($AG$2:AG13,"C")-COUNTIF($AF$2:AF13,"C")+$AH$1)</f>
        <v>0</v>
      </c>
      <c r="AI13" s="87">
        <f>IF(AG13="","",COUNTIF($AG$2:AG13,"R")-COUNTIF($AF$2:AF13,"R")+$AI$1)</f>
        <v>0</v>
      </c>
      <c r="AJ13" s="89">
        <v>114</v>
      </c>
      <c r="AK13" s="44" t="str">
        <f>IF(VLOOKUP(AJ13,Расчет!$AH$2:$AN$211,5,FALSE)="8","C",IF(VLOOKUP(AJ13,Расчет!$AH$2:$AN$211,5,FALSE)="G","G","R"))</f>
        <v>C</v>
      </c>
      <c r="AL13" s="74" t="str">
        <f t="shared" si="3"/>
        <v/>
      </c>
      <c r="AM13" s="118" t="str">
        <f>IF(AL13="","",(COUNTIF($AG$2:$AG$105,"C")+COUNTIF($AL$2:$AL13,"C"))-(COUNTIF($AF$2:$AF$105,"C")+COUNTIF($AK$2:$AK13,"C"))+$AH$1)</f>
        <v/>
      </c>
      <c r="AN13" s="119" t="str">
        <f>IF(AL13="","",(COUNTIF($AG$2:$AG$105,"R")+COUNTIF($AL$2:$AL13,"R"))-(COUNTIF($AF$2:$AF$105,"R")+COUNTIF($AK$2:$AK13,"R"))+$AI$1)</f>
        <v/>
      </c>
      <c r="AO13" s="22">
        <f>IF(E13="","",COUNTA($E$3:E13)+$Z$1)</f>
        <v>106</v>
      </c>
      <c r="AP13" s="88">
        <f>IF(AO13="","",IF(AO13+Расчет!$Y$57+$BD$2-Расчет!$X$57&gt;200,AO13+Расчет!$Y$57+$BD$2-1000,AO13+Расчет!$Y$57+$BD$2))</f>
        <v>11176</v>
      </c>
      <c r="AT13" s="231" t="s">
        <v>915</v>
      </c>
      <c r="AU13" s="230" t="s">
        <v>11</v>
      </c>
      <c r="AV13" s="271" t="s">
        <v>935</v>
      </c>
      <c r="AW13" s="48"/>
      <c r="AX13" s="47"/>
      <c r="AY13" s="655" t="s">
        <v>63</v>
      </c>
      <c r="AZ13" s="656"/>
      <c r="BA13" s="64">
        <f>COUNTIF(G2:G105,"CVT")+COUNTIF(T2:T105,"CVT")</f>
        <v>18</v>
      </c>
      <c r="BB13" s="48"/>
      <c r="BC13" s="48"/>
      <c r="BD13" s="240" t="s">
        <v>79</v>
      </c>
      <c r="BE13" s="59">
        <f t="shared" si="21"/>
        <v>0</v>
      </c>
      <c r="BF13" s="39">
        <f t="shared" si="22"/>
        <v>3</v>
      </c>
      <c r="BG13" s="141">
        <f t="shared" si="18"/>
        <v>3</v>
      </c>
      <c r="BH13" s="142">
        <f t="shared" si="19"/>
        <v>5.0847457627118647E-2</v>
      </c>
      <c r="BI13" s="143">
        <f>COUNTIF(Расчет!$AY$2:$AY$500,BD13)</f>
        <v>9</v>
      </c>
      <c r="BJ13" s="142">
        <f t="shared" si="20"/>
        <v>5.2023121387283239E-2</v>
      </c>
      <c r="BK13" s="180">
        <f>BH13-BJ13</f>
        <v>-1.1756637601645914E-3</v>
      </c>
      <c r="BL13" s="172">
        <f>COUNTIF($BM$5:BM13,"&lt;-115")</f>
        <v>0</v>
      </c>
      <c r="BM13" s="154">
        <f>IFERROR(IF(OR(IFERROR(VLOOKUP(BN13,$E$3:$E$105,1,FALSE),"0")=BN13,IFERROR(VLOOKUP(BN13,$R$3:$R$105,1,FALSE),"0")=BN13),BO13,IF(OR(VLOOKUP(BN13,Расчет!A:E,5,FALSE)="2PS",VLOOKUP(BN13,Расчет!A:E,5,FALSE)="2QL"),IF(VLOOKUP(BN13,Расчет!A:B,2,FALSE)="831W",BN13-$BS$7+$AD$17,BN13-$BS$7+$AD$12),BN13-$BS$7)),"-")</f>
        <v>-16</v>
      </c>
      <c r="BN13" s="154">
        <f>IF(OR(Расчет!C10="A0",Расчет!C10="P9",Расчет!B10="722W"),"-",Расчет!A10)</f>
        <v>11108</v>
      </c>
      <c r="BO13" s="173">
        <f t="shared" si="14"/>
        <v>0</v>
      </c>
      <c r="BP13" s="172">
        <f>IF(BQ13="-","-",IFERROR(IF(OR(VLOOKUP(BN13,Расчет!$A$2:$E$582,5,FALSE)="2PS",VLOOKUP(BN13,Расчет!$A$2:$E$582,5,FALSE)="2QL"),IF(OR(VLOOKUP(BN13,Расчет!$A$2:$E$582,2,FALSE)="664W",VLOOKUP(BN13,Расчет!$A$2:$E$582,2,FALSE)="813W"),IF(BN13-$BS$7&gt;150,BN13-$BS$7-1000+$AD$12,BN13-$BS$7+$AD$12),IF(BN13-$BS$7&gt;150,BN13-$BS$7-1000+$AD$17,BN13-$BS$7+$AD$17)),IF(BN13-$BS$7&gt;150,BN13-$BS$7-1000,BN13-$BS$7)),"-"))</f>
        <v>-16</v>
      </c>
      <c r="BQ13" s="173">
        <f t="shared" si="11"/>
        <v>11108</v>
      </c>
      <c r="BR13" s="453"/>
      <c r="BS13" s="171"/>
      <c r="BT13" s="464" t="str">
        <f t="shared" si="12"/>
        <v>-</v>
      </c>
      <c r="BU13" s="464" t="str">
        <f t="shared" si="13"/>
        <v>-</v>
      </c>
      <c r="BX13" s="204">
        <f>COUNTIF($BY$4:BY13,"&lt;100")</f>
        <v>10</v>
      </c>
      <c r="BY13" s="213">
        <f t="shared" si="4"/>
        <v>0</v>
      </c>
      <c r="BZ13" s="216">
        <f t="shared" si="4"/>
        <v>0</v>
      </c>
      <c r="CA13" s="213">
        <f t="shared" si="5"/>
        <v>0</v>
      </c>
      <c r="CB13" s="209">
        <f t="shared" si="6"/>
        <v>0</v>
      </c>
      <c r="CC13" s="205">
        <f t="shared" si="15"/>
        <v>0</v>
      </c>
      <c r="CD13" s="205">
        <f t="shared" si="7"/>
        <v>16</v>
      </c>
      <c r="CE13" s="205">
        <f t="shared" si="16"/>
        <v>0</v>
      </c>
      <c r="CG13" s="20" t="str">
        <f t="shared" si="24"/>
        <v>Standard</v>
      </c>
    </row>
    <row r="14" spans="1:85" ht="23.1" customHeight="1">
      <c r="A14" s="40">
        <f>IF(AND(IFERROR(VLOOKUP(E14,Расчет!A:J,10,FALSE),"  ")&lt;&gt;"  ",IFERROR(LEFT(VLOOKUP(E14,Расчет!A:J,10,FALSE),1)," ")&lt;&gt;"H"),0,IFERROR(IF(F14="Camry",IF(OR(J14="2PS",J14="2QL"),IF(E14-AP14&gt;100,E14-AP14-1000+$AD$12,E14-AP14+$AD$12),IF(E14-AP14&gt;100,E14-AP14-1000,E14-AP14)),IF(J14="2PS",IF(E14-AP14&gt;100,E14-AP14-1000+$AD$17,E14-AP14+$AD$17),IF(E14-AP14&gt;100,E14-AP14-1000,E14-AP14))),"-"))</f>
        <v>20</v>
      </c>
      <c r="B14" s="46">
        <v>12</v>
      </c>
      <c r="C14" s="19">
        <f>IF(E14="","",COUNTA($E$3:E14))</f>
        <v>12</v>
      </c>
      <c r="D14" s="18">
        <f t="shared" si="0"/>
        <v>107</v>
      </c>
      <c r="E14" s="30">
        <v>11197</v>
      </c>
      <c r="F14" s="44" t="str">
        <f>IFERROR(IF(VLOOKUP(E14,Расчет!$A$2:$B$650,2,FALSE)="664W","Camry",IF(VLOOKUP(E14,Расчет!$A$2:$B$650,2,FALSE)="813W","Goshi","RAV4")),"")</f>
        <v>RAV4</v>
      </c>
      <c r="G14" s="32" t="str">
        <f>IFERROR(IF(F14="Camry",VLOOKUP(E14,Расчет!$A$2:$Q$650,17,FALSE),VLOOKUP(E14,Расчет!$A$2:$R$650,18,FALSE)),"")</f>
        <v>Auto</v>
      </c>
      <c r="H14" s="32" t="str">
        <f>IFERROR(VLOOKUP(VLOOKUP(E14,Расчет!$A:$D,4,FALSE),$AT$6:$AV$15,3,FALSE),"")</f>
        <v>4WD</v>
      </c>
      <c r="I14" s="31" t="str">
        <f>IFERROR(VLOOKUP(IFERROR(VLOOKUP(E14,Расчет!$A$2:$D$650,4,FALSE),0),$AT$3:$AU$15,2,FALSE),"")</f>
        <v>2,5 L</v>
      </c>
      <c r="J14" s="33" t="str">
        <f>IFERROR(VLOOKUP(E14,Расчет!$A$2:$E$650,5,FALSE),"")</f>
        <v>218</v>
      </c>
      <c r="K14" s="189">
        <v>0.74145833333333344</v>
      </c>
      <c r="L14" s="188">
        <f t="shared" si="9"/>
        <v>1.5740740740741721E-3</v>
      </c>
      <c r="M14" s="43"/>
      <c r="N14" s="40" t="str">
        <f>IF(AND(IFERROR(VLOOKUP(R14,Расчет!A:J,10,FALSE),"  ")&lt;&gt;"  ",IFERROR(LEFT(VLOOKUP(R14,Расчет!A:J,10,FALSE),1)," ")&lt;&gt;"H"),0,IFERROR(IF(S14="Camry",IF(OR(W14="2PS",W14="2QL"),IF(R14-AP117&gt;100,R14-AP117-1000+$AD$12,R14-AP117+$AD$12),IF(R14-AP117&gt;100,R14-AP117-1000,R14-AP117)),IF(W14="2PS",IF(R14-AP117&gt;100,R14-AP117-1000+$AD$17,R14-AP117+$AD$17),IF(R14-AP117&gt;100,R14-AP117-1000,R14-AP117))),"-"))</f>
        <v>-</v>
      </c>
      <c r="O14" s="46">
        <v>115</v>
      </c>
      <c r="P14" s="19" t="str">
        <f>IF(R14="","",COUNTA($R$3:R14)+$C$105)</f>
        <v/>
      </c>
      <c r="Q14" s="18" t="str">
        <f t="shared" si="1"/>
        <v/>
      </c>
      <c r="R14" s="30"/>
      <c r="S14" s="45" t="str">
        <f>IFERROR(IF(VLOOKUP(R14,Расчет!$A$2:$B$650,2,FALSE)="664W","Camry",IF(VLOOKUP(R14,Расчет!$A$2:$B$650,2,FALSE)="813W","Goshi","RAV4")),"")</f>
        <v/>
      </c>
      <c r="T14" s="32" t="str">
        <f>IFERROR(IF(S14="Camry",VLOOKUP(R14,Расчет!$A$2:$Q$650,17,FALSE),VLOOKUP(R14,Расчет!$A$2:$R$650,18,FALSE)),"")</f>
        <v/>
      </c>
      <c r="U14" s="32" t="str">
        <f>IFERROR(VLOOKUP(VLOOKUP(R14,Расчет!$A:$D,4,FALSE),$AT$6:$AV$15,3,FALSE),"")</f>
        <v/>
      </c>
      <c r="V14" s="31" t="str">
        <f>IFERROR(VLOOKUP(IFERROR(VLOOKUP(R14,Расчет!$A$2:$D$650,4,FALSE),0),$AT$3:$AU$15,2,FALSE),"")</f>
        <v/>
      </c>
      <c r="W14" s="33" t="str">
        <f>IFERROR(VLOOKUP(R14,Расчет!$A$2:$E$650,5,FALSE),"")</f>
        <v/>
      </c>
      <c r="X14" s="189"/>
      <c r="Y14" s="191">
        <f t="shared" si="10"/>
        <v>0</v>
      </c>
      <c r="Z14" s="177" t="str">
        <f>IFERROR(VLOOKUP(AA14,Расчет!$BS:$BT,2,FALSE),"")</f>
        <v/>
      </c>
      <c r="AA14" s="156" t="str">
        <f t="shared" si="17"/>
        <v/>
      </c>
      <c r="AB14" s="402" t="str">
        <f>IFERROR(VLOOKUP(AC14,Расчет!$BS:$BT,2,FALSE),"")</f>
        <v/>
      </c>
      <c r="AC14" s="156"/>
      <c r="AD14" s="648" t="s">
        <v>1152</v>
      </c>
      <c r="AE14" s="89">
        <v>12</v>
      </c>
      <c r="AF14" s="44" t="str">
        <f>IF(VLOOKUP(AE14,Расчет!$AH$2:$AN$201,5,FALSE)="8","C",IF(VLOOKUP(AE14,Расчет!$AH$2:$AN$201,5,FALSE)="G","G","R"))</f>
        <v>R</v>
      </c>
      <c r="AG14" s="73" t="str">
        <f t="shared" si="2"/>
        <v>R</v>
      </c>
      <c r="AH14" s="87">
        <f>IF(AG14="","",COUNTIF($AG$2:AG14,"C")-COUNTIF($AF$2:AF14,"C")+$AH$1)</f>
        <v>0</v>
      </c>
      <c r="AI14" s="87">
        <f>IF(AG14="","",COUNTIF($AG$2:AG14,"R")-COUNTIF($AF$2:AF14,"R")+$AI$1)</f>
        <v>0</v>
      </c>
      <c r="AJ14" s="89">
        <v>115</v>
      </c>
      <c r="AK14" s="44" t="str">
        <f>IF(VLOOKUP(AJ14,Расчет!$AH$2:$AN$211,5,FALSE)="8","C",IF(VLOOKUP(AJ14,Расчет!$AH$2:$AN$211,5,FALSE)="G","G","R"))</f>
        <v>R</v>
      </c>
      <c r="AL14" s="74" t="str">
        <f t="shared" si="3"/>
        <v/>
      </c>
      <c r="AM14" s="118" t="str">
        <f>IF(AL14="","",(COUNTIF($AG$2:$AG$105,"C")+COUNTIF($AL$2:$AL14,"C"))-(COUNTIF($AF$2:$AF$105,"C")+COUNTIF($AK$2:$AK14,"C"))+$AH$1)</f>
        <v/>
      </c>
      <c r="AN14" s="119" t="str">
        <f>IF(AL14="","",(COUNTIF($AG$2:$AG$105,"R")+COUNTIF($AL$2:$AL14,"R"))-(COUNTIF($AF$2:$AF$105,"R")+COUNTIF($AK$2:$AK14,"R"))+$AI$1)</f>
        <v/>
      </c>
      <c r="AO14" s="22">
        <f>IF(E14="","",COUNTA($E$3:E14)+$Z$1)</f>
        <v>107</v>
      </c>
      <c r="AP14" s="88">
        <f>IF(AO14="","",IF(AO14+Расчет!$Y$57+$BD$2-Расчет!$X$57&gt;200,AO14+Расчет!$Y$57+$BD$2-1000,AO14+Расчет!$Y$57+$BD$2))</f>
        <v>11177</v>
      </c>
      <c r="AT14" s="231" t="s">
        <v>916</v>
      </c>
      <c r="AU14" s="230" t="s">
        <v>11</v>
      </c>
      <c r="AV14" s="438" t="s">
        <v>918</v>
      </c>
      <c r="AW14" s="48"/>
      <c r="AX14" s="47"/>
      <c r="AY14" s="651" t="s">
        <v>64</v>
      </c>
      <c r="AZ14" s="652"/>
      <c r="BA14" s="64">
        <f>COUNTIF(H2:H105,"Special")+COUNTIF(U2:U105,"Special")</f>
        <v>0</v>
      </c>
      <c r="BB14" s="48"/>
      <c r="BC14" s="48"/>
      <c r="BD14" s="238" t="s">
        <v>156</v>
      </c>
      <c r="BE14" s="59">
        <f t="shared" si="21"/>
        <v>0</v>
      </c>
      <c r="BF14" s="39">
        <f t="shared" si="22"/>
        <v>0</v>
      </c>
      <c r="BG14" s="141">
        <f t="shared" si="18"/>
        <v>0</v>
      </c>
      <c r="BH14" s="142">
        <f t="shared" si="19"/>
        <v>0</v>
      </c>
      <c r="BI14" s="143">
        <f>COUNTIF(Расчет!$AY$2:$AY$500,BD14)</f>
        <v>1</v>
      </c>
      <c r="BJ14" s="142">
        <f t="shared" si="20"/>
        <v>5.7803468208092483E-3</v>
      </c>
      <c r="BK14" s="180">
        <f t="shared" si="23"/>
        <v>-5.7803468208092483E-3</v>
      </c>
      <c r="BL14" s="172">
        <f>COUNTIF($BM$5:BM14,"&lt;-115")</f>
        <v>0</v>
      </c>
      <c r="BM14" s="154">
        <f>IFERROR(IF(OR(IFERROR(VLOOKUP(BN14,$E$3:$E$105,1,FALSE),"0")=BN14,IFERROR(VLOOKUP(BN14,$R$3:$R$105,1,FALSE),"0")=BN14),BO14,IF(OR(VLOOKUP(BN14,Расчет!A:E,5,FALSE)="2PS",VLOOKUP(BN14,Расчет!A:E,5,FALSE)="2QL"),IF(VLOOKUP(BN14,Расчет!A:B,2,FALSE)="831W",BN14-$BS$7+$AD$17,BN14-$BS$7+$AD$12),BN14-$BS$7)),"-")</f>
        <v>18</v>
      </c>
      <c r="BN14" s="154">
        <f>IF(OR(Расчет!C11="A0",Расчет!C11="P9",Расчет!B11="722W"),"-",Расчет!A11)</f>
        <v>11118</v>
      </c>
      <c r="BO14" s="173">
        <f t="shared" si="14"/>
        <v>18</v>
      </c>
      <c r="BP14" s="172" t="str">
        <f>IF(BQ14="-","-",IFERROR(IF(OR(VLOOKUP(BN14,Расчет!$A$2:$E$582,5,FALSE)="2PS",VLOOKUP(BN14,Расчет!$A$2:$E$582,5,FALSE)="2QL"),IF(OR(VLOOKUP(BN14,Расчет!$A$2:$E$582,2,FALSE)="664W",VLOOKUP(BN14,Расчет!$A$2:$E$582,2,FALSE)="813W"),IF(BN14-$BS$7&gt;150,BN14-$BS$7-1000+$AD$12,BN14-$BS$7+$AD$12),IF(BN14-$BS$7&gt;150,BN14-$BS$7-1000+$AD$17,BN14-$BS$7+$AD$17)),IF(BN14-$BS$7&gt;150,BN14-$BS$7-1000,BN14-$BS$7)),"-"))</f>
        <v>-</v>
      </c>
      <c r="BQ14" s="173" t="str">
        <f t="shared" si="11"/>
        <v>-</v>
      </c>
      <c r="BR14" s="453"/>
      <c r="BS14" s="171"/>
      <c r="BT14" s="464" t="str">
        <f t="shared" si="12"/>
        <v>-</v>
      </c>
      <c r="BU14" s="464" t="str">
        <f t="shared" si="13"/>
        <v>-</v>
      </c>
      <c r="BX14" s="204">
        <f>COUNTIF($BY$4:BY14,"&lt;100")</f>
        <v>11</v>
      </c>
      <c r="BY14" s="213">
        <f t="shared" si="4"/>
        <v>0</v>
      </c>
      <c r="BZ14" s="216">
        <f t="shared" si="4"/>
        <v>0</v>
      </c>
      <c r="CA14" s="213">
        <f t="shared" si="5"/>
        <v>0</v>
      </c>
      <c r="CB14" s="209">
        <f t="shared" si="6"/>
        <v>0</v>
      </c>
      <c r="CC14" s="205">
        <f t="shared" si="15"/>
        <v>0</v>
      </c>
      <c r="CD14" s="205">
        <f t="shared" si="7"/>
        <v>0</v>
      </c>
      <c r="CE14" s="205">
        <f t="shared" si="16"/>
        <v>0</v>
      </c>
      <c r="CG14" s="20" t="str">
        <f t="shared" si="24"/>
        <v>Auto</v>
      </c>
    </row>
    <row r="15" spans="1:85" ht="23.1" customHeight="1">
      <c r="A15" s="40">
        <f>IF(AND(IFERROR(VLOOKUP(E15,Расчет!A:J,10,FALSE),"  ")&lt;&gt;"  ",IFERROR(LEFT(VLOOKUP(E15,Расчет!A:J,10,FALSE),1)," ")&lt;&gt;"H"),0,IFERROR(IF(F15="Camry",IF(OR(J15="2PS",J15="2QL"),IF(E15-AP15&gt;100,E15-AP15-1000+$AD$12,E15-AP15+$AD$12),IF(E15-AP15&gt;100,E15-AP15-1000,E15-AP15)),IF(J15="2PS",IF(E15-AP15&gt;100,E15-AP15-1000+$AD$17,E15-AP15+$AD$17),IF(E15-AP15&gt;100,E15-AP15-1000,E15-AP15))),"-"))</f>
        <v>5</v>
      </c>
      <c r="B15" s="46">
        <v>13</v>
      </c>
      <c r="C15" s="19">
        <f>IF(E15="","",COUNTA($E$3:E15))</f>
        <v>13</v>
      </c>
      <c r="D15" s="18">
        <f t="shared" si="0"/>
        <v>108</v>
      </c>
      <c r="E15" s="30">
        <v>11183</v>
      </c>
      <c r="F15" s="44" t="str">
        <f>IFERROR(IF(VLOOKUP(E15,Расчет!$A$2:$B$650,2,FALSE)="664W","Camry",IF(VLOOKUP(E15,Расчет!$A$2:$B$650,2,FALSE)="813W","Goshi","RAV4")),"")</f>
        <v>Camry</v>
      </c>
      <c r="G15" s="32" t="str">
        <f>IFERROR(IF(F15="Camry",VLOOKUP(E15,Расчет!$A$2:$Q$650,17,FALSE),VLOOKUP(E15,Расчет!$A$2:$R$650,18,FALSE)),"")</f>
        <v>Standard</v>
      </c>
      <c r="H15" s="32" t="str">
        <f>IFERROR(VLOOKUP(VLOOKUP(E15,Расчет!$A:$D,4,FALSE),$AT$6:$AV$15,3,FALSE),"")</f>
        <v/>
      </c>
      <c r="I15" s="31" t="str">
        <f>IFERROR(VLOOKUP(IFERROR(VLOOKUP(E15,Расчет!$A$2:$D$650,4,FALSE),0),$AT$3:$AU$15,2,FALSE),"")</f>
        <v>2,5 L</v>
      </c>
      <c r="J15" s="33" t="str">
        <f>IFERROR(VLOOKUP(E15,Расчет!$A$2:$E$650,5,FALSE),"")</f>
        <v>089</v>
      </c>
      <c r="K15" s="189">
        <v>0.74358796296296292</v>
      </c>
      <c r="L15" s="188">
        <f t="shared" si="9"/>
        <v>2.1296296296294814E-3</v>
      </c>
      <c r="M15" s="43"/>
      <c r="N15" s="40" t="str">
        <f>IF(AND(IFERROR(VLOOKUP(R15,Расчет!A:J,10,FALSE),"  ")&lt;&gt;"  ",IFERROR(LEFT(VLOOKUP(R15,Расчет!A:J,10,FALSE),1)," ")&lt;&gt;"H"),0,IFERROR(IF(S15="Camry",IF(OR(W15="2PS",W15="2QL"),IF(R15-AP118&gt;100,R15-AP118-1000+$AD$12,R15-AP118+$AD$12),IF(R15-AP118&gt;100,R15-AP118-1000,R15-AP118)),IF(W15="2PS",IF(R15-AP118&gt;100,R15-AP118-1000+$AD$17,R15-AP118+$AD$17),IF(R15-AP118&gt;100,R15-AP118-1000,R15-AP118))),"-"))</f>
        <v>-</v>
      </c>
      <c r="O15" s="46">
        <v>116</v>
      </c>
      <c r="P15" s="19" t="str">
        <f>IF(R15="","",COUNTA($R$3:R15)+$C$105)</f>
        <v/>
      </c>
      <c r="Q15" s="18" t="str">
        <f t="shared" si="1"/>
        <v/>
      </c>
      <c r="R15" s="30"/>
      <c r="S15" s="45" t="str">
        <f>IFERROR(IF(VLOOKUP(R15,Расчет!$A$2:$B$650,2,FALSE)="664W","Camry",IF(VLOOKUP(R15,Расчет!$A$2:$B$650,2,FALSE)="813W","Goshi","RAV4")),"")</f>
        <v/>
      </c>
      <c r="T15" s="32" t="str">
        <f>IFERROR(IF(S15="Camry",VLOOKUP(R15,Расчет!$A$2:$Q$650,17,FALSE),VLOOKUP(R15,Расчет!$A$2:$R$650,18,FALSE)),"")</f>
        <v/>
      </c>
      <c r="U15" s="32" t="str">
        <f>IFERROR(VLOOKUP(VLOOKUP(R15,Расчет!$A:$D,4,FALSE),$AT$6:$AV$15,3,FALSE),"")</f>
        <v/>
      </c>
      <c r="V15" s="31" t="str">
        <f>IFERROR(VLOOKUP(IFERROR(VLOOKUP(R15,Расчет!$A$2:$D$650,4,FALSE),0),$AT$3:$AU$15,2,FALSE),"")</f>
        <v/>
      </c>
      <c r="W15" s="33" t="str">
        <f>IFERROR(VLOOKUP(R15,Расчет!$A$2:$E$650,5,FALSE),"")</f>
        <v/>
      </c>
      <c r="X15" s="189"/>
      <c r="Y15" s="191">
        <f t="shared" si="10"/>
        <v>0</v>
      </c>
      <c r="Z15" s="177" t="str">
        <f>IFERROR(VLOOKUP(AA15,Расчет!$BS:$BT,2,FALSE),"")</f>
        <v/>
      </c>
      <c r="AA15" s="156" t="str">
        <f t="shared" si="17"/>
        <v/>
      </c>
      <c r="AB15" s="402" t="str">
        <f>IFERROR(VLOOKUP(AC15,Расчет!$BS:$BT,2,FALSE),"")</f>
        <v/>
      </c>
      <c r="AC15" s="156"/>
      <c r="AD15" s="649"/>
      <c r="AE15" s="89">
        <v>13</v>
      </c>
      <c r="AF15" s="44" t="str">
        <f>IF(VLOOKUP(AE15,Расчет!$AH$2:$AN$201,5,FALSE)="8","C",IF(VLOOKUP(AE15,Расчет!$AH$2:$AN$201,5,FALSE)="G","G","R"))</f>
        <v>C</v>
      </c>
      <c r="AG15" s="73" t="str">
        <f t="shared" si="2"/>
        <v>C</v>
      </c>
      <c r="AH15" s="87">
        <f>IF(AG15="","",COUNTIF($AG$2:AG15,"C")-COUNTIF($AF$2:AF15,"C")+$AH$1)</f>
        <v>0</v>
      </c>
      <c r="AI15" s="87">
        <f>IF(AG15="","",COUNTIF($AG$2:AG15,"R")-COUNTIF($AF$2:AF15,"R")+$AI$1)</f>
        <v>0</v>
      </c>
      <c r="AJ15" s="89">
        <v>116</v>
      </c>
      <c r="AK15" s="44" t="str">
        <f>IF(VLOOKUP(AJ15,Расчет!$AH$2:$AN$211,5,FALSE)="8","C",IF(VLOOKUP(AJ15,Расчет!$AH$2:$AN$211,5,FALSE)="G","G","R"))</f>
        <v>C</v>
      </c>
      <c r="AL15" s="74" t="str">
        <f t="shared" si="3"/>
        <v/>
      </c>
      <c r="AM15" s="118" t="str">
        <f>IF(AL15="","",(COUNTIF($AG$2:$AG$105,"C")+COUNTIF($AL$2:$AL15,"C"))-(COUNTIF($AF$2:$AF$105,"C")+COUNTIF($AK$2:$AK15,"C"))+$AH$1)</f>
        <v/>
      </c>
      <c r="AN15" s="119" t="str">
        <f>IF(AL15="","",(COUNTIF($AG$2:$AG$105,"R")+COUNTIF($AL$2:$AL15,"R"))-(COUNTIF($AF$2:$AF$105,"R")+COUNTIF($AK$2:$AK15,"R"))+$AI$1)</f>
        <v/>
      </c>
      <c r="AO15" s="22">
        <f>IF(E15="","",COUNTA($E$3:E15)+$Z$1)</f>
        <v>108</v>
      </c>
      <c r="AP15" s="88">
        <f>IF(AO15="","",IF(AO15+Расчет!$Y$57+$BD$2-Расчет!$X$57&gt;200,AO15+Расчет!$Y$57+$BD$2-1000,AO15+Расчет!$Y$57+$BD$2))</f>
        <v>11178</v>
      </c>
      <c r="AQ15" s="88"/>
      <c r="AS15" s="8" t="s">
        <v>51</v>
      </c>
      <c r="AT15" s="231" t="s">
        <v>917</v>
      </c>
      <c r="AU15" s="230" t="s">
        <v>11</v>
      </c>
      <c r="AV15" s="438" t="s">
        <v>918</v>
      </c>
      <c r="AW15" s="48"/>
      <c r="AX15" s="47"/>
      <c r="AY15" s="653" t="s">
        <v>67</v>
      </c>
      <c r="AZ15" s="654"/>
      <c r="BA15" s="64">
        <f>COUNTIF(G2:G105,"Diesel")+COUNTIF(T2:T105,"Diesel")</f>
        <v>0</v>
      </c>
      <c r="BB15" s="48"/>
      <c r="BC15" s="48"/>
      <c r="BD15" s="443" t="s">
        <v>1172</v>
      </c>
      <c r="BE15" s="59">
        <f t="shared" si="21"/>
        <v>0</v>
      </c>
      <c r="BF15" s="39">
        <f t="shared" si="22"/>
        <v>0</v>
      </c>
      <c r="BG15" s="141">
        <f>BE15+BF15</f>
        <v>0</v>
      </c>
      <c r="BH15" s="142">
        <f t="shared" si="19"/>
        <v>0</v>
      </c>
      <c r="BI15" s="143">
        <f>COUNTIF(Расчет!$AY$2:$AY$500,BD15)</f>
        <v>0</v>
      </c>
      <c r="BJ15" s="142">
        <f t="shared" si="20"/>
        <v>0</v>
      </c>
      <c r="BK15" s="180">
        <f t="shared" si="23"/>
        <v>0</v>
      </c>
      <c r="BL15" s="172">
        <f>COUNTIF($BM$5:BM15,"&lt;-115")</f>
        <v>0</v>
      </c>
      <c r="BM15" s="154">
        <f>IFERROR(IF(OR(IFERROR(VLOOKUP(BN15,$E$3:$E$105,1,FALSE),"0")=BN15,IFERROR(VLOOKUP(BN15,$R$3:$R$105,1,FALSE),"0")=BN15),BO15,IF(OR(VLOOKUP(BN15,Расчет!A:E,5,FALSE)="2PS",VLOOKUP(BN15,Расчет!A:E,5,FALSE)="2QL"),IF(VLOOKUP(BN15,Расчет!A:B,2,FALSE)="831W",BN15-$BS$7+$AD$17,BN15-$BS$7+$AD$12),BN15-$BS$7)),"-")</f>
        <v>-75</v>
      </c>
      <c r="BN15" s="154">
        <f>IF(OR(Расчет!C12="A0",Расчет!C12="P9",Расчет!B12="722W"),"-",Расчет!A12)</f>
        <v>11120</v>
      </c>
      <c r="BO15" s="173">
        <f t="shared" si="14"/>
        <v>-75</v>
      </c>
      <c r="BP15" s="172" t="str">
        <f>IF(BQ15="-","-",IFERROR(IF(OR(VLOOKUP(BN15,Расчет!$A$2:$E$582,5,FALSE)="2PS",VLOOKUP(BN15,Расчет!$A$2:$E$582,5,FALSE)="2QL"),IF(OR(VLOOKUP(BN15,Расчет!$A$2:$E$582,2,FALSE)="664W",VLOOKUP(BN15,Расчет!$A$2:$E$582,2,FALSE)="813W"),IF(BN15-$BS$7&gt;150,BN15-$BS$7-1000+$AD$12,BN15-$BS$7+$AD$12),IF(BN15-$BS$7&gt;150,BN15-$BS$7-1000+$AD$17,BN15-$BS$7+$AD$17)),IF(BN15-$BS$7&gt;150,BN15-$BS$7-1000,BN15-$BS$7)),"-"))</f>
        <v>-</v>
      </c>
      <c r="BQ15" s="173" t="str">
        <f t="shared" si="11"/>
        <v>-</v>
      </c>
      <c r="BR15" s="453"/>
      <c r="BS15" s="171"/>
      <c r="BT15" s="464" t="str">
        <f t="shared" si="12"/>
        <v>-</v>
      </c>
      <c r="BU15" s="464" t="str">
        <f t="shared" si="13"/>
        <v>-</v>
      </c>
      <c r="BX15" s="204">
        <f>COUNTIF($BY$4:BY15,"&lt;100")</f>
        <v>12</v>
      </c>
      <c r="BY15" s="213">
        <f t="shared" si="4"/>
        <v>0</v>
      </c>
      <c r="BZ15" s="216">
        <f t="shared" si="4"/>
        <v>0</v>
      </c>
      <c r="CA15" s="213">
        <f t="shared" si="5"/>
        <v>0</v>
      </c>
      <c r="CB15" s="209">
        <f t="shared" si="6"/>
        <v>0</v>
      </c>
      <c r="CC15" s="205">
        <f t="shared" si="15"/>
        <v>0</v>
      </c>
      <c r="CD15" s="205">
        <f t="shared" si="7"/>
        <v>20</v>
      </c>
      <c r="CE15" s="205">
        <f t="shared" si="16"/>
        <v>0</v>
      </c>
      <c r="CG15" s="20" t="str">
        <f t="shared" si="24"/>
        <v>Standard</v>
      </c>
    </row>
    <row r="16" spans="1:85" ht="23.1" customHeight="1" thickBot="1">
      <c r="A16" s="40">
        <f>IF(AND(IFERROR(VLOOKUP(E16,Расчет!A:J,10,FALSE),"  ")&lt;&gt;"  ",IFERROR(LEFT(VLOOKUP(E16,Расчет!A:J,10,FALSE),1)," ")&lt;&gt;"H"),0,IFERROR(IF(F16="Camry",IF(OR(J16="2PS",J16="2QL"),IF(E16-AP16&gt;100,E16-AP16-1000+$AD$12,E16-AP16+$AD$12),IF(E16-AP16&gt;100,E16-AP16-1000,E16-AP16)),IF(J16="2PS",IF(E16-AP16&gt;100,E16-AP16-1000+$AD$17,E16-AP16+$AD$17),IF(E16-AP16&gt;100,E16-AP16-1000,E16-AP16))),"-"))</f>
        <v>18</v>
      </c>
      <c r="B16" s="46">
        <v>14</v>
      </c>
      <c r="C16" s="19">
        <f>IF(E16="","",COUNTA($E$3:E16))</f>
        <v>14</v>
      </c>
      <c r="D16" s="18">
        <f t="shared" si="0"/>
        <v>109</v>
      </c>
      <c r="E16" s="30">
        <v>11097</v>
      </c>
      <c r="F16" s="44" t="str">
        <f>IFERROR(IF(VLOOKUP(E16,Расчет!$A$2:$B$650,2,FALSE)="664W","Camry",IF(VLOOKUP(E16,Расчет!$A$2:$B$650,2,FALSE)="813W","Goshi","RAV4")),"")</f>
        <v>RAV4</v>
      </c>
      <c r="G16" s="32" t="str">
        <f>IFERROR(IF(F16="Camry",VLOOKUP(E16,Расчет!$A$2:$Q$650,17,FALSE),VLOOKUP(E16,Расчет!$A$2:$R$650,18,FALSE)),"")</f>
        <v>Auto</v>
      </c>
      <c r="H16" s="32" t="str">
        <f>IFERROR(VLOOKUP(VLOOKUP(E16,Расчет!$A:$D,4,FALSE),$AT$6:$AV$15,3,FALSE),"")</f>
        <v>4WD</v>
      </c>
      <c r="I16" s="31" t="str">
        <f>IFERROR(VLOOKUP(IFERROR(VLOOKUP(E16,Расчет!$A$2:$D$650,4,FALSE),0),$AT$3:$AU$15,2,FALSE),"")</f>
        <v>2,5 L</v>
      </c>
      <c r="J16" s="33" t="str">
        <f>IFERROR(VLOOKUP(E16,Расчет!$A$2:$E$650,5,FALSE),"")</f>
        <v>2PS</v>
      </c>
      <c r="K16" s="189">
        <v>0.74520833333333336</v>
      </c>
      <c r="L16" s="188">
        <f t="shared" si="9"/>
        <v>1.6203703703704386E-3</v>
      </c>
      <c r="M16" s="43"/>
      <c r="N16" s="40" t="str">
        <f>IF(AND(IFERROR(VLOOKUP(R16,Расчет!A:J,10,FALSE),"  ")&lt;&gt;"  ",IFERROR(LEFT(VLOOKUP(R16,Расчет!A:J,10,FALSE),1)," ")&lt;&gt;"H"),0,IFERROR(IF(S16="Camry",IF(OR(W16="2PS",W16="2QL"),IF(R16-AP119&gt;100,R16-AP119-1000+$AD$12,R16-AP119+$AD$12),IF(R16-AP119&gt;100,R16-AP119-1000,R16-AP119)),IF(W16="2PS",IF(R16-AP119&gt;100,R16-AP119-1000+$AD$17,R16-AP119+$AD$17),IF(R16-AP119&gt;100,R16-AP119-1000,R16-AP119))),"-"))</f>
        <v>-</v>
      </c>
      <c r="O16" s="46">
        <v>117</v>
      </c>
      <c r="P16" s="19" t="str">
        <f>IF(R16="","",COUNTA($R$3:R16)+$C$105)</f>
        <v/>
      </c>
      <c r="Q16" s="18" t="str">
        <f t="shared" si="1"/>
        <v/>
      </c>
      <c r="R16" s="30"/>
      <c r="S16" s="45" t="str">
        <f>IFERROR(IF(VLOOKUP(R16,Расчет!$A$2:$B$650,2,FALSE)="664W","Camry",IF(VLOOKUP(R16,Расчет!$A$2:$B$650,2,FALSE)="813W","Goshi","RAV4")),"")</f>
        <v/>
      </c>
      <c r="T16" s="32" t="str">
        <f>IFERROR(IF(S16="Camry",VLOOKUP(R16,Расчет!$A$2:$Q$650,17,FALSE),VLOOKUP(R16,Расчет!$A$2:$R$650,18,FALSE)),"")</f>
        <v/>
      </c>
      <c r="U16" s="32" t="str">
        <f>IFERROR(VLOOKUP(VLOOKUP(R16,Расчет!$A:$D,4,FALSE),$AT$6:$AV$15,3,FALSE),"")</f>
        <v/>
      </c>
      <c r="V16" s="31" t="str">
        <f>IFERROR(VLOOKUP(IFERROR(VLOOKUP(R16,Расчет!$A$2:$D$650,4,FALSE),0),$AT$3:$AU$15,2,FALSE),"")</f>
        <v/>
      </c>
      <c r="W16" s="33" t="str">
        <f>IFERROR(VLOOKUP(R16,Расчет!$A$2:$E$650,5,FALSE),"")</f>
        <v/>
      </c>
      <c r="X16" s="189"/>
      <c r="Y16" s="191">
        <f t="shared" si="10"/>
        <v>0</v>
      </c>
      <c r="Z16" s="178" t="str">
        <f>IFERROR(VLOOKUP(AA16,Расчет!$BS:$BT,2,FALSE),"")</f>
        <v/>
      </c>
      <c r="AA16" s="157" t="str">
        <f t="shared" si="17"/>
        <v/>
      </c>
      <c r="AB16" s="402" t="str">
        <f>IFERROR(VLOOKUP(AC16,Расчет!$BS:$BT,2,FALSE),"")</f>
        <v/>
      </c>
      <c r="AC16" s="156"/>
      <c r="AD16" s="650"/>
      <c r="AE16" s="89">
        <v>14</v>
      </c>
      <c r="AF16" s="44" t="str">
        <f>IF(VLOOKUP(AE16,Расчет!$AH$2:$AN$201,5,FALSE)="8","C",IF(VLOOKUP(AE16,Расчет!$AH$2:$AN$201,5,FALSE)="G","G","R"))</f>
        <v>R</v>
      </c>
      <c r="AG16" s="73" t="str">
        <f t="shared" si="2"/>
        <v>R</v>
      </c>
      <c r="AH16" s="87">
        <f>IF(AG16="","",COUNTIF($AG$2:AG16,"C")-COUNTIF($AF$2:AF16,"C")+$AH$1)</f>
        <v>0</v>
      </c>
      <c r="AI16" s="87">
        <f>IF(AG16="","",COUNTIF($AG$2:AG16,"R")-COUNTIF($AF$2:AF16,"R")+$AI$1)</f>
        <v>0</v>
      </c>
      <c r="AJ16" s="89">
        <v>117</v>
      </c>
      <c r="AK16" s="44" t="str">
        <f>IF(VLOOKUP(AJ16,Расчет!$AH$2:$AN$211,5,FALSE)="8","C",IF(VLOOKUP(AJ16,Расчет!$AH$2:$AN$211,5,FALSE)="G","G","R"))</f>
        <v>R</v>
      </c>
      <c r="AL16" s="74" t="str">
        <f t="shared" si="3"/>
        <v/>
      </c>
      <c r="AM16" s="118" t="str">
        <f>IF(AL16="","",(COUNTIF($AG$2:$AG$105,"C")+COUNTIF($AL$2:$AL16,"C"))-(COUNTIF($AF$2:$AF$105,"C")+COUNTIF($AK$2:$AK16,"C"))+$AH$1)</f>
        <v/>
      </c>
      <c r="AN16" s="119" t="str">
        <f>IF(AL16="","",(COUNTIF($AG$2:$AG$105,"R")+COUNTIF($AL$2:$AL16,"R"))-(COUNTIF($AF$2:$AF$105,"R")+COUNTIF($AK$2:$AK16,"R"))+$AI$1)</f>
        <v/>
      </c>
      <c r="AO16" s="22">
        <f>IF(E16="","",COUNTA($E$3:E16)+$Z$1)</f>
        <v>109</v>
      </c>
      <c r="AP16" s="88">
        <f>IF(AO16="","",IF(AO16+Расчет!$Y$57+$BD$2-Расчет!$X$57&gt;200,AO16+Расчет!$Y$57+$BD$2-1000,AO16+Расчет!$Y$57+$BD$2))</f>
        <v>11179</v>
      </c>
      <c r="AQ16" s="20">
        <f>COUNTIF(F3:F105,"Camry")</f>
        <v>26</v>
      </c>
      <c r="AR16" s="34">
        <f>AQ16/AU16</f>
        <v>0.44067796610169491</v>
      </c>
      <c r="AS16" s="20">
        <f>COUNTIF(F3:F105,"RAV4")</f>
        <v>33</v>
      </c>
      <c r="AT16" s="34">
        <f>AS16/AU16</f>
        <v>0.55932203389830504</v>
      </c>
      <c r="AU16" s="437">
        <f>AQ16+AS16</f>
        <v>59</v>
      </c>
      <c r="AW16" s="48"/>
      <c r="AX16" s="47"/>
      <c r="AY16" s="655" t="s">
        <v>65</v>
      </c>
      <c r="AZ16" s="656"/>
      <c r="BA16" s="64">
        <f>BA13+BA17</f>
        <v>20</v>
      </c>
      <c r="BB16" s="48"/>
      <c r="BC16" s="48"/>
      <c r="BD16" s="444" t="s">
        <v>1171</v>
      </c>
      <c r="BE16" s="59">
        <f t="shared" si="21"/>
        <v>0</v>
      </c>
      <c r="BF16" s="39">
        <f t="shared" si="22"/>
        <v>0</v>
      </c>
      <c r="BG16" s="141">
        <f>BE16+BF16</f>
        <v>0</v>
      </c>
      <c r="BH16" s="142">
        <f t="shared" si="19"/>
        <v>0</v>
      </c>
      <c r="BI16" s="143">
        <f>COUNTIF(Расчет!$AY$2:$AY$500,BD16)</f>
        <v>0</v>
      </c>
      <c r="BJ16" s="142">
        <f t="shared" si="20"/>
        <v>0</v>
      </c>
      <c r="BK16" s="180">
        <f>BH16-BJ16</f>
        <v>0</v>
      </c>
      <c r="BL16" s="172">
        <f>COUNTIF($BM$5:BM16,"&lt;-115")</f>
        <v>0</v>
      </c>
      <c r="BM16" s="154">
        <f>IFERROR(IF(OR(IFERROR(VLOOKUP(BN16,$E$3:$E$105,1,FALSE),"0")=BN16,IFERROR(VLOOKUP(BN16,$R$3:$R$105,1,FALSE),"0")=BN16),BO16,IF(OR(VLOOKUP(BN16,Расчет!A:E,5,FALSE)="2PS",VLOOKUP(BN16,Расчет!A:E,5,FALSE)="2QL"),IF(VLOOKUP(BN16,Расчет!A:B,2,FALSE)="831W",BN16-$BS$7+$AD$17,BN16-$BS$7+$AD$12),BN16-$BS$7)),"-")</f>
        <v>22</v>
      </c>
      <c r="BN16" s="154">
        <f>IF(OR(Расчет!C13="A0",Расчет!C13="P9",Расчет!B13="722W"),"-",Расчет!A13)</f>
        <v>11123</v>
      </c>
      <c r="BO16" s="173">
        <f t="shared" si="14"/>
        <v>22</v>
      </c>
      <c r="BP16" s="172" t="str">
        <f>IF(BQ16="-","-",IFERROR(IF(OR(VLOOKUP(BN16,Расчет!$A$2:$E$582,5,FALSE)="2PS",VLOOKUP(BN16,Расчет!$A$2:$E$582,5,FALSE)="2QL"),IF(OR(VLOOKUP(BN16,Расчет!$A$2:$E$582,2,FALSE)="664W",VLOOKUP(BN16,Расчет!$A$2:$E$582,2,FALSE)="813W"),IF(BN16-$BS$7&gt;150,BN16-$BS$7-1000+$AD$12,BN16-$BS$7+$AD$12),IF(BN16-$BS$7&gt;150,BN16-$BS$7-1000+$AD$17,BN16-$BS$7+$AD$17)),IF(BN16-$BS$7&gt;150,BN16-$BS$7-1000,BN16-$BS$7)),"-"))</f>
        <v>-</v>
      </c>
      <c r="BQ16" s="173" t="str">
        <f t="shared" si="11"/>
        <v>-</v>
      </c>
      <c r="BR16" s="453"/>
      <c r="BS16" s="171"/>
      <c r="BT16" s="464" t="str">
        <f t="shared" si="12"/>
        <v>-</v>
      </c>
      <c r="BU16" s="464" t="str">
        <f t="shared" si="13"/>
        <v>-</v>
      </c>
      <c r="BX16" s="204">
        <f>COUNTIF($BY$4:BY16,"&lt;100")</f>
        <v>13</v>
      </c>
      <c r="BY16" s="213">
        <f t="shared" si="4"/>
        <v>0</v>
      </c>
      <c r="BZ16" s="216">
        <f t="shared" si="4"/>
        <v>0</v>
      </c>
      <c r="CA16" s="213">
        <f t="shared" si="5"/>
        <v>0</v>
      </c>
      <c r="CB16" s="209">
        <f t="shared" si="6"/>
        <v>0</v>
      </c>
      <c r="CC16" s="205">
        <f t="shared" si="15"/>
        <v>0</v>
      </c>
      <c r="CD16" s="205">
        <f t="shared" si="7"/>
        <v>5</v>
      </c>
      <c r="CE16" s="205">
        <f t="shared" si="16"/>
        <v>0</v>
      </c>
      <c r="CG16" s="20" t="str">
        <f t="shared" si="24"/>
        <v>CVT</v>
      </c>
    </row>
    <row r="17" spans="1:85" ht="23.1" customHeight="1" thickBot="1">
      <c r="A17" s="40">
        <f>IF(AND(IFERROR(VLOOKUP(E17,Расчет!A:J,10,FALSE),"  ")&lt;&gt;"  ",IFERROR(LEFT(VLOOKUP(E17,Расчет!A:J,10,FALSE),1)," ")&lt;&gt;"H"),0,IFERROR(IF(F17="Camry",IF(OR(J17="2PS",J17="2QL"),IF(E17-AP17&gt;100,E17-AP17-1000+$AD$12,E17-AP17+$AD$12),IF(E17-AP17&gt;100,E17-AP17-1000,E17-AP17)),IF(J17="2PS",IF(E17-AP17&gt;100,E17-AP17-1000+$AD$17,E17-AP17+$AD$17),IF(E17-AP17&gt;100,E17-AP17-1000,E17-AP17))),"-"))</f>
        <v>5</v>
      </c>
      <c r="B17" s="46">
        <v>15</v>
      </c>
      <c r="C17" s="19">
        <f>IF(E17="","",COUNTA($E$3:E17))</f>
        <v>15</v>
      </c>
      <c r="D17" s="18">
        <f t="shared" si="0"/>
        <v>110</v>
      </c>
      <c r="E17" s="30">
        <v>11185</v>
      </c>
      <c r="F17" s="44" t="str">
        <f>IFERROR(IF(VLOOKUP(E17,Расчет!$A$2:$B$650,2,FALSE)="664W","Camry",IF(VLOOKUP(E17,Расчет!$A$2:$B$650,2,FALSE)="813W","Goshi","RAV4")),"")</f>
        <v>Camry</v>
      </c>
      <c r="G17" s="32" t="str">
        <f>IFERROR(IF(F17="Camry",VLOOKUP(E17,Расчет!$A$2:$Q$650,17,FALSE),VLOOKUP(E17,Расчет!$A$2:$R$650,18,FALSE)),"")</f>
        <v>Standard</v>
      </c>
      <c r="H17" s="32" t="str">
        <f>IFERROR(VLOOKUP(VLOOKUP(E17,Расчет!$A:$D,4,FALSE),$AT$6:$AV$15,3,FALSE),"")</f>
        <v/>
      </c>
      <c r="I17" s="31" t="str">
        <f>IFERROR(VLOOKUP(IFERROR(VLOOKUP(E17,Расчет!$A$2:$D$650,4,FALSE),0),$AT$3:$AU$15,2,FALSE),"")</f>
        <v>2,0 L</v>
      </c>
      <c r="J17" s="33" t="str">
        <f>IFERROR(VLOOKUP(E17,Расчет!$A$2:$E$650,5,FALSE),"")</f>
        <v>089</v>
      </c>
      <c r="K17" s="189">
        <v>0.74687500000000007</v>
      </c>
      <c r="L17" s="188">
        <f t="shared" si="9"/>
        <v>1.6666666666667052E-3</v>
      </c>
      <c r="M17" s="43"/>
      <c r="N17" s="40" t="str">
        <f>IF(AND(IFERROR(VLOOKUP(R17,Расчет!A:J,10,FALSE),"  ")&lt;&gt;"  ",IFERROR(LEFT(VLOOKUP(R17,Расчет!A:J,10,FALSE),1)," ")&lt;&gt;"H"),0,IFERROR(IF(S17="Camry",IF(OR(W17="2PS",W17="2QL"),IF(R17-AP120&gt;100,R17-AP120-1000+$AD$12,R17-AP120+$AD$12),IF(R17-AP120&gt;100,R17-AP120-1000,R17-AP120)),IF(W17="2PS",IF(R17-AP120&gt;100,R17-AP120-1000+$AD$17,R17-AP120+$AD$17),IF(R17-AP120&gt;100,R17-AP120-1000,R17-AP120))),"-"))</f>
        <v>-</v>
      </c>
      <c r="O17" s="46">
        <v>118</v>
      </c>
      <c r="P17" s="19" t="str">
        <f>IF(R17="","",COUNTA($R$3:R17)+$C$105)</f>
        <v/>
      </c>
      <c r="Q17" s="18" t="str">
        <f t="shared" si="1"/>
        <v/>
      </c>
      <c r="R17" s="30"/>
      <c r="S17" s="45" t="str">
        <f>IFERROR(IF(VLOOKUP(R17,Расчет!$A$2:$B$650,2,FALSE)="664W","Camry",IF(VLOOKUP(R17,Расчет!$A$2:$B$650,2,FALSE)="813W","Goshi","RAV4")),"")</f>
        <v/>
      </c>
      <c r="T17" s="32" t="str">
        <f>IFERROR(IF(S17="Camry",VLOOKUP(R17,Расчет!$A$2:$Q$650,17,FALSE),VLOOKUP(R17,Расчет!$A$2:$R$650,18,FALSE)),"")</f>
        <v/>
      </c>
      <c r="U17" s="32" t="str">
        <f>IFERROR(VLOOKUP(VLOOKUP(R17,Расчет!$A:$D,4,FALSE),$AT$6:$AV$15,3,FALSE),"")</f>
        <v/>
      </c>
      <c r="V17" s="31" t="str">
        <f>IFERROR(VLOOKUP(IFERROR(VLOOKUP(R17,Расчет!$A$2:$D$650,4,FALSE),0),$AT$3:$AU$15,2,FALSE),"")</f>
        <v/>
      </c>
      <c r="W17" s="33" t="str">
        <f>IFERROR(VLOOKUP(R17,Расчет!$A$2:$E$650,5,FALSE),"")</f>
        <v/>
      </c>
      <c r="X17" s="189"/>
      <c r="Y17" s="191">
        <f t="shared" si="10"/>
        <v>0</v>
      </c>
      <c r="Z17" s="397"/>
      <c r="AA17" s="398"/>
      <c r="AB17" s="402" t="str">
        <f>IFERROR(VLOOKUP(AC17,Расчет!$BS:$BT,2,FALSE),"")</f>
        <v/>
      </c>
      <c r="AC17" s="156"/>
      <c r="AD17" s="418">
        <v>100</v>
      </c>
      <c r="AE17" s="89">
        <v>15</v>
      </c>
      <c r="AF17" s="44" t="str">
        <f>IF(VLOOKUP(AE17,Расчет!$AH$2:$AN$201,5,FALSE)="8","C",IF(VLOOKUP(AE17,Расчет!$AH$2:$AN$201,5,FALSE)="G","G","R"))</f>
        <v>C</v>
      </c>
      <c r="AG17" s="73" t="str">
        <f t="shared" si="2"/>
        <v>C</v>
      </c>
      <c r="AH17" s="87">
        <f>IF(AG17="","",COUNTIF($AG$2:AG17,"C")-COUNTIF($AF$2:AF17,"C")+$AH$1)</f>
        <v>0</v>
      </c>
      <c r="AI17" s="87">
        <f>IF(AG17="","",COUNTIF($AG$2:AG17,"R")-COUNTIF($AF$2:AF17,"R")+$AI$1)</f>
        <v>0</v>
      </c>
      <c r="AJ17" s="89">
        <v>118</v>
      </c>
      <c r="AK17" s="44" t="str">
        <f>IF(VLOOKUP(AJ17,Расчет!$AH$2:$AN$211,5,FALSE)="8","C",IF(VLOOKUP(AJ17,Расчет!$AH$2:$AN$211,5,FALSE)="G","G","R"))</f>
        <v>C</v>
      </c>
      <c r="AL17" s="74" t="str">
        <f t="shared" si="3"/>
        <v/>
      </c>
      <c r="AM17" s="118" t="str">
        <f>IF(AL17="","",(COUNTIF($AG$2:$AG$105,"C")+COUNTIF($AL$2:$AL17,"C"))-(COUNTIF($AF$2:$AF$105,"C")+COUNTIF($AK$2:$AK17,"C"))+$AH$1)</f>
        <v/>
      </c>
      <c r="AN17" s="119" t="str">
        <f>IF(AL17="","",(COUNTIF($AG$2:$AG$105,"R")+COUNTIF($AL$2:$AL17,"R"))-(COUNTIF($AF$2:$AF$105,"R")+COUNTIF($AK$2:$AK17,"R"))+$AI$1)</f>
        <v/>
      </c>
      <c r="AO17" s="22">
        <f>IF(E17="","",COUNTA($E$3:E17)+$Z$1)</f>
        <v>110</v>
      </c>
      <c r="AP17" s="88">
        <f>IF(AO17="","",IF(AO17+Расчет!$Y$57+$BD$2-Расчет!$X$57&gt;200,AO17+Расчет!$Y$57+$BD$2-1000,AO17+Расчет!$Y$57+$BD$2))</f>
        <v>11180</v>
      </c>
      <c r="AQ17" s="20">
        <f>COUNTIF(S3:S105,"Camry")</f>
        <v>0</v>
      </c>
      <c r="AR17" s="34"/>
      <c r="AS17" s="20">
        <f>COUNTIF(S3:S105,"RAV4")</f>
        <v>0</v>
      </c>
      <c r="AT17" s="34"/>
      <c r="AU17" s="437">
        <f>AQ17+AS17</f>
        <v>0</v>
      </c>
      <c r="AW17" s="48"/>
      <c r="AX17" s="47"/>
      <c r="AY17" s="657" t="s">
        <v>68</v>
      </c>
      <c r="AZ17" s="658"/>
      <c r="BA17" s="65">
        <f>COUNTIF(G2:G105,"Mech")+COUNTIF(T2:T105,"Mech")</f>
        <v>2</v>
      </c>
      <c r="BB17" s="48"/>
      <c r="BC17" s="48"/>
      <c r="BD17" s="395" t="s">
        <v>1128</v>
      </c>
      <c r="BE17" s="59">
        <f t="shared" si="21"/>
        <v>2</v>
      </c>
      <c r="BF17" s="39">
        <f>COUNTIFS($J$2:$J$105,BD17,$F$2:$F$105,"RAV4")+COUNTIFS($W$2:$W$105,BD17,$S$2:$S$105,"RAV4")</f>
        <v>5</v>
      </c>
      <c r="BG17" s="141">
        <f>BE17+BF17</f>
        <v>7</v>
      </c>
      <c r="BH17" s="142">
        <f t="shared" si="19"/>
        <v>0.11864406779661017</v>
      </c>
      <c r="BI17" s="143">
        <f>COUNTIF(Расчет!$AY$2:$AY$500,BD17)</f>
        <v>27</v>
      </c>
      <c r="BJ17" s="142">
        <f t="shared" si="20"/>
        <v>0.15606936416184972</v>
      </c>
      <c r="BK17" s="180">
        <f>BH17-BJ17</f>
        <v>-3.7425296365239544E-2</v>
      </c>
      <c r="BL17" s="172">
        <f>COUNTIF($BM$5:BM17,"&lt;-115")</f>
        <v>0</v>
      </c>
      <c r="BM17" s="154">
        <f>IFERROR(IF(OR(IFERROR(VLOOKUP(BN17,$E$3:$E$105,1,FALSE),"0")=BN17,IFERROR(VLOOKUP(BN17,$R$3:$R$105,1,FALSE),"0")=BN17),BO17,IF(OR(VLOOKUP(BN17,Расчет!A:E,5,FALSE)="2PS",VLOOKUP(BN17,Расчет!A:E,5,FALSE)="2QL"),IF(VLOOKUP(BN17,Расчет!A:B,2,FALSE)="831W",BN17-$BS$7+$AD$17,BN17-$BS$7+$AD$12),BN17-$BS$7)),"-")</f>
        <v>21</v>
      </c>
      <c r="BN17" s="154">
        <f>IF(OR(Расчет!C14="A0",Расчет!C14="P9",Расчет!B14="722W"),"-",Расчет!A14)</f>
        <v>11134</v>
      </c>
      <c r="BO17" s="173">
        <f t="shared" si="14"/>
        <v>21</v>
      </c>
      <c r="BP17" s="172" t="str">
        <f>IF(BQ17="-","-",IFERROR(IF(OR(VLOOKUP(BN17,Расчет!$A$2:$E$582,5,FALSE)="2PS",VLOOKUP(BN17,Расчет!$A$2:$E$582,5,FALSE)="2QL"),IF(OR(VLOOKUP(BN17,Расчет!$A$2:$E$582,2,FALSE)="664W",VLOOKUP(BN17,Расчет!$A$2:$E$582,2,FALSE)="813W"),IF(BN17-$BS$7&gt;150,BN17-$BS$7-1000+$AD$12,BN17-$BS$7+$AD$12),IF(BN17-$BS$7&gt;150,BN17-$BS$7-1000+$AD$17,BN17-$BS$7+$AD$17)),IF(BN17-$BS$7&gt;150,BN17-$BS$7-1000,BN17-$BS$7)),"-"))</f>
        <v>-</v>
      </c>
      <c r="BQ17" s="173" t="str">
        <f t="shared" si="11"/>
        <v>-</v>
      </c>
      <c r="BR17" s="453"/>
      <c r="BS17" s="171"/>
      <c r="BT17" s="464" t="str">
        <f t="shared" si="12"/>
        <v>-</v>
      </c>
      <c r="BU17" s="464" t="str">
        <f t="shared" si="13"/>
        <v>-</v>
      </c>
      <c r="BX17" s="204">
        <f>COUNTIF($BY$4:BY17,"&lt;100")</f>
        <v>14</v>
      </c>
      <c r="BY17" s="213">
        <f t="shared" si="4"/>
        <v>0</v>
      </c>
      <c r="BZ17" s="216">
        <f t="shared" si="4"/>
        <v>0</v>
      </c>
      <c r="CA17" s="213">
        <f t="shared" si="5"/>
        <v>0</v>
      </c>
      <c r="CB17" s="209">
        <f t="shared" si="6"/>
        <v>0</v>
      </c>
      <c r="CC17" s="205">
        <f t="shared" si="15"/>
        <v>0</v>
      </c>
      <c r="CD17" s="205">
        <f t="shared" si="7"/>
        <v>18</v>
      </c>
      <c r="CE17" s="205">
        <f t="shared" si="16"/>
        <v>0</v>
      </c>
      <c r="CG17" s="20" t="str">
        <f t="shared" si="24"/>
        <v>Rich</v>
      </c>
    </row>
    <row r="18" spans="1:85" ht="23.1" customHeight="1">
      <c r="A18" s="40">
        <f>IF(AND(IFERROR(VLOOKUP(E18,Расчет!A:J,10,FALSE),"  ")&lt;&gt;"  ",IFERROR(LEFT(VLOOKUP(E18,Расчет!A:J,10,FALSE),1)," ")&lt;&gt;"H"),0,IFERROR(IF(F18="Camry",IF(OR(J18="2PS",J18="2QL"),IF(E18-AP18&gt;100,E18-AP18-1000+$AD$12,E18-AP18+$AD$12),IF(E18-AP18&gt;100,E18-AP18-1000,E18-AP18)),IF(J18="2PS",IF(E18-AP18&gt;100,E18-AP18-1000+$AD$17,E18-AP18+$AD$17),IF(E18-AP18&gt;100,E18-AP18-1000,E18-AP18))),"-"))</f>
        <v>21</v>
      </c>
      <c r="B18" s="46">
        <v>16</v>
      </c>
      <c r="C18" s="19">
        <f>IF(E18="","",COUNTA($E$3:E18))</f>
        <v>16</v>
      </c>
      <c r="D18" s="18">
        <f t="shared" si="0"/>
        <v>111</v>
      </c>
      <c r="E18" s="30">
        <v>11202</v>
      </c>
      <c r="F18" s="44" t="str">
        <f>IFERROR(IF(VLOOKUP(E18,Расчет!$A$2:$B$650,2,FALSE)="664W","Camry",IF(VLOOKUP(E18,Расчет!$A$2:$B$650,2,FALSE)="813W","Goshi","RAV4")),"")</f>
        <v>RAV4</v>
      </c>
      <c r="G18" s="32" t="str">
        <f>IFERROR(IF(F18="Camry",VLOOKUP(E18,Расчет!$A$2:$Q$650,17,FALSE),VLOOKUP(E18,Расчет!$A$2:$R$650,18,FALSE)),"")</f>
        <v>CVT</v>
      </c>
      <c r="H18" s="32" t="str">
        <f>IFERROR(VLOOKUP(VLOOKUP(E18,Расчет!$A:$D,4,FALSE),$AT$6:$AV$15,3,FALSE),"")</f>
        <v>4WD</v>
      </c>
      <c r="I18" s="31" t="str">
        <f>IFERROR(VLOOKUP(IFERROR(VLOOKUP(E18,Расчет!$A$2:$D$650,4,FALSE),0),$AT$3:$AU$15,2,FALSE),"")</f>
        <v>2,0 L</v>
      </c>
      <c r="J18" s="33" t="str">
        <f>IFERROR(VLOOKUP(E18,Расчет!$A$2:$E$650,5,FALSE),"")</f>
        <v>1F7</v>
      </c>
      <c r="K18" s="189">
        <v>0.74857638888888889</v>
      </c>
      <c r="L18" s="188">
        <f t="shared" si="9"/>
        <v>1.7013888888888218E-3</v>
      </c>
      <c r="M18" s="43"/>
      <c r="N18" s="40" t="str">
        <f>IF(AND(IFERROR(VLOOKUP(R18,Расчет!A:J,10,FALSE),"  ")&lt;&gt;"  ",IFERROR(LEFT(VLOOKUP(R18,Расчет!A:J,10,FALSE),1)," ")&lt;&gt;"H"),0,IFERROR(IF(S18="Camry",IF(OR(W18="2PS",W18="2QL"),IF(R18-AP121&gt;100,R18-AP121-1000+$AD$12,R18-AP121+$AD$12),IF(R18-AP121&gt;100,R18-AP121-1000,R18-AP121)),IF(W18="2PS",IF(R18-AP121&gt;100,R18-AP121-1000+$AD$17,R18-AP121+$AD$17),IF(R18-AP121&gt;100,R18-AP121-1000,R18-AP121))),"-"))</f>
        <v>-</v>
      </c>
      <c r="O18" s="46">
        <v>119</v>
      </c>
      <c r="P18" s="19" t="str">
        <f>IF(R18="","",COUNTA($R$3:R18)+$C$105)</f>
        <v/>
      </c>
      <c r="Q18" s="18" t="str">
        <f t="shared" si="1"/>
        <v/>
      </c>
      <c r="R18" s="30"/>
      <c r="S18" s="45" t="str">
        <f>IFERROR(IF(VLOOKUP(R18,Расчет!$A$2:$B$650,2,FALSE)="664W","Camry",IF(VLOOKUP(R18,Расчет!$A$2:$B$650,2,FALSE)="813W","Goshi","RAV4")),"")</f>
        <v/>
      </c>
      <c r="T18" s="32" t="str">
        <f>IFERROR(IF(S18="Camry",VLOOKUP(R18,Расчет!$A$2:$Q$650,17,FALSE),VLOOKUP(R18,Расчет!$A$2:$R$650,18,FALSE)),"")</f>
        <v/>
      </c>
      <c r="U18" s="32" t="str">
        <f>IFERROR(VLOOKUP(VLOOKUP(R18,Расчет!$A:$D,4,FALSE),$AT$6:$AV$15,3,FALSE),"")</f>
        <v/>
      </c>
      <c r="V18" s="31" t="str">
        <f>IFERROR(VLOOKUP(IFERROR(VLOOKUP(R18,Расчет!$A$2:$D$650,4,FALSE),0),$AT$3:$AU$15,2,FALSE),"")</f>
        <v/>
      </c>
      <c r="W18" s="33" t="str">
        <f>IFERROR(VLOOKUP(R18,Расчет!$A$2:$E$650,5,FALSE),"")</f>
        <v/>
      </c>
      <c r="X18" s="189"/>
      <c r="Y18" s="191">
        <f t="shared" si="10"/>
        <v>0</v>
      </c>
      <c r="Z18" s="397"/>
      <c r="AA18" s="398"/>
      <c r="AB18" s="402" t="str">
        <f>IFERROR(VLOOKUP(AC18,Расчет!$BS:$BT,2,FALSE),"")</f>
        <v/>
      </c>
      <c r="AC18" s="156"/>
      <c r="AD18" s="414"/>
      <c r="AE18" s="89">
        <v>16</v>
      </c>
      <c r="AF18" s="44" t="str">
        <f>IF(VLOOKUP(AE18,Расчет!$AH$2:$AN$201,5,FALSE)="8","C",IF(VLOOKUP(AE18,Расчет!$AH$2:$AN$201,5,FALSE)="G","G","R"))</f>
        <v>R</v>
      </c>
      <c r="AG18" s="73" t="str">
        <f t="shared" si="2"/>
        <v>R</v>
      </c>
      <c r="AH18" s="87">
        <f>IF(AG18="","",COUNTIF($AG$2:AG18,"C")-COUNTIF($AF$2:AF18,"C")+$AH$1)</f>
        <v>0</v>
      </c>
      <c r="AI18" s="87">
        <f>IF(AG18="","",COUNTIF($AG$2:AG18,"R")-COUNTIF($AF$2:AF18,"R")+$AI$1)</f>
        <v>0</v>
      </c>
      <c r="AJ18" s="89">
        <v>119</v>
      </c>
      <c r="AK18" s="44" t="str">
        <f>IF(VLOOKUP(AJ18,Расчет!$AH$2:$AN$211,5,FALSE)="8","C",IF(VLOOKUP(AJ18,Расчет!$AH$2:$AN$211,5,FALSE)="G","G","R"))</f>
        <v>R</v>
      </c>
      <c r="AL18" s="74" t="str">
        <f t="shared" si="3"/>
        <v/>
      </c>
      <c r="AM18" s="118" t="str">
        <f>IF(AL18="","",(COUNTIF($AG$2:$AG$105,"C")+COUNTIF($AL$2:$AL18,"C"))-(COUNTIF($AF$2:$AF$105,"C")+COUNTIF($AK$2:$AK18,"C"))+$AH$1)</f>
        <v/>
      </c>
      <c r="AN18" s="119" t="str">
        <f>IF(AL18="","",(COUNTIF($AG$2:$AG$105,"R")+COUNTIF($AL$2:$AL18,"R"))-(COUNTIF($AF$2:$AF$105,"R")+COUNTIF($AK$2:$AK18,"R"))+$AI$1)</f>
        <v/>
      </c>
      <c r="AO18" s="22">
        <f>IF(E18="","",COUNTA($E$3:E18)+$Z$1)</f>
        <v>111</v>
      </c>
      <c r="AP18" s="88">
        <f>IF(AO18="","",IF(AO18+Расчет!$Y$57+$BD$2-Расчет!$X$57&gt;200,AO18+Расчет!$Y$57+$BD$2-1000,AO18+Расчет!$Y$57+$BD$2))</f>
        <v>11181</v>
      </c>
      <c r="AQ18" s="91"/>
      <c r="AR18" s="92"/>
      <c r="AS18" s="92"/>
      <c r="AT18" s="91"/>
      <c r="AU18" s="91"/>
      <c r="AW18" s="48"/>
      <c r="AX18" s="48"/>
      <c r="AY18" s="48"/>
      <c r="AZ18" s="48"/>
      <c r="BA18" s="48"/>
      <c r="BB18" s="48"/>
      <c r="BC18" s="48"/>
      <c r="BD18" s="445" t="s">
        <v>1170</v>
      </c>
      <c r="BE18" s="59">
        <f t="shared" si="21"/>
        <v>0</v>
      </c>
      <c r="BF18" s="39">
        <f t="shared" si="22"/>
        <v>0</v>
      </c>
      <c r="BG18" s="141">
        <f>BE18+BF18</f>
        <v>0</v>
      </c>
      <c r="BH18" s="142">
        <f t="shared" si="19"/>
        <v>0</v>
      </c>
      <c r="BI18" s="143">
        <f>COUNTIF(Расчет!$AY$2:$AY$500,BD18)</f>
        <v>0</v>
      </c>
      <c r="BJ18" s="142">
        <f t="shared" si="20"/>
        <v>0</v>
      </c>
      <c r="BK18" s="180">
        <f>BH18-BJ18</f>
        <v>0</v>
      </c>
      <c r="BL18" s="172">
        <f>COUNTIF($BM$5:BM18,"&lt;-115")</f>
        <v>0</v>
      </c>
      <c r="BM18" s="154">
        <f>IFERROR(IF(OR(IFERROR(VLOOKUP(BN18,$E$3:$E$105,1,FALSE),"0")=BN18,IFERROR(VLOOKUP(BN18,$R$3:$R$105,1,FALSE),"0")=BN18),BO18,IF(OR(VLOOKUP(BN18,Расчет!A:E,5,FALSE)="2PS",VLOOKUP(BN18,Расчет!A:E,5,FALSE)="2QL"),IF(VLOOKUP(BN18,Расчет!A:B,2,FALSE)="831W",BN18-$BS$7+$AD$17,BN18-$BS$7+$AD$12),BN18-$BS$7)),"-")</f>
        <v>31</v>
      </c>
      <c r="BN18" s="154">
        <f>IF(OR(Расчет!C15="A0",Расчет!C15="P9",Расчет!B15="722W"),"-",Расчет!A15)</f>
        <v>11144</v>
      </c>
      <c r="BO18" s="173">
        <f t="shared" si="14"/>
        <v>0</v>
      </c>
      <c r="BP18" s="172">
        <f>IF(BQ18="-","-",IFERROR(IF(OR(VLOOKUP(BN18,Расчет!$A$2:$E$582,5,FALSE)="2PS",VLOOKUP(BN18,Расчет!$A$2:$E$582,5,FALSE)="2QL"),IF(OR(VLOOKUP(BN18,Расчет!$A$2:$E$582,2,FALSE)="664W",VLOOKUP(BN18,Расчет!$A$2:$E$582,2,FALSE)="813W"),IF(BN18-$BS$7&gt;150,BN18-$BS$7-1000+$AD$12,BN18-$BS$7+$AD$12),IF(BN18-$BS$7&gt;150,BN18-$BS$7-1000+$AD$17,BN18-$BS$7+$AD$17)),IF(BN18-$BS$7&gt;150,BN18-$BS$7-1000,BN18-$BS$7)),"-"))</f>
        <v>31</v>
      </c>
      <c r="BQ18" s="173">
        <f t="shared" si="11"/>
        <v>11144</v>
      </c>
      <c r="BR18" s="453"/>
      <c r="BS18" s="171"/>
      <c r="BT18" s="464" t="str">
        <f t="shared" si="12"/>
        <v>-</v>
      </c>
      <c r="BU18" s="464" t="str">
        <f t="shared" si="13"/>
        <v>-</v>
      </c>
      <c r="BX18" s="204">
        <f>COUNTIF($BY$4:BY18,"&lt;100")</f>
        <v>15</v>
      </c>
      <c r="BY18" s="213">
        <f t="shared" si="4"/>
        <v>0</v>
      </c>
      <c r="BZ18" s="216">
        <f t="shared" si="4"/>
        <v>0</v>
      </c>
      <c r="CA18" s="213">
        <f t="shared" si="5"/>
        <v>0</v>
      </c>
      <c r="CB18" s="209">
        <f t="shared" si="6"/>
        <v>0</v>
      </c>
      <c r="CC18" s="205">
        <f t="shared" si="15"/>
        <v>0</v>
      </c>
      <c r="CD18" s="205">
        <f t="shared" si="7"/>
        <v>5</v>
      </c>
      <c r="CE18" s="205">
        <f t="shared" si="16"/>
        <v>0</v>
      </c>
      <c r="CG18" s="20" t="str">
        <f t="shared" si="24"/>
        <v>CVT</v>
      </c>
    </row>
    <row r="19" spans="1:85" ht="23.1" customHeight="1" thickBot="1">
      <c r="A19" s="40">
        <f>IF(AND(IFERROR(VLOOKUP(E19,Расчет!A:J,10,FALSE),"  ")&lt;&gt;"  ",IFERROR(LEFT(VLOOKUP(E19,Расчет!A:J,10,FALSE),1)," ")&lt;&gt;"H"),0,IFERROR(IF(F19="Camry",IF(OR(J19="2PS",J19="2QL"),IF(E19-AP19&gt;100,E19-AP19-1000+$AD$12,E19-AP19+$AD$12),IF(E19-AP19&gt;100,E19-AP19-1000,E19-AP19)),IF(J19="2PS",IF(E19-AP19&gt;100,E19-AP19-1000+$AD$17,E19-AP19+$AD$17),IF(E19-AP19&gt;100,E19-AP19-1000,E19-AP19))),"-"))</f>
        <v>16</v>
      </c>
      <c r="B19" s="46">
        <v>17</v>
      </c>
      <c r="C19" s="19">
        <f>IF(E19="","",COUNTA($E$3:E19))</f>
        <v>17</v>
      </c>
      <c r="D19" s="18">
        <f t="shared" si="0"/>
        <v>112</v>
      </c>
      <c r="E19" s="30">
        <v>11198</v>
      </c>
      <c r="F19" s="44" t="str">
        <f>IFERROR(IF(VLOOKUP(E19,Расчет!$A$2:$B$650,2,FALSE)="664W","Camry",IF(VLOOKUP(E19,Расчет!$A$2:$B$650,2,FALSE)="813W","Goshi","RAV4")),"")</f>
        <v>RAV4</v>
      </c>
      <c r="G19" s="32" t="str">
        <f>IFERROR(IF(F19="Camry",VLOOKUP(E19,Расчет!$A$2:$Q$650,17,FALSE),VLOOKUP(E19,Расчет!$A$2:$R$650,18,FALSE)),"")</f>
        <v>CVT</v>
      </c>
      <c r="H19" s="32" t="str">
        <f>IFERROR(VLOOKUP(VLOOKUP(E19,Расчет!$A:$D,4,FALSE),$AT$6:$AV$15,3,FALSE),"")</f>
        <v>FF</v>
      </c>
      <c r="I19" s="31" t="str">
        <f>IFERROR(VLOOKUP(IFERROR(VLOOKUP(E19,Расчет!$A$2:$D$650,4,FALSE),0),$AT$3:$AU$15,2,FALSE),"")</f>
        <v>2,0 L</v>
      </c>
      <c r="J19" s="33" t="str">
        <f>IFERROR(VLOOKUP(E19,Расчет!$A$2:$E$650,5,FALSE),"")</f>
        <v>089</v>
      </c>
      <c r="K19" s="189">
        <v>0.75034722222222217</v>
      </c>
      <c r="L19" s="188">
        <f t="shared" si="9"/>
        <v>1.7708333333332771E-3</v>
      </c>
      <c r="M19" s="43"/>
      <c r="N19" s="40" t="str">
        <f>IF(AND(IFERROR(VLOOKUP(R19,Расчет!A:J,10,FALSE),"  ")&lt;&gt;"  ",IFERROR(LEFT(VLOOKUP(R19,Расчет!A:J,10,FALSE),1)," ")&lt;&gt;"H"),0,IFERROR(IF(S19="Camry",IF(OR(W19="2PS",W19="2QL"),IF(R19-AP122&gt;100,R19-AP122-1000+$AD$12,R19-AP122+$AD$12),IF(R19-AP122&gt;100,R19-AP122-1000,R19-AP122)),IF(W19="2PS",IF(R19-AP122&gt;100,R19-AP122-1000+$AD$17,R19-AP122+$AD$17),IF(R19-AP122&gt;100,R19-AP122-1000,R19-AP122))),"-"))</f>
        <v>-</v>
      </c>
      <c r="O19" s="46">
        <v>120</v>
      </c>
      <c r="P19" s="19" t="str">
        <f>IF(R19="","",COUNTA($R$3:R19)+$C$105)</f>
        <v/>
      </c>
      <c r="Q19" s="18" t="str">
        <f t="shared" si="1"/>
        <v/>
      </c>
      <c r="R19" s="30"/>
      <c r="S19" s="45" t="str">
        <f>IFERROR(IF(VLOOKUP(R19,Расчет!$A$2:$B$650,2,FALSE)="664W","Camry",IF(VLOOKUP(R19,Расчет!$A$2:$B$650,2,FALSE)="813W","Goshi","RAV4")),"")</f>
        <v/>
      </c>
      <c r="T19" s="32" t="str">
        <f>IFERROR(IF(S19="Camry",VLOOKUP(R19,Расчет!$A$2:$Q$650,17,FALSE),VLOOKUP(R19,Расчет!$A$2:$R$650,18,FALSE)),"")</f>
        <v/>
      </c>
      <c r="U19" s="32" t="str">
        <f>IFERROR(VLOOKUP(VLOOKUP(R19,Расчет!$A:$D,4,FALSE),$AT$6:$AV$15,3,FALSE),"")</f>
        <v/>
      </c>
      <c r="V19" s="31" t="str">
        <f>IFERROR(VLOOKUP(IFERROR(VLOOKUP(R19,Расчет!$A$2:$D$650,4,FALSE),0),$AT$3:$AU$15,2,FALSE),"")</f>
        <v/>
      </c>
      <c r="W19" s="33" t="str">
        <f>IFERROR(VLOOKUP(R19,Расчет!$A$2:$E$650,5,FALSE),"")</f>
        <v/>
      </c>
      <c r="X19" s="189"/>
      <c r="Y19" s="191">
        <f t="shared" si="10"/>
        <v>0</v>
      </c>
      <c r="Z19" s="397"/>
      <c r="AA19" s="398"/>
      <c r="AB19" s="402" t="str">
        <f>IFERROR(VLOOKUP(AC19,Расчет!$BS:$BT,2,FALSE),"")</f>
        <v/>
      </c>
      <c r="AC19" s="156"/>
      <c r="AD19" s="414"/>
      <c r="AE19" s="89">
        <v>17</v>
      </c>
      <c r="AF19" s="44" t="str">
        <f>IF(VLOOKUP(AE19,Расчет!$AH$2:$AN$201,5,FALSE)="8","C",IF(VLOOKUP(AE19,Расчет!$AH$2:$AN$201,5,FALSE)="G","G","R"))</f>
        <v>R</v>
      </c>
      <c r="AG19" s="73" t="str">
        <f t="shared" si="2"/>
        <v>R</v>
      </c>
      <c r="AH19" s="87">
        <f>IF(AG19="","",COUNTIF($AG$2:AG19,"C")-COUNTIF($AF$2:AF19,"C")+$AH$1)</f>
        <v>0</v>
      </c>
      <c r="AI19" s="87">
        <f>IF(AG19="","",COUNTIF($AG$2:AG19,"R")-COUNTIF($AF$2:AF19,"R")+$AI$1)</f>
        <v>0</v>
      </c>
      <c r="AJ19" s="89">
        <v>120</v>
      </c>
      <c r="AK19" s="44" t="str">
        <f>IF(VLOOKUP(AJ19,Расчет!$AH$2:$AN$211,5,FALSE)="8","C",IF(VLOOKUP(AJ19,Расчет!$AH$2:$AN$211,5,FALSE)="G","G","R"))</f>
        <v>R</v>
      </c>
      <c r="AL19" s="74" t="str">
        <f t="shared" si="3"/>
        <v/>
      </c>
      <c r="AM19" s="118" t="str">
        <f>IF(AL19="","",(COUNTIF($AG$2:$AG$105,"C")+COUNTIF($AL$2:$AL19,"C"))-(COUNTIF($AF$2:$AF$105,"C")+COUNTIF($AK$2:$AK19,"C"))+$AH$1)</f>
        <v/>
      </c>
      <c r="AN19" s="119" t="str">
        <f>IF(AL19="","",(COUNTIF($AG$2:$AG$105,"R")+COUNTIF($AL$2:$AL19,"R"))-(COUNTIF($AF$2:$AF$105,"R")+COUNTIF($AK$2:$AK19,"R"))+$AI$1)</f>
        <v/>
      </c>
      <c r="AO19" s="22">
        <f>IF(E19="","",COUNTA($E$3:E19)+$Z$1)</f>
        <v>112</v>
      </c>
      <c r="AP19" s="88">
        <f>IF(AO19="","",IF(AO19+Расчет!$Y$57+$BD$2-Расчет!$X$57&gt;200,AO19+Расчет!$Y$57+$BD$2-1000,AO19+Расчет!$Y$57+$BD$2))</f>
        <v>11182</v>
      </c>
      <c r="AQ19" s="91"/>
      <c r="AR19" s="92"/>
      <c r="AS19" s="92"/>
      <c r="AT19" s="91"/>
      <c r="AU19" s="91"/>
      <c r="AW19" s="48"/>
      <c r="AX19" s="48"/>
      <c r="AY19" s="48"/>
      <c r="AZ19" s="48"/>
      <c r="BA19" s="48"/>
      <c r="BB19" s="48"/>
      <c r="BC19" s="48"/>
      <c r="BD19" s="62" t="s">
        <v>53</v>
      </c>
      <c r="BE19" s="447">
        <f>SUM(BE8:BE18)</f>
        <v>26</v>
      </c>
      <c r="BF19" s="447">
        <f>SUM(BF8:BF18)</f>
        <v>33</v>
      </c>
      <c r="BG19" s="62">
        <f>SUM(BG8:BG18,BE19:BF19)/2</f>
        <v>59</v>
      </c>
      <c r="BH19" s="446"/>
      <c r="BI19" s="144">
        <f>SUM(BI8:BI18)</f>
        <v>173</v>
      </c>
      <c r="BJ19" s="145"/>
      <c r="BK19" s="181"/>
      <c r="BL19" s="172">
        <f>COUNTIF($BM$5:BM19,"&lt;-115")</f>
        <v>0</v>
      </c>
      <c r="BM19" s="154">
        <f>IFERROR(IF(OR(IFERROR(VLOOKUP(BN19,$E$3:$E$105,1,FALSE),"0")=BN19,IFERROR(VLOOKUP(BN19,$R$3:$R$105,1,FALSE),"0")=BN19),BO19,IF(OR(VLOOKUP(BN19,Расчет!A:E,5,FALSE)="2PS",VLOOKUP(BN19,Расчет!A:E,5,FALSE)="2QL"),IF(VLOOKUP(BN19,Расчет!A:B,2,FALSE)="831W",BN19-$BS$7+$AD$17,BN19-$BS$7+$AD$12),BN19-$BS$7)),"-")</f>
        <v>30</v>
      </c>
      <c r="BN19" s="154">
        <f>IF(OR(Расчет!C16="A0",Расчет!C16="P9",Расчет!B16="722W"),"-",Расчет!A16)</f>
        <v>11154</v>
      </c>
      <c r="BO19" s="173">
        <f t="shared" si="14"/>
        <v>0</v>
      </c>
      <c r="BP19" s="172">
        <f>IF(BQ19="-","-",IFERROR(IF(OR(VLOOKUP(BN19,Расчет!$A$2:$E$582,5,FALSE)="2PS",VLOOKUP(BN19,Расчет!$A$2:$E$582,5,FALSE)="2QL"),IF(OR(VLOOKUP(BN19,Расчет!$A$2:$E$582,2,FALSE)="664W",VLOOKUP(BN19,Расчет!$A$2:$E$582,2,FALSE)="813W"),IF(BN19-$BS$7&gt;150,BN19-$BS$7-1000+$AD$12,BN19-$BS$7+$AD$12),IF(BN19-$BS$7&gt;150,BN19-$BS$7-1000+$AD$17,BN19-$BS$7+$AD$17)),IF(BN19-$BS$7&gt;150,BN19-$BS$7-1000,BN19-$BS$7)),"-"))</f>
        <v>30</v>
      </c>
      <c r="BQ19" s="173">
        <f t="shared" si="11"/>
        <v>11154</v>
      </c>
      <c r="BR19" s="453"/>
      <c r="BS19" s="171"/>
      <c r="BT19" s="464" t="str">
        <f t="shared" si="12"/>
        <v>-</v>
      </c>
      <c r="BU19" s="464">
        <f t="shared" si="13"/>
        <v>30</v>
      </c>
      <c r="BX19" s="204">
        <f>COUNTIF($BY$4:BY19,"&lt;100")</f>
        <v>16</v>
      </c>
      <c r="BY19" s="213">
        <f t="shared" si="4"/>
        <v>0</v>
      </c>
      <c r="BZ19" s="216">
        <f t="shared" si="4"/>
        <v>0</v>
      </c>
      <c r="CA19" s="213">
        <f t="shared" si="5"/>
        <v>0</v>
      </c>
      <c r="CB19" s="209">
        <f t="shared" si="6"/>
        <v>0</v>
      </c>
      <c r="CC19" s="205">
        <f t="shared" si="15"/>
        <v>0</v>
      </c>
      <c r="CD19" s="205">
        <f t="shared" si="7"/>
        <v>21</v>
      </c>
      <c r="CE19" s="205">
        <f t="shared" si="16"/>
        <v>0</v>
      </c>
      <c r="CG19" s="20" t="str">
        <f t="shared" si="24"/>
        <v>CVT</v>
      </c>
    </row>
    <row r="20" spans="1:85" ht="23.1" customHeight="1" thickBot="1">
      <c r="A20" s="40">
        <f>IF(AND(IFERROR(VLOOKUP(E20,Расчет!A:J,10,FALSE),"  ")&lt;&gt;"  ",IFERROR(LEFT(VLOOKUP(E20,Расчет!A:J,10,FALSE),1)," ")&lt;&gt;"H"),0,IFERROR(IF(F20="Camry",IF(OR(J20="2PS",J20="2QL"),IF(E20-AP20&gt;100,E20-AP20-1000+$AD$12,E20-AP20+$AD$12),IF(E20-AP20&gt;100,E20-AP20-1000,E20-AP20)),IF(J20="2PS",IF(E20-AP20&gt;100,E20-AP20-1000+$AD$17,E20-AP20+$AD$17),IF(E20-AP20&gt;100,E20-AP20-1000,E20-AP20))),"-"))</f>
        <v>9</v>
      </c>
      <c r="B20" s="46">
        <v>18</v>
      </c>
      <c r="C20" s="19">
        <f>IF(E20="","",COUNTA($E$3:E20))</f>
        <v>18</v>
      </c>
      <c r="D20" s="18">
        <f t="shared" si="0"/>
        <v>113</v>
      </c>
      <c r="E20" s="30">
        <v>11192</v>
      </c>
      <c r="F20" s="44" t="str">
        <f>IFERROR(IF(VLOOKUP(E20,Расчет!$A$2:$B$650,2,FALSE)="664W","Camry",IF(VLOOKUP(E20,Расчет!$A$2:$B$650,2,FALSE)="813W","Goshi","RAV4")),"")</f>
        <v>Camry</v>
      </c>
      <c r="G20" s="32" t="str">
        <f>IFERROR(IF(F20="Camry",VLOOKUP(E20,Расчет!$A$2:$Q$650,17,FALSE),VLOOKUP(E20,Расчет!$A$2:$R$650,18,FALSE)),"")</f>
        <v>Standard</v>
      </c>
      <c r="H20" s="32" t="str">
        <f>IFERROR(VLOOKUP(VLOOKUP(E20,Расчет!$A:$D,4,FALSE),$AT$6:$AV$15,3,FALSE),"")</f>
        <v/>
      </c>
      <c r="I20" s="31" t="str">
        <f>IFERROR(VLOOKUP(IFERROR(VLOOKUP(E20,Расчет!$A$2:$D$650,4,FALSE),0),$AT$3:$AU$15,2,FALSE),"")</f>
        <v>2,5 L</v>
      </c>
      <c r="J20" s="33" t="str">
        <f>IFERROR(VLOOKUP(E20,Расчет!$A$2:$E$650,5,FALSE),"")</f>
        <v>218</v>
      </c>
      <c r="K20" s="189">
        <v>0.75222222222222224</v>
      </c>
      <c r="L20" s="188">
        <f t="shared" si="9"/>
        <v>1.8750000000000711E-3</v>
      </c>
      <c r="M20" s="43"/>
      <c r="N20" s="40" t="str">
        <f>IF(AND(IFERROR(VLOOKUP(R20,Расчет!A:J,10,FALSE),"  ")&lt;&gt;"  ",IFERROR(LEFT(VLOOKUP(R20,Расчет!A:J,10,FALSE),1)," ")&lt;&gt;"H"),0,IFERROR(IF(S20="Camry",IF(OR(W20="2PS",W20="2QL"),IF(R20-AP123&gt;100,R20-AP123-1000+$AD$12,R20-AP123+$AD$12),IF(R20-AP123&gt;100,R20-AP123-1000,R20-AP123)),IF(W20="2PS",IF(R20-AP123&gt;100,R20-AP123-1000+$AD$17,R20-AP123+$AD$17),IF(R20-AP123&gt;100,R20-AP123-1000,R20-AP123))),"-"))</f>
        <v>-</v>
      </c>
      <c r="O20" s="46">
        <v>121</v>
      </c>
      <c r="P20" s="19" t="str">
        <f>IF(R20="","",COUNTA($R$3:R20)+$C$105)</f>
        <v/>
      </c>
      <c r="Q20" s="18" t="str">
        <f t="shared" si="1"/>
        <v/>
      </c>
      <c r="R20" s="30"/>
      <c r="S20" s="45" t="str">
        <f>IFERROR(IF(VLOOKUP(R20,Расчет!$A$2:$B$650,2,FALSE)="664W","Camry",IF(VLOOKUP(R20,Расчет!$A$2:$B$650,2,FALSE)="813W","Goshi","RAV4")),"")</f>
        <v/>
      </c>
      <c r="T20" s="32" t="str">
        <f>IFERROR(IF(S20="Camry",VLOOKUP(R20,Расчет!$A$2:$Q$650,17,FALSE),VLOOKUP(R20,Расчет!$A$2:$R$650,18,FALSE)),"")</f>
        <v/>
      </c>
      <c r="U20" s="32" t="str">
        <f>IFERROR(VLOOKUP(VLOOKUP(R20,Расчет!$A:$D,4,FALSE),$AT$6:$AV$15,3,FALSE),"")</f>
        <v/>
      </c>
      <c r="V20" s="31" t="str">
        <f>IFERROR(VLOOKUP(IFERROR(VLOOKUP(R20,Расчет!$A$2:$D$650,4,FALSE),0),$AT$3:$AU$15,2,FALSE),"")</f>
        <v/>
      </c>
      <c r="W20" s="33" t="str">
        <f>IFERROR(VLOOKUP(R20,Расчет!$A$2:$E$650,5,FALSE),"")</f>
        <v/>
      </c>
      <c r="X20" s="189"/>
      <c r="Y20" s="191">
        <f t="shared" si="10"/>
        <v>0</v>
      </c>
      <c r="Z20" s="397"/>
      <c r="AA20" s="399"/>
      <c r="AB20" s="421" t="str">
        <f>IFERROR(VLOOKUP(AC20,Расчет!$BS:$BT,2,FALSE),"")</f>
        <v/>
      </c>
      <c r="AC20" s="403"/>
      <c r="AD20" s="413"/>
      <c r="AE20" s="195">
        <v>18</v>
      </c>
      <c r="AF20" s="44" t="str">
        <f>IF(VLOOKUP(AE20,Расчет!$AH$2:$AN$201,5,FALSE)="8","C",IF(VLOOKUP(AE20,Расчет!$AH$2:$AN$201,5,FALSE)="G","G","R"))</f>
        <v>C</v>
      </c>
      <c r="AG20" s="73" t="str">
        <f t="shared" si="2"/>
        <v>C</v>
      </c>
      <c r="AH20" s="87">
        <f>IF(AG20="","",COUNTIF($AG$2:AG20,"C")-COUNTIF($AF$2:AF20,"C")+$AH$1)</f>
        <v>0</v>
      </c>
      <c r="AI20" s="87">
        <f>IF(AG20="","",COUNTIF($AG$2:AG20,"R")-COUNTIF($AF$2:AF20,"R")+$AI$1)</f>
        <v>0</v>
      </c>
      <c r="AJ20" s="89">
        <v>121</v>
      </c>
      <c r="AK20" s="44" t="str">
        <f>IF(VLOOKUP(AJ20,Расчет!$AH$2:$AN$211,5,FALSE)="8","C",IF(VLOOKUP(AJ20,Расчет!$AH$2:$AN$211,5,FALSE)="G","G","R"))</f>
        <v>C</v>
      </c>
      <c r="AL20" s="74" t="str">
        <f t="shared" si="3"/>
        <v/>
      </c>
      <c r="AM20" s="118" t="str">
        <f>IF(AL20="","",(COUNTIF($AG$2:$AG$105,"C")+COUNTIF($AL$2:$AL20,"C"))-(COUNTIF($AF$2:$AF$105,"C")+COUNTIF($AK$2:$AK20,"C"))+$AH$1)</f>
        <v/>
      </c>
      <c r="AN20" s="119" t="str">
        <f>IF(AL20="","",(COUNTIF($AG$2:$AG$105,"R")+COUNTIF($AL$2:$AL20,"R"))-(COUNTIF($AF$2:$AF$105,"R")+COUNTIF($AK$2:$AK20,"R"))+$AI$1)</f>
        <v/>
      </c>
      <c r="AO20" s="22">
        <f>IF(E20="","",COUNTA($E$3:E20)+$Z$1)</f>
        <v>113</v>
      </c>
      <c r="AP20" s="88">
        <f>IF(AO20="","",IF(AO20+Расчет!$Y$57+$BD$2-Расчет!$X$57&gt;200,AO20+Расчет!$Y$57+$BD$2-1000,AO20+Расчет!$Y$57+$BD$2))</f>
        <v>11183</v>
      </c>
      <c r="AQ20" s="272"/>
      <c r="AR20" s="92"/>
      <c r="AS20" s="92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172">
        <f>COUNTIF($BM$5:BM20,"&lt;-115")</f>
        <v>0</v>
      </c>
      <c r="BM20" s="154" t="str">
        <f>IFERROR(IF(OR(IFERROR(VLOOKUP(BN20,$E$3:$E$105,1,FALSE),"0")=BN20,IFERROR(VLOOKUP(BN20,$R$3:$R$105,1,FALSE),"0")=BN20),BO20,IF(OR(VLOOKUP(BN20,Расчет!A:E,5,FALSE)="2PS",VLOOKUP(BN20,Расчет!A:E,5,FALSE)="2QL"),IF(VLOOKUP(BN20,Расчет!A:B,2,FALSE)="831W",BN20-$BS$7+$AD$17,BN20-$BS$7+$AD$12),BN20-$BS$7)),"-")</f>
        <v>-</v>
      </c>
      <c r="BN20" s="154" t="str">
        <f>IF(OR(Расчет!C17="A0",Расчет!C17="P9",Расчет!B17="722W"),"-",Расчет!A17)</f>
        <v>-</v>
      </c>
      <c r="BO20" s="173">
        <f t="shared" si="14"/>
        <v>0</v>
      </c>
      <c r="BP20" s="172" t="str">
        <f>IF(BQ20="-","-",IFERROR(IF(OR(VLOOKUP(BN20,Расчет!$A$2:$E$582,5,FALSE)="2PS",VLOOKUP(BN20,Расчет!$A$2:$E$582,5,FALSE)="2QL"),IF(OR(VLOOKUP(BN20,Расчет!$A$2:$E$582,2,FALSE)="664W",VLOOKUP(BN20,Расчет!$A$2:$E$582,2,FALSE)="813W"),IF(BN20-$BS$7&gt;150,BN20-$BS$7-1000+$AD$12,BN20-$BS$7+$AD$12),IF(BN20-$BS$7&gt;150,BN20-$BS$7-1000+$AD$17,BN20-$BS$7+$AD$17)),IF(BN20-$BS$7&gt;150,BN20-$BS$7-1000,BN20-$BS$7)),"-"))</f>
        <v>-</v>
      </c>
      <c r="BQ20" s="173" t="str">
        <f t="shared" si="11"/>
        <v>-</v>
      </c>
      <c r="BR20" s="453"/>
      <c r="BS20" s="171"/>
      <c r="BT20" s="464" t="str">
        <f t="shared" si="12"/>
        <v>-</v>
      </c>
      <c r="BU20" s="464" t="str">
        <f t="shared" si="13"/>
        <v>-</v>
      </c>
      <c r="BX20" s="204">
        <f>COUNTIF($BY$4:BY20,"&lt;100")</f>
        <v>17</v>
      </c>
      <c r="BY20" s="213">
        <f t="shared" si="4"/>
        <v>0</v>
      </c>
      <c r="BZ20" s="216">
        <f t="shared" si="4"/>
        <v>0</v>
      </c>
      <c r="CA20" s="213">
        <f t="shared" si="5"/>
        <v>0</v>
      </c>
      <c r="CB20" s="209">
        <f t="shared" si="6"/>
        <v>0</v>
      </c>
      <c r="CC20" s="205">
        <f t="shared" si="15"/>
        <v>0</v>
      </c>
      <c r="CD20" s="205">
        <f t="shared" si="7"/>
        <v>16</v>
      </c>
      <c r="CE20" s="205">
        <f t="shared" si="16"/>
        <v>0</v>
      </c>
      <c r="CG20" s="20" t="str">
        <f t="shared" si="24"/>
        <v>Standard</v>
      </c>
    </row>
    <row r="21" spans="1:85" ht="23.1" customHeight="1" thickBot="1">
      <c r="A21" s="40">
        <f>IF(AND(IFERROR(VLOOKUP(E21,Расчет!A:J,10,FALSE),"  ")&lt;&gt;"  ",IFERROR(LEFT(VLOOKUP(E21,Расчет!A:J,10,FALSE),1)," ")&lt;&gt;"H"),0,IFERROR(IF(F21="Camry",IF(OR(J21="2PS",J21="2QL"),IF(E21-AP21&gt;100,E21-AP21-1000+$AD$12,E21-AP21+$AD$12),IF(E21-AP21&gt;100,E21-AP21-1000,E21-AP21)),IF(J21="2PS",IF(E21-AP21&gt;100,E21-AP21-1000+$AD$17,E21-AP21+$AD$17),IF(E21-AP21&gt;100,E21-AP21-1000,E21-AP21))),"-"))</f>
        <v>20</v>
      </c>
      <c r="B21" s="46">
        <v>19</v>
      </c>
      <c r="C21" s="19">
        <f>IF(E21="","",COUNTA($E$3:E21))</f>
        <v>19</v>
      </c>
      <c r="D21" s="18">
        <f t="shared" si="0"/>
        <v>114</v>
      </c>
      <c r="E21" s="30">
        <v>11204</v>
      </c>
      <c r="F21" s="44" t="str">
        <f>IFERROR(IF(VLOOKUP(E21,Расчет!$A$2:$B$650,2,FALSE)="664W","Camry",IF(VLOOKUP(E21,Расчет!$A$2:$B$650,2,FALSE)="813W","Goshi","RAV4")),"")</f>
        <v>RAV4</v>
      </c>
      <c r="G21" s="32" t="str">
        <f>IFERROR(IF(F21="Camry",VLOOKUP(E21,Расчет!$A$2:$Q$650,17,FALSE),VLOOKUP(E21,Расчет!$A$2:$R$650,18,FALSE)),"")</f>
        <v>CVT</v>
      </c>
      <c r="H21" s="32" t="str">
        <f>IFERROR(VLOOKUP(VLOOKUP(E21,Расчет!$A:$D,4,FALSE),$AT$6:$AV$15,3,FALSE),"")</f>
        <v>TWIN-C</v>
      </c>
      <c r="I21" s="31" t="str">
        <f>IFERROR(VLOOKUP(IFERROR(VLOOKUP(E21,Расчет!$A$2:$D$650,4,FALSE),0),$AT$3:$AU$15,2,FALSE),"")</f>
        <v>2,0 L</v>
      </c>
      <c r="J21" s="33" t="str">
        <f>IFERROR(VLOOKUP(E21,Расчет!$A$2:$E$650,5,FALSE),"")</f>
        <v>218</v>
      </c>
      <c r="K21" s="189">
        <v>0.7540162037037037</v>
      </c>
      <c r="L21" s="188">
        <f t="shared" si="9"/>
        <v>1.7939814814814659E-3</v>
      </c>
      <c r="M21" s="43"/>
      <c r="N21" s="40" t="str">
        <f>IF(AND(IFERROR(VLOOKUP(R21,Расчет!A:J,10,FALSE),"  ")&lt;&gt;"  ",IFERROR(LEFT(VLOOKUP(R21,Расчет!A:J,10,FALSE),1)," ")&lt;&gt;"H"),0,IFERROR(IF(S21="Camry",IF(OR(W21="2PS",W21="2QL"),IF(R21-AP124&gt;100,R21-AP124-1000+$AD$12,R21-AP124+$AD$12),IF(R21-AP124&gt;100,R21-AP124-1000,R21-AP124)),IF(W21="2PS",IF(R21-AP124&gt;100,R21-AP124-1000+$AD$17,R21-AP124+$AD$17),IF(R21-AP124&gt;100,R21-AP124-1000,R21-AP124))),"-"))</f>
        <v>-</v>
      </c>
      <c r="O21" s="46">
        <v>122</v>
      </c>
      <c r="P21" s="19" t="str">
        <f>IF(R21="","",COUNTA($R$3:R21)+$C$105)</f>
        <v/>
      </c>
      <c r="Q21" s="18" t="str">
        <f t="shared" si="1"/>
        <v/>
      </c>
      <c r="R21" s="30"/>
      <c r="S21" s="45" t="str">
        <f>IFERROR(IF(VLOOKUP(R21,Расчет!$A$2:$B$650,2,FALSE)="664W","Camry",IF(VLOOKUP(R21,Расчет!$A$2:$B$650,2,FALSE)="813W","Goshi","RAV4")),"")</f>
        <v/>
      </c>
      <c r="T21" s="32" t="str">
        <f>IFERROR(IF(S21="Camry",VLOOKUP(R21,Расчет!$A$2:$Q$650,17,FALSE),VLOOKUP(R21,Расчет!$A$2:$R$650,18,FALSE)),"")</f>
        <v/>
      </c>
      <c r="U21" s="32" t="str">
        <f>IFERROR(VLOOKUP(VLOOKUP(R21,Расчет!$A:$D,4,FALSE),$AT$6:$AV$15,3,FALSE),"")</f>
        <v/>
      </c>
      <c r="V21" s="31" t="str">
        <f>IFERROR(VLOOKUP(IFERROR(VLOOKUP(R21,Расчет!$A$2:$D$650,4,FALSE),0),$AT$3:$AU$15,2,FALSE),"")</f>
        <v/>
      </c>
      <c r="W21" s="33" t="str">
        <f>IFERROR(VLOOKUP(R21,Расчет!$A$2:$E$650,5,FALSE),"")</f>
        <v/>
      </c>
      <c r="X21" s="189"/>
      <c r="Y21" s="191">
        <f t="shared" si="10"/>
        <v>0</v>
      </c>
      <c r="Z21" s="613" t="s">
        <v>72</v>
      </c>
      <c r="AA21" s="688"/>
      <c r="AB21" s="688"/>
      <c r="AC21" s="688"/>
      <c r="AD21" s="614"/>
      <c r="AE21" s="195">
        <v>19</v>
      </c>
      <c r="AF21" s="44" t="str">
        <f>IF(VLOOKUP(AE21,Расчет!$AH$2:$AN$201,5,FALSE)="8","C",IF(VLOOKUP(AE21,Расчет!$AH$2:$AN$201,5,FALSE)="G","G","R"))</f>
        <v>R</v>
      </c>
      <c r="AG21" s="73" t="str">
        <f t="shared" si="2"/>
        <v>R</v>
      </c>
      <c r="AH21" s="87">
        <f>IF(AG21="","",COUNTIF($AG$2:AG21,"C")-COUNTIF($AF$2:AF21,"C")+$AH$1)</f>
        <v>0</v>
      </c>
      <c r="AI21" s="87">
        <f>IF(AG21="","",COUNTIF($AG$2:AG21,"R")-COUNTIF($AF$2:AF21,"R")+$AI$1)</f>
        <v>0</v>
      </c>
      <c r="AJ21" s="89">
        <v>122</v>
      </c>
      <c r="AK21" s="44" t="str">
        <f>IF(VLOOKUP(AJ21,Расчет!$AH$2:$AN$211,5,FALSE)="8","C",IF(VLOOKUP(AJ21,Расчет!$AH$2:$AN$211,5,FALSE)="G","G","R"))</f>
        <v>R</v>
      </c>
      <c r="AL21" s="74" t="str">
        <f t="shared" si="3"/>
        <v/>
      </c>
      <c r="AM21" s="118" t="str">
        <f>IF(AL21="","",(COUNTIF($AG$2:$AG$105,"C")+COUNTIF($AL$2:$AL21,"C"))-(COUNTIF($AF$2:$AF$105,"C")+COUNTIF($AK$2:$AK21,"C"))+$AH$1)</f>
        <v/>
      </c>
      <c r="AN21" s="119" t="str">
        <f>IF(AL21="","",(COUNTIF($AG$2:$AG$105,"R")+COUNTIF($AL$2:$AL21,"R"))-(COUNTIF($AF$2:$AF$105,"R")+COUNTIF($AK$2:$AK21,"R"))+$AI$1)</f>
        <v/>
      </c>
      <c r="AO21" s="22">
        <f>IF(E21="","",COUNTA($E$3:E21)+$Z$1)</f>
        <v>114</v>
      </c>
      <c r="AP21" s="88">
        <f>IF(AO21="","",IF(AO21+Расчет!$Y$57+$BD$2-Расчет!$X$57&gt;200,AO21+Расчет!$Y$57+$BD$2-1000,AO21+Расчет!$Y$57+$BD$2))</f>
        <v>11184</v>
      </c>
      <c r="AQ21" s="273"/>
      <c r="AR21" s="92"/>
      <c r="AS21" s="92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172">
        <f>COUNTIF($BM$5:BM21,"&lt;-115")</f>
        <v>0</v>
      </c>
      <c r="BM21" s="154" t="str">
        <f>IFERROR(IF(OR(IFERROR(VLOOKUP(BN21,$E$3:$E$105,1,FALSE),"0")=BN21,IFERROR(VLOOKUP(BN21,$R$3:$R$105,1,FALSE),"0")=BN21),BO21,IF(OR(VLOOKUP(BN21,Расчет!A:E,5,FALSE)="2PS",VLOOKUP(BN21,Расчет!A:E,5,FALSE)="2QL"),IF(VLOOKUP(BN21,Расчет!A:B,2,FALSE)="831W",BN21-$BS$7+$AD$17,BN21-$BS$7+$AD$12),BN21-$BS$7)),"-")</f>
        <v>-</v>
      </c>
      <c r="BN21" s="154" t="str">
        <f>IF(OR(Расчет!C18="A0",Расчет!C18="P9",Расчет!B18="722W"),"-",Расчет!A18)</f>
        <v>-</v>
      </c>
      <c r="BO21" s="173">
        <f t="shared" si="14"/>
        <v>0</v>
      </c>
      <c r="BP21" s="172" t="str">
        <f>IF(BQ21="-","-",IFERROR(IF(OR(VLOOKUP(BN21,Расчет!$A$2:$E$582,5,FALSE)="2PS",VLOOKUP(BN21,Расчет!$A$2:$E$582,5,FALSE)="2QL"),IF(OR(VLOOKUP(BN21,Расчет!$A$2:$E$582,2,FALSE)="664W",VLOOKUP(BN21,Расчет!$A$2:$E$582,2,FALSE)="813W"),IF(BN21-$BS$7&gt;150,BN21-$BS$7-1000+$AD$12,BN21-$BS$7+$AD$12),IF(BN21-$BS$7&gt;150,BN21-$BS$7-1000+$AD$17,BN21-$BS$7+$AD$17)),IF(BN21-$BS$7&gt;150,BN21-$BS$7-1000,BN21-$BS$7)),"-"))</f>
        <v>-</v>
      </c>
      <c r="BQ21" s="173" t="str">
        <f t="shared" si="11"/>
        <v>-</v>
      </c>
      <c r="BR21" s="453"/>
      <c r="BS21" s="171"/>
      <c r="BT21" s="464" t="str">
        <f t="shared" si="12"/>
        <v>-</v>
      </c>
      <c r="BU21" s="464" t="str">
        <f t="shared" si="13"/>
        <v>-</v>
      </c>
      <c r="BX21" s="204">
        <f>COUNTIF($BY$4:BY21,"&lt;100")</f>
        <v>18</v>
      </c>
      <c r="BY21" s="213">
        <f t="shared" si="4"/>
        <v>0</v>
      </c>
      <c r="BZ21" s="216">
        <f t="shared" si="4"/>
        <v>0</v>
      </c>
      <c r="CA21" s="213">
        <f t="shared" si="5"/>
        <v>0</v>
      </c>
      <c r="CB21" s="209">
        <f t="shared" si="6"/>
        <v>0</v>
      </c>
      <c r="CC21" s="205">
        <f t="shared" si="15"/>
        <v>0</v>
      </c>
      <c r="CD21" s="205">
        <f t="shared" si="7"/>
        <v>9</v>
      </c>
      <c r="CE21" s="205">
        <f t="shared" si="16"/>
        <v>0</v>
      </c>
      <c r="CG21" s="20" t="str">
        <f t="shared" si="24"/>
        <v>CVT</v>
      </c>
    </row>
    <row r="22" spans="1:85" ht="23.1" customHeight="1" thickBot="1">
      <c r="A22" s="40">
        <f>IF(AND(IFERROR(VLOOKUP(E22,Расчет!A:J,10,FALSE),"  ")&lt;&gt;"  ",IFERROR(LEFT(VLOOKUP(E22,Расчет!A:J,10,FALSE),1)," ")&lt;&gt;"H"),0,IFERROR(IF(F22="Camry",IF(OR(J22="2PS",J22="2QL"),IF(E22-AP22&gt;100,E22-AP22-1000+$AD$12,E22-AP22+$AD$12),IF(E22-AP22&gt;100,E22-AP22-1000,E22-AP22)),IF(J22="2PS",IF(E22-AP22&gt;100,E22-AP22-1000+$AD$17,E22-AP22+$AD$17),IF(E22-AP22&gt;100,E22-AP22-1000,E22-AP22))),"-"))</f>
        <v>5</v>
      </c>
      <c r="B22" s="46">
        <v>20</v>
      </c>
      <c r="C22" s="19">
        <f>IF(E22="","",COUNTA($E$3:E22))</f>
        <v>20</v>
      </c>
      <c r="D22" s="18">
        <f t="shared" si="0"/>
        <v>115</v>
      </c>
      <c r="E22" s="30">
        <v>11190</v>
      </c>
      <c r="F22" s="44" t="str">
        <f>IFERROR(IF(VLOOKUP(E22,Расчет!$A$2:$B$650,2,FALSE)="664W","Camry",IF(VLOOKUP(E22,Расчет!$A$2:$B$650,2,FALSE)="813W","Goshi","RAV4")),"")</f>
        <v>Camry</v>
      </c>
      <c r="G22" s="32" t="str">
        <f>IFERROR(IF(F22="Camry",VLOOKUP(E22,Расчет!$A$2:$Q$650,17,FALSE),VLOOKUP(E22,Расчет!$A$2:$R$650,18,FALSE)),"")</f>
        <v>Standard</v>
      </c>
      <c r="H22" s="32" t="str">
        <f>IFERROR(VLOOKUP(VLOOKUP(E22,Расчет!$A:$D,4,FALSE),$AT$6:$AV$15,3,FALSE),"")</f>
        <v/>
      </c>
      <c r="I22" s="31" t="str">
        <f>IFERROR(VLOOKUP(IFERROR(VLOOKUP(E22,Расчет!$A$2:$D$650,4,FALSE),0),$AT$3:$AU$15,2,FALSE),"")</f>
        <v>2,5 L</v>
      </c>
      <c r="J22" s="33" t="str">
        <f>IFERROR(VLOOKUP(E22,Расчет!$A$2:$E$650,5,FALSE),"")</f>
        <v>218</v>
      </c>
      <c r="K22" s="189">
        <v>0.75572916666666667</v>
      </c>
      <c r="L22" s="188">
        <f t="shared" si="9"/>
        <v>1.7129629629629717E-3</v>
      </c>
      <c r="M22" s="43"/>
      <c r="N22" s="40" t="str">
        <f>IF(AND(IFERROR(VLOOKUP(R22,Расчет!A:J,10,FALSE),"  ")&lt;&gt;"  ",IFERROR(LEFT(VLOOKUP(R22,Расчет!A:J,10,FALSE),1)," ")&lt;&gt;"H"),0,IFERROR(IF(S22="Camry",IF(OR(W22="2PS",W22="2QL"),IF(R22-AP125&gt;100,R22-AP125-1000+$AD$12,R22-AP125+$AD$12),IF(R22-AP125&gt;100,R22-AP125-1000,R22-AP125)),IF(W22="2PS",IF(R22-AP125&gt;100,R22-AP125-1000+$AD$17,R22-AP125+$AD$17),IF(R22-AP125&gt;100,R22-AP125-1000,R22-AP125))),"-"))</f>
        <v>-</v>
      </c>
      <c r="O22" s="46">
        <v>123</v>
      </c>
      <c r="P22" s="19" t="str">
        <f>IF(R22="","",COUNTA($R$3:R22)+$C$105)</f>
        <v/>
      </c>
      <c r="Q22" s="18" t="str">
        <f t="shared" si="1"/>
        <v/>
      </c>
      <c r="R22" s="30"/>
      <c r="S22" s="45" t="str">
        <f>IFERROR(IF(VLOOKUP(R22,Расчет!$A$2:$B$650,2,FALSE)="664W","Camry",IF(VLOOKUP(R22,Расчет!$A$2:$B$650,2,FALSE)="813W","Goshi","RAV4")),"")</f>
        <v/>
      </c>
      <c r="T22" s="32" t="str">
        <f>IFERROR(IF(S22="Camry",VLOOKUP(R22,Расчет!$A$2:$Q$650,17,FALSE),VLOOKUP(R22,Расчет!$A$2:$R$650,18,FALSE)),"")</f>
        <v/>
      </c>
      <c r="U22" s="32" t="str">
        <f>IFERROR(VLOOKUP(VLOOKUP(R22,Расчет!$A:$D,4,FALSE),$AT$6:$AV$15,3,FALSE),"")</f>
        <v/>
      </c>
      <c r="V22" s="31" t="str">
        <f>IFERROR(VLOOKUP(IFERROR(VLOOKUP(R22,Расчет!$A$2:$D$650,4,FALSE),0),$AT$3:$AU$15,2,FALSE),"")</f>
        <v/>
      </c>
      <c r="W22" s="33" t="str">
        <f>IFERROR(VLOOKUP(R22,Расчет!$A$2:$E$650,5,FALSE),"")</f>
        <v/>
      </c>
      <c r="X22" s="189"/>
      <c r="Y22" s="191">
        <f t="shared" si="10"/>
        <v>0</v>
      </c>
      <c r="Z22" s="691" t="s">
        <v>145</v>
      </c>
      <c r="AA22" s="692"/>
      <c r="AB22" s="692"/>
      <c r="AC22" s="692"/>
      <c r="AD22" s="693"/>
      <c r="AE22" s="195">
        <v>20</v>
      </c>
      <c r="AF22" s="44" t="str">
        <f>IF(VLOOKUP(AE22,Расчет!$AH$2:$AN$201,5,FALSE)="8","C",IF(VLOOKUP(AE22,Расчет!$AH$2:$AN$201,5,FALSE)="G","G","R"))</f>
        <v>C</v>
      </c>
      <c r="AG22" s="73" t="str">
        <f t="shared" si="2"/>
        <v>C</v>
      </c>
      <c r="AH22" s="87">
        <f>IF(AG22="","",COUNTIF($AG$2:AG22,"C")-COUNTIF($AF$2:AF22,"C")+$AH$1)</f>
        <v>0</v>
      </c>
      <c r="AI22" s="87">
        <f>IF(AG22="","",COUNTIF($AG$2:AG22,"R")-COUNTIF($AF$2:AF22,"R")+$AI$1)</f>
        <v>0</v>
      </c>
      <c r="AJ22" s="89">
        <v>123</v>
      </c>
      <c r="AK22" s="44" t="str">
        <f>IF(VLOOKUP(AJ22,Расчет!$AH$2:$AN$211,5,FALSE)="8","C",IF(VLOOKUP(AJ22,Расчет!$AH$2:$AN$211,5,FALSE)="G","G","R"))</f>
        <v>C</v>
      </c>
      <c r="AL22" s="74" t="str">
        <f t="shared" si="3"/>
        <v/>
      </c>
      <c r="AM22" s="118" t="str">
        <f>IF(AL22="","",(COUNTIF($AG$2:$AG$105,"C")+COUNTIF($AL$2:$AL22,"C"))-(COUNTIF($AF$2:$AF$105,"C")+COUNTIF($AK$2:$AK22,"C"))+$AH$1)</f>
        <v/>
      </c>
      <c r="AN22" s="119" t="str">
        <f>IF(AL22="","",(COUNTIF($AG$2:$AG$105,"R")+COUNTIF($AL$2:$AL22,"R"))-(COUNTIF($AF$2:$AF$105,"R")+COUNTIF($AK$2:$AK22,"R"))+$AI$1)</f>
        <v/>
      </c>
      <c r="AO22" s="22">
        <f>IF(E22="","",COUNTA($E$3:E22)+$Z$1)</f>
        <v>115</v>
      </c>
      <c r="AP22" s="88">
        <f>IF(AO22="","",IF(AO22+Расчет!$Y$57+$BD$2-Расчет!$X$57&gt;200,AO22+Расчет!$Y$57+$BD$2-1000,AO22+Расчет!$Y$57+$BD$2))</f>
        <v>11185</v>
      </c>
      <c r="AR22" s="92"/>
      <c r="AS22" s="92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172">
        <f>COUNTIF($BM$5:BM22,"&lt;-115")</f>
        <v>0</v>
      </c>
      <c r="BM22" s="154" t="str">
        <f>IFERROR(IF(OR(IFERROR(VLOOKUP(BN22,$E$3:$E$105,1,FALSE),"0")=BN22,IFERROR(VLOOKUP(BN22,$R$3:$R$105,1,FALSE),"0")=BN22),BO22,IF(OR(VLOOKUP(BN22,Расчет!A:E,5,FALSE)="2PS",VLOOKUP(BN22,Расчет!A:E,5,FALSE)="2QL"),IF(VLOOKUP(BN22,Расчет!A:B,2,FALSE)="831W",BN22-$BS$7+$AD$17,BN22-$BS$7+$AD$12),BN22-$BS$7)),"-")</f>
        <v>-</v>
      </c>
      <c r="BN22" s="154" t="str">
        <f>IF(OR(Расчет!C19="A0",Расчет!C19="P9",Расчет!B19="722W"),"-",Расчет!A19)</f>
        <v>-</v>
      </c>
      <c r="BO22" s="173">
        <f t="shared" si="14"/>
        <v>0</v>
      </c>
      <c r="BP22" s="172" t="str">
        <f>IF(BQ22="-","-",IFERROR(IF(OR(VLOOKUP(BN22,Расчет!$A$2:$E$582,5,FALSE)="2PS",VLOOKUP(BN22,Расчет!$A$2:$E$582,5,FALSE)="2QL"),IF(OR(VLOOKUP(BN22,Расчет!$A$2:$E$582,2,FALSE)="664W",VLOOKUP(BN22,Расчет!$A$2:$E$582,2,FALSE)="813W"),IF(BN22-$BS$7&gt;150,BN22-$BS$7-1000+$AD$12,BN22-$BS$7+$AD$12),IF(BN22-$BS$7&gt;150,BN22-$BS$7-1000+$AD$17,BN22-$BS$7+$AD$17)),IF(BN22-$BS$7&gt;150,BN22-$BS$7-1000,BN22-$BS$7)),"-"))</f>
        <v>-</v>
      </c>
      <c r="BQ22" s="173" t="str">
        <f t="shared" si="11"/>
        <v>-</v>
      </c>
      <c r="BR22" s="453"/>
      <c r="BS22" s="171"/>
      <c r="BT22" s="464" t="str">
        <f t="shared" si="12"/>
        <v>-</v>
      </c>
      <c r="BU22" s="464" t="str">
        <f t="shared" si="13"/>
        <v>-</v>
      </c>
      <c r="BX22" s="204">
        <f>COUNTIF($BY$4:BY22,"&lt;100")</f>
        <v>19</v>
      </c>
      <c r="BY22" s="213">
        <f t="shared" si="4"/>
        <v>0</v>
      </c>
      <c r="BZ22" s="216">
        <f t="shared" si="4"/>
        <v>0</v>
      </c>
      <c r="CA22" s="213">
        <f t="shared" si="5"/>
        <v>0</v>
      </c>
      <c r="CB22" s="209">
        <f t="shared" si="6"/>
        <v>0</v>
      </c>
      <c r="CC22" s="205">
        <f t="shared" si="15"/>
        <v>0</v>
      </c>
      <c r="CD22" s="205">
        <f t="shared" si="7"/>
        <v>20</v>
      </c>
      <c r="CE22" s="205">
        <f t="shared" si="16"/>
        <v>0</v>
      </c>
      <c r="CG22" s="20" t="str">
        <f t="shared" si="24"/>
        <v>Sport</v>
      </c>
    </row>
    <row r="23" spans="1:85" ht="23.1" customHeight="1" thickBot="1">
      <c r="A23" s="40">
        <f>IF(AND(IFERROR(VLOOKUP(E23,Расчет!A:J,10,FALSE),"  ")&lt;&gt;"  ",IFERROR(LEFT(VLOOKUP(E23,Расчет!A:J,10,FALSE),1)," ")&lt;&gt;"H"),0,IFERROR(IF(F23="Camry",IF(OR(J23="2PS",J23="2QL"),IF(E23-AP23&gt;100,E23-AP23-1000+$AD$12,E23-AP23+$AD$12),IF(E23-AP23&gt;100,E23-AP23-1000,E23-AP23)),IF(J23="2PS",IF(E23-AP23&gt;100,E23-AP23-1000+$AD$17,E23-AP23+$AD$17),IF(E23-AP23&gt;100,E23-AP23-1000,E23-AP23))),"-"))</f>
        <v>19</v>
      </c>
      <c r="B23" s="46">
        <v>21</v>
      </c>
      <c r="C23" s="19">
        <f>IF(E23="","",COUNTA($E$3:E23))</f>
        <v>21</v>
      </c>
      <c r="D23" s="18">
        <f t="shared" si="0"/>
        <v>116</v>
      </c>
      <c r="E23" s="30">
        <v>11205</v>
      </c>
      <c r="F23" s="44" t="str">
        <f>IFERROR(IF(VLOOKUP(E23,Расчет!$A$2:$B$650,2,FALSE)="664W","Camry",IF(VLOOKUP(E23,Расчет!$A$2:$B$650,2,FALSE)="813W","Goshi","RAV4")),"")</f>
        <v>RAV4</v>
      </c>
      <c r="G23" s="32" t="str">
        <f>IFERROR(IF(F23="Camry",VLOOKUP(E23,Расчет!$A$2:$Q$650,17,FALSE),VLOOKUP(E23,Расчет!$A$2:$R$650,18,FALSE)),"")</f>
        <v>Auto</v>
      </c>
      <c r="H23" s="32" t="str">
        <f>IFERROR(VLOOKUP(VLOOKUP(E23,Расчет!$A:$D,4,FALSE),$AT$6:$AV$15,3,FALSE),"")</f>
        <v>4WD</v>
      </c>
      <c r="I23" s="31" t="str">
        <f>IFERROR(VLOOKUP(IFERROR(VLOOKUP(E23,Расчет!$A$2:$D$650,4,FALSE),0),$AT$3:$AU$15,2,FALSE),"")</f>
        <v>2,5 L</v>
      </c>
      <c r="J23" s="33" t="str">
        <f>IFERROR(VLOOKUP(E23,Расчет!$A$2:$E$650,5,FALSE),"")</f>
        <v>4X7</v>
      </c>
      <c r="K23" s="189">
        <v>0.75744212962962953</v>
      </c>
      <c r="L23" s="188">
        <f t="shared" si="9"/>
        <v>1.7129629629628607E-3</v>
      </c>
      <c r="M23" s="43"/>
      <c r="N23" s="40" t="str">
        <f>IF(AND(IFERROR(VLOOKUP(R23,Расчет!A:J,10,FALSE),"  ")&lt;&gt;"  ",IFERROR(LEFT(VLOOKUP(R23,Расчет!A:J,10,FALSE),1)," ")&lt;&gt;"H"),0,IFERROR(IF(S23="Camry",IF(OR(W23="2PS",W23="2QL"),IF(R23-AP126&gt;100,R23-AP126-1000+$AD$12,R23-AP126+$AD$12),IF(R23-AP126&gt;100,R23-AP126-1000,R23-AP126)),IF(W23="2PS",IF(R23-AP126&gt;100,R23-AP126-1000+$AD$17,R23-AP126+$AD$17),IF(R23-AP126&gt;100,R23-AP126-1000,R23-AP126))),"-"))</f>
        <v>-</v>
      </c>
      <c r="O23" s="46">
        <v>124</v>
      </c>
      <c r="P23" s="19" t="str">
        <f>IF(R23="","",COUNTA($R$3:R23)+$C$105)</f>
        <v/>
      </c>
      <c r="Q23" s="18" t="str">
        <f t="shared" si="1"/>
        <v/>
      </c>
      <c r="R23" s="30"/>
      <c r="S23" s="45" t="str">
        <f>IFERROR(IF(VLOOKUP(R23,Расчет!$A$2:$B$650,2,FALSE)="664W","Camry",IF(VLOOKUP(R23,Расчет!$A$2:$B$650,2,FALSE)="813W","Goshi","RAV4")),"")</f>
        <v/>
      </c>
      <c r="T23" s="32" t="str">
        <f>IFERROR(IF(S23="Camry",VLOOKUP(R23,Расчет!$A$2:$Q$650,17,FALSE),VLOOKUP(R23,Расчет!$A$2:$R$650,18,FALSE)),"")</f>
        <v/>
      </c>
      <c r="U23" s="32" t="str">
        <f>IFERROR(VLOOKUP(VLOOKUP(R23,Расчет!$A:$D,4,FALSE),$AT$6:$AV$15,3,FALSE),"")</f>
        <v/>
      </c>
      <c r="V23" s="31" t="str">
        <f>IFERROR(VLOOKUP(IFERROR(VLOOKUP(R23,Расчет!$A$2:$D$650,4,FALSE),0),$AT$3:$AU$15,2,FALSE),"")</f>
        <v/>
      </c>
      <c r="W23" s="33" t="str">
        <f>IFERROR(VLOOKUP(R23,Расчет!$A$2:$E$650,5,FALSE),"")</f>
        <v/>
      </c>
      <c r="X23" s="189"/>
      <c r="Y23" s="191">
        <f t="shared" si="10"/>
        <v>0</v>
      </c>
      <c r="Z23" s="155" t="s">
        <v>27</v>
      </c>
      <c r="AA23" s="161" t="s">
        <v>8</v>
      </c>
      <c r="AB23" s="155" t="s">
        <v>137</v>
      </c>
      <c r="AC23" s="155" t="s">
        <v>26</v>
      </c>
      <c r="AD23" s="146" t="s">
        <v>132</v>
      </c>
      <c r="AE23" s="89">
        <v>21</v>
      </c>
      <c r="AF23" s="44" t="str">
        <f>IF(VLOOKUP(AE23,Расчет!$AH$2:$AN$201,5,FALSE)="8","C",IF(VLOOKUP(AE23,Расчет!$AH$2:$AN$201,5,FALSE)="G","G","R"))</f>
        <v>R</v>
      </c>
      <c r="AG23" s="73" t="str">
        <f t="shared" si="2"/>
        <v>R</v>
      </c>
      <c r="AH23" s="87">
        <f>IF(AG23="","",COUNTIF($AG$2:AG23,"C")-COUNTIF($AF$2:AF23,"C")+$AH$1)</f>
        <v>0</v>
      </c>
      <c r="AI23" s="87">
        <f>IF(AG23="","",COUNTIF($AG$2:AG23,"R")-COUNTIF($AF$2:AF23,"R")+$AI$1)</f>
        <v>0</v>
      </c>
      <c r="AJ23" s="89">
        <v>124</v>
      </c>
      <c r="AK23" s="44" t="str">
        <f>IF(VLOOKUP(AJ23,Расчет!$AH$2:$AN$211,5,FALSE)="8","C",IF(VLOOKUP(AJ23,Расчет!$AH$2:$AN$211,5,FALSE)="G","G","R"))</f>
        <v>R</v>
      </c>
      <c r="AL23" s="74" t="str">
        <f t="shared" si="3"/>
        <v/>
      </c>
      <c r="AM23" s="118" t="str">
        <f>IF(AL23="","",(COUNTIF($AG$2:$AG$105,"C")+COUNTIF($AL$2:$AL23,"C"))-(COUNTIF($AF$2:$AF$105,"C")+COUNTIF($AK$2:$AK23,"C"))+$AH$1)</f>
        <v/>
      </c>
      <c r="AN23" s="119" t="str">
        <f>IF(AL23="","",(COUNTIF($AG$2:$AG$105,"R")+COUNTIF($AL$2:$AL23,"R"))-(COUNTIF($AF$2:$AF$105,"R")+COUNTIF($AK$2:$AK23,"R"))+$AI$1)</f>
        <v/>
      </c>
      <c r="AO23" s="22">
        <f>IF(E23="","",COUNTA($E$3:E23)+$Z$1)</f>
        <v>116</v>
      </c>
      <c r="AP23" s="88">
        <f>IF(AO23="","",IF(AO23+Расчет!$Y$57+$BD$2-Расчет!$X$57&gt;200,AO23+Расчет!$Y$57+$BD$2-1000,AO23+Расчет!$Y$57+$BD$2))</f>
        <v>11186</v>
      </c>
      <c r="AQ23" s="272"/>
      <c r="AR23" s="92"/>
      <c r="AS23" s="92"/>
      <c r="AW23" s="48"/>
      <c r="AX23" s="659" t="s">
        <v>100</v>
      </c>
      <c r="AY23" s="660"/>
      <c r="AZ23" s="660"/>
      <c r="BA23" s="660"/>
      <c r="BB23" s="660"/>
      <c r="BC23" s="660"/>
      <c r="BD23" s="660"/>
      <c r="BE23" s="660"/>
      <c r="BF23" s="660"/>
      <c r="BG23" s="661"/>
      <c r="BH23" s="686" t="s">
        <v>18</v>
      </c>
      <c r="BI23" s="687"/>
      <c r="BJ23" s="146" t="s">
        <v>2</v>
      </c>
      <c r="BK23" s="146" t="s">
        <v>133</v>
      </c>
      <c r="BL23" s="172">
        <f>COUNTIF($BM$5:BM23,"&lt;-115")</f>
        <v>0</v>
      </c>
      <c r="BM23" s="154" t="str">
        <f>IFERROR(IF(OR(IFERROR(VLOOKUP(BN23,$E$3:$E$105,1,FALSE),"0")=BN23,IFERROR(VLOOKUP(BN23,$R$3:$R$105,1,FALSE),"0")=BN23),BO23,IF(OR(VLOOKUP(BN23,Расчет!A:E,5,FALSE)="2PS",VLOOKUP(BN23,Расчет!A:E,5,FALSE)="2QL"),IF(VLOOKUP(BN23,Расчет!A:B,2,FALSE)="831W",BN23-$BS$7+$AD$17,BN23-$BS$7+$AD$12),BN23-$BS$7)),"-")</f>
        <v>-</v>
      </c>
      <c r="BN23" s="154" t="str">
        <f>IF(OR(Расчет!C20="A0",Расчет!C20="P9",Расчет!B20="722W"),"-",Расчет!A20)</f>
        <v>-</v>
      </c>
      <c r="BO23" s="173">
        <f t="shared" si="14"/>
        <v>0</v>
      </c>
      <c r="BP23" s="172" t="str">
        <f>IF(BQ23="-","-",IFERROR(IF(OR(VLOOKUP(BN23,Расчет!$A$2:$E$582,5,FALSE)="2PS",VLOOKUP(BN23,Расчет!$A$2:$E$582,5,FALSE)="2QL"),IF(OR(VLOOKUP(BN23,Расчет!$A$2:$E$582,2,FALSE)="664W",VLOOKUP(BN23,Расчет!$A$2:$E$582,2,FALSE)="813W"),IF(BN23-$BS$7&gt;150,BN23-$BS$7-1000+$AD$12,BN23-$BS$7+$AD$12),IF(BN23-$BS$7&gt;150,BN23-$BS$7-1000+$AD$17,BN23-$BS$7+$AD$17)),IF(BN23-$BS$7&gt;150,BN23-$BS$7-1000,BN23-$BS$7)),"-"))</f>
        <v>-</v>
      </c>
      <c r="BQ23" s="173" t="str">
        <f t="shared" si="11"/>
        <v>-</v>
      </c>
      <c r="BR23" s="453"/>
      <c r="BS23" s="171"/>
      <c r="BT23" s="464" t="str">
        <f t="shared" si="12"/>
        <v>-</v>
      </c>
      <c r="BU23" s="464" t="str">
        <f t="shared" si="13"/>
        <v>-</v>
      </c>
      <c r="BX23" s="204">
        <f>COUNTIF($BY$4:BY23,"&lt;100")</f>
        <v>20</v>
      </c>
      <c r="BY23" s="213">
        <f t="shared" si="4"/>
        <v>0</v>
      </c>
      <c r="BZ23" s="216">
        <f t="shared" si="4"/>
        <v>0</v>
      </c>
      <c r="CA23" s="213">
        <f t="shared" si="5"/>
        <v>0</v>
      </c>
      <c r="CB23" s="209">
        <f t="shared" si="6"/>
        <v>0</v>
      </c>
      <c r="CC23" s="205">
        <f t="shared" si="15"/>
        <v>0</v>
      </c>
      <c r="CD23" s="205">
        <f t="shared" si="7"/>
        <v>5</v>
      </c>
      <c r="CE23" s="205">
        <f t="shared" si="16"/>
        <v>0</v>
      </c>
      <c r="CG23" s="20" t="str">
        <f t="shared" si="24"/>
        <v>Auto</v>
      </c>
    </row>
    <row r="24" spans="1:85" ht="23.1" customHeight="1">
      <c r="A24" s="40">
        <f>IF(AND(IFERROR(VLOOKUP(E24,Расчет!A:J,10,FALSE),"  ")&lt;&gt;"  ",IFERROR(LEFT(VLOOKUP(E24,Расчет!A:J,10,FALSE),1)," ")&lt;&gt;"H"),0,IFERROR(IF(F24="Camry",IF(OR(J24="2PS",J24="2QL"),IF(E24-AP24&gt;100,E24-AP24-1000+$AD$12,E24-AP24+$AD$12),IF(E24-AP24&gt;100,E24-AP24-1000,E24-AP24)),IF(J24="2PS",IF(E24-AP24&gt;100,E24-AP24-1000+$AD$17,E24-AP24+$AD$17),IF(E24-AP24&gt;100,E24-AP24-1000,E24-AP24))),"-"))</f>
        <v>16</v>
      </c>
      <c r="B24" s="46">
        <v>22</v>
      </c>
      <c r="C24" s="19">
        <f>IF(E24="","",COUNTA($E$3:E24))</f>
        <v>22</v>
      </c>
      <c r="D24" s="18">
        <f t="shared" si="0"/>
        <v>117</v>
      </c>
      <c r="E24" s="30">
        <v>11203</v>
      </c>
      <c r="F24" s="44" t="str">
        <f>IFERROR(IF(VLOOKUP(E24,Расчет!$A$2:$B$650,2,FALSE)="664W","Camry",IF(VLOOKUP(E24,Расчет!$A$2:$B$650,2,FALSE)="813W","Goshi","RAV4")),"")</f>
        <v>Camry</v>
      </c>
      <c r="G24" s="32" t="str">
        <f>IFERROR(IF(F24="Camry",VLOOKUP(E24,Расчет!$A$2:$Q$650,17,FALSE),VLOOKUP(E24,Расчет!$A$2:$R$650,18,FALSE)),"")</f>
        <v>Standard</v>
      </c>
      <c r="H24" s="32" t="str">
        <f>IFERROR(VLOOKUP(VLOOKUP(E24,Расчет!$A:$D,4,FALSE),$AT$6:$AV$15,3,FALSE),"")</f>
        <v/>
      </c>
      <c r="I24" s="31" t="str">
        <f>IFERROR(VLOOKUP(IFERROR(VLOOKUP(E24,Расчет!$A$2:$D$650,4,FALSE),0),$AT$3:$AU$15,2,FALSE),"")</f>
        <v>2,5 L</v>
      </c>
      <c r="J24" s="33" t="str">
        <f>IFERROR(VLOOKUP(E24,Расчет!$A$2:$E$650,5,FALSE),"")</f>
        <v>089</v>
      </c>
      <c r="K24" s="189">
        <v>0.75958333333333339</v>
      </c>
      <c r="L24" s="188">
        <f t="shared" si="9"/>
        <v>2.1412037037038534E-3</v>
      </c>
      <c r="M24" s="43"/>
      <c r="N24" s="40" t="str">
        <f>IF(AND(IFERROR(VLOOKUP(R24,Расчет!A:J,10,FALSE),"  ")&lt;&gt;"  ",IFERROR(LEFT(VLOOKUP(R24,Расчет!A:J,10,FALSE),1)," ")&lt;&gt;"H"),0,IFERROR(IF(S24="Camry",IF(OR(W24="2PS",W24="2QL"),IF(R24-AP127&gt;100,R24-AP127-1000+$AD$12,R24-AP127+$AD$12),IF(R24-AP127&gt;100,R24-AP127-1000,R24-AP127)),IF(W24="2PS",IF(R24-AP127&gt;100,R24-AP127-1000+$AD$17,R24-AP127+$AD$17),IF(R24-AP127&gt;100,R24-AP127-1000,R24-AP127))),"-"))</f>
        <v>-</v>
      </c>
      <c r="O24" s="46">
        <v>125</v>
      </c>
      <c r="P24" s="19" t="str">
        <f>IF(R24="","",COUNTA($R$3:R24)+$C$105)</f>
        <v/>
      </c>
      <c r="Q24" s="18" t="str">
        <f t="shared" si="1"/>
        <v/>
      </c>
      <c r="R24" s="30"/>
      <c r="S24" s="45" t="str">
        <f>IFERROR(IF(VLOOKUP(R24,Расчет!$A$2:$B$650,2,FALSE)="664W","Camry",IF(VLOOKUP(R24,Расчет!$A$2:$B$650,2,FALSE)="813W","Goshi","RAV4")),"")</f>
        <v/>
      </c>
      <c r="T24" s="32" t="str">
        <f>IFERROR(IF(S24="Camry",VLOOKUP(R24,Расчет!$A$2:$Q$650,17,FALSE),VLOOKUP(R24,Расчет!$A$2:$R$650,18,FALSE)),"")</f>
        <v/>
      </c>
      <c r="U24" s="32" t="str">
        <f>IFERROR(VLOOKUP(VLOOKUP(R24,Расчет!$A:$D,4,FALSE),$AT$6:$AV$15,3,FALSE),"")</f>
        <v/>
      </c>
      <c r="V24" s="31" t="str">
        <f>IFERROR(VLOOKUP(IFERROR(VLOOKUP(R24,Расчет!$A$2:$D$650,4,FALSE),0),$AT$3:$AU$15,2,FALSE),"")</f>
        <v/>
      </c>
      <c r="W24" s="33" t="str">
        <f>IFERROR(VLOOKUP(R24,Расчет!$A$2:$E$650,5,FALSE),"")</f>
        <v/>
      </c>
      <c r="X24" s="189"/>
      <c r="Y24" s="191">
        <f t="shared" si="10"/>
        <v>0</v>
      </c>
      <c r="Z24" s="148" t="str">
        <f>IFERROR(IF(VLOOKUP(AC24,Расчет!$A$2:$B$236,2,FALSE)="831W","RAV4","Camry"),"-")</f>
        <v>RAV4</v>
      </c>
      <c r="AA24" s="165" t="str">
        <f>IFERROR(VLOOKUP(AC24,Расчет!$A$2:$E$236,5,FALSE),"-")</f>
        <v>089</v>
      </c>
      <c r="AB24" s="158">
        <f>IFERROR(SMALL($BT$5:$BT$500,1),"")</f>
        <v>3</v>
      </c>
      <c r="AC24" s="169">
        <f>IF(VLOOKUP2($BP$5:$BQ$500,1,AB24,COUNTIF($AB$24:AB24,AB24),2)=0,"-",VLOOKUP2($BP$5:$BQ$500,1,AB24,COUNTIF($AB$24:AB24,AB24),2))</f>
        <v>11227</v>
      </c>
      <c r="AD24" s="245" t="str">
        <f>IFERROR(VLOOKUP(AC24,Расчет!$BS:$BT,2,FALSE),"")</f>
        <v>T5</v>
      </c>
      <c r="AE24" s="89">
        <v>22</v>
      </c>
      <c r="AF24" s="44" t="str">
        <f>IF(VLOOKUP(AE24,Расчет!$AH$2:$AN$201,5,FALSE)="8","C",IF(VLOOKUP(AE24,Расчет!$AH$2:$AN$201,5,FALSE)="G","G","R"))</f>
        <v>C</v>
      </c>
      <c r="AG24" s="73" t="str">
        <f t="shared" si="2"/>
        <v>C</v>
      </c>
      <c r="AH24" s="87">
        <f>IF(AG24="","",COUNTIF($AG$2:AG24,"C")-COUNTIF($AF$2:AF24,"C")+$AH$1)</f>
        <v>0</v>
      </c>
      <c r="AI24" s="87">
        <f>IF(AG24="","",COUNTIF($AG$2:AG24,"R")-COUNTIF($AF$2:AF24,"R")+$AI$1)</f>
        <v>0</v>
      </c>
      <c r="AJ24" s="89">
        <v>125</v>
      </c>
      <c r="AK24" s="44" t="str">
        <f>IF(VLOOKUP(AJ24,Расчет!$AH$2:$AN$211,5,FALSE)="8","C",IF(VLOOKUP(AJ24,Расчет!$AH$2:$AN$211,5,FALSE)="G","G","R"))</f>
        <v>C</v>
      </c>
      <c r="AL24" s="74" t="str">
        <f t="shared" si="3"/>
        <v/>
      </c>
      <c r="AM24" s="118" t="str">
        <f>IF(AL24="","",(COUNTIF($AG$2:$AG$105,"C")+COUNTIF($AL$2:$AL24,"C"))-(COUNTIF($AF$2:$AF$105,"C")+COUNTIF($AK$2:$AK24,"C"))+$AH$1)</f>
        <v/>
      </c>
      <c r="AN24" s="119" t="str">
        <f>IF(AL24="","",(COUNTIF($AG$2:$AG$105,"R")+COUNTIF($AL$2:$AL24,"R"))-(COUNTIF($AF$2:$AF$105,"R")+COUNTIF($AK$2:$AK24,"R"))+$AI$1)</f>
        <v/>
      </c>
      <c r="AO24" s="22">
        <f>IF(E24="","",COUNTA($E$3:E24)+$Z$1)</f>
        <v>117</v>
      </c>
      <c r="AP24" s="88">
        <f>IF(AO24="","",IF(AO24+Расчет!$Y$57+$BD$2-Расчет!$X$57&gt;200,AO24+Расчет!$Y$57+$BD$2-1000,AO24+Расчет!$Y$57+$BD$2))</f>
        <v>11187</v>
      </c>
      <c r="AQ24" s="272"/>
      <c r="AR24" s="92"/>
      <c r="AS24" s="92"/>
      <c r="AW24" s="48"/>
      <c r="AX24" s="662"/>
      <c r="AY24" s="663"/>
      <c r="AZ24" s="663"/>
      <c r="BA24" s="663"/>
      <c r="BB24" s="663"/>
      <c r="BC24" s="663"/>
      <c r="BD24" s="663"/>
      <c r="BE24" s="663"/>
      <c r="BF24" s="663"/>
      <c r="BG24" s="664"/>
      <c r="BH24" s="689" t="s">
        <v>34</v>
      </c>
      <c r="BI24" s="690"/>
      <c r="BJ24" s="152">
        <f>Расчет!Y32</f>
        <v>24.714285714285715</v>
      </c>
      <c r="BK24" s="149">
        <f>Расчет!X32</f>
        <v>7</v>
      </c>
      <c r="BL24" s="172">
        <f>COUNTIF($BM$5:BM24,"&lt;-115")</f>
        <v>0</v>
      </c>
      <c r="BM24" s="154" t="str">
        <f>IFERROR(IF(OR(IFERROR(VLOOKUP(BN24,$E$3:$E$105,1,FALSE),"0")=BN24,IFERROR(VLOOKUP(BN24,$R$3:$R$105,1,FALSE),"0")=BN24),BO24,IF(OR(VLOOKUP(BN24,Расчет!A:E,5,FALSE)="2PS",VLOOKUP(BN24,Расчет!A:E,5,FALSE)="2QL"),IF(VLOOKUP(BN24,Расчет!A:B,2,FALSE)="831W",BN24-$BS$7+$AD$17,BN24-$BS$7+$AD$12),BN24-$BS$7)),"-")</f>
        <v>-</v>
      </c>
      <c r="BN24" s="154" t="str">
        <f>IF(OR(Расчет!C21="A0",Расчет!C21="P9",Расчет!B21="722W"),"-",Расчет!A21)</f>
        <v>-</v>
      </c>
      <c r="BO24" s="173">
        <f t="shared" si="14"/>
        <v>0</v>
      </c>
      <c r="BP24" s="172" t="str">
        <f>IF(BQ24="-","-",IFERROR(IF(OR(VLOOKUP(BN24,Расчет!$A$2:$E$582,5,FALSE)="2PS",VLOOKUP(BN24,Расчет!$A$2:$E$582,5,FALSE)="2QL"),IF(OR(VLOOKUP(BN24,Расчет!$A$2:$E$582,2,FALSE)="664W",VLOOKUP(BN24,Расчет!$A$2:$E$582,2,FALSE)="813W"),IF(BN24-$BS$7&gt;150,BN24-$BS$7-1000+$AD$12,BN24-$BS$7+$AD$12),IF(BN24-$BS$7&gt;150,BN24-$BS$7-1000+$AD$17,BN24-$BS$7+$AD$17)),IF(BN24-$BS$7&gt;150,BN24-$BS$7-1000,BN24-$BS$7)),"-"))</f>
        <v>-</v>
      </c>
      <c r="BQ24" s="173" t="str">
        <f t="shared" si="11"/>
        <v>-</v>
      </c>
      <c r="BR24" s="453"/>
      <c r="BS24" s="171"/>
      <c r="BT24" s="464" t="str">
        <f t="shared" si="12"/>
        <v>-</v>
      </c>
      <c r="BU24" s="464" t="str">
        <f t="shared" si="13"/>
        <v>-</v>
      </c>
      <c r="BX24" s="204">
        <f>COUNTIF($BY$4:BY24,"&lt;100")</f>
        <v>21</v>
      </c>
      <c r="BY24" s="213">
        <f t="shared" si="4"/>
        <v>0</v>
      </c>
      <c r="BZ24" s="216">
        <f t="shared" si="4"/>
        <v>0</v>
      </c>
      <c r="CA24" s="213">
        <f t="shared" si="5"/>
        <v>0</v>
      </c>
      <c r="CB24" s="209">
        <f t="shared" si="6"/>
        <v>0</v>
      </c>
      <c r="CC24" s="205">
        <f t="shared" si="15"/>
        <v>0</v>
      </c>
      <c r="CD24" s="205">
        <f t="shared" si="7"/>
        <v>19</v>
      </c>
      <c r="CE24" s="205">
        <f t="shared" si="16"/>
        <v>0</v>
      </c>
      <c r="CG24" s="20" t="str">
        <f t="shared" si="24"/>
        <v>Standard</v>
      </c>
    </row>
    <row r="25" spans="1:85" ht="23.1" customHeight="1">
      <c r="A25" s="40">
        <f>IF(AND(IFERROR(VLOOKUP(E25,Расчет!A:J,10,FALSE),"  ")&lt;&gt;"  ",IFERROR(LEFT(VLOOKUP(E25,Расчет!A:J,10,FALSE),1)," ")&lt;&gt;"H"),0,IFERROR(IF(F25="Camry",IF(OR(J25="2PS",J25="2QL"),IF(E25-AP25&gt;100,E25-AP25-1000+$AD$12,E25-AP25+$AD$12),IF(E25-AP25&gt;100,E25-AP25-1000,E25-AP25)),IF(J25="2PS",IF(E25-AP25&gt;100,E25-AP25-1000+$AD$17,E25-AP25+$AD$17),IF(E25-AP25&gt;100,E25-AP25-1000,E25-AP25))),"-"))</f>
        <v>12</v>
      </c>
      <c r="B25" s="46">
        <v>23</v>
      </c>
      <c r="C25" s="19">
        <f>IF(E25="","",COUNTA($E$3:E25))</f>
        <v>23</v>
      </c>
      <c r="D25" s="18">
        <f t="shared" si="0"/>
        <v>118</v>
      </c>
      <c r="E25" s="30">
        <v>11200</v>
      </c>
      <c r="F25" s="44" t="str">
        <f>IFERROR(IF(VLOOKUP(E25,Расчет!$A$2:$B$650,2,FALSE)="664W","Camry",IF(VLOOKUP(E25,Расчет!$A$2:$B$650,2,FALSE)="813W","Goshi","RAV4")),"")</f>
        <v>RAV4</v>
      </c>
      <c r="G25" s="32" t="str">
        <f>IFERROR(IF(F25="Camry",VLOOKUP(E25,Расчет!$A$2:$Q$650,17,FALSE),VLOOKUP(E25,Расчет!$A$2:$R$650,18,FALSE)),"")</f>
        <v>Auto</v>
      </c>
      <c r="H25" s="32" t="str">
        <f>IFERROR(VLOOKUP(VLOOKUP(E25,Расчет!$A:$D,4,FALSE),$AT$6:$AV$15,3,FALSE),"")</f>
        <v>TWIN-C</v>
      </c>
      <c r="I25" s="31" t="str">
        <f>IFERROR(VLOOKUP(IFERROR(VLOOKUP(E25,Расчет!$A$2:$D$650,4,FALSE),0),$AT$3:$AU$15,2,FALSE),"")</f>
        <v>2,5 L</v>
      </c>
      <c r="J25" s="33" t="str">
        <f>IFERROR(VLOOKUP(E25,Расчет!$A$2:$E$650,5,FALSE),"")</f>
        <v>089</v>
      </c>
      <c r="K25" s="189">
        <v>0.76129629629629625</v>
      </c>
      <c r="L25" s="188">
        <f t="shared" si="9"/>
        <v>1.7129629629628607E-3</v>
      </c>
      <c r="M25" s="43"/>
      <c r="N25" s="40" t="str">
        <f>IF(AND(IFERROR(VLOOKUP(R25,Расчет!A:J,10,FALSE),"  ")&lt;&gt;"  ",IFERROR(LEFT(VLOOKUP(R25,Расчет!A:J,10,FALSE),1)," ")&lt;&gt;"H"),0,IFERROR(IF(S25="Camry",IF(OR(W25="2PS",W25="2QL"),IF(R25-AP128&gt;100,R25-AP128-1000+$AD$12,R25-AP128+$AD$12),IF(R25-AP128&gt;100,R25-AP128-1000,R25-AP128)),IF(W25="2PS",IF(R25-AP128&gt;100,R25-AP128-1000+$AD$17,R25-AP128+$AD$17),IF(R25-AP128&gt;100,R25-AP128-1000,R25-AP128))),"-"))</f>
        <v>-</v>
      </c>
      <c r="O25" s="46">
        <v>126</v>
      </c>
      <c r="P25" s="19" t="str">
        <f>IF(R25="","",COUNTA($R$3:R25)+$C$105)</f>
        <v/>
      </c>
      <c r="Q25" s="18" t="str">
        <f t="shared" si="1"/>
        <v/>
      </c>
      <c r="R25" s="30"/>
      <c r="S25" s="45" t="str">
        <f>IFERROR(IF(VLOOKUP(R25,Расчет!$A$2:$B$650,2,FALSE)="664W","Camry",IF(VLOOKUP(R25,Расчет!$A$2:$B$650,2,FALSE)="813W","Goshi","RAV4")),"")</f>
        <v/>
      </c>
      <c r="T25" s="32" t="str">
        <f>IFERROR(IF(S25="Camry",VLOOKUP(R25,Расчет!$A$2:$Q$650,17,FALSE),VLOOKUP(R25,Расчет!$A$2:$R$650,18,FALSE)),"")</f>
        <v/>
      </c>
      <c r="U25" s="32" t="str">
        <f>IFERROR(VLOOKUP(VLOOKUP(R25,Расчет!$A:$D,4,FALSE),$AT$6:$AV$15,3,FALSE),"")</f>
        <v/>
      </c>
      <c r="V25" s="31" t="str">
        <f>IFERROR(VLOOKUP(IFERROR(VLOOKUP(R25,Расчет!$A$2:$D$650,4,FALSE),0),$AT$3:$AU$15,2,FALSE),"")</f>
        <v/>
      </c>
      <c r="W25" s="33" t="str">
        <f>IFERROR(VLOOKUP(R25,Расчет!$A$2:$E$650,5,FALSE),"")</f>
        <v/>
      </c>
      <c r="X25" s="189"/>
      <c r="Y25" s="191">
        <f t="shared" si="10"/>
        <v>0</v>
      </c>
      <c r="Z25" s="156" t="str">
        <f>IFERROR(IF(VLOOKUP(AC25,Расчет!$A$2:$B$236,2,FALSE)="831W","RAV4","Camry"),"-")</f>
        <v>Camry</v>
      </c>
      <c r="AA25" s="166" t="str">
        <f>IFERROR(VLOOKUP(AC25,Расчет!$A$2:$E$236,5,FALSE),"-")</f>
        <v>221</v>
      </c>
      <c r="AB25" s="159">
        <f>IFERROR(SMALL($BT$5:$BT$500,2),"")</f>
        <v>4</v>
      </c>
      <c r="AC25" s="162">
        <f>IF(VLOOKUP2($BP$5:$BQ$500,1,AB25,COUNTIF($AB$24:AB25,AB25),2)=0,"-",VLOOKUP2($BP$5:$BQ$500,1,AB25,COUNTIF($AB$24:AB25,AB25),2))</f>
        <v>11228</v>
      </c>
      <c r="AD25" s="353" t="str">
        <f>IFERROR(VLOOKUP(AC25,Расчет!$BS:$BT,2,FALSE),"")</f>
        <v>T6</v>
      </c>
      <c r="AE25" s="89">
        <v>23</v>
      </c>
      <c r="AF25" s="44" t="str">
        <f>IF(VLOOKUP(AE25,Расчет!$AH$2:$AN$201,5,FALSE)="8","C",IF(VLOOKUP(AE25,Расчет!$AH$2:$AN$201,5,FALSE)="G","G","R"))</f>
        <v>R</v>
      </c>
      <c r="AG25" s="73" t="str">
        <f t="shared" si="2"/>
        <v>R</v>
      </c>
      <c r="AH25" s="87">
        <f>IF(AG25="","",COUNTIF($AG$2:AG25,"C")-COUNTIF($AF$2:AF25,"C")+$AH$1)</f>
        <v>0</v>
      </c>
      <c r="AI25" s="87">
        <f>IF(AG25="","",COUNTIF($AG$2:AG25,"R")-COUNTIF($AF$2:AF25,"R")+$AI$1)</f>
        <v>0</v>
      </c>
      <c r="AJ25" s="89">
        <v>126</v>
      </c>
      <c r="AK25" s="44" t="str">
        <f>IF(VLOOKUP(AJ25,Расчет!$AH$2:$AN$211,5,FALSE)="8","C",IF(VLOOKUP(AJ25,Расчет!$AH$2:$AN$211,5,FALSE)="G","G","R"))</f>
        <v>R</v>
      </c>
      <c r="AL25" s="74" t="str">
        <f t="shared" si="3"/>
        <v/>
      </c>
      <c r="AM25" s="118" t="str">
        <f>IF(AL25="","",(COUNTIF($AG$2:$AG$105,"C")+COUNTIF($AL$2:$AL25,"C"))-(COUNTIF($AF$2:$AF$105,"C")+COUNTIF($AK$2:$AK25,"C"))+$AH$1)</f>
        <v/>
      </c>
      <c r="AN25" s="119" t="str">
        <f>IF(AL25="","",(COUNTIF($AG$2:$AG$105,"R")+COUNTIF($AL$2:$AL25,"R"))-(COUNTIF($AF$2:$AF$105,"R")+COUNTIF($AK$2:$AK25,"R"))+$AI$1)</f>
        <v/>
      </c>
      <c r="AO25" s="22">
        <f>IF(E25="","",COUNTA($E$3:E25)+$Z$1)</f>
        <v>118</v>
      </c>
      <c r="AP25" s="88">
        <f>IF(AO25="","",IF(AO25+Расчет!$Y$57+$BD$2-Расчет!$X$57&gt;200,AO25+Расчет!$Y$57+$BD$2-1000,AO25+Расчет!$Y$57+$BD$2))</f>
        <v>11188</v>
      </c>
      <c r="AQ25" s="272"/>
      <c r="AR25" s="92"/>
      <c r="AS25" s="92"/>
      <c r="AW25" s="48"/>
      <c r="AX25" s="662"/>
      <c r="AY25" s="663"/>
      <c r="AZ25" s="663"/>
      <c r="BA25" s="663"/>
      <c r="BB25" s="663"/>
      <c r="BC25" s="663"/>
      <c r="BD25" s="663"/>
      <c r="BE25" s="663"/>
      <c r="BF25" s="663"/>
      <c r="BG25" s="664"/>
      <c r="BH25" s="694" t="s">
        <v>927</v>
      </c>
      <c r="BI25" s="695"/>
      <c r="BJ25" s="152">
        <f>Расчет!Y46</f>
        <v>6.1785714285714288</v>
      </c>
      <c r="BK25" s="149">
        <f>Расчет!X46</f>
        <v>28</v>
      </c>
      <c r="BL25" s="172">
        <f>COUNTIF($BM$5:BM25,"&lt;-115")</f>
        <v>0</v>
      </c>
      <c r="BM25" s="154">
        <f>IFERROR(IF(OR(IFERROR(VLOOKUP(BN25,$E$3:$E$105,1,FALSE),"0")=BN25,IFERROR(VLOOKUP(BN25,$R$3:$R$105,1,FALSE),"0")=BN25),BO25,IF(OR(VLOOKUP(BN25,Расчет!A:E,5,FALSE)="2PS",VLOOKUP(BN25,Расчет!A:E,5,FALSE)="2QL"),IF(VLOOKUP(BN25,Расчет!A:B,2,FALSE)="831W",BN25-$BS$7+$AD$17,BN25-$BS$7+$AD$12),BN25-$BS$7)),"-")</f>
        <v>42</v>
      </c>
      <c r="BN25" s="154">
        <f>IF(OR(Расчет!C22="A0",Расчет!C22="P9",Расчет!B22="722W"),"-",Расчет!A22)</f>
        <v>11166</v>
      </c>
      <c r="BO25" s="173">
        <f t="shared" si="14"/>
        <v>0</v>
      </c>
      <c r="BP25" s="172">
        <f>IF(BQ25="-","-",IFERROR(IF(OR(VLOOKUP(BN25,Расчет!$A$2:$E$582,5,FALSE)="2PS",VLOOKUP(BN25,Расчет!$A$2:$E$582,5,FALSE)="2QL"),IF(OR(VLOOKUP(BN25,Расчет!$A$2:$E$582,2,FALSE)="664W",VLOOKUP(BN25,Расчет!$A$2:$E$582,2,FALSE)="813W"),IF(BN25-$BS$7&gt;150,BN25-$BS$7-1000+$AD$12,BN25-$BS$7+$AD$12),IF(BN25-$BS$7&gt;150,BN25-$BS$7-1000+$AD$17,BN25-$BS$7+$AD$17)),IF(BN25-$BS$7&gt;150,BN25-$BS$7-1000,BN25-$BS$7)),"-"))</f>
        <v>42</v>
      </c>
      <c r="BQ25" s="173">
        <f t="shared" si="11"/>
        <v>11166</v>
      </c>
      <c r="BR25" s="453"/>
      <c r="BS25" s="171"/>
      <c r="BT25" s="464" t="str">
        <f t="shared" si="12"/>
        <v>-</v>
      </c>
      <c r="BU25" s="464" t="str">
        <f t="shared" si="13"/>
        <v>-</v>
      </c>
      <c r="BX25" s="204">
        <f>COUNTIF($BY$4:BY25,"&lt;100")</f>
        <v>22</v>
      </c>
      <c r="BY25" s="213">
        <f t="shared" si="4"/>
        <v>0</v>
      </c>
      <c r="BZ25" s="216">
        <f t="shared" si="4"/>
        <v>0</v>
      </c>
      <c r="CA25" s="213">
        <f t="shared" si="5"/>
        <v>0</v>
      </c>
      <c r="CB25" s="209">
        <f t="shared" si="6"/>
        <v>0</v>
      </c>
      <c r="CC25" s="205">
        <f t="shared" si="15"/>
        <v>0</v>
      </c>
      <c r="CD25" s="205">
        <f t="shared" si="7"/>
        <v>16</v>
      </c>
      <c r="CE25" s="205">
        <f t="shared" si="16"/>
        <v>0</v>
      </c>
      <c r="CG25" s="20" t="str">
        <f t="shared" si="24"/>
        <v>Auto</v>
      </c>
    </row>
    <row r="26" spans="1:85" ht="23.1" customHeight="1">
      <c r="A26" s="40">
        <f>IF(AND(IFERROR(VLOOKUP(E26,Расчет!A:J,10,FALSE),"  ")&lt;&gt;"  ",IFERROR(LEFT(VLOOKUP(E26,Расчет!A:J,10,FALSE),1)," ")&lt;&gt;"H"),0,IFERROR(IF(F26="Camry",IF(OR(J26="2PS",J26="2QL"),IF(E26-AP26&gt;100,E26-AP26-1000+$AD$12,E26-AP26+$AD$12),IF(E26-AP26&gt;100,E26-AP26-1000,E26-AP26)),IF(J26="2PS",IF(E26-AP26&gt;100,E26-AP26-1000+$AD$17,E26-AP26+$AD$17),IF(E26-AP26&gt;100,E26-AP26-1000,E26-AP26))),"-"))</f>
        <v>24</v>
      </c>
      <c r="B26" s="46">
        <v>24</v>
      </c>
      <c r="C26" s="19">
        <f>IF(E26="","",COUNTA($E$3:E26))</f>
        <v>24</v>
      </c>
      <c r="D26" s="18">
        <f t="shared" si="0"/>
        <v>119</v>
      </c>
      <c r="E26" s="30">
        <v>11213</v>
      </c>
      <c r="F26" s="44" t="str">
        <f>IFERROR(IF(VLOOKUP(E26,Расчет!$A$2:$B$650,2,FALSE)="664W","Camry",IF(VLOOKUP(E26,Расчет!$A$2:$B$650,2,FALSE)="813W","Goshi","RAV4")),"")</f>
        <v>RAV4</v>
      </c>
      <c r="G26" s="32" t="str">
        <f>IFERROR(IF(F26="Camry",VLOOKUP(E26,Расчет!$A$2:$Q$650,17,FALSE),VLOOKUP(E26,Расчет!$A$2:$R$650,18,FALSE)),"")</f>
        <v>CVT</v>
      </c>
      <c r="H26" s="32" t="str">
        <f>IFERROR(VLOOKUP(VLOOKUP(E26,Расчет!$A:$D,4,FALSE),$AT$6:$AV$15,3,FALSE),"")</f>
        <v>TWIN-C</v>
      </c>
      <c r="I26" s="31" t="str">
        <f>IFERROR(VLOOKUP(IFERROR(VLOOKUP(E26,Расчет!$A$2:$D$650,4,FALSE),0),$AT$3:$AU$15,2,FALSE),"")</f>
        <v>2,0 L</v>
      </c>
      <c r="J26" s="33" t="str">
        <f>IFERROR(VLOOKUP(E26,Расчет!$A$2:$E$650,5,FALSE),"")</f>
        <v>089</v>
      </c>
      <c r="K26" s="189">
        <v>0.76354166666666667</v>
      </c>
      <c r="L26" s="188">
        <f t="shared" si="9"/>
        <v>2.2453703703704253E-3</v>
      </c>
      <c r="M26" s="9"/>
      <c r="N26" s="40" t="str">
        <f>IF(AND(IFERROR(VLOOKUP(R26,Расчет!A:J,10,FALSE),"  ")&lt;&gt;"  ",IFERROR(LEFT(VLOOKUP(R26,Расчет!A:J,10,FALSE),1)," ")&lt;&gt;"H"),0,IFERROR(IF(S26="Camry",IF(OR(W26="2PS",W26="2QL"),IF(R26-AP129&gt;100,R26-AP129-1000+$AD$12,R26-AP129+$AD$12),IF(R26-AP129&gt;100,R26-AP129-1000,R26-AP129)),IF(W26="2PS",IF(R26-AP129&gt;100,R26-AP129-1000+$AD$17,R26-AP129+$AD$17),IF(R26-AP129&gt;100,R26-AP129-1000,R26-AP129))),"-"))</f>
        <v>-</v>
      </c>
      <c r="O26" s="46">
        <v>127</v>
      </c>
      <c r="P26" s="19" t="str">
        <f>IF(R26="","",COUNTA($R$3:R26)+$C$105)</f>
        <v/>
      </c>
      <c r="Q26" s="18" t="str">
        <f t="shared" si="1"/>
        <v/>
      </c>
      <c r="R26" s="30"/>
      <c r="S26" s="45" t="str">
        <f>IFERROR(IF(VLOOKUP(R26,Расчет!$A$2:$B$650,2,FALSE)="664W","Camry",IF(VLOOKUP(R26,Расчет!$A$2:$B$650,2,FALSE)="813W","Goshi","RAV4")),"")</f>
        <v/>
      </c>
      <c r="T26" s="32" t="str">
        <f>IFERROR(IF(S26="Camry",VLOOKUP(R26,Расчет!$A$2:$Q$650,17,FALSE),VLOOKUP(R26,Расчет!$A$2:$R$650,18,FALSE)),"")</f>
        <v/>
      </c>
      <c r="U26" s="32" t="str">
        <f>IFERROR(VLOOKUP(VLOOKUP(R26,Расчет!$A:$D,4,FALSE),$AT$6:$AV$15,3,FALSE),"")</f>
        <v/>
      </c>
      <c r="V26" s="31" t="str">
        <f>IFERROR(VLOOKUP(IFERROR(VLOOKUP(R26,Расчет!$A$2:$D$650,4,FALSE),0),$AT$3:$AU$15,2,FALSE),"")</f>
        <v/>
      </c>
      <c r="W26" s="33" t="str">
        <f>IFERROR(VLOOKUP(R26,Расчет!$A$2:$E$650,5,FALSE),"")</f>
        <v/>
      </c>
      <c r="X26" s="189"/>
      <c r="Y26" s="191">
        <f t="shared" si="10"/>
        <v>0</v>
      </c>
      <c r="Z26" s="156" t="str">
        <f>IFERROR(IF(VLOOKUP(AC26,Расчет!$A$2:$B$236,2,FALSE)="831W","RAV4","Camry"),"-")</f>
        <v>-</v>
      </c>
      <c r="AA26" s="166" t="str">
        <f>IFERROR(VLOOKUP(AC26,Расчет!$A$2:$E$236,5,FALSE),"-")</f>
        <v>-</v>
      </c>
      <c r="AB26" s="159" t="str">
        <f>IFERROR(SMALL($BT$5:$BT$500,3),"")</f>
        <v/>
      </c>
      <c r="AC26" s="162" t="str">
        <f>IF(VLOOKUP2($BP$5:$BQ$500,1,AB26,COUNTIF($AB$24:AB26,AB26),2)=0,"-",VLOOKUP2($BP$5:$BQ$500,1,AB26,COUNTIF($AB$24:AB26,AB26),2))</f>
        <v>-</v>
      </c>
      <c r="AD26" s="353" t="str">
        <f>IFERROR(VLOOKUP(AC26,Расчет!$BS:$BT,2,FALSE),"")</f>
        <v/>
      </c>
      <c r="AE26" s="89">
        <v>24</v>
      </c>
      <c r="AF26" s="44" t="str">
        <f>IF(VLOOKUP(AE26,Расчет!$AH$2:$AN$201,5,FALSE)="8","C",IF(VLOOKUP(AE26,Расчет!$AH$2:$AN$201,5,FALSE)="G","G","R"))</f>
        <v>R</v>
      </c>
      <c r="AG26" s="73" t="str">
        <f t="shared" si="2"/>
        <v>R</v>
      </c>
      <c r="AH26" s="87">
        <f>IF(AG26="","",COUNTIF($AG$2:AG26,"C")-COUNTIF($AF$2:AF26,"C")+$AH$1)</f>
        <v>0</v>
      </c>
      <c r="AI26" s="87">
        <f>IF(AG26="","",COUNTIF($AG$2:AG26,"R")-COUNTIF($AF$2:AF26,"R")+$AI$1)</f>
        <v>0</v>
      </c>
      <c r="AJ26" s="89">
        <v>127</v>
      </c>
      <c r="AK26" s="44" t="str">
        <f>IF(VLOOKUP(AJ26,Расчет!$AH$2:$AN$211,5,FALSE)="8","C",IF(VLOOKUP(AJ26,Расчет!$AH$2:$AN$211,5,FALSE)="G","G","R"))</f>
        <v>C</v>
      </c>
      <c r="AL26" s="74" t="str">
        <f t="shared" si="3"/>
        <v/>
      </c>
      <c r="AM26" s="118" t="str">
        <f>IF(AL26="","",(COUNTIF($AG$2:$AG$105,"C")+COUNTIF($AL$2:$AL26,"C"))-(COUNTIF($AF$2:$AF$105,"C")+COUNTIF($AK$2:$AK26,"C"))+$AH$1)</f>
        <v/>
      </c>
      <c r="AN26" s="119" t="str">
        <f>IF(AL26="","",(COUNTIF($AG$2:$AG$105,"R")+COUNTIF($AL$2:$AL26,"R"))-(COUNTIF($AF$2:$AF$105,"R")+COUNTIF($AK$2:$AK26,"R"))+$AI$1)</f>
        <v/>
      </c>
      <c r="AO26" s="22">
        <f>IF(E26="","",COUNTA($E$3:E26)+$Z$1)</f>
        <v>119</v>
      </c>
      <c r="AP26" s="88">
        <f>IF(AO26="","",IF(AO26+Расчет!$Y$57+$BD$2-Расчет!$X$57&gt;200,AO26+Расчет!$Y$57+$BD$2-1000,AO26+Расчет!$Y$57+$BD$2))</f>
        <v>11189</v>
      </c>
      <c r="AQ26" s="272"/>
      <c r="AR26" s="92"/>
      <c r="AS26" s="92"/>
      <c r="AW26" s="48"/>
      <c r="AX26" s="696" t="s">
        <v>98</v>
      </c>
      <c r="AY26" s="697"/>
      <c r="AZ26" s="698" t="s">
        <v>94</v>
      </c>
      <c r="BA26" s="699"/>
      <c r="BB26" s="48"/>
      <c r="BC26" s="48"/>
      <c r="BD26" s="702" t="s">
        <v>97</v>
      </c>
      <c r="BE26" s="702"/>
      <c r="BF26" s="702"/>
      <c r="BG26" s="703"/>
      <c r="BH26" s="694" t="s">
        <v>928</v>
      </c>
      <c r="BI26" s="695"/>
      <c r="BJ26" s="152">
        <f>Расчет!Y35</f>
        <v>2.0352941176470587</v>
      </c>
      <c r="BK26" s="150">
        <f>Расчет!X35</f>
        <v>85</v>
      </c>
      <c r="BL26" s="172">
        <f>COUNTIF($BM$5:BM26,"&lt;-115")</f>
        <v>0</v>
      </c>
      <c r="BM26" s="154" t="str">
        <f>IFERROR(IF(OR(IFERROR(VLOOKUP(BN26,$E$3:$E$105,1,FALSE),"0")=BN26,IFERROR(VLOOKUP(BN26,$R$3:$R$105,1,FALSE),"0")=BN26),BO26,IF(OR(VLOOKUP(BN26,Расчет!A:E,5,FALSE)="2PS",VLOOKUP(BN26,Расчет!A:E,5,FALSE)="2QL"),IF(VLOOKUP(BN26,Расчет!A:B,2,FALSE)="831W",BN26-$BS$7+$AD$17,BN26-$BS$7+$AD$12),BN26-$BS$7)),"-")</f>
        <v>-</v>
      </c>
      <c r="BN26" s="154" t="str">
        <f>IF(OR(Расчет!C23="A0",Расчет!C23="P9",Расчет!B23="722W"),"-",Расчет!A23)</f>
        <v>-</v>
      </c>
      <c r="BO26" s="173">
        <f t="shared" si="14"/>
        <v>0</v>
      </c>
      <c r="BP26" s="172" t="str">
        <f>IF(BQ26="-","-",IFERROR(IF(OR(VLOOKUP(BN26,Расчет!$A$2:$E$582,5,FALSE)="2PS",VLOOKUP(BN26,Расчет!$A$2:$E$582,5,FALSE)="2QL"),IF(OR(VLOOKUP(BN26,Расчет!$A$2:$E$582,2,FALSE)="664W",VLOOKUP(BN26,Расчет!$A$2:$E$582,2,FALSE)="813W"),IF(BN26-$BS$7&gt;150,BN26-$BS$7-1000+$AD$12,BN26-$BS$7+$AD$12),IF(BN26-$BS$7&gt;150,BN26-$BS$7-1000+$AD$17,BN26-$BS$7+$AD$17)),IF(BN26-$BS$7&gt;150,BN26-$BS$7-1000,BN26-$BS$7)),"-"))</f>
        <v>-</v>
      </c>
      <c r="BQ26" s="173" t="str">
        <f t="shared" si="11"/>
        <v>-</v>
      </c>
      <c r="BR26" s="453"/>
      <c r="BS26" s="171"/>
      <c r="BT26" s="464" t="str">
        <f t="shared" si="12"/>
        <v>-</v>
      </c>
      <c r="BU26" s="464" t="str">
        <f t="shared" si="13"/>
        <v>-</v>
      </c>
      <c r="BX26" s="204">
        <f>COUNTIF($BY$4:BY26,"&lt;100")</f>
        <v>23</v>
      </c>
      <c r="BY26" s="213">
        <f t="shared" si="4"/>
        <v>0</v>
      </c>
      <c r="BZ26" s="216">
        <f t="shared" si="4"/>
        <v>0</v>
      </c>
      <c r="CA26" s="213">
        <f t="shared" si="5"/>
        <v>0</v>
      </c>
      <c r="CB26" s="209">
        <f t="shared" si="6"/>
        <v>0</v>
      </c>
      <c r="CC26" s="205">
        <f t="shared" si="15"/>
        <v>0</v>
      </c>
      <c r="CD26" s="205">
        <f t="shared" si="7"/>
        <v>12</v>
      </c>
      <c r="CE26" s="205">
        <f t="shared" si="16"/>
        <v>0</v>
      </c>
      <c r="CG26" s="20" t="str">
        <f t="shared" si="24"/>
        <v>Standard</v>
      </c>
    </row>
    <row r="27" spans="1:85" ht="23.1" customHeight="1" thickBot="1">
      <c r="A27" s="40">
        <f>IF(AND(IFERROR(VLOOKUP(E27,Расчет!A:J,10,FALSE),"  ")&lt;&gt;"  ",IFERROR(LEFT(VLOOKUP(E27,Расчет!A:J,10,FALSE),1)," ")&lt;&gt;"H"),0,IFERROR(IF(F27="Camry",IF(OR(J27="2PS",J27="2QL"),IF(E27-AP27&gt;100,E27-AP27-1000+$AD$12,E27-AP27+$AD$12),IF(E27-AP27&gt;100,E27-AP27-1000,E27-AP27)),IF(J27="2PS",IF(E27-AP27&gt;100,E27-AP27-1000+$AD$17,E27-AP27+$AD$17),IF(E27-AP27&gt;100,E27-AP27-1000,E27-AP27))),"-"))</f>
        <v>6</v>
      </c>
      <c r="B27" s="46">
        <v>25</v>
      </c>
      <c r="C27" s="19">
        <f>IF(E27="","",COUNTA($E$3:E27))</f>
        <v>25</v>
      </c>
      <c r="D27" s="18">
        <f t="shared" si="0"/>
        <v>120</v>
      </c>
      <c r="E27" s="30">
        <v>11196</v>
      </c>
      <c r="F27" s="44" t="str">
        <f>IFERROR(IF(VLOOKUP(E27,Расчет!$A$2:$B$650,2,FALSE)="664W","Camry",IF(VLOOKUP(E27,Расчет!$A$2:$B$650,2,FALSE)="813W","Goshi","RAV4")),"")</f>
        <v>Camry</v>
      </c>
      <c r="G27" s="32" t="str">
        <f>IFERROR(IF(F27="Camry",VLOOKUP(E27,Расчет!$A$2:$Q$650,17,FALSE),VLOOKUP(E27,Расчет!$A$2:$R$650,18,FALSE)),"")</f>
        <v>Standard</v>
      </c>
      <c r="H27" s="32" t="str">
        <f>IFERROR(VLOOKUP(VLOOKUP(E27,Расчет!$A:$D,4,FALSE),$AT$6:$AV$15,3,FALSE),"")</f>
        <v/>
      </c>
      <c r="I27" s="31" t="str">
        <f>IFERROR(VLOOKUP(IFERROR(VLOOKUP(E27,Расчет!$A$2:$D$650,4,FALSE),0),$AT$3:$AU$15,2,FALSE),"")</f>
        <v>2,0 L</v>
      </c>
      <c r="J27" s="33" t="str">
        <f>IFERROR(VLOOKUP(E27,Расчет!$A$2:$E$650,5,FALSE),"")</f>
        <v>040</v>
      </c>
      <c r="K27" s="189">
        <v>0.76525462962962953</v>
      </c>
      <c r="L27" s="188">
        <f t="shared" si="9"/>
        <v>1.7129629629628607E-3</v>
      </c>
      <c r="M27" s="9"/>
      <c r="N27" s="40" t="str">
        <f>IF(AND(IFERROR(VLOOKUP(R27,Расчет!A:J,10,FALSE),"  ")&lt;&gt;"  ",IFERROR(LEFT(VLOOKUP(R27,Расчет!A:J,10,FALSE),1)," ")&lt;&gt;"H"),0,IFERROR(IF(S27="Camry",IF(OR(W27="2PS",W27="2QL"),IF(R27-AP130&gt;100,R27-AP130-1000+$AD$12,R27-AP130+$AD$12),IF(R27-AP130&gt;100,R27-AP130-1000,R27-AP130)),IF(W27="2PS",IF(R27-AP130&gt;100,R27-AP130-1000+$AD$17,R27-AP130+$AD$17),IF(R27-AP130&gt;100,R27-AP130-1000,R27-AP130))),"-"))</f>
        <v>-</v>
      </c>
      <c r="O27" s="46">
        <v>128</v>
      </c>
      <c r="P27" s="19" t="str">
        <f>IF(R27="","",COUNTA($R$3:R27)+$C$105)</f>
        <v/>
      </c>
      <c r="Q27" s="18" t="str">
        <f t="shared" si="1"/>
        <v/>
      </c>
      <c r="R27" s="30"/>
      <c r="S27" s="45" t="str">
        <f>IFERROR(IF(VLOOKUP(R27,Расчет!$A$2:$B$650,2,FALSE)="664W","Camry",IF(VLOOKUP(R27,Расчет!$A$2:$B$650,2,FALSE)="813W","Goshi","RAV4")),"")</f>
        <v/>
      </c>
      <c r="T27" s="32" t="str">
        <f>IFERROR(IF(S27="Camry",VLOOKUP(R27,Расчет!$A$2:$Q$650,17,FALSE),VLOOKUP(R27,Расчет!$A$2:$R$650,18,FALSE)),"")</f>
        <v/>
      </c>
      <c r="U27" s="32" t="str">
        <f>IFERROR(VLOOKUP(VLOOKUP(R27,Расчет!$A:$D,4,FALSE),$AT$6:$AV$15,3,FALSE),"")</f>
        <v/>
      </c>
      <c r="V27" s="31" t="str">
        <f>IFERROR(VLOOKUP(IFERROR(VLOOKUP(R27,Расчет!$A$2:$D$650,4,FALSE),0),$AT$3:$AU$15,2,FALSE),"")</f>
        <v/>
      </c>
      <c r="W27" s="33" t="str">
        <f>IFERROR(VLOOKUP(R27,Расчет!$A$2:$E$650,5,FALSE),"")</f>
        <v/>
      </c>
      <c r="X27" s="189"/>
      <c r="Y27" s="191">
        <f t="shared" si="10"/>
        <v>0</v>
      </c>
      <c r="Z27" s="156" t="str">
        <f>IFERROR(IF(VLOOKUP(AC27,Расчет!$A$2:$B$236,2,FALSE)="831W","RAV4","Camry"),"-")</f>
        <v>-</v>
      </c>
      <c r="AA27" s="166" t="str">
        <f>IFERROR(VLOOKUP(AC27,Расчет!$A$2:$E$236,5,FALSE),"-")</f>
        <v>-</v>
      </c>
      <c r="AB27" s="159" t="str">
        <f>IFERROR(SMALL($BT$5:$BT$500,4),"")</f>
        <v/>
      </c>
      <c r="AC27" s="162" t="str">
        <f>IF(VLOOKUP2($BP$5:$BQ$500,1,AB27,COUNTIF($AB$24:AB27,AB27),2)=0,"-",VLOOKUP2($BP$5:$BQ$500,1,AB27,COUNTIF($AB$24:AB27,AB27),2))</f>
        <v>-</v>
      </c>
      <c r="AD27" s="353" t="str">
        <f>IFERROR(VLOOKUP(AC27,Расчет!$BS:$BT,2,FALSE),"")</f>
        <v/>
      </c>
      <c r="AE27" s="89">
        <v>25</v>
      </c>
      <c r="AF27" s="44" t="str">
        <f>IF(VLOOKUP(AE27,Расчет!$AH$2:$AN$201,5,FALSE)="8","C",IF(VLOOKUP(AE27,Расчет!$AH$2:$AN$201,5,FALSE)="G","G","R"))</f>
        <v>C</v>
      </c>
      <c r="AG27" s="73" t="str">
        <f t="shared" si="2"/>
        <v>C</v>
      </c>
      <c r="AH27" s="87">
        <f>IF(AG27="","",COUNTIF($AG$2:AG27,"C")-COUNTIF($AF$2:AF27,"C")+$AH$1)</f>
        <v>0</v>
      </c>
      <c r="AI27" s="87">
        <f>IF(AG27="","",COUNTIF($AG$2:AG27,"R")-COUNTIF($AF$2:AF27,"R")+$AI$1)</f>
        <v>0</v>
      </c>
      <c r="AJ27" s="89">
        <v>128</v>
      </c>
      <c r="AK27" s="44" t="str">
        <f>IF(VLOOKUP(AJ27,Расчет!$AH$2:$AN$211,5,FALSE)="8","C",IF(VLOOKUP(AJ27,Расчет!$AH$2:$AN$211,5,FALSE)="G","G","R"))</f>
        <v>R</v>
      </c>
      <c r="AL27" s="74" t="str">
        <f t="shared" si="3"/>
        <v/>
      </c>
      <c r="AM27" s="118" t="str">
        <f>IF(AL27="","",(COUNTIF($AG$2:$AG$105,"C")+COUNTIF($AL$2:$AL27,"C"))-(COUNTIF($AF$2:$AF$105,"C")+COUNTIF($AK$2:$AK27,"C"))+$AH$1)</f>
        <v/>
      </c>
      <c r="AN27" s="119" t="str">
        <f>IF(AL27="","",(COUNTIF($AG$2:$AG$105,"R")+COUNTIF($AL$2:$AL27,"R"))-(COUNTIF($AF$2:$AF$105,"R")+COUNTIF($AK$2:$AK27,"R"))+$AI$1)</f>
        <v/>
      </c>
      <c r="AO27" s="22">
        <f>IF(E27="","",COUNTA($E$3:E27)+$Z$1)</f>
        <v>120</v>
      </c>
      <c r="AP27" s="88">
        <f>IF(AO27="","",IF(AO27+Расчет!$Y$57+$BD$2-Расчет!$X$57&gt;200,AO27+Расчет!$Y$57+$BD$2-1000,AO27+Расчет!$Y$57+$BD$2))</f>
        <v>11190</v>
      </c>
      <c r="AQ27" s="272"/>
      <c r="AR27" s="92"/>
      <c r="AS27" s="92"/>
      <c r="AW27" s="48"/>
      <c r="AX27" s="696"/>
      <c r="AY27" s="697"/>
      <c r="AZ27" s="700"/>
      <c r="BA27" s="701"/>
      <c r="BB27" s="48"/>
      <c r="BC27" s="48"/>
      <c r="BD27" s="702"/>
      <c r="BE27" s="702"/>
      <c r="BF27" s="702"/>
      <c r="BG27" s="703"/>
      <c r="BH27" s="704" t="s">
        <v>929</v>
      </c>
      <c r="BI27" s="705"/>
      <c r="BJ27" s="153">
        <f>Расчет!Y36</f>
        <v>13.307692307692308</v>
      </c>
      <c r="BK27" s="151">
        <f>Расчет!X36</f>
        <v>13</v>
      </c>
      <c r="BL27" s="172">
        <f>COUNTIF($BM$5:BM27,"&lt;-115")</f>
        <v>0</v>
      </c>
      <c r="BM27" s="154" t="str">
        <f>IFERROR(IF(OR(IFERROR(VLOOKUP(BN27,$E$3:$E$105,1,FALSE),"0")=BN27,IFERROR(VLOOKUP(BN27,$R$3:$R$105,1,FALSE),"0")=BN27),BO27,IF(OR(VLOOKUP(BN27,Расчет!A:E,5,FALSE)="2PS",VLOOKUP(BN27,Расчет!A:E,5,FALSE)="2QL"),IF(VLOOKUP(BN27,Расчет!A:B,2,FALSE)="831W",BN27-$BS$7+$AD$17,BN27-$BS$7+$AD$12),BN27-$BS$7)),"-")</f>
        <v>-</v>
      </c>
      <c r="BN27" s="154" t="str">
        <f>IF(OR(Расчет!C24="A0",Расчет!C24="P9",Расчет!B24="722W"),"-",Расчет!A24)</f>
        <v>-</v>
      </c>
      <c r="BO27" s="173">
        <f t="shared" si="14"/>
        <v>0</v>
      </c>
      <c r="BP27" s="172" t="str">
        <f>IF(BQ27="-","-",IFERROR(IF(OR(VLOOKUP(BN27,Расчет!$A$2:$E$582,5,FALSE)="2PS",VLOOKUP(BN27,Расчет!$A$2:$E$582,5,FALSE)="2QL"),IF(OR(VLOOKUP(BN27,Расчет!$A$2:$E$582,2,FALSE)="664W",VLOOKUP(BN27,Расчет!$A$2:$E$582,2,FALSE)="813W"),IF(BN27-$BS$7&gt;150,BN27-$BS$7-1000+$AD$12,BN27-$BS$7+$AD$12),IF(BN27-$BS$7&gt;150,BN27-$BS$7-1000+$AD$17,BN27-$BS$7+$AD$17)),IF(BN27-$BS$7&gt;150,BN27-$BS$7-1000,BN27-$BS$7)),"-"))</f>
        <v>-</v>
      </c>
      <c r="BQ27" s="173" t="str">
        <f t="shared" si="11"/>
        <v>-</v>
      </c>
      <c r="BR27" s="453"/>
      <c r="BS27" s="171"/>
      <c r="BT27" s="464" t="str">
        <f t="shared" si="12"/>
        <v>-</v>
      </c>
      <c r="BU27" s="464" t="str">
        <f t="shared" si="13"/>
        <v>-</v>
      </c>
      <c r="BX27" s="204">
        <f>COUNTIF($BY$4:BY27,"&lt;100")</f>
        <v>24</v>
      </c>
      <c r="BY27" s="213">
        <f t="shared" si="4"/>
        <v>0</v>
      </c>
      <c r="BZ27" s="216">
        <f t="shared" si="4"/>
        <v>0</v>
      </c>
      <c r="CA27" s="213">
        <f t="shared" si="5"/>
        <v>0</v>
      </c>
      <c r="CB27" s="209">
        <f t="shared" si="6"/>
        <v>0</v>
      </c>
      <c r="CC27" s="205">
        <f t="shared" si="15"/>
        <v>0</v>
      </c>
      <c r="CD27" s="205">
        <f t="shared" si="7"/>
        <v>24</v>
      </c>
      <c r="CE27" s="205">
        <f t="shared" si="16"/>
        <v>0</v>
      </c>
      <c r="CG27" s="20" t="str">
        <f t="shared" si="24"/>
        <v>CVT</v>
      </c>
    </row>
    <row r="28" spans="1:85" ht="23.1" customHeight="1">
      <c r="A28" s="40">
        <f>IF(AND(IFERROR(VLOOKUP(E28,Расчет!A:J,10,FALSE),"  ")&lt;&gt;"  ",IFERROR(LEFT(VLOOKUP(E28,Расчет!A:J,10,FALSE),1)," ")&lt;&gt;"H"),0,IFERROR(IF(F28="Camry",IF(OR(J28="2PS",J28="2QL"),IF(E28-AP28&gt;100,E28-AP28-1000+$AD$12,E28-AP28+$AD$12),IF(E28-AP28&gt;100,E28-AP28-1000,E28-AP28)),IF(J28="2PS",IF(E28-AP28&gt;100,E28-AP28-1000+$AD$17,E28-AP28+$AD$17),IF(E28-AP28&gt;100,E28-AP28-1000,E28-AP28))),"-"))</f>
        <v>23</v>
      </c>
      <c r="B28" s="46">
        <v>26</v>
      </c>
      <c r="C28" s="19">
        <f>IF(E28="","",COUNTA($E$3:E28))</f>
        <v>26</v>
      </c>
      <c r="D28" s="18">
        <f t="shared" si="0"/>
        <v>121</v>
      </c>
      <c r="E28" s="30">
        <v>11214</v>
      </c>
      <c r="F28" s="44" t="str">
        <f>IFERROR(IF(VLOOKUP(E28,Расчет!$A$2:$B$650,2,FALSE)="664W","Camry",IF(VLOOKUP(E28,Расчет!$A$2:$B$650,2,FALSE)="813W","Goshi","RAV4")),"")</f>
        <v>RAV4</v>
      </c>
      <c r="G28" s="32" t="str">
        <f>IFERROR(IF(F28="Camry",VLOOKUP(E28,Расчет!$A$2:$Q$650,17,FALSE),VLOOKUP(E28,Расчет!$A$2:$R$650,18,FALSE)),"")</f>
        <v>CVT</v>
      </c>
      <c r="H28" s="32" t="str">
        <f>IFERROR(VLOOKUP(VLOOKUP(E28,Расчет!$A:$D,4,FALSE),$AT$6:$AV$15,3,FALSE),"")</f>
        <v>4WD</v>
      </c>
      <c r="I28" s="31" t="str">
        <f>IFERROR(VLOOKUP(IFERROR(VLOOKUP(E28,Расчет!$A$2:$D$650,4,FALSE),0),$AT$3:$AU$15,2,FALSE),"")</f>
        <v>2,0 L</v>
      </c>
      <c r="J28" s="33" t="str">
        <f>IFERROR(VLOOKUP(E28,Расчет!$A$2:$E$650,5,FALSE),"")</f>
        <v>1F7</v>
      </c>
      <c r="K28" s="189">
        <v>0.76804398148148145</v>
      </c>
      <c r="L28" s="188">
        <f t="shared" si="9"/>
        <v>2.7893518518519178E-3</v>
      </c>
      <c r="M28" s="9"/>
      <c r="N28" s="40" t="str">
        <f>IF(AND(IFERROR(VLOOKUP(R28,Расчет!A:J,10,FALSE),"  ")&lt;&gt;"  ",IFERROR(LEFT(VLOOKUP(R28,Расчет!A:J,10,FALSE),1)," ")&lt;&gt;"H"),0,IFERROR(IF(S28="Camry",IF(OR(W28="2PS",W28="2QL"),IF(R28-AP131&gt;100,R28-AP131-1000+$AD$12,R28-AP131+$AD$12),IF(R28-AP131&gt;100,R28-AP131-1000,R28-AP131)),IF(W28="2PS",IF(R28-AP131&gt;100,R28-AP131-1000+$AD$17,R28-AP131+$AD$17),IF(R28-AP131&gt;100,R28-AP131-1000,R28-AP131))),"-"))</f>
        <v>-</v>
      </c>
      <c r="O28" s="46">
        <v>129</v>
      </c>
      <c r="P28" s="19" t="str">
        <f>IF(R28="","",COUNTA($R$3:R28)+$C$105)</f>
        <v/>
      </c>
      <c r="Q28" s="18" t="str">
        <f t="shared" si="1"/>
        <v/>
      </c>
      <c r="R28" s="30"/>
      <c r="S28" s="45" t="str">
        <f>IFERROR(IF(VLOOKUP(R28,Расчет!$A$2:$B$650,2,FALSE)="664W","Camry",IF(VLOOKUP(R28,Расчет!$A$2:$B$650,2,FALSE)="813W","Goshi","RAV4")),"")</f>
        <v/>
      </c>
      <c r="T28" s="32" t="str">
        <f>IFERROR(IF(S28="Camry",VLOOKUP(R28,Расчет!$A$2:$Q$650,17,FALSE),VLOOKUP(R28,Расчет!$A$2:$R$650,18,FALSE)),"")</f>
        <v/>
      </c>
      <c r="U28" s="32" t="str">
        <f>IFERROR(VLOOKUP(VLOOKUP(R28,Расчет!$A:$D,4,FALSE),$AT$6:$AV$15,3,FALSE),"")</f>
        <v/>
      </c>
      <c r="V28" s="31" t="str">
        <f>IFERROR(VLOOKUP(IFERROR(VLOOKUP(R28,Расчет!$A$2:$D$650,4,FALSE),0),$AT$3:$AU$15,2,FALSE),"")</f>
        <v/>
      </c>
      <c r="W28" s="33" t="str">
        <f>IFERROR(VLOOKUP(R28,Расчет!$A$2:$E$650,5,FALSE),"")</f>
        <v/>
      </c>
      <c r="X28" s="189"/>
      <c r="Y28" s="191">
        <f t="shared" si="10"/>
        <v>0</v>
      </c>
      <c r="Z28" s="156" t="str">
        <f>IFERROR(IF(VLOOKUP(AC28,Расчет!$A$2:$B$236,2,FALSE)="831W","RAV4","Camry"),"-")</f>
        <v>-</v>
      </c>
      <c r="AA28" s="166" t="str">
        <f>IFERROR(VLOOKUP(AC28,Расчет!$A$2:$E$236,5,FALSE),"-")</f>
        <v>-</v>
      </c>
      <c r="AB28" s="159" t="str">
        <f>IFERROR(SMALL($BT$5:$BT$500,5),"")</f>
        <v/>
      </c>
      <c r="AC28" s="162" t="str">
        <f>IF(VLOOKUP2($BP$5:$BQ$500,1,AB28,COUNTIF($AB$24:AB28,AB28),2)=0,"-",VLOOKUP2($BP$5:$BQ$500,1,AB28,COUNTIF($AB$24:AB28,AB28),2))</f>
        <v>-</v>
      </c>
      <c r="AD28" s="353" t="str">
        <f>IFERROR(VLOOKUP(AC28,Расчет!$BS:$BT,2,FALSE),"")</f>
        <v/>
      </c>
      <c r="AE28" s="89">
        <v>26</v>
      </c>
      <c r="AF28" s="44" t="str">
        <f>IF(VLOOKUP(AE28,Расчет!$AH$2:$AN$201,5,FALSE)="8","C",IF(VLOOKUP(AE28,Расчет!$AH$2:$AN$201,5,FALSE)="G","G","R"))</f>
        <v>R</v>
      </c>
      <c r="AG28" s="73" t="str">
        <f t="shared" si="2"/>
        <v>R</v>
      </c>
      <c r="AH28" s="87">
        <f>IF(AG28="","",COUNTIF($AG$2:AG28,"C")-COUNTIF($AF$2:AF28,"C")+$AH$1)</f>
        <v>0</v>
      </c>
      <c r="AI28" s="87">
        <f>IF(AG28="","",COUNTIF($AG$2:AG28,"R")-COUNTIF($AF$2:AF28,"R")+$AI$1)</f>
        <v>0</v>
      </c>
      <c r="AJ28" s="89">
        <v>129</v>
      </c>
      <c r="AK28" s="44" t="str">
        <f>IF(VLOOKUP(AJ28,Расчет!$AH$2:$AN$211,5,FALSE)="8","C",IF(VLOOKUP(AJ28,Расчет!$AH$2:$AN$211,5,FALSE)="G","G","R"))</f>
        <v>R</v>
      </c>
      <c r="AL28" s="74" t="str">
        <f t="shared" si="3"/>
        <v/>
      </c>
      <c r="AM28" s="118" t="str">
        <f>IF(AL28="","",(COUNTIF($AG$2:$AG$105,"C")+COUNTIF($AL$2:$AL28,"C"))-(COUNTIF($AF$2:$AF$105,"C")+COUNTIF($AK$2:$AK28,"C"))+$AH$1)</f>
        <v/>
      </c>
      <c r="AN28" s="119" t="str">
        <f>IF(AL28="","",(COUNTIF($AG$2:$AG$105,"R")+COUNTIF($AL$2:$AL28,"R"))-(COUNTIF($AF$2:$AF$105,"R")+COUNTIF($AK$2:$AK28,"R"))+$AI$1)</f>
        <v/>
      </c>
      <c r="AO28" s="22">
        <f>IF(E28="","",COUNTA($E$3:E28)+$Z$1)</f>
        <v>121</v>
      </c>
      <c r="AP28" s="88">
        <f>IF(AO28="","",IF(AO28+Расчет!$Y$57+$BD$2-Расчет!$X$57&gt;200,AO28+Расчет!$Y$57+$BD$2-1000,AO28+Расчет!$Y$57+$BD$2))</f>
        <v>11191</v>
      </c>
      <c r="AR28" s="92"/>
      <c r="AS28" s="92"/>
      <c r="AW28" s="48"/>
      <c r="AX28" s="671" t="s">
        <v>30</v>
      </c>
      <c r="AY28" s="672"/>
      <c r="AZ28" s="673">
        <v>0.44</v>
      </c>
      <c r="BA28" s="674"/>
      <c r="BB28" s="48"/>
      <c r="BC28" s="48"/>
      <c r="BD28" s="677" t="s">
        <v>30</v>
      </c>
      <c r="BE28" s="678"/>
      <c r="BF28" s="681">
        <f>BD34-AZ34</f>
        <v>-0.59999999999999432</v>
      </c>
      <c r="BG28" s="682"/>
      <c r="BH28" s="48"/>
      <c r="BI28" s="685"/>
      <c r="BJ28" s="685"/>
      <c r="BK28" s="48"/>
      <c r="BL28" s="172">
        <f>COUNTIF($BM$5:BM28,"&lt;-115")</f>
        <v>0</v>
      </c>
      <c r="BM28" s="154" t="str">
        <f>IFERROR(IF(OR(IFERROR(VLOOKUP(BN28,$E$3:$E$105,1,FALSE),"0")=BN28,IFERROR(VLOOKUP(BN28,$R$3:$R$105,1,FALSE),"0")=BN28),BO28,IF(OR(VLOOKUP(BN28,Расчет!A:E,5,FALSE)="2PS",VLOOKUP(BN28,Расчет!A:E,5,FALSE)="2QL"),IF(VLOOKUP(BN28,Расчет!A:B,2,FALSE)="831W",BN28-$BS$7+$AD$17,BN28-$BS$7+$AD$12),BN28-$BS$7)),"-")</f>
        <v>-</v>
      </c>
      <c r="BN28" s="154" t="str">
        <f>IF(OR(Расчет!C25="A0",Расчет!C25="P9",Расчет!B25="722W"),"-",Расчет!A25)</f>
        <v>-</v>
      </c>
      <c r="BO28" s="173">
        <f t="shared" si="14"/>
        <v>0</v>
      </c>
      <c r="BP28" s="172" t="str">
        <f>IF(BQ28="-","-",IFERROR(IF(OR(VLOOKUP(BN28,Расчет!$A$2:$E$582,5,FALSE)="2PS",VLOOKUP(BN28,Расчет!$A$2:$E$582,5,FALSE)="2QL"),IF(OR(VLOOKUP(BN28,Расчет!$A$2:$E$582,2,FALSE)="664W",VLOOKUP(BN28,Расчет!$A$2:$E$582,2,FALSE)="813W"),IF(BN28-$BS$7&gt;150,BN28-$BS$7-1000+$AD$12,BN28-$BS$7+$AD$12),IF(BN28-$BS$7&gt;150,BN28-$BS$7-1000+$AD$17,BN28-$BS$7+$AD$17)),IF(BN28-$BS$7&gt;150,BN28-$BS$7-1000,BN28-$BS$7)),"-"))</f>
        <v>-</v>
      </c>
      <c r="BQ28" s="173" t="str">
        <f t="shared" si="11"/>
        <v>-</v>
      </c>
      <c r="BR28" s="453"/>
      <c r="BS28" s="171"/>
      <c r="BT28" s="464" t="str">
        <f t="shared" si="12"/>
        <v>-</v>
      </c>
      <c r="BU28" s="464" t="str">
        <f t="shared" si="13"/>
        <v>-</v>
      </c>
      <c r="BX28" s="204">
        <f>COUNTIF($BY$4:BY28,"&lt;100")</f>
        <v>25</v>
      </c>
      <c r="BY28" s="213">
        <f t="shared" si="4"/>
        <v>0</v>
      </c>
      <c r="BZ28" s="216">
        <f t="shared" si="4"/>
        <v>0</v>
      </c>
      <c r="CA28" s="213">
        <f t="shared" si="5"/>
        <v>0</v>
      </c>
      <c r="CB28" s="209">
        <f t="shared" si="6"/>
        <v>0</v>
      </c>
      <c r="CC28" s="205">
        <f t="shared" si="15"/>
        <v>0</v>
      </c>
      <c r="CD28" s="205">
        <f t="shared" si="7"/>
        <v>6</v>
      </c>
      <c r="CE28" s="205">
        <f t="shared" si="16"/>
        <v>0</v>
      </c>
      <c r="CG28" s="20" t="str">
        <f t="shared" si="24"/>
        <v>CVT</v>
      </c>
    </row>
    <row r="29" spans="1:85" ht="23.1" customHeight="1">
      <c r="A29" s="40">
        <f>IF(AND(IFERROR(VLOOKUP(E29,Расчет!A:J,10,FALSE),"  ")&lt;&gt;"  ",IFERROR(LEFT(VLOOKUP(E29,Расчет!A:J,10,FALSE),1)," ")&lt;&gt;"H"),0,IFERROR(IF(F29="Camry",IF(OR(J29="2PS",J29="2QL"),IF(E29-AP29&gt;100,E29-AP29-1000+$AD$12,E29-AP29+$AD$12),IF(E29-AP29&gt;100,E29-AP29-1000,E29-AP29)),IF(J29="2PS",IF(E29-AP29&gt;100,E29-AP29-1000+$AD$17,E29-AP29+$AD$17),IF(E29-AP29&gt;100,E29-AP29-1000,E29-AP29))),"-"))</f>
        <v>0</v>
      </c>
      <c r="B29" s="46">
        <v>27</v>
      </c>
      <c r="C29" s="19">
        <f>IF(E29="","",COUNTA($E$3:E29))</f>
        <v>27</v>
      </c>
      <c r="D29" s="18">
        <f t="shared" si="0"/>
        <v>122</v>
      </c>
      <c r="E29" s="30">
        <v>10383</v>
      </c>
      <c r="F29" s="44" t="str">
        <f>IFERROR(IF(VLOOKUP(E29,Расчет!$A$2:$B$650,2,FALSE)="664W","Camry",IF(VLOOKUP(E29,Расчет!$A$2:$B$650,2,FALSE)="813W","Goshi","RAV4")),"")</f>
        <v>Camry</v>
      </c>
      <c r="G29" s="32" t="str">
        <f>IFERROR(IF(F29="Camry",VLOOKUP(E29,Расчет!$A$2:$Q$650,17,FALSE),VLOOKUP(E29,Расчет!$A$2:$R$650,18,FALSE)),"")</f>
        <v>Standard</v>
      </c>
      <c r="H29" s="32" t="str">
        <f>IFERROR(VLOOKUP(VLOOKUP(E29,Расчет!$A:$D,4,FALSE),$AT$6:$AV$15,3,FALSE),"")</f>
        <v/>
      </c>
      <c r="I29" s="31" t="str">
        <f>IFERROR(VLOOKUP(IFERROR(VLOOKUP(E29,Расчет!$A$2:$D$650,4,FALSE),0),$AT$3:$AU$15,2,FALSE),"")</f>
        <v>2,5 L</v>
      </c>
      <c r="J29" s="33" t="str">
        <f>IFERROR(VLOOKUP(E29,Расчет!$A$2:$E$650,5,FALSE),"")</f>
        <v>089</v>
      </c>
      <c r="K29" s="189">
        <v>0.76968749999999997</v>
      </c>
      <c r="L29" s="188">
        <f t="shared" si="9"/>
        <v>1.6435185185185164E-3</v>
      </c>
      <c r="M29" s="9"/>
      <c r="N29" s="40" t="str">
        <f>IF(AND(IFERROR(VLOOKUP(R29,Расчет!A:J,10,FALSE),"  ")&lt;&gt;"  ",IFERROR(LEFT(VLOOKUP(R29,Расчет!A:J,10,FALSE),1)," ")&lt;&gt;"H"),0,IFERROR(IF(S29="Camry",IF(OR(W29="2PS",W29="2QL"),IF(R29-AP132&gt;100,R29-AP132-1000+$AD$12,R29-AP132+$AD$12),IF(R29-AP132&gt;100,R29-AP132-1000,R29-AP132)),IF(W29="2PS",IF(R29-AP132&gt;100,R29-AP132-1000+$AD$17,R29-AP132+$AD$17),IF(R29-AP132&gt;100,R29-AP132-1000,R29-AP132))),"-"))</f>
        <v>-</v>
      </c>
      <c r="O29" s="46">
        <v>130</v>
      </c>
      <c r="P29" s="19" t="str">
        <f>IF(R29="","",COUNTA($R$3:R29)+$C$105)</f>
        <v/>
      </c>
      <c r="Q29" s="18" t="str">
        <f t="shared" si="1"/>
        <v/>
      </c>
      <c r="R29" s="30"/>
      <c r="S29" s="45" t="str">
        <f>IFERROR(IF(VLOOKUP(R29,Расчет!$A$2:$B$650,2,FALSE)="664W","Camry",IF(VLOOKUP(R29,Расчет!$A$2:$B$650,2,FALSE)="813W","Goshi","RAV4")),"")</f>
        <v/>
      </c>
      <c r="T29" s="32" t="str">
        <f>IFERROR(IF(S29="Camry",VLOOKUP(R29,Расчет!$A$2:$Q$650,17,FALSE),VLOOKUP(R29,Расчет!$A$2:$R$650,18,FALSE)),"")</f>
        <v/>
      </c>
      <c r="U29" s="32" t="str">
        <f>IFERROR(VLOOKUP(VLOOKUP(R29,Расчет!$A:$D,4,FALSE),$AT$6:$AV$15,3,FALSE),"")</f>
        <v/>
      </c>
      <c r="V29" s="31" t="str">
        <f>IFERROR(VLOOKUP(IFERROR(VLOOKUP(R29,Расчет!$A$2:$D$650,4,FALSE),0),$AT$3:$AU$15,2,FALSE),"")</f>
        <v/>
      </c>
      <c r="W29" s="33" t="str">
        <f>IFERROR(VLOOKUP(R29,Расчет!$A$2:$E$650,5,FALSE),"")</f>
        <v/>
      </c>
      <c r="X29" s="189"/>
      <c r="Y29" s="191">
        <f t="shared" si="10"/>
        <v>0</v>
      </c>
      <c r="Z29" s="156" t="str">
        <f>IFERROR(IF(VLOOKUP(AC29,Расчет!$A$2:$B$236,2,FALSE)="831W","RAV4","Camry"),"-")</f>
        <v>-</v>
      </c>
      <c r="AA29" s="166" t="str">
        <f>IFERROR(VLOOKUP(AC29,Расчет!$A$2:$E$236,5,FALSE),"-")</f>
        <v>-</v>
      </c>
      <c r="AB29" s="159" t="str">
        <f>IFERROR(SMALL($BT$5:$BT$500,6),"")</f>
        <v/>
      </c>
      <c r="AC29" s="162" t="str">
        <f>IF(VLOOKUP2($BP$5:$BQ$500,1,AB29,COUNTIF($AB$24:AB29,AB29),2)=0,"-",VLOOKUP2($BP$5:$BQ$500,1,AB29,COUNTIF($AB$24:AB29,AB29),2))</f>
        <v>-</v>
      </c>
      <c r="AD29" s="353" t="str">
        <f>IFERROR(VLOOKUP(AC29,Расчет!$BS:$BT,2,FALSE),"")</f>
        <v/>
      </c>
      <c r="AE29" s="89">
        <v>27</v>
      </c>
      <c r="AF29" s="44" t="str">
        <f>IF(VLOOKUP(AE29,Расчет!$AH$2:$AN$201,5,FALSE)="8","C",IF(VLOOKUP(AE29,Расчет!$AH$2:$AN$201,5,FALSE)="G","G","R"))</f>
        <v>C</v>
      </c>
      <c r="AG29" s="73" t="str">
        <f t="shared" si="2"/>
        <v>C</v>
      </c>
      <c r="AH29" s="87">
        <f>IF(AG29="","",COUNTIF($AG$2:AG29,"C")-COUNTIF($AF$2:AF29,"C")+$AH$1)</f>
        <v>0</v>
      </c>
      <c r="AI29" s="87">
        <f>IF(AG29="","",COUNTIF($AG$2:AG29,"R")-COUNTIF($AF$2:AF29,"R")+$AI$1)</f>
        <v>0</v>
      </c>
      <c r="AJ29" s="89">
        <v>130</v>
      </c>
      <c r="AK29" s="44" t="str">
        <f>IF(VLOOKUP(AJ29,Расчет!$AH$2:$AN$211,5,FALSE)="8","C",IF(VLOOKUP(AJ29,Расчет!$AH$2:$AN$211,5,FALSE)="G","G","R"))</f>
        <v>C</v>
      </c>
      <c r="AL29" s="74" t="str">
        <f t="shared" si="3"/>
        <v/>
      </c>
      <c r="AM29" s="118" t="str">
        <f>IF(AL29="","",(COUNTIF($AG$2:$AG$105,"C")+COUNTIF($AL$2:$AL29,"C"))-(COUNTIF($AF$2:$AF$105,"C")+COUNTIF($AK$2:$AK29,"C"))+$AH$1)</f>
        <v/>
      </c>
      <c r="AN29" s="119" t="str">
        <f>IF(AL29="","",(COUNTIF($AG$2:$AG$105,"R")+COUNTIF($AL$2:$AL29,"R"))-(COUNTIF($AF$2:$AF$105,"R")+COUNTIF($AK$2:$AK29,"R"))+$AI$1)</f>
        <v/>
      </c>
      <c r="AO29" s="22">
        <f>IF(E29="","",COUNTA($E$3:E29)+$Z$1)</f>
        <v>122</v>
      </c>
      <c r="AP29" s="88">
        <f>IF(AO29="","",IF(AO29+Расчет!$Y$57+$BD$2-Расчет!$X$57&gt;200,AO29+Расчет!$Y$57+$BD$2-1000,AO29+Расчет!$Y$57+$BD$2))</f>
        <v>11192</v>
      </c>
      <c r="AR29" s="92"/>
      <c r="AS29" s="92"/>
      <c r="AW29" s="48"/>
      <c r="AX29" s="671"/>
      <c r="AY29" s="672"/>
      <c r="AZ29" s="675"/>
      <c r="BA29" s="676"/>
      <c r="BB29" s="48"/>
      <c r="BC29" s="48"/>
      <c r="BD29" s="679"/>
      <c r="BE29" s="680"/>
      <c r="BF29" s="683"/>
      <c r="BG29" s="684"/>
      <c r="BH29" s="48"/>
      <c r="BI29" s="685"/>
      <c r="BJ29" s="685"/>
      <c r="BK29" s="48"/>
      <c r="BL29" s="172">
        <f>COUNTIF($BM$5:BM29,"&lt;-115")</f>
        <v>0</v>
      </c>
      <c r="BM29" s="154" t="str">
        <f>IFERROR(IF(OR(IFERROR(VLOOKUP(BN29,$E$3:$E$105,1,FALSE),"0")=BN29,IFERROR(VLOOKUP(BN29,$R$3:$R$105,1,FALSE),"0")=BN29),BO29,IF(OR(VLOOKUP(BN29,Расчет!A:E,5,FALSE)="2PS",VLOOKUP(BN29,Расчет!A:E,5,FALSE)="2QL"),IF(VLOOKUP(BN29,Расчет!A:B,2,FALSE)="831W",BN29-$BS$7+$AD$17,BN29-$BS$7+$AD$12),BN29-$BS$7)),"-")</f>
        <v>-</v>
      </c>
      <c r="BN29" s="154" t="str">
        <f>IF(OR(Расчет!C26="A0",Расчет!C26="P9",Расчет!B26="722W"),"-",Расчет!A26)</f>
        <v>-</v>
      </c>
      <c r="BO29" s="173">
        <f t="shared" si="14"/>
        <v>0</v>
      </c>
      <c r="BP29" s="172" t="str">
        <f>IF(BQ29="-","-",IFERROR(IF(OR(VLOOKUP(BN29,Расчет!$A$2:$E$582,5,FALSE)="2PS",VLOOKUP(BN29,Расчет!$A$2:$E$582,5,FALSE)="2QL"),IF(OR(VLOOKUP(BN29,Расчет!$A$2:$E$582,2,FALSE)="664W",VLOOKUP(BN29,Расчет!$A$2:$E$582,2,FALSE)="813W"),IF(BN29-$BS$7&gt;150,BN29-$BS$7-1000+$AD$12,BN29-$BS$7+$AD$12),IF(BN29-$BS$7&gt;150,BN29-$BS$7-1000+$AD$17,BN29-$BS$7+$AD$17)),IF(BN29-$BS$7&gt;150,BN29-$BS$7-1000,BN29-$BS$7)),"-"))</f>
        <v>-</v>
      </c>
      <c r="BQ29" s="173" t="str">
        <f t="shared" si="11"/>
        <v>-</v>
      </c>
      <c r="BR29" s="453"/>
      <c r="BS29" s="171"/>
      <c r="BT29" s="464" t="str">
        <f t="shared" si="12"/>
        <v>-</v>
      </c>
      <c r="BU29" s="464" t="str">
        <f t="shared" si="13"/>
        <v>-</v>
      </c>
      <c r="BX29" s="204">
        <f>COUNTIF($BY$4:BY29,"&lt;100")</f>
        <v>26</v>
      </c>
      <c r="BY29" s="213">
        <f t="shared" si="4"/>
        <v>0</v>
      </c>
      <c r="BZ29" s="216">
        <f t="shared" si="4"/>
        <v>0</v>
      </c>
      <c r="CA29" s="213">
        <f t="shared" si="5"/>
        <v>0</v>
      </c>
      <c r="CB29" s="209">
        <f t="shared" si="6"/>
        <v>0</v>
      </c>
      <c r="CC29" s="205">
        <f t="shared" si="15"/>
        <v>0</v>
      </c>
      <c r="CD29" s="205">
        <f t="shared" si="7"/>
        <v>23</v>
      </c>
      <c r="CE29" s="205">
        <f t="shared" si="16"/>
        <v>0</v>
      </c>
      <c r="CG29" s="20" t="str">
        <f t="shared" si="24"/>
        <v>Standard</v>
      </c>
    </row>
    <row r="30" spans="1:85" ht="23.1" customHeight="1">
      <c r="A30" s="40">
        <f>IF(AND(IFERROR(VLOOKUP(E30,Расчет!A:J,10,FALSE),"  ")&lt;&gt;"  ",IFERROR(LEFT(VLOOKUP(E30,Расчет!A:J,10,FALSE),1)," ")&lt;&gt;"H"),0,IFERROR(IF(F30="Camry",IF(OR(J30="2PS",J30="2QL"),IF(E30-AP30&gt;100,E30-AP30-1000+$AD$12,E30-AP30+$AD$12),IF(E30-AP30&gt;100,E30-AP30-1000,E30-AP30)),IF(J30="2PS",IF(E30-AP30&gt;100,E30-AP30-1000+$AD$17,E30-AP30+$AD$17),IF(E30-AP30&gt;100,E30-AP30-1000,E30-AP30))),"-"))</f>
        <v>23</v>
      </c>
      <c r="B30" s="46">
        <v>28</v>
      </c>
      <c r="C30" s="19">
        <f>IF(E30="","",COUNTA($E$3:E30))</f>
        <v>28</v>
      </c>
      <c r="D30" s="18">
        <f t="shared" si="0"/>
        <v>123</v>
      </c>
      <c r="E30" s="30">
        <v>11216</v>
      </c>
      <c r="F30" s="44" t="str">
        <f>IFERROR(IF(VLOOKUP(E30,Расчет!$A$2:$B$650,2,FALSE)="664W","Camry",IF(VLOOKUP(E30,Расчет!$A$2:$B$650,2,FALSE)="813W","Goshi","RAV4")),"")</f>
        <v>RAV4</v>
      </c>
      <c r="G30" s="32" t="str">
        <f>IFERROR(IF(F30="Camry",VLOOKUP(E30,Расчет!$A$2:$Q$650,17,FALSE),VLOOKUP(E30,Расчет!$A$2:$R$650,18,FALSE)),"")</f>
        <v>Auto</v>
      </c>
      <c r="H30" s="32" t="str">
        <f>IFERROR(VLOOKUP(VLOOKUP(E30,Расчет!$A:$D,4,FALSE),$AT$6:$AV$15,3,FALSE),"")</f>
        <v>4WD</v>
      </c>
      <c r="I30" s="31" t="str">
        <f>IFERROR(VLOOKUP(IFERROR(VLOOKUP(E30,Расчет!$A$2:$D$650,4,FALSE),0),$AT$3:$AU$15,2,FALSE),"")</f>
        <v>2,5 L</v>
      </c>
      <c r="J30" s="33" t="str">
        <f>IFERROR(VLOOKUP(E30,Расчет!$A$2:$E$650,5,FALSE),"")</f>
        <v>218</v>
      </c>
      <c r="K30" s="189">
        <v>0.77141203703703709</v>
      </c>
      <c r="L30" s="188">
        <f t="shared" si="9"/>
        <v>1.7245370370371216E-3</v>
      </c>
      <c r="M30" s="9"/>
      <c r="N30" s="40" t="str">
        <f>IF(AND(IFERROR(VLOOKUP(R30,Расчет!A:J,10,FALSE),"  ")&lt;&gt;"  ",IFERROR(LEFT(VLOOKUP(R30,Расчет!A:J,10,FALSE),1)," ")&lt;&gt;"H"),0,IFERROR(IF(S30="Camry",IF(OR(W30="2PS",W30="2QL"),IF(R30-AP133&gt;100,R30-AP133-1000+$AD$12,R30-AP133+$AD$12),IF(R30-AP133&gt;100,R30-AP133-1000,R30-AP133)),IF(W30="2PS",IF(R30-AP133&gt;100,R30-AP133-1000+$AD$17,R30-AP133+$AD$17),IF(R30-AP133&gt;100,R30-AP133-1000,R30-AP133))),"-"))</f>
        <v>-</v>
      </c>
      <c r="O30" s="46">
        <v>131</v>
      </c>
      <c r="P30" s="19" t="str">
        <f>IF(R30="","",COUNTA($R$3:R30)+$C$105)</f>
        <v/>
      </c>
      <c r="Q30" s="18" t="str">
        <f t="shared" si="1"/>
        <v/>
      </c>
      <c r="R30" s="30"/>
      <c r="S30" s="45" t="str">
        <f>IFERROR(IF(VLOOKUP(R30,Расчет!$A$2:$B$650,2,FALSE)="664W","Camry",IF(VLOOKUP(R30,Расчет!$A$2:$B$650,2,FALSE)="813W","Goshi","RAV4")),"")</f>
        <v/>
      </c>
      <c r="T30" s="32" t="str">
        <f>IFERROR(IF(S30="Camry",VLOOKUP(R30,Расчет!$A$2:$Q$650,17,FALSE),VLOOKUP(R30,Расчет!$A$2:$R$650,18,FALSE)),"")</f>
        <v/>
      </c>
      <c r="U30" s="32" t="str">
        <f>IFERROR(VLOOKUP(VLOOKUP(R30,Расчет!$A:$D,4,FALSE),$AT$6:$AV$15,3,FALSE),"")</f>
        <v/>
      </c>
      <c r="V30" s="31" t="str">
        <f>IFERROR(VLOOKUP(IFERROR(VLOOKUP(R30,Расчет!$A$2:$D$650,4,FALSE),0),$AT$3:$AU$15,2,FALSE),"")</f>
        <v/>
      </c>
      <c r="W30" s="33" t="str">
        <f>IFERROR(VLOOKUP(R30,Расчет!$A$2:$E$650,5,FALSE),"")</f>
        <v/>
      </c>
      <c r="X30" s="189"/>
      <c r="Y30" s="191">
        <f t="shared" si="10"/>
        <v>0</v>
      </c>
      <c r="Z30" s="156" t="str">
        <f>IFERROR(IF(VLOOKUP(AC30,Расчет!$A$2:$B$236,2,FALSE)="831W","RAV4","Camry"),"-")</f>
        <v>-</v>
      </c>
      <c r="AA30" s="166" t="str">
        <f>IFERROR(VLOOKUP(AC30,Расчет!$A$2:$E$236,5,FALSE),"-")</f>
        <v>-</v>
      </c>
      <c r="AB30" s="159" t="str">
        <f>IFERROR(SMALL($BT$5:$BT$500,7),"")</f>
        <v/>
      </c>
      <c r="AC30" s="162" t="str">
        <f>IF(VLOOKUP2($BP$5:$BQ$500,1,AB30,COUNTIF($AB$24:AB30,AB30),2)=0,"-",VLOOKUP2($BP$5:$BQ$500,1,AB30,COUNTIF($AB$24:AB30,AB30),2))</f>
        <v>-</v>
      </c>
      <c r="AD30" s="353" t="str">
        <f>IFERROR(VLOOKUP(AC30,Расчет!$BS:$BT,2,FALSE),"")</f>
        <v/>
      </c>
      <c r="AE30" s="89">
        <v>28</v>
      </c>
      <c r="AF30" s="44" t="str">
        <f>IF(VLOOKUP(AE30,Расчет!$AH$2:$AN$201,5,FALSE)="8","C",IF(VLOOKUP(AE30,Расчет!$AH$2:$AN$201,5,FALSE)="G","G","R"))</f>
        <v>R</v>
      </c>
      <c r="AG30" s="73" t="str">
        <f t="shared" si="2"/>
        <v>R</v>
      </c>
      <c r="AH30" s="87">
        <f>IF(AG30="","",COUNTIF($AG$2:AG30,"C")-COUNTIF($AF$2:AF30,"C")+$AH$1)</f>
        <v>0</v>
      </c>
      <c r="AI30" s="87">
        <f>IF(AG30="","",COUNTIF($AG$2:AG30,"R")-COUNTIF($AF$2:AF30,"R")+$AI$1)</f>
        <v>0</v>
      </c>
      <c r="AJ30" s="89">
        <v>131</v>
      </c>
      <c r="AK30" s="44" t="str">
        <f>IF(VLOOKUP(AJ30,Расчет!$AH$2:$AN$211,5,FALSE)="8","C",IF(VLOOKUP(AJ30,Расчет!$AH$2:$AN$211,5,FALSE)="G","G","R"))</f>
        <v>R</v>
      </c>
      <c r="AL30" s="74" t="str">
        <f t="shared" si="3"/>
        <v/>
      </c>
      <c r="AM30" s="118" t="str">
        <f>IF(AL30="","",(COUNTIF($AG$2:$AG$105,"C")+COUNTIF($AL$2:$AL30,"C"))-(COUNTIF($AF$2:$AF$105,"C")+COUNTIF($AK$2:$AK30,"C"))+$AH$1)</f>
        <v/>
      </c>
      <c r="AN30" s="119" t="str">
        <f>IF(AL30="","",(COUNTIF($AG$2:$AG$105,"R")+COUNTIF($AL$2:$AL30,"R"))-(COUNTIF($AF$2:$AF$105,"R")+COUNTIF($AK$2:$AK30,"R"))+$AI$1)</f>
        <v/>
      </c>
      <c r="AO30" s="22">
        <f>IF(E30="","",COUNTA($E$3:E30)+$Z$1)</f>
        <v>123</v>
      </c>
      <c r="AP30" s="88">
        <f>IF(AO30="","",IF(AO30+Расчет!$Y$57+$BD$2-Расчет!$X$57&gt;200,AO30+Расчет!$Y$57+$BD$2-1000,AO30+Расчет!$Y$57+$BD$2))</f>
        <v>11193</v>
      </c>
      <c r="AR30" s="92"/>
      <c r="AS30" s="92"/>
      <c r="AW30" s="48"/>
      <c r="AX30" s="722" t="s">
        <v>24</v>
      </c>
      <c r="AY30" s="723"/>
      <c r="AZ30" s="673">
        <v>0.56000000000000005</v>
      </c>
      <c r="BA30" s="674"/>
      <c r="BB30" s="48"/>
      <c r="BC30" s="48"/>
      <c r="BD30" s="720" t="s">
        <v>24</v>
      </c>
      <c r="BE30" s="716"/>
      <c r="BF30" s="681">
        <f>BD36-AZ36</f>
        <v>0.59999999999999432</v>
      </c>
      <c r="BG30" s="682"/>
      <c r="BH30" s="448"/>
      <c r="BI30" s="48"/>
      <c r="BJ30" s="48"/>
      <c r="BK30" s="48"/>
      <c r="BL30" s="172">
        <f>COUNTIF($BM$5:BM30,"&lt;-115")</f>
        <v>0</v>
      </c>
      <c r="BM30" s="154" t="str">
        <f>IFERROR(IF(OR(IFERROR(VLOOKUP(BN30,$E$3:$E$105,1,FALSE),"0")=BN30,IFERROR(VLOOKUP(BN30,$R$3:$R$105,1,FALSE),"0")=BN30),BO30,IF(OR(VLOOKUP(BN30,Расчет!A:E,5,FALSE)="2PS",VLOOKUP(BN30,Расчет!A:E,5,FALSE)="2QL"),IF(VLOOKUP(BN30,Расчет!A:B,2,FALSE)="831W",BN30-$BS$7+$AD$17,BN30-$BS$7+$AD$12),BN30-$BS$7)),"-")</f>
        <v>-</v>
      </c>
      <c r="BN30" s="154" t="str">
        <f>IF(OR(Расчет!C27="A0",Расчет!C27="P9",Расчет!B27="722W"),"-",Расчет!A27)</f>
        <v>-</v>
      </c>
      <c r="BO30" s="173">
        <f t="shared" si="14"/>
        <v>0</v>
      </c>
      <c r="BP30" s="172" t="str">
        <f>IF(BQ30="-","-",IFERROR(IF(OR(VLOOKUP(BN30,Расчет!$A$2:$E$582,5,FALSE)="2PS",VLOOKUP(BN30,Расчет!$A$2:$E$582,5,FALSE)="2QL"),IF(OR(VLOOKUP(BN30,Расчет!$A$2:$E$582,2,FALSE)="664W",VLOOKUP(BN30,Расчет!$A$2:$E$582,2,FALSE)="813W"),IF(BN30-$BS$7&gt;150,BN30-$BS$7-1000+$AD$12,BN30-$BS$7+$AD$12),IF(BN30-$BS$7&gt;150,BN30-$BS$7-1000+$AD$17,BN30-$BS$7+$AD$17)),IF(BN30-$BS$7&gt;150,BN30-$BS$7-1000,BN30-$BS$7)),"-"))</f>
        <v>-</v>
      </c>
      <c r="BQ30" s="173" t="str">
        <f t="shared" si="11"/>
        <v>-</v>
      </c>
      <c r="BR30" s="453"/>
      <c r="BS30" s="171"/>
      <c r="BT30" s="464" t="str">
        <f t="shared" si="12"/>
        <v>-</v>
      </c>
      <c r="BU30" s="464" t="str">
        <f t="shared" si="13"/>
        <v>-</v>
      </c>
      <c r="BX30" s="204">
        <f>COUNTIF($BY$4:BY30,"&lt;100")</f>
        <v>27</v>
      </c>
      <c r="BY30" s="213">
        <f t="shared" si="4"/>
        <v>0</v>
      </c>
      <c r="BZ30" s="216">
        <f t="shared" si="4"/>
        <v>0</v>
      </c>
      <c r="CA30" s="213">
        <f t="shared" si="5"/>
        <v>0</v>
      </c>
      <c r="CB30" s="209">
        <f t="shared" si="6"/>
        <v>0</v>
      </c>
      <c r="CC30" s="205">
        <f t="shared" si="15"/>
        <v>0</v>
      </c>
      <c r="CD30" s="205">
        <f t="shared" si="7"/>
        <v>0</v>
      </c>
      <c r="CE30" s="205">
        <f t="shared" si="16"/>
        <v>0</v>
      </c>
      <c r="CG30" s="20" t="str">
        <f t="shared" si="24"/>
        <v>CVT</v>
      </c>
    </row>
    <row r="31" spans="1:85" ht="23.1" customHeight="1">
      <c r="A31" s="40">
        <f>IF(AND(IFERROR(VLOOKUP(E31,Расчет!A:J,10,FALSE),"  ")&lt;&gt;"  ",IFERROR(LEFT(VLOOKUP(E31,Расчет!A:J,10,FALSE),1)," ")&lt;&gt;"H"),0,IFERROR(IF(F31="Camry",IF(OR(J31="2PS",J31="2QL"),IF(E31-AP31&gt;100,E31-AP31-1000+$AD$12,E31-AP31+$AD$12),IF(E31-AP31&gt;100,E31-AP31-1000,E31-AP31)),IF(J31="2PS",IF(E31-AP31&gt;100,E31-AP31-1000+$AD$17,E31-AP31+$AD$17),IF(E31-AP31&gt;100,E31-AP31-1000,E31-AP31))),"-"))</f>
        <v>7</v>
      </c>
      <c r="B31" s="46">
        <v>29</v>
      </c>
      <c r="C31" s="19">
        <f>IF(E31="","",COUNTA($E$3:E31))</f>
        <v>29</v>
      </c>
      <c r="D31" s="18">
        <f t="shared" si="0"/>
        <v>124</v>
      </c>
      <c r="E31" s="30">
        <v>11201</v>
      </c>
      <c r="F31" s="44" t="str">
        <f>IFERROR(IF(VLOOKUP(E31,Расчет!$A$2:$B$650,2,FALSE)="664W","Camry",IF(VLOOKUP(E31,Расчет!$A$2:$B$650,2,FALSE)="813W","Goshi","RAV4")),"")</f>
        <v>Camry</v>
      </c>
      <c r="G31" s="32" t="str">
        <f>IFERROR(IF(F31="Camry",VLOOKUP(E31,Расчет!$A$2:$Q$650,17,FALSE),VLOOKUP(E31,Расчет!$A$2:$R$650,18,FALSE)),"")</f>
        <v>Standard</v>
      </c>
      <c r="H31" s="32" t="str">
        <f>IFERROR(VLOOKUP(VLOOKUP(E31,Расчет!$A:$D,4,FALSE),$AT$6:$AV$15,3,FALSE),"")</f>
        <v/>
      </c>
      <c r="I31" s="31" t="str">
        <f>IFERROR(VLOOKUP(IFERROR(VLOOKUP(E31,Расчет!$A$2:$D$650,4,FALSE),0),$AT$3:$AU$15,2,FALSE),"")</f>
        <v>2,5 L</v>
      </c>
      <c r="J31" s="33" t="str">
        <f>IFERROR(VLOOKUP(E31,Расчет!$A$2:$E$650,5,FALSE),"")</f>
        <v>218</v>
      </c>
      <c r="K31" s="189">
        <v>0.77333333333333332</v>
      </c>
      <c r="L31" s="188">
        <f t="shared" si="9"/>
        <v>1.9212962962962266E-3</v>
      </c>
      <c r="M31" s="9"/>
      <c r="N31" s="40" t="str">
        <f>IF(AND(IFERROR(VLOOKUP(R31,Расчет!A:J,10,FALSE),"  ")&lt;&gt;"  ",IFERROR(LEFT(VLOOKUP(R31,Расчет!A:J,10,FALSE),1)," ")&lt;&gt;"H"),0,IFERROR(IF(S31="Camry",IF(OR(W31="2PS",W31="2QL"),IF(R31-AP134&gt;100,R31-AP134-1000+$AD$12,R31-AP134+$AD$12),IF(R31-AP134&gt;100,R31-AP134-1000,R31-AP134)),IF(W31="2PS",IF(R31-AP134&gt;100,R31-AP134-1000+$AD$17,R31-AP134+$AD$17),IF(R31-AP134&gt;100,R31-AP134-1000,R31-AP134))),"-"))</f>
        <v>-</v>
      </c>
      <c r="O31" s="46">
        <v>132</v>
      </c>
      <c r="P31" s="19" t="str">
        <f>IF(R31="","",COUNTA($R$3:R31)+$C$105)</f>
        <v/>
      </c>
      <c r="Q31" s="18" t="str">
        <f t="shared" si="1"/>
        <v/>
      </c>
      <c r="R31" s="30"/>
      <c r="S31" s="45" t="str">
        <f>IFERROR(IF(VLOOKUP(R31,Расчет!$A$2:$B$650,2,FALSE)="664W","Camry",IF(VLOOKUP(R31,Расчет!$A$2:$B$650,2,FALSE)="813W","Goshi","RAV4")),"")</f>
        <v/>
      </c>
      <c r="T31" s="32" t="str">
        <f>IFERROR(IF(S31="Camry",VLOOKUP(R31,Расчет!$A$2:$Q$650,17,FALSE),VLOOKUP(R31,Расчет!$A$2:$R$650,18,FALSE)),"")</f>
        <v/>
      </c>
      <c r="U31" s="32" t="str">
        <f>IFERROR(VLOOKUP(VLOOKUP(R31,Расчет!$A:$D,4,FALSE),$AT$6:$AV$15,3,FALSE),"")</f>
        <v/>
      </c>
      <c r="V31" s="31" t="str">
        <f>IFERROR(VLOOKUP(IFERROR(VLOOKUP(R31,Расчет!$A$2:$D$650,4,FALSE),0),$AT$3:$AU$15,2,FALSE),"")</f>
        <v/>
      </c>
      <c r="W31" s="33" t="str">
        <f>IFERROR(VLOOKUP(R31,Расчет!$A$2:$E$650,5,FALSE),"")</f>
        <v/>
      </c>
      <c r="X31" s="189"/>
      <c r="Y31" s="191">
        <f t="shared" si="10"/>
        <v>0</v>
      </c>
      <c r="Z31" s="156" t="str">
        <f>IFERROR(IF(VLOOKUP(AC31,Расчет!$A$2:$B$236,2,FALSE)="831W","RAV4","Camry"),"-")</f>
        <v>-</v>
      </c>
      <c r="AA31" s="166" t="str">
        <f>IFERROR(VLOOKUP(AC31,Расчет!$A$2:$E$236,5,FALSE),"-")</f>
        <v>-</v>
      </c>
      <c r="AB31" s="159" t="str">
        <f>IFERROR(SMALL($BT$5:$BT$500,8),"")</f>
        <v/>
      </c>
      <c r="AC31" s="162" t="str">
        <f>IF(VLOOKUP2($BP$5:$BQ$500,1,AB31,COUNTIF($AB$24:AB31,AB31),2)=0,"-",VLOOKUP2($BP$5:$BQ$500,1,AB31,COUNTIF($AB$24:AB31,AB31),2))</f>
        <v>-</v>
      </c>
      <c r="AD31" s="353" t="str">
        <f>IFERROR(VLOOKUP(AC31,Расчет!$BS:$BT,2,FALSE),"")</f>
        <v/>
      </c>
      <c r="AE31" s="89">
        <v>29</v>
      </c>
      <c r="AF31" s="44" t="str">
        <f>IF(VLOOKUP(AE31,Расчет!$AH$2:$AN$201,5,FALSE)="8","C",IF(VLOOKUP(AE31,Расчет!$AH$2:$AN$201,5,FALSE)="G","G","R"))</f>
        <v>C</v>
      </c>
      <c r="AG31" s="73" t="str">
        <f t="shared" si="2"/>
        <v>C</v>
      </c>
      <c r="AH31" s="87">
        <f>IF(AG31="","",COUNTIF($AG$2:AG31,"C")-COUNTIF($AF$2:AF31,"C")+$AH$1)</f>
        <v>0</v>
      </c>
      <c r="AI31" s="87">
        <f>IF(AG31="","",COUNTIF($AG$2:AG31,"R")-COUNTIF($AF$2:AF31,"R")+$AI$1)</f>
        <v>0</v>
      </c>
      <c r="AJ31" s="89">
        <v>132</v>
      </c>
      <c r="AK31" s="44" t="str">
        <f>IF(VLOOKUP(AJ31,Расчет!$AH$2:$AN$211,5,FALSE)="8","C",IF(VLOOKUP(AJ31,Расчет!$AH$2:$AN$211,5,FALSE)="G","G","R"))</f>
        <v>C</v>
      </c>
      <c r="AL31" s="74" t="str">
        <f t="shared" si="3"/>
        <v/>
      </c>
      <c r="AM31" s="118" t="str">
        <f>IF(AL31="","",(COUNTIF($AG$2:$AG$105,"C")+COUNTIF($AL$2:$AL31,"C"))-(COUNTIF($AF$2:$AF$105,"C")+COUNTIF($AK$2:$AK31,"C"))+$AH$1)</f>
        <v/>
      </c>
      <c r="AN31" s="119" t="str">
        <f>IF(AL31="","",(COUNTIF($AG$2:$AG$105,"R")+COUNTIF($AL$2:$AL31,"R"))-(COUNTIF($AF$2:$AF$105,"R")+COUNTIF($AK$2:$AK31,"R"))+$AI$1)</f>
        <v/>
      </c>
      <c r="AO31" s="22">
        <f>IF(E31="","",COUNTA($E$3:E31)+$Z$1)</f>
        <v>124</v>
      </c>
      <c r="AP31" s="88">
        <f>IF(AO31="","",IF(AO31+Расчет!$Y$57+$BD$2-Расчет!$X$57&gt;200,AO31+Расчет!$Y$57+$BD$2-1000,AO31+Расчет!$Y$57+$BD$2))</f>
        <v>11194</v>
      </c>
      <c r="AR31" s="92"/>
      <c r="AS31" s="92"/>
      <c r="AW31" s="48"/>
      <c r="AX31" s="722"/>
      <c r="AY31" s="723"/>
      <c r="AZ31" s="675"/>
      <c r="BA31" s="676"/>
      <c r="BB31" s="48"/>
      <c r="BC31" s="48"/>
      <c r="BD31" s="724"/>
      <c r="BE31" s="725"/>
      <c r="BF31" s="683"/>
      <c r="BG31" s="684"/>
      <c r="BH31" s="48"/>
      <c r="BI31" s="48"/>
      <c r="BJ31" s="48"/>
      <c r="BK31" s="48"/>
      <c r="BL31" s="172">
        <f>COUNTIF($BM$5:BM31,"&lt;-115")</f>
        <v>0</v>
      </c>
      <c r="BM31" s="154" t="str">
        <f>IFERROR(IF(OR(IFERROR(VLOOKUP(BN31,$E$3:$E$105,1,FALSE),"0")=BN31,IFERROR(VLOOKUP(BN31,$R$3:$R$105,1,FALSE),"0")=BN31),BO31,IF(OR(VLOOKUP(BN31,Расчет!A:E,5,FALSE)="2PS",VLOOKUP(BN31,Расчет!A:E,5,FALSE)="2QL"),IF(VLOOKUP(BN31,Расчет!A:B,2,FALSE)="831W",BN31-$BS$7+$AD$17,BN31-$BS$7+$AD$12),BN31-$BS$7)),"-")</f>
        <v>-</v>
      </c>
      <c r="BN31" s="154" t="str">
        <f>IF(OR(Расчет!C28="A0",Расчет!C28="P9",Расчет!B28="722W"),"-",Расчет!A28)</f>
        <v>-</v>
      </c>
      <c r="BO31" s="173">
        <f t="shared" si="14"/>
        <v>0</v>
      </c>
      <c r="BP31" s="172" t="str">
        <f>IF(BQ31="-","-",IFERROR(IF(OR(VLOOKUP(BN31,Расчет!$A$2:$E$582,5,FALSE)="2PS",VLOOKUP(BN31,Расчет!$A$2:$E$582,5,FALSE)="2QL"),IF(OR(VLOOKUP(BN31,Расчет!$A$2:$E$582,2,FALSE)="664W",VLOOKUP(BN31,Расчет!$A$2:$E$582,2,FALSE)="813W"),IF(BN31-$BS$7&gt;150,BN31-$BS$7-1000+$AD$12,BN31-$BS$7+$AD$12),IF(BN31-$BS$7&gt;150,BN31-$BS$7-1000+$AD$17,BN31-$BS$7+$AD$17)),IF(BN31-$BS$7&gt;150,BN31-$BS$7-1000,BN31-$BS$7)),"-"))</f>
        <v>-</v>
      </c>
      <c r="BQ31" s="173" t="str">
        <f t="shared" si="11"/>
        <v>-</v>
      </c>
      <c r="BR31" s="453"/>
      <c r="BS31" s="171"/>
      <c r="BT31" s="464" t="str">
        <f t="shared" si="12"/>
        <v>-</v>
      </c>
      <c r="BU31" s="464" t="str">
        <f t="shared" si="13"/>
        <v>-</v>
      </c>
      <c r="BX31" s="204">
        <f>COUNTIF($BY$4:BY31,"&lt;100")</f>
        <v>28</v>
      </c>
      <c r="BY31" s="213">
        <f t="shared" si="4"/>
        <v>0</v>
      </c>
      <c r="BZ31" s="216">
        <f t="shared" si="4"/>
        <v>0</v>
      </c>
      <c r="CA31" s="213">
        <f t="shared" si="5"/>
        <v>0</v>
      </c>
      <c r="CB31" s="209">
        <f t="shared" si="6"/>
        <v>0</v>
      </c>
      <c r="CC31" s="205">
        <f t="shared" si="15"/>
        <v>0</v>
      </c>
      <c r="CD31" s="205">
        <f t="shared" si="7"/>
        <v>23</v>
      </c>
      <c r="CE31" s="205">
        <f t="shared" si="16"/>
        <v>0</v>
      </c>
      <c r="CG31" s="20" t="str">
        <f t="shared" si="24"/>
        <v>Standard</v>
      </c>
    </row>
    <row r="32" spans="1:85" ht="23.1" customHeight="1" thickBot="1">
      <c r="A32" s="40">
        <f>IF(AND(IFERROR(VLOOKUP(E32,Расчет!A:J,10,FALSE),"  ")&lt;&gt;"  ",IFERROR(LEFT(VLOOKUP(E32,Расчет!A:J,10,FALSE),1)," ")&lt;&gt;"H"),0,IFERROR(IF(F32="Camry",IF(OR(J32="2PS",J32="2QL"),IF(E32-AP32&gt;100,E32-AP32-1000+$AD$12,E32-AP32+$AD$12),IF(E32-AP32&gt;100,E32-AP32-1000,E32-AP32)),IF(J32="2PS",IF(E32-AP32&gt;100,E32-AP32-1000+$AD$17,E32-AP32+$AD$17),IF(E32-AP32&gt;100,E32-AP32-1000,E32-AP32))),"-"))</f>
        <v>-75</v>
      </c>
      <c r="B32" s="46">
        <v>30</v>
      </c>
      <c r="C32" s="19">
        <f>IF(E32="","",COUNTA($E$3:E32))</f>
        <v>30</v>
      </c>
      <c r="D32" s="18">
        <f t="shared" si="0"/>
        <v>125</v>
      </c>
      <c r="E32" s="30">
        <v>11120</v>
      </c>
      <c r="F32" s="44" t="str">
        <f>IFERROR(IF(VLOOKUP(E32,Расчет!$A$2:$B$650,2,FALSE)="664W","Camry",IF(VLOOKUP(E32,Расчет!$A$2:$B$650,2,FALSE)="813W","Goshi","RAV4")),"")</f>
        <v>RAV4</v>
      </c>
      <c r="G32" s="32" t="str">
        <f>IFERROR(IF(F32="Camry",VLOOKUP(E32,Расчет!$A$2:$Q$650,17,FALSE),VLOOKUP(E32,Расчет!$A$2:$R$650,18,FALSE)),"")</f>
        <v>Auto</v>
      </c>
      <c r="H32" s="32" t="str">
        <f>IFERROR(VLOOKUP(VLOOKUP(E32,Расчет!$A:$D,4,FALSE),$AT$6:$AV$15,3,FALSE),"")</f>
        <v>4WD</v>
      </c>
      <c r="I32" s="31" t="str">
        <f>IFERROR(VLOOKUP(IFERROR(VLOOKUP(E32,Расчет!$A$2:$D$650,4,FALSE),0),$AT$3:$AU$15,2,FALSE),"")</f>
        <v>2,5 L</v>
      </c>
      <c r="J32" s="33" t="str">
        <f>IFERROR(VLOOKUP(E32,Расчет!$A$2:$E$650,5,FALSE),"")</f>
        <v>218</v>
      </c>
      <c r="K32" s="189">
        <v>0.77503472222222225</v>
      </c>
      <c r="L32" s="188">
        <f t="shared" si="9"/>
        <v>1.7013888888889328E-3</v>
      </c>
      <c r="M32" s="9"/>
      <c r="N32" s="40" t="str">
        <f>IF(AND(IFERROR(VLOOKUP(R32,Расчет!A:J,10,FALSE),"  ")&lt;&gt;"  ",IFERROR(LEFT(VLOOKUP(R32,Расчет!A:J,10,FALSE),1)," ")&lt;&gt;"H"),0,IFERROR(IF(S32="Camry",IF(OR(W32="2PS",W32="2QL"),IF(R32-AP135&gt;100,R32-AP135-1000+$AD$12,R32-AP135+$AD$12),IF(R32-AP135&gt;100,R32-AP135-1000,R32-AP135)),IF(W32="2PS",IF(R32-AP135&gt;100,R32-AP135-1000+$AD$17,R32-AP135+$AD$17),IF(R32-AP135&gt;100,R32-AP135-1000,R32-AP135))),"-"))</f>
        <v>-</v>
      </c>
      <c r="O32" s="46">
        <v>133</v>
      </c>
      <c r="P32" s="19" t="str">
        <f>IF(R32="","",COUNTA($R$3:R32)+$C$105)</f>
        <v/>
      </c>
      <c r="Q32" s="18" t="str">
        <f t="shared" si="1"/>
        <v/>
      </c>
      <c r="R32" s="30"/>
      <c r="S32" s="45" t="str">
        <f>IFERROR(IF(VLOOKUP(R32,Расчет!$A$2:$B$650,2,FALSE)="664W","Camry",IF(VLOOKUP(R32,Расчет!$A$2:$B$650,2,FALSE)="813W","Goshi","RAV4")),"")</f>
        <v/>
      </c>
      <c r="T32" s="32" t="str">
        <f>IFERROR(IF(S32="Camry",VLOOKUP(R32,Расчет!$A$2:$Q$650,17,FALSE),VLOOKUP(R32,Расчет!$A$2:$R$650,18,FALSE)),"")</f>
        <v/>
      </c>
      <c r="U32" s="32" t="str">
        <f>IFERROR(VLOOKUP(VLOOKUP(R32,Расчет!$A:$D,4,FALSE),$AT$6:$AV$15,3,FALSE),"")</f>
        <v/>
      </c>
      <c r="V32" s="31" t="str">
        <f>IFERROR(VLOOKUP(IFERROR(VLOOKUP(R32,Расчет!$A$2:$D$650,4,FALSE),0),$AT$3:$AU$15,2,FALSE),"")</f>
        <v/>
      </c>
      <c r="W32" s="33" t="str">
        <f>IFERROR(VLOOKUP(R32,Расчет!$A$2:$E$650,5,FALSE),"")</f>
        <v/>
      </c>
      <c r="X32" s="189"/>
      <c r="Y32" s="191">
        <f t="shared" si="10"/>
        <v>0</v>
      </c>
      <c r="Z32" s="156" t="str">
        <f>IFERROR(IF(VLOOKUP(AC32,Расчет!$A$2:$B$236,2,FALSE)="831W","RAV4","Camry"),"-")</f>
        <v>-</v>
      </c>
      <c r="AA32" s="166" t="str">
        <f>IFERROR(VLOOKUP(AC32,Расчет!$A$2:$E$236,5,FALSE),"-")</f>
        <v>-</v>
      </c>
      <c r="AB32" s="160" t="str">
        <f>IFERROR(SMALL($BT$5:$BT$500,9),"")</f>
        <v/>
      </c>
      <c r="AC32" s="163" t="str">
        <f>IF(VLOOKUP2($BP$5:$BQ$500,1,AB32,COUNTIF($AB$24:AB32,AB32),2)=0,"-",VLOOKUP2($BP$5:$BQ$500,1,AB32,COUNTIF($AB$24:AB32,AB32),2))</f>
        <v>-</v>
      </c>
      <c r="AD32" s="147" t="str">
        <f>IFERROR(VLOOKUP(AC32,Расчет!$BS:$BT,2,FALSE),"")</f>
        <v/>
      </c>
      <c r="AE32" s="89">
        <v>30</v>
      </c>
      <c r="AF32" s="44" t="str">
        <f>IF(VLOOKUP(AE32,Расчет!$AH$2:$AN$201,5,FALSE)="8","C",IF(VLOOKUP(AE32,Расчет!$AH$2:$AN$201,5,FALSE)="G","G","R"))</f>
        <v>R</v>
      </c>
      <c r="AG32" s="73" t="str">
        <f t="shared" si="2"/>
        <v>R</v>
      </c>
      <c r="AH32" s="87">
        <f>IF(AG32="","",COUNTIF($AG$2:AG32,"C")-COUNTIF($AF$2:AF32,"C")+$AH$1)</f>
        <v>0</v>
      </c>
      <c r="AI32" s="87">
        <f>IF(AG32="","",COUNTIF($AG$2:AG32,"R")-COUNTIF($AF$2:AF32,"R")+$AI$1)</f>
        <v>0</v>
      </c>
      <c r="AJ32" s="89">
        <v>133</v>
      </c>
      <c r="AK32" s="44" t="str">
        <f>IF(VLOOKUP(AJ32,Расчет!$AH$2:$AN$211,5,FALSE)="8","C",IF(VLOOKUP(AJ32,Расчет!$AH$2:$AN$211,5,FALSE)="G","G","R"))</f>
        <v>R</v>
      </c>
      <c r="AL32" s="74" t="str">
        <f t="shared" si="3"/>
        <v/>
      </c>
      <c r="AM32" s="118" t="str">
        <f>IF(AL32="","",(COUNTIF($AG$2:$AG$105,"C")+COUNTIF($AL$2:$AL32,"C"))-(COUNTIF($AF$2:$AF$105,"C")+COUNTIF($AK$2:$AK32,"C"))+$AH$1)</f>
        <v/>
      </c>
      <c r="AN32" s="119" t="str">
        <f>IF(AL32="","",(COUNTIF($AG$2:$AG$105,"R")+COUNTIF($AL$2:$AL32,"R"))-(COUNTIF($AF$2:$AF$105,"R")+COUNTIF($AK$2:$AK32,"R"))+$AI$1)</f>
        <v/>
      </c>
      <c r="AO32" s="22">
        <f>IF(E32="","",COUNTA($E$3:E32)+$Z$1)</f>
        <v>125</v>
      </c>
      <c r="AP32" s="88">
        <f>IF(AO32="","",IF(AO32+Расчет!$Y$57+$BD$2-Расчет!$X$57&gt;200,AO32+Расчет!$Y$57+$BD$2-1000,AO32+Расчет!$Y$57+$BD$2))</f>
        <v>11195</v>
      </c>
      <c r="AR32" s="92"/>
      <c r="AS32" s="92"/>
      <c r="AW32" s="48"/>
      <c r="AX32" s="726" t="s">
        <v>27</v>
      </c>
      <c r="AY32" s="727"/>
      <c r="AZ32" s="730" t="s">
        <v>18</v>
      </c>
      <c r="BA32" s="727"/>
      <c r="BB32" s="730" t="s">
        <v>27</v>
      </c>
      <c r="BC32" s="727"/>
      <c r="BD32" s="730" t="s">
        <v>93</v>
      </c>
      <c r="BE32" s="727"/>
      <c r="BF32" s="730" t="s">
        <v>53</v>
      </c>
      <c r="BG32" s="732"/>
      <c r="BH32" s="48"/>
      <c r="BI32" s="48"/>
      <c r="BJ32" s="48"/>
      <c r="BK32" s="48"/>
      <c r="BL32" s="172">
        <f>COUNTIF($BM$5:BM32,"&lt;-115")</f>
        <v>0</v>
      </c>
      <c r="BM32" s="154" t="str">
        <f>IFERROR(IF(OR(IFERROR(VLOOKUP(BN32,$E$3:$E$105,1,FALSE),"0")=BN32,IFERROR(VLOOKUP(BN32,$R$3:$R$105,1,FALSE),"0")=BN32),BO32,IF(OR(VLOOKUP(BN32,Расчет!A:E,5,FALSE)="2PS",VLOOKUP(BN32,Расчет!A:E,5,FALSE)="2QL"),IF(VLOOKUP(BN32,Расчет!A:B,2,FALSE)="831W",BN32-$BS$7+$AD$17,BN32-$BS$7+$AD$12),BN32-$BS$7)),"-")</f>
        <v>-</v>
      </c>
      <c r="BN32" s="154" t="str">
        <f>IF(OR(Расчет!C29="A0",Расчет!C29="P9",Расчет!B29="722W"),"-",Расчет!A29)</f>
        <v>-</v>
      </c>
      <c r="BO32" s="173">
        <f t="shared" si="14"/>
        <v>0</v>
      </c>
      <c r="BP32" s="172" t="str">
        <f>IF(BQ32="-","-",IFERROR(IF(OR(VLOOKUP(BN32,Расчет!$A$2:$E$582,5,FALSE)="2PS",VLOOKUP(BN32,Расчет!$A$2:$E$582,5,FALSE)="2QL"),IF(OR(VLOOKUP(BN32,Расчет!$A$2:$E$582,2,FALSE)="664W",VLOOKUP(BN32,Расчет!$A$2:$E$582,2,FALSE)="813W"),IF(BN32-$BS$7&gt;150,BN32-$BS$7-1000+$AD$12,BN32-$BS$7+$AD$12),IF(BN32-$BS$7&gt;150,BN32-$BS$7-1000+$AD$17,BN32-$BS$7+$AD$17)),IF(BN32-$BS$7&gt;150,BN32-$BS$7-1000,BN32-$BS$7)),"-"))</f>
        <v>-</v>
      </c>
      <c r="BQ32" s="173" t="str">
        <f t="shared" si="11"/>
        <v>-</v>
      </c>
      <c r="BR32" s="453"/>
      <c r="BS32" s="171"/>
      <c r="BT32" s="464" t="str">
        <f t="shared" si="12"/>
        <v>-</v>
      </c>
      <c r="BU32" s="464" t="str">
        <f t="shared" si="13"/>
        <v>-</v>
      </c>
      <c r="BX32" s="204">
        <f>COUNTIF($BY$4:BY32,"&lt;100")</f>
        <v>29</v>
      </c>
      <c r="BY32" s="213">
        <f t="shared" si="4"/>
        <v>0</v>
      </c>
      <c r="BZ32" s="216">
        <f t="shared" si="4"/>
        <v>0</v>
      </c>
      <c r="CA32" s="213">
        <f t="shared" si="5"/>
        <v>0</v>
      </c>
      <c r="CB32" s="209">
        <f t="shared" si="6"/>
        <v>0</v>
      </c>
      <c r="CC32" s="205">
        <f t="shared" si="15"/>
        <v>0</v>
      </c>
      <c r="CD32" s="205">
        <f t="shared" si="7"/>
        <v>7</v>
      </c>
      <c r="CE32" s="205">
        <f t="shared" si="16"/>
        <v>0</v>
      </c>
      <c r="CG32" s="20" t="str">
        <f t="shared" si="24"/>
        <v>Auto</v>
      </c>
    </row>
    <row r="33" spans="1:85" ht="23.1" customHeight="1" thickBot="1">
      <c r="A33" s="40">
        <f>IF(AND(IFERROR(VLOOKUP(E33,Расчет!A:J,10,FALSE),"  ")&lt;&gt;"  ",IFERROR(LEFT(VLOOKUP(E33,Расчет!A:J,10,FALSE),1)," ")&lt;&gt;"H"),0,IFERROR(IF(F33="Camry",IF(OR(J33="2PS",J33="2QL"),IF(E33-AP33&gt;100,E33-AP33-1000+$AD$12,E33-AP33+$AD$12),IF(E33-AP33&gt;100,E33-AP33-1000,E33-AP33)),IF(J33="2PS",IF(E33-AP33&gt;100,E33-AP33-1000+$AD$17,E33-AP33+$AD$17),IF(E33-AP33&gt;100,E33-AP33-1000,E33-AP33))),"-"))</f>
        <v>14</v>
      </c>
      <c r="B33" s="46">
        <v>31</v>
      </c>
      <c r="C33" s="19">
        <f>IF(E33="","",COUNTA($E$3:E33))</f>
        <v>31</v>
      </c>
      <c r="D33" s="18">
        <f t="shared" si="0"/>
        <v>126</v>
      </c>
      <c r="E33" s="30">
        <v>11210</v>
      </c>
      <c r="F33" s="44" t="str">
        <f>IFERROR(IF(VLOOKUP(E33,Расчет!$A$2:$B$650,2,FALSE)="664W","Camry",IF(VLOOKUP(E33,Расчет!$A$2:$B$650,2,FALSE)="813W","Goshi","RAV4")),"")</f>
        <v>Camry</v>
      </c>
      <c r="G33" s="32" t="str">
        <f>IFERROR(IF(F33="Camry",VLOOKUP(E33,Расчет!$A$2:$Q$650,17,FALSE),VLOOKUP(E33,Расчет!$A$2:$R$650,18,FALSE)),"")</f>
        <v>Standard</v>
      </c>
      <c r="H33" s="32" t="str">
        <f>IFERROR(VLOOKUP(VLOOKUP(E33,Расчет!$A:$D,4,FALSE),$AT$6:$AV$15,3,FALSE),"")</f>
        <v/>
      </c>
      <c r="I33" s="31" t="str">
        <f>IFERROR(VLOOKUP(IFERROR(VLOOKUP(E33,Расчет!$A$2:$D$650,4,FALSE),0),$AT$3:$AU$15,2,FALSE),"")</f>
        <v>2,5 L</v>
      </c>
      <c r="J33" s="33" t="str">
        <f>IFERROR(VLOOKUP(E33,Расчет!$A$2:$E$650,5,FALSE),"")</f>
        <v>089</v>
      </c>
      <c r="K33" s="189">
        <v>0.7766319444444445</v>
      </c>
      <c r="L33" s="188">
        <f t="shared" si="9"/>
        <v>1.5972222222222499E-3</v>
      </c>
      <c r="M33" s="9"/>
      <c r="N33" s="40" t="str">
        <f>IF(AND(IFERROR(VLOOKUP(R33,Расчет!A:J,10,FALSE),"  ")&lt;&gt;"  ",IFERROR(LEFT(VLOOKUP(R33,Расчет!A:J,10,FALSE),1)," ")&lt;&gt;"H"),0,IFERROR(IF(S33="Camry",IF(OR(W33="2PS",W33="2QL"),IF(R33-AP136&gt;100,R33-AP136-1000+$AD$12,R33-AP136+$AD$12),IF(R33-AP136&gt;100,R33-AP136-1000,R33-AP136)),IF(W33="2PS",IF(R33-AP136&gt;100,R33-AP136-1000+$AD$17,R33-AP136+$AD$17),IF(R33-AP136&gt;100,R33-AP136-1000,R33-AP136))),"-"))</f>
        <v>-</v>
      </c>
      <c r="O33" s="46">
        <v>134</v>
      </c>
      <c r="P33" s="19" t="str">
        <f>IF(R33="","",COUNTA($R$3:R33)+$C$105)</f>
        <v/>
      </c>
      <c r="Q33" s="18" t="str">
        <f t="shared" si="1"/>
        <v/>
      </c>
      <c r="R33" s="30"/>
      <c r="S33" s="45" t="str">
        <f>IFERROR(IF(VLOOKUP(R33,Расчет!$A$2:$B$650,2,FALSE)="664W","Camry",IF(VLOOKUP(R33,Расчет!$A$2:$B$650,2,FALSE)="813W","Goshi","RAV4")),"")</f>
        <v/>
      </c>
      <c r="T33" s="32" t="str">
        <f>IFERROR(IF(S33="Camry",VLOOKUP(R33,Расчет!$A$2:$Q$650,17,FALSE),VLOOKUP(R33,Расчет!$A$2:$R$650,18,FALSE)),"")</f>
        <v/>
      </c>
      <c r="U33" s="32" t="str">
        <f>IFERROR(VLOOKUP(VLOOKUP(R33,Расчет!$A:$D,4,FALSE),$AT$6:$AV$15,3,FALSE),"")</f>
        <v/>
      </c>
      <c r="V33" s="31" t="str">
        <f>IFERROR(VLOOKUP(IFERROR(VLOOKUP(R33,Расчет!$A$2:$D$650,4,FALSE),0),$AT$3:$AU$15,2,FALSE),"")</f>
        <v/>
      </c>
      <c r="W33" s="33" t="str">
        <f>IFERROR(VLOOKUP(R33,Расчет!$A$2:$E$650,5,FALSE),"")</f>
        <v/>
      </c>
      <c r="X33" s="189"/>
      <c r="Y33" s="191">
        <f t="shared" si="10"/>
        <v>0</v>
      </c>
      <c r="Z33" s="613" t="s">
        <v>146</v>
      </c>
      <c r="AA33" s="688"/>
      <c r="AB33" s="688"/>
      <c r="AC33" s="688"/>
      <c r="AD33" s="614"/>
      <c r="AE33" s="89">
        <v>31</v>
      </c>
      <c r="AF33" s="44" t="str">
        <f>IF(VLOOKUP(AE33,Расчет!$AH$2:$AN$201,5,FALSE)="8","C",IF(VLOOKUP(AE33,Расчет!$AH$2:$AN$201,5,FALSE)="G","G","R"))</f>
        <v>C</v>
      </c>
      <c r="AG33" s="73" t="str">
        <f t="shared" si="2"/>
        <v>C</v>
      </c>
      <c r="AH33" s="87">
        <f>IF(AG33="","",COUNTIF($AG$2:AG33,"C")-COUNTIF($AF$2:AF33,"C")+$AH$1)</f>
        <v>0</v>
      </c>
      <c r="AI33" s="87">
        <f>IF(AG33="","",COUNTIF($AG$2:AG33,"R")-COUNTIF($AF$2:AF33,"R")+$AI$1)</f>
        <v>0</v>
      </c>
      <c r="AJ33" s="89">
        <v>134</v>
      </c>
      <c r="AK33" s="44" t="str">
        <f>IF(VLOOKUP(AJ33,Расчет!$AH$2:$AN$211,5,FALSE)="8","C",IF(VLOOKUP(AJ33,Расчет!$AH$2:$AN$211,5,FALSE)="G","G","R"))</f>
        <v>C</v>
      </c>
      <c r="AL33" s="74" t="str">
        <f t="shared" si="3"/>
        <v/>
      </c>
      <c r="AM33" s="118" t="str">
        <f>IF(AL33="","",(COUNTIF($AG$2:$AG$105,"C")+COUNTIF($AL$2:$AL33,"C"))-(COUNTIF($AF$2:$AF$105,"C")+COUNTIF($AK$2:$AK33,"C"))+$AH$1)</f>
        <v/>
      </c>
      <c r="AN33" s="119" t="str">
        <f>IF(AL33="","",(COUNTIF($AG$2:$AG$105,"R")+COUNTIF($AL$2:$AL33,"R"))-(COUNTIF($AF$2:$AF$105,"R")+COUNTIF($AK$2:$AK33,"R"))+$AI$1)</f>
        <v/>
      </c>
      <c r="AO33" s="22">
        <f>IF(E33="","",COUNTA($E$3:E33)+$Z$1)</f>
        <v>126</v>
      </c>
      <c r="AP33" s="88">
        <f>IF(AO33="","",IF(AO33+Расчет!$Y$57+$BD$2-Расчет!$X$57&gt;200,AO33+Расчет!$Y$57+$BD$2-1000,AO33+Расчет!$Y$57+$BD$2))</f>
        <v>11196</v>
      </c>
      <c r="AR33" s="92"/>
      <c r="AS33" s="92"/>
      <c r="AW33" s="48"/>
      <c r="AX33" s="728"/>
      <c r="AY33" s="729"/>
      <c r="AZ33" s="731"/>
      <c r="BA33" s="729"/>
      <c r="BB33" s="731"/>
      <c r="BC33" s="729"/>
      <c r="BD33" s="731" t="s">
        <v>92</v>
      </c>
      <c r="BE33" s="729"/>
      <c r="BF33" s="731" t="s">
        <v>92</v>
      </c>
      <c r="BG33" s="733"/>
      <c r="BH33" s="48"/>
      <c r="BI33" s="48"/>
      <c r="BJ33" s="48"/>
      <c r="BK33" s="48"/>
      <c r="BL33" s="172">
        <f>COUNTIF($BM$5:BM33,"&lt;-115")</f>
        <v>0</v>
      </c>
      <c r="BM33" s="154">
        <f>IFERROR(IF(OR(IFERROR(VLOOKUP(BN33,$E$3:$E$105,1,FALSE),"0")=BN33,IFERROR(VLOOKUP(BN33,$R$3:$R$105,1,FALSE),"0")=BN33),BO33,IF(OR(VLOOKUP(BN33,Расчет!A:E,5,FALSE)="2PS",VLOOKUP(BN33,Расчет!A:E,5,FALSE)="2QL"),IF(VLOOKUP(BN33,Расчет!A:B,2,FALSE)="831W",BN33-$BS$7+$AD$17,BN33-$BS$7+$AD$12),BN33-$BS$7)),"-")</f>
        <v>-49</v>
      </c>
      <c r="BN33" s="154">
        <f>IF(OR(Расчет!C30="A0",Расчет!C30="P9",Расчет!B30="722W"),"-",Расчет!A30)</f>
        <v>11175</v>
      </c>
      <c r="BO33" s="173">
        <f t="shared" si="14"/>
        <v>0</v>
      </c>
      <c r="BP33" s="172">
        <f>IF(BQ33="-","-",IFERROR(IF(OR(VLOOKUP(BN33,Расчет!$A$2:$E$582,5,FALSE)="2PS",VLOOKUP(BN33,Расчет!$A$2:$E$582,5,FALSE)="2QL"),IF(OR(VLOOKUP(BN33,Расчет!$A$2:$E$582,2,FALSE)="664W",VLOOKUP(BN33,Расчет!$A$2:$E$582,2,FALSE)="813W"),IF(BN33-$BS$7&gt;150,BN33-$BS$7-1000+$AD$12,BN33-$BS$7+$AD$12),IF(BN33-$BS$7&gt;150,BN33-$BS$7-1000+$AD$17,BN33-$BS$7+$AD$17)),IF(BN33-$BS$7&gt;150,BN33-$BS$7-1000,BN33-$BS$7)),"-"))</f>
        <v>-49</v>
      </c>
      <c r="BQ33" s="173">
        <f t="shared" si="11"/>
        <v>11175</v>
      </c>
      <c r="BR33" s="453"/>
      <c r="BS33" s="171"/>
      <c r="BT33" s="464" t="str">
        <f t="shared" si="12"/>
        <v>-</v>
      </c>
      <c r="BU33" s="464" t="str">
        <f t="shared" si="13"/>
        <v>-</v>
      </c>
      <c r="BX33" s="204">
        <f>COUNTIF($BY$4:BY33,"&lt;100")</f>
        <v>30</v>
      </c>
      <c r="BY33" s="213">
        <f t="shared" si="4"/>
        <v>0</v>
      </c>
      <c r="BZ33" s="216">
        <f t="shared" si="4"/>
        <v>0</v>
      </c>
      <c r="CA33" s="213">
        <f t="shared" si="5"/>
        <v>0</v>
      </c>
      <c r="CB33" s="209">
        <f t="shared" si="6"/>
        <v>0</v>
      </c>
      <c r="CC33" s="205">
        <f t="shared" si="15"/>
        <v>0</v>
      </c>
      <c r="CD33" s="205">
        <f t="shared" si="7"/>
        <v>-75</v>
      </c>
      <c r="CE33" s="205">
        <f t="shared" si="16"/>
        <v>0</v>
      </c>
      <c r="CG33" s="20" t="str">
        <f t="shared" si="24"/>
        <v>Standard</v>
      </c>
    </row>
    <row r="34" spans="1:85" ht="22.5" customHeight="1" thickBot="1">
      <c r="A34" s="40">
        <f>IF(AND(IFERROR(VLOOKUP(E34,Расчет!A:J,10,FALSE),"  ")&lt;&gt;"  ",IFERROR(LEFT(VLOOKUP(E34,Расчет!A:J,10,FALSE),1)," ")&lt;&gt;"H"),0,IFERROR(IF(F34="Camry",IF(OR(J34="2PS",J34="2QL"),IF(E34-AP34&gt;100,E34-AP34-1000+$AD$12,E34-AP34+$AD$12),IF(E34-AP34&gt;100,E34-AP34-1000,E34-AP34)),IF(J34="2PS",IF(E34-AP34&gt;100,E34-AP34-1000+$AD$17,E34-AP34+$AD$17),IF(E34-AP34&gt;100,E34-AP34-1000,E34-AP34))),"-"))</f>
        <v>23</v>
      </c>
      <c r="B34" s="46">
        <v>32</v>
      </c>
      <c r="C34" s="19">
        <f>IF(E34="","",COUNTA($E$3:E34))</f>
        <v>32</v>
      </c>
      <c r="D34" s="18">
        <f t="shared" si="0"/>
        <v>127</v>
      </c>
      <c r="E34" s="30">
        <v>11220</v>
      </c>
      <c r="F34" s="44" t="str">
        <f>IFERROR(IF(VLOOKUP(E34,Расчет!$A$2:$B$650,2,FALSE)="664W","Camry",IF(VLOOKUP(E34,Расчет!$A$2:$B$650,2,FALSE)="813W","Goshi","RAV4")),"")</f>
        <v>RAV4</v>
      </c>
      <c r="G34" s="32" t="str">
        <f>IFERROR(IF(F34="Camry",VLOOKUP(E34,Расчет!$A$2:$Q$650,17,FALSE),VLOOKUP(E34,Расчет!$A$2:$R$650,18,FALSE)),"")</f>
        <v>CVT</v>
      </c>
      <c r="H34" s="32" t="str">
        <f>IFERROR(VLOOKUP(VLOOKUP(E34,Расчет!$A:$D,4,FALSE),$AT$6:$AV$15,3,FALSE),"")</f>
        <v>FF</v>
      </c>
      <c r="I34" s="31" t="str">
        <f>IFERROR(VLOOKUP(IFERROR(VLOOKUP(E34,Расчет!$A$2:$D$650,4,FALSE),0),$AT$3:$AU$15,2,FALSE),"")</f>
        <v>2,0 L</v>
      </c>
      <c r="J34" s="33" t="str">
        <f>IFERROR(VLOOKUP(E34,Расчет!$A$2:$E$650,5,FALSE),"")</f>
        <v>089</v>
      </c>
      <c r="K34" s="189">
        <v>0.77824074074074068</v>
      </c>
      <c r="L34" s="188">
        <f t="shared" si="9"/>
        <v>1.6087962962961777E-3</v>
      </c>
      <c r="M34" s="38"/>
      <c r="N34" s="40" t="str">
        <f>IF(AND(IFERROR(VLOOKUP(R34,Расчет!A:J,10,FALSE),"  ")&lt;&gt;"  ",IFERROR(LEFT(VLOOKUP(R34,Расчет!A:J,10,FALSE),1)," ")&lt;&gt;"H"),0,IFERROR(IF(S34="Camry",IF(OR(W34="2PS",W34="2QL"),IF(R34-AP137&gt;100,R34-AP137-1000+$AD$12,R34-AP137+$AD$12),IF(R34-AP137&gt;100,R34-AP137-1000,R34-AP137)),IF(W34="2PS",IF(R34-AP137&gt;100,R34-AP137-1000+$AD$17,R34-AP137+$AD$17),IF(R34-AP137&gt;100,R34-AP137-1000,R34-AP137))),"-"))</f>
        <v>-</v>
      </c>
      <c r="O34" s="46">
        <v>135</v>
      </c>
      <c r="P34" s="19" t="str">
        <f>IF(R34="","",COUNTA($R$3:R34)+$C$105)</f>
        <v/>
      </c>
      <c r="Q34" s="18" t="str">
        <f t="shared" si="1"/>
        <v/>
      </c>
      <c r="R34" s="30"/>
      <c r="S34" s="45" t="str">
        <f>IFERROR(IF(VLOOKUP(R34,Расчет!$A$2:$B$650,2,FALSE)="664W","Camry",IF(VLOOKUP(R34,Расчет!$A$2:$B$650,2,FALSE)="813W","Goshi","RAV4")),"")</f>
        <v/>
      </c>
      <c r="T34" s="32" t="str">
        <f>IFERROR(IF(S34="Camry",VLOOKUP(R34,Расчет!$A$2:$Q$650,17,FALSE),VLOOKUP(R34,Расчет!$A$2:$R$650,18,FALSE)),"")</f>
        <v/>
      </c>
      <c r="U34" s="32" t="str">
        <f>IFERROR(VLOOKUP(VLOOKUP(R34,Расчет!$A:$D,4,FALSE),$AT$6:$AV$15,3,FALSE),"")</f>
        <v/>
      </c>
      <c r="V34" s="31" t="str">
        <f>IFERROR(VLOOKUP(IFERROR(VLOOKUP(R34,Расчет!$A$2:$D$650,4,FALSE),0),$AT$3:$AU$15,2,FALSE),"")</f>
        <v/>
      </c>
      <c r="W34" s="33" t="str">
        <f>IFERROR(VLOOKUP(R34,Расчет!$A$2:$E$650,5,FALSE),"")</f>
        <v/>
      </c>
      <c r="X34" s="189"/>
      <c r="Y34" s="191">
        <f t="shared" si="10"/>
        <v>0</v>
      </c>
      <c r="Z34" s="146" t="s">
        <v>27</v>
      </c>
      <c r="AA34" s="161" t="s">
        <v>8</v>
      </c>
      <c r="AB34" s="155" t="s">
        <v>137</v>
      </c>
      <c r="AC34" s="155" t="s">
        <v>26</v>
      </c>
      <c r="AD34" s="155" t="s">
        <v>132</v>
      </c>
      <c r="AE34" s="89">
        <v>32</v>
      </c>
      <c r="AF34" s="44" t="str">
        <f>IF(VLOOKUP(AE34,Расчет!$AH$2:$AN$201,5,FALSE)="8","C",IF(VLOOKUP(AE34,Расчет!$AH$2:$AN$201,5,FALSE)="G","G","R"))</f>
        <v>R</v>
      </c>
      <c r="AG34" s="73" t="str">
        <f t="shared" si="2"/>
        <v>R</v>
      </c>
      <c r="AH34" s="87">
        <f>IF(AG34="","",COUNTIF($AG$2:AG34,"C")-COUNTIF($AF$2:AF34,"C")+$AH$1)</f>
        <v>0</v>
      </c>
      <c r="AI34" s="87">
        <f>IF(AG34="","",COUNTIF($AG$2:AG34,"R")-COUNTIF($AF$2:AF34,"R")+$AI$1)</f>
        <v>0</v>
      </c>
      <c r="AJ34" s="89">
        <v>135</v>
      </c>
      <c r="AK34" s="44" t="str">
        <f>IF(VLOOKUP(AJ34,Расчет!$AH$2:$AN$211,5,FALSE)="8","C",IF(VLOOKUP(AJ34,Расчет!$AH$2:$AN$211,5,FALSE)="G","G","R"))</f>
        <v>R</v>
      </c>
      <c r="AL34" s="74" t="str">
        <f t="shared" si="3"/>
        <v/>
      </c>
      <c r="AM34" s="118" t="str">
        <f>IF(AL34="","",(COUNTIF($AG$2:$AG$105,"C")+COUNTIF($AL$2:$AL34,"C"))-(COUNTIF($AF$2:$AF$105,"C")+COUNTIF($AK$2:$AK34,"C"))+$AH$1)</f>
        <v/>
      </c>
      <c r="AN34" s="119" t="str">
        <f>IF(AL34="","",(COUNTIF($AG$2:$AG$105,"R")+COUNTIF($AL$2:$AL34,"R"))-(COUNTIF($AF$2:$AF$105,"R")+COUNTIF($AK$2:$AK34,"R"))+$AI$1)</f>
        <v/>
      </c>
      <c r="AO34" s="22">
        <f>IF(E34="","",COUNTA($E$3:E34)+$Z$1)</f>
        <v>127</v>
      </c>
      <c r="AP34" s="88">
        <f>IF(AO34="","",IF(AO34+Расчет!$Y$57+$BD$2-Расчет!$X$57&gt;200,AO34+Расчет!$Y$57+$BD$2-1000,AO34+Расчет!$Y$57+$BD$2))</f>
        <v>11197</v>
      </c>
      <c r="AR34" s="92"/>
      <c r="AS34" s="92"/>
      <c r="AW34" s="48"/>
      <c r="AX34" s="736" t="s">
        <v>30</v>
      </c>
      <c r="AY34" s="678"/>
      <c r="AZ34" s="706">
        <f>BF34*AZ28</f>
        <v>83.6</v>
      </c>
      <c r="BA34" s="707"/>
      <c r="BB34" s="677" t="s">
        <v>30</v>
      </c>
      <c r="BC34" s="678"/>
      <c r="BD34" s="706">
        <f>COUNTIF(Расчет!AD:AD,"664W")+COUNTIF(Расчет!AD:AD,"813W")</f>
        <v>83</v>
      </c>
      <c r="BE34" s="707"/>
      <c r="BF34" s="706">
        <f>BD34+BD36</f>
        <v>190</v>
      </c>
      <c r="BG34" s="710"/>
      <c r="BH34" s="48"/>
      <c r="BI34" s="48"/>
      <c r="BJ34" s="48"/>
      <c r="BK34" s="48"/>
      <c r="BL34" s="172">
        <f>COUNTIF($BM$5:BM34,"&lt;-115")</f>
        <v>0</v>
      </c>
      <c r="BM34" s="154">
        <f>IFERROR(IF(OR(IFERROR(VLOOKUP(BN34,$E$3:$E$105,1,FALSE),"0")=BN34,IFERROR(VLOOKUP(BN34,$R$3:$R$105,1,FALSE),"0")=BN34),BO34,IF(OR(VLOOKUP(BN34,Расчет!A:E,5,FALSE)="2PS",VLOOKUP(BN34,Расчет!A:E,5,FALSE)="2QL"),IF(VLOOKUP(BN34,Расчет!A:B,2,FALSE)="831W",BN34-$BS$7+$AD$17,BN34-$BS$7+$AD$12),BN34-$BS$7)),"-")</f>
        <v>9</v>
      </c>
      <c r="BN34" s="154">
        <f>IF(OR(Расчет!C31="A0",Расчет!C31="P9",Расчет!B31="722W"),"-",Расчет!A31)</f>
        <v>11176</v>
      </c>
      <c r="BO34" s="173">
        <f t="shared" si="14"/>
        <v>9</v>
      </c>
      <c r="BP34" s="172" t="str">
        <f>IF(BQ34="-","-",IFERROR(IF(OR(VLOOKUP(BN34,Расчет!$A$2:$E$582,5,FALSE)="2PS",VLOOKUP(BN34,Расчет!$A$2:$E$582,5,FALSE)="2QL"),IF(OR(VLOOKUP(BN34,Расчет!$A$2:$E$582,2,FALSE)="664W",VLOOKUP(BN34,Расчет!$A$2:$E$582,2,FALSE)="813W"),IF(BN34-$BS$7&gt;150,BN34-$BS$7-1000+$AD$12,BN34-$BS$7+$AD$12),IF(BN34-$BS$7&gt;150,BN34-$BS$7-1000+$AD$17,BN34-$BS$7+$AD$17)),IF(BN34-$BS$7&gt;150,BN34-$BS$7-1000,BN34-$BS$7)),"-"))</f>
        <v>-</v>
      </c>
      <c r="BQ34" s="173" t="str">
        <f t="shared" si="11"/>
        <v>-</v>
      </c>
      <c r="BR34" s="453"/>
      <c r="BS34" s="171"/>
      <c r="BT34" s="464" t="str">
        <f t="shared" si="12"/>
        <v>-</v>
      </c>
      <c r="BU34" s="464" t="str">
        <f t="shared" si="13"/>
        <v>-</v>
      </c>
      <c r="BX34" s="204">
        <f>COUNTIF($BY$4:BY34,"&lt;100")</f>
        <v>31</v>
      </c>
      <c r="BY34" s="213">
        <f t="shared" si="4"/>
        <v>0</v>
      </c>
      <c r="BZ34" s="216">
        <f t="shared" si="4"/>
        <v>0</v>
      </c>
      <c r="CA34" s="213">
        <f t="shared" si="5"/>
        <v>0</v>
      </c>
      <c r="CB34" s="209">
        <f t="shared" si="6"/>
        <v>0</v>
      </c>
      <c r="CC34" s="205">
        <f t="shared" si="15"/>
        <v>0</v>
      </c>
      <c r="CD34" s="205">
        <f t="shared" si="7"/>
        <v>14</v>
      </c>
      <c r="CE34" s="205">
        <f t="shared" si="16"/>
        <v>0</v>
      </c>
      <c r="CG34" s="20" t="str">
        <f t="shared" si="24"/>
        <v>Auto</v>
      </c>
    </row>
    <row r="35" spans="1:85" ht="23.1" customHeight="1">
      <c r="A35" s="40">
        <f>IF(AND(IFERROR(VLOOKUP(E35,Расчет!A:J,10,FALSE),"  ")&lt;&gt;"  ",IFERROR(LEFT(VLOOKUP(E35,Расчет!A:J,10,FALSE),1)," ")&lt;&gt;"H"),0,IFERROR(IF(F35="Camry",IF(OR(J35="2PS",J35="2QL"),IF(E35-AP35&gt;100,E35-AP35-1000+$AD$12,E35-AP35+$AD$12),IF(E35-AP35&gt;100,E35-AP35-1000,E35-AP35)),IF(J35="2PS",IF(E35-AP35&gt;100,E35-AP35-1000+$AD$17,E35-AP35+$AD$17),IF(E35-AP35&gt;100,E35-AP35-1000,E35-AP35))),"-"))</f>
        <v>-3</v>
      </c>
      <c r="B35" s="46">
        <v>33</v>
      </c>
      <c r="C35" s="19">
        <f>IF(E35="","",COUNTA($E$3:E35))</f>
        <v>33</v>
      </c>
      <c r="D35" s="18">
        <f t="shared" si="0"/>
        <v>128</v>
      </c>
      <c r="E35" s="30">
        <v>11195</v>
      </c>
      <c r="F35" s="44" t="str">
        <f>IFERROR(IF(VLOOKUP(E35,Расчет!$A$2:$B$650,2,FALSE)="664W","Camry",IF(VLOOKUP(E35,Расчет!$A$2:$B$650,2,FALSE)="813W","Goshi","RAV4")),"")</f>
        <v>RAV4</v>
      </c>
      <c r="G35" s="32" t="str">
        <f>IFERROR(IF(F35="Camry",VLOOKUP(E35,Расчет!$A$2:$Q$650,17,FALSE),VLOOKUP(E35,Расчет!$A$2:$R$650,18,FALSE)),"")</f>
        <v>CVT</v>
      </c>
      <c r="H35" s="32" t="str">
        <f>IFERROR(VLOOKUP(VLOOKUP(E35,Расчет!$A:$D,4,FALSE),$AT$6:$AV$15,3,FALSE),"")</f>
        <v>TWIN-C</v>
      </c>
      <c r="I35" s="31" t="str">
        <f>IFERROR(VLOOKUP(IFERROR(VLOOKUP(E35,Расчет!$A$2:$D$650,4,FALSE),0),$AT$3:$AU$15,2,FALSE),"")</f>
        <v>2,0 L</v>
      </c>
      <c r="J35" s="33" t="str">
        <f>IFERROR(VLOOKUP(E35,Расчет!$A$2:$E$650,5,FALSE),"")</f>
        <v>218</v>
      </c>
      <c r="K35" s="189">
        <v>0.77998842592592599</v>
      </c>
      <c r="L35" s="188">
        <f t="shared" si="9"/>
        <v>1.7476851851853104E-3</v>
      </c>
      <c r="M35" s="38"/>
      <c r="N35" s="40" t="str">
        <f>IF(AND(IFERROR(VLOOKUP(R35,Расчет!A:J,10,FALSE),"  ")&lt;&gt;"  ",IFERROR(LEFT(VLOOKUP(R35,Расчет!A:J,10,FALSE),1)," ")&lt;&gt;"H"),0,IFERROR(IF(S35="Camry",IF(OR(W35="2PS",W35="2QL"),IF(R35-AP138&gt;100,R35-AP138-1000+$AD$12,R35-AP138+$AD$12),IF(R35-AP138&gt;100,R35-AP138-1000,R35-AP138)),IF(W35="2PS",IF(R35-AP138&gt;100,R35-AP138-1000+$AD$17,R35-AP138+$AD$17),IF(R35-AP138&gt;100,R35-AP138-1000,R35-AP138))),"-"))</f>
        <v>-</v>
      </c>
      <c r="O35" s="46">
        <v>136</v>
      </c>
      <c r="P35" s="19" t="str">
        <f>IF(R35="","",COUNTA($R$3:R35)+$C$105)</f>
        <v/>
      </c>
      <c r="Q35" s="18" t="str">
        <f t="shared" si="1"/>
        <v/>
      </c>
      <c r="R35" s="30"/>
      <c r="S35" s="45" t="str">
        <f>IFERROR(IF(VLOOKUP(R35,Расчет!$A$2:$B$650,2,FALSE)="664W","Camry",IF(VLOOKUP(R35,Расчет!$A$2:$B$650,2,FALSE)="813W","Goshi","RAV4")),"")</f>
        <v/>
      </c>
      <c r="T35" s="32" t="str">
        <f>IFERROR(IF(S35="Camry",VLOOKUP(R35,Расчет!$A$2:$Q$650,17,FALSE),VLOOKUP(R35,Расчет!$A$2:$R$650,18,FALSE)),"")</f>
        <v/>
      </c>
      <c r="U35" s="32" t="str">
        <f>IFERROR(VLOOKUP(VLOOKUP(R35,Расчет!$A:$D,4,FALSE),$AT$6:$AV$15,3,FALSE),"")</f>
        <v/>
      </c>
      <c r="V35" s="31" t="str">
        <f>IFERROR(VLOOKUP(IFERROR(VLOOKUP(R35,Расчет!$A$2:$D$650,4,FALSE),0),$AT$3:$AU$15,2,FALSE),"")</f>
        <v/>
      </c>
      <c r="W35" s="33" t="str">
        <f>IFERROR(VLOOKUP(R35,Расчет!$A$2:$E$650,5,FALSE),"")</f>
        <v/>
      </c>
      <c r="X35" s="189"/>
      <c r="Y35" s="191">
        <f t="shared" si="10"/>
        <v>0</v>
      </c>
      <c r="Z35" s="148" t="str">
        <f>IFERROR(IF(VLOOKUP(AC35,Расчет!$A$2:$B$236,2,FALSE)="831W","RAV4","Camry"),"-")</f>
        <v>Camry</v>
      </c>
      <c r="AA35" s="165" t="str">
        <f>IFERROR(VLOOKUP(AC35,Расчет!$A$2:$E$236,5,FALSE),"-")</f>
        <v>218</v>
      </c>
      <c r="AB35" s="164">
        <f>IFERROR(SMALL($BU$5:$BU$259,1),"")</f>
        <v>25</v>
      </c>
      <c r="AC35" s="148">
        <f>IF(VLOOKUP2($BP$5:$BQ$500,1,AB35,COUNTIF($AB$35:AB35,AB35),2)=0,"-",VLOOKUP2($BP$5:$BQ$500,1,AB35,COUNTIF($AB$35:AB35,AB35),2))</f>
        <v>11249</v>
      </c>
      <c r="AD35" s="245" t="str">
        <f>IFERROR(VLOOKUP(AC35,Расчет!$BS:$BT,2,FALSE),"")</f>
        <v>T5</v>
      </c>
      <c r="AE35" s="89">
        <v>33</v>
      </c>
      <c r="AF35" s="44" t="str">
        <f>IF(VLOOKUP(AE35,Расчет!$AH$2:$AN$201,5,FALSE)="8","C",IF(VLOOKUP(AE35,Расчет!$AH$2:$AN$201,5,FALSE)="G","G","R"))</f>
        <v>R</v>
      </c>
      <c r="AG35" s="73" t="str">
        <f t="shared" si="2"/>
        <v>R</v>
      </c>
      <c r="AH35" s="87">
        <f>IF(AG35="","",COUNTIF($AG$2:AG35,"C")-COUNTIF($AF$2:AF35,"C")+$AH$1)</f>
        <v>0</v>
      </c>
      <c r="AI35" s="87">
        <f>IF(AG35="","",COUNTIF($AG$2:AG35,"R")-COUNTIF($AF$2:AF35,"R")+$AI$1)</f>
        <v>0</v>
      </c>
      <c r="AJ35" s="89">
        <v>136</v>
      </c>
      <c r="AK35" s="44" t="str">
        <f>IF(VLOOKUP(AJ35,Расчет!$AH$2:$AN$211,5,FALSE)="8","C",IF(VLOOKUP(AJ35,Расчет!$AH$2:$AN$211,5,FALSE)="G","G","R"))</f>
        <v>R</v>
      </c>
      <c r="AL35" s="74" t="str">
        <f t="shared" si="3"/>
        <v/>
      </c>
      <c r="AM35" s="118" t="str">
        <f>IF(AL35="","",(COUNTIF($AG$2:$AG$105,"C")+COUNTIF($AL$2:$AL35,"C"))-(COUNTIF($AF$2:$AF$105,"C")+COUNTIF($AK$2:$AK35,"C"))+$AH$1)</f>
        <v/>
      </c>
      <c r="AN35" s="119" t="str">
        <f>IF(AL35="","",(COUNTIF($AG$2:$AG$105,"R")+COUNTIF($AL$2:$AL35,"R"))-(COUNTIF($AF$2:$AF$105,"R")+COUNTIF($AK$2:$AK35,"R"))+$AI$1)</f>
        <v/>
      </c>
      <c r="AO35" s="22">
        <f>IF(E35="","",COUNTA($E$3:E35)+$Z$1)</f>
        <v>128</v>
      </c>
      <c r="AP35" s="88">
        <f>IF(AO35="","",IF(AO35+Расчет!$Y$57+$BD$2-Расчет!$X$57&gt;200,AO35+Расчет!$Y$57+$BD$2-1000,AO35+Расчет!$Y$57+$BD$2))</f>
        <v>11198</v>
      </c>
      <c r="AR35" s="92"/>
      <c r="AS35" s="92"/>
      <c r="AX35" s="737"/>
      <c r="AY35" s="680"/>
      <c r="AZ35" s="708"/>
      <c r="BA35" s="709"/>
      <c r="BB35" s="679"/>
      <c r="BC35" s="680"/>
      <c r="BD35" s="708"/>
      <c r="BE35" s="709"/>
      <c r="BF35" s="711"/>
      <c r="BG35" s="712"/>
      <c r="BH35" s="48"/>
      <c r="BI35" s="48"/>
      <c r="BJ35" s="48"/>
      <c r="BK35" s="48"/>
      <c r="BL35" s="172">
        <f>COUNTIF($BM$5:BM35,"&lt;-115")</f>
        <v>0</v>
      </c>
      <c r="BM35" s="154">
        <f>IFERROR(IF(OR(IFERROR(VLOOKUP(BN35,$E$3:$E$105,1,FALSE),"0")=BN35,IFERROR(VLOOKUP(BN35,$R$3:$R$105,1,FALSE),"0")=BN35),BO35,IF(OR(VLOOKUP(BN35,Расчет!A:E,5,FALSE)="2PS",VLOOKUP(BN35,Расчет!A:E,5,FALSE)="2QL"),IF(VLOOKUP(BN35,Расчет!A:B,2,FALSE)="831W",BN35-$BS$7+$AD$17,BN35-$BS$7+$AD$12),BN35-$BS$7)),"-")</f>
        <v>53</v>
      </c>
      <c r="BN35" s="154">
        <f>IF(OR(Расчет!C32="A0",Расчет!C32="P9",Расчет!B32="722W"),"-",Расчет!A32)</f>
        <v>11177</v>
      </c>
      <c r="BO35" s="173">
        <f t="shared" si="14"/>
        <v>0</v>
      </c>
      <c r="BP35" s="172">
        <f>IF(BQ35="-","-",IFERROR(IF(OR(VLOOKUP(BN35,Расчет!$A$2:$E$582,5,FALSE)="2PS",VLOOKUP(BN35,Расчет!$A$2:$E$582,5,FALSE)="2QL"),IF(OR(VLOOKUP(BN35,Расчет!$A$2:$E$582,2,FALSE)="664W",VLOOKUP(BN35,Расчет!$A$2:$E$582,2,FALSE)="813W"),IF(BN35-$BS$7&gt;150,BN35-$BS$7-1000+$AD$12,BN35-$BS$7+$AD$12),IF(BN35-$BS$7&gt;150,BN35-$BS$7-1000+$AD$17,BN35-$BS$7+$AD$17)),IF(BN35-$BS$7&gt;150,BN35-$BS$7-1000,BN35-$BS$7)),"-"))</f>
        <v>53</v>
      </c>
      <c r="BQ35" s="173">
        <f t="shared" si="11"/>
        <v>11177</v>
      </c>
      <c r="BR35" s="453"/>
      <c r="BS35" s="171"/>
      <c r="BT35" s="464" t="str">
        <f t="shared" si="12"/>
        <v>-</v>
      </c>
      <c r="BU35" s="464" t="str">
        <f t="shared" si="13"/>
        <v>-</v>
      </c>
      <c r="BX35" s="204">
        <f>COUNTIF($BY$4:BY35,"&lt;100")</f>
        <v>32</v>
      </c>
      <c r="BY35" s="213">
        <f t="shared" si="4"/>
        <v>0</v>
      </c>
      <c r="BZ35" s="216">
        <f t="shared" si="4"/>
        <v>0</v>
      </c>
      <c r="CA35" s="213">
        <f t="shared" si="5"/>
        <v>0</v>
      </c>
      <c r="CB35" s="209">
        <f t="shared" si="6"/>
        <v>0</v>
      </c>
      <c r="CC35" s="205">
        <f t="shared" si="15"/>
        <v>0</v>
      </c>
      <c r="CD35" s="205">
        <f t="shared" si="7"/>
        <v>23</v>
      </c>
      <c r="CE35" s="205">
        <f t="shared" si="16"/>
        <v>0</v>
      </c>
      <c r="CG35" s="20" t="str">
        <f t="shared" si="24"/>
        <v>CVT</v>
      </c>
    </row>
    <row r="36" spans="1:85" ht="23.1" customHeight="1">
      <c r="A36" s="40">
        <f>IF(AND(IFERROR(VLOOKUP(E36,Расчет!A:J,10,FALSE),"  ")&lt;&gt;"  ",IFERROR(LEFT(VLOOKUP(E36,Расчет!A:J,10,FALSE),1)," ")&lt;&gt;"H"),0,IFERROR(IF(F36="Camry",IF(OR(J36="2PS",J36="2QL"),IF(E36-AP36&gt;100,E36-AP36-1000+$AD$12,E36-AP36+$AD$12),IF(E36-AP36&gt;100,E36-AP36-1000,E36-AP36)),IF(J36="2PS",IF(E36-AP36&gt;100,E36-AP36-1000+$AD$17,E36-AP36+$AD$17),IF(E36-AP36&gt;100,E36-AP36-1000,E36-AP36))),"-"))</f>
        <v>16</v>
      </c>
      <c r="B36" s="46">
        <v>34</v>
      </c>
      <c r="C36" s="19">
        <f>IF(E36="","",COUNTA($E$3:E36))</f>
        <v>34</v>
      </c>
      <c r="D36" s="18">
        <f t="shared" si="0"/>
        <v>129</v>
      </c>
      <c r="E36" s="30">
        <v>11215</v>
      </c>
      <c r="F36" s="44" t="str">
        <f>IFERROR(IF(VLOOKUP(E36,Расчет!$A$2:$B$650,2,FALSE)="664W","Camry",IF(VLOOKUP(E36,Расчет!$A$2:$B$650,2,FALSE)="813W","Goshi","RAV4")),"")</f>
        <v>Camry</v>
      </c>
      <c r="G36" s="32" t="str">
        <f>IFERROR(IF(F36="Camry",VLOOKUP(E36,Расчет!$A$2:$Q$650,17,FALSE),VLOOKUP(E36,Расчет!$A$2:$R$650,18,FALSE)),"")</f>
        <v>Standard</v>
      </c>
      <c r="H36" s="32" t="str">
        <f>IFERROR(VLOOKUP(VLOOKUP(E36,Расчет!$A:$D,4,FALSE),$AT$6:$AV$15,3,FALSE),"")</f>
        <v/>
      </c>
      <c r="I36" s="31" t="str">
        <f>IFERROR(VLOOKUP(IFERROR(VLOOKUP(E36,Расчет!$A$2:$D$650,4,FALSE),0),$AT$3:$AU$15,2,FALSE),"")</f>
        <v>2,5 L</v>
      </c>
      <c r="J36" s="33" t="str">
        <f>IFERROR(VLOOKUP(E36,Расчет!$A$2:$E$650,5,FALSE),"")</f>
        <v>089</v>
      </c>
      <c r="K36" s="189">
        <v>0.78158564814814813</v>
      </c>
      <c r="L36" s="188">
        <f t="shared" si="9"/>
        <v>1.5972222222221388E-3</v>
      </c>
      <c r="M36" s="38"/>
      <c r="N36" s="40" t="str">
        <f>IF(AND(IFERROR(VLOOKUP(R36,Расчет!A:J,10,FALSE),"  ")&lt;&gt;"  ",IFERROR(LEFT(VLOOKUP(R36,Расчет!A:J,10,FALSE),1)," ")&lt;&gt;"H"),0,IFERROR(IF(S36="Camry",IF(OR(W36="2PS",W36="2QL"),IF(R36-AP139&gt;100,R36-AP139-1000+$AD$12,R36-AP139+$AD$12),IF(R36-AP139&gt;100,R36-AP139-1000,R36-AP139)),IF(W36="2PS",IF(R36-AP139&gt;100,R36-AP139-1000+$AD$17,R36-AP139+$AD$17),IF(R36-AP139&gt;100,R36-AP139-1000,R36-AP139))),"-"))</f>
        <v>-</v>
      </c>
      <c r="O36" s="46">
        <v>137</v>
      </c>
      <c r="P36" s="19" t="str">
        <f>IF(R36="","",COUNTA($R$3:R36)+$C$105)</f>
        <v/>
      </c>
      <c r="Q36" s="18" t="str">
        <f t="shared" si="1"/>
        <v/>
      </c>
      <c r="R36" s="30"/>
      <c r="S36" s="45" t="str">
        <f>IFERROR(IF(VLOOKUP(R36,Расчет!$A$2:$B$650,2,FALSE)="664W","Camry",IF(VLOOKUP(R36,Расчет!$A$2:$B$650,2,FALSE)="813W","Goshi","RAV4")),"")</f>
        <v/>
      </c>
      <c r="T36" s="32" t="str">
        <f>IFERROR(IF(S36="Camry",VLOOKUP(R36,Расчет!$A$2:$Q$650,17,FALSE),VLOOKUP(R36,Расчет!$A$2:$R$650,18,FALSE)),"")</f>
        <v/>
      </c>
      <c r="U36" s="32" t="str">
        <f>IFERROR(VLOOKUP(VLOOKUP(R36,Расчет!$A:$D,4,FALSE),$AT$6:$AV$15,3,FALSE),"")</f>
        <v/>
      </c>
      <c r="V36" s="31" t="str">
        <f>IFERROR(VLOOKUP(IFERROR(VLOOKUP(R36,Расчет!$A$2:$D$650,4,FALSE),0),$AT$3:$AU$15,2,FALSE),"")</f>
        <v/>
      </c>
      <c r="W36" s="33" t="str">
        <f>IFERROR(VLOOKUP(R36,Расчет!$A$2:$E$650,5,FALSE),"")</f>
        <v/>
      </c>
      <c r="X36" s="189"/>
      <c r="Y36" s="191">
        <f t="shared" si="10"/>
        <v>0</v>
      </c>
      <c r="Z36" s="156" t="str">
        <f>IFERROR(IF(VLOOKUP(AC36,Расчет!$A$2:$B$236,2,FALSE)="831W","RAV4","Camry"),"-")</f>
        <v>Camry</v>
      </c>
      <c r="AA36" s="166" t="str">
        <f>IFERROR(VLOOKUP(AC36,Расчет!$A$2:$E$236,5,FALSE),"-")</f>
        <v>089</v>
      </c>
      <c r="AB36" s="167">
        <f>IFERROR(SMALL($BU$5:$BU$259,2),"")</f>
        <v>27</v>
      </c>
      <c r="AC36" s="156">
        <f>IF(VLOOKUP2($BP$5:$BQ$500,1,AB36,COUNTIF($AB$35:AB36,AB36),2)=0,"-",VLOOKUP2($BP$5:$BQ$500,1,AB36,COUNTIF($AB$35:AB36,AB36),2))</f>
        <v>11251</v>
      </c>
      <c r="AD36" s="353" t="str">
        <f>IFERROR(VLOOKUP(AC36,Расчет!$BS:$BT,2,FALSE),"")</f>
        <v>T5</v>
      </c>
      <c r="AE36" s="89">
        <v>34</v>
      </c>
      <c r="AF36" s="44" t="str">
        <f>IF(VLOOKUP(AE36,Расчет!$AH$2:$AN$201,5,FALSE)="8","C",IF(VLOOKUP(AE36,Расчет!$AH$2:$AN$201,5,FALSE)="G","G","R"))</f>
        <v>C</v>
      </c>
      <c r="AG36" s="73" t="str">
        <f t="shared" si="2"/>
        <v>C</v>
      </c>
      <c r="AH36" s="87">
        <f>IF(AG36="","",COUNTIF($AG$2:AG36,"C")-COUNTIF($AF$2:AF36,"C")+$AH$1)</f>
        <v>0</v>
      </c>
      <c r="AI36" s="87">
        <f>IF(AG36="","",COUNTIF($AG$2:AG36,"R")-COUNTIF($AF$2:AF36,"R")+$AI$1)</f>
        <v>0</v>
      </c>
      <c r="AJ36" s="89">
        <v>137</v>
      </c>
      <c r="AK36" s="44" t="str">
        <f>IF(VLOOKUP(AJ36,Расчет!$AH$2:$AN$211,5,FALSE)="8","C",IF(VLOOKUP(AJ36,Расчет!$AH$2:$AN$211,5,FALSE)="G","G","R"))</f>
        <v>C</v>
      </c>
      <c r="AL36" s="74" t="str">
        <f t="shared" si="3"/>
        <v/>
      </c>
      <c r="AM36" s="118" t="str">
        <f>IF(AL36="","",(COUNTIF($AG$2:$AG$105,"C")+COUNTIF($AL$2:$AL36,"C"))-(COUNTIF($AF$2:$AF$105,"C")+COUNTIF($AK$2:$AK36,"C"))+$AH$1)</f>
        <v/>
      </c>
      <c r="AN36" s="119" t="str">
        <f>IF(AL36="","",(COUNTIF($AG$2:$AG$105,"R")+COUNTIF($AL$2:$AL36,"R"))-(COUNTIF($AF$2:$AF$105,"R")+COUNTIF($AK$2:$AK36,"R"))+$AI$1)</f>
        <v/>
      </c>
      <c r="AO36" s="22">
        <f>IF(E36="","",COUNTA($E$3:E36)+$Z$1)</f>
        <v>129</v>
      </c>
      <c r="AP36" s="88">
        <f>IF(AO36="","",IF(AO36+Расчет!$Y$57+$BD$2-Расчет!$X$57&gt;200,AO36+Расчет!$Y$57+$BD$2-1000,AO36+Расчет!$Y$57+$BD$2))</f>
        <v>11199</v>
      </c>
      <c r="AR36" s="92"/>
      <c r="AS36" s="92"/>
      <c r="AX36" s="715" t="s">
        <v>24</v>
      </c>
      <c r="AY36" s="716"/>
      <c r="AZ36" s="706">
        <f>BF34*AZ30</f>
        <v>106.4</v>
      </c>
      <c r="BA36" s="707"/>
      <c r="BB36" s="720" t="s">
        <v>24</v>
      </c>
      <c r="BC36" s="716"/>
      <c r="BD36" s="706">
        <f>COUNTIF(Расчет!AD:AD,"831W")</f>
        <v>107</v>
      </c>
      <c r="BE36" s="707"/>
      <c r="BF36" s="711"/>
      <c r="BG36" s="712"/>
      <c r="BH36" s="48"/>
      <c r="BI36" s="48"/>
      <c r="BJ36" s="48"/>
      <c r="BK36" s="48"/>
      <c r="BL36" s="172">
        <f>COUNTIF($BM$5:BM36,"&lt;-115")</f>
        <v>0</v>
      </c>
      <c r="BM36" s="154">
        <f>IFERROR(IF(OR(IFERROR(VLOOKUP(BN36,$E$3:$E$105,1,FALSE),"0")=BN36,IFERROR(VLOOKUP(BN36,$R$3:$R$105,1,FALSE),"0")=BN36),BO36,IF(OR(VLOOKUP(BN36,Расчет!A:E,5,FALSE)="2PS",VLOOKUP(BN36,Расчет!A:E,5,FALSE)="2QL"),IF(VLOOKUP(BN36,Расчет!A:B,2,FALSE)="831W",BN36-$BS$7+$AD$17,BN36-$BS$7+$AD$12),BN36-$BS$7)),"-")</f>
        <v>7</v>
      </c>
      <c r="BN36" s="154">
        <f>IF(OR(Расчет!C33="A0",Расчет!C33="P9",Расчет!B33="722W"),"-",Расчет!A33)</f>
        <v>11178</v>
      </c>
      <c r="BO36" s="173">
        <f t="shared" si="14"/>
        <v>7</v>
      </c>
      <c r="BP36" s="172" t="str">
        <f>IF(BQ36="-","-",IFERROR(IF(OR(VLOOKUP(BN36,Расчет!$A$2:$E$582,5,FALSE)="2PS",VLOOKUP(BN36,Расчет!$A$2:$E$582,5,FALSE)="2QL"),IF(OR(VLOOKUP(BN36,Расчет!$A$2:$E$582,2,FALSE)="664W",VLOOKUP(BN36,Расчет!$A$2:$E$582,2,FALSE)="813W"),IF(BN36-$BS$7&gt;150,BN36-$BS$7-1000+$AD$12,BN36-$BS$7+$AD$12),IF(BN36-$BS$7&gt;150,BN36-$BS$7-1000+$AD$17,BN36-$BS$7+$AD$17)),IF(BN36-$BS$7&gt;150,BN36-$BS$7-1000,BN36-$BS$7)),"-"))</f>
        <v>-</v>
      </c>
      <c r="BQ36" s="173" t="str">
        <f t="shared" si="11"/>
        <v>-</v>
      </c>
      <c r="BR36" s="453"/>
      <c r="BS36" s="171"/>
      <c r="BT36" s="464" t="str">
        <f t="shared" si="12"/>
        <v>-</v>
      </c>
      <c r="BU36" s="464" t="str">
        <f t="shared" si="13"/>
        <v>-</v>
      </c>
      <c r="BX36" s="204">
        <f>COUNTIF($BY$4:BY36,"&lt;100")</f>
        <v>33</v>
      </c>
      <c r="BY36" s="213">
        <f t="shared" ref="BY36:BZ67" si="25">AH35</f>
        <v>0</v>
      </c>
      <c r="BZ36" s="216">
        <f t="shared" si="25"/>
        <v>0</v>
      </c>
      <c r="CA36" s="213">
        <f t="shared" si="5"/>
        <v>0</v>
      </c>
      <c r="CB36" s="209">
        <f t="shared" si="6"/>
        <v>0</v>
      </c>
      <c r="CC36" s="205">
        <f t="shared" si="15"/>
        <v>0</v>
      </c>
      <c r="CD36" s="205">
        <f t="shared" si="7"/>
        <v>-3</v>
      </c>
      <c r="CE36" s="205">
        <f t="shared" si="16"/>
        <v>0</v>
      </c>
      <c r="CG36" s="20" t="str">
        <f t="shared" si="24"/>
        <v>Standard</v>
      </c>
    </row>
    <row r="37" spans="1:85" ht="23.1" customHeight="1" thickBot="1">
      <c r="A37" s="40">
        <f>IF(AND(IFERROR(VLOOKUP(E37,Расчет!A:J,10,FALSE),"  ")&lt;&gt;"  ",IFERROR(LEFT(VLOOKUP(E37,Расчет!A:J,10,FALSE),1)," ")&lt;&gt;"H"),0,IFERROR(IF(F37="Camry",IF(OR(J37="2PS",J37="2QL"),IF(E37-AP37&gt;100,E37-AP37-1000+$AD$12,E37-AP37+$AD$12),IF(E37-AP37&gt;100,E37-AP37-1000,E37-AP37)),IF(J37="2PS",IF(E37-AP37&gt;100,E37-AP37-1000+$AD$17,E37-AP37+$AD$17),IF(E37-AP37&gt;100,E37-AP37-1000,E37-AP37))),"-"))</f>
        <v>18</v>
      </c>
      <c r="B37" s="46">
        <v>35</v>
      </c>
      <c r="C37" s="19">
        <f>IF(E37="","",COUNTA($E$3:E37))</f>
        <v>35</v>
      </c>
      <c r="D37" s="18">
        <f t="shared" si="0"/>
        <v>130</v>
      </c>
      <c r="E37" s="30">
        <v>11118</v>
      </c>
      <c r="F37" s="44" t="str">
        <f>IFERROR(IF(VLOOKUP(E37,Расчет!$A$2:$B$650,2,FALSE)="664W","Camry",IF(VLOOKUP(E37,Расчет!$A$2:$B$650,2,FALSE)="813W","Goshi","RAV4")),"")</f>
        <v>RAV4</v>
      </c>
      <c r="G37" s="32" t="str">
        <f>IFERROR(IF(F37="Camry",VLOOKUP(E37,Расчет!$A$2:$Q$650,17,FALSE),VLOOKUP(E37,Расчет!$A$2:$R$650,18,FALSE)),"")</f>
        <v>Auto</v>
      </c>
      <c r="H37" s="32" t="str">
        <f>IFERROR(VLOOKUP(VLOOKUP(E37,Расчет!$A:$D,4,FALSE),$AT$6:$AV$15,3,FALSE),"")</f>
        <v>4WD</v>
      </c>
      <c r="I37" s="31" t="str">
        <f>IFERROR(VLOOKUP(IFERROR(VLOOKUP(E37,Расчет!$A$2:$D$650,4,FALSE),0),$AT$3:$AU$15,2,FALSE),"")</f>
        <v>2,5 L</v>
      </c>
      <c r="J37" s="33" t="str">
        <f>IFERROR(VLOOKUP(E37,Расчет!$A$2:$E$650,5,FALSE),"")</f>
        <v>2PS</v>
      </c>
      <c r="K37" s="189">
        <v>0.78336805555555555</v>
      </c>
      <c r="L37" s="188">
        <f t="shared" si="9"/>
        <v>1.782407407407427E-3</v>
      </c>
      <c r="M37" s="38"/>
      <c r="N37" s="40" t="str">
        <f>IF(AND(IFERROR(VLOOKUP(R37,Расчет!A:J,10,FALSE),"  ")&lt;&gt;"  ",IFERROR(LEFT(VLOOKUP(R37,Расчет!A:J,10,FALSE),1)," ")&lt;&gt;"H"),0,IFERROR(IF(S37="Camry",IF(OR(W37="2PS",W37="2QL"),IF(R37-AP140&gt;100,R37-AP140-1000+$AD$12,R37-AP140+$AD$12),IF(R37-AP140&gt;100,R37-AP140-1000,R37-AP140)),IF(W37="2PS",IF(R37-AP140&gt;100,R37-AP140-1000+$AD$17,R37-AP140+$AD$17),IF(R37-AP140&gt;100,R37-AP140-1000,R37-AP140))),"-"))</f>
        <v>-</v>
      </c>
      <c r="O37" s="46">
        <v>138</v>
      </c>
      <c r="P37" s="19" t="str">
        <f>IF(R37="","",COUNTA($R$3:R37)+$C$105)</f>
        <v/>
      </c>
      <c r="Q37" s="18" t="str">
        <f t="shared" si="1"/>
        <v/>
      </c>
      <c r="R37" s="30"/>
      <c r="S37" s="45" t="str">
        <f>IFERROR(IF(VLOOKUP(R37,Расчет!$A$2:$B$650,2,FALSE)="664W","Camry",IF(VLOOKUP(R37,Расчет!$A$2:$B$650,2,FALSE)="813W","Goshi","RAV4")),"")</f>
        <v/>
      </c>
      <c r="T37" s="32" t="str">
        <f>IFERROR(IF(S37="Camry",VLOOKUP(R37,Расчет!$A$2:$Q$650,17,FALSE),VLOOKUP(R37,Расчет!$A$2:$R$650,18,FALSE)),"")</f>
        <v/>
      </c>
      <c r="U37" s="32" t="str">
        <f>IFERROR(VLOOKUP(VLOOKUP(R37,Расчет!$A:$D,4,FALSE),$AT$6:$AV$15,3,FALSE),"")</f>
        <v/>
      </c>
      <c r="V37" s="31" t="str">
        <f>IFERROR(VLOOKUP(IFERROR(VLOOKUP(R37,Расчет!$A$2:$D$650,4,FALSE),0),$AT$3:$AU$15,2,FALSE),"")</f>
        <v/>
      </c>
      <c r="W37" s="33" t="str">
        <f>IFERROR(VLOOKUP(R37,Расчет!$A$2:$E$650,5,FALSE),"")</f>
        <v/>
      </c>
      <c r="X37" s="189"/>
      <c r="Y37" s="191">
        <f t="shared" si="10"/>
        <v>0</v>
      </c>
      <c r="Z37" s="156" t="str">
        <f>IFERROR(IF(VLOOKUP(AC37,Расчет!$A$2:$B$236,2,FALSE)="831W","RAV4","Camry"),"-")</f>
        <v>RAV4</v>
      </c>
      <c r="AA37" s="166" t="str">
        <f>IFERROR(VLOOKUP(AC37,Расчет!$A$2:$E$236,5,FALSE),"-")</f>
        <v>1F7</v>
      </c>
      <c r="AB37" s="167">
        <f>IFERROR(SMALL($BU$5:$BU$259,3),"")</f>
        <v>28</v>
      </c>
      <c r="AC37" s="156">
        <f>IF(VLOOKUP2($BP$5:$BQ$500,1,AB37,COUNTIF($AB$35:AB37,AB37),2)=0,"-",VLOOKUP2($BP$5:$BQ$500,1,AB37,COUNTIF($AB$35:AB37,AB37),2))</f>
        <v>11252</v>
      </c>
      <c r="AD37" s="353" t="str">
        <f>IFERROR(VLOOKUP(AC37,Расчет!$BS:$BT,2,FALSE),"")</f>
        <v>T5</v>
      </c>
      <c r="AE37" s="89">
        <v>35</v>
      </c>
      <c r="AF37" s="44" t="str">
        <f>IF(VLOOKUP(AE37,Расчет!$AH$2:$AN$201,5,FALSE)="8","C",IF(VLOOKUP(AE37,Расчет!$AH$2:$AN$201,5,FALSE)="G","G","R"))</f>
        <v>R</v>
      </c>
      <c r="AG37" s="73" t="str">
        <f t="shared" si="2"/>
        <v>R</v>
      </c>
      <c r="AH37" s="87">
        <f>IF(AG37="","",COUNTIF($AG$2:AG37,"C")-COUNTIF($AF$2:AF37,"C")+$AH$1)</f>
        <v>0</v>
      </c>
      <c r="AI37" s="87">
        <f>IF(AG37="","",COUNTIF($AG$2:AG37,"R")-COUNTIF($AF$2:AF37,"R")+$AI$1)</f>
        <v>0</v>
      </c>
      <c r="AJ37" s="89">
        <v>138</v>
      </c>
      <c r="AK37" s="44" t="str">
        <f>IF(VLOOKUP(AJ37,Расчет!$AH$2:$AN$211,5,FALSE)="8","C",IF(VLOOKUP(AJ37,Расчет!$AH$2:$AN$211,5,FALSE)="G","G","R"))</f>
        <v>R</v>
      </c>
      <c r="AL37" s="74" t="str">
        <f t="shared" si="3"/>
        <v/>
      </c>
      <c r="AM37" s="118" t="str">
        <f>IF(AL37="","",(COUNTIF($AG$2:$AG$105,"C")+COUNTIF($AL$2:$AL37,"C"))-(COUNTIF($AF$2:$AF$105,"C")+COUNTIF($AK$2:$AK37,"C"))+$AH$1)</f>
        <v/>
      </c>
      <c r="AN37" s="119" t="str">
        <f>IF(AL37="","",(COUNTIF($AG$2:$AG$105,"R")+COUNTIF($AL$2:$AL37,"R"))-(COUNTIF($AF$2:$AF$105,"R")+COUNTIF($AK$2:$AK37,"R"))+$AI$1)</f>
        <v/>
      </c>
      <c r="AO37" s="22">
        <f>IF(E37="","",COUNTA($E$3:E37)+$Z$1)</f>
        <v>130</v>
      </c>
      <c r="AP37" s="88">
        <f>IF(AO37="","",IF(AO37+Расчет!$Y$57+$BD$2-Расчет!$X$57&gt;200,AO37+Расчет!$Y$57+$BD$2-1000,AO37+Расчет!$Y$57+$BD$2))</f>
        <v>11200</v>
      </c>
      <c r="AR37" s="92"/>
      <c r="AS37" s="92"/>
      <c r="AX37" s="717"/>
      <c r="AY37" s="718"/>
      <c r="AZ37" s="713"/>
      <c r="BA37" s="719"/>
      <c r="BB37" s="721"/>
      <c r="BC37" s="718"/>
      <c r="BD37" s="713"/>
      <c r="BE37" s="719"/>
      <c r="BF37" s="713"/>
      <c r="BG37" s="714"/>
      <c r="BH37" s="48"/>
      <c r="BI37" s="48"/>
      <c r="BJ37" s="48"/>
      <c r="BK37" s="48"/>
      <c r="BL37" s="172">
        <f>COUNTIF($BM$5:BM37,"&lt;-115")</f>
        <v>0</v>
      </c>
      <c r="BM37" s="154" t="str">
        <f>IFERROR(IF(OR(IFERROR(VLOOKUP(BN37,$E$3:$E$105,1,FALSE),"0")=BN37,IFERROR(VLOOKUP(BN37,$R$3:$R$105,1,FALSE),"0")=BN37),BO37,IF(OR(VLOOKUP(BN37,Расчет!A:E,5,FALSE)="2PS",VLOOKUP(BN37,Расчет!A:E,5,FALSE)="2QL"),IF(VLOOKUP(BN37,Расчет!A:B,2,FALSE)="831W",BN37-$BS$7+$AD$17,BN37-$BS$7+$AD$12),BN37-$BS$7)),"-")</f>
        <v>-</v>
      </c>
      <c r="BN37" s="154" t="str">
        <f>IF(OR(Расчет!C34="A0",Расчет!C34="P9",Расчет!B34="722W"),"-",Расчет!A34)</f>
        <v>-</v>
      </c>
      <c r="BO37" s="173">
        <f t="shared" si="14"/>
        <v>0</v>
      </c>
      <c r="BP37" s="172" t="str">
        <f>IF(BQ37="-","-",IFERROR(IF(OR(VLOOKUP(BN37,Расчет!$A$2:$E$582,5,FALSE)="2PS",VLOOKUP(BN37,Расчет!$A$2:$E$582,5,FALSE)="2QL"),IF(OR(VLOOKUP(BN37,Расчет!$A$2:$E$582,2,FALSE)="664W",VLOOKUP(BN37,Расчет!$A$2:$E$582,2,FALSE)="813W"),IF(BN37-$BS$7&gt;150,BN37-$BS$7-1000+$AD$12,BN37-$BS$7+$AD$12),IF(BN37-$BS$7&gt;150,BN37-$BS$7-1000+$AD$17,BN37-$BS$7+$AD$17)),IF(BN37-$BS$7&gt;150,BN37-$BS$7-1000,BN37-$BS$7)),"-"))</f>
        <v>-</v>
      </c>
      <c r="BQ37" s="173" t="str">
        <f t="shared" si="11"/>
        <v>-</v>
      </c>
      <c r="BR37" s="453"/>
      <c r="BS37" s="171"/>
      <c r="BT37" s="464" t="str">
        <f t="shared" si="12"/>
        <v>-</v>
      </c>
      <c r="BU37" s="464" t="str">
        <f t="shared" si="13"/>
        <v>-</v>
      </c>
      <c r="BX37" s="204">
        <f>COUNTIF($BY$4:BY37,"&lt;100")</f>
        <v>34</v>
      </c>
      <c r="BY37" s="213">
        <f t="shared" si="25"/>
        <v>0</v>
      </c>
      <c r="BZ37" s="216">
        <f t="shared" si="25"/>
        <v>0</v>
      </c>
      <c r="CA37" s="213">
        <f t="shared" si="5"/>
        <v>0</v>
      </c>
      <c r="CB37" s="209">
        <f t="shared" si="6"/>
        <v>0</v>
      </c>
      <c r="CC37" s="205">
        <f t="shared" si="15"/>
        <v>0</v>
      </c>
      <c r="CD37" s="205">
        <f t="shared" si="7"/>
        <v>16</v>
      </c>
      <c r="CE37" s="205">
        <f t="shared" si="16"/>
        <v>0</v>
      </c>
      <c r="CG37" s="20" t="str">
        <f t="shared" si="24"/>
        <v>CVT</v>
      </c>
    </row>
    <row r="38" spans="1:85" ht="23.1" customHeight="1">
      <c r="A38" s="40">
        <f>IF(AND(IFERROR(VLOOKUP(E38,Расчет!A:J,10,FALSE),"  ")&lt;&gt;"  ",IFERROR(LEFT(VLOOKUP(E38,Расчет!A:J,10,FALSE),1)," ")&lt;&gt;"H"),0,IFERROR(IF(F38="Camry",IF(OR(J38="2PS",J38="2QL"),IF(E38-AP38&gt;100,E38-AP38-1000+$AD$12,E38-AP38+$AD$12),IF(E38-AP38&gt;100,E38-AP38-1000,E38-AP38)),IF(J38="2PS",IF(E38-AP38&gt;100,E38-AP38-1000+$AD$17,E38-AP38+$AD$17),IF(E38-AP38&gt;100,E38-AP38-1000,E38-AP38))),"-"))</f>
        <v>16</v>
      </c>
      <c r="B38" s="46">
        <v>36</v>
      </c>
      <c r="C38" s="19">
        <f>IF(E38="","",COUNTA($E$3:E38))</f>
        <v>36</v>
      </c>
      <c r="D38" s="18">
        <f t="shared" si="0"/>
        <v>131</v>
      </c>
      <c r="E38" s="30">
        <v>11217</v>
      </c>
      <c r="F38" s="44" t="str">
        <f>IFERROR(IF(VLOOKUP(E38,Расчет!$A$2:$B$650,2,FALSE)="664W","Camry",IF(VLOOKUP(E38,Расчет!$A$2:$B$650,2,FALSE)="813W","Goshi","RAV4")),"")</f>
        <v>Camry</v>
      </c>
      <c r="G38" s="32" t="str">
        <f>IFERROR(IF(F38="Camry",VLOOKUP(E38,Расчет!$A$2:$Q$650,17,FALSE),VLOOKUP(E38,Расчет!$A$2:$R$650,18,FALSE)),"")</f>
        <v>Standard</v>
      </c>
      <c r="H38" s="32" t="str">
        <f>IFERROR(VLOOKUP(VLOOKUP(E38,Расчет!$A:$D,4,FALSE),$AT$6:$AV$15,3,FALSE),"")</f>
        <v/>
      </c>
      <c r="I38" s="31" t="str">
        <f>IFERROR(VLOOKUP(IFERROR(VLOOKUP(E38,Расчет!$A$2:$D$650,4,FALSE),0),$AT$3:$AU$15,2,FALSE),"")</f>
        <v>2,5 L</v>
      </c>
      <c r="J38" s="33" t="str">
        <f>IFERROR(VLOOKUP(E38,Расчет!$A$2:$E$650,5,FALSE),"")</f>
        <v>089</v>
      </c>
      <c r="K38" s="189">
        <v>0.78520833333333329</v>
      </c>
      <c r="L38" s="188">
        <f t="shared" si="9"/>
        <v>1.8402777777777324E-3</v>
      </c>
      <c r="M38" s="38"/>
      <c r="N38" s="40" t="str">
        <f>IF(AND(IFERROR(VLOOKUP(R38,Расчет!A:J,10,FALSE),"  ")&lt;&gt;"  ",IFERROR(LEFT(VLOOKUP(R38,Расчет!A:J,10,FALSE),1)," ")&lt;&gt;"H"),0,IFERROR(IF(S38="Camry",IF(OR(W38="2PS",W38="2QL"),IF(R38-AP141&gt;100,R38-AP141-1000+$AD$12,R38-AP141+$AD$12),IF(R38-AP141&gt;100,R38-AP141-1000,R38-AP141)),IF(W38="2PS",IF(R38-AP141&gt;100,R38-AP141-1000+$AD$17,R38-AP141+$AD$17),IF(R38-AP141&gt;100,R38-AP141-1000,R38-AP141))),"-"))</f>
        <v>-</v>
      </c>
      <c r="O38" s="46">
        <v>139</v>
      </c>
      <c r="P38" s="19" t="str">
        <f>IF(R38="","",COUNTA($R$3:R38)+$C$105)</f>
        <v/>
      </c>
      <c r="Q38" s="18" t="str">
        <f t="shared" si="1"/>
        <v/>
      </c>
      <c r="R38" s="30"/>
      <c r="S38" s="45" t="str">
        <f>IFERROR(IF(VLOOKUP(R38,Расчет!$A$2:$B$650,2,FALSE)="664W","Camry",IF(VLOOKUP(R38,Расчет!$A$2:$B$650,2,FALSE)="813W","Goshi","RAV4")),"")</f>
        <v/>
      </c>
      <c r="T38" s="32" t="str">
        <f>IFERROR(IF(S38="Camry",VLOOKUP(R38,Расчет!$A$2:$Q$650,17,FALSE),VLOOKUP(R38,Расчет!$A$2:$R$650,18,FALSE)),"")</f>
        <v/>
      </c>
      <c r="U38" s="32" t="str">
        <f>IFERROR(VLOOKUP(VLOOKUP(R38,Расчет!$A:$D,4,FALSE),$AT$6:$AV$15,3,FALSE),"")</f>
        <v/>
      </c>
      <c r="V38" s="31" t="str">
        <f>IFERROR(VLOOKUP(IFERROR(VLOOKUP(R38,Расчет!$A$2:$D$650,4,FALSE),0),$AT$3:$AU$15,2,FALSE),"")</f>
        <v/>
      </c>
      <c r="W38" s="33" t="str">
        <f>IFERROR(VLOOKUP(R38,Расчет!$A$2:$E$650,5,FALSE),"")</f>
        <v/>
      </c>
      <c r="X38" s="189"/>
      <c r="Y38" s="191">
        <f t="shared" si="10"/>
        <v>0</v>
      </c>
      <c r="Z38" s="156" t="str">
        <f>IFERROR(IF(VLOOKUP(AC38,Расчет!$A$2:$B$236,2,FALSE)="831W","RAV4","Camry"),"-")</f>
        <v>RAV4</v>
      </c>
      <c r="AA38" s="166" t="str">
        <f>IFERROR(VLOOKUP(AC38,Расчет!$A$2:$E$236,5,FALSE),"-")</f>
        <v>4X7</v>
      </c>
      <c r="AB38" s="167">
        <f>IFERROR(SMALL($BU$5:$BU$259,4),"")</f>
        <v>29</v>
      </c>
      <c r="AC38" s="156">
        <f>IF(VLOOKUP2($BP$5:$BQ$500,1,AB38,COUNTIF($AB$35:AB38,AB38),2)=0,"-",VLOOKUP2($BP$5:$BQ$500,1,AB38,COUNTIF($AB$35:AB38,AB38),2))</f>
        <v>11253</v>
      </c>
      <c r="AD38" s="353" t="str">
        <f>IFERROR(VLOOKUP(AC38,Расчет!$BS:$BT,2,FALSE),"")</f>
        <v>T4</v>
      </c>
      <c r="AE38" s="89">
        <v>36</v>
      </c>
      <c r="AF38" s="44" t="str">
        <f>IF(VLOOKUP(AE38,Расчет!$AH$2:$AN$201,5,FALSE)="8","C",IF(VLOOKUP(AE38,Расчет!$AH$2:$AN$201,5,FALSE)="G","G","R"))</f>
        <v>C</v>
      </c>
      <c r="AG38" s="73" t="str">
        <f t="shared" si="2"/>
        <v>C</v>
      </c>
      <c r="AH38" s="87">
        <f>IF(AG38="","",COUNTIF($AG$2:AG38,"C")-COUNTIF($AF$2:AF38,"C")+$AH$1)</f>
        <v>0</v>
      </c>
      <c r="AI38" s="87">
        <f>IF(AG38="","",COUNTIF($AG$2:AG38,"R")-COUNTIF($AF$2:AF38,"R")+$AI$1)</f>
        <v>0</v>
      </c>
      <c r="AJ38" s="89">
        <v>139</v>
      </c>
      <c r="AK38" s="44" t="str">
        <f>IF(VLOOKUP(AJ38,Расчет!$AH$2:$AN$211,5,FALSE)="8","C",IF(VLOOKUP(AJ38,Расчет!$AH$2:$AN$211,5,FALSE)="G","G","R"))</f>
        <v>C</v>
      </c>
      <c r="AL38" s="74" t="str">
        <f t="shared" si="3"/>
        <v/>
      </c>
      <c r="AM38" s="118" t="str">
        <f>IF(AL38="","",(COUNTIF($AG$2:$AG$105,"C")+COUNTIF($AL$2:$AL38,"C"))-(COUNTIF($AF$2:$AF$105,"C")+COUNTIF($AK$2:$AK38,"C"))+$AH$1)</f>
        <v/>
      </c>
      <c r="AN38" s="119" t="str">
        <f>IF(AL38="","",(COUNTIF($AG$2:$AG$105,"R")+COUNTIF($AL$2:$AL38,"R"))-(COUNTIF($AF$2:$AF$105,"R")+COUNTIF($AK$2:$AK38,"R"))+$AI$1)</f>
        <v/>
      </c>
      <c r="AO38" s="22">
        <f>IF(E38="","",COUNTA($E$3:E38)+$Z$1)</f>
        <v>131</v>
      </c>
      <c r="AP38" s="88">
        <f>IF(AO38="","",IF(AO38+Расчет!$Y$57+$BD$2-Расчет!$X$57&gt;200,AO38+Расчет!$Y$57+$BD$2-1000,AO38+Расчет!$Y$57+$BD$2))</f>
        <v>11201</v>
      </c>
      <c r="AR38" s="92"/>
      <c r="AS38" s="92"/>
      <c r="AX38" s="53"/>
      <c r="AY38" s="53"/>
      <c r="AZ38" s="53"/>
      <c r="BA38" s="53"/>
      <c r="BB38" s="53"/>
      <c r="BC38" s="53"/>
      <c r="BD38" s="76"/>
      <c r="BE38" s="77"/>
      <c r="BF38" s="77"/>
      <c r="BG38" s="77"/>
      <c r="BL38" s="172">
        <f>COUNTIF($BM$5:BM38,"&lt;-115")</f>
        <v>0</v>
      </c>
      <c r="BM38" s="154">
        <f>IFERROR(IF(OR(IFERROR(VLOOKUP(BN38,$E$3:$E$105,1,FALSE),"0")=BN38,IFERROR(VLOOKUP(BN38,$R$3:$R$105,1,FALSE),"0")=BN38),BO38,IF(OR(VLOOKUP(BN38,Расчет!A:E,5,FALSE)="2PS",VLOOKUP(BN38,Расчет!A:E,5,FALSE)="2QL"),IF(VLOOKUP(BN38,Расчет!A:B,2,FALSE)="831W",BN38-$BS$7+$AD$17,BN38-$BS$7+$AD$12),BN38-$BS$7)),"-")</f>
        <v>6</v>
      </c>
      <c r="BN38" s="154">
        <f>IF(OR(Расчет!C35="A0",Расчет!C35="P9",Расчет!B35="722W"),"-",Расчет!A35)</f>
        <v>11180</v>
      </c>
      <c r="BO38" s="173">
        <f t="shared" si="14"/>
        <v>6</v>
      </c>
      <c r="BP38" s="172" t="str">
        <f>IF(BQ38="-","-",IFERROR(IF(OR(VLOOKUP(BN38,Расчет!$A$2:$E$582,5,FALSE)="2PS",VLOOKUP(BN38,Расчет!$A$2:$E$582,5,FALSE)="2QL"),IF(OR(VLOOKUP(BN38,Расчет!$A$2:$E$582,2,FALSE)="664W",VLOOKUP(BN38,Расчет!$A$2:$E$582,2,FALSE)="813W"),IF(BN38-$BS$7&gt;150,BN38-$BS$7-1000+$AD$12,BN38-$BS$7+$AD$12),IF(BN38-$BS$7&gt;150,BN38-$BS$7-1000+$AD$17,BN38-$BS$7+$AD$17)),IF(BN38-$BS$7&gt;150,BN38-$BS$7-1000,BN38-$BS$7)),"-"))</f>
        <v>-</v>
      </c>
      <c r="BQ38" s="173" t="str">
        <f t="shared" si="11"/>
        <v>-</v>
      </c>
      <c r="BR38" s="453"/>
      <c r="BS38" s="171"/>
      <c r="BT38" s="464" t="str">
        <f t="shared" si="12"/>
        <v>-</v>
      </c>
      <c r="BU38" s="464" t="str">
        <f t="shared" si="13"/>
        <v>-</v>
      </c>
      <c r="BX38" s="204">
        <f>COUNTIF($BY$4:BY38,"&lt;100")</f>
        <v>35</v>
      </c>
      <c r="BY38" s="213">
        <f t="shared" si="25"/>
        <v>0</v>
      </c>
      <c r="BZ38" s="216">
        <f t="shared" si="25"/>
        <v>0</v>
      </c>
      <c r="CA38" s="213">
        <f t="shared" si="5"/>
        <v>0</v>
      </c>
      <c r="CB38" s="209">
        <f t="shared" si="6"/>
        <v>0</v>
      </c>
      <c r="CC38" s="205">
        <f t="shared" si="15"/>
        <v>0</v>
      </c>
      <c r="CD38" s="205">
        <f t="shared" si="7"/>
        <v>18</v>
      </c>
      <c r="CE38" s="205">
        <f t="shared" si="16"/>
        <v>0</v>
      </c>
      <c r="CG38" s="20" t="str">
        <f t="shared" si="24"/>
        <v>Standard</v>
      </c>
    </row>
    <row r="39" spans="1:85" ht="23.1" customHeight="1">
      <c r="A39" s="40">
        <f>IF(AND(IFERROR(VLOOKUP(E39,Расчет!A:J,10,FALSE),"  ")&lt;&gt;"  ",IFERROR(LEFT(VLOOKUP(E39,Расчет!A:J,10,FALSE),1)," ")&lt;&gt;"H"),0,IFERROR(IF(F39="Camry",IF(OR(J39="2PS",J39="2QL"),IF(E39-AP39&gt;100,E39-AP39-1000+$AD$12,E39-AP39+$AD$12),IF(E39-AP39&gt;100,E39-AP39-1000,E39-AP39)),IF(J39="2PS",IF(E39-AP39&gt;100,E39-AP39-1000+$AD$17,E39-AP39+$AD$17),IF(E39-AP39&gt;100,E39-AP39-1000,E39-AP39))),"-"))</f>
        <v>16</v>
      </c>
      <c r="B39" s="46">
        <v>37</v>
      </c>
      <c r="C39" s="19">
        <f>IF(E39="","",COUNTA($E$3:E39))</f>
        <v>37</v>
      </c>
      <c r="D39" s="18">
        <f t="shared" si="0"/>
        <v>132</v>
      </c>
      <c r="E39" s="30">
        <v>11218</v>
      </c>
      <c r="F39" s="44" t="str">
        <f>IFERROR(IF(VLOOKUP(E39,Расчет!$A$2:$B$650,2,FALSE)="664W","Camry",IF(VLOOKUP(E39,Расчет!$A$2:$B$650,2,FALSE)="813W","Goshi","RAV4")),"")</f>
        <v>RAV4</v>
      </c>
      <c r="G39" s="32" t="str">
        <f>IFERROR(IF(F39="Camry",VLOOKUP(E39,Расчет!$A$2:$Q$650,17,FALSE),VLOOKUP(E39,Расчет!$A$2:$R$650,18,FALSE)),"")</f>
        <v>CVT</v>
      </c>
      <c r="H39" s="32" t="str">
        <f>IFERROR(VLOOKUP(VLOOKUP(E39,Расчет!$A:$D,4,FALSE),$AT$6:$AV$15,3,FALSE),"")</f>
        <v>TWIN-C</v>
      </c>
      <c r="I39" s="31" t="str">
        <f>IFERROR(VLOOKUP(IFERROR(VLOOKUP(E39,Расчет!$A$2:$D$650,4,FALSE),0),$AT$3:$AU$15,2,FALSE),"")</f>
        <v>2,0 L</v>
      </c>
      <c r="J39" s="33" t="str">
        <f>IFERROR(VLOOKUP(E39,Расчет!$A$2:$E$650,5,FALSE),"")</f>
        <v>218</v>
      </c>
      <c r="K39" s="189">
        <v>0.7869328703703703</v>
      </c>
      <c r="L39" s="188">
        <f t="shared" si="9"/>
        <v>1.7245370370370106E-3</v>
      </c>
      <c r="M39" s="38"/>
      <c r="N39" s="40" t="str">
        <f>IF(AND(IFERROR(VLOOKUP(R39,Расчет!A:J,10,FALSE),"  ")&lt;&gt;"  ",IFERROR(LEFT(VLOOKUP(R39,Расчет!A:J,10,FALSE),1)," ")&lt;&gt;"H"),0,IFERROR(IF(S39="Camry",IF(OR(W39="2PS",W39="2QL"),IF(R39-AP142&gt;100,R39-AP142-1000+$AD$12,R39-AP142+$AD$12),IF(R39-AP142&gt;100,R39-AP142-1000,R39-AP142)),IF(W39="2PS",IF(R39-AP142&gt;100,R39-AP142-1000+$AD$17,R39-AP142+$AD$17),IF(R39-AP142&gt;100,R39-AP142-1000,R39-AP142))),"-"))</f>
        <v>-</v>
      </c>
      <c r="O39" s="46">
        <v>140</v>
      </c>
      <c r="P39" s="19" t="str">
        <f>IF(R39="","",COUNTA($R$3:R39)+$C$105)</f>
        <v/>
      </c>
      <c r="Q39" s="18" t="str">
        <f t="shared" si="1"/>
        <v/>
      </c>
      <c r="R39" s="30"/>
      <c r="S39" s="45" t="str">
        <f>IFERROR(IF(VLOOKUP(R39,Расчет!$A$2:$B$650,2,FALSE)="664W","Camry",IF(VLOOKUP(R39,Расчет!$A$2:$B$650,2,FALSE)="813W","Goshi","RAV4")),"")</f>
        <v/>
      </c>
      <c r="T39" s="32" t="str">
        <f>IFERROR(IF(S39="Camry",VLOOKUP(R39,Расчет!$A$2:$Q$650,17,FALSE),VLOOKUP(R39,Расчет!$A$2:$R$650,18,FALSE)),"")</f>
        <v/>
      </c>
      <c r="U39" s="32" t="str">
        <f>IFERROR(VLOOKUP(VLOOKUP(R39,Расчет!$A:$D,4,FALSE),$AT$6:$AV$15,3,FALSE),"")</f>
        <v/>
      </c>
      <c r="V39" s="31" t="str">
        <f>IFERROR(VLOOKUP(IFERROR(VLOOKUP(R39,Расчет!$A$2:$D$650,4,FALSE),0),$AT$3:$AU$15,2,FALSE),"")</f>
        <v/>
      </c>
      <c r="W39" s="33" t="str">
        <f>IFERROR(VLOOKUP(R39,Расчет!$A$2:$E$650,5,FALSE),"")</f>
        <v/>
      </c>
      <c r="X39" s="189"/>
      <c r="Y39" s="191">
        <f t="shared" si="10"/>
        <v>0</v>
      </c>
      <c r="Z39" s="156" t="str">
        <f>IFERROR(IF(VLOOKUP(AC39,Расчет!$A$2:$B$236,2,FALSE)="831W","RAV4","Camry"),"-")</f>
        <v>RAV4</v>
      </c>
      <c r="AA39" s="166" t="str">
        <f>IFERROR(VLOOKUP(AC39,Расчет!$A$2:$E$236,5,FALSE),"-")</f>
        <v>2PS</v>
      </c>
      <c r="AB39" s="167">
        <f>IFERROR(SMALL($BU$5:$BU$259,5),"")</f>
        <v>30</v>
      </c>
      <c r="AC39" s="156">
        <f>IF(VLOOKUP2($BP$5:$BQ$500,1,AB39,COUNTIF($AB$35:AB39,AB39),2)=0,"-",VLOOKUP2($BP$5:$BQ$500,1,AB39,COUNTIF($AB$35:AB39,AB39),2))</f>
        <v>11154</v>
      </c>
      <c r="AD39" s="353" t="str">
        <f>IFERROR(VLOOKUP(AC39,Расчет!$BS:$BT,2,FALSE),"")</f>
        <v>T7</v>
      </c>
      <c r="AE39" s="89">
        <v>37</v>
      </c>
      <c r="AF39" s="44" t="str">
        <f>IF(VLOOKUP(AE39,Расчет!$AH$2:$AN$201,5,FALSE)="8","C",IF(VLOOKUP(AE39,Расчет!$AH$2:$AN$201,5,FALSE)="G","G","R"))</f>
        <v>R</v>
      </c>
      <c r="AG39" s="73" t="str">
        <f t="shared" si="2"/>
        <v>R</v>
      </c>
      <c r="AH39" s="87">
        <f>IF(AG39="","",COUNTIF($AG$2:AG39,"C")-COUNTIF($AF$2:AF39,"C")+$AH$1)</f>
        <v>0</v>
      </c>
      <c r="AI39" s="87">
        <f>IF(AG39="","",COUNTIF($AG$2:AG39,"R")-COUNTIF($AF$2:AF39,"R")+$AI$1)</f>
        <v>0</v>
      </c>
      <c r="AJ39" s="89">
        <v>140</v>
      </c>
      <c r="AK39" s="44" t="str">
        <f>IF(VLOOKUP(AJ39,Расчет!$AH$2:$AN$211,5,FALSE)="8","C",IF(VLOOKUP(AJ39,Расчет!$AH$2:$AN$211,5,FALSE)="G","G","R"))</f>
        <v>R</v>
      </c>
      <c r="AL39" s="74" t="str">
        <f t="shared" si="3"/>
        <v/>
      </c>
      <c r="AM39" s="118" t="str">
        <f>IF(AL39="","",(COUNTIF($AG$2:$AG$105,"C")+COUNTIF($AL$2:$AL39,"C"))-(COUNTIF($AF$2:$AF$105,"C")+COUNTIF($AK$2:$AK39,"C"))+$AH$1)</f>
        <v/>
      </c>
      <c r="AN39" s="119" t="str">
        <f>IF(AL39="","",(COUNTIF($AG$2:$AG$105,"R")+COUNTIF($AL$2:$AL39,"R"))-(COUNTIF($AF$2:$AF$105,"R")+COUNTIF($AK$2:$AK39,"R"))+$AI$1)</f>
        <v/>
      </c>
      <c r="AO39" s="22">
        <f>IF(E39="","",COUNTA($E$3:E39)+$Z$1)</f>
        <v>132</v>
      </c>
      <c r="AP39" s="88">
        <f>IF(AO39="","",IF(AO39+Расчет!$Y$57+$BD$2-Расчет!$X$57&gt;200,AO39+Расчет!$Y$57+$BD$2-1000,AO39+Расчет!$Y$57+$BD$2))</f>
        <v>11202</v>
      </c>
      <c r="AR39" s="92"/>
      <c r="AS39" s="92"/>
      <c r="BL39" s="172">
        <f>COUNTIF($BM$5:BM39,"&lt;-115")</f>
        <v>0</v>
      </c>
      <c r="BM39" s="154" t="str">
        <f>IFERROR(IF(OR(IFERROR(VLOOKUP(BN39,$E$3:$E$105,1,FALSE),"0")=BN39,IFERROR(VLOOKUP(BN39,$R$3:$R$105,1,FALSE),"0")=BN39),BO39,IF(OR(VLOOKUP(BN39,Расчет!A:E,5,FALSE)="2PS",VLOOKUP(BN39,Расчет!A:E,5,FALSE)="2QL"),IF(VLOOKUP(BN39,Расчет!A:B,2,FALSE)="831W",BN39-$BS$7+$AD$17,BN39-$BS$7+$AD$12),BN39-$BS$7)),"-")</f>
        <v>-</v>
      </c>
      <c r="BN39" s="154" t="str">
        <f>IF(OR(Расчет!C36="A0",Расчет!C36="P9",Расчет!B36="722W"),"-",Расчет!A36)</f>
        <v>-</v>
      </c>
      <c r="BO39" s="173">
        <f t="shared" si="14"/>
        <v>0</v>
      </c>
      <c r="BP39" s="172" t="str">
        <f>IF(BQ39="-","-",IFERROR(IF(OR(VLOOKUP(BN39,Расчет!$A$2:$E$582,5,FALSE)="2PS",VLOOKUP(BN39,Расчет!$A$2:$E$582,5,FALSE)="2QL"),IF(OR(VLOOKUP(BN39,Расчет!$A$2:$E$582,2,FALSE)="664W",VLOOKUP(BN39,Расчет!$A$2:$E$582,2,FALSE)="813W"),IF(BN39-$BS$7&gt;150,BN39-$BS$7-1000+$AD$12,BN39-$BS$7+$AD$12),IF(BN39-$BS$7&gt;150,BN39-$BS$7-1000+$AD$17,BN39-$BS$7+$AD$17)),IF(BN39-$BS$7&gt;150,BN39-$BS$7-1000,BN39-$BS$7)),"-"))</f>
        <v>-</v>
      </c>
      <c r="BQ39" s="173" t="str">
        <f t="shared" si="11"/>
        <v>-</v>
      </c>
      <c r="BR39" s="453"/>
      <c r="BS39" s="171"/>
      <c r="BT39" s="464" t="str">
        <f t="shared" si="12"/>
        <v>-</v>
      </c>
      <c r="BU39" s="464" t="str">
        <f t="shared" si="13"/>
        <v>-</v>
      </c>
      <c r="BX39" s="204">
        <f>COUNTIF($BY$4:BY39,"&lt;100")</f>
        <v>36</v>
      </c>
      <c r="BY39" s="213">
        <f t="shared" si="25"/>
        <v>0</v>
      </c>
      <c r="BZ39" s="216">
        <f t="shared" si="25"/>
        <v>0</v>
      </c>
      <c r="CA39" s="213">
        <f t="shared" si="5"/>
        <v>0</v>
      </c>
      <c r="CB39" s="209">
        <f t="shared" si="6"/>
        <v>0</v>
      </c>
      <c r="CC39" s="205">
        <f t="shared" si="15"/>
        <v>0</v>
      </c>
      <c r="CD39" s="205">
        <f t="shared" si="7"/>
        <v>16</v>
      </c>
      <c r="CE39" s="205">
        <f t="shared" si="16"/>
        <v>0</v>
      </c>
      <c r="CG39" s="20" t="str">
        <f t="shared" si="24"/>
        <v>Auto</v>
      </c>
    </row>
    <row r="40" spans="1:85" ht="23.1" customHeight="1" thickBot="1">
      <c r="A40" s="40">
        <f>IF(AND(IFERROR(VLOOKUP(E40,Расчет!A:J,10,FALSE),"  ")&lt;&gt;"  ",IFERROR(LEFT(VLOOKUP(E40,Расчет!A:J,10,FALSE),1)," ")&lt;&gt;"H"),0,IFERROR(IF(F40="Camry",IF(OR(J40="2PS",J40="2QL"),IF(E40-AP40&gt;100,E40-AP40-1000+$AD$12,E40-AP40+$AD$12),IF(E40-AP40&gt;100,E40-AP40-1000,E40-AP40)),IF(J40="2PS",IF(E40-AP40&gt;100,E40-AP40-1000+$AD$17,E40-AP40+$AD$17),IF(E40-AP40&gt;100,E40-AP40-1000,E40-AP40))),"-"))</f>
        <v>21</v>
      </c>
      <c r="B40" s="46">
        <v>38</v>
      </c>
      <c r="C40" s="19">
        <f>IF(E40="","",COUNTA($E$3:E40))</f>
        <v>38</v>
      </c>
      <c r="D40" s="18">
        <f>IFERROR(IF(AO40&gt;=1000,AO40-1000,AO40),"")</f>
        <v>133</v>
      </c>
      <c r="E40" s="30">
        <v>11224</v>
      </c>
      <c r="F40" s="44" t="str">
        <f>IFERROR(IF(VLOOKUP(E40,Расчет!$A$2:$B$650,2,FALSE)="664W","Camry",IF(VLOOKUP(E40,Расчет!$A$2:$B$650,2,FALSE)="813W","Goshi","RAV4")),"")</f>
        <v>Camry</v>
      </c>
      <c r="G40" s="32" t="str">
        <f>IFERROR(IF(F40="Camry",VLOOKUP(E40,Расчет!$A$2:$Q$650,17,FALSE),VLOOKUP(E40,Расчет!$A$2:$R$650,18,FALSE)),"")</f>
        <v>Standard</v>
      </c>
      <c r="H40" s="32" t="str">
        <f>IFERROR(VLOOKUP(VLOOKUP(E40,Расчет!$A:$D,4,FALSE),$AT$6:$AV$15,3,FALSE),"")</f>
        <v/>
      </c>
      <c r="I40" s="31" t="str">
        <f>IFERROR(VLOOKUP(IFERROR(VLOOKUP(E40,Расчет!$A$2:$D$650,4,FALSE),0),$AT$3:$AU$15,2,FALSE),"")</f>
        <v>2,5 L</v>
      </c>
      <c r="J40" s="33" t="str">
        <f>IFERROR(VLOOKUP(E40,Расчет!$A$2:$E$650,5,FALSE),"")</f>
        <v>218</v>
      </c>
      <c r="K40" s="189">
        <v>0.78866898148148146</v>
      </c>
      <c r="L40" s="188">
        <f t="shared" si="9"/>
        <v>1.7361111111111605E-3</v>
      </c>
      <c r="M40" s="38"/>
      <c r="N40" s="40" t="str">
        <f>IF(AND(IFERROR(VLOOKUP(R40,Расчет!A:J,10,FALSE),"  ")&lt;&gt;"  ",IFERROR(LEFT(VLOOKUP(R40,Расчет!A:J,10,FALSE),1)," ")&lt;&gt;"H"),0,IFERROR(IF(S40="Camry",IF(OR(W40="2PS",W40="2QL"),IF(R40-AP143&gt;100,R40-AP143-1000+$AD$12,R40-AP143+$AD$12),IF(R40-AP143&gt;100,R40-AP143-1000,R40-AP143)),IF(W40="2PS",IF(R40-AP143&gt;100,R40-AP143-1000+$AD$17,R40-AP143+$AD$17),IF(R40-AP143&gt;100,R40-AP143-1000,R40-AP143))),"-"))</f>
        <v>-</v>
      </c>
      <c r="O40" s="46">
        <v>141</v>
      </c>
      <c r="P40" s="19" t="str">
        <f>IF(R40="","",COUNTA($R$3:R40)+$C$105)</f>
        <v/>
      </c>
      <c r="Q40" s="18" t="str">
        <f t="shared" si="1"/>
        <v/>
      </c>
      <c r="R40" s="30"/>
      <c r="S40" s="45" t="str">
        <f>IFERROR(IF(VLOOKUP(R40,Расчет!$A$2:$B$650,2,FALSE)="664W","Camry",IF(VLOOKUP(R40,Расчет!$A$2:$B$650,2,FALSE)="813W","Goshi","RAV4")),"")</f>
        <v/>
      </c>
      <c r="T40" s="32" t="str">
        <f>IFERROR(IF(S40="Camry",VLOOKUP(R40,Расчет!$A$2:$Q$650,17,FALSE),VLOOKUP(R40,Расчет!$A$2:$R$650,18,FALSE)),"")</f>
        <v/>
      </c>
      <c r="U40" s="32" t="str">
        <f>IFERROR(VLOOKUP(VLOOKUP(R40,Расчет!$A:$D,4,FALSE),$AT$6:$AV$15,3,FALSE),"")</f>
        <v/>
      </c>
      <c r="V40" s="31" t="str">
        <f>IFERROR(VLOOKUP(IFERROR(VLOOKUP(R40,Расчет!$A$2:$D$650,4,FALSE),0),$AT$3:$AU$15,2,FALSE),"")</f>
        <v/>
      </c>
      <c r="W40" s="33" t="str">
        <f>IFERROR(VLOOKUP(R40,Расчет!$A$2:$E$650,5,FALSE),"")</f>
        <v/>
      </c>
      <c r="X40" s="189"/>
      <c r="Y40" s="191">
        <f t="shared" si="10"/>
        <v>0</v>
      </c>
      <c r="Z40" s="157" t="str">
        <f>IFERROR(IF(VLOOKUP(AC40,Расчет!$A$2:$B$236,2,FALSE)="831W","RAV4","Camry"),"-")</f>
        <v>Camry</v>
      </c>
      <c r="AA40" s="170" t="str">
        <f>IFERROR(VLOOKUP(AC40,Расчет!$A$2:$E$236,5,FALSE),"-")</f>
        <v>089</v>
      </c>
      <c r="AB40" s="168">
        <f>IFERROR(SMALL($BU$5:$BU$259,6),"")</f>
        <v>30</v>
      </c>
      <c r="AC40" s="157">
        <f>IF(VLOOKUP2($BP$5:$BQ$500,1,AB40,COUNTIF($AB$35:AB40,AB40),2)=0,"-",VLOOKUP2($BP$5:$BQ$500,1,AB40,COUNTIF($AB$35:AB40,AB40),2))</f>
        <v>11254</v>
      </c>
      <c r="AD40" s="147" t="str">
        <f>IFERROR(VLOOKUP(AC40,Расчет!$BS:$BT,2,FALSE),"")</f>
        <v>T4</v>
      </c>
      <c r="AE40" s="89">
        <v>38</v>
      </c>
      <c r="AF40" s="44" t="str">
        <f>IF(VLOOKUP(AE40,Расчет!$AH$2:$AN$201,5,FALSE)="8","C",IF(VLOOKUP(AE40,Расчет!$AH$2:$AN$201,5,FALSE)="G","G","R"))</f>
        <v>C</v>
      </c>
      <c r="AG40" s="73" t="str">
        <f t="shared" si="2"/>
        <v>C</v>
      </c>
      <c r="AH40" s="87">
        <f>IF(AG40="","",COUNTIF($AG$2:AG40,"C")-COUNTIF($AF$2:AF40,"C")+$AH$1)</f>
        <v>0</v>
      </c>
      <c r="AI40" s="87">
        <f>IF(AG40="","",COUNTIF($AG$2:AG40,"R")-COUNTIF($AF$2:AF40,"R")+$AI$1)</f>
        <v>0</v>
      </c>
      <c r="AJ40" s="89">
        <v>141</v>
      </c>
      <c r="AK40" s="44" t="str">
        <f>IF(VLOOKUP(AJ40,Расчет!$AH$2:$AN$211,5,FALSE)="8","C",IF(VLOOKUP(AJ40,Расчет!$AH$2:$AN$211,5,FALSE)="G","G","R"))</f>
        <v>C</v>
      </c>
      <c r="AL40" s="74" t="str">
        <f t="shared" si="3"/>
        <v/>
      </c>
      <c r="AM40" s="118" t="str">
        <f>IF(AL40="","",(COUNTIF($AG$2:$AG$105,"C")+COUNTIF($AL$2:$AL40,"C"))-(COUNTIF($AF$2:$AF$105,"C")+COUNTIF($AK$2:$AK40,"C"))+$AH$1)</f>
        <v/>
      </c>
      <c r="AN40" s="119" t="str">
        <f>IF(AL40="","",(COUNTIF($AG$2:$AG$105,"R")+COUNTIF($AL$2:$AL40,"R"))-(COUNTIF($AF$2:$AF$105,"R")+COUNTIF($AK$2:$AK40,"R"))+$AI$1)</f>
        <v/>
      </c>
      <c r="AO40" s="22">
        <f>IF(E40="","",COUNTA($E$3:E40)+$Z$1)</f>
        <v>133</v>
      </c>
      <c r="AP40" s="88">
        <f>IF(AO40="","",IF(AO40+Расчет!$Y$57+$BD$2-Расчет!$X$57&gt;200,AO40+Расчет!$Y$57+$BD$2-1000,AO40+Расчет!$Y$57+$BD$2))</f>
        <v>11203</v>
      </c>
      <c r="AR40" s="92"/>
      <c r="AS40" s="92"/>
      <c r="BL40" s="172">
        <f>COUNTIF($BM$5:BM40,"&lt;-115")</f>
        <v>0</v>
      </c>
      <c r="BM40" s="154" t="str">
        <f>IFERROR(IF(OR(IFERROR(VLOOKUP(BN40,$E$3:$E$105,1,FALSE),"0")=BN40,IFERROR(VLOOKUP(BN40,$R$3:$R$105,1,FALSE),"0")=BN40),BO40,IF(OR(VLOOKUP(BN40,Расчет!A:E,5,FALSE)="2PS",VLOOKUP(BN40,Расчет!A:E,5,FALSE)="2QL"),IF(VLOOKUP(BN40,Расчет!A:B,2,FALSE)="831W",BN40-$BS$7+$AD$17,BN40-$BS$7+$AD$12),BN40-$BS$7)),"-")</f>
        <v>-</v>
      </c>
      <c r="BN40" s="154" t="str">
        <f>IF(OR(Расчет!C37="A0",Расчет!C37="P9",Расчет!B37="722W"),"-",Расчет!A37)</f>
        <v>-</v>
      </c>
      <c r="BO40" s="173">
        <f t="shared" si="14"/>
        <v>0</v>
      </c>
      <c r="BP40" s="172" t="str">
        <f>IF(BQ40="-","-",IFERROR(IF(OR(VLOOKUP(BN40,Расчет!$A$2:$E$582,5,FALSE)="2PS",VLOOKUP(BN40,Расчет!$A$2:$E$582,5,FALSE)="2QL"),IF(OR(VLOOKUP(BN40,Расчет!$A$2:$E$582,2,FALSE)="664W",VLOOKUP(BN40,Расчет!$A$2:$E$582,2,FALSE)="813W"),IF(BN40-$BS$7&gt;150,BN40-$BS$7-1000+$AD$12,BN40-$BS$7+$AD$12),IF(BN40-$BS$7&gt;150,BN40-$BS$7-1000+$AD$17,BN40-$BS$7+$AD$17)),IF(BN40-$BS$7&gt;150,BN40-$BS$7-1000,BN40-$BS$7)),"-"))</f>
        <v>-</v>
      </c>
      <c r="BQ40" s="173" t="str">
        <f t="shared" si="11"/>
        <v>-</v>
      </c>
      <c r="BR40" s="453"/>
      <c r="BS40" s="171"/>
      <c r="BT40" s="464" t="str">
        <f t="shared" si="12"/>
        <v>-</v>
      </c>
      <c r="BU40" s="464" t="str">
        <f t="shared" si="13"/>
        <v>-</v>
      </c>
      <c r="BX40" s="204">
        <f>COUNTIF($BY$4:BY40,"&lt;100")</f>
        <v>37</v>
      </c>
      <c r="BY40" s="213">
        <f t="shared" si="25"/>
        <v>0</v>
      </c>
      <c r="BZ40" s="216">
        <f t="shared" si="25"/>
        <v>0</v>
      </c>
      <c r="CA40" s="213">
        <f t="shared" si="5"/>
        <v>0</v>
      </c>
      <c r="CB40" s="209">
        <f t="shared" si="6"/>
        <v>0</v>
      </c>
      <c r="CC40" s="205">
        <f t="shared" si="15"/>
        <v>0</v>
      </c>
      <c r="CD40" s="205">
        <f t="shared" si="7"/>
        <v>16</v>
      </c>
      <c r="CE40" s="205">
        <f t="shared" si="16"/>
        <v>0</v>
      </c>
      <c r="CG40" s="20" t="str">
        <f t="shared" si="24"/>
        <v>Standard</v>
      </c>
    </row>
    <row r="41" spans="1:85" ht="23.1" customHeight="1" thickBot="1">
      <c r="A41" s="40">
        <f>IF(AND(IFERROR(VLOOKUP(E41,Расчет!A:J,10,FALSE),"  ")&lt;&gt;"  ",IFERROR(LEFT(VLOOKUP(E41,Расчет!A:J,10,FALSE),1)," ")&lt;&gt;"H"),0,IFERROR(IF(F41="Camry",IF(OR(J41="2PS",J41="2QL"),IF(E41-AP41&gt;100,E41-AP41-1000+$AD$12,E41-AP41+$AD$12),IF(E41-AP41&gt;100,E41-AP41-1000,E41-AP41)),IF(J41="2PS",IF(E41-AP41&gt;100,E41-AP41-1000+$AD$17,E41-AP41+$AD$17),IF(E41-AP41&gt;100,E41-AP41-1000,E41-AP41))),"-"))</f>
        <v>17</v>
      </c>
      <c r="B41" s="46">
        <v>39</v>
      </c>
      <c r="C41" s="19">
        <f>IF(E41="","",COUNTA($E$3:E41))</f>
        <v>39</v>
      </c>
      <c r="D41" s="18">
        <f t="shared" si="0"/>
        <v>134</v>
      </c>
      <c r="E41" s="30">
        <v>11221</v>
      </c>
      <c r="F41" s="44" t="str">
        <f>IFERROR(IF(VLOOKUP(E41,Расчет!$A$2:$B$650,2,FALSE)="664W","Camry",IF(VLOOKUP(E41,Расчет!$A$2:$B$650,2,FALSE)="813W","Goshi","RAV4")),"")</f>
        <v>RAV4</v>
      </c>
      <c r="G41" s="32" t="str">
        <f>IFERROR(IF(F41="Camry",VLOOKUP(E41,Расчет!$A$2:$Q$650,17,FALSE),VLOOKUP(E41,Расчет!$A$2:$R$650,18,FALSE)),"")</f>
        <v>Auto</v>
      </c>
      <c r="H41" s="32" t="str">
        <f>IFERROR(VLOOKUP(VLOOKUP(E41,Расчет!$A:$D,4,FALSE),$AT$6:$AV$15,3,FALSE),"")</f>
        <v>TWIN-C</v>
      </c>
      <c r="I41" s="31" t="str">
        <f>IFERROR(VLOOKUP(IFERROR(VLOOKUP(E41,Расчет!$A$2:$D$650,4,FALSE),0),$AT$3:$AU$15,2,FALSE),"")</f>
        <v>2,5 L</v>
      </c>
      <c r="J41" s="33" t="str">
        <f>IFERROR(VLOOKUP(E41,Расчет!$A$2:$E$650,5,FALSE),"")</f>
        <v>4X7</v>
      </c>
      <c r="K41" s="189">
        <v>0.79038194444444443</v>
      </c>
      <c r="L41" s="188">
        <f t="shared" si="9"/>
        <v>1.7129629629629717E-3</v>
      </c>
      <c r="M41" s="38"/>
      <c r="N41" s="40" t="str">
        <f>IF(AND(IFERROR(VLOOKUP(R41,Расчет!A:J,10,FALSE),"  ")&lt;&gt;"  ",IFERROR(LEFT(VLOOKUP(R41,Расчет!A:J,10,FALSE),1)," ")&lt;&gt;"H"),0,IFERROR(IF(S41="Camry",IF(OR(W41="2PS",W41="2QL"),IF(R41-AP144&gt;100,R41-AP144-1000+$AD$12,R41-AP144+$AD$12),IF(R41-AP144&gt;100,R41-AP144-1000,R41-AP144)),IF(W41="2PS",IF(R41-AP144&gt;100,R41-AP144-1000+$AD$17,R41-AP144+$AD$17),IF(R41-AP144&gt;100,R41-AP144-1000,R41-AP144))),"-"))</f>
        <v>-</v>
      </c>
      <c r="O41" s="46">
        <v>142</v>
      </c>
      <c r="P41" s="19" t="str">
        <f>IF(R41="","",COUNTA($R$3:R41)+$C$105)</f>
        <v/>
      </c>
      <c r="Q41" s="18" t="str">
        <f t="shared" si="1"/>
        <v/>
      </c>
      <c r="R41" s="30"/>
      <c r="S41" s="45" t="str">
        <f>IFERROR(IF(VLOOKUP(R41,Расчет!$A$2:$B$650,2,FALSE)="664W","Camry",IF(VLOOKUP(R41,Расчет!$A$2:$B$650,2,FALSE)="813W","Goshi","RAV4")),"")</f>
        <v/>
      </c>
      <c r="T41" s="32" t="str">
        <f>IFERROR(IF(S41="Camry",VLOOKUP(R41,Расчет!$A$2:$Q$650,17,FALSE),VLOOKUP(R41,Расчет!$A$2:$R$650,18,FALSE)),"")</f>
        <v/>
      </c>
      <c r="U41" s="32" t="str">
        <f>IFERROR(VLOOKUP(VLOOKUP(R41,Расчет!$A:$D,4,FALSE),$AT$6:$AV$15,3,FALSE),"")</f>
        <v/>
      </c>
      <c r="V41" s="31" t="str">
        <f>IFERROR(VLOOKUP(IFERROR(VLOOKUP(R41,Расчет!$A$2:$D$650,4,FALSE),0),$AT$3:$AU$15,2,FALSE),"")</f>
        <v/>
      </c>
      <c r="W41" s="33" t="str">
        <f>IFERROR(VLOOKUP(R41,Расчет!$A$2:$E$650,5,FALSE),"")</f>
        <v/>
      </c>
      <c r="X41" s="189"/>
      <c r="Y41" s="191">
        <f t="shared" si="10"/>
        <v>0</v>
      </c>
      <c r="Z41" s="613" t="s">
        <v>139</v>
      </c>
      <c r="AA41" s="688"/>
      <c r="AB41" s="688"/>
      <c r="AC41" s="688"/>
      <c r="AD41" s="614"/>
      <c r="AE41" s="89">
        <v>39</v>
      </c>
      <c r="AF41" s="44" t="str">
        <f>IF(VLOOKUP(AE41,Расчет!$AH$2:$AN$201,5,FALSE)="8","C",IF(VLOOKUP(AE41,Расчет!$AH$2:$AN$201,5,FALSE)="G","G","R"))</f>
        <v>R</v>
      </c>
      <c r="AG41" s="73" t="str">
        <f t="shared" si="2"/>
        <v>R</v>
      </c>
      <c r="AH41" s="87">
        <f>IF(AG41="","",COUNTIF($AG$2:AG41,"C")-COUNTIF($AF$2:AF41,"C")+$AH$1)</f>
        <v>0</v>
      </c>
      <c r="AI41" s="87">
        <f>IF(AG41="","",COUNTIF($AG$2:AG41,"R")-COUNTIF($AF$2:AF41,"R")+$AI$1)</f>
        <v>0</v>
      </c>
      <c r="AJ41" s="89">
        <v>142</v>
      </c>
      <c r="AK41" s="44" t="str">
        <f>IF(VLOOKUP(AJ41,Расчет!$AH$2:$AN$211,5,FALSE)="8","C",IF(VLOOKUP(AJ41,Расчет!$AH$2:$AN$211,5,FALSE)="G","G","R"))</f>
        <v>R</v>
      </c>
      <c r="AL41" s="74" t="str">
        <f t="shared" si="3"/>
        <v/>
      </c>
      <c r="AM41" s="118" t="str">
        <f>IF(AL41="","",(COUNTIF($AG$2:$AG$105,"C")+COUNTIF($AL$2:$AL41,"C"))-(COUNTIF($AF$2:$AF$105,"C")+COUNTIF($AK$2:$AK41,"C"))+$AH$1)</f>
        <v/>
      </c>
      <c r="AN41" s="119" t="str">
        <f>IF(AL41="","",(COUNTIF($AG$2:$AG$105,"R")+COUNTIF($AL$2:$AL41,"R"))-(COUNTIF($AF$2:$AF$105,"R")+COUNTIF($AK$2:$AK41,"R"))+$AI$1)</f>
        <v/>
      </c>
      <c r="AO41" s="22">
        <f>IF(E41="","",COUNTA($E$3:E41)+$Z$1)</f>
        <v>134</v>
      </c>
      <c r="AP41" s="88">
        <f>IF(AO41="","",IF(AO41+Расчет!$Y$57+$BD$2-Расчет!$X$57&gt;200,AO41+Расчет!$Y$57+$BD$2-1000,AO41+Расчет!$Y$57+$BD$2))</f>
        <v>11204</v>
      </c>
      <c r="AR41" s="92"/>
      <c r="AS41" s="92"/>
      <c r="BL41" s="172">
        <f>COUNTIF($BM$5:BM41,"&lt;-115")</f>
        <v>0</v>
      </c>
      <c r="BM41" s="154">
        <f>IFERROR(IF(OR(IFERROR(VLOOKUP(BN41,$E$3:$E$105,1,FALSE),"0")=BN41,IFERROR(VLOOKUP(BN41,$R$3:$R$105,1,FALSE),"0")=BN41),BO41,IF(OR(VLOOKUP(BN41,Расчет!A:E,5,FALSE)="2PS",VLOOKUP(BN41,Расчет!A:E,5,FALSE)="2QL"),IF(VLOOKUP(BN41,Расчет!A:B,2,FALSE)="831W",BN41-$BS$7+$AD$17,BN41-$BS$7+$AD$12),BN41-$BS$7)),"-")</f>
        <v>5</v>
      </c>
      <c r="BN41" s="154">
        <f>IF(OR(Расчет!C38="A0",Расчет!C38="P9",Расчет!B38="722W"),"-",Расчет!A38)</f>
        <v>11183</v>
      </c>
      <c r="BO41" s="173">
        <f t="shared" si="14"/>
        <v>5</v>
      </c>
      <c r="BP41" s="172" t="str">
        <f>IF(BQ41="-","-",IFERROR(IF(OR(VLOOKUP(BN41,Расчет!$A$2:$E$582,5,FALSE)="2PS",VLOOKUP(BN41,Расчет!$A$2:$E$582,5,FALSE)="2QL"),IF(OR(VLOOKUP(BN41,Расчет!$A$2:$E$582,2,FALSE)="664W",VLOOKUP(BN41,Расчет!$A$2:$E$582,2,FALSE)="813W"),IF(BN41-$BS$7&gt;150,BN41-$BS$7-1000+$AD$12,BN41-$BS$7+$AD$12),IF(BN41-$BS$7&gt;150,BN41-$BS$7-1000+$AD$17,BN41-$BS$7+$AD$17)),IF(BN41-$BS$7&gt;150,BN41-$BS$7-1000,BN41-$BS$7)),"-"))</f>
        <v>-</v>
      </c>
      <c r="BQ41" s="173" t="str">
        <f t="shared" si="11"/>
        <v>-</v>
      </c>
      <c r="BR41" s="453"/>
      <c r="BS41" s="171"/>
      <c r="BT41" s="464" t="str">
        <f t="shared" si="12"/>
        <v>-</v>
      </c>
      <c r="BU41" s="464" t="str">
        <f t="shared" si="13"/>
        <v>-</v>
      </c>
      <c r="BX41" s="204">
        <f>COUNTIF($BY$4:BY41,"&lt;100")</f>
        <v>38</v>
      </c>
      <c r="BY41" s="213">
        <f t="shared" si="25"/>
        <v>0</v>
      </c>
      <c r="BZ41" s="216">
        <f t="shared" si="25"/>
        <v>0</v>
      </c>
      <c r="CA41" s="213">
        <f t="shared" si="5"/>
        <v>0</v>
      </c>
      <c r="CB41" s="209">
        <f t="shared" si="6"/>
        <v>0</v>
      </c>
      <c r="CC41" s="205">
        <f t="shared" si="15"/>
        <v>0</v>
      </c>
      <c r="CD41" s="205">
        <f t="shared" si="7"/>
        <v>21</v>
      </c>
      <c r="CE41" s="205">
        <f t="shared" si="16"/>
        <v>0</v>
      </c>
      <c r="CG41" s="20" t="str">
        <f t="shared" si="24"/>
        <v>Auto</v>
      </c>
    </row>
    <row r="42" spans="1:85" ht="23.1" customHeight="1" thickBot="1">
      <c r="A42" s="40">
        <f>IF(AND(IFERROR(VLOOKUP(E42,Расчет!A:J,10,FALSE),"  ")&lt;&gt;"  ",IFERROR(LEFT(VLOOKUP(E42,Расчет!A:J,10,FALSE),1)," ")&lt;&gt;"H"),0,IFERROR(IF(F42="Camry",IF(OR(J42="2PS",J42="2QL"),IF(E42-AP42&gt;100,E42-AP42-1000+$AD$12,E42-AP42+$AD$12),IF(E42-AP42&gt;100,E42-AP42-1000,E42-AP42)),IF(J42="2PS",IF(E42-AP42&gt;100,E42-AP42-1000+$AD$17,E42-AP42+$AD$17),IF(E42-AP42&gt;100,E42-AP42-1000,E42-AP42))),"-"))</f>
        <v>18</v>
      </c>
      <c r="B42" s="46">
        <v>40</v>
      </c>
      <c r="C42" s="19">
        <f>IF(E42="","",COUNTA($E$3:E42))</f>
        <v>40</v>
      </c>
      <c r="D42" s="18">
        <f t="shared" si="0"/>
        <v>135</v>
      </c>
      <c r="E42" s="30">
        <v>11223</v>
      </c>
      <c r="F42" s="44" t="str">
        <f>IFERROR(IF(VLOOKUP(E42,Расчет!$A$2:$B$650,2,FALSE)="664W","Camry",IF(VLOOKUP(E42,Расчет!$A$2:$B$650,2,FALSE)="813W","Goshi","RAV4")),"")</f>
        <v>RAV4</v>
      </c>
      <c r="G42" s="32" t="str">
        <f>IFERROR(IF(F42="Camry",VLOOKUP(E42,Расчет!$A$2:$Q$650,17,FALSE),VLOOKUP(E42,Расчет!$A$2:$R$650,18,FALSE)),"")</f>
        <v>Auto</v>
      </c>
      <c r="H42" s="32" t="str">
        <f>IFERROR(VLOOKUP(VLOOKUP(E42,Расчет!$A:$D,4,FALSE),$AT$6:$AV$15,3,FALSE),"")</f>
        <v>4WD</v>
      </c>
      <c r="I42" s="31" t="str">
        <f>IFERROR(VLOOKUP(IFERROR(VLOOKUP(E42,Расчет!$A$2:$D$650,4,FALSE),0),$AT$3:$AU$15,2,FALSE),"")</f>
        <v>2,5 L</v>
      </c>
      <c r="J42" s="33" t="str">
        <f>IFERROR(VLOOKUP(E42,Расчет!$A$2:$E$650,5,FALSE),"")</f>
        <v>218</v>
      </c>
      <c r="K42" s="189">
        <v>0.80172453703703705</v>
      </c>
      <c r="L42" s="188">
        <f>K42-K41</f>
        <v>1.1342592592592626E-2</v>
      </c>
      <c r="M42" s="38"/>
      <c r="N42" s="40" t="str">
        <f>IF(AND(IFERROR(VLOOKUP(R42,Расчет!A:J,10,FALSE),"  ")&lt;&gt;"  ",IFERROR(LEFT(VLOOKUP(R42,Расчет!A:J,10,FALSE),1)," ")&lt;&gt;"H"),0,IFERROR(IF(S42="Camry",IF(OR(W42="2PS",W42="2QL"),IF(R42-AP145&gt;100,R42-AP145-1000+$AD$12,R42-AP145+$AD$12),IF(R42-AP145&gt;100,R42-AP145-1000,R42-AP145)),IF(W42="2PS",IF(R42-AP145&gt;100,R42-AP145-1000+$AD$17,R42-AP145+$AD$17),IF(R42-AP145&gt;100,R42-AP145-1000,R42-AP145))),"-"))</f>
        <v>-</v>
      </c>
      <c r="O42" s="46">
        <v>143</v>
      </c>
      <c r="P42" s="19" t="str">
        <f>IF(R42="","",COUNTA($R$3:R42)+$C$105)</f>
        <v/>
      </c>
      <c r="Q42" s="18" t="str">
        <f t="shared" si="1"/>
        <v/>
      </c>
      <c r="R42" s="30"/>
      <c r="S42" s="45" t="str">
        <f>IFERROR(IF(VLOOKUP(R42,Расчет!$A$2:$B$650,2,FALSE)="664W","Camry",IF(VLOOKUP(R42,Расчет!$A$2:$B$650,2,FALSE)="813W","Goshi","RAV4")),"")</f>
        <v/>
      </c>
      <c r="T42" s="32" t="str">
        <f>IFERROR(IF(S42="Camry",VLOOKUP(R42,Расчет!$A$2:$Q$650,17,FALSE),VLOOKUP(R42,Расчет!$A$2:$R$650,18,FALSE)),"")</f>
        <v/>
      </c>
      <c r="U42" s="32" t="str">
        <f>IFERROR(VLOOKUP(VLOOKUP(R42,Расчет!$A:$D,4,FALSE),$AT$6:$AV$15,3,FALSE),"")</f>
        <v/>
      </c>
      <c r="V42" s="31" t="str">
        <f>IFERROR(VLOOKUP(IFERROR(VLOOKUP(R42,Расчет!$A$2:$D$650,4,FALSE),0),$AT$3:$AU$15,2,FALSE),"")</f>
        <v/>
      </c>
      <c r="W42" s="33" t="str">
        <f>IFERROR(VLOOKUP(R42,Расчет!$A$2:$E$650,5,FALSE),"")</f>
        <v/>
      </c>
      <c r="X42" s="189"/>
      <c r="Y42" s="191">
        <f t="shared" si="10"/>
        <v>0</v>
      </c>
      <c r="Z42" s="734" t="s">
        <v>36</v>
      </c>
      <c r="AA42" s="735"/>
      <c r="AB42" s="146" t="s">
        <v>132</v>
      </c>
      <c r="AC42" s="439" t="s">
        <v>26</v>
      </c>
      <c r="AD42" s="146" t="s">
        <v>27</v>
      </c>
      <c r="AE42" s="195">
        <v>40</v>
      </c>
      <c r="AF42" s="44" t="str">
        <f>IF(VLOOKUP(AE42,Расчет!$AH$2:$AN$201,5,FALSE)="8","C",IF(VLOOKUP(AE42,Расчет!$AH$2:$AN$201,5,FALSE)="G","G","R"))</f>
        <v>R</v>
      </c>
      <c r="AG42" s="73" t="str">
        <f t="shared" si="2"/>
        <v>R</v>
      </c>
      <c r="AH42" s="87">
        <f>IF(AG42="","",COUNTIF($AG$2:AG42,"C")-COUNTIF($AF$2:AF42,"C")+$AH$1)</f>
        <v>0</v>
      </c>
      <c r="AI42" s="87">
        <f>IF(AG42="","",COUNTIF($AG$2:AG42,"R")-COUNTIF($AF$2:AF42,"R")+$AI$1)</f>
        <v>0</v>
      </c>
      <c r="AJ42" s="89">
        <v>143</v>
      </c>
      <c r="AK42" s="44" t="str">
        <f>IF(VLOOKUP(AJ42,Расчет!$AH$2:$AN$211,5,FALSE)="8","C",IF(VLOOKUP(AJ42,Расчет!$AH$2:$AN$211,5,FALSE)="G","G","R"))</f>
        <v>C</v>
      </c>
      <c r="AL42" s="74" t="str">
        <f t="shared" si="3"/>
        <v/>
      </c>
      <c r="AM42" s="118" t="str">
        <f>IF(AL42="","",(COUNTIF($AG$2:$AG$105,"C")+COUNTIF($AL$2:$AL42,"C"))-(COUNTIF($AF$2:$AF$105,"C")+COUNTIF($AK$2:$AK42,"C"))+$AH$1)</f>
        <v/>
      </c>
      <c r="AN42" s="119" t="str">
        <f>IF(AL42="","",(COUNTIF($AG$2:$AG$105,"R")+COUNTIF($AL$2:$AL42,"R"))-(COUNTIF($AF$2:$AF$105,"R")+COUNTIF($AK$2:$AK42,"R"))+$AI$1)</f>
        <v/>
      </c>
      <c r="AO42" s="22">
        <f>IF(E42="","",COUNTA($E$3:E42)+$Z$1)</f>
        <v>135</v>
      </c>
      <c r="AP42" s="88">
        <f>IF(AO42="","",IF(AO42+Расчет!$Y$57+$BD$2-Расчет!$X$57&gt;200,AO42+Расчет!$Y$57+$BD$2-1000,AO42+Расчет!$Y$57+$BD$2))</f>
        <v>11205</v>
      </c>
      <c r="AR42" s="92"/>
      <c r="AS42" s="92"/>
      <c r="BL42" s="172">
        <f>COUNTIF($BM$5:BM42,"&lt;-115")</f>
        <v>0</v>
      </c>
      <c r="BM42" s="154" t="str">
        <f>IFERROR(IF(OR(IFERROR(VLOOKUP(BN42,$E$3:$E$105,1,FALSE),"0")=BN42,IFERROR(VLOOKUP(BN42,$R$3:$R$105,1,FALSE),"0")=BN42),BO42,IF(OR(VLOOKUP(BN42,Расчет!A:E,5,FALSE)="2PS",VLOOKUP(BN42,Расчет!A:E,5,FALSE)="2QL"),IF(VLOOKUP(BN42,Расчет!A:B,2,FALSE)="831W",BN42-$BS$7+$AD$17,BN42-$BS$7+$AD$12),BN42-$BS$7)),"-")</f>
        <v>-</v>
      </c>
      <c r="BN42" s="154" t="str">
        <f>IF(OR(Расчет!C39="A0",Расчет!C39="P9",Расчет!B39="722W"),"-",Расчет!A39)</f>
        <v>-</v>
      </c>
      <c r="BO42" s="173">
        <f t="shared" si="14"/>
        <v>0</v>
      </c>
      <c r="BP42" s="172" t="str">
        <f>IF(BQ42="-","-",IFERROR(IF(OR(VLOOKUP(BN42,Расчет!$A$2:$E$582,5,FALSE)="2PS",VLOOKUP(BN42,Расчет!$A$2:$E$582,5,FALSE)="2QL"),IF(OR(VLOOKUP(BN42,Расчет!$A$2:$E$582,2,FALSE)="664W",VLOOKUP(BN42,Расчет!$A$2:$E$582,2,FALSE)="813W"),IF(BN42-$BS$7&gt;150,BN42-$BS$7-1000+$AD$12,BN42-$BS$7+$AD$12),IF(BN42-$BS$7&gt;150,BN42-$BS$7-1000+$AD$17,BN42-$BS$7+$AD$17)),IF(BN42-$BS$7&gt;150,BN42-$BS$7-1000,BN42-$BS$7)),"-"))</f>
        <v>-</v>
      </c>
      <c r="BQ42" s="173" t="str">
        <f t="shared" si="11"/>
        <v>-</v>
      </c>
      <c r="BR42" s="453"/>
      <c r="BS42" s="171"/>
      <c r="BT42" s="464" t="str">
        <f t="shared" si="12"/>
        <v>-</v>
      </c>
      <c r="BU42" s="464" t="str">
        <f t="shared" si="13"/>
        <v>-</v>
      </c>
      <c r="BX42" s="204">
        <f>COUNTIF($BY$4:BY42,"&lt;100")</f>
        <v>39</v>
      </c>
      <c r="BY42" s="213">
        <f t="shared" si="25"/>
        <v>0</v>
      </c>
      <c r="BZ42" s="216">
        <f t="shared" si="25"/>
        <v>0</v>
      </c>
      <c r="CA42" s="213">
        <f t="shared" si="5"/>
        <v>0</v>
      </c>
      <c r="CB42" s="209">
        <f t="shared" si="6"/>
        <v>0</v>
      </c>
      <c r="CC42" s="205">
        <f t="shared" si="15"/>
        <v>0</v>
      </c>
      <c r="CD42" s="205">
        <f t="shared" si="7"/>
        <v>17</v>
      </c>
      <c r="CE42" s="205">
        <f t="shared" si="16"/>
        <v>0</v>
      </c>
      <c r="CG42" s="20" t="str">
        <f t="shared" si="24"/>
        <v>Standard</v>
      </c>
    </row>
    <row r="43" spans="1:85" ht="23.1" customHeight="1">
      <c r="A43" s="40">
        <f>IF(AND(IFERROR(VLOOKUP(E43,Расчет!A:J,10,FALSE),"  ")&lt;&gt;"  ",IFERROR(LEFT(VLOOKUP(E43,Расчет!A:J,10,FALSE),1)," ")&lt;&gt;"H"),0,IFERROR(IF(F43="Camry",IF(OR(J43="2PS",J43="2QL"),IF(E43-AP43&gt;100,E43-AP43-1000+$AD$12,E43-AP43+$AD$12),IF(E43-AP43&gt;100,E43-AP43-1000,E43-AP43)),IF(J43="2PS",IF(E43-AP43&gt;100,E43-AP43-1000+$AD$17,E43-AP43+$AD$17),IF(E43-AP43&gt;100,E43-AP43-1000,E43-AP43))),"-"))</f>
        <v>-12</v>
      </c>
      <c r="B43" s="46">
        <v>41</v>
      </c>
      <c r="C43" s="19">
        <f>IF(E43="","",COUNTA($E$3:E43))</f>
        <v>41</v>
      </c>
      <c r="D43" s="18">
        <f t="shared" si="0"/>
        <v>136</v>
      </c>
      <c r="E43" s="30">
        <v>11194</v>
      </c>
      <c r="F43" s="44" t="str">
        <f>IFERROR(IF(VLOOKUP(E43,Расчет!$A$2:$B$650,2,FALSE)="664W","Camry",IF(VLOOKUP(E43,Расчет!$A$2:$B$650,2,FALSE)="813W","Goshi","RAV4")),"")</f>
        <v>Camry</v>
      </c>
      <c r="G43" s="32" t="str">
        <f>IFERROR(IF(F43="Camry",VLOOKUP(E43,Расчет!$A$2:$Q$650,17,FALSE),VLOOKUP(E43,Расчет!$A$2:$R$650,18,FALSE)),"")</f>
        <v>Standard</v>
      </c>
      <c r="H43" s="32" t="str">
        <f>IFERROR(VLOOKUP(VLOOKUP(E43,Расчет!$A:$D,4,FALSE),$AT$6:$AV$15,3,FALSE),"")</f>
        <v/>
      </c>
      <c r="I43" s="31" t="str">
        <f>IFERROR(VLOOKUP(IFERROR(VLOOKUP(E43,Расчет!$A$2:$D$650,4,FALSE),0),$AT$3:$AU$15,2,FALSE),"")</f>
        <v>2,5 L</v>
      </c>
      <c r="J43" s="33" t="str">
        <f>IFERROR(VLOOKUP(E43,Расчет!$A$2:$E$650,5,FALSE),"")</f>
        <v>089</v>
      </c>
      <c r="K43" s="189">
        <v>0.80334490740740738</v>
      </c>
      <c r="L43" s="188">
        <f t="shared" si="9"/>
        <v>1.6203703703703276E-3</v>
      </c>
      <c r="M43" s="38"/>
      <c r="N43" s="40" t="str">
        <f>IF(AND(IFERROR(VLOOKUP(R43,Расчет!A:J,10,FALSE),"  ")&lt;&gt;"  ",IFERROR(LEFT(VLOOKUP(R43,Расчет!A:J,10,FALSE),1)," ")&lt;&gt;"H"),0,IFERROR(IF(S43="Camry",IF(OR(W43="2PS",W43="2QL"),IF(R43-AP146&gt;100,R43-AP146-1000+$AD$12,R43-AP146+$AD$12),IF(R43-AP146&gt;100,R43-AP146-1000,R43-AP146)),IF(W43="2PS",IF(R43-AP146&gt;100,R43-AP146-1000+$AD$17,R43-AP146+$AD$17),IF(R43-AP146&gt;100,R43-AP146-1000,R43-AP146))),"-"))</f>
        <v>-</v>
      </c>
      <c r="O43" s="46">
        <v>144</v>
      </c>
      <c r="P43" s="19" t="str">
        <f>IF(R43="","",COUNTA($R$3:R43)+$C$105)</f>
        <v/>
      </c>
      <c r="Q43" s="18" t="str">
        <f t="shared" si="1"/>
        <v/>
      </c>
      <c r="R43" s="30"/>
      <c r="S43" s="45" t="str">
        <f>IFERROR(IF(VLOOKUP(R43,Расчет!$A$2:$B$650,2,FALSE)="664W","Camry",IF(VLOOKUP(R43,Расчет!$A$2:$B$650,2,FALSE)="813W","Goshi","RAV4")),"")</f>
        <v/>
      </c>
      <c r="T43" s="32" t="str">
        <f>IFERROR(IF(S43="Camry",VLOOKUP(R43,Расчет!$A$2:$Q$650,17,FALSE),VLOOKUP(R43,Расчет!$A$2:$R$650,18,FALSE)),"")</f>
        <v/>
      </c>
      <c r="U43" s="32" t="str">
        <f>IFERROR(VLOOKUP(VLOOKUP(R43,Расчет!$A:$D,4,FALSE),$AT$6:$AV$15,3,FALSE),"")</f>
        <v/>
      </c>
      <c r="V43" s="31" t="str">
        <f>IFERROR(VLOOKUP(IFERROR(VLOOKUP(R43,Расчет!$A$2:$D$650,4,FALSE),0),$AT$3:$AU$15,2,FALSE),"")</f>
        <v/>
      </c>
      <c r="W43" s="33" t="str">
        <f>IFERROR(VLOOKUP(R43,Расчет!$A$2:$E$650,5,FALSE),"")</f>
        <v/>
      </c>
      <c r="X43" s="189"/>
      <c r="Y43" s="191">
        <f t="shared" si="10"/>
        <v>0</v>
      </c>
      <c r="Z43" s="524" t="s">
        <v>1163</v>
      </c>
      <c r="AA43" s="525"/>
      <c r="AB43" s="245" t="str">
        <f>IFERROR(VLOOKUP(AC43,Расчет!$BS:$BT,2,FALSE),"")</f>
        <v>P1</v>
      </c>
      <c r="AC43" s="226">
        <v>11308</v>
      </c>
      <c r="AD43" s="419" t="str">
        <f>IFERROR(IF(VLOOKUP(AC43,Расчет!$A$2:$B$350,2,FALSE)="664W","Camry","RAV4"),"-")</f>
        <v>Camry</v>
      </c>
      <c r="AE43" s="195">
        <v>41</v>
      </c>
      <c r="AF43" s="44" t="str">
        <f>IF(VLOOKUP(AE43,Расчет!$AH$2:$AN$201,5,FALSE)="8","C",IF(VLOOKUP(AE43,Расчет!$AH$2:$AN$201,5,FALSE)="G","G","R"))</f>
        <v>C</v>
      </c>
      <c r="AG43" s="73" t="str">
        <f t="shared" si="2"/>
        <v>C</v>
      </c>
      <c r="AH43" s="87">
        <f>IF(AG43="","",COUNTIF($AG$2:AG43,"C")-COUNTIF($AF$2:AF43,"C")+$AH$1)</f>
        <v>0</v>
      </c>
      <c r="AI43" s="87">
        <f>IF(AG43="","",COUNTIF($AG$2:AG43,"R")-COUNTIF($AF$2:AF43,"R")+$AI$1)</f>
        <v>0</v>
      </c>
      <c r="AJ43" s="89">
        <v>144</v>
      </c>
      <c r="AK43" s="44" t="str">
        <f>IF(VLOOKUP(AJ43,Расчет!$AH$2:$AN$211,5,FALSE)="8","C",IF(VLOOKUP(AJ43,Расчет!$AH$2:$AN$211,5,FALSE)="G","G","R"))</f>
        <v>R</v>
      </c>
      <c r="AL43" s="74" t="str">
        <f t="shared" si="3"/>
        <v/>
      </c>
      <c r="AM43" s="118" t="str">
        <f>IF(AL43="","",(COUNTIF($AG$2:$AG$105,"C")+COUNTIF($AL$2:$AL43,"C"))-(COUNTIF($AF$2:$AF$105,"C")+COUNTIF($AK$2:$AK43,"C"))+$AH$1)</f>
        <v/>
      </c>
      <c r="AN43" s="119" t="str">
        <f>IF(AL43="","",(COUNTIF($AG$2:$AG$105,"R")+COUNTIF($AL$2:$AL43,"R"))-(COUNTIF($AF$2:$AF$105,"R")+COUNTIF($AK$2:$AK43,"R"))+$AI$1)</f>
        <v/>
      </c>
      <c r="AO43" s="22">
        <f>IF(E43="","",COUNTA($E$3:E43)+$Z$1)</f>
        <v>136</v>
      </c>
      <c r="AP43" s="88">
        <f>IF(AO43="","",IF(AO43+Расчет!$Y$57+$BD$2-Расчет!$X$57&gt;200,AO43+Расчет!$Y$57+$BD$2-1000,AO43+Расчет!$Y$57+$BD$2))</f>
        <v>11206</v>
      </c>
      <c r="AR43" s="92"/>
      <c r="AS43" s="92"/>
      <c r="BL43" s="172">
        <f>COUNTIF($BM$5:BM43,"&lt;-115")</f>
        <v>0</v>
      </c>
      <c r="BM43" s="154">
        <f>IFERROR(IF(OR(IFERROR(VLOOKUP(BN43,$E$3:$E$105,1,FALSE),"0")=BN43,IFERROR(VLOOKUP(BN43,$R$3:$R$105,1,FALSE),"0")=BN43),BO43,IF(OR(VLOOKUP(BN43,Расчет!A:E,5,FALSE)="2PS",VLOOKUP(BN43,Расчет!A:E,5,FALSE)="2QL"),IF(VLOOKUP(BN43,Расчет!A:B,2,FALSE)="831W",BN43-$BS$7+$AD$17,BN43-$BS$7+$AD$12),BN43-$BS$7)),"-")</f>
        <v>5</v>
      </c>
      <c r="BN43" s="154">
        <f>IF(OR(Расчет!C40="A0",Расчет!C40="P9",Расчет!B40="722W"),"-",Расчет!A40)</f>
        <v>11185</v>
      </c>
      <c r="BO43" s="173">
        <f t="shared" si="14"/>
        <v>5</v>
      </c>
      <c r="BP43" s="172" t="str">
        <f>IF(BQ43="-","-",IFERROR(IF(OR(VLOOKUP(BN43,Расчет!$A$2:$E$582,5,FALSE)="2PS",VLOOKUP(BN43,Расчет!$A$2:$E$582,5,FALSE)="2QL"),IF(OR(VLOOKUP(BN43,Расчет!$A$2:$E$582,2,FALSE)="664W",VLOOKUP(BN43,Расчет!$A$2:$E$582,2,FALSE)="813W"),IF(BN43-$BS$7&gt;150,BN43-$BS$7-1000+$AD$12,BN43-$BS$7+$AD$12),IF(BN43-$BS$7&gt;150,BN43-$BS$7-1000+$AD$17,BN43-$BS$7+$AD$17)),IF(BN43-$BS$7&gt;150,BN43-$BS$7-1000,BN43-$BS$7)),"-"))</f>
        <v>-</v>
      </c>
      <c r="BQ43" s="173" t="str">
        <f t="shared" si="11"/>
        <v>-</v>
      </c>
      <c r="BR43" s="453"/>
      <c r="BS43" s="171"/>
      <c r="BT43" s="464" t="str">
        <f t="shared" si="12"/>
        <v>-</v>
      </c>
      <c r="BU43" s="464" t="str">
        <f t="shared" si="13"/>
        <v>-</v>
      </c>
      <c r="BX43" s="204">
        <f>COUNTIF($BY$4:BY43,"&lt;100")</f>
        <v>40</v>
      </c>
      <c r="BY43" s="213">
        <f t="shared" si="25"/>
        <v>0</v>
      </c>
      <c r="BZ43" s="216">
        <f t="shared" si="25"/>
        <v>0</v>
      </c>
      <c r="CA43" s="213">
        <f t="shared" si="5"/>
        <v>0</v>
      </c>
      <c r="CB43" s="209">
        <f t="shared" si="6"/>
        <v>0</v>
      </c>
      <c r="CC43" s="205">
        <f t="shared" si="15"/>
        <v>0</v>
      </c>
      <c r="CD43" s="205">
        <f t="shared" si="7"/>
        <v>18</v>
      </c>
      <c r="CE43" s="205">
        <f t="shared" si="16"/>
        <v>0</v>
      </c>
      <c r="CG43" s="20" t="str">
        <f t="shared" si="24"/>
        <v>CVT</v>
      </c>
    </row>
    <row r="44" spans="1:85" ht="23.1" customHeight="1">
      <c r="A44" s="40">
        <f>IF(AND(IFERROR(VLOOKUP(E44,Расчет!A:J,10,FALSE),"  ")&lt;&gt;"  ",IFERROR(LEFT(VLOOKUP(E44,Расчет!A:J,10,FALSE),1)," ")&lt;&gt;"H"),0,IFERROR(IF(F44="Camry",IF(OR(J44="2PS",J44="2QL"),IF(E44-AP44&gt;100,E44-AP44-1000+$AD$12,E44-AP44+$AD$12),IF(E44-AP44&gt;100,E44-AP44-1000,E44-AP44)),IF(J44="2PS",IF(E44-AP44&gt;100,E44-AP44-1000+$AD$17,E44-AP44+$AD$17),IF(E44-AP44&gt;100,E44-AP44-1000,E44-AP44))),"-"))</f>
        <v>18</v>
      </c>
      <c r="B44" s="46">
        <v>42</v>
      </c>
      <c r="C44" s="19">
        <f>IF(E44="","",COUNTA($E$3:E44))</f>
        <v>42</v>
      </c>
      <c r="D44" s="18">
        <f t="shared" si="0"/>
        <v>137</v>
      </c>
      <c r="E44" s="30">
        <v>11225</v>
      </c>
      <c r="F44" s="44" t="str">
        <f>IFERROR(IF(VLOOKUP(E44,Расчет!$A$2:$B$650,2,FALSE)="664W","Camry",IF(VLOOKUP(E44,Расчет!$A$2:$B$650,2,FALSE)="813W","Goshi","RAV4")),"")</f>
        <v>RAV4</v>
      </c>
      <c r="G44" s="32" t="str">
        <f>IFERROR(IF(F44="Camry",VLOOKUP(E44,Расчет!$A$2:$Q$650,17,FALSE),VLOOKUP(E44,Расчет!$A$2:$R$650,18,FALSE)),"")</f>
        <v>CVT</v>
      </c>
      <c r="H44" s="32" t="str">
        <f>IFERROR(VLOOKUP(VLOOKUP(E44,Расчет!$A:$D,4,FALSE),$AT$6:$AV$15,3,FALSE),"")</f>
        <v>4WD</v>
      </c>
      <c r="I44" s="31" t="str">
        <f>IFERROR(VLOOKUP(IFERROR(VLOOKUP(E44,Расчет!$A$2:$D$650,4,FALSE),0),$AT$3:$AU$15,2,FALSE),"")</f>
        <v>2,0 L</v>
      </c>
      <c r="J44" s="33" t="str">
        <f>IFERROR(VLOOKUP(E44,Расчет!$A$2:$E$650,5,FALSE),"")</f>
        <v>089</v>
      </c>
      <c r="K44" s="189">
        <v>0.80494212962962963</v>
      </c>
      <c r="L44" s="188">
        <f t="shared" si="9"/>
        <v>1.5972222222222499E-3</v>
      </c>
      <c r="M44" s="38"/>
      <c r="N44" s="40" t="str">
        <f>IF(AND(IFERROR(VLOOKUP(R44,Расчет!A:J,10,FALSE),"  ")&lt;&gt;"  ",IFERROR(LEFT(VLOOKUP(R44,Расчет!A:J,10,FALSE),1)," ")&lt;&gt;"H"),0,IFERROR(IF(S44="Camry",IF(OR(W44="2PS",W44="2QL"),IF(R44-AP147&gt;100,R44-AP147-1000+$AD$12,R44-AP147+$AD$12),IF(R44-AP147&gt;100,R44-AP147-1000,R44-AP147)),IF(W44="2PS",IF(R44-AP147&gt;100,R44-AP147-1000+$AD$17,R44-AP147+$AD$17),IF(R44-AP147&gt;100,R44-AP147-1000,R44-AP147))),"-"))</f>
        <v>-</v>
      </c>
      <c r="O44" s="46">
        <v>145</v>
      </c>
      <c r="P44" s="19" t="str">
        <f>IF(R44="","",COUNTA($R$3:R44)+$C$105)</f>
        <v/>
      </c>
      <c r="Q44" s="18" t="str">
        <f t="shared" si="1"/>
        <v/>
      </c>
      <c r="R44" s="30"/>
      <c r="S44" s="45" t="str">
        <f>IFERROR(IF(VLOOKUP(R44,Расчет!$A$2:$B$650,2,FALSE)="664W","Camry",IF(VLOOKUP(R44,Расчет!$A$2:$B$650,2,FALSE)="813W","Goshi","RAV4")),"")</f>
        <v/>
      </c>
      <c r="T44" s="32" t="str">
        <f>IFERROR(IF(S44="Camry",VLOOKUP(R44,Расчет!$A$2:$Q$650,17,FALSE),VLOOKUP(R44,Расчет!$A$2:$R$650,18,FALSE)),"")</f>
        <v/>
      </c>
      <c r="U44" s="32" t="str">
        <f>IFERROR(VLOOKUP(VLOOKUP(R44,Расчет!$A:$D,4,FALSE),$AT$6:$AV$15,3,FALSE),"")</f>
        <v/>
      </c>
      <c r="V44" s="31" t="str">
        <f>IFERROR(VLOOKUP(IFERROR(VLOOKUP(R44,Расчет!$A$2:$D$650,4,FALSE),0),$AT$3:$AU$15,2,FALSE),"")</f>
        <v/>
      </c>
      <c r="W44" s="33" t="str">
        <f>IFERROR(VLOOKUP(R44,Расчет!$A$2:$E$650,5,FALSE),"")</f>
        <v/>
      </c>
      <c r="X44" s="189"/>
      <c r="Y44" s="191">
        <f t="shared" si="10"/>
        <v>0</v>
      </c>
      <c r="Z44" s="524"/>
      <c r="AA44" s="525"/>
      <c r="AB44" s="420" t="str">
        <f>IFERROR(VLOOKUP(AC44,Расчет!$BS:$BT,2,FALSE),"")</f>
        <v/>
      </c>
      <c r="AC44" s="193"/>
      <c r="AD44" s="196" t="str">
        <f>IFERROR(IF(VLOOKUP(AC44,Расчет!$A$2:$B$350,2,FALSE)="664W","Camry","RAV4"),"-")</f>
        <v>-</v>
      </c>
      <c r="AE44" s="195">
        <v>42</v>
      </c>
      <c r="AF44" s="44" t="str">
        <f>IF(VLOOKUP(AE44,Расчет!$AH$2:$AN$201,5,FALSE)="8","C",IF(VLOOKUP(AE44,Расчет!$AH$2:$AN$201,5,FALSE)="G","G","R"))</f>
        <v>R</v>
      </c>
      <c r="AG44" s="73" t="str">
        <f t="shared" si="2"/>
        <v>R</v>
      </c>
      <c r="AH44" s="87">
        <f>IF(AG44="","",COUNTIF($AG$2:AG44,"C")-COUNTIF($AF$2:AF44,"C")+$AH$1)</f>
        <v>0</v>
      </c>
      <c r="AI44" s="87">
        <f>IF(AG44="","",COUNTIF($AG$2:AG44,"R")-COUNTIF($AF$2:AF44,"R")+$AI$1)</f>
        <v>0</v>
      </c>
      <c r="AJ44" s="89">
        <v>145</v>
      </c>
      <c r="AK44" s="44" t="str">
        <f>IF(VLOOKUP(AJ44,Расчет!$AH$2:$AN$211,5,FALSE)="8","C",IF(VLOOKUP(AJ44,Расчет!$AH$2:$AN$211,5,FALSE)="G","G","R"))</f>
        <v>R</v>
      </c>
      <c r="AL44" s="74" t="str">
        <f t="shared" si="3"/>
        <v/>
      </c>
      <c r="AM44" s="118" t="str">
        <f>IF(AL44="","",(COUNTIF($AG$2:$AG$105,"C")+COUNTIF($AL$2:$AL44,"C"))-(COUNTIF($AF$2:$AF$105,"C")+COUNTIF($AK$2:$AK44,"C"))+$AH$1)</f>
        <v/>
      </c>
      <c r="AN44" s="119" t="str">
        <f>IF(AL44="","",(COUNTIF($AG$2:$AG$105,"R")+COUNTIF($AL$2:$AL44,"R"))-(COUNTIF($AF$2:$AF$105,"R")+COUNTIF($AK$2:$AK44,"R"))+$AI$1)</f>
        <v/>
      </c>
      <c r="AO44" s="22">
        <f>IF(E44="","",COUNTA($E$3:E44)+$Z$1)</f>
        <v>137</v>
      </c>
      <c r="AP44" s="88">
        <f>IF(AO44="","",IF(AO44+Расчет!$Y$57+$BD$2-Расчет!$X$57&gt;200,AO44+Расчет!$Y$57+$BD$2-1000,AO44+Расчет!$Y$57+$BD$2))</f>
        <v>11207</v>
      </c>
      <c r="AR44" s="92"/>
      <c r="AS44" s="92"/>
      <c r="BL44" s="172">
        <f>COUNTIF($BM$5:BM44,"&lt;-115")</f>
        <v>0</v>
      </c>
      <c r="BM44" s="154" t="str">
        <f>IFERROR(IF(OR(IFERROR(VLOOKUP(BN44,$E$3:$E$105,1,FALSE),"0")=BN44,IFERROR(VLOOKUP(BN44,$R$3:$R$105,1,FALSE),"0")=BN44),BO44,IF(OR(VLOOKUP(BN44,Расчет!A:E,5,FALSE)="2PS",VLOOKUP(BN44,Расчет!A:E,5,FALSE)="2QL"),IF(VLOOKUP(BN44,Расчет!A:B,2,FALSE)="831W",BN44-$BS$7+$AD$17,BN44-$BS$7+$AD$12),BN44-$BS$7)),"-")</f>
        <v>-</v>
      </c>
      <c r="BN44" s="154" t="str">
        <f>IF(OR(Расчет!C41="A0",Расчет!C41="P9",Расчет!B41="722W"),"-",Расчет!A41)</f>
        <v>-</v>
      </c>
      <c r="BO44" s="173">
        <f t="shared" si="14"/>
        <v>0</v>
      </c>
      <c r="BP44" s="172" t="str">
        <f>IF(BQ44="-","-",IFERROR(IF(OR(VLOOKUP(BN44,Расчет!$A$2:$E$582,5,FALSE)="2PS",VLOOKUP(BN44,Расчет!$A$2:$E$582,5,FALSE)="2QL"),IF(OR(VLOOKUP(BN44,Расчет!$A$2:$E$582,2,FALSE)="664W",VLOOKUP(BN44,Расчет!$A$2:$E$582,2,FALSE)="813W"),IF(BN44-$BS$7&gt;150,BN44-$BS$7-1000+$AD$12,BN44-$BS$7+$AD$12),IF(BN44-$BS$7&gt;150,BN44-$BS$7-1000+$AD$17,BN44-$BS$7+$AD$17)),IF(BN44-$BS$7&gt;150,BN44-$BS$7-1000,BN44-$BS$7)),"-"))</f>
        <v>-</v>
      </c>
      <c r="BQ44" s="173" t="str">
        <f t="shared" si="11"/>
        <v>-</v>
      </c>
      <c r="BR44" s="453"/>
      <c r="BS44" s="171"/>
      <c r="BT44" s="464" t="str">
        <f t="shared" si="12"/>
        <v>-</v>
      </c>
      <c r="BU44" s="464" t="str">
        <f t="shared" si="13"/>
        <v>-</v>
      </c>
      <c r="BX44" s="204">
        <f>COUNTIF($BY$4:BY44,"&lt;100")</f>
        <v>41</v>
      </c>
      <c r="BY44" s="213">
        <f t="shared" si="25"/>
        <v>0</v>
      </c>
      <c r="BZ44" s="216">
        <f t="shared" si="25"/>
        <v>0</v>
      </c>
      <c r="CA44" s="213">
        <f t="shared" si="5"/>
        <v>0</v>
      </c>
      <c r="CB44" s="209">
        <f t="shared" si="6"/>
        <v>0</v>
      </c>
      <c r="CC44" s="205">
        <f t="shared" si="15"/>
        <v>0</v>
      </c>
      <c r="CD44" s="205">
        <f t="shared" si="7"/>
        <v>-12</v>
      </c>
      <c r="CE44" s="205">
        <f t="shared" si="16"/>
        <v>0</v>
      </c>
      <c r="CG44" s="20" t="str">
        <f t="shared" si="24"/>
        <v>CVT</v>
      </c>
    </row>
    <row r="45" spans="1:85" ht="23.1" customHeight="1">
      <c r="A45" s="40">
        <f>IF(AND(IFERROR(VLOOKUP(E45,Расчет!A:J,10,FALSE),"  ")&lt;&gt;"  ",IFERROR(LEFT(VLOOKUP(E45,Расчет!A:J,10,FALSE),1)," ")&lt;&gt;"H"),0,IFERROR(IF(F45="Camry",IF(OR(J45="2PS",J45="2QL"),IF(E45-AP45&gt;100,E45-AP45-1000+$AD$12,E45-AP45+$AD$12),IF(E45-AP45&gt;100,E45-AP45-1000,E45-AP45)),IF(J45="2PS",IF(E45-AP45&gt;100,E45-AP45-1000+$AD$17,E45-AP45+$AD$17),IF(E45-AP45&gt;100,E45-AP45-1000,E45-AP45))),"-"))</f>
        <v>0</v>
      </c>
      <c r="B45" s="46">
        <v>43</v>
      </c>
      <c r="C45" s="19">
        <f>IF(E45="","",COUNTA($E$3:E45))</f>
        <v>43</v>
      </c>
      <c r="D45" s="18">
        <f t="shared" si="0"/>
        <v>138</v>
      </c>
      <c r="E45" s="30">
        <v>11208</v>
      </c>
      <c r="F45" s="44" t="str">
        <f>IFERROR(IF(VLOOKUP(E45,Расчет!$A$2:$B$650,2,FALSE)="664W","Camry",IF(VLOOKUP(E45,Расчет!$A$2:$B$650,2,FALSE)="813W","Goshi","RAV4")),"")</f>
        <v>Camry</v>
      </c>
      <c r="G45" s="32" t="str">
        <f>IFERROR(IF(F45="Camry",VLOOKUP(E45,Расчет!$A$2:$Q$650,17,FALSE),VLOOKUP(E45,Расчет!$A$2:$R$650,18,FALSE)),"")</f>
        <v>Standard</v>
      </c>
      <c r="H45" s="32" t="str">
        <f>IFERROR(VLOOKUP(VLOOKUP(E45,Расчет!$A:$D,4,FALSE),$AT$6:$AV$15,3,FALSE),"")</f>
        <v/>
      </c>
      <c r="I45" s="31" t="str">
        <f>IFERROR(VLOOKUP(IFERROR(VLOOKUP(E45,Расчет!$A$2:$D$650,4,FALSE),0),$AT$3:$AU$15,2,FALSE),"")</f>
        <v>2,5 L</v>
      </c>
      <c r="J45" s="33" t="str">
        <f>IFERROR(VLOOKUP(E45,Расчет!$A$2:$E$650,5,FALSE),"")</f>
        <v>218</v>
      </c>
      <c r="K45" s="189">
        <v>0.80699074074074073</v>
      </c>
      <c r="L45" s="188">
        <f t="shared" si="9"/>
        <v>2.0486111111110983E-3</v>
      </c>
      <c r="M45" s="38"/>
      <c r="N45" s="40" t="str">
        <f>IF(AND(IFERROR(VLOOKUP(R45,Расчет!A:J,10,FALSE),"  ")&lt;&gt;"  ",IFERROR(LEFT(VLOOKUP(R45,Расчет!A:J,10,FALSE),1)," ")&lt;&gt;"H"),0,IFERROR(IF(S45="Camry",IF(OR(W45="2PS",W45="2QL"),IF(R45-AP148&gt;100,R45-AP148-1000+$AD$12,R45-AP148+$AD$12),IF(R45-AP148&gt;100,R45-AP148-1000,R45-AP148)),IF(W45="2PS",IF(R45-AP148&gt;100,R45-AP148-1000+$AD$17,R45-AP148+$AD$17),IF(R45-AP148&gt;100,R45-AP148-1000,R45-AP148))),"-"))</f>
        <v>-</v>
      </c>
      <c r="O45" s="46">
        <v>146</v>
      </c>
      <c r="P45" s="19" t="str">
        <f>IF(R45="","",COUNTA($R$3:R45)+$C$105)</f>
        <v/>
      </c>
      <c r="Q45" s="18" t="str">
        <f t="shared" si="1"/>
        <v/>
      </c>
      <c r="R45" s="30"/>
      <c r="S45" s="45" t="str">
        <f>IFERROR(IF(VLOOKUP(R45,Расчет!$A$2:$B$650,2,FALSE)="664W","Camry",IF(VLOOKUP(R45,Расчет!$A$2:$B$650,2,FALSE)="813W","Goshi","RAV4")),"")</f>
        <v/>
      </c>
      <c r="T45" s="32" t="str">
        <f>IFERROR(IF(S45="Camry",VLOOKUP(R45,Расчет!$A$2:$Q$650,17,FALSE),VLOOKUP(R45,Расчет!$A$2:$R$650,18,FALSE)),"")</f>
        <v/>
      </c>
      <c r="U45" s="32" t="str">
        <f>IFERROR(VLOOKUP(VLOOKUP(R45,Расчет!$A:$D,4,FALSE),$AT$6:$AV$15,3,FALSE),"")</f>
        <v/>
      </c>
      <c r="V45" s="31" t="str">
        <f>IFERROR(VLOOKUP(IFERROR(VLOOKUP(R45,Расчет!$A$2:$D$650,4,FALSE),0),$AT$3:$AU$15,2,FALSE),"")</f>
        <v/>
      </c>
      <c r="W45" s="33" t="str">
        <f>IFERROR(VLOOKUP(R45,Расчет!$A$2:$E$650,5,FALSE),"")</f>
        <v/>
      </c>
      <c r="X45" s="189"/>
      <c r="Y45" s="191">
        <f t="shared" si="10"/>
        <v>0</v>
      </c>
      <c r="Z45" s="524"/>
      <c r="AA45" s="525"/>
      <c r="AB45" s="420" t="str">
        <f>IFERROR(VLOOKUP(AC45,Расчет!$BS:$BT,2,FALSE),"")</f>
        <v/>
      </c>
      <c r="AC45" s="193"/>
      <c r="AD45" s="196" t="str">
        <f>IFERROR(IF(VLOOKUP(AC45,Расчет!$A$2:$B$350,2,FALSE)="664W","Camry","RAV4"),"-")</f>
        <v>-</v>
      </c>
      <c r="AE45" s="195">
        <v>43</v>
      </c>
      <c r="AF45" s="44" t="str">
        <f>IF(VLOOKUP(AE45,Расчет!$AH$2:$AN$201,5,FALSE)="8","C",IF(VLOOKUP(AE45,Расчет!$AH$2:$AN$201,5,FALSE)="G","G","R"))</f>
        <v>C</v>
      </c>
      <c r="AG45" s="73" t="str">
        <f t="shared" si="2"/>
        <v>C</v>
      </c>
      <c r="AH45" s="87">
        <f>IF(AG45="","",COUNTIF($AG$2:AG45,"C")-COUNTIF($AF$2:AF45,"C")+$AH$1)</f>
        <v>0</v>
      </c>
      <c r="AI45" s="87">
        <f>IF(AG45="","",COUNTIF($AG$2:AG45,"R")-COUNTIF($AF$2:AF45,"R")+$AI$1)</f>
        <v>0</v>
      </c>
      <c r="AJ45" s="89">
        <v>146</v>
      </c>
      <c r="AK45" s="44" t="str">
        <f>IF(VLOOKUP(AJ45,Расчет!$AH$2:$AN$211,5,FALSE)="8","C",IF(VLOOKUP(AJ45,Расчет!$AH$2:$AN$211,5,FALSE)="G","G","R"))</f>
        <v>C</v>
      </c>
      <c r="AL45" s="74" t="str">
        <f t="shared" si="3"/>
        <v/>
      </c>
      <c r="AM45" s="118" t="str">
        <f>IF(AL45="","",(COUNTIF($AG$2:$AG$105,"C")+COUNTIF($AL$2:$AL45,"C"))-(COUNTIF($AF$2:$AF$105,"C")+COUNTIF($AK$2:$AK45,"C"))+$AH$1)</f>
        <v/>
      </c>
      <c r="AN45" s="119" t="str">
        <f>IF(AL45="","",(COUNTIF($AG$2:$AG$105,"R")+COUNTIF($AL$2:$AL45,"R"))-(COUNTIF($AF$2:$AF$105,"R")+COUNTIF($AK$2:$AK45,"R"))+$AI$1)</f>
        <v/>
      </c>
      <c r="AO45" s="22">
        <f>IF(E45="","",COUNTA($E$3:E45)+$Z$1)</f>
        <v>138</v>
      </c>
      <c r="AP45" s="88">
        <f>IF(AO45="","",IF(AO45+Расчет!$Y$57+$BD$2-Расчет!$X$57&gt;200,AO45+Расчет!$Y$57+$BD$2-1000,AO45+Расчет!$Y$57+$BD$2))</f>
        <v>11208</v>
      </c>
      <c r="AR45" s="92"/>
      <c r="AS45" s="92"/>
      <c r="BL45" s="172">
        <f>COUNTIF($BM$5:BM45,"&lt;-115")</f>
        <v>0</v>
      </c>
      <c r="BM45" s="154">
        <f>IFERROR(IF(OR(IFERROR(VLOOKUP(BN45,$E$3:$E$105,1,FALSE),"0")=BN45,IFERROR(VLOOKUP(BN45,$R$3:$R$105,1,FALSE),"0")=BN45),BO45,IF(OR(VLOOKUP(BN45,Расчет!A:E,5,FALSE)="2PS",VLOOKUP(BN45,Расчет!A:E,5,FALSE)="2QL"),IF(VLOOKUP(BN45,Расчет!A:B,2,FALSE)="831W",BN45-$BS$7+$AD$17,BN45-$BS$7+$AD$12),BN45-$BS$7)),"-")</f>
        <v>18</v>
      </c>
      <c r="BN45" s="154">
        <f>IF(OR(Расчет!C42="A0",Расчет!C42="P9",Расчет!B42="722W"),"-",Расчет!A42)</f>
        <v>11187</v>
      </c>
      <c r="BO45" s="173">
        <f t="shared" si="14"/>
        <v>18</v>
      </c>
      <c r="BP45" s="172" t="str">
        <f>IF(BQ45="-","-",IFERROR(IF(OR(VLOOKUP(BN45,Расчет!$A$2:$E$582,5,FALSE)="2PS",VLOOKUP(BN45,Расчет!$A$2:$E$582,5,FALSE)="2QL"),IF(OR(VLOOKUP(BN45,Расчет!$A$2:$E$582,2,FALSE)="664W",VLOOKUP(BN45,Расчет!$A$2:$E$582,2,FALSE)="813W"),IF(BN45-$BS$7&gt;150,BN45-$BS$7-1000+$AD$12,BN45-$BS$7+$AD$12),IF(BN45-$BS$7&gt;150,BN45-$BS$7-1000+$AD$17,BN45-$BS$7+$AD$17)),IF(BN45-$BS$7&gt;150,BN45-$BS$7-1000,BN45-$BS$7)),"-"))</f>
        <v>-</v>
      </c>
      <c r="BQ45" s="173" t="str">
        <f t="shared" si="11"/>
        <v>-</v>
      </c>
      <c r="BR45" s="453"/>
      <c r="BS45" s="171"/>
      <c r="BT45" s="464" t="str">
        <f t="shared" si="12"/>
        <v>-</v>
      </c>
      <c r="BU45" s="464" t="str">
        <f t="shared" si="13"/>
        <v>-</v>
      </c>
      <c r="BX45" s="204">
        <f>COUNTIF($BY$4:BY45,"&lt;100")</f>
        <v>42</v>
      </c>
      <c r="BY45" s="213">
        <f t="shared" si="25"/>
        <v>0</v>
      </c>
      <c r="BZ45" s="216">
        <f t="shared" si="25"/>
        <v>0</v>
      </c>
      <c r="CA45" s="213">
        <f t="shared" si="5"/>
        <v>0</v>
      </c>
      <c r="CB45" s="209">
        <f t="shared" si="6"/>
        <v>0</v>
      </c>
      <c r="CC45" s="205">
        <f t="shared" si="15"/>
        <v>0</v>
      </c>
      <c r="CD45" s="205">
        <f t="shared" si="7"/>
        <v>18</v>
      </c>
      <c r="CE45" s="205">
        <f t="shared" si="16"/>
        <v>0</v>
      </c>
      <c r="CG45" s="20" t="str">
        <f t="shared" si="24"/>
        <v>Standard</v>
      </c>
    </row>
    <row r="46" spans="1:85" ht="23.1" customHeight="1">
      <c r="A46" s="40">
        <f>IF(AND(IFERROR(VLOOKUP(E46,Расчет!A:J,10,FALSE),"  ")&lt;&gt;"  ",IFERROR(LEFT(VLOOKUP(E46,Расчет!A:J,10,FALSE),1)," ")&lt;&gt;"H"),0,IFERROR(IF(F46="Camry",IF(OR(J46="2PS",J46="2QL"),IF(E46-AP46&gt;100,E46-AP46-1000+$AD$12,E46-AP46+$AD$12),IF(E46-AP46&gt;100,E46-AP46-1000,E46-AP46)),IF(J46="2PS",IF(E46-AP46&gt;100,E46-AP46-1000+$AD$17,E46-AP46+$AD$17),IF(E46-AP46&gt;100,E46-AP46-1000,E46-AP46))),"-"))</f>
        <v>21</v>
      </c>
      <c r="B46" s="46">
        <v>44</v>
      </c>
      <c r="C46" s="19">
        <f>IF(E46="","",COUNTA($E$3:E46))</f>
        <v>44</v>
      </c>
      <c r="D46" s="18">
        <f t="shared" si="0"/>
        <v>139</v>
      </c>
      <c r="E46" s="30">
        <v>11230</v>
      </c>
      <c r="F46" s="44" t="str">
        <f>IFERROR(IF(VLOOKUP(E46,Расчет!$A$2:$B$650,2,FALSE)="664W","Camry",IF(VLOOKUP(E46,Расчет!$A$2:$B$650,2,FALSE)="813W","Goshi","RAV4")),"")</f>
        <v>RAV4</v>
      </c>
      <c r="G46" s="32" t="str">
        <f>IFERROR(IF(F46="Camry",VLOOKUP(E46,Расчет!$A$2:$Q$650,17,FALSE),VLOOKUP(E46,Расчет!$A$2:$R$650,18,FALSE)),"")</f>
        <v>Auto</v>
      </c>
      <c r="H46" s="32" t="str">
        <f>IFERROR(VLOOKUP(VLOOKUP(E46,Расчет!$A:$D,4,FALSE),$AT$6:$AV$15,3,FALSE),"")</f>
        <v>TWIN-C</v>
      </c>
      <c r="I46" s="31" t="str">
        <f>IFERROR(VLOOKUP(IFERROR(VLOOKUP(E46,Расчет!$A$2:$D$650,4,FALSE),0),$AT$3:$AU$15,2,FALSE),"")</f>
        <v>2,5 L</v>
      </c>
      <c r="J46" s="33" t="str">
        <f>IFERROR(VLOOKUP(E46,Расчет!$A$2:$E$650,5,FALSE),"")</f>
        <v>040</v>
      </c>
      <c r="K46" s="189">
        <v>0.8087037037037037</v>
      </c>
      <c r="L46" s="188">
        <f t="shared" si="9"/>
        <v>1.7129629629629717E-3</v>
      </c>
      <c r="M46" s="38"/>
      <c r="N46" s="40" t="str">
        <f>IF(AND(IFERROR(VLOOKUP(R46,Расчет!A:J,10,FALSE),"  ")&lt;&gt;"  ",IFERROR(LEFT(VLOOKUP(R46,Расчет!A:J,10,FALSE),1)," ")&lt;&gt;"H"),0,IFERROR(IF(S46="Camry",IF(OR(W46="2PS",W46="2QL"),IF(R46-AP149&gt;100,R46-AP149-1000+$AD$12,R46-AP149+$AD$12),IF(R46-AP149&gt;100,R46-AP149-1000,R46-AP149)),IF(W46="2PS",IF(R46-AP149&gt;100,R46-AP149-1000+$AD$17,R46-AP149+$AD$17),IF(R46-AP149&gt;100,R46-AP149-1000,R46-AP149))),"-"))</f>
        <v>-</v>
      </c>
      <c r="O46" s="46">
        <v>147</v>
      </c>
      <c r="P46" s="19" t="str">
        <f>IF(R46="","",COUNTA($R$3:R46)+$C$105)</f>
        <v/>
      </c>
      <c r="Q46" s="18" t="str">
        <f t="shared" si="1"/>
        <v/>
      </c>
      <c r="R46" s="30"/>
      <c r="S46" s="45" t="str">
        <f>IFERROR(IF(VLOOKUP(R46,Расчет!$A$2:$B$650,2,FALSE)="664W","Camry",IF(VLOOKUP(R46,Расчет!$A$2:$B$650,2,FALSE)="813W","Goshi","RAV4")),"")</f>
        <v/>
      </c>
      <c r="T46" s="32" t="str">
        <f>IFERROR(IF(S46="Camry",VLOOKUP(R46,Расчет!$A$2:$Q$650,17,FALSE),VLOOKUP(R46,Расчет!$A$2:$R$650,18,FALSE)),"")</f>
        <v/>
      </c>
      <c r="U46" s="32" t="str">
        <f>IFERROR(VLOOKUP(VLOOKUP(R46,Расчет!$A:$D,4,FALSE),$AT$6:$AV$15,3,FALSE),"")</f>
        <v/>
      </c>
      <c r="V46" s="31" t="str">
        <f>IFERROR(VLOOKUP(IFERROR(VLOOKUP(R46,Расчет!$A$2:$D$650,4,FALSE),0),$AT$3:$AU$15,2,FALSE),"")</f>
        <v/>
      </c>
      <c r="W46" s="33" t="str">
        <f>IFERROR(VLOOKUP(R46,Расчет!$A$2:$E$650,5,FALSE),"")</f>
        <v/>
      </c>
      <c r="X46" s="189"/>
      <c r="Y46" s="191">
        <f t="shared" si="10"/>
        <v>0</v>
      </c>
      <c r="Z46" s="524"/>
      <c r="AA46" s="525"/>
      <c r="AB46" s="420" t="str">
        <f>IFERROR(VLOOKUP(AC46,Расчет!$BS:$BT,2,FALSE),"")</f>
        <v/>
      </c>
      <c r="AC46" s="193"/>
      <c r="AD46" s="196" t="str">
        <f>IFERROR(IF(VLOOKUP(AC46,Расчет!$A$2:$B$350,2,FALSE)="664W","Camry","RAV4"),"-")</f>
        <v>-</v>
      </c>
      <c r="AE46" s="195">
        <v>44</v>
      </c>
      <c r="AF46" s="44" t="str">
        <f>IF(VLOOKUP(AE46,Расчет!$AH$2:$AN$201,5,FALSE)="8","C",IF(VLOOKUP(AE46,Расчет!$AH$2:$AN$201,5,FALSE)="G","G","R"))</f>
        <v>R</v>
      </c>
      <c r="AG46" s="73" t="str">
        <f t="shared" si="2"/>
        <v>R</v>
      </c>
      <c r="AH46" s="87">
        <f>IF(AG46="","",COUNTIF($AG$2:AG46,"C")-COUNTIF($AF$2:AF46,"C")+$AH$1)</f>
        <v>0</v>
      </c>
      <c r="AI46" s="87">
        <f>IF(AG46="","",COUNTIF($AG$2:AG46,"R")-COUNTIF($AF$2:AF46,"R")+$AI$1)</f>
        <v>0</v>
      </c>
      <c r="AJ46" s="89">
        <v>147</v>
      </c>
      <c r="AK46" s="44" t="str">
        <f>IF(VLOOKUP(AJ46,Расчет!$AH$2:$AN$211,5,FALSE)="8","C",IF(VLOOKUP(AJ46,Расчет!$AH$2:$AN$211,5,FALSE)="G","G","R"))</f>
        <v>R</v>
      </c>
      <c r="AL46" s="74" t="str">
        <f t="shared" si="3"/>
        <v/>
      </c>
      <c r="AM46" s="118" t="str">
        <f>IF(AL46="","",(COUNTIF($AG$2:$AG$105,"C")+COUNTIF($AL$2:$AL46,"C"))-(COUNTIF($AF$2:$AF$105,"C")+COUNTIF($AK$2:$AK46,"C"))+$AH$1)</f>
        <v/>
      </c>
      <c r="AN46" s="119" t="str">
        <f>IF(AL46="","",(COUNTIF($AG$2:$AG$105,"R")+COUNTIF($AL$2:$AL46,"R"))-(COUNTIF($AF$2:$AF$105,"R")+COUNTIF($AK$2:$AK46,"R"))+$AI$1)</f>
        <v/>
      </c>
      <c r="AO46" s="22">
        <f>IF(E46="","",COUNTA($E$3:E46)+$Z$1)</f>
        <v>139</v>
      </c>
      <c r="AP46" s="88">
        <f>IF(AO46="","",IF(AO46+Расчет!$Y$57+$BD$2-Расчет!$X$57&gt;200,AO46+Расчет!$Y$57+$BD$2-1000,AO46+Расчет!$Y$57+$BD$2))</f>
        <v>11209</v>
      </c>
      <c r="AR46" s="92"/>
      <c r="AS46" s="92"/>
      <c r="BL46" s="172">
        <f>COUNTIF($BM$5:BM46,"&lt;-115")</f>
        <v>0</v>
      </c>
      <c r="BM46" s="154">
        <f>IFERROR(IF(OR(IFERROR(VLOOKUP(BN46,$E$3:$E$105,1,FALSE),"0")=BN46,IFERROR(VLOOKUP(BN46,$R$3:$R$105,1,FALSE),"0")=BN46),BO46,IF(OR(VLOOKUP(BN46,Расчет!A:E,5,FALSE)="2PS",VLOOKUP(BN46,Расчет!A:E,5,FALSE)="2QL"),IF(VLOOKUP(BN46,Расчет!A:B,2,FALSE)="831W",BN46-$BS$7+$AD$17,BN46-$BS$7+$AD$12),BN46-$BS$7)),"-")</f>
        <v>64</v>
      </c>
      <c r="BN46" s="154">
        <f>IF(OR(Расчет!C43="A0",Расчет!C43="P9",Расчет!B43="722W"),"-",Расчет!A43)</f>
        <v>11188</v>
      </c>
      <c r="BO46" s="173">
        <f t="shared" si="14"/>
        <v>0</v>
      </c>
      <c r="BP46" s="172">
        <f>IF(BQ46="-","-",IFERROR(IF(OR(VLOOKUP(BN46,Расчет!$A$2:$E$582,5,FALSE)="2PS",VLOOKUP(BN46,Расчет!$A$2:$E$582,5,FALSE)="2QL"),IF(OR(VLOOKUP(BN46,Расчет!$A$2:$E$582,2,FALSE)="664W",VLOOKUP(BN46,Расчет!$A$2:$E$582,2,FALSE)="813W"),IF(BN46-$BS$7&gt;150,BN46-$BS$7-1000+$AD$12,BN46-$BS$7+$AD$12),IF(BN46-$BS$7&gt;150,BN46-$BS$7-1000+$AD$17,BN46-$BS$7+$AD$17)),IF(BN46-$BS$7&gt;150,BN46-$BS$7-1000,BN46-$BS$7)),"-"))</f>
        <v>64</v>
      </c>
      <c r="BQ46" s="173">
        <f t="shared" si="11"/>
        <v>11188</v>
      </c>
      <c r="BR46" s="453"/>
      <c r="BS46" s="171"/>
      <c r="BT46" s="464" t="str">
        <f t="shared" si="12"/>
        <v>-</v>
      </c>
      <c r="BU46" s="464" t="str">
        <f t="shared" si="13"/>
        <v>-</v>
      </c>
      <c r="BX46" s="204">
        <f>COUNTIF($BY$4:BY46,"&lt;100")</f>
        <v>43</v>
      </c>
      <c r="BY46" s="213">
        <f t="shared" si="25"/>
        <v>0</v>
      </c>
      <c r="BZ46" s="216">
        <f t="shared" si="25"/>
        <v>0</v>
      </c>
      <c r="CA46" s="213">
        <f t="shared" si="5"/>
        <v>0</v>
      </c>
      <c r="CB46" s="209">
        <f t="shared" si="6"/>
        <v>0</v>
      </c>
      <c r="CC46" s="205">
        <f t="shared" si="15"/>
        <v>0</v>
      </c>
      <c r="CD46" s="205">
        <f t="shared" si="7"/>
        <v>0</v>
      </c>
      <c r="CE46" s="205">
        <f t="shared" si="16"/>
        <v>0</v>
      </c>
      <c r="CG46" s="20" t="str">
        <f t="shared" si="24"/>
        <v>Auto</v>
      </c>
    </row>
    <row r="47" spans="1:85" ht="23.1" customHeight="1">
      <c r="A47" s="40">
        <f>IF(AND(IFERROR(VLOOKUP(E47,Расчет!A:J,10,FALSE),"  ")&lt;&gt;"  ",IFERROR(LEFT(VLOOKUP(E47,Расчет!A:J,10,FALSE),1)," ")&lt;&gt;"H"),0,IFERROR(IF(F47="Camry",IF(OR(J47="2PS",J47="2QL"),IF(E47-AP47&gt;100,E47-AP47-1000+$AD$12,E47-AP47+$AD$12),IF(E47-AP47&gt;100,E47-AP47-1000,E47-AP47)),IF(J47="2PS",IF(E47-AP47&gt;100,E47-AP47-1000+$AD$17,E47-AP47+$AD$17),IF(E47-AP47&gt;100,E47-AP47-1000,E47-AP47))),"-"))</f>
        <v>16</v>
      </c>
      <c r="B47" s="46">
        <v>45</v>
      </c>
      <c r="C47" s="19">
        <f>IF(E47="","",COUNTA($E$3:E47))</f>
        <v>45</v>
      </c>
      <c r="D47" s="18">
        <f t="shared" si="0"/>
        <v>140</v>
      </c>
      <c r="E47" s="30">
        <v>11226</v>
      </c>
      <c r="F47" s="44" t="str">
        <f>IFERROR(IF(VLOOKUP(E47,Расчет!$A$2:$B$650,2,FALSE)="664W","Camry",IF(VLOOKUP(E47,Расчет!$A$2:$B$650,2,FALSE)="813W","Goshi","RAV4")),"")</f>
        <v>Camry</v>
      </c>
      <c r="G47" s="32" t="str">
        <f>IFERROR(IF(F47="Camry",VLOOKUP(E47,Расчет!$A$2:$Q$650,17,FALSE),VLOOKUP(E47,Расчет!$A$2:$R$650,18,FALSE)),"")</f>
        <v>Standard</v>
      </c>
      <c r="H47" s="32" t="str">
        <f>IFERROR(VLOOKUP(VLOOKUP(E47,Расчет!$A:$D,4,FALSE),$AT$6:$AV$15,3,FALSE),"")</f>
        <v/>
      </c>
      <c r="I47" s="31" t="str">
        <f>IFERROR(VLOOKUP(IFERROR(VLOOKUP(E47,Расчет!$A$2:$D$650,4,FALSE),0),$AT$3:$AU$15,2,FALSE),"")</f>
        <v>2,0 L</v>
      </c>
      <c r="J47" s="33" t="str">
        <f>IFERROR(VLOOKUP(E47,Расчет!$A$2:$E$650,5,FALSE),"")</f>
        <v>218</v>
      </c>
      <c r="K47" s="189">
        <v>0.81038194444444445</v>
      </c>
      <c r="L47" s="188">
        <f t="shared" si="9"/>
        <v>1.678240740740744E-3</v>
      </c>
      <c r="M47" s="38"/>
      <c r="N47" s="40" t="str">
        <f>IF(AND(IFERROR(VLOOKUP(R47,Расчет!A:J,10,FALSE),"  ")&lt;&gt;"  ",IFERROR(LEFT(VLOOKUP(R47,Расчет!A:J,10,FALSE),1)," ")&lt;&gt;"H"),0,IFERROR(IF(S47="Camry",IF(OR(W47="2PS",W47="2QL"),IF(R47-AP150&gt;100,R47-AP150-1000+$AD$12,R47-AP150+$AD$12),IF(R47-AP150&gt;100,R47-AP150-1000,R47-AP150)),IF(W47="2PS",IF(R47-AP150&gt;100,R47-AP150-1000+$AD$17,R47-AP150+$AD$17),IF(R47-AP150&gt;100,R47-AP150-1000,R47-AP150))),"-"))</f>
        <v>-</v>
      </c>
      <c r="O47" s="46">
        <v>148</v>
      </c>
      <c r="P47" s="19" t="str">
        <f>IF(R47="","",COUNTA($R$3:R47)+$C$105)</f>
        <v/>
      </c>
      <c r="Q47" s="18" t="str">
        <f t="shared" si="1"/>
        <v/>
      </c>
      <c r="R47" s="30"/>
      <c r="S47" s="45" t="str">
        <f>IFERROR(IF(VLOOKUP(R47,Расчет!$A$2:$B$650,2,FALSE)="664W","Camry",IF(VLOOKUP(R47,Расчет!$A$2:$B$650,2,FALSE)="813W","Goshi","RAV4")),"")</f>
        <v/>
      </c>
      <c r="T47" s="32" t="str">
        <f>IFERROR(IF(S47="Camry",VLOOKUP(R47,Расчет!$A$2:$Q$650,17,FALSE),VLOOKUP(R47,Расчет!$A$2:$R$650,18,FALSE)),"")</f>
        <v/>
      </c>
      <c r="U47" s="32" t="str">
        <f>IFERROR(VLOOKUP(VLOOKUP(R47,Расчет!$A:$D,4,FALSE),$AT$6:$AV$15,3,FALSE),"")</f>
        <v/>
      </c>
      <c r="V47" s="31" t="str">
        <f>IFERROR(VLOOKUP(IFERROR(VLOOKUP(R47,Расчет!$A$2:$D$650,4,FALSE),0),$AT$3:$AU$15,2,FALSE),"")</f>
        <v/>
      </c>
      <c r="W47" s="33" t="str">
        <f>IFERROR(VLOOKUP(R47,Расчет!$A$2:$E$650,5,FALSE),"")</f>
        <v/>
      </c>
      <c r="X47" s="189"/>
      <c r="Y47" s="191">
        <f t="shared" si="10"/>
        <v>0</v>
      </c>
      <c r="Z47" s="524"/>
      <c r="AA47" s="525"/>
      <c r="AB47" s="420" t="str">
        <f>IFERROR(VLOOKUP(AC47,Расчет!$BS:$BT,2,FALSE),"")</f>
        <v/>
      </c>
      <c r="AC47" s="193"/>
      <c r="AD47" s="196" t="str">
        <f>IFERROR(IF(VLOOKUP(AC47,Расчет!$A$2:$B$350,2,FALSE)="664W","Camry","RAV4"),"-")</f>
        <v>-</v>
      </c>
      <c r="AE47" s="195">
        <v>45</v>
      </c>
      <c r="AF47" s="44" t="str">
        <f>IF(VLOOKUP(AE47,Расчет!$AH$2:$AN$201,5,FALSE)="8","C",IF(VLOOKUP(AE47,Расчет!$AH$2:$AN$201,5,FALSE)="G","G","R"))</f>
        <v>C</v>
      </c>
      <c r="AG47" s="73" t="str">
        <f t="shared" si="2"/>
        <v>C</v>
      </c>
      <c r="AH47" s="87">
        <f>IF(AG47="","",COUNTIF($AG$2:AG47,"C")-COUNTIF($AF$2:AF47,"C")+$AH$1)</f>
        <v>0</v>
      </c>
      <c r="AI47" s="87">
        <f>IF(AG47="","",COUNTIF($AG$2:AG47,"R")-COUNTIF($AF$2:AF47,"R")+$AI$1)</f>
        <v>0</v>
      </c>
      <c r="AJ47" s="89">
        <v>148</v>
      </c>
      <c r="AK47" s="44" t="str">
        <f>IF(VLOOKUP(AJ47,Расчет!$AH$2:$AN$211,5,FALSE)="8","C",IF(VLOOKUP(AJ47,Расчет!$AH$2:$AN$211,5,FALSE)="G","G","R"))</f>
        <v>C</v>
      </c>
      <c r="AL47" s="74" t="str">
        <f t="shared" si="3"/>
        <v/>
      </c>
      <c r="AM47" s="118" t="str">
        <f>IF(AL47="","",(COUNTIF($AG$2:$AG$105,"C")+COUNTIF($AL$2:$AL47,"C"))-(COUNTIF($AF$2:$AF$105,"C")+COUNTIF($AK$2:$AK47,"C"))+$AH$1)</f>
        <v/>
      </c>
      <c r="AN47" s="119" t="str">
        <f>IF(AL47="","",(COUNTIF($AG$2:$AG$105,"R")+COUNTIF($AL$2:$AL47,"R"))-(COUNTIF($AF$2:$AF$105,"R")+COUNTIF($AK$2:$AK47,"R"))+$AI$1)</f>
        <v/>
      </c>
      <c r="AO47" s="22">
        <f>IF(E47="","",COUNTA($E$3:E47)+$Z$1)</f>
        <v>140</v>
      </c>
      <c r="AP47" s="88">
        <f>IF(AO47="","",IF(AO47+Расчет!$Y$57+$BD$2-Расчет!$X$57&gt;200,AO47+Расчет!$Y$57+$BD$2-1000,AO47+Расчет!$Y$57+$BD$2))</f>
        <v>11210</v>
      </c>
      <c r="AR47" s="92"/>
      <c r="AS47" s="92"/>
      <c r="BL47" s="172">
        <f>COUNTIF($BM$5:BM47,"&lt;-115")</f>
        <v>0</v>
      </c>
      <c r="BM47" s="154">
        <f>IFERROR(IF(OR(IFERROR(VLOOKUP(BN47,$E$3:$E$105,1,FALSE),"0")=BN47,IFERROR(VLOOKUP(BN47,$R$3:$R$105,1,FALSE),"0")=BN47),BO47,IF(OR(VLOOKUP(BN47,Расчет!A:E,5,FALSE)="2PS",VLOOKUP(BN47,Расчет!A:E,5,FALSE)="2QL"),IF(VLOOKUP(BN47,Расчет!A:B,2,FALSE)="831W",BN47-$BS$7+$AD$17,BN47-$BS$7+$AD$12),BN47-$BS$7)),"-")</f>
        <v>21</v>
      </c>
      <c r="BN47" s="154">
        <f>IF(OR(Расчет!C44="A0",Расчет!C44="P9",Расчет!B44="722W"),"-",Расчет!A44)</f>
        <v>11189</v>
      </c>
      <c r="BO47" s="173">
        <f t="shared" si="14"/>
        <v>21</v>
      </c>
      <c r="BP47" s="172" t="str">
        <f>IF(BQ47="-","-",IFERROR(IF(OR(VLOOKUP(BN47,Расчет!$A$2:$E$582,5,FALSE)="2PS",VLOOKUP(BN47,Расчет!$A$2:$E$582,5,FALSE)="2QL"),IF(OR(VLOOKUP(BN47,Расчет!$A$2:$E$582,2,FALSE)="664W",VLOOKUP(BN47,Расчет!$A$2:$E$582,2,FALSE)="813W"),IF(BN47-$BS$7&gt;150,BN47-$BS$7-1000+$AD$12,BN47-$BS$7+$AD$12),IF(BN47-$BS$7&gt;150,BN47-$BS$7-1000+$AD$17,BN47-$BS$7+$AD$17)),IF(BN47-$BS$7&gt;150,BN47-$BS$7-1000,BN47-$BS$7)),"-"))</f>
        <v>-</v>
      </c>
      <c r="BQ47" s="173" t="str">
        <f t="shared" si="11"/>
        <v>-</v>
      </c>
      <c r="BR47" s="453"/>
      <c r="BS47" s="171"/>
      <c r="BT47" s="464" t="str">
        <f t="shared" si="12"/>
        <v>-</v>
      </c>
      <c r="BU47" s="464" t="str">
        <f t="shared" si="13"/>
        <v>-</v>
      </c>
      <c r="BX47" s="204">
        <f>COUNTIF($BY$4:BY47,"&lt;100")</f>
        <v>44</v>
      </c>
      <c r="BY47" s="213">
        <f t="shared" si="25"/>
        <v>0</v>
      </c>
      <c r="BZ47" s="216">
        <f t="shared" si="25"/>
        <v>0</v>
      </c>
      <c r="CA47" s="213">
        <f t="shared" si="5"/>
        <v>0</v>
      </c>
      <c r="CB47" s="209">
        <f t="shared" si="6"/>
        <v>0</v>
      </c>
      <c r="CC47" s="205">
        <f t="shared" si="15"/>
        <v>0</v>
      </c>
      <c r="CD47" s="205">
        <f t="shared" si="7"/>
        <v>21</v>
      </c>
      <c r="CE47" s="205">
        <f t="shared" si="16"/>
        <v>0</v>
      </c>
      <c r="CG47" s="20" t="str">
        <f t="shared" si="24"/>
        <v>Standard</v>
      </c>
    </row>
    <row r="48" spans="1:85" ht="23.1" customHeight="1">
      <c r="A48" s="40">
        <f>IF(AND(IFERROR(VLOOKUP(E48,Расчет!A:J,10,FALSE),"  ")&lt;&gt;"  ",IFERROR(LEFT(VLOOKUP(E48,Расчет!A:J,10,FALSE),1)," ")&lt;&gt;"H"),0,IFERROR(IF(F48="Camry",IF(OR(J48="2PS",J48="2QL"),IF(E48-AP48&gt;100,E48-AP48-1000+$AD$12,E48-AP48+$AD$12),IF(E48-AP48&gt;100,E48-AP48-1000,E48-AP48)),IF(J48="2PS",IF(E48-AP48&gt;100,E48-AP48-1000+$AD$17,E48-AP48+$AD$17),IF(E48-AP48&gt;100,E48-AP48-1000,E48-AP48))),"-"))</f>
        <v>-4</v>
      </c>
      <c r="B48" s="46">
        <v>46</v>
      </c>
      <c r="C48" s="19">
        <f>IF(E48="","",COUNTA($E$3:E48))</f>
        <v>46</v>
      </c>
      <c r="D48" s="18">
        <f t="shared" si="0"/>
        <v>141</v>
      </c>
      <c r="E48" s="30">
        <v>11207</v>
      </c>
      <c r="F48" s="44" t="str">
        <f>IFERROR(IF(VLOOKUP(E48,Расчет!$A$2:$B$650,2,FALSE)="664W","Camry",IF(VLOOKUP(E48,Расчет!$A$2:$B$650,2,FALSE)="813W","Goshi","RAV4")),"")</f>
        <v>RAV4</v>
      </c>
      <c r="G48" s="32" t="str">
        <f>IFERROR(IF(F48="Camry",VLOOKUP(E48,Расчет!$A$2:$Q$650,17,FALSE),VLOOKUP(E48,Расчет!$A$2:$R$650,18,FALSE)),"")</f>
        <v>Mech</v>
      </c>
      <c r="H48" s="32" t="str">
        <f>IFERROR(VLOOKUP(VLOOKUP(E48,Расчет!$A:$D,4,FALSE),$AT$6:$AV$15,3,FALSE),"")</f>
        <v>FF</v>
      </c>
      <c r="I48" s="31" t="str">
        <f>IFERROR(VLOOKUP(IFERROR(VLOOKUP(E48,Расчет!$A$2:$D$650,4,FALSE),0),$AT$3:$AU$15,2,FALSE),"")</f>
        <v>2,0 L</v>
      </c>
      <c r="J48" s="33" t="str">
        <f>IFERROR(VLOOKUP(E48,Расчет!$A$2:$E$650,5,FALSE),"")</f>
        <v>218</v>
      </c>
      <c r="K48" s="189">
        <v>0.81266203703703699</v>
      </c>
      <c r="L48" s="188">
        <f t="shared" si="9"/>
        <v>2.2800925925925419E-3</v>
      </c>
      <c r="M48" s="38"/>
      <c r="N48" s="40" t="str">
        <f>IF(AND(IFERROR(VLOOKUP(R48,Расчет!A:J,10,FALSE),"  ")&lt;&gt;"  ",IFERROR(LEFT(VLOOKUP(R48,Расчет!A:J,10,FALSE),1)," ")&lt;&gt;"H"),0,IFERROR(IF(S48="Camry",IF(OR(W48="2PS",W48="2QL"),IF(R48-AP151&gt;100,R48-AP151-1000+$AD$12,R48-AP151+$AD$12),IF(R48-AP151&gt;100,R48-AP151-1000,R48-AP151)),IF(W48="2PS",IF(R48-AP151&gt;100,R48-AP151-1000+$AD$17,R48-AP151+$AD$17),IF(R48-AP151&gt;100,R48-AP151-1000,R48-AP151))),"-"))</f>
        <v>-</v>
      </c>
      <c r="O48" s="46">
        <v>149</v>
      </c>
      <c r="P48" s="19" t="str">
        <f>IF(R48="","",COUNTA($R$3:R48)+$C$105)</f>
        <v/>
      </c>
      <c r="Q48" s="18" t="str">
        <f t="shared" si="1"/>
        <v/>
      </c>
      <c r="R48" s="30"/>
      <c r="S48" s="45" t="str">
        <f>IFERROR(IF(VLOOKUP(R48,Расчет!$A$2:$B$650,2,FALSE)="664W","Camry",IF(VLOOKUP(R48,Расчет!$A$2:$B$650,2,FALSE)="813W","Goshi","RAV4")),"")</f>
        <v/>
      </c>
      <c r="T48" s="32" t="str">
        <f>IFERROR(IF(S48="Camry",VLOOKUP(R48,Расчет!$A$2:$Q$650,17,FALSE),VLOOKUP(R48,Расчет!$A$2:$R$650,18,FALSE)),"")</f>
        <v/>
      </c>
      <c r="U48" s="32" t="str">
        <f>IFERROR(VLOOKUP(VLOOKUP(R48,Расчет!$A:$D,4,FALSE),$AT$6:$AV$15,3,FALSE),"")</f>
        <v/>
      </c>
      <c r="V48" s="31" t="str">
        <f>IFERROR(VLOOKUP(IFERROR(VLOOKUP(R48,Расчет!$A$2:$D$650,4,FALSE),0),$AT$3:$AU$15,2,FALSE),"")</f>
        <v/>
      </c>
      <c r="W48" s="33" t="str">
        <f>IFERROR(VLOOKUP(R48,Расчет!$A$2:$E$650,5,FALSE),"")</f>
        <v/>
      </c>
      <c r="X48" s="189"/>
      <c r="Y48" s="191">
        <f t="shared" si="10"/>
        <v>0</v>
      </c>
      <c r="Z48" s="524"/>
      <c r="AA48" s="525"/>
      <c r="AB48" s="420" t="str">
        <f>IFERROR(VLOOKUP(AC48,Расчет!$BS:$BT,2,FALSE),"")</f>
        <v/>
      </c>
      <c r="AC48" s="193"/>
      <c r="AD48" s="196" t="str">
        <f>IFERROR(IF(VLOOKUP(AC48,Расчет!$A$2:$B$350,2,FALSE)="664W","Camry","RAV4"),"-")</f>
        <v>-</v>
      </c>
      <c r="AE48" s="195">
        <v>46</v>
      </c>
      <c r="AF48" s="44" t="str">
        <f>IF(VLOOKUP(AE48,Расчет!$AH$2:$AN$201,5,FALSE)="8","C",IF(VLOOKUP(AE48,Расчет!$AH$2:$AN$201,5,FALSE)="G","G","R"))</f>
        <v>R</v>
      </c>
      <c r="AG48" s="73" t="str">
        <f t="shared" si="2"/>
        <v>R</v>
      </c>
      <c r="AH48" s="87">
        <f>IF(AG48="","",COUNTIF($AG$2:AG48,"C")-COUNTIF($AF$2:AF48,"C")+$AH$1)</f>
        <v>0</v>
      </c>
      <c r="AI48" s="87">
        <f>IF(AG48="","",COUNTIF($AG$2:AG48,"R")-COUNTIF($AF$2:AF48,"R")+$AI$1)</f>
        <v>0</v>
      </c>
      <c r="AJ48" s="89">
        <v>149</v>
      </c>
      <c r="AK48" s="44" t="str">
        <f>IF(VLOOKUP(AJ48,Расчет!$AH$2:$AN$211,5,FALSE)="8","C",IF(VLOOKUP(AJ48,Расчет!$AH$2:$AN$211,5,FALSE)="G","G","R"))</f>
        <v>R</v>
      </c>
      <c r="AL48" s="74" t="str">
        <f t="shared" si="3"/>
        <v/>
      </c>
      <c r="AM48" s="118" t="str">
        <f>IF(AL48="","",(COUNTIF($AG$2:$AG$105,"C")+COUNTIF($AL$2:$AL48,"C"))-(COUNTIF($AF$2:$AF$105,"C")+COUNTIF($AK$2:$AK48,"C"))+$AH$1)</f>
        <v/>
      </c>
      <c r="AN48" s="119" t="str">
        <f>IF(AL48="","",(COUNTIF($AG$2:$AG$105,"R")+COUNTIF($AL$2:$AL48,"R"))-(COUNTIF($AF$2:$AF$105,"R")+COUNTIF($AK$2:$AK48,"R"))+$AI$1)</f>
        <v/>
      </c>
      <c r="AO48" s="22">
        <f>IF(E48="","",COUNTA($E$3:E48)+$Z$1)</f>
        <v>141</v>
      </c>
      <c r="AP48" s="88">
        <f>IF(AO48="","",IF(AO48+Расчет!$Y$57+$BD$2-Расчет!$X$57&gt;200,AO48+Расчет!$Y$57+$BD$2-1000,AO48+Расчет!$Y$57+$BD$2))</f>
        <v>11211</v>
      </c>
      <c r="AR48" s="92"/>
      <c r="AS48" s="92"/>
      <c r="AX48" s="53"/>
      <c r="AY48" s="53"/>
      <c r="AZ48" s="53"/>
      <c r="BA48" s="53"/>
      <c r="BB48" s="53"/>
      <c r="BC48" s="53"/>
      <c r="BD48" s="53"/>
      <c r="BE48" s="77"/>
      <c r="BF48" s="77"/>
      <c r="BG48" s="77"/>
      <c r="BL48" s="172">
        <f>COUNTIF($BM$5:BM48,"&lt;-115")</f>
        <v>0</v>
      </c>
      <c r="BM48" s="154">
        <f>IFERROR(IF(OR(IFERROR(VLOOKUP(BN48,$E$3:$E$105,1,FALSE),"0")=BN48,IFERROR(VLOOKUP(BN48,$R$3:$R$105,1,FALSE),"0")=BN48),BO48,IF(OR(VLOOKUP(BN48,Расчет!A:E,5,FALSE)="2PS",VLOOKUP(BN48,Расчет!A:E,5,FALSE)="2QL"),IF(VLOOKUP(BN48,Расчет!A:B,2,FALSE)="831W",BN48-$BS$7+$AD$17,BN48-$BS$7+$AD$12),BN48-$BS$7)),"-")</f>
        <v>5</v>
      </c>
      <c r="BN48" s="154">
        <f>IF(OR(Расчет!C45="A0",Расчет!C45="P9",Расчет!B45="722W"),"-",Расчет!A45)</f>
        <v>11190</v>
      </c>
      <c r="BO48" s="173">
        <f t="shared" si="14"/>
        <v>5</v>
      </c>
      <c r="BP48" s="172" t="str">
        <f>IF(BQ48="-","-",IFERROR(IF(OR(VLOOKUP(BN48,Расчет!$A$2:$E$582,5,FALSE)="2PS",VLOOKUP(BN48,Расчет!$A$2:$E$582,5,FALSE)="2QL"),IF(OR(VLOOKUP(BN48,Расчет!$A$2:$E$582,2,FALSE)="664W",VLOOKUP(BN48,Расчет!$A$2:$E$582,2,FALSE)="813W"),IF(BN48-$BS$7&gt;150,BN48-$BS$7-1000+$AD$12,BN48-$BS$7+$AD$12),IF(BN48-$BS$7&gt;150,BN48-$BS$7-1000+$AD$17,BN48-$BS$7+$AD$17)),IF(BN48-$BS$7&gt;150,BN48-$BS$7-1000,BN48-$BS$7)),"-"))</f>
        <v>-</v>
      </c>
      <c r="BQ48" s="173" t="str">
        <f t="shared" si="11"/>
        <v>-</v>
      </c>
      <c r="BR48" s="453"/>
      <c r="BS48" s="171"/>
      <c r="BT48" s="464" t="str">
        <f t="shared" si="12"/>
        <v>-</v>
      </c>
      <c r="BU48" s="464" t="str">
        <f t="shared" si="13"/>
        <v>-</v>
      </c>
      <c r="BX48" s="204">
        <f>COUNTIF($BY$4:BY48,"&lt;100")</f>
        <v>45</v>
      </c>
      <c r="BY48" s="213">
        <f t="shared" si="25"/>
        <v>0</v>
      </c>
      <c r="BZ48" s="216">
        <f t="shared" si="25"/>
        <v>0</v>
      </c>
      <c r="CA48" s="213">
        <f t="shared" si="5"/>
        <v>0</v>
      </c>
      <c r="CB48" s="209">
        <f t="shared" si="6"/>
        <v>0</v>
      </c>
      <c r="CC48" s="205">
        <f t="shared" si="15"/>
        <v>0</v>
      </c>
      <c r="CD48" s="205">
        <f t="shared" si="7"/>
        <v>16</v>
      </c>
      <c r="CE48" s="205">
        <f t="shared" si="16"/>
        <v>0</v>
      </c>
      <c r="CG48" s="20" t="str">
        <f t="shared" si="24"/>
        <v>CVT</v>
      </c>
    </row>
    <row r="49" spans="1:85" ht="23.1" customHeight="1">
      <c r="A49" s="40">
        <f>IF(AND(IFERROR(VLOOKUP(E49,Расчет!A:J,10,FALSE),"  ")&lt;&gt;"  ",IFERROR(LEFT(VLOOKUP(E49,Расчет!A:J,10,FALSE),1)," ")&lt;&gt;"H"),0,IFERROR(IF(F49="Camry",IF(OR(J49="2PS",J49="2QL"),IF(E49-AP49&gt;100,E49-AP49-1000+$AD$12,E49-AP49+$AD$12),IF(E49-AP49&gt;100,E49-AP49-1000,E49-AP49)),IF(J49="2PS",IF(E49-AP49&gt;100,E49-AP49-1000+$AD$17,E49-AP49+$AD$17),IF(E49-AP49&gt;100,E49-AP49-1000,E49-AP49))),"-"))</f>
        <v>22</v>
      </c>
      <c r="B49" s="46">
        <v>47</v>
      </c>
      <c r="C49" s="19">
        <f>IF(E49="","",COUNTA($E$3:E49))</f>
        <v>47</v>
      </c>
      <c r="D49" s="18">
        <f t="shared" si="0"/>
        <v>142</v>
      </c>
      <c r="E49" s="30">
        <v>11123</v>
      </c>
      <c r="F49" s="44" t="str">
        <f>IFERROR(IF(VLOOKUP(E49,Расчет!$A$2:$B$650,2,FALSE)="664W","Camry",IF(VLOOKUP(E49,Расчет!$A$2:$B$650,2,FALSE)="813W","Goshi","RAV4")),"")</f>
        <v>Camry</v>
      </c>
      <c r="G49" s="32" t="str">
        <f>IFERROR(IF(F49="Camry",VLOOKUP(E49,Расчет!$A$2:$Q$650,17,FALSE),VLOOKUP(E49,Расчет!$A$2:$R$650,18,FALSE)),"")</f>
        <v>Sport</v>
      </c>
      <c r="H49" s="32" t="str">
        <f>IFERROR(VLOOKUP(VLOOKUP(E49,Расчет!$A:$D,4,FALSE),$AT$6:$AV$15,3,FALSE),"")</f>
        <v/>
      </c>
      <c r="I49" s="31" t="str">
        <f>IFERROR(VLOOKUP(IFERROR(VLOOKUP(E49,Расчет!$A$2:$D$650,4,FALSE),0),$AT$3:$AU$15,2,FALSE),"")</f>
        <v>2,5 L</v>
      </c>
      <c r="J49" s="33" t="str">
        <f>IFERROR(VLOOKUP(E49,Расчет!$A$2:$E$650,5,FALSE),"")</f>
        <v>2PS</v>
      </c>
      <c r="K49" s="189">
        <v>0.81444444444444442</v>
      </c>
      <c r="L49" s="188">
        <f t="shared" si="9"/>
        <v>1.782407407407427E-3</v>
      </c>
      <c r="M49" s="38"/>
      <c r="N49" s="40" t="str">
        <f>IF(AND(IFERROR(VLOOKUP(R49,Расчет!A:J,10,FALSE),"  ")&lt;&gt;"  ",IFERROR(LEFT(VLOOKUP(R49,Расчет!A:J,10,FALSE),1)," ")&lt;&gt;"H"),0,IFERROR(IF(S49="Camry",IF(OR(W49="2PS",W49="2QL"),IF(R49-AP152&gt;100,R49-AP152-1000+$AD$12,R49-AP152+$AD$12),IF(R49-AP152&gt;100,R49-AP152-1000,R49-AP152)),IF(W49="2PS",IF(R49-AP152&gt;100,R49-AP152-1000+$AD$17,R49-AP152+$AD$17),IF(R49-AP152&gt;100,R49-AP152-1000,R49-AP152))),"-"))</f>
        <v>-</v>
      </c>
      <c r="O49" s="46">
        <v>150</v>
      </c>
      <c r="P49" s="19" t="str">
        <f>IF(R49="","",COUNTA($R$3:R49)+$C$105)</f>
        <v/>
      </c>
      <c r="Q49" s="18" t="str">
        <f t="shared" si="1"/>
        <v/>
      </c>
      <c r="R49" s="30"/>
      <c r="S49" s="45" t="str">
        <f>IFERROR(IF(VLOOKUP(R49,Расчет!$A$2:$B$650,2,FALSE)="664W","Camry",IF(VLOOKUP(R49,Расчет!$A$2:$B$650,2,FALSE)="813W","Goshi","RAV4")),"")</f>
        <v/>
      </c>
      <c r="T49" s="32" t="str">
        <f>IFERROR(IF(S49="Camry",VLOOKUP(R49,Расчет!$A$2:$Q$650,17,FALSE),VLOOKUP(R49,Расчет!$A$2:$R$650,18,FALSE)),"")</f>
        <v/>
      </c>
      <c r="U49" s="32" t="str">
        <f>IFERROR(VLOOKUP(VLOOKUP(R49,Расчет!$A:$D,4,FALSE),$AT$6:$AV$15,3,FALSE),"")</f>
        <v/>
      </c>
      <c r="V49" s="31" t="str">
        <f>IFERROR(VLOOKUP(IFERROR(VLOOKUP(R49,Расчет!$A$2:$D$650,4,FALSE),0),$AT$3:$AU$15,2,FALSE),"")</f>
        <v/>
      </c>
      <c r="W49" s="33" t="str">
        <f>IFERROR(VLOOKUP(R49,Расчет!$A$2:$E$650,5,FALSE),"")</f>
        <v/>
      </c>
      <c r="X49" s="189"/>
      <c r="Y49" s="191">
        <f t="shared" si="10"/>
        <v>0</v>
      </c>
      <c r="Z49" s="524"/>
      <c r="AA49" s="525"/>
      <c r="AB49" s="420" t="str">
        <f>IFERROR(VLOOKUP(AC49,Расчет!$BS:$BT,2,FALSE),"")</f>
        <v/>
      </c>
      <c r="AC49" s="193"/>
      <c r="AD49" s="196" t="str">
        <f>IFERROR(IF(VLOOKUP(AC49,Расчет!$A$2:$B$350,2,FALSE)="664W","Camry","RAV4"),"-")</f>
        <v>-</v>
      </c>
      <c r="AE49" s="195">
        <v>47</v>
      </c>
      <c r="AF49" s="44" t="str">
        <f>IF(VLOOKUP(AE49,Расчет!$AH$2:$AN$201,5,FALSE)="8","C",IF(VLOOKUP(AE49,Расчет!$AH$2:$AN$201,5,FALSE)="G","G","R"))</f>
        <v>C</v>
      </c>
      <c r="AG49" s="73" t="str">
        <f t="shared" si="2"/>
        <v>C</v>
      </c>
      <c r="AH49" s="87">
        <f>IF(AG49="","",COUNTIF($AG$2:AG49,"C")-COUNTIF($AF$2:AF49,"C")+$AH$1)</f>
        <v>0</v>
      </c>
      <c r="AI49" s="87">
        <f>IF(AG49="","",COUNTIF($AG$2:AG49,"R")-COUNTIF($AF$2:AF49,"R")+$AI$1)</f>
        <v>0</v>
      </c>
      <c r="AJ49" s="89">
        <v>150</v>
      </c>
      <c r="AK49" s="44" t="str">
        <f>IF(VLOOKUP(AJ49,Расчет!$AH$2:$AN$211,5,FALSE)="8","C",IF(VLOOKUP(AJ49,Расчет!$AH$2:$AN$211,5,FALSE)="G","G","R"))</f>
        <v>C</v>
      </c>
      <c r="AL49" s="74" t="str">
        <f t="shared" si="3"/>
        <v/>
      </c>
      <c r="AM49" s="118" t="str">
        <f>IF(AL49="","",(COUNTIF($AG$2:$AG$105,"C")+COUNTIF($AL$2:$AL49,"C"))-(COUNTIF($AF$2:$AF$105,"C")+COUNTIF($AK$2:$AK49,"C"))+$AH$1)</f>
        <v/>
      </c>
      <c r="AN49" s="119" t="str">
        <f>IF(AL49="","",(COUNTIF($AG$2:$AG$105,"R")+COUNTIF($AL$2:$AL49,"R"))-(COUNTIF($AF$2:$AF$105,"R")+COUNTIF($AK$2:$AK49,"R"))+$AI$1)</f>
        <v/>
      </c>
      <c r="AO49" s="22">
        <f>IF(E49="","",COUNTA($E$3:E49)+$Z$1)</f>
        <v>142</v>
      </c>
      <c r="AP49" s="88">
        <f>IF(AO49="","",IF(AO49+Расчет!$Y$57+$BD$2-Расчет!$X$57&gt;200,AO49+Расчет!$Y$57+$BD$2-1000,AO49+Расчет!$Y$57+$BD$2))</f>
        <v>11212</v>
      </c>
      <c r="AR49" s="92"/>
      <c r="AS49" s="92"/>
      <c r="AX49" s="53"/>
      <c r="AY49" s="53"/>
      <c r="AZ49" s="53"/>
      <c r="BA49" s="53"/>
      <c r="BB49" s="53"/>
      <c r="BC49" s="53"/>
      <c r="BD49" s="53"/>
      <c r="BE49" s="77"/>
      <c r="BF49" s="77"/>
      <c r="BG49" s="77"/>
      <c r="BL49" s="172">
        <f>COUNTIF($BM$5:BM49,"&lt;-115")</f>
        <v>0</v>
      </c>
      <c r="BM49" s="154">
        <f>IFERROR(IF(OR(IFERROR(VLOOKUP(BN49,$E$3:$E$105,1,FALSE),"0")=BN49,IFERROR(VLOOKUP(BN49,$R$3:$R$105,1,FALSE),"0")=BN49),BO49,IF(OR(VLOOKUP(BN49,Расчет!A:E,5,FALSE)="2PS",VLOOKUP(BN49,Расчет!A:E,5,FALSE)="2QL"),IF(VLOOKUP(BN49,Расчет!A:B,2,FALSE)="831W",BN49-$BS$7+$AD$17,BN49-$BS$7+$AD$12),BN49-$BS$7)),"-")</f>
        <v>16</v>
      </c>
      <c r="BN49" s="154">
        <f>IF(OR(Расчет!C46="A0",Расчет!C46="P9",Расчет!B46="722W"),"-",Расчет!A46)</f>
        <v>11191</v>
      </c>
      <c r="BO49" s="173">
        <f t="shared" si="14"/>
        <v>16</v>
      </c>
      <c r="BP49" s="172" t="str">
        <f>IF(BQ49="-","-",IFERROR(IF(OR(VLOOKUP(BN49,Расчет!$A$2:$E$582,5,FALSE)="2PS",VLOOKUP(BN49,Расчет!$A$2:$E$582,5,FALSE)="2QL"),IF(OR(VLOOKUP(BN49,Расчет!$A$2:$E$582,2,FALSE)="664W",VLOOKUP(BN49,Расчет!$A$2:$E$582,2,FALSE)="813W"),IF(BN49-$BS$7&gt;150,BN49-$BS$7-1000+$AD$12,BN49-$BS$7+$AD$12),IF(BN49-$BS$7&gt;150,BN49-$BS$7-1000+$AD$17,BN49-$BS$7+$AD$17)),IF(BN49-$BS$7&gt;150,BN49-$BS$7-1000,BN49-$BS$7)),"-"))</f>
        <v>-</v>
      </c>
      <c r="BQ49" s="173" t="str">
        <f t="shared" si="11"/>
        <v>-</v>
      </c>
      <c r="BR49" s="453"/>
      <c r="BS49" s="171"/>
      <c r="BT49" s="464" t="str">
        <f t="shared" si="12"/>
        <v>-</v>
      </c>
      <c r="BU49" s="464" t="str">
        <f t="shared" si="13"/>
        <v>-</v>
      </c>
      <c r="BX49" s="204">
        <f>COUNTIF($BY$4:BY49,"&lt;100")</f>
        <v>46</v>
      </c>
      <c r="BY49" s="213">
        <f t="shared" si="25"/>
        <v>0</v>
      </c>
      <c r="BZ49" s="216">
        <f t="shared" si="25"/>
        <v>0</v>
      </c>
      <c r="CA49" s="213">
        <f t="shared" si="5"/>
        <v>0</v>
      </c>
      <c r="CB49" s="209">
        <f t="shared" si="6"/>
        <v>0</v>
      </c>
      <c r="CC49" s="205">
        <f t="shared" si="15"/>
        <v>0</v>
      </c>
      <c r="CD49" s="205">
        <f t="shared" si="7"/>
        <v>-4</v>
      </c>
      <c r="CE49" s="205">
        <f t="shared" si="16"/>
        <v>0</v>
      </c>
      <c r="CG49" s="20" t="str">
        <f t="shared" si="24"/>
        <v>Standard</v>
      </c>
    </row>
    <row r="50" spans="1:85" ht="23.1" customHeight="1">
      <c r="A50" s="40">
        <f>IF(AND(IFERROR(VLOOKUP(E50,Расчет!A:J,10,FALSE),"  ")&lt;&gt;"  ",IFERROR(LEFT(VLOOKUP(E50,Расчет!A:J,10,FALSE),1)," ")&lt;&gt;"H"),0,IFERROR(IF(F50="Camry",IF(OR(J50="2PS",J50="2QL"),IF(E50-AP50&gt;100,E50-AP50-1000+$AD$12,E50-AP50+$AD$12),IF(E50-AP50&gt;100,E50-AP50-1000,E50-AP50)),IF(J50="2PS",IF(E50-AP50&gt;100,E50-AP50-1000+$AD$17,E50-AP50+$AD$17),IF(E50-AP50&gt;100,E50-AP50-1000,E50-AP50))),"-"))</f>
        <v>21</v>
      </c>
      <c r="B50" s="46">
        <v>48</v>
      </c>
      <c r="C50" s="19">
        <f>IF(E50="","",COUNTA($E$3:E50))</f>
        <v>48</v>
      </c>
      <c r="D50" s="18">
        <f t="shared" si="0"/>
        <v>143</v>
      </c>
      <c r="E50" s="30">
        <v>11134</v>
      </c>
      <c r="F50" s="44" t="str">
        <f>IFERROR(IF(VLOOKUP(E50,Расчет!$A$2:$B$650,2,FALSE)="664W","Camry",IF(VLOOKUP(E50,Расчет!$A$2:$B$650,2,FALSE)="813W","Goshi","RAV4")),"")</f>
        <v>RAV4</v>
      </c>
      <c r="G50" s="32" t="str">
        <f>IFERROR(IF(F50="Camry",VLOOKUP(E50,Расчет!$A$2:$Q$650,17,FALSE),VLOOKUP(E50,Расчет!$A$2:$R$650,18,FALSE)),"")</f>
        <v>CVT</v>
      </c>
      <c r="H50" s="32" t="str">
        <f>IFERROR(VLOOKUP(VLOOKUP(E50,Расчет!$A:$D,4,FALSE),$AT$6:$AV$15,3,FALSE),"")</f>
        <v>4WD</v>
      </c>
      <c r="I50" s="31" t="str">
        <f>IFERROR(VLOOKUP(IFERROR(VLOOKUP(E50,Расчет!$A$2:$D$650,4,FALSE),0),$AT$3:$AU$15,2,FALSE),"")</f>
        <v>2,0 L</v>
      </c>
      <c r="J50" s="33" t="str">
        <f>IFERROR(VLOOKUP(E50,Расчет!$A$2:$E$650,5,FALSE),"")</f>
        <v>2PS</v>
      </c>
      <c r="K50" s="189">
        <v>0.81630787037037045</v>
      </c>
      <c r="L50" s="188">
        <f t="shared" si="9"/>
        <v>1.8634259259260322E-3</v>
      </c>
      <c r="M50" s="38"/>
      <c r="N50" s="40" t="str">
        <f>IF(AND(IFERROR(VLOOKUP(R50,Расчет!A:J,10,FALSE),"  ")&lt;&gt;"  ",IFERROR(LEFT(VLOOKUP(R50,Расчет!A:J,10,FALSE),1)," ")&lt;&gt;"H"),0,IFERROR(IF(S50="Camry",IF(OR(W50="2PS",W50="2QL"),IF(R50-AP153&gt;100,R50-AP153-1000+$AD$12,R50-AP153+$AD$12),IF(R50-AP153&gt;100,R50-AP153-1000,R50-AP153)),IF(W50="2PS",IF(R50-AP153&gt;100,R50-AP153-1000+$AD$17,R50-AP153+$AD$17),IF(R50-AP153&gt;100,R50-AP153-1000,R50-AP153))),"-"))</f>
        <v>-</v>
      </c>
      <c r="O50" s="46">
        <v>151</v>
      </c>
      <c r="P50" s="19" t="str">
        <f>IF(R50="","",COUNTA($R$3:R50)+$C$105)</f>
        <v/>
      </c>
      <c r="Q50" s="18" t="str">
        <f t="shared" si="1"/>
        <v/>
      </c>
      <c r="R50" s="30"/>
      <c r="S50" s="45" t="str">
        <f>IFERROR(IF(VLOOKUP(R50,Расчет!$A$2:$B$650,2,FALSE)="664W","Camry",IF(VLOOKUP(R50,Расчет!$A$2:$B$650,2,FALSE)="813W","Goshi","RAV4")),"")</f>
        <v/>
      </c>
      <c r="T50" s="32" t="str">
        <f>IFERROR(IF(S50="Camry",VLOOKUP(R50,Расчет!$A$2:$Q$650,17,FALSE),VLOOKUP(R50,Расчет!$A$2:$R$650,18,FALSE)),"")</f>
        <v/>
      </c>
      <c r="U50" s="32" t="str">
        <f>IFERROR(VLOOKUP(VLOOKUP(R50,Расчет!$A:$D,4,FALSE),$AT$6:$AV$15,3,FALSE),"")</f>
        <v/>
      </c>
      <c r="V50" s="31" t="str">
        <f>IFERROR(VLOOKUP(IFERROR(VLOOKUP(R50,Расчет!$A$2:$D$650,4,FALSE),0),$AT$3:$AU$15,2,FALSE),"")</f>
        <v/>
      </c>
      <c r="W50" s="33" t="str">
        <f>IFERROR(VLOOKUP(R50,Расчет!$A$2:$E$650,5,FALSE),"")</f>
        <v/>
      </c>
      <c r="X50" s="189"/>
      <c r="Y50" s="191">
        <f t="shared" si="10"/>
        <v>0</v>
      </c>
      <c r="Z50" s="524"/>
      <c r="AA50" s="525"/>
      <c r="AB50" s="420" t="str">
        <f>IFERROR(VLOOKUP(AC50,Расчет!$BS:$BT,2,FALSE),"")</f>
        <v/>
      </c>
      <c r="AC50" s="193"/>
      <c r="AD50" s="196" t="str">
        <f>IFERROR(IF(VLOOKUP(AC50,Расчет!$A$2:$B$350,2,FALSE)="664W","Camry","RAV4"),"-")</f>
        <v>-</v>
      </c>
      <c r="AE50" s="195">
        <v>48</v>
      </c>
      <c r="AF50" s="44" t="str">
        <f>IF(VLOOKUP(AE50,Расчет!$AH$2:$AN$201,5,FALSE)="8","C",IF(VLOOKUP(AE50,Расчет!$AH$2:$AN$201,5,FALSE)="G","G","R"))</f>
        <v>R</v>
      </c>
      <c r="AG50" s="73" t="str">
        <f t="shared" si="2"/>
        <v>R</v>
      </c>
      <c r="AH50" s="87">
        <f>IF(AG50="","",COUNTIF($AG$2:AG50,"C")-COUNTIF($AF$2:AF50,"C")+$AH$1)</f>
        <v>0</v>
      </c>
      <c r="AI50" s="87">
        <f>IF(AG50="","",COUNTIF($AG$2:AG50,"R")-COUNTIF($AF$2:AF50,"R")+$AI$1)</f>
        <v>0</v>
      </c>
      <c r="AJ50" s="89">
        <v>151</v>
      </c>
      <c r="AK50" s="44" t="str">
        <f>IF(VLOOKUP(AJ50,Расчет!$AH$2:$AN$211,5,FALSE)="8","C",IF(VLOOKUP(AJ50,Расчет!$AH$2:$AN$211,5,FALSE)="G","G","R"))</f>
        <v>R</v>
      </c>
      <c r="AL50" s="74" t="str">
        <f t="shared" si="3"/>
        <v/>
      </c>
      <c r="AM50" s="118" t="str">
        <f>IF(AL50="","",(COUNTIF($AG$2:$AG$105,"C")+COUNTIF($AL$2:$AL50,"C"))-(COUNTIF($AF$2:$AF$105,"C")+COUNTIF($AK$2:$AK50,"C"))+$AH$1)</f>
        <v/>
      </c>
      <c r="AN50" s="119" t="str">
        <f>IF(AL50="","",(COUNTIF($AG$2:$AG$105,"R")+COUNTIF($AL$2:$AL50,"R"))-(COUNTIF($AF$2:$AF$105,"R")+COUNTIF($AK$2:$AK50,"R"))+$AI$1)</f>
        <v/>
      </c>
      <c r="AO50" s="22">
        <f>IF(E50="","",COUNTA($E$3:E50)+$Z$1)</f>
        <v>143</v>
      </c>
      <c r="AP50" s="88">
        <f>IF(AO50="","",IF(AO50+Расчет!$Y$57+$BD$2-Расчет!$X$57&gt;200,AO50+Расчет!$Y$57+$BD$2-1000,AO50+Расчет!$Y$57+$BD$2))</f>
        <v>11213</v>
      </c>
      <c r="AR50" s="92"/>
      <c r="AS50" s="92"/>
      <c r="BL50" s="172">
        <f>COUNTIF($BM$5:BM50,"&lt;-115")</f>
        <v>0</v>
      </c>
      <c r="BM50" s="154">
        <f>IFERROR(IF(OR(IFERROR(VLOOKUP(BN50,$E$3:$E$105,1,FALSE),"0")=BN50,IFERROR(VLOOKUP(BN50,$R$3:$R$105,1,FALSE),"0")=BN50),BO50,IF(OR(VLOOKUP(BN50,Расчет!A:E,5,FALSE)="2PS",VLOOKUP(BN50,Расчет!A:E,5,FALSE)="2QL"),IF(VLOOKUP(BN50,Расчет!A:B,2,FALSE)="831W",BN50-$BS$7+$AD$17,BN50-$BS$7+$AD$12),BN50-$BS$7)),"-")</f>
        <v>9</v>
      </c>
      <c r="BN50" s="154">
        <f>IF(OR(Расчет!C47="A0",Расчет!C47="P9",Расчет!B47="722W"),"-",Расчет!A47)</f>
        <v>11192</v>
      </c>
      <c r="BO50" s="173">
        <f t="shared" si="14"/>
        <v>9</v>
      </c>
      <c r="BP50" s="172" t="str">
        <f>IF(BQ50="-","-",IFERROR(IF(OR(VLOOKUP(BN50,Расчет!$A$2:$E$582,5,FALSE)="2PS",VLOOKUP(BN50,Расчет!$A$2:$E$582,5,FALSE)="2QL"),IF(OR(VLOOKUP(BN50,Расчет!$A$2:$E$582,2,FALSE)="664W",VLOOKUP(BN50,Расчет!$A$2:$E$582,2,FALSE)="813W"),IF(BN50-$BS$7&gt;150,BN50-$BS$7-1000+$AD$12,BN50-$BS$7+$AD$12),IF(BN50-$BS$7&gt;150,BN50-$BS$7-1000+$AD$17,BN50-$BS$7+$AD$17)),IF(BN50-$BS$7&gt;150,BN50-$BS$7-1000,BN50-$BS$7)),"-"))</f>
        <v>-</v>
      </c>
      <c r="BQ50" s="173" t="str">
        <f t="shared" si="11"/>
        <v>-</v>
      </c>
      <c r="BR50" s="453"/>
      <c r="BS50" s="171"/>
      <c r="BT50" s="464" t="str">
        <f t="shared" si="12"/>
        <v>-</v>
      </c>
      <c r="BU50" s="464" t="str">
        <f t="shared" si="13"/>
        <v>-</v>
      </c>
      <c r="BX50" s="204">
        <f>COUNTIF($BY$4:BY50,"&lt;100")</f>
        <v>47</v>
      </c>
      <c r="BY50" s="213">
        <f t="shared" si="25"/>
        <v>0</v>
      </c>
      <c r="BZ50" s="216">
        <f t="shared" si="25"/>
        <v>0</v>
      </c>
      <c r="CA50" s="213">
        <f t="shared" si="5"/>
        <v>0</v>
      </c>
      <c r="CB50" s="209">
        <f t="shared" si="6"/>
        <v>0</v>
      </c>
      <c r="CC50" s="205">
        <f t="shared" si="15"/>
        <v>0</v>
      </c>
      <c r="CD50" s="205">
        <f t="shared" si="7"/>
        <v>22</v>
      </c>
      <c r="CE50" s="205">
        <f t="shared" si="16"/>
        <v>0</v>
      </c>
      <c r="CG50" s="20" t="str">
        <f t="shared" si="24"/>
        <v>Auto</v>
      </c>
    </row>
    <row r="51" spans="1:85" ht="23.1" customHeight="1">
      <c r="A51" s="40">
        <f>IF(AND(IFERROR(VLOOKUP(E51,Расчет!A:J,10,FALSE),"  ")&lt;&gt;"  ",IFERROR(LEFT(VLOOKUP(E51,Расчет!A:J,10,FALSE),1)," ")&lt;&gt;"H"),0,IFERROR(IF(F51="Camry",IF(OR(J51="2PS",J51="2QL"),IF(E51-AP51&gt;100,E51-AP51-1000+$AD$12,E51-AP51+$AD$12),IF(E51-AP51&gt;100,E51-AP51-1000,E51-AP51)),IF(J51="2PS",IF(E51-AP51&gt;100,E51-AP51-1000+$AD$17,E51-AP51+$AD$17),IF(E51-AP51&gt;100,E51-AP51-1000,E51-AP51))),"-"))</f>
        <v>20</v>
      </c>
      <c r="B51" s="46">
        <v>49</v>
      </c>
      <c r="C51" s="19">
        <f>IF(E51="","",COUNTA($E$3:E51))</f>
        <v>49</v>
      </c>
      <c r="D51" s="18">
        <f t="shared" si="0"/>
        <v>144</v>
      </c>
      <c r="E51" s="30">
        <v>11234</v>
      </c>
      <c r="F51" s="44" t="str">
        <f>IFERROR(IF(VLOOKUP(E51,Расчет!$A$2:$B$650,2,FALSE)="664W","Camry",IF(VLOOKUP(E51,Расчет!$A$2:$B$650,2,FALSE)="813W","Goshi","RAV4")),"")</f>
        <v>RAV4</v>
      </c>
      <c r="G51" s="32" t="str">
        <f>IFERROR(IF(F51="Camry",VLOOKUP(E51,Расчет!$A$2:$Q$650,17,FALSE),VLOOKUP(E51,Расчет!$A$2:$R$650,18,FALSE)),"")</f>
        <v>CVT</v>
      </c>
      <c r="H51" s="32" t="str">
        <f>IFERROR(VLOOKUP(VLOOKUP(E51,Расчет!$A:$D,4,FALSE),$AT$6:$AV$15,3,FALSE),"")</f>
        <v>FF</v>
      </c>
      <c r="I51" s="31" t="str">
        <f>IFERROR(VLOOKUP(IFERROR(VLOOKUP(E51,Расчет!$A$2:$D$650,4,FALSE),0),$AT$3:$AU$15,2,FALSE),"")</f>
        <v>2,0 L</v>
      </c>
      <c r="J51" s="33" t="str">
        <f>IFERROR(VLOOKUP(E51,Расчет!$A$2:$E$650,5,FALSE),"")</f>
        <v>089</v>
      </c>
      <c r="K51" s="189">
        <v>0.81798611111111119</v>
      </c>
      <c r="L51" s="188">
        <f t="shared" si="9"/>
        <v>1.678240740740744E-3</v>
      </c>
      <c r="M51" s="38"/>
      <c r="N51" s="40" t="str">
        <f>IF(AND(IFERROR(VLOOKUP(R51,Расчет!A:J,10,FALSE),"  ")&lt;&gt;"  ",IFERROR(LEFT(VLOOKUP(R51,Расчет!A:J,10,FALSE),1)," ")&lt;&gt;"H"),0,IFERROR(IF(S51="Camry",IF(OR(W51="2PS",W51="2QL"),IF(R51-AP154&gt;100,R51-AP154-1000+$AD$12,R51-AP154+$AD$12),IF(R51-AP154&gt;100,R51-AP154-1000,R51-AP154)),IF(W51="2PS",IF(R51-AP154&gt;100,R51-AP154-1000+$AD$17,R51-AP154+$AD$17),IF(R51-AP154&gt;100,R51-AP154-1000,R51-AP154))),"-"))</f>
        <v>-</v>
      </c>
      <c r="O51" s="46">
        <v>152</v>
      </c>
      <c r="P51" s="19" t="str">
        <f>IF(R51="","",COUNTA($R$3:R51)+$C$105)</f>
        <v/>
      </c>
      <c r="Q51" s="18" t="str">
        <f t="shared" si="1"/>
        <v/>
      </c>
      <c r="R51" s="30"/>
      <c r="S51" s="45" t="str">
        <f>IFERROR(IF(VLOOKUP(R51,Расчет!$A$2:$B$650,2,FALSE)="664W","Camry",IF(VLOOKUP(R51,Расчет!$A$2:$B$650,2,FALSE)="813W","Goshi","RAV4")),"")</f>
        <v/>
      </c>
      <c r="T51" s="32" t="str">
        <f>IFERROR(IF(S51="Camry",VLOOKUP(R51,Расчет!$A$2:$Q$650,17,FALSE),VLOOKUP(R51,Расчет!$A$2:$R$650,18,FALSE)),"")</f>
        <v/>
      </c>
      <c r="U51" s="32" t="str">
        <f>IFERROR(VLOOKUP(VLOOKUP(R51,Расчет!$A:$D,4,FALSE),$AT$6:$AV$15,3,FALSE),"")</f>
        <v/>
      </c>
      <c r="V51" s="31" t="str">
        <f>IFERROR(VLOOKUP(IFERROR(VLOOKUP(R51,Расчет!$A$2:$D$650,4,FALSE),0),$AT$3:$AU$15,2,FALSE),"")</f>
        <v/>
      </c>
      <c r="W51" s="33" t="str">
        <f>IFERROR(VLOOKUP(R51,Расчет!$A$2:$E$650,5,FALSE),"")</f>
        <v/>
      </c>
      <c r="X51" s="189"/>
      <c r="Y51" s="191">
        <f t="shared" si="10"/>
        <v>0</v>
      </c>
      <c r="Z51" s="524"/>
      <c r="AA51" s="525"/>
      <c r="AB51" s="420" t="str">
        <f>IFERROR(VLOOKUP(AC51,Расчет!$BS:$BT,2,FALSE),"")</f>
        <v/>
      </c>
      <c r="AC51" s="193"/>
      <c r="AD51" s="196" t="str">
        <f>IFERROR(IF(VLOOKUP(AC51,Расчет!$A$2:$B$350,2,FALSE)="664W","Camry","RAV4"),"-")</f>
        <v>-</v>
      </c>
      <c r="AE51" s="195">
        <v>49</v>
      </c>
      <c r="AF51" s="44" t="str">
        <f>IF(VLOOKUP(AE51,Расчет!$AH$2:$AN$201,5,FALSE)="8","C",IF(VLOOKUP(AE51,Расчет!$AH$2:$AN$201,5,FALSE)="G","G","R"))</f>
        <v>R</v>
      </c>
      <c r="AG51" s="73" t="str">
        <f t="shared" si="2"/>
        <v>R</v>
      </c>
      <c r="AH51" s="87">
        <f>IF(AG51="","",COUNTIF($AG$2:AG51,"C")-COUNTIF($AF$2:AF51,"C")+$AH$1)</f>
        <v>0</v>
      </c>
      <c r="AI51" s="87">
        <f>IF(AG51="","",COUNTIF($AG$2:AG51,"R")-COUNTIF($AF$2:AF51,"R")+$AI$1)</f>
        <v>0</v>
      </c>
      <c r="AJ51" s="89">
        <v>152</v>
      </c>
      <c r="AK51" s="44" t="str">
        <f>IF(VLOOKUP(AJ51,Расчет!$AH$2:$AN$211,5,FALSE)="8","C",IF(VLOOKUP(AJ51,Расчет!$AH$2:$AN$211,5,FALSE)="G","G","R"))</f>
        <v>R</v>
      </c>
      <c r="AL51" s="74" t="str">
        <f t="shared" si="3"/>
        <v/>
      </c>
      <c r="AM51" s="118" t="str">
        <f>IF(AL51="","",(COUNTIF($AG$2:$AG$105,"C")+COUNTIF($AL$2:$AL51,"C"))-(COUNTIF($AF$2:$AF$105,"C")+COUNTIF($AK$2:$AK51,"C"))+$AH$1)</f>
        <v/>
      </c>
      <c r="AN51" s="119" t="str">
        <f>IF(AL51="","",(COUNTIF($AG$2:$AG$105,"R")+COUNTIF($AL$2:$AL51,"R"))-(COUNTIF($AF$2:$AF$105,"R")+COUNTIF($AK$2:$AK51,"R"))+$AI$1)</f>
        <v/>
      </c>
      <c r="AO51" s="22">
        <f>IF(E51="","",COUNTA($E$3:E51)+$Z$1)</f>
        <v>144</v>
      </c>
      <c r="AP51" s="88">
        <f>IF(AO51="","",IF(AO51+Расчет!$Y$57+$BD$2-Расчет!$X$57&gt;200,AO51+Расчет!$Y$57+$BD$2-1000,AO51+Расчет!$Y$57+$BD$2))</f>
        <v>11214</v>
      </c>
      <c r="AR51" s="92"/>
      <c r="AS51" s="92"/>
      <c r="BL51" s="172">
        <f>COUNTIF($BM$5:BM51,"&lt;-115")</f>
        <v>0</v>
      </c>
      <c r="BM51" s="154">
        <f>IFERROR(IF(OR(IFERROR(VLOOKUP(BN51,$E$3:$E$105,1,FALSE),"0")=BN51,IFERROR(VLOOKUP(BN51,$R$3:$R$105,1,FALSE),"0")=BN51),BO51,IF(OR(VLOOKUP(BN51,Расчет!A:E,5,FALSE)="2PS",VLOOKUP(BN51,Расчет!A:E,5,FALSE)="2QL"),IF(VLOOKUP(BN51,Расчет!A:B,2,FALSE)="831W",BN51-$BS$7+$AD$17,BN51-$BS$7+$AD$12),BN51-$BS$7)),"-")</f>
        <v>21</v>
      </c>
      <c r="BN51" s="154">
        <f>IF(OR(Расчет!C48="A0",Расчет!C48="P9",Расчет!B48="722W"),"-",Расчет!A48)</f>
        <v>11193</v>
      </c>
      <c r="BO51" s="173">
        <f t="shared" si="14"/>
        <v>21</v>
      </c>
      <c r="BP51" s="172" t="str">
        <f>IF(BQ51="-","-",IFERROR(IF(OR(VLOOKUP(BN51,Расчет!$A$2:$E$582,5,FALSE)="2PS",VLOOKUP(BN51,Расчет!$A$2:$E$582,5,FALSE)="2QL"),IF(OR(VLOOKUP(BN51,Расчет!$A$2:$E$582,2,FALSE)="664W",VLOOKUP(BN51,Расчет!$A$2:$E$582,2,FALSE)="813W"),IF(BN51-$BS$7&gt;150,BN51-$BS$7-1000+$AD$12,BN51-$BS$7+$AD$12),IF(BN51-$BS$7&gt;150,BN51-$BS$7-1000+$AD$17,BN51-$BS$7+$AD$17)),IF(BN51-$BS$7&gt;150,BN51-$BS$7-1000,BN51-$BS$7)),"-"))</f>
        <v>-</v>
      </c>
      <c r="BQ51" s="173" t="str">
        <f t="shared" si="11"/>
        <v>-</v>
      </c>
      <c r="BR51" s="453"/>
      <c r="BS51" s="171"/>
      <c r="BT51" s="464" t="str">
        <f t="shared" si="12"/>
        <v>-</v>
      </c>
      <c r="BU51" s="464" t="str">
        <f t="shared" si="13"/>
        <v>-</v>
      </c>
      <c r="BX51" s="204">
        <f>COUNTIF($BY$4:BY51,"&lt;100")</f>
        <v>48</v>
      </c>
      <c r="BY51" s="213">
        <f t="shared" si="25"/>
        <v>0</v>
      </c>
      <c r="BZ51" s="216">
        <f t="shared" si="25"/>
        <v>0</v>
      </c>
      <c r="CA51" s="213">
        <f t="shared" si="5"/>
        <v>0</v>
      </c>
      <c r="CB51" s="209">
        <f t="shared" si="6"/>
        <v>0</v>
      </c>
      <c r="CC51" s="205">
        <f t="shared" si="15"/>
        <v>0</v>
      </c>
      <c r="CD51" s="205">
        <f t="shared" si="7"/>
        <v>21</v>
      </c>
      <c r="CE51" s="205">
        <f t="shared" si="16"/>
        <v>0</v>
      </c>
      <c r="CG51" s="20" t="str">
        <f t="shared" si="24"/>
        <v>Auto</v>
      </c>
    </row>
    <row r="52" spans="1:85" ht="23.1" customHeight="1">
      <c r="A52" s="40">
        <f>IF(AND(IFERROR(VLOOKUP(E52,Расчет!A:J,10,FALSE),"  ")&lt;&gt;"  ",IFERROR(LEFT(VLOOKUP(E52,Расчет!A:J,10,FALSE),1)," ")&lt;&gt;"H"),0,IFERROR(IF(F52="Camry",IF(OR(J52="2PS",J52="2QL"),IF(E52-AP52&gt;100,E52-AP52-1000+$AD$12,E52-AP52+$AD$12),IF(E52-AP52&gt;100,E52-AP52-1000,E52-AP52)),IF(J52="2PS",IF(E52-AP52&gt;100,E52-AP52-1000+$AD$17,E52-AP52+$AD$17),IF(E52-AP52&gt;100,E52-AP52-1000,E52-AP52))),"-"))</f>
        <v>18</v>
      </c>
      <c r="B52" s="46">
        <v>50</v>
      </c>
      <c r="C52" s="19">
        <f>IF(E52="","",COUNTA($E$3:E52))</f>
        <v>50</v>
      </c>
      <c r="D52" s="18">
        <f t="shared" si="0"/>
        <v>145</v>
      </c>
      <c r="E52" s="30">
        <v>11233</v>
      </c>
      <c r="F52" s="44" t="str">
        <f>IFERROR(IF(VLOOKUP(E52,Расчет!$A$2:$B$650,2,FALSE)="664W","Camry",IF(VLOOKUP(E52,Расчет!$A$2:$B$650,2,FALSE)="813W","Goshi","RAV4")),"")</f>
        <v>Camry</v>
      </c>
      <c r="G52" s="32" t="str">
        <f>IFERROR(IF(F52="Camry",VLOOKUP(E52,Расчет!$A$2:$Q$650,17,FALSE),VLOOKUP(E52,Расчет!$A$2:$R$650,18,FALSE)),"")</f>
        <v>Rich</v>
      </c>
      <c r="H52" s="32" t="str">
        <f>IFERROR(VLOOKUP(VLOOKUP(E52,Расчет!$A:$D,4,FALSE),$AT$6:$AV$15,3,FALSE),"")</f>
        <v/>
      </c>
      <c r="I52" s="31" t="str">
        <f>IFERROR(VLOOKUP(IFERROR(VLOOKUP(E52,Расчет!$A$2:$D$650,4,FALSE),0),$AT$3:$AU$15,2,FALSE),"")</f>
        <v>3,5 L</v>
      </c>
      <c r="J52" s="33" t="str">
        <f>IFERROR(VLOOKUP(E52,Расчет!$A$2:$E$650,5,FALSE),"")</f>
        <v>218</v>
      </c>
      <c r="K52" s="189">
        <v>0.81989583333333327</v>
      </c>
      <c r="L52" s="188">
        <f t="shared" si="9"/>
        <v>1.9097222222220767E-3</v>
      </c>
      <c r="M52" s="38"/>
      <c r="N52" s="40" t="str">
        <f>IF(AND(IFERROR(VLOOKUP(R52,Расчет!A:J,10,FALSE),"  ")&lt;&gt;"  ",IFERROR(LEFT(VLOOKUP(R52,Расчет!A:J,10,FALSE),1)," ")&lt;&gt;"H"),0,IFERROR(IF(S52="Camry",IF(OR(W52="2PS",W52="2QL"),IF(R52-AP155&gt;100,R52-AP155-1000+$AD$12,R52-AP155+$AD$12),IF(R52-AP155&gt;100,R52-AP155-1000,R52-AP155)),IF(W52="2PS",IF(R52-AP155&gt;100,R52-AP155-1000+$AD$17,R52-AP155+$AD$17),IF(R52-AP155&gt;100,R52-AP155-1000,R52-AP155))),"-"))</f>
        <v>-</v>
      </c>
      <c r="O52" s="46">
        <v>153</v>
      </c>
      <c r="P52" s="19" t="str">
        <f>IF(R52="","",COUNTA($R$3:R52)+$C$105)</f>
        <v/>
      </c>
      <c r="Q52" s="18" t="str">
        <f t="shared" si="1"/>
        <v/>
      </c>
      <c r="R52" s="30"/>
      <c r="S52" s="45" t="str">
        <f>IFERROR(IF(VLOOKUP(R52,Расчет!$A$2:$B$650,2,FALSE)="664W","Camry",IF(VLOOKUP(R52,Расчет!$A$2:$B$650,2,FALSE)="813W","Goshi","RAV4")),"")</f>
        <v/>
      </c>
      <c r="T52" s="32" t="str">
        <f>IFERROR(IF(S52="Camry",VLOOKUP(R52,Расчет!$A$2:$Q$650,17,FALSE),VLOOKUP(R52,Расчет!$A$2:$R$650,18,FALSE)),"")</f>
        <v/>
      </c>
      <c r="U52" s="32" t="str">
        <f>IFERROR(VLOOKUP(VLOOKUP(R52,Расчет!$A:$D,4,FALSE),$AT$6:$AV$15,3,FALSE),"")</f>
        <v/>
      </c>
      <c r="V52" s="31" t="str">
        <f>IFERROR(VLOOKUP(IFERROR(VLOOKUP(R52,Расчет!$A$2:$D$650,4,FALSE),0),$AT$3:$AU$15,2,FALSE),"")</f>
        <v/>
      </c>
      <c r="W52" s="33" t="str">
        <f>IFERROR(VLOOKUP(R52,Расчет!$A$2:$E$650,5,FALSE),"")</f>
        <v/>
      </c>
      <c r="X52" s="189"/>
      <c r="Y52" s="191">
        <f t="shared" si="10"/>
        <v>0</v>
      </c>
      <c r="Z52" s="524"/>
      <c r="AA52" s="525"/>
      <c r="AB52" s="420" t="str">
        <f>IFERROR(VLOOKUP(AC52,Расчет!$BS:$BT,2,FALSE),"")</f>
        <v/>
      </c>
      <c r="AC52" s="193"/>
      <c r="AD52" s="196" t="str">
        <f>IFERROR(IF(VLOOKUP(AC52,Расчет!$A$2:$B$350,2,FALSE)="664W","Camry","RAV4"),"-")</f>
        <v>-</v>
      </c>
      <c r="AE52" s="195">
        <v>50</v>
      </c>
      <c r="AF52" s="44" t="str">
        <f>IF(VLOOKUP(AE52,Расчет!$AH$2:$AN$201,5,FALSE)="8","C",IF(VLOOKUP(AE52,Расчет!$AH$2:$AN$201,5,FALSE)="G","G","R"))</f>
        <v>C</v>
      </c>
      <c r="AG52" s="73" t="str">
        <f t="shared" si="2"/>
        <v>C</v>
      </c>
      <c r="AH52" s="87">
        <f>IF(AG52="","",COUNTIF($AG$2:AG52,"C")-COUNTIF($AF$2:AF52,"C")+$AH$1)</f>
        <v>0</v>
      </c>
      <c r="AI52" s="87">
        <f>IF(AG52="","",COUNTIF($AG$2:AG52,"R")-COUNTIF($AF$2:AF52,"R")+$AI$1)</f>
        <v>0</v>
      </c>
      <c r="AJ52" s="89">
        <v>153</v>
      </c>
      <c r="AK52" s="44" t="str">
        <f>IF(VLOOKUP(AJ52,Расчет!$AH$2:$AN$211,5,FALSE)="8","C",IF(VLOOKUP(AJ52,Расчет!$AH$2:$AN$211,5,FALSE)="G","G","R"))</f>
        <v>C</v>
      </c>
      <c r="AL52" s="74" t="str">
        <f t="shared" si="3"/>
        <v/>
      </c>
      <c r="AM52" s="118" t="str">
        <f>IF(AL52="","",(COUNTIF($AG$2:$AG$105,"C")+COUNTIF($AL$2:$AL52,"C"))-(COUNTIF($AF$2:$AF$105,"C")+COUNTIF($AK$2:$AK52,"C"))+$AH$1)</f>
        <v/>
      </c>
      <c r="AN52" s="119" t="str">
        <f>IF(AL52="","",(COUNTIF($AG$2:$AG$105,"R")+COUNTIF($AL$2:$AL52,"R"))-(COUNTIF($AF$2:$AF$105,"R")+COUNTIF($AK$2:$AK52,"R"))+$AI$1)</f>
        <v/>
      </c>
      <c r="AO52" s="22">
        <f>IF(E52="","",COUNTA($E$3:E52)+$Z$1)</f>
        <v>145</v>
      </c>
      <c r="AP52" s="88">
        <f>IF(AO52="","",IF(AO52+Расчет!$Y$57+$BD$2-Расчет!$X$57&gt;200,AO52+Расчет!$Y$57+$BD$2-1000,AO52+Расчет!$Y$57+$BD$2))</f>
        <v>11215</v>
      </c>
      <c r="AR52" s="92"/>
      <c r="AS52" s="92"/>
      <c r="AY52" s="392"/>
      <c r="BL52" s="172">
        <f>COUNTIF($BM$5:BM52,"&lt;-115")</f>
        <v>0</v>
      </c>
      <c r="BM52" s="154">
        <f>IFERROR(IF(OR(IFERROR(VLOOKUP(BN52,$E$3:$E$105,1,FALSE),"0")=BN52,IFERROR(VLOOKUP(BN52,$R$3:$R$105,1,FALSE),"0")=BN52),BO52,IF(OR(VLOOKUP(BN52,Расчет!A:E,5,FALSE)="2PS",VLOOKUP(BN52,Расчет!A:E,5,FALSE)="2QL"),IF(VLOOKUP(BN52,Расчет!A:B,2,FALSE)="831W",BN52-$BS$7+$AD$17,BN52-$BS$7+$AD$12),BN52-$BS$7)),"-")</f>
        <v>-12</v>
      </c>
      <c r="BN52" s="154">
        <f>IF(OR(Расчет!C49="A0",Расчет!C49="P9",Расчет!B49="722W"),"-",Расчет!A49)</f>
        <v>11194</v>
      </c>
      <c r="BO52" s="173">
        <f t="shared" si="14"/>
        <v>-12</v>
      </c>
      <c r="BP52" s="172" t="str">
        <f>IF(BQ52="-","-",IFERROR(IF(OR(VLOOKUP(BN52,Расчет!$A$2:$E$582,5,FALSE)="2PS",VLOOKUP(BN52,Расчет!$A$2:$E$582,5,FALSE)="2QL"),IF(OR(VLOOKUP(BN52,Расчет!$A$2:$E$582,2,FALSE)="664W",VLOOKUP(BN52,Расчет!$A$2:$E$582,2,FALSE)="813W"),IF(BN52-$BS$7&gt;150,BN52-$BS$7-1000+$AD$12,BN52-$BS$7+$AD$12),IF(BN52-$BS$7&gt;150,BN52-$BS$7-1000+$AD$17,BN52-$BS$7+$AD$17)),IF(BN52-$BS$7&gt;150,BN52-$BS$7-1000,BN52-$BS$7)),"-"))</f>
        <v>-</v>
      </c>
      <c r="BQ52" s="173" t="str">
        <f t="shared" si="11"/>
        <v>-</v>
      </c>
      <c r="BR52" s="453"/>
      <c r="BS52" s="171"/>
      <c r="BT52" s="464" t="str">
        <f t="shared" si="12"/>
        <v>-</v>
      </c>
      <c r="BU52" s="464" t="str">
        <f t="shared" si="13"/>
        <v>-</v>
      </c>
      <c r="BX52" s="204">
        <f>COUNTIF($BY$4:BY52,"&lt;100")</f>
        <v>49</v>
      </c>
      <c r="BY52" s="213">
        <f t="shared" si="25"/>
        <v>0</v>
      </c>
      <c r="BZ52" s="216">
        <f t="shared" si="25"/>
        <v>0</v>
      </c>
      <c r="CA52" s="213">
        <f t="shared" si="5"/>
        <v>0</v>
      </c>
      <c r="CB52" s="209">
        <f t="shared" si="6"/>
        <v>0</v>
      </c>
      <c r="CC52" s="205">
        <f t="shared" si="15"/>
        <v>0</v>
      </c>
      <c r="CD52" s="205">
        <f t="shared" si="7"/>
        <v>20</v>
      </c>
      <c r="CE52" s="205">
        <f t="shared" si="16"/>
        <v>0</v>
      </c>
      <c r="CG52" s="20" t="str">
        <f t="shared" si="24"/>
        <v>Standard</v>
      </c>
    </row>
    <row r="53" spans="1:85" ht="23.1" customHeight="1">
      <c r="A53" s="40">
        <f>IF(AND(IFERROR(VLOOKUP(E53,Расчет!A:J,10,FALSE),"  ")&lt;&gt;"  ",IFERROR(LEFT(VLOOKUP(E53,Расчет!A:J,10,FALSE),1)," ")&lt;&gt;"H"),0,IFERROR(IF(F53="Camry",IF(OR(J53="2PS",J53="2QL"),IF(E53-AP53&gt;100,E53-AP53-1000+$AD$12,E53-AP53+$AD$12),IF(E53-AP53&gt;100,E53-AP53-1000,E53-AP53)),IF(J53="2PS",IF(E53-AP53&gt;100,E53-AP53-1000+$AD$17,E53-AP53+$AD$17),IF(E53-AP53&gt;100,E53-AP53-1000,E53-AP53))),"-"))</f>
        <v>20</v>
      </c>
      <c r="B53" s="46">
        <v>51</v>
      </c>
      <c r="C53" s="19">
        <f>IF(E53="","",COUNTA($E$3:E53))</f>
        <v>51</v>
      </c>
      <c r="D53" s="18">
        <f t="shared" si="0"/>
        <v>146</v>
      </c>
      <c r="E53" s="30">
        <v>11236</v>
      </c>
      <c r="F53" s="44" t="str">
        <f>IFERROR(IF(VLOOKUP(E53,Расчет!$A$2:$B$650,2,FALSE)="664W","Camry",IF(VLOOKUP(E53,Расчет!$A$2:$B$650,2,FALSE)="813W","Goshi","RAV4")),"")</f>
        <v>RAV4</v>
      </c>
      <c r="G53" s="32" t="str">
        <f>IFERROR(IF(F53="Camry",VLOOKUP(E53,Расчет!$A$2:$Q$650,17,FALSE),VLOOKUP(E53,Расчет!$A$2:$R$650,18,FALSE)),"")</f>
        <v>Auto</v>
      </c>
      <c r="H53" s="32" t="str">
        <f>IFERROR(VLOOKUP(VLOOKUP(E53,Расчет!$A:$D,4,FALSE),$AT$6:$AV$15,3,FALSE),"")</f>
        <v>TWIN-C</v>
      </c>
      <c r="I53" s="31" t="str">
        <f>IFERROR(VLOOKUP(IFERROR(VLOOKUP(E53,Расчет!$A$2:$D$650,4,FALSE),0),$AT$3:$AU$15,2,FALSE),"")</f>
        <v>2,5 L</v>
      </c>
      <c r="J53" s="33" t="str">
        <f>IFERROR(VLOOKUP(E53,Расчет!$A$2:$E$650,5,FALSE),"")</f>
        <v>089</v>
      </c>
      <c r="K53" s="189">
        <v>0.82150462962962967</v>
      </c>
      <c r="L53" s="188">
        <f t="shared" si="9"/>
        <v>1.6087962962963998E-3</v>
      </c>
      <c r="M53" s="9"/>
      <c r="N53" s="40" t="str">
        <f>IF(AND(IFERROR(VLOOKUP(R53,Расчет!A:J,10,FALSE),"  ")&lt;&gt;"  ",IFERROR(LEFT(VLOOKUP(R53,Расчет!A:J,10,FALSE),1)," ")&lt;&gt;"H"),0,IFERROR(IF(S53="Camry",IF(OR(W53="2PS",W53="2QL"),IF(R53-AP156&gt;100,R53-AP156-1000+$AD$12,R53-AP156+$AD$12),IF(R53-AP156&gt;100,R53-AP156-1000,R53-AP156)),IF(W53="2PS",IF(R53-AP156&gt;100,R53-AP156-1000+$AD$17,R53-AP156+$AD$17),IF(R53-AP156&gt;100,R53-AP156-1000,R53-AP156))),"-"))</f>
        <v>-</v>
      </c>
      <c r="O53" s="46">
        <v>154</v>
      </c>
      <c r="P53" s="19" t="str">
        <f>IF(R53="","",COUNTA($R$3:R53)+$C$105)</f>
        <v/>
      </c>
      <c r="Q53" s="18" t="str">
        <f t="shared" si="1"/>
        <v/>
      </c>
      <c r="R53" s="30"/>
      <c r="S53" s="45" t="str">
        <f>IFERROR(IF(VLOOKUP(R53,Расчет!$A$2:$B$650,2,FALSE)="664W","Camry",IF(VLOOKUP(R53,Расчет!$A$2:$B$650,2,FALSE)="813W","Goshi","RAV4")),"")</f>
        <v/>
      </c>
      <c r="T53" s="32" t="str">
        <f>IFERROR(IF(S53="Camry",VLOOKUP(R53,Расчет!$A$2:$Q$650,17,FALSE),VLOOKUP(R53,Расчет!$A$2:$R$650,18,FALSE)),"")</f>
        <v/>
      </c>
      <c r="U53" s="32" t="str">
        <f>IFERROR(VLOOKUP(VLOOKUP(R53,Расчет!$A:$D,4,FALSE),$AT$6:$AV$15,3,FALSE),"")</f>
        <v/>
      </c>
      <c r="V53" s="31" t="str">
        <f>IFERROR(VLOOKUP(IFERROR(VLOOKUP(R53,Расчет!$A$2:$D$650,4,FALSE),0),$AT$3:$AU$15,2,FALSE),"")</f>
        <v/>
      </c>
      <c r="W53" s="33" t="str">
        <f>IFERROR(VLOOKUP(R53,Расчет!$A$2:$E$650,5,FALSE),"")</f>
        <v/>
      </c>
      <c r="X53" s="189"/>
      <c r="Y53" s="191">
        <f t="shared" si="10"/>
        <v>0</v>
      </c>
      <c r="Z53" s="524"/>
      <c r="AA53" s="525"/>
      <c r="AB53" s="420" t="str">
        <f>IFERROR(VLOOKUP(AC53,Расчет!$BS:$BT,2,FALSE),"")</f>
        <v/>
      </c>
      <c r="AC53" s="193"/>
      <c r="AD53" s="196" t="str">
        <f>IFERROR(IF(VLOOKUP(AC53,Расчет!$A$2:$B$350,2,FALSE)="664W","Camry","RAV4"),"-")</f>
        <v>-</v>
      </c>
      <c r="AE53" s="195">
        <v>51</v>
      </c>
      <c r="AF53" s="44" t="str">
        <f>IF(VLOOKUP(AE53,Расчет!$AH$2:$AN$201,5,FALSE)="8","C",IF(VLOOKUP(AE53,Расчет!$AH$2:$AN$201,5,FALSE)="G","G","R"))</f>
        <v>R</v>
      </c>
      <c r="AG53" s="73" t="str">
        <f t="shared" si="2"/>
        <v>R</v>
      </c>
      <c r="AH53" s="87">
        <f>IF(AG53="","",COUNTIF($AG$2:AG53,"C")-COUNTIF($AF$2:AF53,"C")+$AH$1)</f>
        <v>0</v>
      </c>
      <c r="AI53" s="87">
        <f>IF(AG53="","",COUNTIF($AG$2:AG53,"R")-COUNTIF($AF$2:AF53,"R")+$AI$1)</f>
        <v>0</v>
      </c>
      <c r="AJ53" s="89">
        <v>154</v>
      </c>
      <c r="AK53" s="44" t="str">
        <f>IF(VLOOKUP(AJ53,Расчет!$AH$2:$AN$211,5,FALSE)="8","C",IF(VLOOKUP(AJ53,Расчет!$AH$2:$AN$211,5,FALSE)="G","G","R"))</f>
        <v>R</v>
      </c>
      <c r="AL53" s="74" t="str">
        <f t="shared" si="3"/>
        <v/>
      </c>
      <c r="AM53" s="118" t="str">
        <f>IF(AL53="","",(COUNTIF($AG$2:$AG$105,"C")+COUNTIF($AL$2:$AL53,"C"))-(COUNTIF($AF$2:$AF$105,"C")+COUNTIF($AK$2:$AK53,"C"))+$AH$1)</f>
        <v/>
      </c>
      <c r="AN53" s="119" t="str">
        <f>IF(AL53="","",(COUNTIF($AG$2:$AG$105,"R")+COUNTIF($AL$2:$AL53,"R"))-(COUNTIF($AF$2:$AF$105,"R")+COUNTIF($AK$2:$AK53,"R"))+$AI$1)</f>
        <v/>
      </c>
      <c r="AO53" s="22">
        <f>IF(E53="","",COUNTA($E$3:E53)+$Z$1)</f>
        <v>146</v>
      </c>
      <c r="AP53" s="88">
        <f>IF(AO53="","",IF(AO53+Расчет!$Y$57+$BD$2-Расчет!$X$57&gt;200,AO53+Расчет!$Y$57+$BD$2-1000,AO53+Расчет!$Y$57+$BD$2))</f>
        <v>11216</v>
      </c>
      <c r="AR53" s="92"/>
      <c r="AS53" s="92"/>
      <c r="AY53" s="393"/>
      <c r="AZ53" s="391"/>
      <c r="BL53" s="172">
        <f>COUNTIF($BM$5:BM53,"&lt;-115")</f>
        <v>0</v>
      </c>
      <c r="BM53" s="154">
        <f>IFERROR(IF(OR(IFERROR(VLOOKUP(BN53,$E$3:$E$105,1,FALSE),"0")=BN53,IFERROR(VLOOKUP(BN53,$R$3:$R$105,1,FALSE),"0")=BN53),BO53,IF(OR(VLOOKUP(BN53,Расчет!A:E,5,FALSE)="2PS",VLOOKUP(BN53,Расчет!A:E,5,FALSE)="2QL"),IF(VLOOKUP(BN53,Расчет!A:B,2,FALSE)="831W",BN53-$BS$7+$AD$17,BN53-$BS$7+$AD$12),BN53-$BS$7)),"-")</f>
        <v>-3</v>
      </c>
      <c r="BN53" s="154">
        <f>IF(OR(Расчет!C50="A0",Расчет!C50="P9",Расчет!B50="722W"),"-",Расчет!A50)</f>
        <v>11195</v>
      </c>
      <c r="BO53" s="173">
        <f t="shared" si="14"/>
        <v>-3</v>
      </c>
      <c r="BP53" s="172" t="str">
        <f>IF(BQ53="-","-",IFERROR(IF(OR(VLOOKUP(BN53,Расчет!$A$2:$E$582,5,FALSE)="2PS",VLOOKUP(BN53,Расчет!$A$2:$E$582,5,FALSE)="2QL"),IF(OR(VLOOKUP(BN53,Расчет!$A$2:$E$582,2,FALSE)="664W",VLOOKUP(BN53,Расчет!$A$2:$E$582,2,FALSE)="813W"),IF(BN53-$BS$7&gt;150,BN53-$BS$7-1000+$AD$12,BN53-$BS$7+$AD$12),IF(BN53-$BS$7&gt;150,BN53-$BS$7-1000+$AD$17,BN53-$BS$7+$AD$17)),IF(BN53-$BS$7&gt;150,BN53-$BS$7-1000,BN53-$BS$7)),"-"))</f>
        <v>-</v>
      </c>
      <c r="BQ53" s="173" t="str">
        <f t="shared" si="11"/>
        <v>-</v>
      </c>
      <c r="BR53" s="453"/>
      <c r="BS53" s="171"/>
      <c r="BT53" s="464" t="str">
        <f t="shared" si="12"/>
        <v>-</v>
      </c>
      <c r="BU53" s="464" t="str">
        <f t="shared" si="13"/>
        <v>-</v>
      </c>
      <c r="BX53" s="204">
        <f>COUNTIF($BY$4:BY53,"&lt;100")</f>
        <v>50</v>
      </c>
      <c r="BY53" s="213">
        <f t="shared" si="25"/>
        <v>0</v>
      </c>
      <c r="BZ53" s="216">
        <f t="shared" si="25"/>
        <v>0</v>
      </c>
      <c r="CA53" s="213">
        <f t="shared" si="5"/>
        <v>0</v>
      </c>
      <c r="CB53" s="209">
        <f t="shared" si="6"/>
        <v>0</v>
      </c>
      <c r="CC53" s="205">
        <f t="shared" si="15"/>
        <v>0</v>
      </c>
      <c r="CD53" s="205">
        <f t="shared" si="7"/>
        <v>18</v>
      </c>
      <c r="CE53" s="205">
        <f t="shared" si="16"/>
        <v>0</v>
      </c>
      <c r="CG53" s="20" t="str">
        <f t="shared" si="24"/>
        <v>CVT</v>
      </c>
    </row>
    <row r="54" spans="1:85" ht="23.1" customHeight="1">
      <c r="A54" s="40">
        <f>IF(AND(IFERROR(VLOOKUP(E54,Расчет!A:J,10,FALSE),"  ")&lt;&gt;"  ",IFERROR(LEFT(VLOOKUP(E54,Расчет!A:J,10,FALSE),1)," ")&lt;&gt;"H"),0,IFERROR(IF(F54="Camry",IF(OR(J54="2PS",J54="2QL"),IF(E54-AP54&gt;100,E54-AP54-1000+$AD$12,E54-AP54+$AD$12),IF(E54-AP54&gt;100,E54-AP54-1000,E54-AP54)),IF(J54="2PS",IF(E54-AP54&gt;100,E54-AP54-1000+$AD$17,E54-AP54+$AD$17),IF(E54-AP54&gt;100,E54-AP54-1000,E54-AP54))),"-"))</f>
        <v>14</v>
      </c>
      <c r="B54" s="46">
        <v>52</v>
      </c>
      <c r="C54" s="19">
        <f>IF(E54="","",COUNTA($E$3:E54))</f>
        <v>52</v>
      </c>
      <c r="D54" s="18">
        <f t="shared" si="0"/>
        <v>147</v>
      </c>
      <c r="E54" s="30">
        <v>11231</v>
      </c>
      <c r="F54" s="44" t="str">
        <f>IFERROR(IF(VLOOKUP(E54,Расчет!$A$2:$B$650,2,FALSE)="664W","Camry",IF(VLOOKUP(E54,Расчет!$A$2:$B$650,2,FALSE)="813W","Goshi","RAV4")),"")</f>
        <v>Camry</v>
      </c>
      <c r="G54" s="32" t="str">
        <f>IFERROR(IF(F54="Camry",VLOOKUP(E54,Расчет!$A$2:$Q$650,17,FALSE),VLOOKUP(E54,Расчет!$A$2:$R$650,18,FALSE)),"")</f>
        <v>Standard</v>
      </c>
      <c r="H54" s="32" t="str">
        <f>IFERROR(VLOOKUP(VLOOKUP(E54,Расчет!$A:$D,4,FALSE),$AT$6:$AV$15,3,FALSE),"")</f>
        <v/>
      </c>
      <c r="I54" s="31" t="str">
        <f>IFERROR(VLOOKUP(IFERROR(VLOOKUP(E54,Расчет!$A$2:$D$650,4,FALSE),0),$AT$3:$AU$15,2,FALSE),"")</f>
        <v>2,5 L</v>
      </c>
      <c r="J54" s="33" t="str">
        <f>IFERROR(VLOOKUP(E54,Расчет!$A$2:$E$650,5,FALSE),"")</f>
        <v>218</v>
      </c>
      <c r="K54" s="189">
        <v>0.82328703703703709</v>
      </c>
      <c r="L54" s="188">
        <f t="shared" si="9"/>
        <v>1.782407407407427E-3</v>
      </c>
      <c r="M54" s="9"/>
      <c r="N54" s="40" t="str">
        <f>IF(AND(IFERROR(VLOOKUP(R54,Расчет!A:J,10,FALSE),"  ")&lt;&gt;"  ",IFERROR(LEFT(VLOOKUP(R54,Расчет!A:J,10,FALSE),1)," ")&lt;&gt;"H"),0,IFERROR(IF(S54="Camry",IF(OR(W54="2PS",W54="2QL"),IF(R54-AP157&gt;100,R54-AP157-1000+$AD$12,R54-AP157+$AD$12),IF(R54-AP157&gt;100,R54-AP157-1000,R54-AP157)),IF(W54="2PS",IF(R54-AP157&gt;100,R54-AP157-1000+$AD$17,R54-AP157+$AD$17),IF(R54-AP157&gt;100,R54-AP157-1000,R54-AP157))),"-"))</f>
        <v>-</v>
      </c>
      <c r="O54" s="46">
        <v>155</v>
      </c>
      <c r="P54" s="19" t="str">
        <f>IF(R54="","",COUNTA($R$3:R54)+$C$105)</f>
        <v/>
      </c>
      <c r="Q54" s="18" t="str">
        <f t="shared" si="1"/>
        <v/>
      </c>
      <c r="R54" s="30"/>
      <c r="S54" s="45" t="str">
        <f>IFERROR(IF(VLOOKUP(R54,Расчет!$A$2:$B$650,2,FALSE)="664W","Camry",IF(VLOOKUP(R54,Расчет!$A$2:$B$650,2,FALSE)="813W","Goshi","RAV4")),"")</f>
        <v/>
      </c>
      <c r="T54" s="32" t="str">
        <f>IFERROR(IF(S54="Camry",VLOOKUP(R54,Расчет!$A$2:$Q$650,17,FALSE),VLOOKUP(R54,Расчет!$A$2:$R$650,18,FALSE)),"")</f>
        <v/>
      </c>
      <c r="U54" s="32" t="str">
        <f>IFERROR(VLOOKUP(VLOOKUP(R54,Расчет!$A:$D,4,FALSE),$AT$6:$AV$15,3,FALSE),"")</f>
        <v/>
      </c>
      <c r="V54" s="31" t="str">
        <f>IFERROR(VLOOKUP(IFERROR(VLOOKUP(R54,Расчет!$A$2:$D$650,4,FALSE),0),$AT$3:$AU$15,2,FALSE),"")</f>
        <v/>
      </c>
      <c r="W54" s="33" t="str">
        <f>IFERROR(VLOOKUP(R54,Расчет!$A$2:$E$650,5,FALSE),"")</f>
        <v/>
      </c>
      <c r="X54" s="189"/>
      <c r="Y54" s="191">
        <f t="shared" si="10"/>
        <v>0</v>
      </c>
      <c r="Z54" s="524"/>
      <c r="AA54" s="525"/>
      <c r="AB54" s="420" t="str">
        <f>IFERROR(VLOOKUP(AC54,Расчет!$BS:$BT,2,FALSE),"")</f>
        <v/>
      </c>
      <c r="AC54" s="193"/>
      <c r="AD54" s="196" t="str">
        <f>IFERROR(IF(VLOOKUP(AC54,Расчет!$A$2:$B$350,2,FALSE)="664W","Camry","RAV4"),"-")</f>
        <v>-</v>
      </c>
      <c r="AE54" s="195">
        <v>52</v>
      </c>
      <c r="AF54" s="44" t="str">
        <f>IF(VLOOKUP(AE54,Расчет!$AH$2:$AN$201,5,FALSE)="8","C",IF(VLOOKUP(AE54,Расчет!$AH$2:$AN$201,5,FALSE)="G","G","R"))</f>
        <v>C</v>
      </c>
      <c r="AG54" s="73" t="str">
        <f t="shared" si="2"/>
        <v>C</v>
      </c>
      <c r="AH54" s="87">
        <f>IF(AG54="","",COUNTIF($AG$2:AG54,"C")-COUNTIF($AF$2:AF54,"C")+$AH$1)</f>
        <v>0</v>
      </c>
      <c r="AI54" s="87">
        <f>IF(AG54="","",COUNTIF($AG$2:AG54,"R")-COUNTIF($AF$2:AF54,"R")+$AI$1)</f>
        <v>0</v>
      </c>
      <c r="AJ54" s="89">
        <v>155</v>
      </c>
      <c r="AK54" s="44" t="str">
        <f>IF(VLOOKUP(AJ54,Расчет!$AH$2:$AN$211,5,FALSE)="8","C",IF(VLOOKUP(AJ54,Расчет!$AH$2:$AN$211,5,FALSE)="G","G","R"))</f>
        <v>C</v>
      </c>
      <c r="AL54" s="74" t="str">
        <f t="shared" si="3"/>
        <v/>
      </c>
      <c r="AM54" s="118" t="str">
        <f>IF(AL54="","",(COUNTIF($AG$2:$AG$105,"C")+COUNTIF($AL$2:$AL54,"C"))-(COUNTIF($AF$2:$AF$105,"C")+COUNTIF($AK$2:$AK54,"C"))+$AH$1)</f>
        <v/>
      </c>
      <c r="AN54" s="119" t="str">
        <f>IF(AL54="","",(COUNTIF($AG$2:$AG$105,"R")+COUNTIF($AL$2:$AL54,"R"))-(COUNTIF($AF$2:$AF$105,"R")+COUNTIF($AK$2:$AK54,"R"))+$AI$1)</f>
        <v/>
      </c>
      <c r="AO54" s="22">
        <f>IF(E54="","",COUNTA($E$3:E54)+$Z$1)</f>
        <v>147</v>
      </c>
      <c r="AP54" s="88">
        <f>IF(AO54="","",IF(AO54+Расчет!$Y$57+$BD$2-Расчет!$X$57&gt;200,AO54+Расчет!$Y$57+$BD$2-1000,AO54+Расчет!$Y$57+$BD$2))</f>
        <v>11217</v>
      </c>
      <c r="AR54" s="92"/>
      <c r="AS54" s="92"/>
      <c r="AY54" s="393"/>
      <c r="BL54" s="172">
        <f>COUNTIF($BM$5:BM54,"&lt;-115")</f>
        <v>0</v>
      </c>
      <c r="BM54" s="154">
        <f>IFERROR(IF(OR(IFERROR(VLOOKUP(BN54,$E$3:$E$105,1,FALSE),"0")=BN54,IFERROR(VLOOKUP(BN54,$R$3:$R$105,1,FALSE),"0")=BN54),BO54,IF(OR(VLOOKUP(BN54,Расчет!A:E,5,FALSE)="2PS",VLOOKUP(BN54,Расчет!A:E,5,FALSE)="2QL"),IF(VLOOKUP(BN54,Расчет!A:B,2,FALSE)="831W",BN54-$BS$7+$AD$17,BN54-$BS$7+$AD$12),BN54-$BS$7)),"-")</f>
        <v>6</v>
      </c>
      <c r="BN54" s="154">
        <f>IF(OR(Расчет!C51="A0",Расчет!C51="P9",Расчет!B51="722W"),"-",Расчет!A51)</f>
        <v>11196</v>
      </c>
      <c r="BO54" s="173">
        <f t="shared" si="14"/>
        <v>6</v>
      </c>
      <c r="BP54" s="172" t="str">
        <f>IF(BQ54="-","-",IFERROR(IF(OR(VLOOKUP(BN54,Расчет!$A$2:$E$582,5,FALSE)="2PS",VLOOKUP(BN54,Расчет!$A$2:$E$582,5,FALSE)="2QL"),IF(OR(VLOOKUP(BN54,Расчет!$A$2:$E$582,2,FALSE)="664W",VLOOKUP(BN54,Расчет!$A$2:$E$582,2,FALSE)="813W"),IF(BN54-$BS$7&gt;150,BN54-$BS$7-1000+$AD$12,BN54-$BS$7+$AD$12),IF(BN54-$BS$7&gt;150,BN54-$BS$7-1000+$AD$17,BN54-$BS$7+$AD$17)),IF(BN54-$BS$7&gt;150,BN54-$BS$7-1000,BN54-$BS$7)),"-"))</f>
        <v>-</v>
      </c>
      <c r="BQ54" s="173" t="str">
        <f t="shared" si="11"/>
        <v>-</v>
      </c>
      <c r="BR54" s="453"/>
      <c r="BS54" s="171"/>
      <c r="BT54" s="464" t="str">
        <f t="shared" si="12"/>
        <v>-</v>
      </c>
      <c r="BU54" s="464" t="str">
        <f t="shared" si="13"/>
        <v>-</v>
      </c>
      <c r="BX54" s="204">
        <f>COUNTIF($BY$4:BY54,"&lt;100")</f>
        <v>51</v>
      </c>
      <c r="BY54" s="213">
        <f t="shared" si="25"/>
        <v>0</v>
      </c>
      <c r="BZ54" s="216">
        <f t="shared" si="25"/>
        <v>0</v>
      </c>
      <c r="CA54" s="213">
        <f t="shared" si="5"/>
        <v>0</v>
      </c>
      <c r="CB54" s="209">
        <f t="shared" si="6"/>
        <v>0</v>
      </c>
      <c r="CC54" s="205">
        <f t="shared" si="15"/>
        <v>0</v>
      </c>
      <c r="CD54" s="205">
        <f t="shared" si="7"/>
        <v>20</v>
      </c>
      <c r="CE54" s="205">
        <f t="shared" si="16"/>
        <v>0</v>
      </c>
      <c r="CG54" s="20" t="str">
        <f t="shared" si="24"/>
        <v>Standard</v>
      </c>
    </row>
    <row r="55" spans="1:85" ht="23.1" customHeight="1" thickBot="1">
      <c r="A55" s="40">
        <f>IF(AND(IFERROR(VLOOKUP(E55,Расчет!A:J,10,FALSE),"  ")&lt;&gt;"  ",IFERROR(LEFT(VLOOKUP(E55,Расчет!A:J,10,FALSE),1)," ")&lt;&gt;"H"),0,IFERROR(IF(F55="Camry",IF(OR(J55="2PS",J55="2QL"),IF(E55-AP55&gt;100,E55-AP55-1000+$AD$12,E55-AP55+$AD$12),IF(E55-AP55&gt;100,E55-AP55-1000,E55-AP55)),IF(J55="2PS",IF(E55-AP55&gt;100,E55-AP55-1000+$AD$17,E55-AP55+$AD$17),IF(E55-AP55&gt;100,E55-AP55-1000,E55-AP55))),"-"))</f>
        <v>14</v>
      </c>
      <c r="B55" s="46">
        <v>53</v>
      </c>
      <c r="C55" s="19">
        <f>IF(E55="","",COUNTA($E$3:E55))</f>
        <v>53</v>
      </c>
      <c r="D55" s="18">
        <f t="shared" si="0"/>
        <v>148</v>
      </c>
      <c r="E55" s="30">
        <v>11232</v>
      </c>
      <c r="F55" s="44" t="str">
        <f>IFERROR(IF(VLOOKUP(E55,Расчет!$A$2:$B$650,2,FALSE)="664W","Camry",IF(VLOOKUP(E55,Расчет!$A$2:$B$650,2,FALSE)="813W","Goshi","RAV4")),"")</f>
        <v>RAV4</v>
      </c>
      <c r="G55" s="32" t="str">
        <f>IFERROR(IF(F55="Camry",VLOOKUP(E55,Расчет!$A$2:$Q$650,17,FALSE),VLOOKUP(E55,Расчет!$A$2:$R$650,18,FALSE)),"")</f>
        <v>CVT</v>
      </c>
      <c r="H55" s="32" t="str">
        <f>IFERROR(VLOOKUP(VLOOKUP(E55,Расчет!$A:$D,4,FALSE),$AT$6:$AV$15,3,FALSE),"")</f>
        <v>4WD</v>
      </c>
      <c r="I55" s="31" t="str">
        <f>IFERROR(VLOOKUP(IFERROR(VLOOKUP(E55,Расчет!$A$2:$D$650,4,FALSE),0),$AT$3:$AU$15,2,FALSE),"")</f>
        <v>2,0 L</v>
      </c>
      <c r="J55" s="33" t="str">
        <f>IFERROR(VLOOKUP(E55,Расчет!$A$2:$E$650,5,FALSE),"")</f>
        <v>089</v>
      </c>
      <c r="K55" s="189">
        <v>0.82518518518518524</v>
      </c>
      <c r="L55" s="188">
        <f t="shared" si="9"/>
        <v>1.8981481481481488E-3</v>
      </c>
      <c r="M55" s="9"/>
      <c r="N55" s="40" t="str">
        <f>IF(AND(IFERROR(VLOOKUP(R55,Расчет!A:J,10,FALSE),"  ")&lt;&gt;"  ",IFERROR(LEFT(VLOOKUP(R55,Расчет!A:J,10,FALSE),1)," ")&lt;&gt;"H"),0,IFERROR(IF(S55="Camry",IF(OR(W55="2PS",W55="2QL"),IF(R55-AP158&gt;100,R55-AP158-1000+$AD$12,R55-AP158+$AD$12),IF(R55-AP158&gt;100,R55-AP158-1000,R55-AP158)),IF(W55="2PS",IF(R55-AP158&gt;100,R55-AP158-1000+$AD$17,R55-AP158+$AD$17),IF(R55-AP158&gt;100,R55-AP158-1000,R55-AP158))),"-"))</f>
        <v>-</v>
      </c>
      <c r="O55" s="46">
        <v>156</v>
      </c>
      <c r="P55" s="19" t="str">
        <f>IF(R55="","",COUNTA($R$3:R55)+$C$105)</f>
        <v/>
      </c>
      <c r="Q55" s="18" t="str">
        <f t="shared" si="1"/>
        <v/>
      </c>
      <c r="R55" s="30"/>
      <c r="S55" s="45" t="str">
        <f>IFERROR(IF(VLOOKUP(R55,Расчет!$A$2:$B$650,2,FALSE)="664W","Camry",IF(VLOOKUP(R55,Расчет!$A$2:$B$650,2,FALSE)="813W","Goshi","RAV4")),"")</f>
        <v/>
      </c>
      <c r="T55" s="32" t="str">
        <f>IFERROR(IF(S55="Camry",VLOOKUP(R55,Расчет!$A$2:$Q$650,17,FALSE),VLOOKUP(R55,Расчет!$A$2:$R$650,18,FALSE)),"")</f>
        <v/>
      </c>
      <c r="U55" s="32" t="str">
        <f>IFERROR(VLOOKUP(VLOOKUP(R55,Расчет!$A:$D,4,FALSE),$AT$6:$AV$15,3,FALSE),"")</f>
        <v/>
      </c>
      <c r="V55" s="31" t="str">
        <f>IFERROR(VLOOKUP(IFERROR(VLOOKUP(R55,Расчет!$A$2:$D$650,4,FALSE),0),$AT$3:$AU$15,2,FALSE),"")</f>
        <v/>
      </c>
      <c r="W55" s="33" t="str">
        <f>IFERROR(VLOOKUP(R55,Расчет!$A$2:$E$650,5,FALSE),"")</f>
        <v/>
      </c>
      <c r="X55" s="189"/>
      <c r="Y55" s="191">
        <f t="shared" si="10"/>
        <v>0</v>
      </c>
      <c r="Z55" s="524"/>
      <c r="AA55" s="525"/>
      <c r="AB55" s="147" t="str">
        <f>IFERROR(VLOOKUP(AC55,Расчет!$BS:$BT,2,FALSE),"")</f>
        <v/>
      </c>
      <c r="AC55" s="194"/>
      <c r="AD55" s="197" t="str">
        <f>IFERROR(IF(VLOOKUP(AC55,Расчет!$A$2:$B$350,2,FALSE)="664W","Camry","RAV4"),"-")</f>
        <v>-</v>
      </c>
      <c r="AE55" s="195">
        <v>53</v>
      </c>
      <c r="AF55" s="44" t="str">
        <f>IF(VLOOKUP(AE55,Расчет!$AH$2:$AN$201,5,FALSE)="8","C",IF(VLOOKUP(AE55,Расчет!$AH$2:$AN$201,5,FALSE)="G","G","R"))</f>
        <v>R</v>
      </c>
      <c r="AG55" s="73" t="str">
        <f t="shared" si="2"/>
        <v>R</v>
      </c>
      <c r="AH55" s="87">
        <f>IF(AG55="","",COUNTIF($AG$2:AG55,"C")-COUNTIF($AF$2:AF55,"C")+$AH$1)</f>
        <v>0</v>
      </c>
      <c r="AI55" s="87">
        <f>IF(AG55="","",COUNTIF($AG$2:AG55,"R")-COUNTIF($AF$2:AF55,"R")+$AI$1)</f>
        <v>0</v>
      </c>
      <c r="AJ55" s="89">
        <v>156</v>
      </c>
      <c r="AK55" s="44" t="str">
        <f>IF(VLOOKUP(AJ55,Расчет!$AH$2:$AN$211,5,FALSE)="8","C",IF(VLOOKUP(AJ55,Расчет!$AH$2:$AN$211,5,FALSE)="G","G","R"))</f>
        <v>R</v>
      </c>
      <c r="AL55" s="74" t="str">
        <f t="shared" si="3"/>
        <v/>
      </c>
      <c r="AM55" s="118" t="str">
        <f>IF(AL55="","",(COUNTIF($AG$2:$AG$105,"C")+COUNTIF($AL$2:$AL55,"C"))-(COUNTIF($AF$2:$AF$105,"C")+COUNTIF($AK$2:$AK55,"C"))+$AH$1)</f>
        <v/>
      </c>
      <c r="AN55" s="119" t="str">
        <f>IF(AL55="","",(COUNTIF($AG$2:$AG$105,"R")+COUNTIF($AL$2:$AL55,"R"))-(COUNTIF($AF$2:$AF$105,"R")+COUNTIF($AK$2:$AK55,"R"))+$AI$1)</f>
        <v/>
      </c>
      <c r="AO55" s="22">
        <f>IF(E55="","",COUNTA($E$3:E55)+$Z$1)</f>
        <v>148</v>
      </c>
      <c r="AP55" s="88">
        <f>IF(AO55="","",IF(AO55+Расчет!$Y$57+$BD$2-Расчет!$X$57&gt;200,AO55+Расчет!$Y$57+$BD$2-1000,AO55+Расчет!$Y$57+$BD$2))</f>
        <v>11218</v>
      </c>
      <c r="AR55" s="92"/>
      <c r="AS55" s="92"/>
      <c r="AY55" s="393"/>
      <c r="BL55" s="172">
        <f>COUNTIF($BM$5:BM55,"&lt;-115")</f>
        <v>0</v>
      </c>
      <c r="BM55" s="154">
        <f>IFERROR(IF(OR(IFERROR(VLOOKUP(BN55,$E$3:$E$105,1,FALSE),"0")=BN55,IFERROR(VLOOKUP(BN55,$R$3:$R$105,1,FALSE),"0")=BN55),BO55,IF(OR(VLOOKUP(BN55,Расчет!A:E,5,FALSE)="2PS",VLOOKUP(BN55,Расчет!A:E,5,FALSE)="2QL"),IF(VLOOKUP(BN55,Расчет!A:B,2,FALSE)="831W",BN55-$BS$7+$AD$17,BN55-$BS$7+$AD$12),BN55-$BS$7)),"-")</f>
        <v>20</v>
      </c>
      <c r="BN55" s="154">
        <f>IF(OR(Расчет!C52="A0",Расчет!C52="P9",Расчет!B52="722W"),"-",Расчет!A52)</f>
        <v>11197</v>
      </c>
      <c r="BO55" s="173">
        <f t="shared" si="14"/>
        <v>20</v>
      </c>
      <c r="BP55" s="172" t="str">
        <f>IF(BQ55="-","-",IFERROR(IF(OR(VLOOKUP(BN55,Расчет!$A$2:$E$582,5,FALSE)="2PS",VLOOKUP(BN55,Расчет!$A$2:$E$582,5,FALSE)="2QL"),IF(OR(VLOOKUP(BN55,Расчет!$A$2:$E$582,2,FALSE)="664W",VLOOKUP(BN55,Расчет!$A$2:$E$582,2,FALSE)="813W"),IF(BN55-$BS$7&gt;150,BN55-$BS$7-1000+$AD$12,BN55-$BS$7+$AD$12),IF(BN55-$BS$7&gt;150,BN55-$BS$7-1000+$AD$17,BN55-$BS$7+$AD$17)),IF(BN55-$BS$7&gt;150,BN55-$BS$7-1000,BN55-$BS$7)),"-"))</f>
        <v>-</v>
      </c>
      <c r="BQ55" s="173" t="str">
        <f t="shared" si="11"/>
        <v>-</v>
      </c>
      <c r="BR55" s="453"/>
      <c r="BS55" s="171"/>
      <c r="BT55" s="464" t="str">
        <f t="shared" si="12"/>
        <v>-</v>
      </c>
      <c r="BU55" s="464" t="str">
        <f t="shared" si="13"/>
        <v>-</v>
      </c>
      <c r="BX55" s="204">
        <f>COUNTIF($BY$4:BY55,"&lt;100")</f>
        <v>52</v>
      </c>
      <c r="BY55" s="213">
        <f t="shared" si="25"/>
        <v>0</v>
      </c>
      <c r="BZ55" s="216">
        <f t="shared" si="25"/>
        <v>0</v>
      </c>
      <c r="CA55" s="213">
        <f t="shared" si="5"/>
        <v>0</v>
      </c>
      <c r="CB55" s="209">
        <f t="shared" si="6"/>
        <v>0</v>
      </c>
      <c r="CC55" s="205">
        <f t="shared" si="15"/>
        <v>0</v>
      </c>
      <c r="CD55" s="205">
        <f t="shared" si="7"/>
        <v>14</v>
      </c>
      <c r="CE55" s="205">
        <f t="shared" si="16"/>
        <v>0</v>
      </c>
      <c r="CG55" s="20" t="str">
        <f t="shared" si="24"/>
        <v>Auto</v>
      </c>
    </row>
    <row r="56" spans="1:85" ht="23.1" customHeight="1" thickBot="1">
      <c r="A56" s="40">
        <f>IF(AND(IFERROR(VLOOKUP(E56,Расчет!A:J,10,FALSE),"  ")&lt;&gt;"  ",IFERROR(LEFT(VLOOKUP(E56,Расчет!A:J,10,FALSE),1)," ")&lt;&gt;"H"),0,IFERROR(IF(F56="Camry",IF(OR(J56="2PS",J56="2QL"),IF(E56-AP56&gt;100,E56-AP56-1000+$AD$12,E56-AP56+$AD$12),IF(E56-AP56&gt;100,E56-AP56-1000,E56-AP56)),IF(J56="2PS",IF(E56-AP56&gt;100,E56-AP56-1000+$AD$17,E56-AP56+$AD$17),IF(E56-AP56&gt;100,E56-AP56-1000,E56-AP56))),"-"))</f>
        <v>16</v>
      </c>
      <c r="B56" s="46">
        <v>54</v>
      </c>
      <c r="C56" s="19">
        <f>IF(E56="","",COUNTA($E$3:E56))</f>
        <v>54</v>
      </c>
      <c r="D56" s="18">
        <f t="shared" si="0"/>
        <v>149</v>
      </c>
      <c r="E56" s="30">
        <v>11235</v>
      </c>
      <c r="F56" s="44" t="str">
        <f>IFERROR(IF(VLOOKUP(E56,Расчет!$A$2:$B$650,2,FALSE)="664W","Camry",IF(VLOOKUP(E56,Расчет!$A$2:$B$650,2,FALSE)="813W","Goshi","RAV4")),"")</f>
        <v>Camry</v>
      </c>
      <c r="G56" s="32" t="str">
        <f>IFERROR(IF(F56="Camry",VLOOKUP(E56,Расчет!$A$2:$Q$650,17,FALSE),VLOOKUP(E56,Расчет!$A$2:$R$650,18,FALSE)),"")</f>
        <v>Standard</v>
      </c>
      <c r="H56" s="32" t="str">
        <f>IFERROR(VLOOKUP(VLOOKUP(E56,Расчет!$A:$D,4,FALSE),$AT$6:$AV$15,3,FALSE),"")</f>
        <v/>
      </c>
      <c r="I56" s="31" t="str">
        <f>IFERROR(VLOOKUP(IFERROR(VLOOKUP(E56,Расчет!$A$2:$D$650,4,FALSE),0),$AT$3:$AU$15,2,FALSE),"")</f>
        <v>2,5 L</v>
      </c>
      <c r="J56" s="33" t="str">
        <f>IFERROR(VLOOKUP(E56,Расчет!$A$2:$E$650,5,FALSE),"")</f>
        <v>1F7</v>
      </c>
      <c r="K56" s="189">
        <v>0.8268402777777778</v>
      </c>
      <c r="L56" s="188">
        <f>K56-K55</f>
        <v>1.6550925925925553E-3</v>
      </c>
      <c r="M56" s="9"/>
      <c r="N56" s="40" t="str">
        <f>IF(AND(IFERROR(VLOOKUP(R56,Расчет!A:J,10,FALSE),"  ")&lt;&gt;"  ",IFERROR(LEFT(VLOOKUP(R56,Расчет!A:J,10,FALSE),1)," ")&lt;&gt;"H"),0,IFERROR(IF(S56="Camry",IF(OR(W56="2PS",W56="2QL"),IF(R56-AP159&gt;100,R56-AP159-1000+$AD$12,R56-AP159+$AD$12),IF(R56-AP159&gt;100,R56-AP159-1000,R56-AP159)),IF(W56="2PS",IF(R56-AP159&gt;100,R56-AP159-1000+$AD$17,R56-AP159+$AD$17),IF(R56-AP159&gt;100,R56-AP159-1000,R56-AP159))),"-"))</f>
        <v>-</v>
      </c>
      <c r="O56" s="46">
        <v>157</v>
      </c>
      <c r="P56" s="19" t="str">
        <f>IF(R56="","",COUNTA($R$3:R56)+$C$105)</f>
        <v/>
      </c>
      <c r="Q56" s="18" t="str">
        <f t="shared" si="1"/>
        <v/>
      </c>
      <c r="R56" s="30"/>
      <c r="S56" s="45" t="str">
        <f>IFERROR(IF(VLOOKUP(R56,Расчет!$A$2:$B$650,2,FALSE)="664W","Camry",IF(VLOOKUP(R56,Расчет!$A$2:$B$650,2,FALSE)="813W","Goshi","RAV4")),"")</f>
        <v/>
      </c>
      <c r="T56" s="32" t="str">
        <f>IFERROR(IF(S56="Camry",VLOOKUP(R56,Расчет!$A$2:$Q$650,17,FALSE),VLOOKUP(R56,Расчет!$A$2:$R$650,18,FALSE)),"")</f>
        <v/>
      </c>
      <c r="U56" s="32" t="str">
        <f>IFERROR(VLOOKUP(VLOOKUP(R56,Расчет!$A:$D,4,FALSE),$AT$6:$AV$15,3,FALSE),"")</f>
        <v/>
      </c>
      <c r="V56" s="31" t="str">
        <f>IFERROR(VLOOKUP(IFERROR(VLOOKUP(R56,Расчет!$A$2:$D$650,4,FALSE),0),$AT$3:$AU$15,2,FALSE),"")</f>
        <v/>
      </c>
      <c r="W56" s="33" t="str">
        <f>IFERROR(VLOOKUP(R56,Расчет!$A$2:$E$650,5,FALSE),"")</f>
        <v/>
      </c>
      <c r="X56" s="189"/>
      <c r="Y56" s="191">
        <f t="shared" si="10"/>
        <v>0</v>
      </c>
      <c r="AE56" s="89">
        <v>54</v>
      </c>
      <c r="AF56" s="44" t="str">
        <f>IF(VLOOKUP(AE56,Расчет!$AH$2:$AN$201,5,FALSE)="8","C",IF(VLOOKUP(AE56,Расчет!$AH$2:$AN$201,5,FALSE)="G","G","R"))</f>
        <v>C</v>
      </c>
      <c r="AG56" s="73" t="str">
        <f t="shared" si="2"/>
        <v>C</v>
      </c>
      <c r="AH56" s="87">
        <f>IF(AG56="","",COUNTIF($AG$2:AG56,"C")-COUNTIF($AF$2:AF56,"C")+$AH$1)</f>
        <v>0</v>
      </c>
      <c r="AI56" s="87">
        <f>IF(AG56="","",COUNTIF($AG$2:AG56,"R")-COUNTIF($AF$2:AF56,"R")+$AI$1)</f>
        <v>0</v>
      </c>
      <c r="AJ56" s="89">
        <v>157</v>
      </c>
      <c r="AK56" s="44" t="str">
        <f>IF(VLOOKUP(AJ56,Расчет!$AH$2:$AN$211,5,FALSE)="8","C",IF(VLOOKUP(AJ56,Расчет!$AH$2:$AN$211,5,FALSE)="G","G","R"))</f>
        <v>C</v>
      </c>
      <c r="AL56" s="74" t="str">
        <f t="shared" si="3"/>
        <v/>
      </c>
      <c r="AM56" s="118" t="str">
        <f>IF(AL56="","",(COUNTIF($AG$2:$AG$105,"C")+COUNTIF($AL$2:$AL56,"C"))-(COUNTIF($AF$2:$AF$105,"C")+COUNTIF($AK$2:$AK56,"C"))+$AH$1)</f>
        <v/>
      </c>
      <c r="AN56" s="119" t="str">
        <f>IF(AL56="","",(COUNTIF($AG$2:$AG$105,"R")+COUNTIF($AL$2:$AL56,"R"))-(COUNTIF($AF$2:$AF$105,"R")+COUNTIF($AK$2:$AK56,"R"))+$AI$1)</f>
        <v/>
      </c>
      <c r="AO56" s="22">
        <f>IF(E56="","",COUNTA($E$3:E56)+$Z$1)</f>
        <v>149</v>
      </c>
      <c r="AP56" s="88">
        <f>IF(AO56="","",IF(AO56+Расчет!$Y$57+$BD$2-Расчет!$X$57&gt;200,AO56+Расчет!$Y$57+$BD$2-1000,AO56+Расчет!$Y$57+$BD$2))</f>
        <v>11219</v>
      </c>
      <c r="AR56" s="92"/>
      <c r="AS56" s="92"/>
      <c r="AY56" s="393"/>
      <c r="BL56" s="172">
        <f>COUNTIF($BM$5:BM56,"&lt;-115")</f>
        <v>0</v>
      </c>
      <c r="BM56" s="154">
        <f>IFERROR(IF(OR(IFERROR(VLOOKUP(BN56,$E$3:$E$105,1,FALSE),"0")=BN56,IFERROR(VLOOKUP(BN56,$R$3:$R$105,1,FALSE),"0")=BN56),BO56,IF(OR(VLOOKUP(BN56,Расчет!A:E,5,FALSE)="2PS",VLOOKUP(BN56,Расчет!A:E,5,FALSE)="2QL"),IF(VLOOKUP(BN56,Расчет!A:B,2,FALSE)="831W",BN56-$BS$7+$AD$17,BN56-$BS$7+$AD$12),BN56-$BS$7)),"-")</f>
        <v>16</v>
      </c>
      <c r="BN56" s="154">
        <f>IF(OR(Расчет!C53="A0",Расчет!C53="P9",Расчет!B53="722W"),"-",Расчет!A53)</f>
        <v>11198</v>
      </c>
      <c r="BO56" s="173">
        <f t="shared" si="14"/>
        <v>16</v>
      </c>
      <c r="BP56" s="172" t="str">
        <f>IF(BQ56="-","-",IFERROR(IF(OR(VLOOKUP(BN56,Расчет!$A$2:$E$582,5,FALSE)="2PS",VLOOKUP(BN56,Расчет!$A$2:$E$582,5,FALSE)="2QL"),IF(OR(VLOOKUP(BN56,Расчет!$A$2:$E$582,2,FALSE)="664W",VLOOKUP(BN56,Расчет!$A$2:$E$582,2,FALSE)="813W"),IF(BN56-$BS$7&gt;150,BN56-$BS$7-1000+$AD$12,BN56-$BS$7+$AD$12),IF(BN56-$BS$7&gt;150,BN56-$BS$7-1000+$AD$17,BN56-$BS$7+$AD$17)),IF(BN56-$BS$7&gt;150,BN56-$BS$7-1000,BN56-$BS$7)),"-"))</f>
        <v>-</v>
      </c>
      <c r="BQ56" s="173" t="str">
        <f t="shared" si="11"/>
        <v>-</v>
      </c>
      <c r="BR56" s="453"/>
      <c r="BS56" s="171"/>
      <c r="BT56" s="464" t="str">
        <f t="shared" si="12"/>
        <v>-</v>
      </c>
      <c r="BU56" s="464" t="str">
        <f t="shared" si="13"/>
        <v>-</v>
      </c>
      <c r="BX56" s="204">
        <f>COUNTIF($BY$4:BY56,"&lt;100")</f>
        <v>53</v>
      </c>
      <c r="BY56" s="213">
        <f t="shared" si="25"/>
        <v>0</v>
      </c>
      <c r="BZ56" s="216">
        <f t="shared" si="25"/>
        <v>0</v>
      </c>
      <c r="CA56" s="213">
        <f t="shared" si="5"/>
        <v>0</v>
      </c>
      <c r="CB56" s="209">
        <f t="shared" si="6"/>
        <v>0</v>
      </c>
      <c r="CC56" s="205">
        <f t="shared" si="15"/>
        <v>0</v>
      </c>
      <c r="CD56" s="205">
        <f t="shared" si="7"/>
        <v>14</v>
      </c>
      <c r="CE56" s="205">
        <f t="shared" si="16"/>
        <v>0</v>
      </c>
      <c r="CG56" s="20" t="str">
        <f t="shared" si="24"/>
        <v>Standard</v>
      </c>
    </row>
    <row r="57" spans="1:85" ht="23.1" customHeight="1" thickBot="1">
      <c r="A57" s="40">
        <f>IF(AND(IFERROR(VLOOKUP(E57,Расчет!A:J,10,FALSE),"  ")&lt;&gt;"  ",IFERROR(LEFT(VLOOKUP(E57,Расчет!A:J,10,FALSE),1)," ")&lt;&gt;"H"),0,IFERROR(IF(F57="Camry",IF(OR(J57="2PS",J57="2QL"),IF(E57-AP57&gt;100,E57-AP57-1000+$AD$12,E57-AP57+$AD$12),IF(E57-AP57&gt;100,E57-AP57-1000,E57-AP57)),IF(J57="2PS",IF(E57-AP57&gt;100,E57-AP57-1000+$AD$17,E57-AP57+$AD$17),IF(E57-AP57&gt;100,E57-AP57-1000,E57-AP57))),"-"))</f>
        <v>21</v>
      </c>
      <c r="B57" s="46">
        <v>55</v>
      </c>
      <c r="C57" s="19">
        <f>IF(E57="","",COUNTA($E$3:E57))</f>
        <v>55</v>
      </c>
      <c r="D57" s="18">
        <f t="shared" si="0"/>
        <v>150</v>
      </c>
      <c r="E57" s="30">
        <v>11241</v>
      </c>
      <c r="F57" s="44" t="str">
        <f>IFERROR(IF(VLOOKUP(E57,Расчет!$A$2:$B$650,2,FALSE)="664W","Camry",IF(VLOOKUP(E57,Расчет!$A$2:$B$650,2,FALSE)="813W","Goshi","RAV4")),"")</f>
        <v>RAV4</v>
      </c>
      <c r="G57" s="32" t="str">
        <f>IFERROR(IF(F57="Camry",VLOOKUP(E57,Расчет!$A$2:$Q$650,17,FALSE),VLOOKUP(E57,Расчет!$A$2:$R$650,18,FALSE)),"")</f>
        <v>CVT</v>
      </c>
      <c r="H57" s="32" t="str">
        <f>IFERROR(VLOOKUP(VLOOKUP(E57,Расчет!$A:$D,4,FALSE),$AT$6:$AV$15,3,FALSE),"")</f>
        <v>TWIN-C</v>
      </c>
      <c r="I57" s="31" t="str">
        <f>IFERROR(VLOOKUP(IFERROR(VLOOKUP(E57,Расчет!$A$2:$D$650,4,FALSE),0),$AT$3:$AU$15,2,FALSE),"")</f>
        <v>2,0 L</v>
      </c>
      <c r="J57" s="33" t="str">
        <f>IFERROR(VLOOKUP(E57,Расчет!$A$2:$E$650,5,FALSE),"")</f>
        <v>218</v>
      </c>
      <c r="K57" s="189">
        <v>0.82855324074074066</v>
      </c>
      <c r="L57" s="188">
        <f>K57-K56</f>
        <v>1.7129629629628607E-3</v>
      </c>
      <c r="M57" s="9"/>
      <c r="N57" s="40" t="str">
        <f>IF(AND(IFERROR(VLOOKUP(R57,Расчет!A:J,10,FALSE),"  ")&lt;&gt;"  ",IFERROR(LEFT(VLOOKUP(R57,Расчет!A:J,10,FALSE),1)," ")&lt;&gt;"H"),0,IFERROR(IF(S57="Camry",IF(OR(W57="2PS",W57="2QL"),IF(R57-AP160&gt;100,R57-AP160-1000+$AD$12,R57-AP160+$AD$12),IF(R57-AP160&gt;100,R57-AP160-1000,R57-AP160)),IF(W57="2PS",IF(R57-AP160&gt;100,R57-AP160-1000+$AD$17,R57-AP160+$AD$17),IF(R57-AP160&gt;100,R57-AP160-1000,R57-AP160))),"-"))</f>
        <v>-</v>
      </c>
      <c r="O57" s="46">
        <v>158</v>
      </c>
      <c r="P57" s="19" t="str">
        <f>IF(R57="","",COUNTA($R$3:R57)+$C$105)</f>
        <v/>
      </c>
      <c r="Q57" s="18" t="str">
        <f t="shared" si="1"/>
        <v/>
      </c>
      <c r="R57" s="30"/>
      <c r="S57" s="45" t="str">
        <f>IFERROR(IF(VLOOKUP(R57,Расчет!$A$2:$B$650,2,FALSE)="664W","Camry",IF(VLOOKUP(R57,Расчет!$A$2:$B$650,2,FALSE)="813W","Goshi","RAV4")),"")</f>
        <v/>
      </c>
      <c r="T57" s="32" t="str">
        <f>IFERROR(IF(S57="Camry",VLOOKUP(R57,Расчет!$A$2:$Q$650,17,FALSE),VLOOKUP(R57,Расчет!$A$2:$R$650,18,FALSE)),"")</f>
        <v/>
      </c>
      <c r="U57" s="32" t="str">
        <f>IFERROR(VLOOKUP(VLOOKUP(R57,Расчет!$A:$D,4,FALSE),$AT$6:$AV$15,3,FALSE),"")</f>
        <v/>
      </c>
      <c r="V57" s="31" t="str">
        <f>IFERROR(VLOOKUP(IFERROR(VLOOKUP(R57,Расчет!$A$2:$D$650,4,FALSE),0),$AT$3:$AU$15,2,FALSE),"")</f>
        <v/>
      </c>
      <c r="W57" s="33" t="str">
        <f>IFERROR(VLOOKUP(R57,Расчет!$A$2:$E$650,5,FALSE),"")</f>
        <v/>
      </c>
      <c r="X57" s="189"/>
      <c r="Y57" s="191">
        <f t="shared" si="10"/>
        <v>0</v>
      </c>
      <c r="AB57" s="738" t="s">
        <v>154</v>
      </c>
      <c r="AC57" s="739"/>
      <c r="AE57" s="89">
        <v>55</v>
      </c>
      <c r="AF57" s="44" t="str">
        <f>IF(VLOOKUP(AE57,Расчет!$AH$2:$AN$201,5,FALSE)="8","C",IF(VLOOKUP(AE57,Расчет!$AH$2:$AN$201,5,FALSE)="G","G","R"))</f>
        <v>R</v>
      </c>
      <c r="AG57" s="73" t="str">
        <f t="shared" si="2"/>
        <v>R</v>
      </c>
      <c r="AH57" s="87">
        <f>IF(AG57="","",COUNTIF($AG$2:AG57,"C")-COUNTIF($AF$2:AF57,"C")+$AH$1)</f>
        <v>0</v>
      </c>
      <c r="AI57" s="87">
        <f>IF(AG57="","",COUNTIF($AG$2:AG57,"R")-COUNTIF($AF$2:AF57,"R")+$AI$1)</f>
        <v>0</v>
      </c>
      <c r="AJ57" s="89">
        <v>158</v>
      </c>
      <c r="AK57" s="44" t="str">
        <f>IF(VLOOKUP(AJ57,Расчет!$AH$2:$AN$211,5,FALSE)="8","C",IF(VLOOKUP(AJ57,Расчет!$AH$2:$AN$211,5,FALSE)="G","G","R"))</f>
        <v>R</v>
      </c>
      <c r="AL57" s="74" t="str">
        <f t="shared" si="3"/>
        <v/>
      </c>
      <c r="AM57" s="118" t="str">
        <f>IF(AL57="","",(COUNTIF($AG$2:$AG$105,"C")+COUNTIF($AL$2:$AL57,"C"))-(COUNTIF($AF$2:$AF$105,"C")+COUNTIF($AK$2:$AK57,"C"))+$AH$1)</f>
        <v/>
      </c>
      <c r="AN57" s="119" t="str">
        <f>IF(AL57="","",(COUNTIF($AG$2:$AG$105,"R")+COUNTIF($AL$2:$AL57,"R"))-(COUNTIF($AF$2:$AF$105,"R")+COUNTIF($AK$2:$AK57,"R"))+$AI$1)</f>
        <v/>
      </c>
      <c r="AO57" s="22">
        <f>IF(E57="","",COUNTA($E$3:E57)+$Z$1)</f>
        <v>150</v>
      </c>
      <c r="AP57" s="88">
        <f>IF(AO57="","",IF(AO57+Расчет!$Y$57+$BD$2-Расчет!$X$57&gt;200,AO57+Расчет!$Y$57+$BD$2-1000,AO57+Расчет!$Y$57+$BD$2))</f>
        <v>11220</v>
      </c>
      <c r="AR57" s="92"/>
      <c r="AS57" s="92"/>
      <c r="AY57" s="393"/>
      <c r="BL57" s="172">
        <f>COUNTIF($BM$5:BM57,"&lt;-115")</f>
        <v>0</v>
      </c>
      <c r="BM57" s="154">
        <f>IFERROR(IF(OR(IFERROR(VLOOKUP(BN57,$E$3:$E$105,1,FALSE),"0")=BN57,IFERROR(VLOOKUP(BN57,$R$3:$R$105,1,FALSE),"0")=BN57),BO57,IF(OR(VLOOKUP(BN57,Расчет!A:E,5,FALSE)="2PS",VLOOKUP(BN57,Расчет!A:E,5,FALSE)="2QL"),IF(VLOOKUP(BN57,Расчет!A:B,2,FALSE)="831W",BN57-$BS$7+$AD$17,BN57-$BS$7+$AD$12),BN57-$BS$7)),"-")</f>
        <v>86</v>
      </c>
      <c r="BN57" s="154">
        <f>IF(OR(Расчет!C54="A0",Расчет!C54="P9",Расчет!B54="722W"),"-",Расчет!A54)</f>
        <v>11199</v>
      </c>
      <c r="BO57" s="173">
        <f t="shared" si="14"/>
        <v>0</v>
      </c>
      <c r="BP57" s="172">
        <f>IF(BQ57="-","-",IFERROR(IF(OR(VLOOKUP(BN57,Расчет!$A$2:$E$582,5,FALSE)="2PS",VLOOKUP(BN57,Расчет!$A$2:$E$582,5,FALSE)="2QL"),IF(OR(VLOOKUP(BN57,Расчет!$A$2:$E$582,2,FALSE)="664W",VLOOKUP(BN57,Расчет!$A$2:$E$582,2,FALSE)="813W"),IF(BN57-$BS$7&gt;150,BN57-$BS$7-1000+$AD$12,BN57-$BS$7+$AD$12),IF(BN57-$BS$7&gt;150,BN57-$BS$7-1000+$AD$17,BN57-$BS$7+$AD$17)),IF(BN57-$BS$7&gt;150,BN57-$BS$7-1000,BN57-$BS$7)),"-"))</f>
        <v>86</v>
      </c>
      <c r="BQ57" s="173">
        <f t="shared" si="11"/>
        <v>11199</v>
      </c>
      <c r="BR57" s="453"/>
      <c r="BS57" s="171"/>
      <c r="BT57" s="464" t="str">
        <f t="shared" si="12"/>
        <v>-</v>
      </c>
      <c r="BU57" s="464" t="str">
        <f t="shared" si="13"/>
        <v>-</v>
      </c>
      <c r="BX57" s="204">
        <f>COUNTIF($BY$4:BY57,"&lt;100")</f>
        <v>54</v>
      </c>
      <c r="BY57" s="213">
        <f t="shared" si="25"/>
        <v>0</v>
      </c>
      <c r="BZ57" s="216">
        <f t="shared" si="25"/>
        <v>0</v>
      </c>
      <c r="CA57" s="213">
        <f t="shared" si="5"/>
        <v>0</v>
      </c>
      <c r="CB57" s="209">
        <f t="shared" si="6"/>
        <v>0</v>
      </c>
      <c r="CC57" s="205">
        <f t="shared" si="15"/>
        <v>0</v>
      </c>
      <c r="CD57" s="205">
        <f t="shared" si="7"/>
        <v>16</v>
      </c>
      <c r="CE57" s="205">
        <f t="shared" si="16"/>
        <v>0</v>
      </c>
      <c r="CG57" s="20" t="str">
        <f t="shared" si="24"/>
        <v>Mech</v>
      </c>
    </row>
    <row r="58" spans="1:85" ht="23.1" customHeight="1">
      <c r="A58" s="40">
        <f>IF(AND(IFERROR(VLOOKUP(E58,Расчет!A:J,10,FALSE),"  ")&lt;&gt;"  ",IFERROR(LEFT(VLOOKUP(E58,Расчет!A:J,10,FALSE),1)," ")&lt;&gt;"H"),0,IFERROR(IF(F58="Camry",IF(OR(J58="2PS",J58="2QL"),IF(E58-AP58&gt;100,E58-AP58-1000+$AD$12,E58-AP58+$AD$12),IF(E58-AP58&gt;100,E58-AP58-1000,E58-AP58)),IF(J58="2PS",IF(E58-AP58&gt;100,E58-AP58-1000+$AD$17,E58-AP58+$AD$17),IF(E58-AP58&gt;100,E58-AP58-1000,E58-AP58))),"-"))</f>
        <v>24</v>
      </c>
      <c r="B58" s="46">
        <v>56</v>
      </c>
      <c r="C58" s="19">
        <f>IF(E58="","",COUNTA($E$3:E58))</f>
        <v>56</v>
      </c>
      <c r="D58" s="18">
        <f t="shared" si="0"/>
        <v>151</v>
      </c>
      <c r="E58" s="30">
        <v>11245</v>
      </c>
      <c r="F58" s="44" t="str">
        <f>IFERROR(IF(VLOOKUP(E58,Расчет!$A$2:$B$650,2,FALSE)="664W","Camry",IF(VLOOKUP(E58,Расчет!$A$2:$B$650,2,FALSE)="813W","Goshi","RAV4")),"")</f>
        <v>RAV4</v>
      </c>
      <c r="G58" s="32" t="str">
        <f>IFERROR(IF(F58="Camry",VLOOKUP(E58,Расчет!$A$2:$Q$650,17,FALSE),VLOOKUP(E58,Расчет!$A$2:$R$650,18,FALSE)),"")</f>
        <v>Mech</v>
      </c>
      <c r="H58" s="32" t="str">
        <f>IFERROR(VLOOKUP(VLOOKUP(E58,Расчет!$A:$D,4,FALSE),$AT$6:$AV$15,3,FALSE),"")</f>
        <v>FF</v>
      </c>
      <c r="I58" s="31" t="str">
        <f>IFERROR(VLOOKUP(IFERROR(VLOOKUP(E58,Расчет!$A$2:$D$650,4,FALSE),0),$AT$3:$AU$15,2,FALSE),"")</f>
        <v>2,0 L</v>
      </c>
      <c r="J58" s="33" t="str">
        <f>IFERROR(VLOOKUP(E58,Расчет!$A$2:$E$650,5,FALSE),"")</f>
        <v>218</v>
      </c>
      <c r="K58" s="189">
        <v>0.83028935185185182</v>
      </c>
      <c r="L58" s="188">
        <f t="shared" si="9"/>
        <v>1.7361111111111605E-3</v>
      </c>
      <c r="M58" s="9"/>
      <c r="N58" s="40" t="str">
        <f>IF(AND(IFERROR(VLOOKUP(R58,Расчет!A:J,10,FALSE),"  ")&lt;&gt;"  ",IFERROR(LEFT(VLOOKUP(R58,Расчет!A:J,10,FALSE),1)," ")&lt;&gt;"H"),0,IFERROR(IF(S58="Camry",IF(OR(W58="2PS",W58="2QL"),IF(R58-AP161&gt;100,R58-AP161-1000+$AD$12,R58-AP161+$AD$12),IF(R58-AP161&gt;100,R58-AP161-1000,R58-AP161)),IF(W58="2PS",IF(R58-AP161&gt;100,R58-AP161-1000+$AD$17,R58-AP161+$AD$17),IF(R58-AP161&gt;100,R58-AP161-1000,R58-AP161))),"-"))</f>
        <v>-</v>
      </c>
      <c r="O58" s="46">
        <v>159</v>
      </c>
      <c r="P58" s="19" t="str">
        <f>IF(R58="","",COUNTA($R$3:R58)+$C$105)</f>
        <v/>
      </c>
      <c r="Q58" s="18" t="str">
        <f t="shared" si="1"/>
        <v/>
      </c>
      <c r="R58" s="30"/>
      <c r="S58" s="45" t="str">
        <f>IFERROR(IF(VLOOKUP(R58,Расчет!$A$2:$B$650,2,FALSE)="664W","Camry",IF(VLOOKUP(R58,Расчет!$A$2:$B$650,2,FALSE)="813W","Goshi","RAV4")),"")</f>
        <v/>
      </c>
      <c r="T58" s="32" t="str">
        <f>IFERROR(IF(S58="Camry",VLOOKUP(R58,Расчет!$A$2:$Q$650,17,FALSE),VLOOKUP(R58,Расчет!$A$2:$R$650,18,FALSE)),"")</f>
        <v/>
      </c>
      <c r="U58" s="32" t="str">
        <f>IFERROR(VLOOKUP(VLOOKUP(R58,Расчет!$A:$D,4,FALSE),$AT$6:$AV$15,3,FALSE),"")</f>
        <v/>
      </c>
      <c r="V58" s="31" t="str">
        <f>IFERROR(VLOOKUP(IFERROR(VLOOKUP(R58,Расчет!$A$2:$D$650,4,FALSE),0),$AT$3:$AU$15,2,FALSE),"")</f>
        <v/>
      </c>
      <c r="W58" s="33" t="str">
        <f>IFERROR(VLOOKUP(R58,Расчет!$A$2:$E$650,5,FALSE),"")</f>
        <v/>
      </c>
      <c r="X58" s="189"/>
      <c r="Y58" s="191">
        <f t="shared" si="10"/>
        <v>0</v>
      </c>
      <c r="AB58" s="740" t="s">
        <v>152</v>
      </c>
      <c r="AC58" s="741"/>
      <c r="AE58" s="89">
        <v>56</v>
      </c>
      <c r="AF58" s="44" t="str">
        <f>IF(VLOOKUP(AE58,Расчет!$AH$2:$AN$201,5,FALSE)="8","C",IF(VLOOKUP(AE58,Расчет!$AH$2:$AN$201,5,FALSE)="G","G","R"))</f>
        <v>R</v>
      </c>
      <c r="AG58" s="73" t="str">
        <f t="shared" si="2"/>
        <v>R</v>
      </c>
      <c r="AH58" s="87">
        <f>IF(AG58="","",COUNTIF($AG$2:AG58,"C")-COUNTIF($AF$2:AF58,"C")+$AH$1)</f>
        <v>0</v>
      </c>
      <c r="AI58" s="87">
        <f>IF(AG58="","",COUNTIF($AG$2:AG58,"R")-COUNTIF($AF$2:AF58,"R")+$AI$1)</f>
        <v>0</v>
      </c>
      <c r="AJ58" s="89">
        <v>159</v>
      </c>
      <c r="AK58" s="44" t="str">
        <f>IF(VLOOKUP(AJ58,Расчет!$AH$2:$AN$211,5,FALSE)="8","C",IF(VLOOKUP(AJ58,Расчет!$AH$2:$AN$211,5,FALSE)="G","G","R"))</f>
        <v>C</v>
      </c>
      <c r="AL58" s="74" t="str">
        <f t="shared" si="3"/>
        <v/>
      </c>
      <c r="AM58" s="118" t="str">
        <f>IF(AL58="","",(COUNTIF($AG$2:$AG$105,"C")+COUNTIF($AL$2:$AL58,"C"))-(COUNTIF($AF$2:$AF$105,"C")+COUNTIF($AK$2:$AK58,"C"))+$AH$1)</f>
        <v/>
      </c>
      <c r="AN58" s="119" t="str">
        <f>IF(AL58="","",(COUNTIF($AG$2:$AG$105,"R")+COUNTIF($AL$2:$AL58,"R"))-(COUNTIF($AF$2:$AF$105,"R")+COUNTIF($AK$2:$AK58,"R"))+$AI$1)</f>
        <v/>
      </c>
      <c r="AO58" s="22">
        <f>IF(E58="","",COUNTA($E$3:E58)+$Z$1)</f>
        <v>151</v>
      </c>
      <c r="AP58" s="88">
        <f>IF(AO58="","",IF(AO58+Расчет!$Y$57+$BD$2-Расчет!$X$57&gt;200,AO58+Расчет!$Y$57+$BD$2-1000,AO58+Расчет!$Y$57+$BD$2))</f>
        <v>11221</v>
      </c>
      <c r="AR58" s="92"/>
      <c r="AS58" s="92"/>
      <c r="AY58" s="393"/>
      <c r="BL58" s="172">
        <f>COUNTIF($BM$5:BM58,"&lt;-115")</f>
        <v>0</v>
      </c>
      <c r="BM58" s="154">
        <f>IFERROR(IF(OR(IFERROR(VLOOKUP(BN58,$E$3:$E$105,1,FALSE),"0")=BN58,IFERROR(VLOOKUP(BN58,$R$3:$R$105,1,FALSE),"0")=BN58),BO58,IF(OR(VLOOKUP(BN58,Расчет!A:E,5,FALSE)="2PS",VLOOKUP(BN58,Расчет!A:E,5,FALSE)="2QL"),IF(VLOOKUP(BN58,Расчет!A:B,2,FALSE)="831W",BN58-$BS$7+$AD$17,BN58-$BS$7+$AD$12),BN58-$BS$7)),"-")</f>
        <v>12</v>
      </c>
      <c r="BN58" s="154">
        <f>IF(OR(Расчет!C55="A0",Расчет!C55="P9",Расчет!B55="722W"),"-",Расчет!A55)</f>
        <v>11200</v>
      </c>
      <c r="BO58" s="173">
        <f t="shared" si="14"/>
        <v>12</v>
      </c>
      <c r="BP58" s="172" t="str">
        <f>IF(BQ58="-","-",IFERROR(IF(OR(VLOOKUP(BN58,Расчет!$A$2:$E$582,5,FALSE)="2PS",VLOOKUP(BN58,Расчет!$A$2:$E$582,5,FALSE)="2QL"),IF(OR(VLOOKUP(BN58,Расчет!$A$2:$E$582,2,FALSE)="664W",VLOOKUP(BN58,Расчет!$A$2:$E$582,2,FALSE)="813W"),IF(BN58-$BS$7&gt;150,BN58-$BS$7-1000+$AD$12,BN58-$BS$7+$AD$12),IF(BN58-$BS$7&gt;150,BN58-$BS$7-1000+$AD$17,BN58-$BS$7+$AD$17)),IF(BN58-$BS$7&gt;150,BN58-$BS$7-1000,BN58-$BS$7)),"-"))</f>
        <v>-</v>
      </c>
      <c r="BQ58" s="173" t="str">
        <f t="shared" si="11"/>
        <v>-</v>
      </c>
      <c r="BR58" s="453"/>
      <c r="BS58" s="171"/>
      <c r="BT58" s="464" t="str">
        <f t="shared" si="12"/>
        <v>-</v>
      </c>
      <c r="BU58" s="464" t="str">
        <f t="shared" si="13"/>
        <v>-</v>
      </c>
      <c r="BX58" s="204">
        <f>COUNTIF($BY$4:BY58,"&lt;100")</f>
        <v>55</v>
      </c>
      <c r="BY58" s="213">
        <f t="shared" si="25"/>
        <v>0</v>
      </c>
      <c r="BZ58" s="216">
        <f t="shared" si="25"/>
        <v>0</v>
      </c>
      <c r="CA58" s="213">
        <f t="shared" si="5"/>
        <v>0</v>
      </c>
      <c r="CB58" s="209">
        <f t="shared" si="6"/>
        <v>0</v>
      </c>
      <c r="CC58" s="205">
        <f t="shared" si="15"/>
        <v>0</v>
      </c>
      <c r="CD58" s="205">
        <f t="shared" si="7"/>
        <v>21</v>
      </c>
      <c r="CE58" s="205">
        <f t="shared" si="16"/>
        <v>0</v>
      </c>
      <c r="CG58" s="20" t="str">
        <f t="shared" si="24"/>
        <v>Sport</v>
      </c>
    </row>
    <row r="59" spans="1:85" ht="23.1" customHeight="1" thickBot="1">
      <c r="A59" s="40">
        <f>IF(AND(IFERROR(VLOOKUP(E59,Расчет!A:J,10,FALSE),"  ")&lt;&gt;"  ",IFERROR(LEFT(VLOOKUP(E59,Расчет!A:J,10,FALSE),1)," ")&lt;&gt;"H"),0,IFERROR(IF(F59="Camry",IF(OR(J59="2PS",J59="2QL"),IF(E59-AP59&gt;100,E59-AP59-1000+$AD$12,E59-AP59+$AD$12),IF(E59-AP59&gt;100,E59-AP59-1000,E59-AP59)),IF(J59="2PS",IF(E59-AP59&gt;100,E59-AP59-1000+$AD$17,E59-AP59+$AD$17),IF(E59-AP59&gt;100,E59-AP59-1000,E59-AP59))),"-"))</f>
        <v>-10</v>
      </c>
      <c r="B59" s="46">
        <v>57</v>
      </c>
      <c r="C59" s="19">
        <f>IF(E59="","",COUNTA($E$3:E59))</f>
        <v>57</v>
      </c>
      <c r="D59" s="18">
        <f t="shared" si="0"/>
        <v>152</v>
      </c>
      <c r="E59" s="30">
        <v>11212</v>
      </c>
      <c r="F59" s="44" t="str">
        <f>IFERROR(IF(VLOOKUP(E59,Расчет!$A$2:$B$650,2,FALSE)="664W","Camry",IF(VLOOKUP(E59,Расчет!$A$2:$B$650,2,FALSE)="813W","Goshi","RAV4")),"")</f>
        <v>Camry</v>
      </c>
      <c r="G59" s="32" t="str">
        <f>IFERROR(IF(F59="Camry",VLOOKUP(E59,Расчет!$A$2:$Q$650,17,FALSE),VLOOKUP(E59,Расчет!$A$2:$R$650,18,FALSE)),"")</f>
        <v>Rich</v>
      </c>
      <c r="H59" s="32" t="str">
        <f>IFERROR(VLOOKUP(VLOOKUP(E59,Расчет!$A:$D,4,FALSE),$AT$6:$AV$15,3,FALSE),"")</f>
        <v/>
      </c>
      <c r="I59" s="31" t="str">
        <f>IFERROR(VLOOKUP(IFERROR(VLOOKUP(E59,Расчет!$A$2:$D$650,4,FALSE),0),$AT$3:$AU$15,2,FALSE),"")</f>
        <v>3,5 L</v>
      </c>
      <c r="J59" s="33" t="str">
        <f>IFERROR(VLOOKUP(E59,Расчет!$A$2:$E$650,5,FALSE),"")</f>
        <v>218</v>
      </c>
      <c r="K59" s="189"/>
      <c r="L59" s="188">
        <f t="shared" si="9"/>
        <v>-0.83028935185185182</v>
      </c>
      <c r="M59" s="9"/>
      <c r="N59" s="40" t="str">
        <f>IF(AND(IFERROR(VLOOKUP(R59,Расчет!A:J,10,FALSE),"  ")&lt;&gt;"  ",IFERROR(LEFT(VLOOKUP(R59,Расчет!A:J,10,FALSE),1)," ")&lt;&gt;"H"),0,IFERROR(IF(S59="Camry",IF(OR(W59="2PS",W59="2QL"),IF(R59-AP162&gt;100,R59-AP162-1000+$AD$12,R59-AP162+$AD$12),IF(R59-AP162&gt;100,R59-AP162-1000,R59-AP162)),IF(W59="2PS",IF(R59-AP162&gt;100,R59-AP162-1000+$AD$17,R59-AP162+$AD$17),IF(R59-AP162&gt;100,R59-AP162-1000,R59-AP162))),"-"))</f>
        <v>-</v>
      </c>
      <c r="O59" s="46">
        <v>160</v>
      </c>
      <c r="P59" s="19" t="str">
        <f>IF(R59="","",COUNTA($R$3:R59)+$C$105)</f>
        <v/>
      </c>
      <c r="Q59" s="18" t="str">
        <f t="shared" si="1"/>
        <v/>
      </c>
      <c r="R59" s="30"/>
      <c r="S59" s="45" t="str">
        <f>IFERROR(IF(VLOOKUP(R59,Расчет!$A$2:$B$650,2,FALSE)="664W","Camry",IF(VLOOKUP(R59,Расчет!$A$2:$B$650,2,FALSE)="813W","Goshi","RAV4")),"")</f>
        <v/>
      </c>
      <c r="T59" s="32" t="str">
        <f>IFERROR(IF(S59="Camry",VLOOKUP(R59,Расчет!$A$2:$Q$650,17,FALSE),VLOOKUP(R59,Расчет!$A$2:$R$650,18,FALSE)),"")</f>
        <v/>
      </c>
      <c r="U59" s="32" t="str">
        <f>IFERROR(VLOOKUP(VLOOKUP(R59,Расчет!$A:$D,4,FALSE),$AT$6:$AV$15,3,FALSE),"")</f>
        <v/>
      </c>
      <c r="V59" s="31" t="str">
        <f>IFERROR(VLOOKUP(IFERROR(VLOOKUP(R59,Расчет!$A$2:$D$650,4,FALSE),0),$AT$3:$AU$15,2,FALSE),"")</f>
        <v/>
      </c>
      <c r="W59" s="33" t="str">
        <f>IFERROR(VLOOKUP(R59,Расчет!$A$2:$E$650,5,FALSE),"")</f>
        <v/>
      </c>
      <c r="X59" s="189"/>
      <c r="Y59" s="191">
        <f t="shared" si="10"/>
        <v>0</v>
      </c>
      <c r="AB59" s="742"/>
      <c r="AC59" s="743"/>
      <c r="AE59" s="89">
        <v>57</v>
      </c>
      <c r="AF59" s="44" t="str">
        <f>IF(VLOOKUP(AE59,Расчет!$AH$2:$AN$201,5,FALSE)="8","C",IF(VLOOKUP(AE59,Расчет!$AH$2:$AN$201,5,FALSE)="G","G","R"))</f>
        <v>C</v>
      </c>
      <c r="AG59" s="73" t="str">
        <f t="shared" si="2"/>
        <v>C</v>
      </c>
      <c r="AH59" s="87">
        <f>IF(AG59="","",COUNTIF($AG$2:AG59,"C")-COUNTIF($AF$2:AF59,"C")+$AH$1)</f>
        <v>0</v>
      </c>
      <c r="AI59" s="87">
        <f>IF(AG59="","",COUNTIF($AG$2:AG59,"R")-COUNTIF($AF$2:AF59,"R")+$AI$1)</f>
        <v>0</v>
      </c>
      <c r="AJ59" s="89">
        <v>160</v>
      </c>
      <c r="AK59" s="44" t="str">
        <f>IF(VLOOKUP(AJ59,Расчет!$AH$2:$AN$211,5,FALSE)="8","C",IF(VLOOKUP(AJ59,Расчет!$AH$2:$AN$211,5,FALSE)="G","G","R"))</f>
        <v>R</v>
      </c>
      <c r="AL59" s="74" t="str">
        <f t="shared" si="3"/>
        <v/>
      </c>
      <c r="AM59" s="118" t="str">
        <f>IF(AL59="","",(COUNTIF($AG$2:$AG$105,"C")+COUNTIF($AL$2:$AL59,"C"))-(COUNTIF($AF$2:$AF$105,"C")+COUNTIF($AK$2:$AK59,"C"))+$AH$1)</f>
        <v/>
      </c>
      <c r="AN59" s="119" t="str">
        <f>IF(AL59="","",(COUNTIF($AG$2:$AG$105,"R")+COUNTIF($AL$2:$AL59,"R"))-(COUNTIF($AF$2:$AF$105,"R")+COUNTIF($AK$2:$AK59,"R"))+$AI$1)</f>
        <v/>
      </c>
      <c r="AO59" s="22">
        <f>IF(E59="","",COUNTA($E$3:E59)+$Z$1)</f>
        <v>152</v>
      </c>
      <c r="AP59" s="88">
        <f>IF(AO59="","",IF(AO59+Расчет!$Y$57+$BD$2-Расчет!$X$57&gt;200,AO59+Расчет!$Y$57+$BD$2-1000,AO59+Расчет!$Y$57+$BD$2))</f>
        <v>11222</v>
      </c>
      <c r="AR59" s="92"/>
      <c r="AS59" s="92"/>
      <c r="AY59" s="393"/>
      <c r="BL59" s="172">
        <f>COUNTIF($BM$5:BM59,"&lt;-115")</f>
        <v>0</v>
      </c>
      <c r="BM59" s="154">
        <f>IFERROR(IF(OR(IFERROR(VLOOKUP(BN59,$E$3:$E$105,1,FALSE),"0")=BN59,IFERROR(VLOOKUP(BN59,$R$3:$R$105,1,FALSE),"0")=BN59),BO59,IF(OR(VLOOKUP(BN59,Расчет!A:E,5,FALSE)="2PS",VLOOKUP(BN59,Расчет!A:E,5,FALSE)="2QL"),IF(VLOOKUP(BN59,Расчет!A:B,2,FALSE)="831W",BN59-$BS$7+$AD$17,BN59-$BS$7+$AD$12),BN59-$BS$7)),"-")</f>
        <v>7</v>
      </c>
      <c r="BN59" s="154">
        <f>IF(OR(Расчет!C56="A0",Расчет!C56="P9",Расчет!B56="722W"),"-",Расчет!A56)</f>
        <v>11201</v>
      </c>
      <c r="BO59" s="173">
        <f t="shared" si="14"/>
        <v>7</v>
      </c>
      <c r="BP59" s="172" t="str">
        <f>IF(BQ59="-","-",IFERROR(IF(OR(VLOOKUP(BN59,Расчет!$A$2:$E$582,5,FALSE)="2PS",VLOOKUP(BN59,Расчет!$A$2:$E$582,5,FALSE)="2QL"),IF(OR(VLOOKUP(BN59,Расчет!$A$2:$E$582,2,FALSE)="664W",VLOOKUP(BN59,Расчет!$A$2:$E$582,2,FALSE)="813W"),IF(BN59-$BS$7&gt;150,BN59-$BS$7-1000+$AD$12,BN59-$BS$7+$AD$12),IF(BN59-$BS$7&gt;150,BN59-$BS$7-1000+$AD$17,BN59-$BS$7+$AD$17)),IF(BN59-$BS$7&gt;150,BN59-$BS$7-1000,BN59-$BS$7)),"-"))</f>
        <v>-</v>
      </c>
      <c r="BQ59" s="173" t="str">
        <f t="shared" si="11"/>
        <v>-</v>
      </c>
      <c r="BR59" s="453"/>
      <c r="BS59" s="171"/>
      <c r="BT59" s="464" t="str">
        <f t="shared" si="12"/>
        <v>-</v>
      </c>
      <c r="BU59" s="464" t="str">
        <f t="shared" si="13"/>
        <v>-</v>
      </c>
      <c r="BX59" s="204">
        <f>COUNTIF($BY$4:BY59,"&lt;100")</f>
        <v>56</v>
      </c>
      <c r="BY59" s="213">
        <f t="shared" si="25"/>
        <v>0</v>
      </c>
      <c r="BZ59" s="216">
        <f t="shared" si="25"/>
        <v>0</v>
      </c>
      <c r="CA59" s="213">
        <f t="shared" si="5"/>
        <v>0</v>
      </c>
      <c r="CB59" s="209">
        <f t="shared" si="6"/>
        <v>0</v>
      </c>
      <c r="CC59" s="205">
        <f t="shared" si="15"/>
        <v>0</v>
      </c>
      <c r="CD59" s="205">
        <f t="shared" si="7"/>
        <v>24</v>
      </c>
      <c r="CE59" s="205">
        <f t="shared" si="16"/>
        <v>0</v>
      </c>
      <c r="CG59" s="20" t="str">
        <f t="shared" si="24"/>
        <v>CVT</v>
      </c>
    </row>
    <row r="60" spans="1:85" ht="23.1" customHeight="1">
      <c r="A60" s="40">
        <f>IF(AND(IFERROR(VLOOKUP(E60,Расчет!A:J,10,FALSE),"  ")&lt;&gt;"  ",IFERROR(LEFT(VLOOKUP(E60,Расчет!A:J,10,FALSE),1)," ")&lt;&gt;"H"),0,IFERROR(IF(F60="Camry",IF(OR(J60="2PS",J60="2QL"),IF(E60-AP60&gt;100,E60-AP60-1000+$AD$12,E60-AP60+$AD$12),IF(E60-AP60&gt;100,E60-AP60-1000,E60-AP60)),IF(J60="2PS",IF(E60-AP60&gt;100,E60-AP60-1000+$AD$17,E60-AP60+$AD$17),IF(E60-AP60&gt;100,E60-AP60-1000,E60-AP60))),"-"))</f>
        <v>20</v>
      </c>
      <c r="B60" s="46">
        <v>58</v>
      </c>
      <c r="C60" s="19">
        <f>IF(E60="","",COUNTA($E$3:E60))</f>
        <v>58</v>
      </c>
      <c r="D60" s="18">
        <f t="shared" si="0"/>
        <v>153</v>
      </c>
      <c r="E60" s="30">
        <v>11243</v>
      </c>
      <c r="F60" s="44" t="str">
        <f>IFERROR(IF(VLOOKUP(E60,Расчет!$A$2:$B$650,2,FALSE)="664W","Camry",IF(VLOOKUP(E60,Расчет!$A$2:$B$650,2,FALSE)="813W","Goshi","RAV4")),"")</f>
        <v>RAV4</v>
      </c>
      <c r="G60" s="32" t="str">
        <f>IFERROR(IF(F60="Camry",VLOOKUP(E60,Расчет!$A$2:$Q$650,17,FALSE),VLOOKUP(E60,Расчет!$A$2:$R$650,18,FALSE)),"")</f>
        <v>Auto</v>
      </c>
      <c r="H60" s="32" t="str">
        <f>IFERROR(VLOOKUP(VLOOKUP(E60,Расчет!$A:$D,4,FALSE),$AT$6:$AV$15,3,FALSE),"")</f>
        <v>4WD</v>
      </c>
      <c r="I60" s="31" t="str">
        <f>IFERROR(VLOOKUP(IFERROR(VLOOKUP(E60,Расчет!$A$2:$D$650,4,FALSE),0),$AT$3:$AU$15,2,FALSE),"")</f>
        <v>2,5 L</v>
      </c>
      <c r="J60" s="33" t="str">
        <f>IFERROR(VLOOKUP(E60,Расчет!$A$2:$E$650,5,FALSE),"")</f>
        <v>218</v>
      </c>
      <c r="K60" s="189"/>
      <c r="L60" s="188">
        <f t="shared" si="9"/>
        <v>0</v>
      </c>
      <c r="M60" s="9"/>
      <c r="N60" s="40" t="str">
        <f>IF(AND(IFERROR(VLOOKUP(R60,Расчет!A:J,10,FALSE),"  ")&lt;&gt;"  ",IFERROR(LEFT(VLOOKUP(R60,Расчет!A:J,10,FALSE),1)," ")&lt;&gt;"H"),0,IFERROR(IF(S60="Camry",IF(OR(W60="2PS",W60="2QL"),IF(R60-AP163&gt;100,R60-AP163-1000+$AD$12,R60-AP163+$AD$12),IF(R60-AP163&gt;100,R60-AP163-1000,R60-AP163)),IF(W60="2PS",IF(R60-AP163&gt;100,R60-AP163-1000+$AD$17,R60-AP163+$AD$17),IF(R60-AP163&gt;100,R60-AP163-1000,R60-AP163))),"-"))</f>
        <v>-</v>
      </c>
      <c r="O60" s="46">
        <v>161</v>
      </c>
      <c r="P60" s="19" t="str">
        <f>IF(R60="","",COUNTA($R$3:R60)+$C$105)</f>
        <v/>
      </c>
      <c r="Q60" s="18" t="str">
        <f t="shared" si="1"/>
        <v/>
      </c>
      <c r="R60" s="30"/>
      <c r="S60" s="45" t="str">
        <f>IFERROR(IF(VLOOKUP(R60,Расчет!$A$2:$B$650,2,FALSE)="664W","Camry",IF(VLOOKUP(R60,Расчет!$A$2:$B$650,2,FALSE)="813W","Goshi","RAV4")),"")</f>
        <v/>
      </c>
      <c r="T60" s="32" t="str">
        <f>IFERROR(IF(S60="Camry",VLOOKUP(R60,Расчет!$A$2:$Q$650,17,FALSE),VLOOKUP(R60,Расчет!$A$2:$R$650,18,FALSE)),"")</f>
        <v/>
      </c>
      <c r="U60" s="32" t="str">
        <f>IFERROR(VLOOKUP(VLOOKUP(R60,Расчет!$A:$D,4,FALSE),$AT$6:$AV$15,3,FALSE),"")</f>
        <v/>
      </c>
      <c r="V60" s="31" t="str">
        <f>IFERROR(VLOOKUP(IFERROR(VLOOKUP(R60,Расчет!$A$2:$D$650,4,FALSE),0),$AT$3:$AU$15,2,FALSE),"")</f>
        <v/>
      </c>
      <c r="W60" s="33" t="str">
        <f>IFERROR(VLOOKUP(R60,Расчет!$A$2:$E$650,5,FALSE),"")</f>
        <v/>
      </c>
      <c r="X60" s="189"/>
      <c r="Y60" s="191">
        <f t="shared" si="10"/>
        <v>0</v>
      </c>
      <c r="AB60" s="744" t="s">
        <v>148</v>
      </c>
      <c r="AC60" s="746" t="s">
        <v>149</v>
      </c>
      <c r="AE60" s="89">
        <v>58</v>
      </c>
      <c r="AF60" s="44" t="str">
        <f>IF(VLOOKUP(AE60,Расчет!$AH$2:$AN$201,5,FALSE)="8","C",IF(VLOOKUP(AE60,Расчет!$AH$2:$AN$201,5,FALSE)="G","G","R"))</f>
        <v>R</v>
      </c>
      <c r="AG60" s="73" t="str">
        <f t="shared" si="2"/>
        <v>R</v>
      </c>
      <c r="AH60" s="87">
        <f>IF(AG60="","",COUNTIF($AG$2:AG60,"C")-COUNTIF($AF$2:AF60,"C")+$AH$1)</f>
        <v>0</v>
      </c>
      <c r="AI60" s="87">
        <f>IF(AG60="","",COUNTIF($AG$2:AG60,"R")-COUNTIF($AF$2:AF60,"R")+$AI$1)</f>
        <v>0</v>
      </c>
      <c r="AJ60" s="89">
        <v>161</v>
      </c>
      <c r="AK60" s="44" t="str">
        <f>IF(VLOOKUP(AJ60,Расчет!$AH$2:$AN$211,5,FALSE)="8","C",IF(VLOOKUP(AJ60,Расчет!$AH$2:$AN$211,5,FALSE)="G","G","R"))</f>
        <v>R</v>
      </c>
      <c r="AL60" s="74" t="str">
        <f t="shared" si="3"/>
        <v/>
      </c>
      <c r="AM60" s="118" t="str">
        <f>IF(AL60="","",(COUNTIF($AG$2:$AG$105,"C")+COUNTIF($AL$2:$AL60,"C"))-(COUNTIF($AF$2:$AF$105,"C")+COUNTIF($AK$2:$AK60,"C"))+$AH$1)</f>
        <v/>
      </c>
      <c r="AN60" s="119" t="str">
        <f>IF(AL60="","",(COUNTIF($AG$2:$AG$105,"R")+COUNTIF($AL$2:$AL60,"R"))-(COUNTIF($AF$2:$AF$105,"R")+COUNTIF($AK$2:$AK60,"R"))+$AI$1)</f>
        <v/>
      </c>
      <c r="AO60" s="22">
        <f>IF(E60="","",COUNTA($E$3:E60)+$Z$1)</f>
        <v>153</v>
      </c>
      <c r="AP60" s="88">
        <f>IF(AO60="","",IF(AO60+Расчет!$Y$57+$BD$2-Расчет!$X$57&gt;200,AO60+Расчет!$Y$57+$BD$2-1000,AO60+Расчет!$Y$57+$BD$2))</f>
        <v>11223</v>
      </c>
      <c r="AR60" s="92"/>
      <c r="AS60" s="92"/>
      <c r="AY60" s="393"/>
      <c r="BL60" s="172">
        <f>COUNTIF($BM$5:BM60,"&lt;-115")</f>
        <v>0</v>
      </c>
      <c r="BM60" s="154">
        <f>IFERROR(IF(OR(IFERROR(VLOOKUP(BN60,$E$3:$E$105,1,FALSE),"0")=BN60,IFERROR(VLOOKUP(BN60,$R$3:$R$105,1,FALSE),"0")=BN60),BO60,IF(OR(VLOOKUP(BN60,Расчет!A:E,5,FALSE)="2PS",VLOOKUP(BN60,Расчет!A:E,5,FALSE)="2QL"),IF(VLOOKUP(BN60,Расчет!A:B,2,FALSE)="831W",BN60-$BS$7+$AD$17,BN60-$BS$7+$AD$12),BN60-$BS$7)),"-")</f>
        <v>21</v>
      </c>
      <c r="BN60" s="154">
        <f>IF(OR(Расчет!C57="A0",Расчет!C57="P9",Расчет!B57="722W"),"-",Расчет!A57)</f>
        <v>11202</v>
      </c>
      <c r="BO60" s="173">
        <f t="shared" si="14"/>
        <v>21</v>
      </c>
      <c r="BP60" s="172" t="str">
        <f>IF(BQ60="-","-",IFERROR(IF(OR(VLOOKUP(BN60,Расчет!$A$2:$E$582,5,FALSE)="2PS",VLOOKUP(BN60,Расчет!$A$2:$E$582,5,FALSE)="2QL"),IF(OR(VLOOKUP(BN60,Расчет!$A$2:$E$582,2,FALSE)="664W",VLOOKUP(BN60,Расчет!$A$2:$E$582,2,FALSE)="813W"),IF(BN60-$BS$7&gt;150,BN60-$BS$7-1000+$AD$12,BN60-$BS$7+$AD$12),IF(BN60-$BS$7&gt;150,BN60-$BS$7-1000+$AD$17,BN60-$BS$7+$AD$17)),IF(BN60-$BS$7&gt;150,BN60-$BS$7-1000,BN60-$BS$7)),"-"))</f>
        <v>-</v>
      </c>
      <c r="BQ60" s="173" t="str">
        <f t="shared" si="11"/>
        <v>-</v>
      </c>
      <c r="BR60" s="453"/>
      <c r="BS60" s="171"/>
      <c r="BT60" s="464" t="str">
        <f t="shared" si="12"/>
        <v>-</v>
      </c>
      <c r="BU60" s="464" t="str">
        <f t="shared" si="13"/>
        <v>-</v>
      </c>
      <c r="BX60" s="204">
        <f>COUNTIF($BY$4:BY60,"&lt;100")</f>
        <v>57</v>
      </c>
      <c r="BY60" s="213">
        <f t="shared" si="25"/>
        <v>0</v>
      </c>
      <c r="BZ60" s="216">
        <f t="shared" si="25"/>
        <v>0</v>
      </c>
      <c r="CA60" s="213">
        <f t="shared" si="5"/>
        <v>0</v>
      </c>
      <c r="CB60" s="209">
        <f t="shared" si="6"/>
        <v>0</v>
      </c>
      <c r="CC60" s="205">
        <f t="shared" si="15"/>
        <v>0</v>
      </c>
      <c r="CD60" s="205">
        <f t="shared" si="7"/>
        <v>-10</v>
      </c>
      <c r="CE60" s="205">
        <f t="shared" si="16"/>
        <v>0</v>
      </c>
      <c r="CG60" s="20" t="str">
        <f t="shared" si="24"/>
        <v>CVT</v>
      </c>
    </row>
    <row r="61" spans="1:85" ht="23.1" customHeight="1" thickBot="1">
      <c r="A61" s="40">
        <f>IF(AND(IFERROR(VLOOKUP(E61,Расчет!A:J,10,FALSE),"  ")&lt;&gt;"  ",IFERROR(LEFT(VLOOKUP(E61,Расчет!A:J,10,FALSE),1)," ")&lt;&gt;"H"),0,IFERROR(IF(F61="Camry",IF(OR(J61="2PS",J61="2QL"),IF(E61-AP61&gt;100,E61-AP61-1000+$AD$12,E61-AP61+$AD$12),IF(E61-AP61&gt;100,E61-AP61-1000,E61-AP61)),IF(J61="2PS",IF(E61-AP61&gt;100,E61-AP61-1000+$AD$17,E61-AP61+$AD$17),IF(E61-AP61&gt;100,E61-AP61-1000,E61-AP61))),"-"))</f>
        <v>-2</v>
      </c>
      <c r="B61" s="46">
        <v>59</v>
      </c>
      <c r="C61" s="19">
        <f>IF(E61="","",COUNTA($E$3:E61))</f>
        <v>59</v>
      </c>
      <c r="D61" s="18">
        <f t="shared" si="0"/>
        <v>154</v>
      </c>
      <c r="E61" s="30">
        <v>11222</v>
      </c>
      <c r="F61" s="44" t="str">
        <f>IFERROR(IF(VLOOKUP(E61,Расчет!$A$2:$B$650,2,FALSE)="664W","Camry",IF(VLOOKUP(E61,Расчет!$A$2:$B$650,2,FALSE)="813W","Goshi","RAV4")),"")</f>
        <v>Camry</v>
      </c>
      <c r="G61" s="32" t="str">
        <f>IFERROR(IF(F61="Camry",VLOOKUP(E61,Расчет!$A$2:$Q$650,17,FALSE),VLOOKUP(E61,Расчет!$A$2:$R$650,18,FALSE)),"")</f>
        <v>Standard</v>
      </c>
      <c r="H61" s="32" t="str">
        <f>IFERROR(VLOOKUP(VLOOKUP(E61,Расчет!$A:$D,4,FALSE),$AT$6:$AV$15,3,FALSE),"")</f>
        <v/>
      </c>
      <c r="I61" s="31" t="str">
        <f>IFERROR(VLOOKUP(IFERROR(VLOOKUP(E61,Расчет!$A$2:$D$650,4,FALSE),0),$AT$3:$AU$15,2,FALSE),"")</f>
        <v>2,5 L</v>
      </c>
      <c r="J61" s="33" t="str">
        <f>IFERROR(VLOOKUP(E61,Расчет!$A$2:$E$650,5,FALSE),"")</f>
        <v>089</v>
      </c>
      <c r="K61" s="189"/>
      <c r="L61" s="188">
        <f t="shared" si="9"/>
        <v>0</v>
      </c>
      <c r="M61" s="9"/>
      <c r="N61" s="40" t="str">
        <f>IF(AND(IFERROR(VLOOKUP(R61,Расчет!A:J,10,FALSE),"  ")&lt;&gt;"  ",IFERROR(LEFT(VLOOKUP(R61,Расчет!A:J,10,FALSE),1)," ")&lt;&gt;"H"),0,IFERROR(IF(S61="Camry",IF(OR(W61="2PS",W61="2QL"),IF(R61-AP164&gt;100,R61-AP164-1000+$AD$12,R61-AP164+$AD$12),IF(R61-AP164&gt;100,R61-AP164-1000,R61-AP164)),IF(W61="2PS",IF(R61-AP164&gt;100,R61-AP164-1000+$AD$17,R61-AP164+$AD$17),IF(R61-AP164&gt;100,R61-AP164-1000,R61-AP164))),"-"))</f>
        <v>-</v>
      </c>
      <c r="O61" s="46">
        <v>162</v>
      </c>
      <c r="P61" s="19" t="str">
        <f>IF(R61="","",COUNTA($R$3:R61)+$C$105)</f>
        <v/>
      </c>
      <c r="Q61" s="18" t="str">
        <f t="shared" si="1"/>
        <v/>
      </c>
      <c r="R61" s="30"/>
      <c r="S61" s="45" t="str">
        <f>IFERROR(IF(VLOOKUP(R61,Расчет!$A$2:$B$650,2,FALSE)="664W","Camry",IF(VLOOKUP(R61,Расчет!$A$2:$B$650,2,FALSE)="813W","Goshi","RAV4")),"")</f>
        <v/>
      </c>
      <c r="T61" s="32" t="str">
        <f>IFERROR(IF(S61="Camry",VLOOKUP(R61,Расчет!$A$2:$Q$650,17,FALSE),VLOOKUP(R61,Расчет!$A$2:$R$650,18,FALSE)),"")</f>
        <v/>
      </c>
      <c r="U61" s="32" t="str">
        <f>IFERROR(VLOOKUP(VLOOKUP(R61,Расчет!$A:$D,4,FALSE),$AT$6:$AV$15,3,FALSE),"")</f>
        <v/>
      </c>
      <c r="V61" s="31" t="str">
        <f>IFERROR(VLOOKUP(IFERROR(VLOOKUP(R61,Расчет!$A$2:$D$650,4,FALSE),0),$AT$3:$AU$15,2,FALSE),"")</f>
        <v/>
      </c>
      <c r="W61" s="33" t="str">
        <f>IFERROR(VLOOKUP(R61,Расчет!$A$2:$E$650,5,FALSE),"")</f>
        <v/>
      </c>
      <c r="X61" s="189"/>
      <c r="Y61" s="191">
        <f t="shared" si="10"/>
        <v>0</v>
      </c>
      <c r="AB61" s="745"/>
      <c r="AC61" s="747"/>
      <c r="AE61" s="89">
        <v>59</v>
      </c>
      <c r="AF61" s="44" t="str">
        <f>IF(VLOOKUP(AE61,Расчет!$AH$2:$AN$201,5,FALSE)="8","C",IF(VLOOKUP(AE61,Расчет!$AH$2:$AN$201,5,FALSE)="G","G","R"))</f>
        <v>C</v>
      </c>
      <c r="AG61" s="73" t="str">
        <f t="shared" si="2"/>
        <v>C</v>
      </c>
      <c r="AH61" s="87">
        <f>IF(AG61="","",COUNTIF($AG$2:AG61,"C")-COUNTIF($AF$2:AF61,"C")+$AH$1)</f>
        <v>0</v>
      </c>
      <c r="AI61" s="87">
        <f>IF(AG61="","",COUNTIF($AG$2:AG61,"R")-COUNTIF($AF$2:AF61,"R")+$AI$1)</f>
        <v>0</v>
      </c>
      <c r="AJ61" s="89">
        <v>162</v>
      </c>
      <c r="AK61" s="44" t="str">
        <f>IF(VLOOKUP(AJ61,Расчет!$AH$2:$AN$211,5,FALSE)="8","C",IF(VLOOKUP(AJ61,Расчет!$AH$2:$AN$211,5,FALSE)="G","G","R"))</f>
        <v>C</v>
      </c>
      <c r="AL61" s="74" t="str">
        <f t="shared" si="3"/>
        <v/>
      </c>
      <c r="AM61" s="118" t="str">
        <f>IF(AL61="","",(COUNTIF($AG$2:$AG$105,"C")+COUNTIF($AL$2:$AL61,"C"))-(COUNTIF($AF$2:$AF$105,"C")+COUNTIF($AK$2:$AK61,"C"))+$AH$1)</f>
        <v/>
      </c>
      <c r="AN61" s="119" t="str">
        <f>IF(AL61="","",(COUNTIF($AG$2:$AG$105,"R")+COUNTIF($AL$2:$AL61,"R"))-(COUNTIF($AF$2:$AF$105,"R")+COUNTIF($AK$2:$AK61,"R"))+$AI$1)</f>
        <v/>
      </c>
      <c r="AO61" s="22">
        <f>IF(E61="","",COUNTA($E$3:E61)+$Z$1)</f>
        <v>154</v>
      </c>
      <c r="AP61" s="88">
        <f>IF(AO61="","",IF(AO61+Расчет!$Y$57+$BD$2-Расчет!$X$57&gt;200,AO61+Расчет!$Y$57+$BD$2-1000,AO61+Расчет!$Y$57+$BD$2))</f>
        <v>11224</v>
      </c>
      <c r="AR61" s="92"/>
      <c r="AS61" s="92"/>
      <c r="AY61" s="393"/>
      <c r="BL61" s="172">
        <f>COUNTIF($BM$5:BM61,"&lt;-115")</f>
        <v>0</v>
      </c>
      <c r="BM61" s="154">
        <f>IFERROR(IF(OR(IFERROR(VLOOKUP(BN61,$E$3:$E$105,1,FALSE),"0")=BN61,IFERROR(VLOOKUP(BN61,$R$3:$R$105,1,FALSE),"0")=BN61),BO61,IF(OR(VLOOKUP(BN61,Расчет!A:E,5,FALSE)="2PS",VLOOKUP(BN61,Расчет!A:E,5,FALSE)="2QL"),IF(VLOOKUP(BN61,Расчет!A:B,2,FALSE)="831W",BN61-$BS$7+$AD$17,BN61-$BS$7+$AD$12),BN61-$BS$7)),"-")</f>
        <v>16</v>
      </c>
      <c r="BN61" s="154">
        <f>IF(OR(Расчет!C58="A0",Расчет!C58="P9",Расчет!B58="722W"),"-",Расчет!A58)</f>
        <v>11203</v>
      </c>
      <c r="BO61" s="173">
        <f t="shared" si="14"/>
        <v>16</v>
      </c>
      <c r="BP61" s="172" t="str">
        <f>IF(BQ61="-","-",IFERROR(IF(OR(VLOOKUP(BN61,Расчет!$A$2:$E$582,5,FALSE)="2PS",VLOOKUP(BN61,Расчет!$A$2:$E$582,5,FALSE)="2QL"),IF(OR(VLOOKUP(BN61,Расчет!$A$2:$E$582,2,FALSE)="664W",VLOOKUP(BN61,Расчет!$A$2:$E$582,2,FALSE)="813W"),IF(BN61-$BS$7&gt;150,BN61-$BS$7-1000+$AD$12,BN61-$BS$7+$AD$12),IF(BN61-$BS$7&gt;150,BN61-$BS$7-1000+$AD$17,BN61-$BS$7+$AD$17)),IF(BN61-$BS$7&gt;150,BN61-$BS$7-1000,BN61-$BS$7)),"-"))</f>
        <v>-</v>
      </c>
      <c r="BQ61" s="173" t="str">
        <f t="shared" si="11"/>
        <v>-</v>
      </c>
      <c r="BR61" s="453"/>
      <c r="BS61" s="171"/>
      <c r="BT61" s="464" t="str">
        <f t="shared" si="12"/>
        <v>-</v>
      </c>
      <c r="BU61" s="464" t="str">
        <f t="shared" si="13"/>
        <v>-</v>
      </c>
      <c r="BX61" s="204">
        <f>COUNTIF($BY$4:BY61,"&lt;100")</f>
        <v>58</v>
      </c>
      <c r="BY61" s="213">
        <f t="shared" si="25"/>
        <v>0</v>
      </c>
      <c r="BZ61" s="216">
        <f t="shared" si="25"/>
        <v>0</v>
      </c>
      <c r="CA61" s="213">
        <f t="shared" si="5"/>
        <v>0</v>
      </c>
      <c r="CB61" s="209">
        <f t="shared" si="6"/>
        <v>0</v>
      </c>
      <c r="CC61" s="205">
        <f t="shared" si="15"/>
        <v>0</v>
      </c>
      <c r="CD61" s="205">
        <f t="shared" si="7"/>
        <v>20</v>
      </c>
      <c r="CE61" s="205">
        <f t="shared" si="16"/>
        <v>0</v>
      </c>
      <c r="CG61" s="20" t="str">
        <f t="shared" si="24"/>
        <v>Rich</v>
      </c>
    </row>
    <row r="62" spans="1:85" ht="23.1" customHeight="1">
      <c r="A62" s="40" t="str">
        <f>IF(AND(IFERROR(VLOOKUP(E62,Расчет!A:J,10,FALSE),"  ")&lt;&gt;"  ",IFERROR(LEFT(VLOOKUP(E62,Расчет!A:J,10,FALSE),1)," ")&lt;&gt;"H"),0,IFERROR(IF(F62="Camry",IF(OR(J62="2PS",J62="2QL"),IF(E62-AP62&gt;100,E62-AP62-1000+$AD$12,E62-AP62+$AD$12),IF(E62-AP62&gt;100,E62-AP62-1000,E62-AP62)),IF(J62="2PS",IF(E62-AP62&gt;100,E62-AP62-1000+$AD$17,E62-AP62+$AD$17),IF(E62-AP62&gt;100,E62-AP62-1000,E62-AP62))),"-"))</f>
        <v>-</v>
      </c>
      <c r="B62" s="46">
        <v>60</v>
      </c>
      <c r="C62" s="19" t="str">
        <f>IF(E62="","",COUNTA($E$3:E62))</f>
        <v/>
      </c>
      <c r="D62" s="18" t="str">
        <f t="shared" si="0"/>
        <v/>
      </c>
      <c r="E62" s="30"/>
      <c r="F62" s="44" t="str">
        <f>IFERROR(IF(VLOOKUP(E62,Расчет!$A$2:$B$650,2,FALSE)="664W","Camry",IF(VLOOKUP(E62,Расчет!$A$2:$B$650,2,FALSE)="813W","Goshi","RAV4")),"")</f>
        <v/>
      </c>
      <c r="G62" s="32" t="str">
        <f>IFERROR(IF(F62="Camry",VLOOKUP(E62,Расчет!$A$2:$Q$650,17,FALSE),VLOOKUP(E62,Расчет!$A$2:$R$650,18,FALSE)),"")</f>
        <v/>
      </c>
      <c r="H62" s="32" t="str">
        <f>IFERROR(VLOOKUP(VLOOKUP(E62,Расчет!$A:$D,4,FALSE),$AT$6:$AV$15,3,FALSE),"")</f>
        <v/>
      </c>
      <c r="I62" s="31" t="str">
        <f>IFERROR(VLOOKUP(IFERROR(VLOOKUP(E62,Расчет!$A$2:$D$650,4,FALSE),0),$AT$3:$AU$15,2,FALSE),"")</f>
        <v/>
      </c>
      <c r="J62" s="33" t="str">
        <f>IFERROR(VLOOKUP(E62,Расчет!$A$2:$E$650,5,FALSE),"")</f>
        <v/>
      </c>
      <c r="K62" s="189"/>
      <c r="L62" s="188">
        <f t="shared" si="9"/>
        <v>0</v>
      </c>
      <c r="M62" s="9"/>
      <c r="N62" s="40" t="str">
        <f>IF(AND(IFERROR(VLOOKUP(R62,Расчет!A:J,10,FALSE),"  ")&lt;&gt;"  ",IFERROR(LEFT(VLOOKUP(R62,Расчет!A:J,10,FALSE),1)," ")&lt;&gt;"H"),0,IFERROR(IF(S62="Camry",IF(OR(W62="2PS",W62="2QL"),IF(R62-AP165&gt;100,R62-AP165-1000+$AD$12,R62-AP165+$AD$12),IF(R62-AP165&gt;100,R62-AP165-1000,R62-AP165)),IF(W62="2PS",IF(R62-AP165&gt;100,R62-AP165-1000+$AD$17,R62-AP165+$AD$17),IF(R62-AP165&gt;100,R62-AP165-1000,R62-AP165))),"-"))</f>
        <v>-</v>
      </c>
      <c r="O62" s="46">
        <v>163</v>
      </c>
      <c r="P62" s="19" t="str">
        <f>IF(R62="","",COUNTA($R$3:R62)+$C$105)</f>
        <v/>
      </c>
      <c r="Q62" s="18" t="str">
        <f t="shared" si="1"/>
        <v/>
      </c>
      <c r="R62" s="30"/>
      <c r="S62" s="45" t="str">
        <f>IFERROR(IF(VLOOKUP(R62,Расчет!$A$2:$B$650,2,FALSE)="664W","Camry",IF(VLOOKUP(R62,Расчет!$A$2:$B$650,2,FALSE)="813W","Goshi","RAV4")),"")</f>
        <v/>
      </c>
      <c r="T62" s="32" t="str">
        <f>IFERROR(IF(S62="Camry",VLOOKUP(R62,Расчет!$A$2:$Q$650,17,FALSE),VLOOKUP(R62,Расчет!$A$2:$R$650,18,FALSE)),"")</f>
        <v/>
      </c>
      <c r="U62" s="32" t="str">
        <f>IFERROR(VLOOKUP(VLOOKUP(R62,Расчет!$A:$D,4,FALSE),$AT$6:$AV$15,3,FALSE),"")</f>
        <v/>
      </c>
      <c r="V62" s="31" t="str">
        <f>IFERROR(VLOOKUP(IFERROR(VLOOKUP(R62,Расчет!$A$2:$D$650,4,FALSE),0),$AT$3:$AU$15,2,FALSE),"")</f>
        <v/>
      </c>
      <c r="W62" s="33" t="str">
        <f>IFERROR(VLOOKUP(R62,Расчет!$A$2:$E$650,5,FALSE),"")</f>
        <v/>
      </c>
      <c r="X62" s="189"/>
      <c r="Y62" s="191">
        <f t="shared" si="10"/>
        <v>0</v>
      </c>
      <c r="Z62" s="752" t="s">
        <v>150</v>
      </c>
      <c r="AA62" s="754">
        <f>COUNTIFS(CE4:CE209,"&gt;0",BX4:BX209,"&lt;"&amp;AB58)</f>
        <v>0</v>
      </c>
      <c r="AB62" s="754">
        <f>SUM(BV4:BW5)</f>
        <v>5</v>
      </c>
      <c r="AC62" s="754">
        <f>COUNTIFS(CC4:CC209,"&gt;0",BX4:BX209,"&lt;"&amp;AB58)</f>
        <v>0</v>
      </c>
      <c r="AE62" s="89">
        <v>60</v>
      </c>
      <c r="AF62" s="44" t="str">
        <f>IF(VLOOKUP(AE62,Расчет!$AH$2:$AN$201,5,FALSE)="8","C",IF(VLOOKUP(AE62,Расчет!$AH$2:$AN$201,5,FALSE)="G","G","R"))</f>
        <v>R</v>
      </c>
      <c r="AG62" s="73" t="str">
        <f t="shared" si="2"/>
        <v/>
      </c>
      <c r="AH62" s="87" t="str">
        <f>IF(AG62="","",COUNTIF($AG$2:AG62,"C")-COUNTIF($AF$2:AF62,"C")+$AH$1)</f>
        <v/>
      </c>
      <c r="AI62" s="87" t="str">
        <f>IF(AG62="","",COUNTIF($AG$2:AG62,"R")-COUNTIF($AF$2:AF62,"R")+$AI$1)</f>
        <v/>
      </c>
      <c r="AJ62" s="89">
        <v>163</v>
      </c>
      <c r="AK62" s="44" t="str">
        <f>IF(VLOOKUP(AJ62,Расчет!$AH$2:$AN$211,5,FALSE)="8","C",IF(VLOOKUP(AJ62,Расчет!$AH$2:$AN$211,5,FALSE)="G","G","R"))</f>
        <v>R</v>
      </c>
      <c r="AL62" s="74" t="str">
        <f t="shared" si="3"/>
        <v/>
      </c>
      <c r="AM62" s="118" t="str">
        <f>IF(AL62="","",(COUNTIF($AG$2:$AG$105,"C")+COUNTIF($AL$2:$AL62,"C"))-(COUNTIF($AF$2:$AF$105,"C")+COUNTIF($AK$2:$AK62,"C"))+$AH$1)</f>
        <v/>
      </c>
      <c r="AN62" s="119" t="str">
        <f>IF(AL62="","",(COUNTIF($AG$2:$AG$105,"R")+COUNTIF($AL$2:$AL62,"R"))-(COUNTIF($AF$2:$AF$105,"R")+COUNTIF($AK$2:$AK62,"R"))+$AI$1)</f>
        <v/>
      </c>
      <c r="AO62" s="22" t="str">
        <f>IF(E62="","",COUNTA($E$3:E62)+$Z$1)</f>
        <v/>
      </c>
      <c r="AP62" s="88" t="str">
        <f>IF(AO62="","",IF(AO62+Расчет!$Y$57+$BD$2-Расчет!$X$57&gt;200,AO62+Расчет!$Y$57+$BD$2-1000,AO62+Расчет!$Y$57+$BD$2))</f>
        <v/>
      </c>
      <c r="AR62" s="92"/>
      <c r="AS62" s="92"/>
      <c r="AY62" s="393"/>
      <c r="BL62" s="172">
        <f>COUNTIF($BM$5:BM62,"&lt;-115")</f>
        <v>0</v>
      </c>
      <c r="BM62" s="154">
        <f>IFERROR(IF(OR(IFERROR(VLOOKUP(BN62,$E$3:$E$105,1,FALSE),"0")=BN62,IFERROR(VLOOKUP(BN62,$R$3:$R$105,1,FALSE),"0")=BN62),BO62,IF(OR(VLOOKUP(BN62,Расчет!A:E,5,FALSE)="2PS",VLOOKUP(BN62,Расчет!A:E,5,FALSE)="2QL"),IF(VLOOKUP(BN62,Расчет!A:B,2,FALSE)="831W",BN62-$BS$7+$AD$17,BN62-$BS$7+$AD$12),BN62-$BS$7)),"-")</f>
        <v>20</v>
      </c>
      <c r="BN62" s="154">
        <f>IF(OR(Расчет!C59="A0",Расчет!C59="P9",Расчет!B59="722W"),"-",Расчет!A59)</f>
        <v>11204</v>
      </c>
      <c r="BO62" s="173">
        <f t="shared" si="14"/>
        <v>20</v>
      </c>
      <c r="BP62" s="172" t="str">
        <f>IF(BQ62="-","-",IFERROR(IF(OR(VLOOKUP(BN62,Расчет!$A$2:$E$582,5,FALSE)="2PS",VLOOKUP(BN62,Расчет!$A$2:$E$582,5,FALSE)="2QL"),IF(OR(VLOOKUP(BN62,Расчет!$A$2:$E$582,2,FALSE)="664W",VLOOKUP(BN62,Расчет!$A$2:$E$582,2,FALSE)="813W"),IF(BN62-$BS$7&gt;150,BN62-$BS$7-1000+$AD$12,BN62-$BS$7+$AD$12),IF(BN62-$BS$7&gt;150,BN62-$BS$7-1000+$AD$17,BN62-$BS$7+$AD$17)),IF(BN62-$BS$7&gt;150,BN62-$BS$7-1000,BN62-$BS$7)),"-"))</f>
        <v>-</v>
      </c>
      <c r="BQ62" s="173" t="str">
        <f t="shared" si="11"/>
        <v>-</v>
      </c>
      <c r="BR62" s="453"/>
      <c r="BS62" s="171"/>
      <c r="BT62" s="464" t="str">
        <f t="shared" si="12"/>
        <v>-</v>
      </c>
      <c r="BU62" s="464" t="str">
        <f t="shared" si="13"/>
        <v>-</v>
      </c>
      <c r="BX62" s="204">
        <f>COUNTIF($BY$4:BY62,"&lt;100")</f>
        <v>59</v>
      </c>
      <c r="BY62" s="213">
        <f t="shared" si="25"/>
        <v>0</v>
      </c>
      <c r="BZ62" s="216">
        <f t="shared" si="25"/>
        <v>0</v>
      </c>
      <c r="CA62" s="213">
        <f t="shared" si="5"/>
        <v>0</v>
      </c>
      <c r="CB62" s="209">
        <f t="shared" si="6"/>
        <v>0</v>
      </c>
      <c r="CC62" s="205">
        <f t="shared" si="15"/>
        <v>0</v>
      </c>
      <c r="CD62" s="205">
        <f t="shared" si="7"/>
        <v>-2</v>
      </c>
      <c r="CE62" s="205">
        <f t="shared" si="16"/>
        <v>0</v>
      </c>
      <c r="CG62" s="20" t="str">
        <f t="shared" si="24"/>
        <v>Auto</v>
      </c>
    </row>
    <row r="63" spans="1:85" ht="23.1" customHeight="1" thickBot="1">
      <c r="A63" s="40" t="str">
        <f>IF(AND(IFERROR(VLOOKUP(E63,Расчет!A:J,10,FALSE),"  ")&lt;&gt;"  ",IFERROR(LEFT(VLOOKUP(E63,Расчет!A:J,10,FALSE),1)," ")&lt;&gt;"H"),0,IFERROR(IF(F63="Camry",IF(OR(J63="2PS",J63="2QL"),IF(E63-AP63&gt;100,E63-AP63-1000+$AD$12,E63-AP63+$AD$12),IF(E63-AP63&gt;100,E63-AP63-1000,E63-AP63)),IF(J63="2PS",IF(E63-AP63&gt;100,E63-AP63-1000+$AD$17,E63-AP63+$AD$17),IF(E63-AP63&gt;100,E63-AP63-1000,E63-AP63))),"-"))</f>
        <v>-</v>
      </c>
      <c r="B63" s="46">
        <v>61</v>
      </c>
      <c r="C63" s="19" t="str">
        <f>IF(E63="","",COUNTA($E$3:E63))</f>
        <v/>
      </c>
      <c r="D63" s="18" t="str">
        <f t="shared" si="0"/>
        <v/>
      </c>
      <c r="E63" s="30"/>
      <c r="F63" s="44" t="str">
        <f>IFERROR(IF(VLOOKUP(E63,Расчет!$A$2:$B$650,2,FALSE)="664W","Camry",IF(VLOOKUP(E63,Расчет!$A$2:$B$650,2,FALSE)="813W","Goshi","RAV4")),"")</f>
        <v/>
      </c>
      <c r="G63" s="32" t="str">
        <f>IFERROR(IF(F63="Camry",VLOOKUP(E63,Расчет!$A$2:$Q$650,17,FALSE),VLOOKUP(E63,Расчет!$A$2:$R$650,18,FALSE)),"")</f>
        <v/>
      </c>
      <c r="H63" s="32" t="str">
        <f>IFERROR(VLOOKUP(VLOOKUP(E63,Расчет!$A:$D,4,FALSE),$AT$6:$AV$15,3,FALSE),"")</f>
        <v/>
      </c>
      <c r="I63" s="31" t="str">
        <f>IFERROR(VLOOKUP(IFERROR(VLOOKUP(E63,Расчет!$A$2:$D$650,4,FALSE),0),$AT$3:$AU$15,2,FALSE),"")</f>
        <v/>
      </c>
      <c r="J63" s="33" t="str">
        <f>IFERROR(VLOOKUP(E63,Расчет!$A$2:$E$650,5,FALSE),"")</f>
        <v/>
      </c>
      <c r="K63" s="189"/>
      <c r="L63" s="188">
        <f t="shared" si="9"/>
        <v>0</v>
      </c>
      <c r="M63" s="9"/>
      <c r="N63" s="40" t="str">
        <f>IF(AND(IFERROR(VLOOKUP(R63,Расчет!A:J,10,FALSE),"  ")&lt;&gt;"  ",IFERROR(LEFT(VLOOKUP(R63,Расчет!A:J,10,FALSE),1)," ")&lt;&gt;"H"),0,IFERROR(IF(S63="Camry",IF(OR(W63="2PS",W63="2QL"),IF(R63-AP166&gt;100,R63-AP166-1000+$AD$12,R63-AP166+$AD$12),IF(R63-AP166&gt;100,R63-AP166-1000,R63-AP166)),IF(W63="2PS",IF(R63-AP166&gt;100,R63-AP166-1000+$AD$17,R63-AP166+$AD$17),IF(R63-AP166&gt;100,R63-AP166-1000,R63-AP166))),"-"))</f>
        <v>-</v>
      </c>
      <c r="O63" s="46">
        <v>164</v>
      </c>
      <c r="P63" s="19" t="str">
        <f>IF(R63="","",COUNTA($R$3:R63)+$C$105)</f>
        <v/>
      </c>
      <c r="Q63" s="18" t="str">
        <f t="shared" si="1"/>
        <v/>
      </c>
      <c r="R63" s="30"/>
      <c r="S63" s="45" t="str">
        <f>IFERROR(IF(VLOOKUP(R63,Расчет!$A$2:$B$650,2,FALSE)="664W","Camry",IF(VLOOKUP(R63,Расчет!$A$2:$B$650,2,FALSE)="813W","Goshi","RAV4")),"")</f>
        <v/>
      </c>
      <c r="T63" s="32" t="str">
        <f>IFERROR(IF(S63="Camry",VLOOKUP(R63,Расчет!$A$2:$Q$650,17,FALSE),VLOOKUP(R63,Расчет!$A$2:$R$650,18,FALSE)),"")</f>
        <v/>
      </c>
      <c r="U63" s="32" t="str">
        <f>IFERROR(VLOOKUP(VLOOKUP(R63,Расчет!$A:$D,4,FALSE),$AT$6:$AV$15,3,FALSE),"")</f>
        <v/>
      </c>
      <c r="V63" s="31" t="str">
        <f>IFERROR(VLOOKUP(IFERROR(VLOOKUP(R63,Расчет!$A$2:$D$650,4,FALSE),0),$AT$3:$AU$15,2,FALSE),"")</f>
        <v/>
      </c>
      <c r="W63" s="33" t="str">
        <f>IFERROR(VLOOKUP(R63,Расчет!$A$2:$E$650,5,FALSE),"")</f>
        <v/>
      </c>
      <c r="X63" s="189"/>
      <c r="Y63" s="191">
        <f t="shared" si="10"/>
        <v>0</v>
      </c>
      <c r="Z63" s="753"/>
      <c r="AA63" s="755"/>
      <c r="AB63" s="755"/>
      <c r="AC63" s="755"/>
      <c r="AE63" s="89">
        <v>61</v>
      </c>
      <c r="AF63" s="44" t="str">
        <f>IF(VLOOKUP(AE63,Расчет!$AH$2:$AN$201,5,FALSE)="8","C",IF(VLOOKUP(AE63,Расчет!$AH$2:$AN$201,5,FALSE)="G","G","R"))</f>
        <v>C</v>
      </c>
      <c r="AG63" s="73" t="str">
        <f t="shared" si="2"/>
        <v/>
      </c>
      <c r="AH63" s="87" t="str">
        <f>IF(AG63="","",COUNTIF($AG$2:AG63,"C")-COUNTIF($AF$2:AF63,"C")+$AH$1)</f>
        <v/>
      </c>
      <c r="AI63" s="87" t="str">
        <f>IF(AG63="","",COUNTIF($AG$2:AG63,"R")-COUNTIF($AF$2:AF63,"R")+$AI$1)</f>
        <v/>
      </c>
      <c r="AJ63" s="89">
        <v>164</v>
      </c>
      <c r="AK63" s="44" t="str">
        <f>IF(VLOOKUP(AJ63,Расчет!$AH$2:$AN$211,5,FALSE)="8","C",IF(VLOOKUP(AJ63,Расчет!$AH$2:$AN$211,5,FALSE)="G","G","R"))</f>
        <v>C</v>
      </c>
      <c r="AL63" s="74" t="str">
        <f t="shared" si="3"/>
        <v/>
      </c>
      <c r="AM63" s="118" t="str">
        <f>IF(AL63="","",(COUNTIF($AG$2:$AG$105,"C")+COUNTIF($AL$2:$AL63,"C"))-(COUNTIF($AF$2:$AF$105,"C")+COUNTIF($AK$2:$AK63,"C"))+$AH$1)</f>
        <v/>
      </c>
      <c r="AN63" s="119" t="str">
        <f>IF(AL63="","",(COUNTIF($AG$2:$AG$105,"R")+COUNTIF($AL$2:$AL63,"R"))-(COUNTIF($AF$2:$AF$105,"R")+COUNTIF($AK$2:$AK63,"R"))+$AI$1)</f>
        <v/>
      </c>
      <c r="AO63" s="22" t="str">
        <f>IF(E63="","",COUNTA($E$3:E63)+$Z$1)</f>
        <v/>
      </c>
      <c r="AP63" s="88" t="str">
        <f>IF(AO63="","",IF(AO63+Расчет!$Y$57+$BD$2-Расчет!$X$57&gt;200,AO63+Расчет!$Y$57+$BD$2-1000,AO63+Расчет!$Y$57+$BD$2))</f>
        <v/>
      </c>
      <c r="AR63" s="92"/>
      <c r="AS63" s="92"/>
      <c r="AY63" s="393"/>
      <c r="BL63" s="172">
        <f>COUNTIF($BM$5:BM63,"&lt;-115")</f>
        <v>0</v>
      </c>
      <c r="BM63" s="154">
        <f>IFERROR(IF(OR(IFERROR(VLOOKUP(BN63,$E$3:$E$105,1,FALSE),"0")=BN63,IFERROR(VLOOKUP(BN63,$R$3:$R$105,1,FALSE),"0")=BN63),BO63,IF(OR(VLOOKUP(BN63,Расчет!A:E,5,FALSE)="2PS",VLOOKUP(BN63,Расчет!A:E,5,FALSE)="2QL"),IF(VLOOKUP(BN63,Расчет!A:B,2,FALSE)="831W",BN63-$BS$7+$AD$17,BN63-$BS$7+$AD$12),BN63-$BS$7)),"-")</f>
        <v>19</v>
      </c>
      <c r="BN63" s="154">
        <f>IF(OR(Расчет!C60="A0",Расчет!C60="P9",Расчет!B60="722W"),"-",Расчет!A60)</f>
        <v>11205</v>
      </c>
      <c r="BO63" s="173">
        <f t="shared" si="14"/>
        <v>19</v>
      </c>
      <c r="BP63" s="172" t="str">
        <f>IF(BQ63="-","-",IFERROR(IF(OR(VLOOKUP(BN63,Расчет!$A$2:$E$582,5,FALSE)="2PS",VLOOKUP(BN63,Расчет!$A$2:$E$582,5,FALSE)="2QL"),IF(OR(VLOOKUP(BN63,Расчет!$A$2:$E$582,2,FALSE)="664W",VLOOKUP(BN63,Расчет!$A$2:$E$582,2,FALSE)="813W"),IF(BN63-$BS$7&gt;150,BN63-$BS$7-1000+$AD$12,BN63-$BS$7+$AD$12),IF(BN63-$BS$7&gt;150,BN63-$BS$7-1000+$AD$17,BN63-$BS$7+$AD$17)),IF(BN63-$BS$7&gt;150,BN63-$BS$7-1000,BN63-$BS$7)),"-"))</f>
        <v>-</v>
      </c>
      <c r="BQ63" s="173" t="str">
        <f t="shared" si="11"/>
        <v>-</v>
      </c>
      <c r="BR63" s="453"/>
      <c r="BS63" s="171"/>
      <c r="BT63" s="464" t="str">
        <f t="shared" si="12"/>
        <v>-</v>
      </c>
      <c r="BU63" s="464" t="str">
        <f t="shared" si="13"/>
        <v>-</v>
      </c>
      <c r="BX63" s="204">
        <f>COUNTIF($BY$4:BY63,"&lt;100")</f>
        <v>59</v>
      </c>
      <c r="BY63" s="213" t="str">
        <f t="shared" si="25"/>
        <v/>
      </c>
      <c r="BZ63" s="216" t="str">
        <f t="shared" si="25"/>
        <v/>
      </c>
      <c r="CA63" s="213" t="e">
        <f t="shared" si="5"/>
        <v>#N/A</v>
      </c>
      <c r="CB63" s="209" t="e">
        <f t="shared" si="6"/>
        <v>#N/A</v>
      </c>
      <c r="CC63" s="205" t="str">
        <f t="shared" si="15"/>
        <v/>
      </c>
      <c r="CD63" s="205" t="str">
        <f t="shared" si="7"/>
        <v>-</v>
      </c>
      <c r="CE63" s="205">
        <f t="shared" si="16"/>
        <v>0</v>
      </c>
      <c r="CG63" s="20" t="str">
        <f t="shared" si="24"/>
        <v>Standard</v>
      </c>
    </row>
    <row r="64" spans="1:85" ht="23.1" customHeight="1">
      <c r="A64" s="40" t="str">
        <f>IF(AND(IFERROR(VLOOKUP(E64,Расчет!A:J,10,FALSE),"  ")&lt;&gt;"  ",IFERROR(LEFT(VLOOKUP(E64,Расчет!A:J,10,FALSE),1)," ")&lt;&gt;"H"),0,IFERROR(IF(F64="Camry",IF(OR(J64="2PS",J64="2QL"),IF(E64-AP64&gt;100,E64-AP64-1000+$AD$12,E64-AP64+$AD$12),IF(E64-AP64&gt;100,E64-AP64-1000,E64-AP64)),IF(J64="2PS",IF(E64-AP64&gt;100,E64-AP64-1000+$AD$17,E64-AP64+$AD$17),IF(E64-AP64&gt;100,E64-AP64-1000,E64-AP64))),"-"))</f>
        <v>-</v>
      </c>
      <c r="B64" s="46">
        <v>62</v>
      </c>
      <c r="C64" s="19" t="str">
        <f>IF(E64="","",COUNTA($E$3:E64))</f>
        <v/>
      </c>
      <c r="D64" s="18" t="str">
        <f t="shared" si="0"/>
        <v/>
      </c>
      <c r="E64" s="30"/>
      <c r="F64" s="44" t="str">
        <f>IFERROR(IF(VLOOKUP(E64,Расчет!$A$2:$B$650,2,FALSE)="664W","Camry",IF(VLOOKUP(E64,Расчет!$A$2:$B$650,2,FALSE)="813W","Goshi","RAV4")),"")</f>
        <v/>
      </c>
      <c r="G64" s="32" t="str">
        <f>IFERROR(IF(F64="Camry",VLOOKUP(E64,Расчет!$A$2:$Q$650,17,FALSE),VLOOKUP(E64,Расчет!$A$2:$R$650,18,FALSE)),"")</f>
        <v/>
      </c>
      <c r="H64" s="32" t="str">
        <f>IFERROR(VLOOKUP(VLOOKUP(E64,Расчет!$A:$D,4,FALSE),$AT$6:$AV$15,3,FALSE),"")</f>
        <v/>
      </c>
      <c r="I64" s="31" t="str">
        <f>IFERROR(VLOOKUP(IFERROR(VLOOKUP(E64,Расчет!$A$2:$D$650,4,FALSE),0),$AT$3:$AU$15,2,FALSE),"")</f>
        <v/>
      </c>
      <c r="J64" s="33" t="str">
        <f>IFERROR(VLOOKUP(E64,Расчет!$A$2:$E$650,5,FALSE),"")</f>
        <v/>
      </c>
      <c r="K64" s="189"/>
      <c r="L64" s="188">
        <f t="shared" si="9"/>
        <v>0</v>
      </c>
      <c r="M64" s="9"/>
      <c r="N64" s="40" t="str">
        <f>IF(AND(IFERROR(VLOOKUP(R64,Расчет!A:J,10,FALSE),"  ")&lt;&gt;"  ",IFERROR(LEFT(VLOOKUP(R64,Расчет!A:J,10,FALSE),1)," ")&lt;&gt;"H"),0,IFERROR(IF(S64="Camry",IF(OR(W64="2PS",W64="2QL"),IF(R64-AP167&gt;100,R64-AP167-1000+$AD$12,R64-AP167+$AD$12),IF(R64-AP167&gt;100,R64-AP167-1000,R64-AP167)),IF(W64="2PS",IF(R64-AP167&gt;100,R64-AP167-1000+$AD$17,R64-AP167+$AD$17),IF(R64-AP167&gt;100,R64-AP167-1000,R64-AP167))),"-"))</f>
        <v>-</v>
      </c>
      <c r="O64" s="46">
        <v>165</v>
      </c>
      <c r="P64" s="19" t="str">
        <f>IF(R64="","",COUNTA($R$3:R64)+$C$105)</f>
        <v/>
      </c>
      <c r="Q64" s="18" t="str">
        <f t="shared" si="1"/>
        <v/>
      </c>
      <c r="R64" s="30"/>
      <c r="S64" s="45" t="str">
        <f>IFERROR(IF(VLOOKUP(R64,Расчет!$A$2:$B$650,2,FALSE)="664W","Camry",IF(VLOOKUP(R64,Расчет!$A$2:$B$650,2,FALSE)="813W","Goshi","RAV4")),"")</f>
        <v/>
      </c>
      <c r="T64" s="32" t="str">
        <f>IFERROR(IF(S64="Camry",VLOOKUP(R64,Расчет!$A$2:$Q$650,17,FALSE),VLOOKUP(R64,Расчет!$A$2:$R$650,18,FALSE)),"")</f>
        <v/>
      </c>
      <c r="U64" s="32" t="str">
        <f>IFERROR(VLOOKUP(VLOOKUP(R64,Расчет!$A:$D,4,FALSE),$AT$6:$AV$15,3,FALSE),"")</f>
        <v/>
      </c>
      <c r="V64" s="31" t="str">
        <f>IFERROR(VLOOKUP(IFERROR(VLOOKUP(R64,Расчет!$A$2:$D$650,4,FALSE),0),$AT$3:$AU$15,2,FALSE),"")</f>
        <v/>
      </c>
      <c r="W64" s="33" t="str">
        <f>IFERROR(VLOOKUP(R64,Расчет!$A$2:$E$650,5,FALSE),"")</f>
        <v/>
      </c>
      <c r="X64" s="189"/>
      <c r="Y64" s="191">
        <f t="shared" si="10"/>
        <v>0</v>
      </c>
      <c r="Z64" s="752" t="s">
        <v>151</v>
      </c>
      <c r="AA64" s="754">
        <f>COUNTIFS(CE4:CE209,"&gt;0",BX3:BX208,"&gt;"&amp;AB58)</f>
        <v>0</v>
      </c>
      <c r="AB64" s="754">
        <f>SUM(BV6:BW7)</f>
        <v>0</v>
      </c>
      <c r="AC64" s="754">
        <f>COUNTIFS(CC4:CC209,"&gt;0",BX4:BX209,"&gt;"&amp;AB58)</f>
        <v>0</v>
      </c>
      <c r="AD64" s="748">
        <f>AB64+AB62</f>
        <v>5</v>
      </c>
      <c r="AE64" s="89">
        <v>62</v>
      </c>
      <c r="AF64" s="44" t="str">
        <f>IF(VLOOKUP(AE64,Расчет!$AH$2:$AN$201,5,FALSE)="8","C",IF(VLOOKUP(AE64,Расчет!$AH$2:$AN$201,5,FALSE)="G","G","R"))</f>
        <v>R</v>
      </c>
      <c r="AG64" s="73" t="str">
        <f t="shared" si="2"/>
        <v/>
      </c>
      <c r="AH64" s="87" t="str">
        <f>IF(AG64="","",COUNTIF($AG$2:AG64,"C")-COUNTIF($AF$2:AF64,"C")+$AH$1)</f>
        <v/>
      </c>
      <c r="AI64" s="87" t="str">
        <f>IF(AG64="","",COUNTIF($AG$2:AG64,"R")-COUNTIF($AF$2:AF64,"R")+$AI$1)</f>
        <v/>
      </c>
      <c r="AJ64" s="89">
        <v>165</v>
      </c>
      <c r="AK64" s="44" t="str">
        <f>IF(VLOOKUP(AJ64,Расчет!$AH$2:$AN$211,5,FALSE)="8","C",IF(VLOOKUP(AJ64,Расчет!$AH$2:$AN$211,5,FALSE)="G","G","R"))</f>
        <v>R</v>
      </c>
      <c r="AL64" s="74" t="str">
        <f t="shared" si="3"/>
        <v/>
      </c>
      <c r="AM64" s="118" t="str">
        <f>IF(AL64="","",(COUNTIF($AG$2:$AG$105,"C")+COUNTIF($AL$2:$AL64,"C"))-(COUNTIF($AF$2:$AF$105,"C")+COUNTIF($AK$2:$AK64,"C"))+$AH$1)</f>
        <v/>
      </c>
      <c r="AN64" s="119" t="str">
        <f>IF(AL64="","",(COUNTIF($AG$2:$AG$105,"R")+COUNTIF($AL$2:$AL64,"R"))-(COUNTIF($AF$2:$AF$105,"R")+COUNTIF($AK$2:$AK64,"R"))+$AI$1)</f>
        <v/>
      </c>
      <c r="AO64" s="22" t="str">
        <f>IF(E64="","",COUNTA($E$3:E64)+$Z$1)</f>
        <v/>
      </c>
      <c r="AP64" s="88" t="str">
        <f>IF(AO64="","",IF(AO64+Расчет!$Y$57+$BD$2-Расчет!$X$57&gt;200,AO64+Расчет!$Y$57+$BD$2-1000,AO64+Расчет!$Y$57+$BD$2))</f>
        <v/>
      </c>
      <c r="AR64" s="92"/>
      <c r="AS64" s="92"/>
      <c r="BL64" s="172">
        <f>COUNTIF($BM$5:BM64,"&lt;-115")</f>
        <v>0</v>
      </c>
      <c r="BM64" s="154">
        <f>IFERROR(IF(OR(IFERROR(VLOOKUP(BN64,$E$3:$E$105,1,FALSE),"0")=BN64,IFERROR(VLOOKUP(BN64,$R$3:$R$105,1,FALSE),"0")=BN64),BO64,IF(OR(VLOOKUP(BN64,Расчет!A:E,5,FALSE)="2PS",VLOOKUP(BN64,Расчет!A:E,5,FALSE)="2QL"),IF(VLOOKUP(BN64,Расчет!A:B,2,FALSE)="831W",BN64-$BS$7+$AD$17,BN64-$BS$7+$AD$12),BN64-$BS$7)),"-")</f>
        <v>-18</v>
      </c>
      <c r="BN64" s="154">
        <f>IF(OR(Расчет!C61="A0",Расчет!C61="P9",Расчет!B61="722W"),"-",Расчет!A61)</f>
        <v>11206</v>
      </c>
      <c r="BO64" s="173">
        <f t="shared" si="14"/>
        <v>0</v>
      </c>
      <c r="BP64" s="172">
        <f>IF(BQ64="-","-",IFERROR(IF(OR(VLOOKUP(BN64,Расчет!$A$2:$E$582,5,FALSE)="2PS",VLOOKUP(BN64,Расчет!$A$2:$E$582,5,FALSE)="2QL"),IF(OR(VLOOKUP(BN64,Расчет!$A$2:$E$582,2,FALSE)="664W",VLOOKUP(BN64,Расчет!$A$2:$E$582,2,FALSE)="813W"),IF(BN64-$BS$7&gt;150,BN64-$BS$7-1000+$AD$12,BN64-$BS$7+$AD$12),IF(BN64-$BS$7&gt;150,BN64-$BS$7-1000+$AD$17,BN64-$BS$7+$AD$17)),IF(BN64-$BS$7&gt;150,BN64-$BS$7-1000,BN64-$BS$7)),"-"))</f>
        <v>-18</v>
      </c>
      <c r="BQ64" s="173">
        <f t="shared" si="11"/>
        <v>11206</v>
      </c>
      <c r="BR64" s="453"/>
      <c r="BS64" s="171"/>
      <c r="BT64" s="464" t="str">
        <f t="shared" si="12"/>
        <v>-</v>
      </c>
      <c r="BU64" s="464" t="str">
        <f t="shared" si="13"/>
        <v>-</v>
      </c>
      <c r="BX64" s="204">
        <f>COUNTIF($BY$4:BY64,"&lt;100")</f>
        <v>59</v>
      </c>
      <c r="BY64" s="213" t="str">
        <f t="shared" si="25"/>
        <v/>
      </c>
      <c r="BZ64" s="216" t="str">
        <f t="shared" si="25"/>
        <v/>
      </c>
      <c r="CA64" s="213" t="e">
        <f t="shared" si="5"/>
        <v>#N/A</v>
      </c>
      <c r="CB64" s="209" t="e">
        <f t="shared" si="6"/>
        <v>#N/A</v>
      </c>
      <c r="CC64" s="205" t="str">
        <f t="shared" si="15"/>
        <v/>
      </c>
      <c r="CD64" s="205" t="str">
        <f t="shared" si="7"/>
        <v>-</v>
      </c>
      <c r="CE64" s="205">
        <f t="shared" si="16"/>
        <v>0</v>
      </c>
      <c r="CG64" s="20" t="str">
        <f t="shared" si="24"/>
        <v>CVT</v>
      </c>
    </row>
    <row r="65" spans="1:85" ht="21.75" customHeight="1" thickBot="1">
      <c r="A65" s="40" t="str">
        <f>IF(AND(IFERROR(VLOOKUP(E65,Расчет!A:J,10,FALSE),"  ")&lt;&gt;"  ",IFERROR(LEFT(VLOOKUP(E65,Расчет!A:J,10,FALSE),1)," ")&lt;&gt;"H"),0,IFERROR(IF(F65="Camry",IF(OR(J65="2PS",J65="2QL"),IF(E65-AP65&gt;100,E65-AP65-1000+$AD$12,E65-AP65+$AD$12),IF(E65-AP65&gt;100,E65-AP65-1000,E65-AP65)),IF(J65="2PS",IF(E65-AP65&gt;100,E65-AP65-1000+$AD$17,E65-AP65+$AD$17),IF(E65-AP65&gt;100,E65-AP65-1000,E65-AP65))),"-"))</f>
        <v>-</v>
      </c>
      <c r="B65" s="46">
        <v>63</v>
      </c>
      <c r="C65" s="19" t="str">
        <f>IF(E65="","",COUNTA($E$3:E65))</f>
        <v/>
      </c>
      <c r="D65" s="18" t="str">
        <f t="shared" si="0"/>
        <v/>
      </c>
      <c r="E65" s="30"/>
      <c r="F65" s="44" t="str">
        <f>IFERROR(IF(VLOOKUP(E65,Расчет!$A$2:$B$650,2,FALSE)="664W","Camry",IF(VLOOKUP(E65,Расчет!$A$2:$B$650,2,FALSE)="813W","Goshi","RAV4")),"")</f>
        <v/>
      </c>
      <c r="G65" s="32" t="str">
        <f>IFERROR(IF(F65="Camry",VLOOKUP(E65,Расчет!$A$2:$Q$650,17,FALSE),VLOOKUP(E65,Расчет!$A$2:$R$650,18,FALSE)),"")</f>
        <v/>
      </c>
      <c r="H65" s="32" t="str">
        <f>IFERROR(VLOOKUP(VLOOKUP(E65,Расчет!$A:$D,4,FALSE),$AT$6:$AV$15,3,FALSE),"")</f>
        <v/>
      </c>
      <c r="I65" s="31" t="str">
        <f>IFERROR(VLOOKUP(IFERROR(VLOOKUP(E65,Расчет!$A$2:$D$650,4,FALSE),0),$AT$3:$AU$15,2,FALSE),"")</f>
        <v/>
      </c>
      <c r="J65" s="33" t="str">
        <f>IFERROR(VLOOKUP(E65,Расчет!$A$2:$E$650,5,FALSE),"")</f>
        <v/>
      </c>
      <c r="K65" s="189"/>
      <c r="L65" s="188">
        <f t="shared" si="9"/>
        <v>0</v>
      </c>
      <c r="M65" s="9"/>
      <c r="N65" s="40" t="str">
        <f>IF(AND(IFERROR(VLOOKUP(R65,Расчет!A:J,10,FALSE),"  ")&lt;&gt;"  ",IFERROR(LEFT(VLOOKUP(R65,Расчет!A:J,10,FALSE),1)," ")&lt;&gt;"H"),0,IFERROR(IF(S65="Camry",IF(OR(W65="2PS",W65="2QL"),IF(R65-AP168&gt;100,R65-AP168-1000+$AD$12,R65-AP168+$AD$12),IF(R65-AP168&gt;100,R65-AP168-1000,R65-AP168)),IF(W65="2PS",IF(R65-AP168&gt;100,R65-AP168-1000+$AD$17,R65-AP168+$AD$17),IF(R65-AP168&gt;100,R65-AP168-1000,R65-AP168))),"-"))</f>
        <v>-</v>
      </c>
      <c r="O65" s="46">
        <v>166</v>
      </c>
      <c r="P65" s="19" t="str">
        <f>IF(R65="","",COUNTA($R$3:R65)+$C$105)</f>
        <v/>
      </c>
      <c r="Q65" s="18" t="str">
        <f t="shared" si="1"/>
        <v/>
      </c>
      <c r="R65" s="30"/>
      <c r="S65" s="45" t="str">
        <f>IFERROR(IF(VLOOKUP(R65,Расчет!$A$2:$B$650,2,FALSE)="664W","Camry",IF(VLOOKUP(R65,Расчет!$A$2:$B$650,2,FALSE)="813W","Goshi","RAV4")),"")</f>
        <v/>
      </c>
      <c r="T65" s="32" t="str">
        <f>IFERROR(IF(S65="Camry",VLOOKUP(R65,Расчет!$A$2:$Q$650,17,FALSE),VLOOKUP(R65,Расчет!$A$2:$R$650,18,FALSE)),"")</f>
        <v/>
      </c>
      <c r="U65" s="32" t="str">
        <f>IFERROR(VLOOKUP(VLOOKUP(R65,Расчет!$A:$D,4,FALSE),$AT$6:$AV$15,3,FALSE),"")</f>
        <v/>
      </c>
      <c r="V65" s="31" t="str">
        <f>IFERROR(VLOOKUP(IFERROR(VLOOKUP(R65,Расчет!$A$2:$D$650,4,FALSE),0),$AT$3:$AU$15,2,FALSE),"")</f>
        <v/>
      </c>
      <c r="W65" s="33" t="str">
        <f>IFERROR(VLOOKUP(R65,Расчет!$A$2:$E$650,5,FALSE),"")</f>
        <v/>
      </c>
      <c r="X65" s="189"/>
      <c r="Y65" s="191">
        <f t="shared" si="10"/>
        <v>0</v>
      </c>
      <c r="Z65" s="753"/>
      <c r="AA65" s="755"/>
      <c r="AB65" s="755"/>
      <c r="AC65" s="755"/>
      <c r="AD65" s="748"/>
      <c r="AE65" s="89">
        <v>63</v>
      </c>
      <c r="AF65" s="44" t="str">
        <f>IF(VLOOKUP(AE65,Расчет!$AH$2:$AN$201,5,FALSE)="8","C",IF(VLOOKUP(AE65,Расчет!$AH$2:$AN$201,5,FALSE)="G","G","R"))</f>
        <v>C</v>
      </c>
      <c r="AG65" s="73" t="str">
        <f t="shared" si="2"/>
        <v/>
      </c>
      <c r="AH65" s="87" t="str">
        <f>IF(AG65="","",COUNTIF($AG$2:AG65,"C")-COUNTIF($AF$2:AF65,"C")+$AH$1)</f>
        <v/>
      </c>
      <c r="AI65" s="87" t="str">
        <f>IF(AG65="","",COUNTIF($AG$2:AG65,"R")-COUNTIF($AF$2:AF65,"R")+$AI$1)</f>
        <v/>
      </c>
      <c r="AJ65" s="89">
        <v>166</v>
      </c>
      <c r="AK65" s="44" t="str">
        <f>IF(VLOOKUP(AJ65,Расчет!$AH$2:$AN$211,5,FALSE)="8","C",IF(VLOOKUP(AJ65,Расчет!$AH$2:$AN$211,5,FALSE)="G","G","R"))</f>
        <v>C</v>
      </c>
      <c r="AL65" s="74" t="str">
        <f t="shared" si="3"/>
        <v/>
      </c>
      <c r="AM65" s="118" t="str">
        <f>IF(AL65="","",(COUNTIF($AG$2:$AG$105,"C")+COUNTIF($AL$2:$AL65,"C"))-(COUNTIF($AF$2:$AF$105,"C")+COUNTIF($AK$2:$AK65,"C"))+$AH$1)</f>
        <v/>
      </c>
      <c r="AN65" s="119" t="str">
        <f>IF(AL65="","",(COUNTIF($AG$2:$AG$105,"R")+COUNTIF($AL$2:$AL65,"R"))-(COUNTIF($AF$2:$AF$105,"R")+COUNTIF($AK$2:$AK65,"R"))+$AI$1)</f>
        <v/>
      </c>
      <c r="AO65" s="22" t="str">
        <f>IF(E65="","",COUNTA($E$3:E65)+$Z$1)</f>
        <v/>
      </c>
      <c r="AP65" s="88" t="str">
        <f>IF(AO65="","",IF(AO65+Расчет!$Y$57+$BD$2-Расчет!$X$57&gt;200,AO65+Расчет!$Y$57+$BD$2-1000,AO65+Расчет!$Y$57+$BD$2))</f>
        <v/>
      </c>
      <c r="AR65" s="92"/>
      <c r="AS65" s="92"/>
      <c r="BL65" s="172">
        <f>COUNTIF($BM$5:BM65,"&lt;-115")</f>
        <v>0</v>
      </c>
      <c r="BM65" s="154">
        <f>IFERROR(IF(OR(IFERROR(VLOOKUP(BN65,$E$3:$E$105,1,FALSE),"0")=BN65,IFERROR(VLOOKUP(BN65,$R$3:$R$105,1,FALSE),"0")=BN65),BO65,IF(OR(VLOOKUP(BN65,Расчет!A:E,5,FALSE)="2PS",VLOOKUP(BN65,Расчет!A:E,5,FALSE)="2QL"),IF(VLOOKUP(BN65,Расчет!A:B,2,FALSE)="831W",BN65-$BS$7+$AD$17,BN65-$BS$7+$AD$12),BN65-$BS$7)),"-")</f>
        <v>-4</v>
      </c>
      <c r="BN65" s="154">
        <f>IF(OR(Расчет!C62="A0",Расчет!C62="P9",Расчет!B62="722W"),"-",Расчет!A62)</f>
        <v>11207</v>
      </c>
      <c r="BO65" s="173">
        <f t="shared" si="14"/>
        <v>-4</v>
      </c>
      <c r="BP65" s="172" t="str">
        <f>IF(BQ65="-","-",IFERROR(IF(OR(VLOOKUP(BN65,Расчет!$A$2:$E$582,5,FALSE)="2PS",VLOOKUP(BN65,Расчет!$A$2:$E$582,5,FALSE)="2QL"),IF(OR(VLOOKUP(BN65,Расчет!$A$2:$E$582,2,FALSE)="664W",VLOOKUP(BN65,Расчет!$A$2:$E$582,2,FALSE)="813W"),IF(BN65-$BS$7&gt;150,BN65-$BS$7-1000+$AD$12,BN65-$BS$7+$AD$12),IF(BN65-$BS$7&gt;150,BN65-$BS$7-1000+$AD$17,BN65-$BS$7+$AD$17)),IF(BN65-$BS$7&gt;150,BN65-$BS$7-1000,BN65-$BS$7)),"-"))</f>
        <v>-</v>
      </c>
      <c r="BQ65" s="173" t="str">
        <f t="shared" si="11"/>
        <v>-</v>
      </c>
      <c r="BR65" s="453"/>
      <c r="BS65" s="171"/>
      <c r="BT65" s="464" t="str">
        <f t="shared" si="12"/>
        <v>-</v>
      </c>
      <c r="BU65" s="464" t="str">
        <f t="shared" si="13"/>
        <v>-</v>
      </c>
      <c r="BX65" s="204">
        <f>COUNTIF($BY$4:BY65,"&lt;100")</f>
        <v>59</v>
      </c>
      <c r="BY65" s="213" t="str">
        <f t="shared" si="25"/>
        <v/>
      </c>
      <c r="BZ65" s="216" t="str">
        <f t="shared" si="25"/>
        <v/>
      </c>
      <c r="CA65" s="213" t="e">
        <f t="shared" si="5"/>
        <v>#N/A</v>
      </c>
      <c r="CB65" s="209" t="e">
        <f t="shared" si="6"/>
        <v>#N/A</v>
      </c>
      <c r="CC65" s="205" t="str">
        <f t="shared" si="15"/>
        <v/>
      </c>
      <c r="CD65" s="205" t="str">
        <f t="shared" si="7"/>
        <v>-</v>
      </c>
      <c r="CE65" s="205">
        <f t="shared" si="16"/>
        <v>0</v>
      </c>
      <c r="CG65" s="20" t="str">
        <f t="shared" si="24"/>
        <v>Standard</v>
      </c>
    </row>
    <row r="66" spans="1:85" ht="23.1" customHeight="1" thickBot="1">
      <c r="A66" s="40" t="str">
        <f>IF(AND(IFERROR(VLOOKUP(E66,Расчет!A:J,10,FALSE),"  ")&lt;&gt;"  ",IFERROR(LEFT(VLOOKUP(E66,Расчет!A:J,10,FALSE),1)," ")&lt;&gt;"H"),0,IFERROR(IF(F66="Camry",IF(OR(J66="2PS",J66="2QL"),IF(E66-AP66&gt;100,E66-AP66-1000+$AD$12,E66-AP66+$AD$12),IF(E66-AP66&gt;100,E66-AP66-1000,E66-AP66)),IF(J66="2PS",IF(E66-AP66&gt;100,E66-AP66-1000+$AD$17,E66-AP66+$AD$17),IF(E66-AP66&gt;100,E66-AP66-1000,E66-AP66))),"-"))</f>
        <v>-</v>
      </c>
      <c r="B66" s="46">
        <v>64</v>
      </c>
      <c r="C66" s="19" t="str">
        <f>IF(E66="","",COUNTA($E$3:E66))</f>
        <v/>
      </c>
      <c r="D66" s="18" t="str">
        <f t="shared" si="0"/>
        <v/>
      </c>
      <c r="E66" s="30"/>
      <c r="F66" s="44" t="str">
        <f>IFERROR(IF(VLOOKUP(E66,Расчет!$A$2:$B$650,2,FALSE)="664W","Camry",IF(VLOOKUP(E66,Расчет!$A$2:$B$650,2,FALSE)="813W","Goshi","RAV4")),"")</f>
        <v/>
      </c>
      <c r="G66" s="32" t="str">
        <f>IFERROR(IF(F66="Camry",VLOOKUP(E66,Расчет!$A$2:$Q$650,17,FALSE),VLOOKUP(E66,Расчет!$A$2:$R$650,18,FALSE)),"")</f>
        <v/>
      </c>
      <c r="H66" s="32" t="str">
        <f>IFERROR(VLOOKUP(VLOOKUP(E66,Расчет!$A:$D,4,FALSE),$AT$6:$AV$15,3,FALSE),"")</f>
        <v/>
      </c>
      <c r="I66" s="31" t="str">
        <f>IFERROR(VLOOKUP(IFERROR(VLOOKUP(E66,Расчет!$A$2:$D$650,4,FALSE),0),$AT$3:$AU$15,2,FALSE),"")</f>
        <v/>
      </c>
      <c r="J66" s="33" t="str">
        <f>IFERROR(VLOOKUP(E66,Расчет!$A$2:$E$650,5,FALSE),"")</f>
        <v/>
      </c>
      <c r="K66" s="189"/>
      <c r="L66" s="188">
        <f t="shared" si="9"/>
        <v>0</v>
      </c>
      <c r="M66" s="9"/>
      <c r="N66" s="40" t="str">
        <f>IF(AND(IFERROR(VLOOKUP(R66,Расчет!A:J,10,FALSE),"  ")&lt;&gt;"  ",IFERROR(LEFT(VLOOKUP(R66,Расчет!A:J,10,FALSE),1)," ")&lt;&gt;"H"),0,IFERROR(IF(S66="Camry",IF(OR(W66="2PS",W66="2QL"),IF(R66-AP169&gt;100,R66-AP169-1000+$AD$12,R66-AP169+$AD$12),IF(R66-AP169&gt;100,R66-AP169-1000,R66-AP169)),IF(W66="2PS",IF(R66-AP169&gt;100,R66-AP169-1000+$AD$17,R66-AP169+$AD$17),IF(R66-AP169&gt;100,R66-AP169-1000,R66-AP169))),"-"))</f>
        <v>-</v>
      </c>
      <c r="O66" s="46">
        <v>167</v>
      </c>
      <c r="P66" s="19" t="str">
        <f>IF(R66="","",COUNTA($R$3:R66)+$C$105)</f>
        <v/>
      </c>
      <c r="Q66" s="18" t="str">
        <f t="shared" si="1"/>
        <v/>
      </c>
      <c r="R66" s="30"/>
      <c r="S66" s="45" t="str">
        <f>IFERROR(IF(VLOOKUP(R66,Расчет!$A$2:$B$650,2,FALSE)="664W","Camry",IF(VLOOKUP(R66,Расчет!$A$2:$B$650,2,FALSE)="813W","Goshi","RAV4")),"")</f>
        <v/>
      </c>
      <c r="T66" s="32" t="str">
        <f>IFERROR(IF(S66="Camry",VLOOKUP(R66,Расчет!$A$2:$Q$650,17,FALSE),VLOOKUP(R66,Расчет!$A$2:$R$650,18,FALSE)),"")</f>
        <v/>
      </c>
      <c r="U66" s="32" t="str">
        <f>IFERROR(VLOOKUP(VLOOKUP(R66,Расчет!$A:$D,4,FALSE),$AT$6:$AV$15,3,FALSE),"")</f>
        <v/>
      </c>
      <c r="V66" s="31" t="str">
        <f>IFERROR(VLOOKUP(IFERROR(VLOOKUP(R66,Расчет!$A$2:$D$650,4,FALSE),0),$AT$3:$AU$15,2,FALSE),"")</f>
        <v/>
      </c>
      <c r="W66" s="33" t="str">
        <f>IFERROR(VLOOKUP(R66,Расчет!$A$2:$E$650,5,FALSE),"")</f>
        <v/>
      </c>
      <c r="X66" s="189"/>
      <c r="Y66" s="191">
        <f t="shared" si="10"/>
        <v>0</v>
      </c>
      <c r="AE66" s="89">
        <v>64</v>
      </c>
      <c r="AF66" s="44" t="str">
        <f>IF(VLOOKUP(AE66,Расчет!$AH$2:$AN$201,5,FALSE)="8","C",IF(VLOOKUP(AE66,Расчет!$AH$2:$AN$201,5,FALSE)="G","G","R"))</f>
        <v>R</v>
      </c>
      <c r="AG66" s="73" t="str">
        <f t="shared" si="2"/>
        <v/>
      </c>
      <c r="AH66" s="87" t="str">
        <f>IF(AG66="","",COUNTIF($AG$2:AG66,"C")-COUNTIF($AF$2:AF66,"C")+$AH$1)</f>
        <v/>
      </c>
      <c r="AI66" s="87" t="str">
        <f>IF(AG66="","",COUNTIF($AG$2:AG66,"R")-COUNTIF($AF$2:AF66,"R")+$AI$1)</f>
        <v/>
      </c>
      <c r="AJ66" s="89">
        <v>167</v>
      </c>
      <c r="AK66" s="44" t="str">
        <f>IF(VLOOKUP(AJ66,Расчет!$AH$2:$AN$211,5,FALSE)="8","C",IF(VLOOKUP(AJ66,Расчет!$AH$2:$AN$211,5,FALSE)="G","G","R"))</f>
        <v>R</v>
      </c>
      <c r="AL66" s="74" t="str">
        <f t="shared" si="3"/>
        <v/>
      </c>
      <c r="AM66" s="118" t="str">
        <f>IF(AL66="","",(COUNTIF($AG$2:$AG$105,"C")+COUNTIF($AL$2:$AL66,"C"))-(COUNTIF($AF$2:$AF$105,"C")+COUNTIF($AK$2:$AK66,"C"))+$AH$1)</f>
        <v/>
      </c>
      <c r="AN66" s="119" t="str">
        <f>IF(AL66="","",(COUNTIF($AG$2:$AG$105,"R")+COUNTIF($AL$2:$AL66,"R"))-(COUNTIF($AF$2:$AF$105,"R")+COUNTIF($AK$2:$AK66,"R"))+$AI$1)</f>
        <v/>
      </c>
      <c r="AO66" s="22" t="str">
        <f>IF(E66="","",COUNTA($E$3:E66)+$Z$1)</f>
        <v/>
      </c>
      <c r="AP66" s="88" t="str">
        <f>IF(AO66="","",IF(AO66+Расчет!$Y$57+$BD$2-Расчет!$X$57&gt;200,AO66+Расчет!$Y$57+$BD$2-1000,AO66+Расчет!$Y$57+$BD$2))</f>
        <v/>
      </c>
      <c r="AR66" s="92"/>
      <c r="AS66" s="92"/>
      <c r="BL66" s="172">
        <f>COUNTIF($BM$5:BM66,"&lt;-115")</f>
        <v>0</v>
      </c>
      <c r="BM66" s="154">
        <f>IFERROR(IF(OR(IFERROR(VLOOKUP(BN66,$E$3:$E$105,1,FALSE),"0")=BN66,IFERROR(VLOOKUP(BN66,$R$3:$R$105,1,FALSE),"0")=BN66),BO66,IF(OR(VLOOKUP(BN66,Расчет!A:E,5,FALSE)="2PS",VLOOKUP(BN66,Расчет!A:E,5,FALSE)="2QL"),IF(VLOOKUP(BN66,Расчет!A:B,2,FALSE)="831W",BN66-$BS$7+$AD$17,BN66-$BS$7+$AD$12),BN66-$BS$7)),"-")</f>
        <v>0</v>
      </c>
      <c r="BN66" s="154">
        <f>IF(OR(Расчет!C63="A0",Расчет!C63="P9",Расчет!B63="722W"),"-",Расчет!A63)</f>
        <v>11208</v>
      </c>
      <c r="BO66" s="173">
        <f t="shared" si="14"/>
        <v>0</v>
      </c>
      <c r="BP66" s="172" t="str">
        <f>IF(BQ66="-","-",IFERROR(IF(OR(VLOOKUP(BN66,Расчет!$A$2:$E$582,5,FALSE)="2PS",VLOOKUP(BN66,Расчет!$A$2:$E$582,5,FALSE)="2QL"),IF(OR(VLOOKUP(BN66,Расчет!$A$2:$E$582,2,FALSE)="664W",VLOOKUP(BN66,Расчет!$A$2:$E$582,2,FALSE)="813W"),IF(BN66-$BS$7&gt;150,BN66-$BS$7-1000+$AD$12,BN66-$BS$7+$AD$12),IF(BN66-$BS$7&gt;150,BN66-$BS$7-1000+$AD$17,BN66-$BS$7+$AD$17)),IF(BN66-$BS$7&gt;150,BN66-$BS$7-1000,BN66-$BS$7)),"-"))</f>
        <v>-</v>
      </c>
      <c r="BQ66" s="173" t="str">
        <f t="shared" si="11"/>
        <v>-</v>
      </c>
      <c r="BR66" s="453"/>
      <c r="BS66" s="171"/>
      <c r="BT66" s="464" t="str">
        <f t="shared" si="12"/>
        <v>-</v>
      </c>
      <c r="BU66" s="464" t="str">
        <f t="shared" si="13"/>
        <v>-</v>
      </c>
      <c r="BX66" s="204">
        <f>COUNTIF($BY$4:BY66,"&lt;100")</f>
        <v>59</v>
      </c>
      <c r="BY66" s="213" t="str">
        <f t="shared" si="25"/>
        <v/>
      </c>
      <c r="BZ66" s="216" t="str">
        <f t="shared" si="25"/>
        <v/>
      </c>
      <c r="CA66" s="213" t="e">
        <f t="shared" si="5"/>
        <v>#N/A</v>
      </c>
      <c r="CB66" s="209" t="e">
        <f t="shared" si="6"/>
        <v>#N/A</v>
      </c>
      <c r="CC66" s="205" t="str">
        <f t="shared" si="15"/>
        <v/>
      </c>
      <c r="CD66" s="205" t="str">
        <f t="shared" si="7"/>
        <v>-</v>
      </c>
      <c r="CE66" s="205">
        <f t="shared" si="16"/>
        <v>0</v>
      </c>
      <c r="CG66" s="20" t="str">
        <f t="shared" si="24"/>
        <v>CVT</v>
      </c>
    </row>
    <row r="67" spans="1:85" ht="23.1" customHeight="1" thickBot="1">
      <c r="A67" s="40" t="str">
        <f>IF(AND(IFERROR(VLOOKUP(E67,Расчет!A:J,10,FALSE),"  ")&lt;&gt;"  ",IFERROR(LEFT(VLOOKUP(E67,Расчет!A:J,10,FALSE),1)," ")&lt;&gt;"H"),0,IFERROR(IF(F67="Camry",IF(OR(J67="2PS",J67="2QL"),IF(E67-AP67&gt;100,E67-AP67-1000+$AD$12,E67-AP67+$AD$12),IF(E67-AP67&gt;100,E67-AP67-1000,E67-AP67)),IF(J67="2PS",IF(E67-AP67&gt;100,E67-AP67-1000+$AD$17,E67-AP67+$AD$17),IF(E67-AP67&gt;100,E67-AP67-1000,E67-AP67))),"-"))</f>
        <v>-</v>
      </c>
      <c r="B67" s="46">
        <v>65</v>
      </c>
      <c r="C67" s="19" t="str">
        <f>IF(E67="","",COUNTA($E$3:E67))</f>
        <v/>
      </c>
      <c r="D67" s="18" t="str">
        <f t="shared" si="0"/>
        <v/>
      </c>
      <c r="E67" s="30"/>
      <c r="F67" s="44" t="str">
        <f>IFERROR(IF(VLOOKUP(E67,Расчет!$A$2:$B$650,2,FALSE)="664W","Camry",IF(VLOOKUP(E67,Расчет!$A$2:$B$650,2,FALSE)="813W","Goshi","RAV4")),"")</f>
        <v/>
      </c>
      <c r="G67" s="32" t="str">
        <f>IFERROR(IF(F67="Camry",VLOOKUP(E67,Расчет!$A$2:$Q$650,17,FALSE),VLOOKUP(E67,Расчет!$A$2:$R$650,18,FALSE)),"")</f>
        <v/>
      </c>
      <c r="H67" s="32" t="str">
        <f>IFERROR(VLOOKUP(VLOOKUP(E67,Расчет!$A:$D,4,FALSE),$AT$6:$AV$15,3,FALSE),"")</f>
        <v/>
      </c>
      <c r="I67" s="31" t="str">
        <f>IFERROR(VLOOKUP(IFERROR(VLOOKUP(E67,Расчет!$A$2:$D$650,4,FALSE),0),$AT$3:$AU$15,2,FALSE),"")</f>
        <v/>
      </c>
      <c r="J67" s="33" t="str">
        <f>IFERROR(VLOOKUP(E67,Расчет!$A$2:$E$650,5,FALSE),"")</f>
        <v/>
      </c>
      <c r="K67" s="189"/>
      <c r="L67" s="188">
        <f t="shared" si="9"/>
        <v>0</v>
      </c>
      <c r="M67" s="9"/>
      <c r="N67" s="40" t="str">
        <f>IF(AND(IFERROR(VLOOKUP(R67,Расчет!A:J,10,FALSE),"  ")&lt;&gt;"  ",IFERROR(LEFT(VLOOKUP(R67,Расчет!A:J,10,FALSE),1)," ")&lt;&gt;"H"),0,IFERROR(IF(S67="Camry",IF(OR(W67="2PS",W67="2QL"),IF(R67-AP170&gt;100,R67-AP170-1000+$AD$12,R67-AP170+$AD$12),IF(R67-AP170&gt;100,R67-AP170-1000,R67-AP170)),IF(W67="2PS",IF(R67-AP170&gt;100,R67-AP170-1000+$AD$17,R67-AP170+$AD$17),IF(R67-AP170&gt;100,R67-AP170-1000,R67-AP170))),"-"))</f>
        <v>-</v>
      </c>
      <c r="O67" s="46">
        <v>168</v>
      </c>
      <c r="P67" s="19" t="str">
        <f>IF(R67="","",COUNTA($R$3:R67)+$C$105)</f>
        <v/>
      </c>
      <c r="Q67" s="18" t="str">
        <f t="shared" si="1"/>
        <v/>
      </c>
      <c r="R67" s="30"/>
      <c r="S67" s="45" t="str">
        <f>IFERROR(IF(VLOOKUP(R67,Расчет!$A$2:$B$650,2,FALSE)="664W","Camry",IF(VLOOKUP(R67,Расчет!$A$2:$B$650,2,FALSE)="813W","Goshi","RAV4")),"")</f>
        <v/>
      </c>
      <c r="T67" s="32" t="str">
        <f>IFERROR(IF(S67="Camry",VLOOKUP(R67,Расчет!$A$2:$Q$650,17,FALSE),VLOOKUP(R67,Расчет!$A$2:$R$650,18,FALSE)),"")</f>
        <v/>
      </c>
      <c r="U67" s="32" t="str">
        <f>IFERROR(VLOOKUP(VLOOKUP(R67,Расчет!$A:$D,4,FALSE),$AT$6:$AV$15,3,FALSE),"")</f>
        <v/>
      </c>
      <c r="V67" s="31" t="str">
        <f>IFERROR(VLOOKUP(IFERROR(VLOOKUP(R67,Расчет!$A$2:$D$650,4,FALSE),0),$AT$3:$AU$15,2,FALSE),"")</f>
        <v/>
      </c>
      <c r="W67" s="33" t="str">
        <f>IFERROR(VLOOKUP(R67,Расчет!$A$2:$E$650,5,FALSE),"")</f>
        <v/>
      </c>
      <c r="X67" s="189"/>
      <c r="Y67" s="191">
        <f t="shared" si="10"/>
        <v>0</v>
      </c>
      <c r="Z67" s="613" t="s">
        <v>72</v>
      </c>
      <c r="AA67" s="688"/>
      <c r="AB67" s="688"/>
      <c r="AC67" s="688"/>
      <c r="AD67" s="614"/>
      <c r="AE67" s="89">
        <v>65</v>
      </c>
      <c r="AF67" s="44" t="str">
        <f>IF(VLOOKUP(AE67,Расчет!$AH$2:$AN$201,5,FALSE)="8","C",IF(VLOOKUP(AE67,Расчет!$AH$2:$AN$201,5,FALSE)="G","G","R"))</f>
        <v>R</v>
      </c>
      <c r="AG67" s="73" t="str">
        <f t="shared" si="2"/>
        <v/>
      </c>
      <c r="AH67" s="87" t="str">
        <f>IF(AG67="","",COUNTIF($AG$2:AG67,"C")-COUNTIF($AF$2:AF67,"C")+$AH$1)</f>
        <v/>
      </c>
      <c r="AI67" s="87" t="str">
        <f>IF(AG67="","",COUNTIF($AG$2:AG67,"R")-COUNTIF($AF$2:AF67,"R")+$AI$1)</f>
        <v/>
      </c>
      <c r="AJ67" s="89">
        <v>168</v>
      </c>
      <c r="AK67" s="44" t="str">
        <f>IF(VLOOKUP(AJ67,Расчет!$AH$2:$AN$211,5,FALSE)="8","C",IF(VLOOKUP(AJ67,Расчет!$AH$2:$AN$211,5,FALSE)="G","G","R"))</f>
        <v>R</v>
      </c>
      <c r="AL67" s="74" t="str">
        <f t="shared" si="3"/>
        <v/>
      </c>
      <c r="AM67" s="118" t="str">
        <f>IF(AL67="","",(COUNTIF($AG$2:$AG$105,"C")+COUNTIF($AL$2:$AL67,"C"))-(COUNTIF($AF$2:$AF$105,"C")+COUNTIF($AK$2:$AK67,"C"))+$AH$1)</f>
        <v/>
      </c>
      <c r="AN67" s="119" t="str">
        <f>IF(AL67="","",(COUNTIF($AG$2:$AG$105,"R")+COUNTIF($AL$2:$AL67,"R"))-(COUNTIF($AF$2:$AF$105,"R")+COUNTIF($AK$2:$AK67,"R"))+$AI$1)</f>
        <v/>
      </c>
      <c r="AO67" s="22" t="str">
        <f>IF(E67="","",COUNTA($E$3:E67)+$Z$1)</f>
        <v/>
      </c>
      <c r="AP67" s="88" t="str">
        <f>IF(AO67="","",IF(AO67+Расчет!$Y$57+$BD$2-Расчет!$X$57&gt;200,AO67+Расчет!$Y$57+$BD$2-1000,AO67+Расчет!$Y$57+$BD$2))</f>
        <v/>
      </c>
      <c r="AR67" s="92"/>
      <c r="AS67" s="92"/>
      <c r="BL67" s="172">
        <f>COUNTIF($BM$5:BM67,"&lt;-115")</f>
        <v>0</v>
      </c>
      <c r="BM67" s="154">
        <f>IFERROR(IF(OR(IFERROR(VLOOKUP(BN67,$E$3:$E$105,1,FALSE),"0")=BN67,IFERROR(VLOOKUP(BN67,$R$3:$R$105,1,FALSE),"0")=BN67),BO67,IF(OR(VLOOKUP(BN67,Расчет!A:E,5,FALSE)="2PS",VLOOKUP(BN67,Расчет!A:E,5,FALSE)="2QL"),IF(VLOOKUP(BN67,Расчет!A:B,2,FALSE)="831W",BN67-$BS$7+$AD$17,BN67-$BS$7+$AD$12),BN67-$BS$7)),"-")</f>
        <v>85</v>
      </c>
      <c r="BN67" s="154">
        <f>IF(OR(Расчет!C64="A0",Расчет!C64="P9",Расчет!B64="722W"),"-",Расчет!A64)</f>
        <v>11209</v>
      </c>
      <c r="BO67" s="173">
        <f t="shared" si="14"/>
        <v>0</v>
      </c>
      <c r="BP67" s="172">
        <f>IF(BQ67="-","-",IFERROR(IF(OR(VLOOKUP(BN67,Расчет!$A$2:$E$582,5,FALSE)="2PS",VLOOKUP(BN67,Расчет!$A$2:$E$582,5,FALSE)="2QL"),IF(OR(VLOOKUP(BN67,Расчет!$A$2:$E$582,2,FALSE)="664W",VLOOKUP(BN67,Расчет!$A$2:$E$582,2,FALSE)="813W"),IF(BN67-$BS$7&gt;150,BN67-$BS$7-1000+$AD$12,BN67-$BS$7+$AD$12),IF(BN67-$BS$7&gt;150,BN67-$BS$7-1000+$AD$17,BN67-$BS$7+$AD$17)),IF(BN67-$BS$7&gt;150,BN67-$BS$7-1000,BN67-$BS$7)),"-"))</f>
        <v>85</v>
      </c>
      <c r="BQ67" s="173">
        <f t="shared" si="11"/>
        <v>11209</v>
      </c>
      <c r="BR67" s="453"/>
      <c r="BS67" s="171"/>
      <c r="BT67" s="464" t="str">
        <f t="shared" si="12"/>
        <v>-</v>
      </c>
      <c r="BU67" s="464" t="str">
        <f t="shared" si="13"/>
        <v>-</v>
      </c>
      <c r="BX67" s="204">
        <f>COUNTIF($BY$4:BY67,"&lt;100")</f>
        <v>59</v>
      </c>
      <c r="BY67" s="213" t="str">
        <f t="shared" si="25"/>
        <v/>
      </c>
      <c r="BZ67" s="216" t="str">
        <f t="shared" si="25"/>
        <v/>
      </c>
      <c r="CA67" s="213" t="e">
        <f t="shared" si="5"/>
        <v>#N/A</v>
      </c>
      <c r="CB67" s="209" t="e">
        <f t="shared" si="6"/>
        <v>#N/A</v>
      </c>
      <c r="CC67" s="205" t="str">
        <f t="shared" si="15"/>
        <v/>
      </c>
      <c r="CD67" s="205" t="str">
        <f t="shared" si="7"/>
        <v>-</v>
      </c>
      <c r="CE67" s="205">
        <f t="shared" si="16"/>
        <v>0</v>
      </c>
      <c r="CG67" s="20" t="str">
        <f t="shared" si="24"/>
        <v>Mech</v>
      </c>
    </row>
    <row r="68" spans="1:85" ht="23.1" customHeight="1" thickBot="1">
      <c r="A68" s="40" t="str">
        <f>IF(AND(IFERROR(VLOOKUP(E68,Расчет!A:J,10,FALSE),"  ")&lt;&gt;"  ",IFERROR(LEFT(VLOOKUP(E68,Расчет!A:J,10,FALSE),1)," ")&lt;&gt;"H"),0,IFERROR(IF(F68="Camry",IF(OR(J68="2PS",J68="2QL"),IF(E68-AP68&gt;100,E68-AP68-1000+$AD$12,E68-AP68+$AD$12),IF(E68-AP68&gt;100,E68-AP68-1000,E68-AP68)),IF(J68="2PS",IF(E68-AP68&gt;100,E68-AP68-1000+$AD$17,E68-AP68+$AD$17),IF(E68-AP68&gt;100,E68-AP68-1000,E68-AP68))),"-"))</f>
        <v>-</v>
      </c>
      <c r="B68" s="46">
        <v>66</v>
      </c>
      <c r="C68" s="19" t="str">
        <f>IF(E68="","",COUNTA($E$3:E68))</f>
        <v/>
      </c>
      <c r="D68" s="18" t="str">
        <f t="shared" ref="D68:D105" si="26">IFERROR(IF(AO68&gt;=1000,AO68-1000,AO68),"")</f>
        <v/>
      </c>
      <c r="E68" s="30"/>
      <c r="F68" s="44" t="str">
        <f>IFERROR(IF(VLOOKUP(E68,Расчет!$A$2:$B$650,2,FALSE)="664W","Camry",IF(VLOOKUP(E68,Расчет!$A$2:$B$650,2,FALSE)="813W","Goshi","RAV4")),"")</f>
        <v/>
      </c>
      <c r="G68" s="32" t="str">
        <f>IFERROR(IF(F68="Camry",VLOOKUP(E68,Расчет!$A$2:$Q$650,17,FALSE),VLOOKUP(E68,Расчет!$A$2:$R$650,18,FALSE)),"")</f>
        <v/>
      </c>
      <c r="H68" s="32" t="str">
        <f>IFERROR(VLOOKUP(VLOOKUP(E68,Расчет!$A:$D,4,FALSE),$AT$6:$AV$15,3,FALSE),"")</f>
        <v/>
      </c>
      <c r="I68" s="31" t="str">
        <f>IFERROR(VLOOKUP(IFERROR(VLOOKUP(E68,Расчет!$A$2:$D$650,4,FALSE),0),$AT$3:$AU$15,2,FALSE),"")</f>
        <v/>
      </c>
      <c r="J68" s="33" t="str">
        <f>IFERROR(VLOOKUP(E68,Расчет!$A$2:$E$650,5,FALSE),"")</f>
        <v/>
      </c>
      <c r="K68" s="189"/>
      <c r="L68" s="188">
        <f t="shared" si="9"/>
        <v>0</v>
      </c>
      <c r="M68" s="9"/>
      <c r="N68" s="40" t="str">
        <f>IF(AND(IFERROR(VLOOKUP(R68,Расчет!A:J,10,FALSE),"  ")&lt;&gt;"  ",IFERROR(LEFT(VLOOKUP(R68,Расчет!A:J,10,FALSE),1)," ")&lt;&gt;"H"),0,IFERROR(IF(S68="Camry",IF(OR(W68="2PS",W68="2QL"),IF(R68-AP171&gt;100,R68-AP171-1000+$AD$12,R68-AP171+$AD$12),IF(R68-AP171&gt;100,R68-AP171-1000,R68-AP171)),IF(W68="2PS",IF(R68-AP171&gt;100,R68-AP171-1000+$AD$17,R68-AP171+$AD$17),IF(R68-AP171&gt;100,R68-AP171-1000,R68-AP171))),"-"))</f>
        <v>-</v>
      </c>
      <c r="O68" s="46">
        <v>169</v>
      </c>
      <c r="P68" s="19" t="str">
        <f>IF(R68="","",COUNTA($R$3:R68)+$C$105)</f>
        <v/>
      </c>
      <c r="Q68" s="18" t="str">
        <f t="shared" ref="Q68:Q105" si="27">IFERROR(IF(AO171&gt;=1000,AO171-1000,AO171),"")</f>
        <v/>
      </c>
      <c r="R68" s="30"/>
      <c r="S68" s="45" t="str">
        <f>IFERROR(IF(VLOOKUP(R68,Расчет!$A$2:$B$650,2,FALSE)="664W","Camry",IF(VLOOKUP(R68,Расчет!$A$2:$B$650,2,FALSE)="813W","Goshi","RAV4")),"")</f>
        <v/>
      </c>
      <c r="T68" s="32" t="str">
        <f>IFERROR(IF(S68="Camry",VLOOKUP(R68,Расчет!$A$2:$Q$650,17,FALSE),VLOOKUP(R68,Расчет!$A$2:$R$650,18,FALSE)),"")</f>
        <v/>
      </c>
      <c r="U68" s="32" t="str">
        <f>IFERROR(VLOOKUP(VLOOKUP(R68,Расчет!$A:$D,4,FALSE),$AT$6:$AV$15,3,FALSE),"")</f>
        <v/>
      </c>
      <c r="V68" s="31" t="str">
        <f>IFERROR(VLOOKUP(IFERROR(VLOOKUP(R68,Расчет!$A$2:$D$650,4,FALSE),0),$AT$3:$AU$15,2,FALSE),"")</f>
        <v/>
      </c>
      <c r="W68" s="33" t="str">
        <f>IFERROR(VLOOKUP(R68,Расчет!$A$2:$E$650,5,FALSE),"")</f>
        <v/>
      </c>
      <c r="X68" s="189"/>
      <c r="Y68" s="191">
        <f t="shared" si="10"/>
        <v>0</v>
      </c>
      <c r="Z68" s="691" t="s">
        <v>145</v>
      </c>
      <c r="AA68" s="692"/>
      <c r="AB68" s="692"/>
      <c r="AC68" s="692"/>
      <c r="AD68" s="693"/>
      <c r="AE68" s="89">
        <v>66</v>
      </c>
      <c r="AF68" s="44" t="str">
        <f>IF(VLOOKUP(AE68,Расчет!$AH$2:$AN$201,5,FALSE)="8","C",IF(VLOOKUP(AE68,Расчет!$AH$2:$AN$201,5,FALSE)="G","G","R"))</f>
        <v>C</v>
      </c>
      <c r="AG68" s="73" t="str">
        <f t="shared" ref="AG68:AG105" si="28">IF(F68="","",IF(F68="RAV4","R",IF(F68="GOSHI","G","C")))</f>
        <v/>
      </c>
      <c r="AH68" s="87" t="str">
        <f>IF(AG68="","",COUNTIF($AG$2:AG68,"C")-COUNTIF($AF$2:AF68,"C")+$AH$1)</f>
        <v/>
      </c>
      <c r="AI68" s="87" t="str">
        <f>IF(AG68="","",COUNTIF($AG$2:AG68,"R")-COUNTIF($AF$2:AF68,"R")+$AI$1)</f>
        <v/>
      </c>
      <c r="AJ68" s="89">
        <v>169</v>
      </c>
      <c r="AK68" s="44" t="str">
        <f>IF(VLOOKUP(AJ68,Расчет!$AH$2:$AN$211,5,FALSE)="8","C",IF(VLOOKUP(AJ68,Расчет!$AH$2:$AN$211,5,FALSE)="G","G","R"))</f>
        <v>C</v>
      </c>
      <c r="AL68" s="74" t="str">
        <f t="shared" ref="AL68:AL105" si="29">IF(S68="","",IF(S68="RAV4","R",IF(S68="GOSHI","G","C")))</f>
        <v/>
      </c>
      <c r="AM68" s="118" t="str">
        <f>IF(AL68="","",(COUNTIF($AG$2:$AG$105,"C")+COUNTIF($AL$2:$AL68,"C"))-(COUNTIF($AF$2:$AF$105,"C")+COUNTIF($AK$2:$AK68,"C"))+$AH$1)</f>
        <v/>
      </c>
      <c r="AN68" s="119" t="str">
        <f>IF(AL68="","",(COUNTIF($AG$2:$AG$105,"R")+COUNTIF($AL$2:$AL68,"R"))-(COUNTIF($AF$2:$AF$105,"R")+COUNTIF($AK$2:$AK68,"R"))+$AI$1)</f>
        <v/>
      </c>
      <c r="AO68" s="22" t="str">
        <f>IF(E68="","",COUNTA($E$3:E68)+$Z$1)</f>
        <v/>
      </c>
      <c r="AP68" s="88" t="str">
        <f>IF(AO68="","",IF(AO68+Расчет!$Y$57+$BD$2-Расчет!$X$57&gt;200,AO68+Расчет!$Y$57+$BD$2-1000,AO68+Расчет!$Y$57+$BD$2))</f>
        <v/>
      </c>
      <c r="AR68" s="92"/>
      <c r="AS68" s="92"/>
      <c r="BL68" s="172">
        <f>COUNTIF($BM$5:BM68,"&lt;-115")</f>
        <v>0</v>
      </c>
      <c r="BM68" s="154">
        <f>IFERROR(IF(OR(IFERROR(VLOOKUP(BN68,$E$3:$E$105,1,FALSE),"0")=BN68,IFERROR(VLOOKUP(BN68,$R$3:$R$105,1,FALSE),"0")=BN68),BO68,IF(OR(VLOOKUP(BN68,Расчет!A:E,5,FALSE)="2PS",VLOOKUP(BN68,Расчет!A:E,5,FALSE)="2QL"),IF(VLOOKUP(BN68,Расчет!A:B,2,FALSE)="831W",BN68-$BS$7+$AD$17,BN68-$BS$7+$AD$12),BN68-$BS$7)),"-")</f>
        <v>14</v>
      </c>
      <c r="BN68" s="154">
        <f>IF(OR(Расчет!C65="A0",Расчет!C65="P9",Расчет!B65="722W"),"-",Расчет!A65)</f>
        <v>11210</v>
      </c>
      <c r="BO68" s="173">
        <f t="shared" si="14"/>
        <v>14</v>
      </c>
      <c r="BP68" s="172" t="str">
        <f>IF(BQ68="-","-",IFERROR(IF(OR(VLOOKUP(BN68,Расчет!$A$2:$E$582,5,FALSE)="2PS",VLOOKUP(BN68,Расчет!$A$2:$E$582,5,FALSE)="2QL"),IF(OR(VLOOKUP(BN68,Расчет!$A$2:$E$582,2,FALSE)="664W",VLOOKUP(BN68,Расчет!$A$2:$E$582,2,FALSE)="813W"),IF(BN68-$BS$7&gt;150,BN68-$BS$7-1000+$AD$12,BN68-$BS$7+$AD$12),IF(BN68-$BS$7&gt;150,BN68-$BS$7-1000+$AD$17,BN68-$BS$7+$AD$17)),IF(BN68-$BS$7&gt;150,BN68-$BS$7-1000,BN68-$BS$7)),"-"))</f>
        <v>-</v>
      </c>
      <c r="BQ68" s="173" t="str">
        <f t="shared" si="11"/>
        <v>-</v>
      </c>
      <c r="BR68" s="453"/>
      <c r="BS68" s="171"/>
      <c r="BT68" s="464" t="str">
        <f t="shared" si="12"/>
        <v>-</v>
      </c>
      <c r="BU68" s="464" t="str">
        <f t="shared" si="13"/>
        <v>-</v>
      </c>
      <c r="BX68" s="204">
        <f>COUNTIF($BY$4:BY68,"&lt;100")</f>
        <v>59</v>
      </c>
      <c r="BY68" s="213" t="str">
        <f t="shared" ref="BY68:BZ99" si="30">AH67</f>
        <v/>
      </c>
      <c r="BZ68" s="216" t="str">
        <f t="shared" si="30"/>
        <v/>
      </c>
      <c r="CA68" s="213" t="e">
        <f t="shared" ref="CA68:CA131" si="31">VLOOKUP(ROW(A65),$BX$4:$BY$209,2,FALSE)</f>
        <v>#N/A</v>
      </c>
      <c r="CB68" s="209" t="e">
        <f t="shared" ref="CB68:CB131" si="32">VLOOKUP(ROW(A65),$BX$4:$BZ$209,3,FALSE)</f>
        <v>#N/A</v>
      </c>
      <c r="CC68" s="205" t="str">
        <f t="shared" si="15"/>
        <v/>
      </c>
      <c r="CD68" s="205" t="str">
        <f t="shared" ref="CD68:CD106" si="33">A67</f>
        <v>-</v>
      </c>
      <c r="CE68" s="205">
        <f t="shared" si="16"/>
        <v>0</v>
      </c>
      <c r="CG68" s="20" t="str">
        <f t="shared" si="24"/>
        <v>Rich</v>
      </c>
    </row>
    <row r="69" spans="1:85" ht="23.1" customHeight="1" thickBot="1">
      <c r="A69" s="40" t="str">
        <f>IF(AND(IFERROR(VLOOKUP(E69,Расчет!A:J,10,FALSE),"  ")&lt;&gt;"  ",IFERROR(LEFT(VLOOKUP(E69,Расчет!A:J,10,FALSE),1)," ")&lt;&gt;"H"),0,IFERROR(IF(F69="Camry",IF(OR(J69="2PS",J69="2QL"),IF(E69-AP69&gt;100,E69-AP69-1000+$AD$12,E69-AP69+$AD$12),IF(E69-AP69&gt;100,E69-AP69-1000,E69-AP69)),IF(J69="2PS",IF(E69-AP69&gt;100,E69-AP69-1000+$AD$17,E69-AP69+$AD$17),IF(E69-AP69&gt;100,E69-AP69-1000,E69-AP69))),"-"))</f>
        <v>-</v>
      </c>
      <c r="B69" s="46">
        <v>67</v>
      </c>
      <c r="C69" s="19" t="str">
        <f>IF(E69="","",COUNTA($E$3:E69))</f>
        <v/>
      </c>
      <c r="D69" s="18" t="str">
        <f t="shared" si="26"/>
        <v/>
      </c>
      <c r="E69" s="30"/>
      <c r="F69" s="44" t="str">
        <f>IFERROR(IF(VLOOKUP(E69,Расчет!$A$2:$B$650,2,FALSE)="664W","Camry",IF(VLOOKUP(E69,Расчет!$A$2:$B$650,2,FALSE)="813W","Goshi","RAV4")),"")</f>
        <v/>
      </c>
      <c r="G69" s="32" t="str">
        <f>IFERROR(IF(F69="Camry",VLOOKUP(E69,Расчет!$A$2:$Q$650,17,FALSE),VLOOKUP(E69,Расчет!$A$2:$R$650,18,FALSE)),"")</f>
        <v/>
      </c>
      <c r="H69" s="32" t="str">
        <f>IFERROR(VLOOKUP(VLOOKUP(E69,Расчет!$A:$D,4,FALSE),$AT$6:$AV$15,3,FALSE),"")</f>
        <v/>
      </c>
      <c r="I69" s="31" t="str">
        <f>IFERROR(VLOOKUP(IFERROR(VLOOKUP(E69,Расчет!$A$2:$D$650,4,FALSE),0),$AT$3:$AU$15,2,FALSE),"")</f>
        <v/>
      </c>
      <c r="J69" s="33" t="str">
        <f>IFERROR(VLOOKUP(E69,Расчет!$A$2:$E$650,5,FALSE),"")</f>
        <v/>
      </c>
      <c r="K69" s="189"/>
      <c r="L69" s="188">
        <f t="shared" ref="L69:L105" si="34">K69-K68</f>
        <v>0</v>
      </c>
      <c r="M69" s="9"/>
      <c r="N69" s="40" t="str">
        <f>IF(AND(IFERROR(VLOOKUP(R69,Расчет!A:J,10,FALSE),"  ")&lt;&gt;"  ",IFERROR(LEFT(VLOOKUP(R69,Расчет!A:J,10,FALSE),1)," ")&lt;&gt;"H"),0,IFERROR(IF(S69="Camry",IF(OR(W69="2PS",W69="2QL"),IF(R69-AP172&gt;100,R69-AP172-1000+$AD$12,R69-AP172+$AD$12),IF(R69-AP172&gt;100,R69-AP172-1000,R69-AP172)),IF(W69="2PS",IF(R69-AP172&gt;100,R69-AP172-1000+$AD$17,R69-AP172+$AD$17),IF(R69-AP172&gt;100,R69-AP172-1000,R69-AP172))),"-"))</f>
        <v>-</v>
      </c>
      <c r="O69" s="46">
        <v>170</v>
      </c>
      <c r="P69" s="19" t="str">
        <f>IF(R69="","",COUNTA($R$3:R69)+$C$105)</f>
        <v/>
      </c>
      <c r="Q69" s="18" t="str">
        <f t="shared" si="27"/>
        <v/>
      </c>
      <c r="R69" s="30"/>
      <c r="S69" s="45" t="str">
        <f>IFERROR(IF(VLOOKUP(R69,Расчет!$A$2:$B$650,2,FALSE)="664W","Camry",IF(VLOOKUP(R69,Расчет!$A$2:$B$650,2,FALSE)="813W","Goshi","RAV4")),"")</f>
        <v/>
      </c>
      <c r="T69" s="32" t="str">
        <f>IFERROR(IF(S69="Camry",VLOOKUP(R69,Расчет!$A$2:$Q$650,17,FALSE),VLOOKUP(R69,Расчет!$A$2:$R$650,18,FALSE)),"")</f>
        <v/>
      </c>
      <c r="U69" s="32" t="str">
        <f>IFERROR(VLOOKUP(VLOOKUP(R69,Расчет!$A:$D,4,FALSE),$AT$6:$AV$15,3,FALSE),"")</f>
        <v/>
      </c>
      <c r="V69" s="31" t="str">
        <f>IFERROR(VLOOKUP(IFERROR(VLOOKUP(R69,Расчет!$A$2:$D$650,4,FALSE),0),$AT$3:$AU$15,2,FALSE),"")</f>
        <v/>
      </c>
      <c r="W69" s="33" t="str">
        <f>IFERROR(VLOOKUP(R69,Расчет!$A$2:$E$650,5,FALSE),"")</f>
        <v/>
      </c>
      <c r="X69" s="189"/>
      <c r="Y69" s="191">
        <f t="shared" ref="Y69:Y105" si="35">X69-X68</f>
        <v>0</v>
      </c>
      <c r="Z69" s="155" t="s">
        <v>27</v>
      </c>
      <c r="AA69" s="219" t="s">
        <v>8</v>
      </c>
      <c r="AB69" s="155" t="s">
        <v>137</v>
      </c>
      <c r="AC69" s="155" t="s">
        <v>26</v>
      </c>
      <c r="AD69" s="155" t="s">
        <v>132</v>
      </c>
      <c r="AE69" s="89">
        <v>67</v>
      </c>
      <c r="AF69" s="44" t="str">
        <f>IF(VLOOKUP(AE69,Расчет!$AH$2:$AN$201,5,FALSE)="8","C",IF(VLOOKUP(AE69,Расчет!$AH$2:$AN$201,5,FALSE)="G","G","R"))</f>
        <v>R</v>
      </c>
      <c r="AG69" s="73" t="str">
        <f t="shared" si="28"/>
        <v/>
      </c>
      <c r="AH69" s="87" t="str">
        <f>IF(AG69="","",COUNTIF($AG$2:AG69,"C")-COUNTIF($AF$2:AF69,"C")+$AH$1)</f>
        <v/>
      </c>
      <c r="AI69" s="87" t="str">
        <f>IF(AG69="","",COUNTIF($AG$2:AG69,"R")-COUNTIF($AF$2:AF69,"R")+$AI$1)</f>
        <v/>
      </c>
      <c r="AJ69" s="89">
        <v>170</v>
      </c>
      <c r="AK69" s="44" t="str">
        <f>IF(VLOOKUP(AJ69,Расчет!$AH$2:$AN$211,5,FALSE)="8","C",IF(VLOOKUP(AJ69,Расчет!$AH$2:$AN$211,5,FALSE)="G","G","R"))</f>
        <v>R</v>
      </c>
      <c r="AL69" s="74" t="str">
        <f t="shared" si="29"/>
        <v/>
      </c>
      <c r="AM69" s="118" t="str">
        <f>IF(AL69="","",(COUNTIF($AG$2:$AG$105,"C")+COUNTIF($AL$2:$AL69,"C"))-(COUNTIF($AF$2:$AF$105,"C")+COUNTIF($AK$2:$AK69,"C"))+$AH$1)</f>
        <v/>
      </c>
      <c r="AN69" s="119" t="str">
        <f>IF(AL69="","",(COUNTIF($AG$2:$AG$105,"R")+COUNTIF($AL$2:$AL69,"R"))-(COUNTIF($AF$2:$AF$105,"R")+COUNTIF($AK$2:$AK69,"R"))+$AI$1)</f>
        <v/>
      </c>
      <c r="AO69" s="22" t="str">
        <f>IF(E69="","",COUNTA($E$3:E69)+$Z$1)</f>
        <v/>
      </c>
      <c r="AP69" s="88" t="str">
        <f>IF(AO69="","",IF(AO69+Расчет!$Y$57+$BD$2-Расчет!$X$57&gt;200,AO69+Расчет!$Y$57+$BD$2-1000,AO69+Расчет!$Y$57+$BD$2))</f>
        <v/>
      </c>
      <c r="AR69" s="92"/>
      <c r="AS69" s="92"/>
      <c r="BL69" s="172">
        <f>COUNTIF($BM$5:BM69,"&lt;-115")</f>
        <v>0</v>
      </c>
      <c r="BM69" s="154">
        <f>IFERROR(IF(OR(IFERROR(VLOOKUP(BN69,$E$3:$E$105,1,FALSE),"0")=BN69,IFERROR(VLOOKUP(BN69,$R$3:$R$105,1,FALSE),"0")=BN69),BO69,IF(OR(VLOOKUP(BN69,Расчет!A:E,5,FALSE)="2PS",VLOOKUP(BN69,Расчет!A:E,5,FALSE)="2QL"),IF(VLOOKUP(BN69,Расчет!A:B,2,FALSE)="831W",BN69-$BS$7+$AD$17,BN69-$BS$7+$AD$12),BN69-$BS$7)),"-")</f>
        <v>-13</v>
      </c>
      <c r="BN69" s="154">
        <f>IF(OR(Расчет!C66="A0",Расчет!C66="P9",Расчет!B66="722W"),"-",Расчет!A66)</f>
        <v>11211</v>
      </c>
      <c r="BO69" s="173">
        <f t="shared" si="14"/>
        <v>0</v>
      </c>
      <c r="BP69" s="172">
        <f>IF(BQ69="-","-",IFERROR(IF(OR(VLOOKUP(BN69,Расчет!$A$2:$E$582,5,FALSE)="2PS",VLOOKUP(BN69,Расчет!$A$2:$E$582,5,FALSE)="2QL"),IF(OR(VLOOKUP(BN69,Расчет!$A$2:$E$582,2,FALSE)="664W",VLOOKUP(BN69,Расчет!$A$2:$E$582,2,FALSE)="813W"),IF(BN69-$BS$7&gt;150,BN69-$BS$7-1000+$AD$12,BN69-$BS$7+$AD$12),IF(BN69-$BS$7&gt;150,BN69-$BS$7-1000+$AD$17,BN69-$BS$7+$AD$17)),IF(BN69-$BS$7&gt;150,BN69-$BS$7-1000,BN69-$BS$7)),"-"))</f>
        <v>-13</v>
      </c>
      <c r="BQ69" s="173">
        <f t="shared" ref="BQ69:BQ132" si="36">IFERROR(IF(OR(IFERROR(VLOOKUP(BN69,$E$3:$E$105,1,FALSE),"0")=BN69,IFERROR(VLOOKUP(BN69,$R$3:$R$105,1,FALSE),"0")=BN69),"-",BN69),"-")</f>
        <v>11211</v>
      </c>
      <c r="BR69" s="453"/>
      <c r="BS69" s="171"/>
      <c r="BT69" s="464" t="str">
        <f t="shared" ref="BT69:BT132" si="37">IF(BQ69="-","-",IF(AND(BP69&gt;=$BR$5,BP69&lt;$BR$5+9),BP69,"-"))</f>
        <v>-</v>
      </c>
      <c r="BU69" s="464" t="str">
        <f t="shared" ref="BU69:BU132" si="38">IF(OR(BP69=$AC$2+1,BP69=$AC$2+2,BP69=$AC$2+3,BP69=$AC$2+4,BP69=$AC$2+5,BP69=$AC$2+6),BP69,"-")</f>
        <v>-</v>
      </c>
      <c r="BX69" s="204">
        <f>COUNTIF($BY$4:BY69,"&lt;100")</f>
        <v>59</v>
      </c>
      <c r="BY69" s="213" t="str">
        <f t="shared" si="30"/>
        <v/>
      </c>
      <c r="BZ69" s="216" t="str">
        <f t="shared" si="30"/>
        <v/>
      </c>
      <c r="CA69" s="213" t="e">
        <f t="shared" si="31"/>
        <v>#N/A</v>
      </c>
      <c r="CB69" s="209" t="e">
        <f t="shared" si="32"/>
        <v>#N/A</v>
      </c>
      <c r="CC69" s="205" t="str">
        <f t="shared" si="15"/>
        <v/>
      </c>
      <c r="CD69" s="205" t="str">
        <f t="shared" si="33"/>
        <v>-</v>
      </c>
      <c r="CE69" s="205">
        <f t="shared" si="16"/>
        <v>0</v>
      </c>
      <c r="CG69" s="20" t="str">
        <f t="shared" si="24"/>
        <v>Auto</v>
      </c>
    </row>
    <row r="70" spans="1:85" ht="23.1" customHeight="1">
      <c r="A70" s="40" t="str">
        <f>IF(AND(IFERROR(VLOOKUP(E70,Расчет!A:J,10,FALSE),"  ")&lt;&gt;"  ",IFERROR(LEFT(VLOOKUP(E70,Расчет!A:J,10,FALSE),1)," ")&lt;&gt;"H"),0,IFERROR(IF(F70="Camry",IF(OR(J70="2PS",J70="2QL"),IF(E70-AP70&gt;100,E70-AP70-1000+$AD$12,E70-AP70+$AD$12),IF(E70-AP70&gt;100,E70-AP70-1000,E70-AP70)),IF(J70="2PS",IF(E70-AP70&gt;100,E70-AP70-1000+$AD$17,E70-AP70+$AD$17),IF(E70-AP70&gt;100,E70-AP70-1000,E70-AP70))),"-"))</f>
        <v>-</v>
      </c>
      <c r="B70" s="46">
        <v>68</v>
      </c>
      <c r="C70" s="19" t="str">
        <f>IF(E70="","",COUNTA($E$3:E70))</f>
        <v/>
      </c>
      <c r="D70" s="18" t="str">
        <f t="shared" si="26"/>
        <v/>
      </c>
      <c r="E70" s="30"/>
      <c r="F70" s="44" t="str">
        <f>IFERROR(IF(VLOOKUP(E70,Расчет!$A$2:$B$650,2,FALSE)="664W","Camry",IF(VLOOKUP(E70,Расчет!$A$2:$B$650,2,FALSE)="813W","Goshi","RAV4")),"")</f>
        <v/>
      </c>
      <c r="G70" s="32" t="str">
        <f>IFERROR(IF(F70="Camry",VLOOKUP(E70,Расчет!$A$2:$Q$650,17,FALSE),VLOOKUP(E70,Расчет!$A$2:$R$650,18,FALSE)),"")</f>
        <v/>
      </c>
      <c r="H70" s="32" t="str">
        <f>IFERROR(VLOOKUP(VLOOKUP(E70,Расчет!$A:$D,4,FALSE),$AT$6:$AV$15,3,FALSE),"")</f>
        <v/>
      </c>
      <c r="I70" s="31" t="str">
        <f>IFERROR(VLOOKUP(IFERROR(VLOOKUP(E70,Расчет!$A$2:$D$650,4,FALSE),0),$AT$3:$AU$15,2,FALSE),"")</f>
        <v/>
      </c>
      <c r="J70" s="33" t="str">
        <f>IFERROR(VLOOKUP(E70,Расчет!$A$2:$E$650,5,FALSE),"")</f>
        <v/>
      </c>
      <c r="K70" s="189"/>
      <c r="L70" s="188">
        <f t="shared" si="34"/>
        <v>0</v>
      </c>
      <c r="M70" s="9"/>
      <c r="N70" s="40" t="str">
        <f>IF(AND(IFERROR(VLOOKUP(R70,Расчет!A:J,10,FALSE),"  ")&lt;&gt;"  ",IFERROR(LEFT(VLOOKUP(R70,Расчет!A:J,10,FALSE),1)," ")&lt;&gt;"H"),0,IFERROR(IF(S70="Camry",IF(OR(W70="2PS",W70="2QL"),IF(R70-AP173&gt;100,R70-AP173-1000+$AD$12,R70-AP173+$AD$12),IF(R70-AP173&gt;100,R70-AP173-1000,R70-AP173)),IF(W70="2PS",IF(R70-AP173&gt;100,R70-AP173-1000+$AD$17,R70-AP173+$AD$17),IF(R70-AP173&gt;100,R70-AP173-1000,R70-AP173))),"-"))</f>
        <v>-</v>
      </c>
      <c r="O70" s="46">
        <v>171</v>
      </c>
      <c r="P70" s="19" t="str">
        <f>IF(R70="","",COUNTA($R$3:R70)+$C$105)</f>
        <v/>
      </c>
      <c r="Q70" s="18" t="str">
        <f t="shared" si="27"/>
        <v/>
      </c>
      <c r="R70" s="361"/>
      <c r="S70" s="45" t="str">
        <f>IFERROR(IF(VLOOKUP(R70,Расчет!$A$2:$B$650,2,FALSE)="664W","Camry",IF(VLOOKUP(R70,Расчет!$A$2:$B$650,2,FALSE)="813W","Goshi","RAV4")),"")</f>
        <v/>
      </c>
      <c r="T70" s="32" t="str">
        <f>IFERROR(IF(S70="Camry",VLOOKUP(R70,Расчет!$A$2:$Q$650,17,FALSE),VLOOKUP(R70,Расчет!$A$2:$R$650,18,FALSE)),"")</f>
        <v/>
      </c>
      <c r="U70" s="32" t="str">
        <f>IFERROR(VLOOKUP(VLOOKUP(R70,Расчет!$A:$D,4,FALSE),$AT$6:$AV$15,3,FALSE),"")</f>
        <v/>
      </c>
      <c r="V70" s="31" t="str">
        <f>IFERROR(VLOOKUP(IFERROR(VLOOKUP(R70,Расчет!$A$2:$D$650,4,FALSE),0),$AT$3:$AU$15,2,FALSE),"")</f>
        <v/>
      </c>
      <c r="W70" s="33" t="str">
        <f>IFERROR(VLOOKUP(R70,Расчет!$A$2:$E$650,5,FALSE),"")</f>
        <v/>
      </c>
      <c r="X70" s="189"/>
      <c r="Y70" s="191">
        <f t="shared" si="35"/>
        <v>0</v>
      </c>
      <c r="Z70" s="221" t="str">
        <f>IFERROR(IF(VLOOKUP(AC70,Расчет!$A$2:$B$236,2,FALSE)="831W","RAV4","Camry"),"-")</f>
        <v>RAV4</v>
      </c>
      <c r="AA70" s="222" t="str">
        <f>IFERROR(VLOOKUP(AC24,Расчет!$A$2:$E$236,5,FALSE),"-")</f>
        <v>089</v>
      </c>
      <c r="AB70" s="158">
        <f>IFERROR(SMALL($BT$5:$BT$500,1),"")</f>
        <v>3</v>
      </c>
      <c r="AC70" s="169">
        <f>IF(VLOOKUP2($BP$5:$BQ$500,1,AB70,COUNTIF($AB$70:AB70,AB70),2)=0,"-",VLOOKUP2($BP$5:$BQ$500,1,AB70,COUNTIF($AB$70:AB70,AB70),2))</f>
        <v>11227</v>
      </c>
      <c r="AD70" s="245" t="str">
        <f>IFERROR(VLOOKUP(AC70,Расчет!$BS:$BT,2,FALSE),"")</f>
        <v>T5</v>
      </c>
      <c r="AE70" s="89">
        <v>68</v>
      </c>
      <c r="AF70" s="44" t="str">
        <f>IF(VLOOKUP(AE70,Расчет!$AH$2:$AN$201,5,FALSE)="8","C",IF(VLOOKUP(AE70,Расчет!$AH$2:$AN$201,5,FALSE)="G","G","R"))</f>
        <v>C</v>
      </c>
      <c r="AG70" s="73" t="str">
        <f t="shared" si="28"/>
        <v/>
      </c>
      <c r="AH70" s="87" t="str">
        <f>IF(AG70="","",COUNTIF($AG$2:AG70,"C")-COUNTIF($AF$2:AF70,"C")+$AH$1)</f>
        <v/>
      </c>
      <c r="AI70" s="87" t="str">
        <f>IF(AG70="","",COUNTIF($AG$2:AG70,"R")-COUNTIF($AF$2:AF70,"R")+$AI$1)</f>
        <v/>
      </c>
      <c r="AJ70" s="89">
        <v>171</v>
      </c>
      <c r="AK70" s="44" t="str">
        <f>IF(VLOOKUP(AJ70,Расчет!$AH$2:$AN$211,5,FALSE)="8","C",IF(VLOOKUP(AJ70,Расчет!$AH$2:$AN$211,5,FALSE)="G","G","R"))</f>
        <v>C</v>
      </c>
      <c r="AL70" s="74" t="str">
        <f t="shared" si="29"/>
        <v/>
      </c>
      <c r="AM70" s="118" t="str">
        <f>IF(AL70="","",(COUNTIF($AG$2:$AG$105,"C")+COUNTIF($AL$2:$AL70,"C"))-(COUNTIF($AF$2:$AF$105,"C")+COUNTIF($AK$2:$AK70,"C"))+$AH$1)</f>
        <v/>
      </c>
      <c r="AN70" s="119" t="str">
        <f>IF(AL70="","",(COUNTIF($AG$2:$AG$105,"R")+COUNTIF($AL$2:$AL70,"R"))-(COUNTIF($AF$2:$AF$105,"R")+COUNTIF($AK$2:$AK70,"R"))+$AI$1)</f>
        <v/>
      </c>
      <c r="AO70" s="22" t="str">
        <f>IF(E70="","",COUNTA($E$3:E70)+$Z$1)</f>
        <v/>
      </c>
      <c r="AP70" s="88" t="str">
        <f>IF(AO70="","",IF(AO70+Расчет!$Y$57+$BD$2-Расчет!$X$57&gt;200,AO70+Расчет!$Y$57+$BD$2-1000,AO70+Расчет!$Y$57+$BD$2))</f>
        <v/>
      </c>
      <c r="AR70" s="92"/>
      <c r="AS70" s="92"/>
      <c r="BL70" s="172">
        <f>COUNTIF($BM$5:BM70,"&lt;-115")</f>
        <v>0</v>
      </c>
      <c r="BM70" s="154">
        <f>IFERROR(IF(OR(IFERROR(VLOOKUP(BN70,$E$3:$E$105,1,FALSE),"0")=BN70,IFERROR(VLOOKUP(BN70,$R$3:$R$105,1,FALSE),"0")=BN70),BO70,IF(OR(VLOOKUP(BN70,Расчет!A:E,5,FALSE)="2PS",VLOOKUP(BN70,Расчет!A:E,5,FALSE)="2QL"),IF(VLOOKUP(BN70,Расчет!A:B,2,FALSE)="831W",BN70-$BS$7+$AD$17,BN70-$BS$7+$AD$12),BN70-$BS$7)),"-")</f>
        <v>-10</v>
      </c>
      <c r="BN70" s="154">
        <f>IF(OR(Расчет!C67="A0",Расчет!C67="P9",Расчет!B67="722W"),"-",Расчет!A67)</f>
        <v>11212</v>
      </c>
      <c r="BO70" s="173">
        <f t="shared" ref="BO70:BO133" si="39">IF(IFERROR(INDEX($A$3:$A$105,MATCH(BN70,$E$3:$E$105,0)),"-")&lt;&gt;"-",IFERROR(INDEX($A$3:$A$105,MATCH(BN70,$E$3:$E$105,0)),0),IFERROR(INDEX($N$3:$N$105,MATCH(BN70,$R$3:$R$105,0)),0))</f>
        <v>-10</v>
      </c>
      <c r="BP70" s="172" t="str">
        <f>IF(BQ70="-","-",IFERROR(IF(OR(VLOOKUP(BN70,Расчет!$A$2:$E$582,5,FALSE)="2PS",VLOOKUP(BN70,Расчет!$A$2:$E$582,5,FALSE)="2QL"),IF(OR(VLOOKUP(BN70,Расчет!$A$2:$E$582,2,FALSE)="664W",VLOOKUP(BN70,Расчет!$A$2:$E$582,2,FALSE)="813W"),IF(BN70-$BS$7&gt;150,BN70-$BS$7-1000+$AD$12,BN70-$BS$7+$AD$12),IF(BN70-$BS$7&gt;150,BN70-$BS$7-1000+$AD$17,BN70-$BS$7+$AD$17)),IF(BN70-$BS$7&gt;150,BN70-$BS$7-1000,BN70-$BS$7)),"-"))</f>
        <v>-</v>
      </c>
      <c r="BQ70" s="173" t="str">
        <f t="shared" si="36"/>
        <v>-</v>
      </c>
      <c r="BR70" s="453"/>
      <c r="BS70" s="171"/>
      <c r="BT70" s="464" t="str">
        <f t="shared" si="37"/>
        <v>-</v>
      </c>
      <c r="BU70" s="464" t="str">
        <f t="shared" si="38"/>
        <v>-</v>
      </c>
      <c r="BX70" s="204">
        <f>COUNTIF($BY$4:BY70,"&lt;100")</f>
        <v>59</v>
      </c>
      <c r="BY70" s="213" t="str">
        <f t="shared" si="30"/>
        <v/>
      </c>
      <c r="BZ70" s="216" t="str">
        <f t="shared" si="30"/>
        <v/>
      </c>
      <c r="CA70" s="213" t="e">
        <f t="shared" si="31"/>
        <v>#N/A</v>
      </c>
      <c r="CB70" s="209" t="e">
        <f t="shared" si="32"/>
        <v>#N/A</v>
      </c>
      <c r="CC70" s="205" t="str">
        <f t="shared" ref="CC70:CC133" si="40">IFERROR(IF(OR(AND(CA70&gt;CA69,CA70&gt;=1),AND(CA70&lt;CA69,CA70&lt;=-1)),1,0),"")</f>
        <v/>
      </c>
      <c r="CD70" s="205" t="str">
        <f t="shared" si="33"/>
        <v>-</v>
      </c>
      <c r="CE70" s="205">
        <f t="shared" ref="CE70:CE106" si="41">IF(OR(AND($G69="Rich",$G68="Rich"),AND($G69="Rich",$G67="Rich"),AND($H69="TWIN-C",$H68="4WD",$H67="TWIN-C"),AND($H69="TWIN-C",$G68="Rich",$H67="TWIN-C"),AND(COUNTIF($CG75:$CG78,"Rich")&gt;1,COUNTIF($CG75:$CG78,"Mech")&gt;1),AND($CG78="Sport",COUNTIF($CG73:$CG78,"Sport")&gt;1))=TRUE(),1,0)</f>
        <v>0</v>
      </c>
      <c r="CG70" s="20" t="str">
        <f t="shared" si="24"/>
        <v>Standard</v>
      </c>
    </row>
    <row r="71" spans="1:85" ht="23.1" customHeight="1">
      <c r="A71" s="40" t="str">
        <f>IF(AND(IFERROR(VLOOKUP(E71,Расчет!A:J,10,FALSE),"  ")&lt;&gt;"  ",IFERROR(LEFT(VLOOKUP(E71,Расчет!A:J,10,FALSE),1)," ")&lt;&gt;"H"),0,IFERROR(IF(F71="Camry",IF(OR(J71="2PS",J71="2QL"),IF(E71-AP71&gt;100,E71-AP71-1000+$AD$12,E71-AP71+$AD$12),IF(E71-AP71&gt;100,E71-AP71-1000,E71-AP71)),IF(J71="2PS",IF(E71-AP71&gt;100,E71-AP71-1000+$AD$17,E71-AP71+$AD$17),IF(E71-AP71&gt;100,E71-AP71-1000,E71-AP71))),"-"))</f>
        <v>-</v>
      </c>
      <c r="B71" s="46">
        <v>69</v>
      </c>
      <c r="C71" s="19" t="str">
        <f>IF(E71="","",COUNTA($E$3:E71))</f>
        <v/>
      </c>
      <c r="D71" s="18" t="str">
        <f t="shared" si="26"/>
        <v/>
      </c>
      <c r="E71" s="30"/>
      <c r="F71" s="44" t="str">
        <f>IFERROR(IF(VLOOKUP(E71,Расчет!$A$2:$B$650,2,FALSE)="664W","Camry",IF(VLOOKUP(E71,Расчет!$A$2:$B$650,2,FALSE)="813W","Goshi","RAV4")),"")</f>
        <v/>
      </c>
      <c r="G71" s="32" t="str">
        <f>IFERROR(IF(F71="Camry",VLOOKUP(E71,Расчет!$A$2:$Q$650,17,FALSE),VLOOKUP(E71,Расчет!$A$2:$R$650,18,FALSE)),"")</f>
        <v/>
      </c>
      <c r="H71" s="32" t="str">
        <f>IFERROR(VLOOKUP(VLOOKUP(E71,Расчет!$A:$D,4,FALSE),$AT$6:$AV$15,3,FALSE),"")</f>
        <v/>
      </c>
      <c r="I71" s="31" t="str">
        <f>IFERROR(VLOOKUP(IFERROR(VLOOKUP(E71,Расчет!$A$2:$D$650,4,FALSE),0),$AT$3:$AU$15,2,FALSE),"")</f>
        <v/>
      </c>
      <c r="J71" s="33" t="str">
        <f>IFERROR(VLOOKUP(E71,Расчет!$A$2:$E$650,5,FALSE),"")</f>
        <v/>
      </c>
      <c r="K71" s="189"/>
      <c r="L71" s="188">
        <f t="shared" si="34"/>
        <v>0</v>
      </c>
      <c r="M71" s="9"/>
      <c r="N71" s="40" t="str">
        <f>IF(AND(IFERROR(VLOOKUP(R71,Расчет!A:J,10,FALSE),"  ")&lt;&gt;"  ",IFERROR(LEFT(VLOOKUP(R71,Расчет!A:J,10,FALSE),1)," ")&lt;&gt;"H"),0,IFERROR(IF(S71="Camry",IF(OR(W71="2PS",W71="2QL"),IF(R71-AP174&gt;100,R71-AP174-1000+$AD$12,R71-AP174+$AD$12),IF(R71-AP174&gt;100,R71-AP174-1000,R71-AP174)),IF(W71="2PS",IF(R71-AP174&gt;100,R71-AP174-1000+$AD$17,R71-AP174+$AD$17),IF(R71-AP174&gt;100,R71-AP174-1000,R71-AP174))),"-"))</f>
        <v>-</v>
      </c>
      <c r="O71" s="46">
        <v>172</v>
      </c>
      <c r="P71" s="19" t="str">
        <f>IF(R71="","",COUNTA($R$3:R71)+$C$105)</f>
        <v/>
      </c>
      <c r="Q71" s="18" t="str">
        <f t="shared" si="27"/>
        <v/>
      </c>
      <c r="R71" s="30"/>
      <c r="S71" s="45" t="str">
        <f>IFERROR(IF(VLOOKUP(R71,Расчет!$A$2:$B$650,2,FALSE)="664W","Camry",IF(VLOOKUP(R71,Расчет!$A$2:$B$650,2,FALSE)="813W","Goshi","RAV4")),"")</f>
        <v/>
      </c>
      <c r="T71" s="32" t="str">
        <f>IFERROR(IF(S71="Camry",VLOOKUP(R71,Расчет!$A$2:$Q$650,17,FALSE),VLOOKUP(R71,Расчет!$A$2:$R$650,18,FALSE)),"")</f>
        <v/>
      </c>
      <c r="U71" s="32" t="str">
        <f>IFERROR(VLOOKUP(VLOOKUP(R71,Расчет!$A:$D,4,FALSE),$AT$6:$AV$15,3,FALSE),"")</f>
        <v/>
      </c>
      <c r="V71" s="31" t="str">
        <f>IFERROR(VLOOKUP(IFERROR(VLOOKUP(R71,Расчет!$A$2:$D$650,4,FALSE),0),$AT$3:$AU$15,2,FALSE),"")</f>
        <v/>
      </c>
      <c r="W71" s="33" t="str">
        <f>IFERROR(VLOOKUP(R71,Расчет!$A$2:$E$650,5,FALSE),"")</f>
        <v/>
      </c>
      <c r="X71" s="189"/>
      <c r="Y71" s="191">
        <f t="shared" si="35"/>
        <v>0</v>
      </c>
      <c r="Z71" s="223" t="str">
        <f>IFERROR(IF(VLOOKUP(AC71,Расчет!$A$2:$B$236,2,FALSE)="831W","RAV4","Camry"),"-")</f>
        <v>Camry</v>
      </c>
      <c r="AA71" s="220" t="str">
        <f>IFERROR(VLOOKUP(AC25,Расчет!$A$2:$E$236,5,FALSE),"-")</f>
        <v>221</v>
      </c>
      <c r="AB71" s="159">
        <f>IFERROR(SMALL($BT$5:$BT$500,2),"")</f>
        <v>4</v>
      </c>
      <c r="AC71" s="162">
        <f>IF(VLOOKUP2($BP$5:$BQ$500,1,AB71,COUNTIF($AB$70:AB71,AB71),2)=0,"-",VLOOKUP2($BP$5:$BQ$500,1,AB71,COUNTIF($AB$70:AB71,AB71),2))</f>
        <v>11228</v>
      </c>
      <c r="AD71" s="353" t="str">
        <f>IFERROR(VLOOKUP(AC71,Расчет!$BS:$BT,2,FALSE),"")</f>
        <v>T6</v>
      </c>
      <c r="AE71" s="89">
        <v>69</v>
      </c>
      <c r="AF71" s="44" t="str">
        <f>IF(VLOOKUP(AE71,Расчет!$AH$2:$AN$201,5,FALSE)="8","C",IF(VLOOKUP(AE71,Расчет!$AH$2:$AN$201,5,FALSE)="G","G","R"))</f>
        <v>R</v>
      </c>
      <c r="AG71" s="73" t="str">
        <f t="shared" si="28"/>
        <v/>
      </c>
      <c r="AH71" s="87" t="str">
        <f>IF(AG71="","",COUNTIF($AG$2:AG71,"C")-COUNTIF($AF$2:AF71,"C")+$AH$1)</f>
        <v/>
      </c>
      <c r="AI71" s="87" t="str">
        <f>IF(AG71="","",COUNTIF($AG$2:AG71,"R")-COUNTIF($AF$2:AF71,"R")+$AI$1)</f>
        <v/>
      </c>
      <c r="AJ71" s="89">
        <v>172</v>
      </c>
      <c r="AK71" s="44" t="str">
        <f>IF(VLOOKUP(AJ71,Расчет!$AH$2:$AN$211,5,FALSE)="8","C",IF(VLOOKUP(AJ71,Расчет!$AH$2:$AN$211,5,FALSE)="G","G","R"))</f>
        <v>R</v>
      </c>
      <c r="AL71" s="74" t="str">
        <f t="shared" si="29"/>
        <v/>
      </c>
      <c r="AM71" s="118" t="str">
        <f>IF(AL71="","",(COUNTIF($AG$2:$AG$105,"C")+COUNTIF($AL$2:$AL71,"C"))-(COUNTIF($AF$2:$AF$105,"C")+COUNTIF($AK$2:$AK71,"C"))+$AH$1)</f>
        <v/>
      </c>
      <c r="AN71" s="119" t="str">
        <f>IF(AL71="","",(COUNTIF($AG$2:$AG$105,"R")+COUNTIF($AL$2:$AL71,"R"))-(COUNTIF($AF$2:$AF$105,"R")+COUNTIF($AK$2:$AK71,"R"))+$AI$1)</f>
        <v/>
      </c>
      <c r="AO71" s="22" t="str">
        <f>IF(E71="","",COUNTA($E$3:E71)+$Z$1)</f>
        <v/>
      </c>
      <c r="AP71" s="88" t="str">
        <f>IF(AO71="","",IF(AO71+Расчет!$Y$57+$BD$2-Расчет!$X$57&gt;200,AO71+Расчет!$Y$57+$BD$2-1000,AO71+Расчет!$Y$57+$BD$2))</f>
        <v/>
      </c>
      <c r="AR71" s="92"/>
      <c r="AS71" s="92"/>
      <c r="BL71" s="172">
        <f>COUNTIF($BM$5:BM71,"&lt;-115")</f>
        <v>0</v>
      </c>
      <c r="BM71" s="154">
        <f>IFERROR(IF(OR(IFERROR(VLOOKUP(BN71,$E$3:$E$105,1,FALSE),"0")=BN71,IFERROR(VLOOKUP(BN71,$R$3:$R$105,1,FALSE),"0")=BN71),BO71,IF(OR(VLOOKUP(BN71,Расчет!A:E,5,FALSE)="2PS",VLOOKUP(BN71,Расчет!A:E,5,FALSE)="2QL"),IF(VLOOKUP(BN71,Расчет!A:B,2,FALSE)="831W",BN71-$BS$7+$AD$17,BN71-$BS$7+$AD$12),BN71-$BS$7)),"-")</f>
        <v>24</v>
      </c>
      <c r="BN71" s="154">
        <f>IF(OR(Расчет!C68="A0",Расчет!C68="P9",Расчет!B68="722W"),"-",Расчет!A68)</f>
        <v>11213</v>
      </c>
      <c r="BO71" s="173">
        <f t="shared" si="39"/>
        <v>24</v>
      </c>
      <c r="BP71" s="172" t="str">
        <f>IF(BQ71="-","-",IFERROR(IF(OR(VLOOKUP(BN71,Расчет!$A$2:$E$582,5,FALSE)="2PS",VLOOKUP(BN71,Расчет!$A$2:$E$582,5,FALSE)="2QL"),IF(OR(VLOOKUP(BN71,Расчет!$A$2:$E$582,2,FALSE)="664W",VLOOKUP(BN71,Расчет!$A$2:$E$582,2,FALSE)="813W"),IF(BN71-$BS$7&gt;150,BN71-$BS$7-1000+$AD$12,BN71-$BS$7+$AD$12),IF(BN71-$BS$7&gt;150,BN71-$BS$7-1000+$AD$17,BN71-$BS$7+$AD$17)),IF(BN71-$BS$7&gt;150,BN71-$BS$7-1000,BN71-$BS$7)),"-"))</f>
        <v>-</v>
      </c>
      <c r="BQ71" s="173" t="str">
        <f t="shared" si="36"/>
        <v>-</v>
      </c>
      <c r="BR71" s="453"/>
      <c r="BS71" s="171"/>
      <c r="BT71" s="464" t="str">
        <f t="shared" si="37"/>
        <v>-</v>
      </c>
      <c r="BU71" s="464" t="str">
        <f t="shared" si="38"/>
        <v>-</v>
      </c>
      <c r="BX71" s="204">
        <f>COUNTIF($BY$4:BY71,"&lt;100")</f>
        <v>59</v>
      </c>
      <c r="BY71" s="213" t="str">
        <f t="shared" si="30"/>
        <v/>
      </c>
      <c r="BZ71" s="216" t="str">
        <f t="shared" si="30"/>
        <v/>
      </c>
      <c r="CA71" s="213" t="e">
        <f t="shared" si="31"/>
        <v>#N/A</v>
      </c>
      <c r="CB71" s="209" t="e">
        <f t="shared" si="32"/>
        <v>#N/A</v>
      </c>
      <c r="CC71" s="205" t="str">
        <f t="shared" si="40"/>
        <v/>
      </c>
      <c r="CD71" s="205" t="str">
        <f t="shared" si="33"/>
        <v>-</v>
      </c>
      <c r="CE71" s="205">
        <f t="shared" si="41"/>
        <v>0</v>
      </c>
      <c r="CG71" s="20" t="str">
        <f t="shared" si="24"/>
        <v/>
      </c>
    </row>
    <row r="72" spans="1:85" ht="23.1" customHeight="1">
      <c r="A72" s="40" t="str">
        <f>IF(AND(IFERROR(VLOOKUP(E72,Расчет!A:J,10,FALSE),"  ")&lt;&gt;"  ",IFERROR(LEFT(VLOOKUP(E72,Расчет!A:J,10,FALSE),1)," ")&lt;&gt;"H"),0,IFERROR(IF(F72="Camry",IF(OR(J72="2PS",J72="2QL"),IF(E72-AP72&gt;100,E72-AP72-1000+$AD$12,E72-AP72+$AD$12),IF(E72-AP72&gt;100,E72-AP72-1000,E72-AP72)),IF(J72="2PS",IF(E72-AP72&gt;100,E72-AP72-1000+$AD$17,E72-AP72+$AD$17),IF(E72-AP72&gt;100,E72-AP72-1000,E72-AP72))),"-"))</f>
        <v>-</v>
      </c>
      <c r="B72" s="46">
        <v>70</v>
      </c>
      <c r="C72" s="19" t="str">
        <f>IF(E72="","",COUNTA($E$3:E72))</f>
        <v/>
      </c>
      <c r="D72" s="18" t="str">
        <f t="shared" si="26"/>
        <v/>
      </c>
      <c r="E72" s="30"/>
      <c r="F72" s="44" t="str">
        <f>IFERROR(IF(VLOOKUP(E72,Расчет!$A$2:$B$650,2,FALSE)="664W","Camry",IF(VLOOKUP(E72,Расчет!$A$2:$B$650,2,FALSE)="813W","Goshi","RAV4")),"")</f>
        <v/>
      </c>
      <c r="G72" s="32" t="str">
        <f>IFERROR(IF(F72="Camry",VLOOKUP(E72,Расчет!$A$2:$Q$650,17,FALSE),VLOOKUP(E72,Расчет!$A$2:$R$650,18,FALSE)),"")</f>
        <v/>
      </c>
      <c r="H72" s="32" t="str">
        <f>IFERROR(VLOOKUP(VLOOKUP(E72,Расчет!$A:$D,4,FALSE),$AT$6:$AV$15,3,FALSE),"")</f>
        <v/>
      </c>
      <c r="I72" s="31" t="str">
        <f>IFERROR(VLOOKUP(IFERROR(VLOOKUP(E72,Расчет!$A$2:$D$650,4,FALSE),0),$AT$3:$AU$15,2,FALSE),"")</f>
        <v/>
      </c>
      <c r="J72" s="33" t="str">
        <f>IFERROR(VLOOKUP(E72,Расчет!$A$2:$E$650,5,FALSE),"")</f>
        <v/>
      </c>
      <c r="K72" s="189"/>
      <c r="L72" s="188">
        <f t="shared" si="34"/>
        <v>0</v>
      </c>
      <c r="M72" s="9"/>
      <c r="N72" s="40" t="str">
        <f>IF(AND(IFERROR(VLOOKUP(R72,Расчет!A:J,10,FALSE),"  ")&lt;&gt;"  ",IFERROR(LEFT(VLOOKUP(R72,Расчет!A:J,10,FALSE),1)," ")&lt;&gt;"H"),0,IFERROR(IF(S72="Camry",IF(OR(W72="2PS",W72="2QL"),IF(R72-AP175&gt;100,R72-AP175-1000+$AD$12,R72-AP175+$AD$12),IF(R72-AP175&gt;100,R72-AP175-1000,R72-AP175)),IF(W72="2PS",IF(R72-AP175&gt;100,R72-AP175-1000+$AD$17,R72-AP175+$AD$17),IF(R72-AP175&gt;100,R72-AP175-1000,R72-AP175))),"-"))</f>
        <v>-</v>
      </c>
      <c r="O72" s="46">
        <v>173</v>
      </c>
      <c r="P72" s="19" t="str">
        <f>IF(R72="","",COUNTA($R$3:R72)+$C$105)</f>
        <v/>
      </c>
      <c r="Q72" s="18" t="str">
        <f t="shared" si="27"/>
        <v/>
      </c>
      <c r="R72" s="30"/>
      <c r="S72" s="45" t="str">
        <f>IFERROR(IF(VLOOKUP(R72,Расчет!$A$2:$B$650,2,FALSE)="664W","Camry",IF(VLOOKUP(R72,Расчет!$A$2:$B$650,2,FALSE)="813W","Goshi","RAV4")),"")</f>
        <v/>
      </c>
      <c r="T72" s="32" t="str">
        <f>IFERROR(IF(S72="Camry",VLOOKUP(R72,Расчет!$A$2:$Q$650,17,FALSE),VLOOKUP(R72,Расчет!$A$2:$R$650,18,FALSE)),"")</f>
        <v/>
      </c>
      <c r="U72" s="32" t="str">
        <f>IFERROR(VLOOKUP(VLOOKUP(R72,Расчет!$A:$D,4,FALSE),$AT$6:$AV$15,3,FALSE),"")</f>
        <v/>
      </c>
      <c r="V72" s="31" t="str">
        <f>IFERROR(VLOOKUP(IFERROR(VLOOKUP(R72,Расчет!$A$2:$D$650,4,FALSE),0),$AT$3:$AU$15,2,FALSE),"")</f>
        <v/>
      </c>
      <c r="W72" s="33" t="str">
        <f>IFERROR(VLOOKUP(R72,Расчет!$A$2:$E$650,5,FALSE),"")</f>
        <v/>
      </c>
      <c r="X72" s="189"/>
      <c r="Y72" s="191">
        <f t="shared" si="35"/>
        <v>0</v>
      </c>
      <c r="Z72" s="223" t="str">
        <f>IFERROR(IF(VLOOKUP(AC72,Расчет!$A$2:$B$236,2,FALSE)="831W","RAV4","Camry"),"-")</f>
        <v>-</v>
      </c>
      <c r="AA72" s="220" t="str">
        <f>IFERROR(VLOOKUP(AC26,Расчет!$A$2:$E$236,5,FALSE),"-")</f>
        <v>-</v>
      </c>
      <c r="AB72" s="159" t="str">
        <f>IFERROR(SMALL($BT$5:$BT$500,3),"")</f>
        <v/>
      </c>
      <c r="AC72" s="162" t="str">
        <f>IF(VLOOKUP2($BP$5:$BQ$500,1,AB72,COUNTIF($AB$70:AB72,AB72),2)=0,"-",VLOOKUP2($BP$5:$BQ$500,1,AB72,COUNTIF($AB$70:AB72,AB72),2))</f>
        <v>-</v>
      </c>
      <c r="AD72" s="353" t="str">
        <f>IFERROR(VLOOKUP(AC72,Расчет!$BS:$BT,2,FALSE),"")</f>
        <v/>
      </c>
      <c r="AE72" s="89">
        <v>70</v>
      </c>
      <c r="AF72" s="44" t="str">
        <f>IF(VLOOKUP(AE72,Расчет!$AH$2:$AN$201,5,FALSE)="8","C",IF(VLOOKUP(AE72,Расчет!$AH$2:$AN$201,5,FALSE)="G","G","R"))</f>
        <v>C</v>
      </c>
      <c r="AG72" s="73" t="str">
        <f t="shared" si="28"/>
        <v/>
      </c>
      <c r="AH72" s="87" t="str">
        <f>IF(AG72="","",COUNTIF($AG$2:AG72,"C")-COUNTIF($AF$2:AF72,"C")+$AH$1)</f>
        <v/>
      </c>
      <c r="AI72" s="87" t="str">
        <f>IF(AG72="","",COUNTIF($AG$2:AG72,"R")-COUNTIF($AF$2:AF72,"R")+$AI$1)</f>
        <v/>
      </c>
      <c r="AJ72" s="89">
        <v>173</v>
      </c>
      <c r="AK72" s="44" t="str">
        <f>IF(VLOOKUP(AJ72,Расчет!$AH$2:$AN$211,5,FALSE)="8","C",IF(VLOOKUP(AJ72,Расчет!$AH$2:$AN$211,5,FALSE)="G","G","R"))</f>
        <v>C</v>
      </c>
      <c r="AL72" s="74" t="str">
        <f t="shared" si="29"/>
        <v/>
      </c>
      <c r="AM72" s="118" t="str">
        <f>IF(AL72="","",(COUNTIF($AG$2:$AG$105,"C")+COUNTIF($AL$2:$AL72,"C"))-(COUNTIF($AF$2:$AF$105,"C")+COUNTIF($AK$2:$AK72,"C"))+$AH$1)</f>
        <v/>
      </c>
      <c r="AN72" s="119" t="str">
        <f>IF(AL72="","",(COUNTIF($AG$2:$AG$105,"R")+COUNTIF($AL$2:$AL72,"R"))-(COUNTIF($AF$2:$AF$105,"R")+COUNTIF($AK$2:$AK72,"R"))+$AI$1)</f>
        <v/>
      </c>
      <c r="AO72" s="22" t="str">
        <f>IF(E72="","",COUNTA($E$3:E72)+$Z$1)</f>
        <v/>
      </c>
      <c r="AP72" s="88" t="str">
        <f>IF(AO72="","",IF(AO72+Расчет!$Y$57+$BD$2-Расчет!$X$57&gt;200,AO72+Расчет!$Y$57+$BD$2-1000,AO72+Расчет!$Y$57+$BD$2))</f>
        <v/>
      </c>
      <c r="AR72" s="92"/>
      <c r="AS72" s="92"/>
      <c r="BL72" s="172">
        <f>COUNTIF($BM$5:BM72,"&lt;-115")</f>
        <v>0</v>
      </c>
      <c r="BM72" s="154">
        <f>IFERROR(IF(OR(IFERROR(VLOOKUP(BN72,$E$3:$E$105,1,FALSE),"0")=BN72,IFERROR(VLOOKUP(BN72,$R$3:$R$105,1,FALSE),"0")=BN72),BO72,IF(OR(VLOOKUP(BN72,Расчет!A:E,5,FALSE)="2PS",VLOOKUP(BN72,Расчет!A:E,5,FALSE)="2QL"),IF(VLOOKUP(BN72,Расчет!A:B,2,FALSE)="831W",BN72-$BS$7+$AD$17,BN72-$BS$7+$AD$12),BN72-$BS$7)),"-")</f>
        <v>23</v>
      </c>
      <c r="BN72" s="154">
        <f>IF(OR(Расчет!C69="A0",Расчет!C69="P9",Расчет!B69="722W"),"-",Расчет!A69)</f>
        <v>11214</v>
      </c>
      <c r="BO72" s="173">
        <f t="shared" si="39"/>
        <v>23</v>
      </c>
      <c r="BP72" s="172" t="str">
        <f>IF(BQ72="-","-",IFERROR(IF(OR(VLOOKUP(BN72,Расчет!$A$2:$E$582,5,FALSE)="2PS",VLOOKUP(BN72,Расчет!$A$2:$E$582,5,FALSE)="2QL"),IF(OR(VLOOKUP(BN72,Расчет!$A$2:$E$582,2,FALSE)="664W",VLOOKUP(BN72,Расчет!$A$2:$E$582,2,FALSE)="813W"),IF(BN72-$BS$7&gt;150,BN72-$BS$7-1000+$AD$12,BN72-$BS$7+$AD$12),IF(BN72-$BS$7&gt;150,BN72-$BS$7-1000+$AD$17,BN72-$BS$7+$AD$17)),IF(BN72-$BS$7&gt;150,BN72-$BS$7-1000,BN72-$BS$7)),"-"))</f>
        <v>-</v>
      </c>
      <c r="BQ72" s="173" t="str">
        <f t="shared" si="36"/>
        <v>-</v>
      </c>
      <c r="BR72" s="453"/>
      <c r="BS72" s="171"/>
      <c r="BT72" s="464" t="str">
        <f t="shared" si="37"/>
        <v>-</v>
      </c>
      <c r="BU72" s="464" t="str">
        <f t="shared" si="38"/>
        <v>-</v>
      </c>
      <c r="BX72" s="204">
        <f>COUNTIF($BY$4:BY72,"&lt;100")</f>
        <v>59</v>
      </c>
      <c r="BY72" s="213" t="str">
        <f t="shared" si="30"/>
        <v/>
      </c>
      <c r="BZ72" s="216" t="str">
        <f t="shared" si="30"/>
        <v/>
      </c>
      <c r="CA72" s="213" t="e">
        <f t="shared" si="31"/>
        <v>#N/A</v>
      </c>
      <c r="CB72" s="209" t="e">
        <f t="shared" si="32"/>
        <v>#N/A</v>
      </c>
      <c r="CC72" s="205" t="str">
        <f t="shared" si="40"/>
        <v/>
      </c>
      <c r="CD72" s="205" t="str">
        <f t="shared" si="33"/>
        <v>-</v>
      </c>
      <c r="CE72" s="205">
        <f t="shared" si="41"/>
        <v>0</v>
      </c>
      <c r="CG72" s="20" t="str">
        <f t="shared" si="24"/>
        <v/>
      </c>
    </row>
    <row r="73" spans="1:85" ht="23.1" customHeight="1">
      <c r="A73" s="40" t="str">
        <f>IF(AND(IFERROR(VLOOKUP(E73,Расчет!A:J,10,FALSE),"  ")&lt;&gt;"  ",IFERROR(LEFT(VLOOKUP(E73,Расчет!A:J,10,FALSE),1)," ")&lt;&gt;"H"),0,IFERROR(IF(F73="Camry",IF(OR(J73="2PS",J73="2QL"),IF(E73-AP73&gt;100,E73-AP73-1000+$AD$12,E73-AP73+$AD$12),IF(E73-AP73&gt;100,E73-AP73-1000,E73-AP73)),IF(J73="2PS",IF(E73-AP73&gt;100,E73-AP73-1000+$AD$17,E73-AP73+$AD$17),IF(E73-AP73&gt;100,E73-AP73-1000,E73-AP73))),"-"))</f>
        <v>-</v>
      </c>
      <c r="B73" s="46">
        <v>71</v>
      </c>
      <c r="C73" s="19" t="str">
        <f>IF(E73="","",COUNTA($E$3:E73))</f>
        <v/>
      </c>
      <c r="D73" s="18" t="str">
        <f t="shared" si="26"/>
        <v/>
      </c>
      <c r="E73" s="361"/>
      <c r="F73" s="44" t="str">
        <f>IFERROR(IF(VLOOKUP(E73,Расчет!$A$2:$B$650,2,FALSE)="664W","Camry",IF(VLOOKUP(E73,Расчет!$A$2:$B$650,2,FALSE)="813W","Goshi","RAV4")),"")</f>
        <v/>
      </c>
      <c r="G73" s="32" t="str">
        <f>IFERROR(IF(F73="Camry",VLOOKUP(E73,Расчет!$A$2:$Q$650,17,FALSE),VLOOKUP(E73,Расчет!$A$2:$R$650,18,FALSE)),"")</f>
        <v/>
      </c>
      <c r="H73" s="32" t="str">
        <f>IFERROR(VLOOKUP(VLOOKUP(E73,Расчет!$A:$D,4,FALSE),$AT$6:$AV$15,3,FALSE),"")</f>
        <v/>
      </c>
      <c r="I73" s="31" t="str">
        <f>IFERROR(VLOOKUP(IFERROR(VLOOKUP(E73,Расчет!$A$2:$D$650,4,FALSE),0),$AT$3:$AU$15,2,FALSE),"")</f>
        <v/>
      </c>
      <c r="J73" s="33" t="str">
        <f>IFERROR(VLOOKUP(E73,Расчет!$A$2:$E$650,5,FALSE),"")</f>
        <v/>
      </c>
      <c r="K73" s="189"/>
      <c r="L73" s="188">
        <f t="shared" si="34"/>
        <v>0</v>
      </c>
      <c r="M73" s="9"/>
      <c r="N73" s="40" t="str">
        <f>IF(AND(IFERROR(VLOOKUP(R73,Расчет!A:J,10,FALSE),"  ")&lt;&gt;"  ",IFERROR(LEFT(VLOOKUP(R73,Расчет!A:J,10,FALSE),1)," ")&lt;&gt;"H"),0,IFERROR(IF(S73="Camry",IF(OR(W73="2PS",W73="2QL"),IF(R73-AP176&gt;100,R73-AP176-1000+$AD$12,R73-AP176+$AD$12),IF(R73-AP176&gt;100,R73-AP176-1000,R73-AP176)),IF(W73="2PS",IF(R73-AP176&gt;100,R73-AP176-1000+$AD$17,R73-AP176+$AD$17),IF(R73-AP176&gt;100,R73-AP176-1000,R73-AP176))),"-"))</f>
        <v>-</v>
      </c>
      <c r="O73" s="46">
        <v>174</v>
      </c>
      <c r="P73" s="19" t="str">
        <f>IF(R73="","",COUNTA($R$3:R73)+$C$105)</f>
        <v/>
      </c>
      <c r="Q73" s="18" t="str">
        <f t="shared" si="27"/>
        <v/>
      </c>
      <c r="R73" s="30"/>
      <c r="S73" s="45" t="str">
        <f>IFERROR(IF(VLOOKUP(R73,Расчет!$A$2:$B$650,2,FALSE)="664W","Camry",IF(VLOOKUP(R73,Расчет!$A$2:$B$650,2,FALSE)="813W","Goshi","RAV4")),"")</f>
        <v/>
      </c>
      <c r="T73" s="32" t="str">
        <f>IFERROR(IF(S73="Camry",VLOOKUP(R73,Расчет!$A$2:$Q$650,17,FALSE),VLOOKUP(R73,Расчет!$A$2:$R$650,18,FALSE)),"")</f>
        <v/>
      </c>
      <c r="U73" s="32" t="str">
        <f>IFERROR(VLOOKUP(VLOOKUP(R73,Расчет!$A:$D,4,FALSE),$AT$6:$AV$15,3,FALSE),"")</f>
        <v/>
      </c>
      <c r="V73" s="31" t="str">
        <f>IFERROR(VLOOKUP(IFERROR(VLOOKUP(R73,Расчет!$A$2:$D$650,4,FALSE),0),$AT$3:$AU$15,2,FALSE),"")</f>
        <v/>
      </c>
      <c r="W73" s="33" t="str">
        <f>IFERROR(VLOOKUP(R73,Расчет!$A$2:$E$650,5,FALSE),"")</f>
        <v/>
      </c>
      <c r="X73" s="189"/>
      <c r="Y73" s="191">
        <f t="shared" si="35"/>
        <v>0</v>
      </c>
      <c r="Z73" s="223" t="str">
        <f>IFERROR(IF(VLOOKUP(AC73,Расчет!$A$2:$B$236,2,FALSE)="831W","RAV4","Camry"),"-")</f>
        <v>-</v>
      </c>
      <c r="AA73" s="220" t="str">
        <f>IFERROR(VLOOKUP(AC27,Расчет!$A$2:$E$236,5,FALSE),"-")</f>
        <v>-</v>
      </c>
      <c r="AB73" s="159" t="str">
        <f>IFERROR(SMALL($BT$5:$BT$500,4),"")</f>
        <v/>
      </c>
      <c r="AC73" s="162" t="str">
        <f>IF(VLOOKUP2($BP$5:$BQ$500,1,AB73,COUNTIF($AB$70:AB73,AB73),2)=0,"-",VLOOKUP2($BP$5:$BQ$500,1,AB73,COUNTIF($AB$70:AB73,AB73),2))</f>
        <v>-</v>
      </c>
      <c r="AD73" s="353" t="str">
        <f>IFERROR(VLOOKUP(AC73,Расчет!$BS:$BT,2,FALSE),"")</f>
        <v/>
      </c>
      <c r="AE73" s="89">
        <v>71</v>
      </c>
      <c r="AF73" s="44" t="str">
        <f>IF(VLOOKUP(AE73,Расчет!$AH$2:$AN$201,5,FALSE)="8","C",IF(VLOOKUP(AE73,Расчет!$AH$2:$AN$201,5,FALSE)="G","G","R"))</f>
        <v>R</v>
      </c>
      <c r="AG73" s="73" t="str">
        <f t="shared" si="28"/>
        <v/>
      </c>
      <c r="AH73" s="87" t="str">
        <f>IF(AG73="","",COUNTIF($AG$2:AG73,"C")-COUNTIF($AF$2:AF73,"C")+$AH$1)</f>
        <v/>
      </c>
      <c r="AI73" s="87" t="str">
        <f>IF(AG73="","",COUNTIF($AG$2:AG73,"R")-COUNTIF($AF$2:AF73,"R")+$AI$1)</f>
        <v/>
      </c>
      <c r="AJ73" s="89">
        <v>174</v>
      </c>
      <c r="AK73" s="44" t="str">
        <f>IF(VLOOKUP(AJ73,Расчет!$AH$2:$AN$211,5,FALSE)="8","C",IF(VLOOKUP(AJ73,Расчет!$AH$2:$AN$211,5,FALSE)="G","G","R"))</f>
        <v>R</v>
      </c>
      <c r="AL73" s="74" t="str">
        <f t="shared" si="29"/>
        <v/>
      </c>
      <c r="AM73" s="118" t="str">
        <f>IF(AL73="","",(COUNTIF($AG$2:$AG$105,"C")+COUNTIF($AL$2:$AL73,"C"))-(COUNTIF($AF$2:$AF$105,"C")+COUNTIF($AK$2:$AK73,"C"))+$AH$1)</f>
        <v/>
      </c>
      <c r="AN73" s="119" t="str">
        <f>IF(AL73="","",(COUNTIF($AG$2:$AG$105,"R")+COUNTIF($AL$2:$AL73,"R"))-(COUNTIF($AF$2:$AF$105,"R")+COUNTIF($AK$2:$AK73,"R"))+$AI$1)</f>
        <v/>
      </c>
      <c r="AO73" s="22" t="str">
        <f>IF(E73="","",COUNTA($E$3:E73)+$Z$1)</f>
        <v/>
      </c>
      <c r="AP73" s="88" t="str">
        <f>IF(AO73="","",IF(AO73+Расчет!$Y$57+$BD$2-Расчет!$X$57&gt;200,AO73+Расчет!$Y$57+$BD$2-1000,AO73+Расчет!$Y$57+$BD$2))</f>
        <v/>
      </c>
      <c r="AR73" s="92"/>
      <c r="AS73" s="92"/>
      <c r="BL73" s="172">
        <f>COUNTIF($BM$5:BM73,"&lt;-115")</f>
        <v>0</v>
      </c>
      <c r="BM73" s="154">
        <f>IFERROR(IF(OR(IFERROR(VLOOKUP(BN73,$E$3:$E$105,1,FALSE),"0")=BN73,IFERROR(VLOOKUP(BN73,$R$3:$R$105,1,FALSE),"0")=BN73),BO73,IF(OR(VLOOKUP(BN73,Расчет!A:E,5,FALSE)="2PS",VLOOKUP(BN73,Расчет!A:E,5,FALSE)="2QL"),IF(VLOOKUP(BN73,Расчет!A:B,2,FALSE)="831W",BN73-$BS$7+$AD$17,BN73-$BS$7+$AD$12),BN73-$BS$7)),"-")</f>
        <v>16</v>
      </c>
      <c r="BN73" s="154">
        <f>IF(OR(Расчет!C70="A0",Расчет!C70="P9",Расчет!B70="722W"),"-",Расчет!A70)</f>
        <v>11215</v>
      </c>
      <c r="BO73" s="173">
        <f t="shared" si="39"/>
        <v>16</v>
      </c>
      <c r="BP73" s="172" t="str">
        <f>IF(BQ73="-","-",IFERROR(IF(OR(VLOOKUP(BN73,Расчет!$A$2:$E$582,5,FALSE)="2PS",VLOOKUP(BN73,Расчет!$A$2:$E$582,5,FALSE)="2QL"),IF(OR(VLOOKUP(BN73,Расчет!$A$2:$E$582,2,FALSE)="664W",VLOOKUP(BN73,Расчет!$A$2:$E$582,2,FALSE)="813W"),IF(BN73-$BS$7&gt;150,BN73-$BS$7-1000+$AD$12,BN73-$BS$7+$AD$12),IF(BN73-$BS$7&gt;150,BN73-$BS$7-1000+$AD$17,BN73-$BS$7+$AD$17)),IF(BN73-$BS$7&gt;150,BN73-$BS$7-1000,BN73-$BS$7)),"-"))</f>
        <v>-</v>
      </c>
      <c r="BQ73" s="173" t="str">
        <f t="shared" si="36"/>
        <v>-</v>
      </c>
      <c r="BR73" s="453"/>
      <c r="BS73" s="171"/>
      <c r="BT73" s="464" t="str">
        <f t="shared" si="37"/>
        <v>-</v>
      </c>
      <c r="BU73" s="464" t="str">
        <f t="shared" si="38"/>
        <v>-</v>
      </c>
      <c r="BX73" s="204">
        <f>COUNTIF($BY$4:BY73,"&lt;100")</f>
        <v>59</v>
      </c>
      <c r="BY73" s="213" t="str">
        <f t="shared" si="30"/>
        <v/>
      </c>
      <c r="BZ73" s="216" t="str">
        <f t="shared" si="30"/>
        <v/>
      </c>
      <c r="CA73" s="213" t="e">
        <f t="shared" si="31"/>
        <v>#N/A</v>
      </c>
      <c r="CB73" s="209" t="e">
        <f t="shared" si="32"/>
        <v>#N/A</v>
      </c>
      <c r="CC73" s="205" t="str">
        <f t="shared" si="40"/>
        <v/>
      </c>
      <c r="CD73" s="205" t="str">
        <f t="shared" si="33"/>
        <v>-</v>
      </c>
      <c r="CE73" s="205">
        <f t="shared" si="41"/>
        <v>0</v>
      </c>
      <c r="CG73" s="20" t="str">
        <f t="shared" si="24"/>
        <v/>
      </c>
    </row>
    <row r="74" spans="1:85" ht="23.1" customHeight="1">
      <c r="A74" s="40" t="str">
        <f>IF(AND(IFERROR(VLOOKUP(E74,Расчет!A:J,10,FALSE),"  ")&lt;&gt;"  ",IFERROR(LEFT(VLOOKUP(E74,Расчет!A:J,10,FALSE),1)," ")&lt;&gt;"H"),0,IFERROR(IF(F74="Camry",IF(OR(J74="2PS",J74="2QL"),IF(E74-AP74&gt;100,E74-AP74-1000+$AD$12,E74-AP74+$AD$12),IF(E74-AP74&gt;100,E74-AP74-1000,E74-AP74)),IF(J74="2PS",IF(E74-AP74&gt;100,E74-AP74-1000+$AD$17,E74-AP74+$AD$17),IF(E74-AP74&gt;100,E74-AP74-1000,E74-AP74))),"-"))</f>
        <v>-</v>
      </c>
      <c r="B74" s="46">
        <v>72</v>
      </c>
      <c r="C74" s="19" t="str">
        <f>IF(E74="","",COUNTA($E$3:E74))</f>
        <v/>
      </c>
      <c r="D74" s="18" t="str">
        <f t="shared" si="26"/>
        <v/>
      </c>
      <c r="E74" s="30"/>
      <c r="F74" s="44" t="str">
        <f>IFERROR(IF(VLOOKUP(E74,Расчет!$A$2:$B$650,2,FALSE)="664W","Camry",IF(VLOOKUP(E74,Расчет!$A$2:$B$650,2,FALSE)="813W","Goshi","RAV4")),"")</f>
        <v/>
      </c>
      <c r="G74" s="32" t="str">
        <f>IFERROR(IF(F74="Camry",VLOOKUP(E74,Расчет!$A$2:$Q$650,17,FALSE),VLOOKUP(E74,Расчет!$A$2:$R$650,18,FALSE)),"")</f>
        <v/>
      </c>
      <c r="H74" s="32" t="str">
        <f>IFERROR(VLOOKUP(VLOOKUP(E74,Расчет!$A:$D,4,FALSE),$AT$6:$AV$15,3,FALSE),"")</f>
        <v/>
      </c>
      <c r="I74" s="31" t="str">
        <f>IFERROR(VLOOKUP(IFERROR(VLOOKUP(E74,Расчет!$A$2:$D$650,4,FALSE),0),$AT$3:$AU$15,2,FALSE),"")</f>
        <v/>
      </c>
      <c r="J74" s="33" t="str">
        <f>IFERROR(VLOOKUP(E74,Расчет!$A$2:$E$650,5,FALSE),"")</f>
        <v/>
      </c>
      <c r="K74" s="189"/>
      <c r="L74" s="188">
        <f t="shared" si="34"/>
        <v>0</v>
      </c>
      <c r="M74" s="9"/>
      <c r="N74" s="40" t="str">
        <f>IF(AND(IFERROR(VLOOKUP(R74,Расчет!A:J,10,FALSE),"  ")&lt;&gt;"  ",IFERROR(LEFT(VLOOKUP(R74,Расчет!A:J,10,FALSE),1)," ")&lt;&gt;"H"),0,IFERROR(IF(S74="Camry",IF(OR(W74="2PS",W74="2QL"),IF(R74-AP177&gt;100,R74-AP177-1000+$AD$12,R74-AP177+$AD$12),IF(R74-AP177&gt;100,R74-AP177-1000,R74-AP177)),IF(W74="2PS",IF(R74-AP177&gt;100,R74-AP177-1000+$AD$17,R74-AP177+$AD$17),IF(R74-AP177&gt;100,R74-AP177-1000,R74-AP177))),"-"))</f>
        <v>-</v>
      </c>
      <c r="O74" s="46">
        <v>175</v>
      </c>
      <c r="P74" s="19" t="str">
        <f>IF(R74="","",COUNTA($R$3:R74)+$C$105)</f>
        <v/>
      </c>
      <c r="Q74" s="18" t="str">
        <f t="shared" si="27"/>
        <v/>
      </c>
      <c r="R74" s="30"/>
      <c r="S74" s="45" t="str">
        <f>IFERROR(IF(VLOOKUP(R74,Расчет!$A$2:$B$650,2,FALSE)="664W","Camry",IF(VLOOKUP(R74,Расчет!$A$2:$B$650,2,FALSE)="813W","Goshi","RAV4")),"")</f>
        <v/>
      </c>
      <c r="T74" s="32" t="str">
        <f>IFERROR(IF(S74="Camry",VLOOKUP(R74,Расчет!$A$2:$Q$650,17,FALSE),VLOOKUP(R74,Расчет!$A$2:$R$650,18,FALSE)),"")</f>
        <v/>
      </c>
      <c r="U74" s="32" t="str">
        <f>IFERROR(VLOOKUP(VLOOKUP(R74,Расчет!$A:$D,4,FALSE),$AT$6:$AV$15,3,FALSE),"")</f>
        <v/>
      </c>
      <c r="V74" s="31" t="str">
        <f>IFERROR(VLOOKUP(IFERROR(VLOOKUP(R74,Расчет!$A$2:$D$650,4,FALSE),0),$AT$3:$AU$15,2,FALSE),"")</f>
        <v/>
      </c>
      <c r="W74" s="33" t="str">
        <f>IFERROR(VLOOKUP(R74,Расчет!$A$2:$E$650,5,FALSE),"")</f>
        <v/>
      </c>
      <c r="X74" s="189"/>
      <c r="Y74" s="191">
        <f t="shared" si="35"/>
        <v>0</v>
      </c>
      <c r="Z74" s="223" t="str">
        <f>IFERROR(IF(VLOOKUP(AC74,Расчет!$A$2:$B$236,2,FALSE)="831W","RAV4","Camry"),"-")</f>
        <v>-</v>
      </c>
      <c r="AA74" s="220" t="str">
        <f>IFERROR(VLOOKUP(AC28,Расчет!$A$2:$E$236,5,FALSE),"-")</f>
        <v>-</v>
      </c>
      <c r="AB74" s="159" t="str">
        <f>IFERROR(SMALL($BT$5:$BT$500,5),"")</f>
        <v/>
      </c>
      <c r="AC74" s="162" t="str">
        <f>IF(VLOOKUP2($BP$5:$BQ$500,1,AB74,COUNTIF($AB$70:AB74,AB74),2)=0,"-",VLOOKUP2($BP$5:$BQ$500,1,AB74,COUNTIF($AB$70:AB74,AB74),2))</f>
        <v>-</v>
      </c>
      <c r="AD74" s="353" t="str">
        <f>IFERROR(VLOOKUP(AC74,Расчет!$BS:$BT,2,FALSE),"")</f>
        <v/>
      </c>
      <c r="AE74" s="89">
        <v>72</v>
      </c>
      <c r="AF74" s="44" t="str">
        <f>IF(VLOOKUP(AE74,Расчет!$AH$2:$AN$201,5,FALSE)="8","C",IF(VLOOKUP(AE74,Расчет!$AH$2:$AN$201,5,FALSE)="G","G","R"))</f>
        <v>R</v>
      </c>
      <c r="AG74" s="73" t="str">
        <f t="shared" si="28"/>
        <v/>
      </c>
      <c r="AH74" s="87" t="str">
        <f>IF(AG74="","",COUNTIF($AG$2:AG74,"C")-COUNTIF($AF$2:AF74,"C")+$AH$1)</f>
        <v/>
      </c>
      <c r="AI74" s="87" t="str">
        <f>IF(AG74="","",COUNTIF($AG$2:AG74,"R")-COUNTIF($AF$2:AF74,"R")+$AI$1)</f>
        <v/>
      </c>
      <c r="AJ74" s="89">
        <v>175</v>
      </c>
      <c r="AK74" s="44" t="str">
        <f>IF(VLOOKUP(AJ74,Расчет!$AH$2:$AN$211,5,FALSE)="8","C",IF(VLOOKUP(AJ74,Расчет!$AH$2:$AN$211,5,FALSE)="G","G","R"))</f>
        <v>C</v>
      </c>
      <c r="AL74" s="74" t="str">
        <f t="shared" si="29"/>
        <v/>
      </c>
      <c r="AM74" s="118" t="str">
        <f>IF(AL74="","",(COUNTIF($AG$2:$AG$105,"C")+COUNTIF($AL$2:$AL74,"C"))-(COUNTIF($AF$2:$AF$105,"C")+COUNTIF($AK$2:$AK74,"C"))+$AH$1)</f>
        <v/>
      </c>
      <c r="AN74" s="119" t="str">
        <f>IF(AL74="","",(COUNTIF($AG$2:$AG$105,"R")+COUNTIF($AL$2:$AL74,"R"))-(COUNTIF($AF$2:$AF$105,"R")+COUNTIF($AK$2:$AK74,"R"))+$AI$1)</f>
        <v/>
      </c>
      <c r="AO74" s="22" t="str">
        <f>IF(E74="","",COUNTA($E$3:E74)+$Z$1)</f>
        <v/>
      </c>
      <c r="AP74" s="88" t="str">
        <f>IF(AO74="","",IF(AO74+Расчет!$Y$57+$BD$2-Расчет!$X$57&gt;200,AO74+Расчет!$Y$57+$BD$2-1000,AO74+Расчет!$Y$57+$BD$2))</f>
        <v/>
      </c>
      <c r="AR74" s="92"/>
      <c r="AS74" s="92"/>
      <c r="BL74" s="172">
        <f>COUNTIF($BM$5:BM74,"&lt;-115")</f>
        <v>0</v>
      </c>
      <c r="BM74" s="154">
        <f>IFERROR(IF(OR(IFERROR(VLOOKUP(BN74,$E$3:$E$105,1,FALSE),"0")=BN74,IFERROR(VLOOKUP(BN74,$R$3:$R$105,1,FALSE),"0")=BN74),BO74,IF(OR(VLOOKUP(BN74,Расчет!A:E,5,FALSE)="2PS",VLOOKUP(BN74,Расчет!A:E,5,FALSE)="2QL"),IF(VLOOKUP(BN74,Расчет!A:B,2,FALSE)="831W",BN74-$BS$7+$AD$17,BN74-$BS$7+$AD$12),BN74-$BS$7)),"-")</f>
        <v>23</v>
      </c>
      <c r="BN74" s="154">
        <f>IF(OR(Расчет!C71="A0",Расчет!C71="P9",Расчет!B71="722W"),"-",Расчет!A71)</f>
        <v>11216</v>
      </c>
      <c r="BO74" s="173">
        <f t="shared" si="39"/>
        <v>23</v>
      </c>
      <c r="BP74" s="172" t="str">
        <f>IF(BQ74="-","-",IFERROR(IF(OR(VLOOKUP(BN74,Расчет!$A$2:$E$582,5,FALSE)="2PS",VLOOKUP(BN74,Расчет!$A$2:$E$582,5,FALSE)="2QL"),IF(OR(VLOOKUP(BN74,Расчет!$A$2:$E$582,2,FALSE)="664W",VLOOKUP(BN74,Расчет!$A$2:$E$582,2,FALSE)="813W"),IF(BN74-$BS$7&gt;150,BN74-$BS$7-1000+$AD$12,BN74-$BS$7+$AD$12),IF(BN74-$BS$7&gt;150,BN74-$BS$7-1000+$AD$17,BN74-$BS$7+$AD$17)),IF(BN74-$BS$7&gt;150,BN74-$BS$7-1000,BN74-$BS$7)),"-"))</f>
        <v>-</v>
      </c>
      <c r="BQ74" s="173" t="str">
        <f t="shared" si="36"/>
        <v>-</v>
      </c>
      <c r="BR74" s="453"/>
      <c r="BS74" s="171"/>
      <c r="BT74" s="464" t="str">
        <f t="shared" si="37"/>
        <v>-</v>
      </c>
      <c r="BU74" s="464" t="str">
        <f t="shared" si="38"/>
        <v>-</v>
      </c>
      <c r="BX74" s="204">
        <f>COUNTIF($BY$4:BY74,"&lt;100")</f>
        <v>59</v>
      </c>
      <c r="BY74" s="213" t="str">
        <f t="shared" si="30"/>
        <v/>
      </c>
      <c r="BZ74" s="216" t="str">
        <f t="shared" si="30"/>
        <v/>
      </c>
      <c r="CA74" s="213" t="e">
        <f t="shared" si="31"/>
        <v>#N/A</v>
      </c>
      <c r="CB74" s="209" t="e">
        <f t="shared" si="32"/>
        <v>#N/A</v>
      </c>
      <c r="CC74" s="205" t="str">
        <f t="shared" si="40"/>
        <v/>
      </c>
      <c r="CD74" s="205" t="str">
        <f t="shared" si="33"/>
        <v>-</v>
      </c>
      <c r="CE74" s="205">
        <f t="shared" si="41"/>
        <v>0</v>
      </c>
      <c r="CG74" s="20" t="str">
        <f t="shared" si="24"/>
        <v/>
      </c>
    </row>
    <row r="75" spans="1:85" ht="23.1" customHeight="1">
      <c r="A75" s="40" t="str">
        <f>IF(AND(IFERROR(VLOOKUP(E75,Расчет!A:J,10,FALSE),"  ")&lt;&gt;"  ",IFERROR(LEFT(VLOOKUP(E75,Расчет!A:J,10,FALSE),1)," ")&lt;&gt;"H"),0,IFERROR(IF(F75="Camry",IF(OR(J75="2PS",J75="2QL"),IF(E75-AP75&gt;100,E75-AP75-1000+$AD$12,E75-AP75+$AD$12),IF(E75-AP75&gt;100,E75-AP75-1000,E75-AP75)),IF(J75="2PS",IF(E75-AP75&gt;100,E75-AP75-1000+$AD$17,E75-AP75+$AD$17),IF(E75-AP75&gt;100,E75-AP75-1000,E75-AP75))),"-"))</f>
        <v>-</v>
      </c>
      <c r="B75" s="46">
        <v>73</v>
      </c>
      <c r="C75" s="19" t="str">
        <f>IF(E75="","",COUNTA($E$3:E75))</f>
        <v/>
      </c>
      <c r="D75" s="18" t="str">
        <f t="shared" si="26"/>
        <v/>
      </c>
      <c r="E75" s="30"/>
      <c r="F75" s="44" t="str">
        <f>IFERROR(IF(VLOOKUP(E75,Расчет!$A$2:$B$650,2,FALSE)="664W","Camry",IF(VLOOKUP(E75,Расчет!$A$2:$B$650,2,FALSE)="813W","Goshi","RAV4")),"")</f>
        <v/>
      </c>
      <c r="G75" s="32" t="str">
        <f>IFERROR(IF(F75="Camry",VLOOKUP(E75,Расчет!$A$2:$Q$650,17,FALSE),VLOOKUP(E75,Расчет!$A$2:$R$650,18,FALSE)),"")</f>
        <v/>
      </c>
      <c r="H75" s="32" t="str">
        <f>IFERROR(VLOOKUP(VLOOKUP(E75,Расчет!$A:$D,4,FALSE),$AT$6:$AV$15,3,FALSE),"")</f>
        <v/>
      </c>
      <c r="I75" s="31" t="str">
        <f>IFERROR(VLOOKUP(IFERROR(VLOOKUP(E75,Расчет!$A$2:$D$650,4,FALSE),0),$AT$3:$AU$15,2,FALSE),"")</f>
        <v/>
      </c>
      <c r="J75" s="33" t="str">
        <f>IFERROR(VLOOKUP(E75,Расчет!$A$2:$E$650,5,FALSE),"")</f>
        <v/>
      </c>
      <c r="K75" s="189"/>
      <c r="L75" s="188">
        <f t="shared" si="34"/>
        <v>0</v>
      </c>
      <c r="M75" s="9"/>
      <c r="N75" s="40" t="str">
        <f>IF(AND(IFERROR(VLOOKUP(R75,Расчет!A:J,10,FALSE),"  ")&lt;&gt;"  ",IFERROR(LEFT(VLOOKUP(R75,Расчет!A:J,10,FALSE),1)," ")&lt;&gt;"H"),0,IFERROR(IF(S75="Camry",IF(OR(W75="2PS",W75="2QL"),IF(R75-AP178&gt;100,R75-AP178-1000+$AD$12,R75-AP178+$AD$12),IF(R75-AP178&gt;100,R75-AP178-1000,R75-AP178)),IF(W75="2PS",IF(R75-AP178&gt;100,R75-AP178-1000+$AD$17,R75-AP178+$AD$17),IF(R75-AP178&gt;100,R75-AP178-1000,R75-AP178))),"-"))</f>
        <v>-</v>
      </c>
      <c r="O75" s="46">
        <v>176</v>
      </c>
      <c r="P75" s="19" t="str">
        <f>IF(R75="","",COUNTA($R$3:R75)+$C$105)</f>
        <v/>
      </c>
      <c r="Q75" s="18" t="str">
        <f t="shared" si="27"/>
        <v/>
      </c>
      <c r="R75" s="30"/>
      <c r="S75" s="45" t="str">
        <f>IFERROR(IF(VLOOKUP(R75,Расчет!$A$2:$B$650,2,FALSE)="664W","Camry",IF(VLOOKUP(R75,Расчет!$A$2:$B$650,2,FALSE)="813W","Goshi","RAV4")),"")</f>
        <v/>
      </c>
      <c r="T75" s="32" t="str">
        <f>IFERROR(IF(S75="Camry",VLOOKUP(R75,Расчет!$A$2:$Q$650,17,FALSE),VLOOKUP(R75,Расчет!$A$2:$R$650,18,FALSE)),"")</f>
        <v/>
      </c>
      <c r="U75" s="32" t="str">
        <f>IFERROR(VLOOKUP(VLOOKUP(R75,Расчет!$A:$D,4,FALSE),$AT$6:$AV$15,3,FALSE),"")</f>
        <v/>
      </c>
      <c r="V75" s="31" t="str">
        <f>IFERROR(VLOOKUP(IFERROR(VLOOKUP(R75,Расчет!$A$2:$D$650,4,FALSE),0),$AT$3:$AU$15,2,FALSE),"")</f>
        <v/>
      </c>
      <c r="W75" s="33" t="str">
        <f>IFERROR(VLOOKUP(R75,Расчет!$A$2:$E$650,5,FALSE),"")</f>
        <v/>
      </c>
      <c r="X75" s="189"/>
      <c r="Y75" s="191">
        <f t="shared" si="35"/>
        <v>0</v>
      </c>
      <c r="Z75" s="223" t="str">
        <f>IFERROR(IF(VLOOKUP(AC75,Расчет!$A$2:$B$236,2,FALSE)="831W","RAV4","Camry"),"-")</f>
        <v>-</v>
      </c>
      <c r="AA75" s="220" t="str">
        <f>IFERROR(VLOOKUP(AC29,Расчет!$A$2:$E$236,5,FALSE),"-")</f>
        <v>-</v>
      </c>
      <c r="AB75" s="159" t="str">
        <f>IFERROR(SMALL($BT$5:$BT$500,6),"")</f>
        <v/>
      </c>
      <c r="AC75" s="162" t="str">
        <f>IF(VLOOKUP2($BP$5:$BQ$500,1,AB75,COUNTIF($AB$70:AB75,AB75),2)=0,"-",VLOOKUP2($BP$5:$BQ$500,1,AB75,COUNTIF($AB$70:AB75,AB75),2))</f>
        <v>-</v>
      </c>
      <c r="AD75" s="353" t="str">
        <f>IFERROR(VLOOKUP(AC75,Расчет!$BS:$BT,2,FALSE),"")</f>
        <v/>
      </c>
      <c r="AE75" s="89">
        <v>73</v>
      </c>
      <c r="AF75" s="44" t="str">
        <f>IF(VLOOKUP(AE75,Расчет!$AH$2:$AN$201,5,FALSE)="8","C",IF(VLOOKUP(AE75,Расчет!$AH$2:$AN$201,5,FALSE)="G","G","R"))</f>
        <v>C</v>
      </c>
      <c r="AG75" s="73" t="str">
        <f t="shared" si="28"/>
        <v/>
      </c>
      <c r="AH75" s="87" t="str">
        <f>IF(AG75="","",COUNTIF($AG$2:AG75,"C")-COUNTIF($AF$2:AF75,"C")+$AH$1)</f>
        <v/>
      </c>
      <c r="AI75" s="87" t="str">
        <f>IF(AG75="","",COUNTIF($AG$2:AG75,"R")-COUNTIF($AF$2:AF75,"R")+$AI$1)</f>
        <v/>
      </c>
      <c r="AJ75" s="89">
        <v>176</v>
      </c>
      <c r="AK75" s="44" t="str">
        <f>IF(VLOOKUP(AJ75,Расчет!$AH$2:$AN$211,5,FALSE)="8","C",IF(VLOOKUP(AJ75,Расчет!$AH$2:$AN$211,5,FALSE)="G","G","R"))</f>
        <v>R</v>
      </c>
      <c r="AL75" s="74" t="str">
        <f t="shared" si="29"/>
        <v/>
      </c>
      <c r="AM75" s="118" t="str">
        <f>IF(AL75="","",(COUNTIF($AG$2:$AG$105,"C")+COUNTIF($AL$2:$AL75,"C"))-(COUNTIF($AF$2:$AF$105,"C")+COUNTIF($AK$2:$AK75,"C"))+$AH$1)</f>
        <v/>
      </c>
      <c r="AN75" s="119" t="str">
        <f>IF(AL75="","",(COUNTIF($AG$2:$AG$105,"R")+COUNTIF($AL$2:$AL75,"R"))-(COUNTIF($AF$2:$AF$105,"R")+COUNTIF($AK$2:$AK75,"R"))+$AI$1)</f>
        <v/>
      </c>
      <c r="AO75" s="22" t="str">
        <f>IF(E75="","",COUNTA($E$3:E75)+$Z$1)</f>
        <v/>
      </c>
      <c r="AP75" s="88" t="str">
        <f>IF(AO75="","",IF(AO75+Расчет!$Y$57+$BD$2-Расчет!$X$57&gt;200,AO75+Расчет!$Y$57+$BD$2-1000,AO75+Расчет!$Y$57+$BD$2))</f>
        <v/>
      </c>
      <c r="AR75" s="92"/>
      <c r="AS75" s="92"/>
      <c r="BL75" s="172">
        <f>COUNTIF($BM$5:BM75,"&lt;-115")</f>
        <v>0</v>
      </c>
      <c r="BM75" s="154">
        <f>IFERROR(IF(OR(IFERROR(VLOOKUP(BN75,$E$3:$E$105,1,FALSE),"0")=BN75,IFERROR(VLOOKUP(BN75,$R$3:$R$105,1,FALSE),"0")=BN75),BO75,IF(OR(VLOOKUP(BN75,Расчет!A:E,5,FALSE)="2PS",VLOOKUP(BN75,Расчет!A:E,5,FALSE)="2QL"),IF(VLOOKUP(BN75,Расчет!A:B,2,FALSE)="831W",BN75-$BS$7+$AD$17,BN75-$BS$7+$AD$12),BN75-$BS$7)),"-")</f>
        <v>16</v>
      </c>
      <c r="BN75" s="154">
        <f>IF(OR(Расчет!C72="A0",Расчет!C72="P9",Расчет!B72="722W"),"-",Расчет!A72)</f>
        <v>11217</v>
      </c>
      <c r="BO75" s="173">
        <f t="shared" si="39"/>
        <v>16</v>
      </c>
      <c r="BP75" s="172" t="str">
        <f>IF(BQ75="-","-",IFERROR(IF(OR(VLOOKUP(BN75,Расчет!$A$2:$E$582,5,FALSE)="2PS",VLOOKUP(BN75,Расчет!$A$2:$E$582,5,FALSE)="2QL"),IF(OR(VLOOKUP(BN75,Расчет!$A$2:$E$582,2,FALSE)="664W",VLOOKUP(BN75,Расчет!$A$2:$E$582,2,FALSE)="813W"),IF(BN75-$BS$7&gt;150,BN75-$BS$7-1000+$AD$12,BN75-$BS$7+$AD$12),IF(BN75-$BS$7&gt;150,BN75-$BS$7-1000+$AD$17,BN75-$BS$7+$AD$17)),IF(BN75-$BS$7&gt;150,BN75-$BS$7-1000,BN75-$BS$7)),"-"))</f>
        <v>-</v>
      </c>
      <c r="BQ75" s="173" t="str">
        <f t="shared" si="36"/>
        <v>-</v>
      </c>
      <c r="BR75" s="453"/>
      <c r="BS75" s="171"/>
      <c r="BT75" s="464" t="str">
        <f t="shared" si="37"/>
        <v>-</v>
      </c>
      <c r="BU75" s="464" t="str">
        <f t="shared" si="38"/>
        <v>-</v>
      </c>
      <c r="BX75" s="204">
        <f>COUNTIF($BY$4:BY75,"&lt;100")</f>
        <v>59</v>
      </c>
      <c r="BY75" s="213" t="str">
        <f t="shared" si="30"/>
        <v/>
      </c>
      <c r="BZ75" s="216" t="str">
        <f t="shared" si="30"/>
        <v/>
      </c>
      <c r="CA75" s="213" t="e">
        <f t="shared" si="31"/>
        <v>#N/A</v>
      </c>
      <c r="CB75" s="209" t="e">
        <f t="shared" si="32"/>
        <v>#N/A</v>
      </c>
      <c r="CC75" s="205" t="str">
        <f t="shared" si="40"/>
        <v/>
      </c>
      <c r="CD75" s="205" t="str">
        <f t="shared" si="33"/>
        <v>-</v>
      </c>
      <c r="CE75" s="205">
        <f t="shared" si="41"/>
        <v>0</v>
      </c>
      <c r="CG75" s="20" t="str">
        <f t="shared" si="24"/>
        <v/>
      </c>
    </row>
    <row r="76" spans="1:85" ht="23.1" customHeight="1">
      <c r="A76" s="40" t="str">
        <f>IF(AND(IFERROR(VLOOKUP(E76,Расчет!A:J,10,FALSE),"  ")&lt;&gt;"  ",IFERROR(LEFT(VLOOKUP(E76,Расчет!A:J,10,FALSE),1)," ")&lt;&gt;"H"),0,IFERROR(IF(F76="Camry",IF(OR(J76="2PS",J76="2QL"),IF(E76-AP76&gt;100,E76-AP76-1000+$AD$12,E76-AP76+$AD$12),IF(E76-AP76&gt;100,E76-AP76-1000,E76-AP76)),IF(J76="2PS",IF(E76-AP76&gt;100,E76-AP76-1000+$AD$17,E76-AP76+$AD$17),IF(E76-AP76&gt;100,E76-AP76-1000,E76-AP76))),"-"))</f>
        <v>-</v>
      </c>
      <c r="B76" s="46">
        <v>74</v>
      </c>
      <c r="C76" s="19" t="str">
        <f>IF(E76="","",COUNTA($E$3:E76))</f>
        <v/>
      </c>
      <c r="D76" s="18" t="str">
        <f t="shared" si="26"/>
        <v/>
      </c>
      <c r="E76" s="30"/>
      <c r="F76" s="44" t="str">
        <f>IFERROR(IF(VLOOKUP(E76,Расчет!$A$2:$B$650,2,FALSE)="664W","Camry",IF(VLOOKUP(E76,Расчет!$A$2:$B$650,2,FALSE)="813W","Goshi","RAV4")),"")</f>
        <v/>
      </c>
      <c r="G76" s="32" t="str">
        <f>IFERROR(IF(F76="Camry",VLOOKUP(E76,Расчет!$A$2:$Q$650,17,FALSE),VLOOKUP(E76,Расчет!$A$2:$R$650,18,FALSE)),"")</f>
        <v/>
      </c>
      <c r="H76" s="32" t="str">
        <f>IFERROR(VLOOKUP(VLOOKUP(E76,Расчет!$A:$D,4,FALSE),$AT$6:$AV$15,3,FALSE),"")</f>
        <v/>
      </c>
      <c r="I76" s="31" t="str">
        <f>IFERROR(VLOOKUP(IFERROR(VLOOKUP(E76,Расчет!$A$2:$D$650,4,FALSE),0),$AT$3:$AU$15,2,FALSE),"")</f>
        <v/>
      </c>
      <c r="J76" s="33" t="str">
        <f>IFERROR(VLOOKUP(E76,Расчет!$A$2:$E$650,5,FALSE),"")</f>
        <v/>
      </c>
      <c r="K76" s="189"/>
      <c r="L76" s="188">
        <f t="shared" si="34"/>
        <v>0</v>
      </c>
      <c r="M76" s="9"/>
      <c r="N76" s="40" t="str">
        <f>IF(AND(IFERROR(VLOOKUP(R76,Расчет!A:J,10,FALSE),"  ")&lt;&gt;"  ",IFERROR(LEFT(VLOOKUP(R76,Расчет!A:J,10,FALSE),1)," ")&lt;&gt;"H"),0,IFERROR(IF(S76="Camry",IF(OR(W76="2PS",W76="2QL"),IF(R76-AP179&gt;100,R76-AP179-1000+$AD$12,R76-AP179+$AD$12),IF(R76-AP179&gt;100,R76-AP179-1000,R76-AP179)),IF(W76="2PS",IF(R76-AP179&gt;100,R76-AP179-1000+$AD$17,R76-AP179+$AD$17),IF(R76-AP179&gt;100,R76-AP179-1000,R76-AP179))),"-"))</f>
        <v>-</v>
      </c>
      <c r="O76" s="46">
        <v>177</v>
      </c>
      <c r="P76" s="19" t="str">
        <f>IF(R76="","",COUNTA($R$3:R76)+$C$105)</f>
        <v/>
      </c>
      <c r="Q76" s="18" t="str">
        <f t="shared" si="27"/>
        <v/>
      </c>
      <c r="R76" s="30"/>
      <c r="S76" s="45" t="str">
        <f>IFERROR(IF(VLOOKUP(R76,Расчет!$A$2:$B$650,2,FALSE)="664W","Camry",IF(VLOOKUP(R76,Расчет!$A$2:$B$650,2,FALSE)="813W","Goshi","RAV4")),"")</f>
        <v/>
      </c>
      <c r="T76" s="32" t="str">
        <f>IFERROR(IF(S76="Camry",VLOOKUP(R76,Расчет!$A$2:$Q$650,17,FALSE),VLOOKUP(R76,Расчет!$A$2:$R$650,18,FALSE)),"")</f>
        <v/>
      </c>
      <c r="U76" s="32" t="str">
        <f>IFERROR(VLOOKUP(VLOOKUP(R76,Расчет!$A:$D,4,FALSE),$AT$6:$AV$15,3,FALSE),"")</f>
        <v/>
      </c>
      <c r="V76" s="31" t="str">
        <f>IFERROR(VLOOKUP(IFERROR(VLOOKUP(R76,Расчет!$A$2:$D$650,4,FALSE),0),$AT$3:$AU$15,2,FALSE),"")</f>
        <v/>
      </c>
      <c r="W76" s="33" t="str">
        <f>IFERROR(VLOOKUP(R76,Расчет!$A$2:$E$650,5,FALSE),"")</f>
        <v/>
      </c>
      <c r="X76" s="189"/>
      <c r="Y76" s="191">
        <f t="shared" si="35"/>
        <v>0</v>
      </c>
      <c r="Z76" s="223" t="str">
        <f>IFERROR(IF(VLOOKUP(AC76,Расчет!$A$2:$B$236,2,FALSE)="831W","RAV4","Camry"),"-")</f>
        <v>-</v>
      </c>
      <c r="AA76" s="220" t="str">
        <f>IFERROR(VLOOKUP(AC30,Расчет!$A$2:$E$236,5,FALSE),"-")</f>
        <v>-</v>
      </c>
      <c r="AB76" s="159" t="str">
        <f>IFERROR(SMALL($BT$5:$BT$500,7),"")</f>
        <v/>
      </c>
      <c r="AC76" s="162" t="str">
        <f>IF(VLOOKUP2($BP$5:$BQ$500,1,AB76,COUNTIF($AB$70:AB76,AB76),2)=0,"-",VLOOKUP2($BP$5:$BQ$500,1,AB76,COUNTIF($AB$70:AB76,AB76),2))</f>
        <v>-</v>
      </c>
      <c r="AD76" s="353" t="str">
        <f>IFERROR(VLOOKUP(AC76,Расчет!$BS:$BT,2,FALSE),"")</f>
        <v/>
      </c>
      <c r="AE76" s="89">
        <v>74</v>
      </c>
      <c r="AF76" s="44" t="str">
        <f>IF(VLOOKUP(AE76,Расчет!$AH$2:$AN$201,5,FALSE)="8","C",IF(VLOOKUP(AE76,Расчет!$AH$2:$AN$201,5,FALSE)="G","G","R"))</f>
        <v>R</v>
      </c>
      <c r="AG76" s="73" t="str">
        <f t="shared" si="28"/>
        <v/>
      </c>
      <c r="AH76" s="87" t="str">
        <f>IF(AG76="","",COUNTIF($AG$2:AG76,"C")-COUNTIF($AF$2:AF76,"C")+$AH$1)</f>
        <v/>
      </c>
      <c r="AI76" s="87" t="str">
        <f>IF(AG76="","",COUNTIF($AG$2:AG76,"R")-COUNTIF($AF$2:AF76,"R")+$AI$1)</f>
        <v/>
      </c>
      <c r="AJ76" s="89">
        <v>177</v>
      </c>
      <c r="AK76" s="44" t="str">
        <f>IF(VLOOKUP(AJ76,Расчет!$AH$2:$AN$211,5,FALSE)="8","C",IF(VLOOKUP(AJ76,Расчет!$AH$2:$AN$211,5,FALSE)="G","G","R"))</f>
        <v>R</v>
      </c>
      <c r="AL76" s="74" t="str">
        <f t="shared" si="29"/>
        <v/>
      </c>
      <c r="AM76" s="118" t="str">
        <f>IF(AL76="","",(COUNTIF($AG$2:$AG$105,"C")+COUNTIF($AL$2:$AL76,"C"))-(COUNTIF($AF$2:$AF$105,"C")+COUNTIF($AK$2:$AK76,"C"))+$AH$1)</f>
        <v/>
      </c>
      <c r="AN76" s="119" t="str">
        <f>IF(AL76="","",(COUNTIF($AG$2:$AG$105,"R")+COUNTIF($AL$2:$AL76,"R"))-(COUNTIF($AF$2:$AF$105,"R")+COUNTIF($AK$2:$AK76,"R"))+$AI$1)</f>
        <v/>
      </c>
      <c r="AO76" s="22" t="str">
        <f>IF(E76="","",COUNTA($E$3:E76)+$Z$1)</f>
        <v/>
      </c>
      <c r="AP76" s="88" t="str">
        <f>IF(AO76="","",IF(AO76+Расчет!$Y$57+$BD$2-Расчет!$X$57&gt;200,AO76+Расчет!$Y$57+$BD$2-1000,AO76+Расчет!$Y$57+$BD$2))</f>
        <v/>
      </c>
      <c r="AR76" s="92"/>
      <c r="AS76" s="92"/>
      <c r="BL76" s="172">
        <f>COUNTIF($BM$5:BM76,"&lt;-115")</f>
        <v>0</v>
      </c>
      <c r="BM76" s="154">
        <f>IFERROR(IF(OR(IFERROR(VLOOKUP(BN76,$E$3:$E$105,1,FALSE),"0")=BN76,IFERROR(VLOOKUP(BN76,$R$3:$R$105,1,FALSE),"0")=BN76),BO76,IF(OR(VLOOKUP(BN76,Расчет!A:E,5,FALSE)="2PS",VLOOKUP(BN76,Расчет!A:E,5,FALSE)="2QL"),IF(VLOOKUP(BN76,Расчет!A:B,2,FALSE)="831W",BN76-$BS$7+$AD$17,BN76-$BS$7+$AD$12),BN76-$BS$7)),"-")</f>
        <v>16</v>
      </c>
      <c r="BN76" s="154">
        <f>IF(OR(Расчет!C73="A0",Расчет!C73="P9",Расчет!B73="722W"),"-",Расчет!A73)</f>
        <v>11218</v>
      </c>
      <c r="BO76" s="173">
        <f t="shared" si="39"/>
        <v>16</v>
      </c>
      <c r="BP76" s="172" t="str">
        <f>IF(BQ76="-","-",IFERROR(IF(OR(VLOOKUP(BN76,Расчет!$A$2:$E$582,5,FALSE)="2PS",VLOOKUP(BN76,Расчет!$A$2:$E$582,5,FALSE)="2QL"),IF(OR(VLOOKUP(BN76,Расчет!$A$2:$E$582,2,FALSE)="664W",VLOOKUP(BN76,Расчет!$A$2:$E$582,2,FALSE)="813W"),IF(BN76-$BS$7&gt;150,BN76-$BS$7-1000+$AD$12,BN76-$BS$7+$AD$12),IF(BN76-$BS$7&gt;150,BN76-$BS$7-1000+$AD$17,BN76-$BS$7+$AD$17)),IF(BN76-$BS$7&gt;150,BN76-$BS$7-1000,BN76-$BS$7)),"-"))</f>
        <v>-</v>
      </c>
      <c r="BQ76" s="173" t="str">
        <f t="shared" si="36"/>
        <v>-</v>
      </c>
      <c r="BR76" s="453"/>
      <c r="BS76" s="171"/>
      <c r="BT76" s="464" t="str">
        <f t="shared" si="37"/>
        <v>-</v>
      </c>
      <c r="BU76" s="464" t="str">
        <f t="shared" si="38"/>
        <v>-</v>
      </c>
      <c r="BX76" s="204">
        <f>COUNTIF($BY$4:BY76,"&lt;100")</f>
        <v>59</v>
      </c>
      <c r="BY76" s="213" t="str">
        <f t="shared" si="30"/>
        <v/>
      </c>
      <c r="BZ76" s="216" t="str">
        <f t="shared" si="30"/>
        <v/>
      </c>
      <c r="CA76" s="213" t="e">
        <f t="shared" si="31"/>
        <v>#N/A</v>
      </c>
      <c r="CB76" s="209" t="e">
        <f t="shared" si="32"/>
        <v>#N/A</v>
      </c>
      <c r="CC76" s="205" t="str">
        <f t="shared" si="40"/>
        <v/>
      </c>
      <c r="CD76" s="205" t="str">
        <f t="shared" si="33"/>
        <v>-</v>
      </c>
      <c r="CE76" s="205">
        <f t="shared" si="41"/>
        <v>0</v>
      </c>
      <c r="CG76" s="20" t="str">
        <f t="shared" ref="CG76:CG114" si="42">G67</f>
        <v/>
      </c>
    </row>
    <row r="77" spans="1:85" ht="23.1" customHeight="1">
      <c r="A77" s="40" t="str">
        <f>IF(AND(IFERROR(VLOOKUP(E77,Расчет!A:J,10,FALSE),"  ")&lt;&gt;"  ",IFERROR(LEFT(VLOOKUP(E77,Расчет!A:J,10,FALSE),1)," ")&lt;&gt;"H"),0,IFERROR(IF(F77="Camry",IF(OR(J77="2PS",J77="2QL"),IF(E77-AP77&gt;100,E77-AP77-1000+$AD$12,E77-AP77+$AD$12),IF(E77-AP77&gt;100,E77-AP77-1000,E77-AP77)),IF(J77="2PS",IF(E77-AP77&gt;100,E77-AP77-1000+$AD$17,E77-AP77+$AD$17),IF(E77-AP77&gt;100,E77-AP77-1000,E77-AP77))),"-"))</f>
        <v>-</v>
      </c>
      <c r="B77" s="46">
        <v>75</v>
      </c>
      <c r="C77" s="19" t="str">
        <f>IF(E77="","",COUNTA($E$3:E77))</f>
        <v/>
      </c>
      <c r="D77" s="18" t="str">
        <f t="shared" si="26"/>
        <v/>
      </c>
      <c r="E77" s="30"/>
      <c r="F77" s="44" t="str">
        <f>IFERROR(IF(VLOOKUP(E77,Расчет!$A$2:$B$650,2,FALSE)="664W","Camry",IF(VLOOKUP(E77,Расчет!$A$2:$B$650,2,FALSE)="813W","Goshi","RAV4")),"")</f>
        <v/>
      </c>
      <c r="G77" s="32" t="str">
        <f>IFERROR(IF(F77="Camry",VLOOKUP(E77,Расчет!$A$2:$Q$650,17,FALSE),VLOOKUP(E77,Расчет!$A$2:$R$650,18,FALSE)),"")</f>
        <v/>
      </c>
      <c r="H77" s="32" t="str">
        <f>IFERROR(VLOOKUP(VLOOKUP(E77,Расчет!$A:$D,4,FALSE),$AT$6:$AV$15,3,FALSE),"")</f>
        <v/>
      </c>
      <c r="I77" s="31" t="str">
        <f>IFERROR(VLOOKUP(IFERROR(VLOOKUP(E77,Расчет!$A$2:$D$650,4,FALSE),0),$AT$3:$AU$15,2,FALSE),"")</f>
        <v/>
      </c>
      <c r="J77" s="33" t="str">
        <f>IFERROR(VLOOKUP(E77,Расчет!$A$2:$E$650,5,FALSE),"")</f>
        <v/>
      </c>
      <c r="K77" s="189"/>
      <c r="L77" s="188">
        <f t="shared" si="34"/>
        <v>0</v>
      </c>
      <c r="M77" s="9"/>
      <c r="N77" s="40" t="str">
        <f>IF(AND(IFERROR(VLOOKUP(R77,Расчет!A:J,10,FALSE),"  ")&lt;&gt;"  ",IFERROR(LEFT(VLOOKUP(R77,Расчет!A:J,10,FALSE),1)," ")&lt;&gt;"H"),0,IFERROR(IF(S77="Camry",IF(OR(W77="2PS",W77="2QL"),IF(R77-AP180&gt;100,R77-AP180-1000+$AD$12,R77-AP180+$AD$12),IF(R77-AP180&gt;100,R77-AP180-1000,R77-AP180)),IF(W77="2PS",IF(R77-AP180&gt;100,R77-AP180-1000+$AD$17,R77-AP180+$AD$17),IF(R77-AP180&gt;100,R77-AP180-1000,R77-AP180))),"-"))</f>
        <v>-</v>
      </c>
      <c r="O77" s="46">
        <v>178</v>
      </c>
      <c r="P77" s="19" t="str">
        <f>IF(R77="","",COUNTA($R$3:R77)+$C$105)</f>
        <v/>
      </c>
      <c r="Q77" s="18" t="str">
        <f t="shared" si="27"/>
        <v/>
      </c>
      <c r="R77" s="30"/>
      <c r="S77" s="45" t="str">
        <f>IFERROR(IF(VLOOKUP(R77,Расчет!$A$2:$B$650,2,FALSE)="664W","Camry",IF(VLOOKUP(R77,Расчет!$A$2:$B$650,2,FALSE)="813W","Goshi","RAV4")),"")</f>
        <v/>
      </c>
      <c r="T77" s="32" t="str">
        <f>IFERROR(IF(S77="Camry",VLOOKUP(R77,Расчет!$A$2:$Q$650,17,FALSE),VLOOKUP(R77,Расчет!$A$2:$R$650,18,FALSE)),"")</f>
        <v/>
      </c>
      <c r="U77" s="32" t="str">
        <f>IFERROR(VLOOKUP(VLOOKUP(R77,Расчет!$A:$D,4,FALSE),$AT$6:$AV$15,3,FALSE),"")</f>
        <v/>
      </c>
      <c r="V77" s="31" t="str">
        <f>IFERROR(VLOOKUP(IFERROR(VLOOKUP(R77,Расчет!$A$2:$D$650,4,FALSE),0),$AT$3:$AU$15,2,FALSE),"")</f>
        <v/>
      </c>
      <c r="W77" s="33" t="str">
        <f>IFERROR(VLOOKUP(R77,Расчет!$A$2:$E$650,5,FALSE),"")</f>
        <v/>
      </c>
      <c r="X77" s="189"/>
      <c r="Y77" s="191">
        <f t="shared" si="35"/>
        <v>0</v>
      </c>
      <c r="Z77" s="223" t="str">
        <f>IFERROR(IF(VLOOKUP(AC77,Расчет!$A$2:$B$236,2,FALSE)="831W","RAV4","Camry"),"-")</f>
        <v>-</v>
      </c>
      <c r="AA77" s="220" t="str">
        <f>IFERROR(VLOOKUP(AC31,Расчет!$A$2:$E$236,5,FALSE),"-")</f>
        <v>-</v>
      </c>
      <c r="AB77" s="159" t="str">
        <f>IFERROR(SMALL($BT$5:$BT$500,8),"")</f>
        <v/>
      </c>
      <c r="AC77" s="162" t="str">
        <f>IF(VLOOKUP2($BP$5:$BQ$500,1,AB77,COUNTIF($AB$70:AB77,AB77),2)=0,"-",VLOOKUP2($BP$5:$BQ$500,1,AB77,COUNTIF($AB$70:AB77,AB77),2))</f>
        <v>-</v>
      </c>
      <c r="AD77" s="353" t="str">
        <f>IFERROR(VLOOKUP(AC77,Расчет!$BS:$BT,2,FALSE),"")</f>
        <v/>
      </c>
      <c r="AE77" s="89">
        <v>75</v>
      </c>
      <c r="AF77" s="44" t="str">
        <f>IF(VLOOKUP(AE77,Расчет!$AH$2:$AN$201,5,FALSE)="8","C",IF(VLOOKUP(AE77,Расчет!$AH$2:$AN$201,5,FALSE)="G","G","R"))</f>
        <v>C</v>
      </c>
      <c r="AG77" s="73" t="str">
        <f t="shared" si="28"/>
        <v/>
      </c>
      <c r="AH77" s="87" t="str">
        <f>IF(AG77="","",COUNTIF($AG$2:AG77,"C")-COUNTIF($AF$2:AF77,"C")+$AH$1)</f>
        <v/>
      </c>
      <c r="AI77" s="87" t="str">
        <f>IF(AG77="","",COUNTIF($AG$2:AG77,"R")-COUNTIF($AF$2:AF77,"R")+$AI$1)</f>
        <v/>
      </c>
      <c r="AJ77" s="89">
        <v>178</v>
      </c>
      <c r="AK77" s="44" t="str">
        <f>IF(VLOOKUP(AJ77,Расчет!$AH$2:$AN$211,5,FALSE)="8","C",IF(VLOOKUP(AJ77,Расчет!$AH$2:$AN$211,5,FALSE)="G","G","R"))</f>
        <v>C</v>
      </c>
      <c r="AL77" s="74" t="str">
        <f t="shared" si="29"/>
        <v/>
      </c>
      <c r="AM77" s="118" t="str">
        <f>IF(AL77="","",(COUNTIF($AG$2:$AG$105,"C")+COUNTIF($AL$2:$AL77,"C"))-(COUNTIF($AF$2:$AF$105,"C")+COUNTIF($AK$2:$AK77,"C"))+$AH$1)</f>
        <v/>
      </c>
      <c r="AN77" s="119" t="str">
        <f>IF(AL77="","",(COUNTIF($AG$2:$AG$105,"R")+COUNTIF($AL$2:$AL77,"R"))-(COUNTIF($AF$2:$AF$105,"R")+COUNTIF($AK$2:$AK77,"R"))+$AI$1)</f>
        <v/>
      </c>
      <c r="AO77" s="22" t="str">
        <f>IF(E77="","",COUNTA($E$3:E77)+$Z$1)</f>
        <v/>
      </c>
      <c r="AP77" s="88" t="str">
        <f>IF(AO77="","",IF(AO77+Расчет!$Y$57+$BD$2-Расчет!$X$57&gt;200,AO77+Расчет!$Y$57+$BD$2-1000,AO77+Расчет!$Y$57+$BD$2))</f>
        <v/>
      </c>
      <c r="AR77" s="92"/>
      <c r="AS77" s="92"/>
      <c r="BL77" s="172">
        <f>COUNTIF($BM$5:BM77,"&lt;-115")</f>
        <v>0</v>
      </c>
      <c r="BM77" s="154">
        <f>IFERROR(IF(OR(IFERROR(VLOOKUP(BN77,$E$3:$E$105,1,FALSE),"0")=BN77,IFERROR(VLOOKUP(BN77,$R$3:$R$105,1,FALSE),"0")=BN77),BO77,IF(OR(VLOOKUP(BN77,Расчет!A:E,5,FALSE)="2PS",VLOOKUP(BN77,Расчет!A:E,5,FALSE)="2QL"),IF(VLOOKUP(BN77,Расчет!A:B,2,FALSE)="831W",BN77-$BS$7+$AD$17,BN77-$BS$7+$AD$12),BN77-$BS$7)),"-")</f>
        <v>106</v>
      </c>
      <c r="BN77" s="154">
        <f>IF(OR(Расчет!C74="A0",Расчет!C74="P9",Расчет!B74="722W"),"-",Расчет!A74)</f>
        <v>11219</v>
      </c>
      <c r="BO77" s="173">
        <f t="shared" si="39"/>
        <v>0</v>
      </c>
      <c r="BP77" s="172">
        <f>IF(BQ77="-","-",IFERROR(IF(OR(VLOOKUP(BN77,Расчет!$A$2:$E$582,5,FALSE)="2PS",VLOOKUP(BN77,Расчет!$A$2:$E$582,5,FALSE)="2QL"),IF(OR(VLOOKUP(BN77,Расчет!$A$2:$E$582,2,FALSE)="664W",VLOOKUP(BN77,Расчет!$A$2:$E$582,2,FALSE)="813W"),IF(BN77-$BS$7&gt;150,BN77-$BS$7-1000+$AD$12,BN77-$BS$7+$AD$12),IF(BN77-$BS$7&gt;150,BN77-$BS$7-1000+$AD$17,BN77-$BS$7+$AD$17)),IF(BN77-$BS$7&gt;150,BN77-$BS$7-1000,BN77-$BS$7)),"-"))</f>
        <v>106</v>
      </c>
      <c r="BQ77" s="173">
        <f t="shared" si="36"/>
        <v>11219</v>
      </c>
      <c r="BR77" s="453"/>
      <c r="BS77" s="171"/>
      <c r="BT77" s="464" t="str">
        <f t="shared" si="37"/>
        <v>-</v>
      </c>
      <c r="BU77" s="464" t="str">
        <f t="shared" si="38"/>
        <v>-</v>
      </c>
      <c r="BX77" s="204">
        <f>COUNTIF($BY$4:BY77,"&lt;100")</f>
        <v>59</v>
      </c>
      <c r="BY77" s="213" t="str">
        <f t="shared" si="30"/>
        <v/>
      </c>
      <c r="BZ77" s="216" t="str">
        <f t="shared" si="30"/>
        <v/>
      </c>
      <c r="CA77" s="213" t="e">
        <f t="shared" si="31"/>
        <v>#N/A</v>
      </c>
      <c r="CB77" s="209" t="e">
        <f t="shared" si="32"/>
        <v>#N/A</v>
      </c>
      <c r="CC77" s="205" t="str">
        <f t="shared" si="40"/>
        <v/>
      </c>
      <c r="CD77" s="205" t="str">
        <f t="shared" si="33"/>
        <v>-</v>
      </c>
      <c r="CE77" s="205">
        <f t="shared" si="41"/>
        <v>0</v>
      </c>
      <c r="CG77" s="20" t="str">
        <f t="shared" si="42"/>
        <v/>
      </c>
    </row>
    <row r="78" spans="1:85" ht="23.1" customHeight="1" thickBot="1">
      <c r="A78" s="40" t="str">
        <f>IF(AND(IFERROR(VLOOKUP(E78,Расчет!A:J,10,FALSE),"  ")&lt;&gt;"  ",IFERROR(LEFT(VLOOKUP(E78,Расчет!A:J,10,FALSE),1)," ")&lt;&gt;"H"),0,IFERROR(IF(F78="Camry",IF(OR(J78="2PS",J78="2QL"),IF(E78-AP78&gt;100,E78-AP78-1000+$AD$12,E78-AP78+$AD$12),IF(E78-AP78&gt;100,E78-AP78-1000,E78-AP78)),IF(J78="2PS",IF(E78-AP78&gt;100,E78-AP78-1000+$AD$17,E78-AP78+$AD$17),IF(E78-AP78&gt;100,E78-AP78-1000,E78-AP78))),"-"))</f>
        <v>-</v>
      </c>
      <c r="B78" s="46">
        <v>76</v>
      </c>
      <c r="C78" s="19" t="str">
        <f>IF(E78="","",COUNTA($E$3:E78))</f>
        <v/>
      </c>
      <c r="D78" s="18" t="str">
        <f t="shared" si="26"/>
        <v/>
      </c>
      <c r="E78" s="30"/>
      <c r="F78" s="44" t="str">
        <f>IFERROR(IF(VLOOKUP(E78,Расчет!$A$2:$B$650,2,FALSE)="664W","Camry",IF(VLOOKUP(E78,Расчет!$A$2:$B$650,2,FALSE)="813W","Goshi","RAV4")),"")</f>
        <v/>
      </c>
      <c r="G78" s="32" t="str">
        <f>IFERROR(IF(F78="Camry",VLOOKUP(E78,Расчет!$A$2:$Q$650,17,FALSE),VLOOKUP(E78,Расчет!$A$2:$R$650,18,FALSE)),"")</f>
        <v/>
      </c>
      <c r="H78" s="32" t="str">
        <f>IFERROR(VLOOKUP(VLOOKUP(E78,Расчет!$A:$D,4,FALSE),$AT$6:$AV$15,3,FALSE),"")</f>
        <v/>
      </c>
      <c r="I78" s="31" t="str">
        <f>IFERROR(VLOOKUP(IFERROR(VLOOKUP(E78,Расчет!$A$2:$D$650,4,FALSE),0),$AT$3:$AU$15,2,FALSE),"")</f>
        <v/>
      </c>
      <c r="J78" s="33" t="str">
        <f>IFERROR(VLOOKUP(E78,Расчет!$A$2:$E$650,5,FALSE),"")</f>
        <v/>
      </c>
      <c r="K78" s="189"/>
      <c r="L78" s="188">
        <f t="shared" si="34"/>
        <v>0</v>
      </c>
      <c r="M78" s="9"/>
      <c r="N78" s="40" t="str">
        <f>IF(AND(IFERROR(VLOOKUP(R78,Расчет!A:J,10,FALSE),"  ")&lt;&gt;"  ",IFERROR(LEFT(VLOOKUP(R78,Расчет!A:J,10,FALSE),1)," ")&lt;&gt;"H"),0,IFERROR(IF(S78="Camry",IF(OR(W78="2PS",W78="2QL"),IF(R78-AP181&gt;100,R78-AP181-1000+$AD$12,R78-AP181+$AD$12),IF(R78-AP181&gt;100,R78-AP181-1000,R78-AP181)),IF(W78="2PS",IF(R78-AP181&gt;100,R78-AP181-1000+$AD$17,R78-AP181+$AD$17),IF(R78-AP181&gt;100,R78-AP181-1000,R78-AP181))),"-"))</f>
        <v>-</v>
      </c>
      <c r="O78" s="46">
        <v>179</v>
      </c>
      <c r="P78" s="19" t="str">
        <f>IF(R78="","",COUNTA($R$3:R78)+$C$105)</f>
        <v/>
      </c>
      <c r="Q78" s="18" t="str">
        <f t="shared" si="27"/>
        <v/>
      </c>
      <c r="R78" s="30"/>
      <c r="S78" s="45" t="str">
        <f>IFERROR(IF(VLOOKUP(R78,Расчет!$A$2:$B$650,2,FALSE)="664W","Camry",IF(VLOOKUP(R78,Расчет!$A$2:$B$650,2,FALSE)="813W","Goshi","RAV4")),"")</f>
        <v/>
      </c>
      <c r="T78" s="32" t="str">
        <f>IFERROR(IF(S78="Camry",VLOOKUP(R78,Расчет!$A$2:$Q$650,17,FALSE),VLOOKUP(R78,Расчет!$A$2:$R$650,18,FALSE)),"")</f>
        <v/>
      </c>
      <c r="U78" s="32" t="str">
        <f>IFERROR(VLOOKUP(VLOOKUP(R78,Расчет!$A:$D,4,FALSE),$AT$6:$AV$15,3,FALSE),"")</f>
        <v/>
      </c>
      <c r="V78" s="31" t="str">
        <f>IFERROR(VLOOKUP(IFERROR(VLOOKUP(R78,Расчет!$A$2:$D$650,4,FALSE),0),$AT$3:$AU$15,2,FALSE),"")</f>
        <v/>
      </c>
      <c r="W78" s="33" t="str">
        <f>IFERROR(VLOOKUP(R78,Расчет!$A$2:$E$650,5,FALSE),"")</f>
        <v/>
      </c>
      <c r="X78" s="189"/>
      <c r="Y78" s="191">
        <f t="shared" si="35"/>
        <v>0</v>
      </c>
      <c r="Z78" s="224" t="str">
        <f>IFERROR(IF(VLOOKUP(AC78,Расчет!$A$2:$B$236,2,FALSE)="831W","RAV4","Camry"),"-")</f>
        <v>-</v>
      </c>
      <c r="AA78" s="225" t="str">
        <f>IFERROR(VLOOKUP(AC32,Расчет!$A$2:$E$236,5,FALSE),"-")</f>
        <v>-</v>
      </c>
      <c r="AB78" s="160" t="str">
        <f>IFERROR(SMALL($BT$5:$BT$500,9),"")</f>
        <v/>
      </c>
      <c r="AC78" s="163" t="str">
        <f>IF(VLOOKUP2($BP$5:$BQ$500,1,AB78,COUNTIF($AB$70:AB78,AB78),2)=0,"-",VLOOKUP2($BP$5:$BQ$500,1,AB78,COUNTIF($AB$70:AB78,AB78),2))</f>
        <v>-</v>
      </c>
      <c r="AD78" s="147" t="str">
        <f>IFERROR(VLOOKUP(AC78,Расчет!$BS:$BT,2,FALSE),"")</f>
        <v/>
      </c>
      <c r="AE78" s="89">
        <v>76</v>
      </c>
      <c r="AF78" s="44" t="str">
        <f>IF(VLOOKUP(AE78,Расчет!$AH$2:$AN$201,5,FALSE)="8","C",IF(VLOOKUP(AE78,Расчет!$AH$2:$AN$201,5,FALSE)="G","G","R"))</f>
        <v>R</v>
      </c>
      <c r="AG78" s="73" t="str">
        <f t="shared" si="28"/>
        <v/>
      </c>
      <c r="AH78" s="87" t="str">
        <f>IF(AG78="","",COUNTIF($AG$2:AG78,"C")-COUNTIF($AF$2:AF78,"C")+$AH$1)</f>
        <v/>
      </c>
      <c r="AI78" s="87" t="str">
        <f>IF(AG78="","",COUNTIF($AG$2:AG78,"R")-COUNTIF($AF$2:AF78,"R")+$AI$1)</f>
        <v/>
      </c>
      <c r="AJ78" s="89">
        <v>179</v>
      </c>
      <c r="AK78" s="44" t="str">
        <f>IF(VLOOKUP(AJ78,Расчет!$AH$2:$AN$211,5,FALSE)="8","C",IF(VLOOKUP(AJ78,Расчет!$AH$2:$AN$211,5,FALSE)="G","G","R"))</f>
        <v>R</v>
      </c>
      <c r="AL78" s="74" t="str">
        <f t="shared" si="29"/>
        <v/>
      </c>
      <c r="AM78" s="118" t="str">
        <f>IF(AL78="","",(COUNTIF($AG$2:$AG$105,"C")+COUNTIF($AL$2:$AL78,"C"))-(COUNTIF($AF$2:$AF$105,"C")+COUNTIF($AK$2:$AK78,"C"))+$AH$1)</f>
        <v/>
      </c>
      <c r="AN78" s="119" t="str">
        <f>IF(AL78="","",(COUNTIF($AG$2:$AG$105,"R")+COUNTIF($AL$2:$AL78,"R"))-(COUNTIF($AF$2:$AF$105,"R")+COUNTIF($AK$2:$AK78,"R"))+$AI$1)</f>
        <v/>
      </c>
      <c r="AO78" s="22" t="str">
        <f>IF(E78="","",COUNTA($E$3:E78)+$Z$1)</f>
        <v/>
      </c>
      <c r="AP78" s="88" t="str">
        <f>IF(AO78="","",IF(AO78+Расчет!$Y$57+$BD$2-Расчет!$X$57&gt;200,AO78+Расчет!$Y$57+$BD$2-1000,AO78+Расчет!$Y$57+$BD$2))</f>
        <v/>
      </c>
      <c r="AR78" s="92"/>
      <c r="AS78" s="92"/>
      <c r="BL78" s="172">
        <f>COUNTIF($BM$5:BM78,"&lt;-115")</f>
        <v>0</v>
      </c>
      <c r="BM78" s="154">
        <f>IFERROR(IF(OR(IFERROR(VLOOKUP(BN78,$E$3:$E$105,1,FALSE),"0")=BN78,IFERROR(VLOOKUP(BN78,$R$3:$R$105,1,FALSE),"0")=BN78),BO78,IF(OR(VLOOKUP(BN78,Расчет!A:E,5,FALSE)="2PS",VLOOKUP(BN78,Расчет!A:E,5,FALSE)="2QL"),IF(VLOOKUP(BN78,Расчет!A:B,2,FALSE)="831W",BN78-$BS$7+$AD$17,BN78-$BS$7+$AD$12),BN78-$BS$7)),"-")</f>
        <v>23</v>
      </c>
      <c r="BN78" s="154">
        <f>IF(OR(Расчет!C75="A0",Расчет!C75="P9",Расчет!B75="722W"),"-",Расчет!A75)</f>
        <v>11220</v>
      </c>
      <c r="BO78" s="173">
        <f t="shared" si="39"/>
        <v>23</v>
      </c>
      <c r="BP78" s="172" t="str">
        <f>IF(BQ78="-","-",IFERROR(IF(OR(VLOOKUP(BN78,Расчет!$A$2:$E$582,5,FALSE)="2PS",VLOOKUP(BN78,Расчет!$A$2:$E$582,5,FALSE)="2QL"),IF(OR(VLOOKUP(BN78,Расчет!$A$2:$E$582,2,FALSE)="664W",VLOOKUP(BN78,Расчет!$A$2:$E$582,2,FALSE)="813W"),IF(BN78-$BS$7&gt;150,BN78-$BS$7-1000+$AD$12,BN78-$BS$7+$AD$12),IF(BN78-$BS$7&gt;150,BN78-$BS$7-1000+$AD$17,BN78-$BS$7+$AD$17)),IF(BN78-$BS$7&gt;150,BN78-$BS$7-1000,BN78-$BS$7)),"-"))</f>
        <v>-</v>
      </c>
      <c r="BQ78" s="173" t="str">
        <f t="shared" si="36"/>
        <v>-</v>
      </c>
      <c r="BR78" s="453"/>
      <c r="BS78" s="171"/>
      <c r="BT78" s="464" t="str">
        <f t="shared" si="37"/>
        <v>-</v>
      </c>
      <c r="BU78" s="464" t="str">
        <f t="shared" si="38"/>
        <v>-</v>
      </c>
      <c r="BX78" s="204">
        <f>COUNTIF($BY$4:BY78,"&lt;100")</f>
        <v>59</v>
      </c>
      <c r="BY78" s="213" t="str">
        <f t="shared" si="30"/>
        <v/>
      </c>
      <c r="BZ78" s="216" t="str">
        <f t="shared" si="30"/>
        <v/>
      </c>
      <c r="CA78" s="213" t="e">
        <f t="shared" si="31"/>
        <v>#N/A</v>
      </c>
      <c r="CB78" s="209" t="e">
        <f t="shared" si="32"/>
        <v>#N/A</v>
      </c>
      <c r="CC78" s="205" t="str">
        <f t="shared" si="40"/>
        <v/>
      </c>
      <c r="CD78" s="205" t="str">
        <f t="shared" si="33"/>
        <v>-</v>
      </c>
      <c r="CE78" s="205">
        <f t="shared" si="41"/>
        <v>0</v>
      </c>
      <c r="CG78" s="20" t="str">
        <f t="shared" si="42"/>
        <v/>
      </c>
    </row>
    <row r="79" spans="1:85" ht="23.1" customHeight="1" thickBot="1">
      <c r="A79" s="40" t="str">
        <f>IF(AND(IFERROR(VLOOKUP(E79,Расчет!A:J,10,FALSE),"  ")&lt;&gt;"  ",IFERROR(LEFT(VLOOKUP(E79,Расчет!A:J,10,FALSE),1)," ")&lt;&gt;"H"),0,IFERROR(IF(F79="Camry",IF(OR(J79="2PS",J79="2QL"),IF(E79-AP79&gt;100,E79-AP79-1000+$AD$12,E79-AP79+$AD$12),IF(E79-AP79&gt;100,E79-AP79-1000,E79-AP79)),IF(J79="2PS",IF(E79-AP79&gt;100,E79-AP79-1000+$AD$17,E79-AP79+$AD$17),IF(E79-AP79&gt;100,E79-AP79-1000,E79-AP79))),"-"))</f>
        <v>-</v>
      </c>
      <c r="B79" s="46">
        <v>77</v>
      </c>
      <c r="C79" s="19" t="str">
        <f>IF(E79="","",COUNTA($E$3:E79))</f>
        <v/>
      </c>
      <c r="D79" s="18" t="str">
        <f t="shared" si="26"/>
        <v/>
      </c>
      <c r="E79" s="30"/>
      <c r="F79" s="44" t="str">
        <f>IFERROR(IF(VLOOKUP(E79,Расчет!$A$2:$B$650,2,FALSE)="664W","Camry",IF(VLOOKUP(E79,Расчет!$A$2:$B$650,2,FALSE)="813W","Goshi","RAV4")),"")</f>
        <v/>
      </c>
      <c r="G79" s="32" t="str">
        <f>IFERROR(IF(F79="Camry",VLOOKUP(E79,Расчет!$A$2:$Q$650,17,FALSE),VLOOKUP(E79,Расчет!$A$2:$R$650,18,FALSE)),"")</f>
        <v/>
      </c>
      <c r="H79" s="32" t="str">
        <f>IFERROR(VLOOKUP(VLOOKUP(E79,Расчет!$A:$D,4,FALSE),$AT$6:$AV$15,3,FALSE),"")</f>
        <v/>
      </c>
      <c r="I79" s="31" t="str">
        <f>IFERROR(VLOOKUP(IFERROR(VLOOKUP(E79,Расчет!$A$2:$D$650,4,FALSE),0),$AT$3:$AU$15,2,FALSE),"")</f>
        <v/>
      </c>
      <c r="J79" s="33" t="str">
        <f>IFERROR(VLOOKUP(E79,Расчет!$A$2:$E$650,5,FALSE),"")</f>
        <v/>
      </c>
      <c r="K79" s="189"/>
      <c r="L79" s="188">
        <f t="shared" si="34"/>
        <v>0</v>
      </c>
      <c r="M79" s="9"/>
      <c r="N79" s="40" t="str">
        <f>IF(AND(IFERROR(VLOOKUP(R79,Расчет!A:J,10,FALSE),"  ")&lt;&gt;"  ",IFERROR(LEFT(VLOOKUP(R79,Расчет!A:J,10,FALSE),1)," ")&lt;&gt;"H"),0,IFERROR(IF(S79="Camry",IF(OR(W79="2PS",W79="2QL"),IF(R79-AP182&gt;100,R79-AP182-1000+$AD$12,R79-AP182+$AD$12),IF(R79-AP182&gt;100,R79-AP182-1000,R79-AP182)),IF(W79="2PS",IF(R79-AP182&gt;100,R79-AP182-1000+$AD$17,R79-AP182+$AD$17),IF(R79-AP182&gt;100,R79-AP182-1000,R79-AP182))),"-"))</f>
        <v>-</v>
      </c>
      <c r="O79" s="46">
        <v>180</v>
      </c>
      <c r="P79" s="19" t="str">
        <f>IF(R79="","",COUNTA($R$3:R79)+$C$105)</f>
        <v/>
      </c>
      <c r="Q79" s="18" t="str">
        <f t="shared" si="27"/>
        <v/>
      </c>
      <c r="R79" s="30"/>
      <c r="S79" s="45" t="str">
        <f>IFERROR(IF(VLOOKUP(R79,Расчет!$A$2:$B$650,2,FALSE)="664W","Camry",IF(VLOOKUP(R79,Расчет!$A$2:$B$650,2,FALSE)="813W","Goshi","RAV4")),"")</f>
        <v/>
      </c>
      <c r="T79" s="32" t="str">
        <f>IFERROR(IF(S79="Camry",VLOOKUP(R79,Расчет!$A$2:$Q$650,17,FALSE),VLOOKUP(R79,Расчет!$A$2:$R$650,18,FALSE)),"")</f>
        <v/>
      </c>
      <c r="U79" s="32" t="str">
        <f>IFERROR(VLOOKUP(VLOOKUP(R79,Расчет!$A:$D,4,FALSE),$AT$6:$AV$15,3,FALSE),"")</f>
        <v/>
      </c>
      <c r="V79" s="31" t="str">
        <f>IFERROR(VLOOKUP(IFERROR(VLOOKUP(R79,Расчет!$A$2:$D$650,4,FALSE),0),$AT$3:$AU$15,2,FALSE),"")</f>
        <v/>
      </c>
      <c r="W79" s="33" t="str">
        <f>IFERROR(VLOOKUP(R79,Расчет!$A$2:$E$650,5,FALSE),"")</f>
        <v/>
      </c>
      <c r="X79" s="189"/>
      <c r="Y79" s="191">
        <f t="shared" si="35"/>
        <v>0</v>
      </c>
      <c r="Z79" s="749" t="s">
        <v>146</v>
      </c>
      <c r="AA79" s="750"/>
      <c r="AB79" s="750"/>
      <c r="AC79" s="751"/>
      <c r="AD79" s="56"/>
      <c r="AE79" s="89">
        <v>77</v>
      </c>
      <c r="AF79" s="44" t="str">
        <f>IF(VLOOKUP(AE79,Расчет!$AH$2:$AN$201,5,FALSE)="8","C",IF(VLOOKUP(AE79,Расчет!$AH$2:$AN$201,5,FALSE)="G","G","R"))</f>
        <v>C</v>
      </c>
      <c r="AG79" s="73" t="str">
        <f t="shared" si="28"/>
        <v/>
      </c>
      <c r="AH79" s="87" t="str">
        <f>IF(AG79="","",COUNTIF($AG$2:AG79,"C")-COUNTIF($AF$2:AF79,"C")+$AH$1)</f>
        <v/>
      </c>
      <c r="AI79" s="87" t="str">
        <f>IF(AG79="","",COUNTIF($AG$2:AG79,"R")-COUNTIF($AF$2:AF79,"R")+$AI$1)</f>
        <v/>
      </c>
      <c r="AJ79" s="89">
        <v>180</v>
      </c>
      <c r="AK79" s="44" t="str">
        <f>IF(VLOOKUP(AJ79,Расчет!$AH$2:$AN$211,5,FALSE)="8","C",IF(VLOOKUP(AJ79,Расчет!$AH$2:$AN$211,5,FALSE)="G","G","R"))</f>
        <v>C</v>
      </c>
      <c r="AL79" s="74" t="str">
        <f t="shared" si="29"/>
        <v/>
      </c>
      <c r="AM79" s="118" t="str">
        <f>IF(AL79="","",(COUNTIF($AG$2:$AG$105,"C")+COUNTIF($AL$2:$AL79,"C"))-(COUNTIF($AF$2:$AF$105,"C")+COUNTIF($AK$2:$AK79,"C"))+$AH$1)</f>
        <v/>
      </c>
      <c r="AN79" s="119" t="str">
        <f>IF(AL79="","",(COUNTIF($AG$2:$AG$105,"R")+COUNTIF($AL$2:$AL79,"R"))-(COUNTIF($AF$2:$AF$105,"R")+COUNTIF($AK$2:$AK79,"R"))+$AI$1)</f>
        <v/>
      </c>
      <c r="AO79" s="22" t="str">
        <f>IF(E79="","",COUNTA($E$3:E79)+$Z$1)</f>
        <v/>
      </c>
      <c r="AP79" s="88" t="str">
        <f>IF(AO79="","",IF(AO79+Расчет!$Y$57+$BD$2-Расчет!$X$57&gt;200,AO79+Расчет!$Y$57+$BD$2-1000,AO79+Расчет!$Y$57+$BD$2))</f>
        <v/>
      </c>
      <c r="AR79" s="92"/>
      <c r="AS79" s="92"/>
      <c r="BL79" s="172">
        <f>COUNTIF($BM$5:BM79,"&lt;-115")</f>
        <v>0</v>
      </c>
      <c r="BM79" s="154">
        <f>IFERROR(IF(OR(IFERROR(VLOOKUP(BN79,$E$3:$E$105,1,FALSE),"0")=BN79,IFERROR(VLOOKUP(BN79,$R$3:$R$105,1,FALSE),"0")=BN79),BO79,IF(OR(VLOOKUP(BN79,Расчет!A:E,5,FALSE)="2PS",VLOOKUP(BN79,Расчет!A:E,5,FALSE)="2QL"),IF(VLOOKUP(BN79,Расчет!A:B,2,FALSE)="831W",BN79-$BS$7+$AD$17,BN79-$BS$7+$AD$12),BN79-$BS$7)),"-")</f>
        <v>17</v>
      </c>
      <c r="BN79" s="154">
        <f>IF(OR(Расчет!C76="A0",Расчет!C76="P9",Расчет!B76="722W"),"-",Расчет!A76)</f>
        <v>11221</v>
      </c>
      <c r="BO79" s="173">
        <f t="shared" si="39"/>
        <v>17</v>
      </c>
      <c r="BP79" s="172" t="str">
        <f>IF(BQ79="-","-",IFERROR(IF(OR(VLOOKUP(BN79,Расчет!$A$2:$E$582,5,FALSE)="2PS",VLOOKUP(BN79,Расчет!$A$2:$E$582,5,FALSE)="2QL"),IF(OR(VLOOKUP(BN79,Расчет!$A$2:$E$582,2,FALSE)="664W",VLOOKUP(BN79,Расчет!$A$2:$E$582,2,FALSE)="813W"),IF(BN79-$BS$7&gt;150,BN79-$BS$7-1000+$AD$12,BN79-$BS$7+$AD$12),IF(BN79-$BS$7&gt;150,BN79-$BS$7-1000+$AD$17,BN79-$BS$7+$AD$17)),IF(BN79-$BS$7&gt;150,BN79-$BS$7-1000,BN79-$BS$7)),"-"))</f>
        <v>-</v>
      </c>
      <c r="BQ79" s="173" t="str">
        <f t="shared" si="36"/>
        <v>-</v>
      </c>
      <c r="BR79" s="453"/>
      <c r="BS79" s="171"/>
      <c r="BT79" s="464" t="str">
        <f t="shared" si="37"/>
        <v>-</v>
      </c>
      <c r="BU79" s="464" t="str">
        <f t="shared" si="38"/>
        <v>-</v>
      </c>
      <c r="BX79" s="204">
        <f>COUNTIF($BY$4:BY79,"&lt;100")</f>
        <v>59</v>
      </c>
      <c r="BY79" s="213" t="str">
        <f t="shared" si="30"/>
        <v/>
      </c>
      <c r="BZ79" s="216" t="str">
        <f t="shared" si="30"/>
        <v/>
      </c>
      <c r="CA79" s="213" t="e">
        <f t="shared" si="31"/>
        <v>#N/A</v>
      </c>
      <c r="CB79" s="209" t="e">
        <f t="shared" si="32"/>
        <v>#N/A</v>
      </c>
      <c r="CC79" s="205" t="str">
        <f t="shared" si="40"/>
        <v/>
      </c>
      <c r="CD79" s="205" t="str">
        <f t="shared" si="33"/>
        <v>-</v>
      </c>
      <c r="CE79" s="205">
        <f t="shared" si="41"/>
        <v>0</v>
      </c>
      <c r="CG79" s="20" t="str">
        <f t="shared" si="42"/>
        <v/>
      </c>
    </row>
    <row r="80" spans="1:85" ht="23.1" customHeight="1" thickBot="1">
      <c r="A80" s="40" t="str">
        <f>IF(AND(IFERROR(VLOOKUP(E80,Расчет!A:J,10,FALSE),"  ")&lt;&gt;"  ",IFERROR(LEFT(VLOOKUP(E80,Расчет!A:J,10,FALSE),1)," ")&lt;&gt;"H"),0,IFERROR(IF(F80="Camry",IF(OR(J80="2PS",J80="2QL"),IF(E80-AP80&gt;100,E80-AP80-1000+$AD$12,E80-AP80+$AD$12),IF(E80-AP80&gt;100,E80-AP80-1000,E80-AP80)),IF(J80="2PS",IF(E80-AP80&gt;100,E80-AP80-1000+$AD$17,E80-AP80+$AD$17),IF(E80-AP80&gt;100,E80-AP80-1000,E80-AP80))),"-"))</f>
        <v>-</v>
      </c>
      <c r="B80" s="46">
        <v>78</v>
      </c>
      <c r="C80" s="19" t="str">
        <f>IF(E80="","",COUNTA($E$3:E80))</f>
        <v/>
      </c>
      <c r="D80" s="18" t="str">
        <f t="shared" si="26"/>
        <v/>
      </c>
      <c r="E80" s="30"/>
      <c r="F80" s="44" t="str">
        <f>IFERROR(IF(VLOOKUP(E80,Расчет!$A$2:$B$650,2,FALSE)="664W","Camry",IF(VLOOKUP(E80,Расчет!$A$2:$B$650,2,FALSE)="813W","Goshi","RAV4")),"")</f>
        <v/>
      </c>
      <c r="G80" s="32" t="str">
        <f>IFERROR(IF(F80="Camry",VLOOKUP(E80,Расчет!$A$2:$Q$650,17,FALSE),VLOOKUP(E80,Расчет!$A$2:$R$650,18,FALSE)),"")</f>
        <v/>
      </c>
      <c r="H80" s="32" t="str">
        <f>IFERROR(VLOOKUP(VLOOKUP(E80,Расчет!$A:$D,4,FALSE),$AT$6:$AV$15,3,FALSE),"")</f>
        <v/>
      </c>
      <c r="I80" s="31" t="str">
        <f>IFERROR(VLOOKUP(IFERROR(VLOOKUP(E80,Расчет!$A$2:$D$650,4,FALSE),0),$AT$3:$AU$15,2,FALSE),"")</f>
        <v/>
      </c>
      <c r="J80" s="33" t="str">
        <f>IFERROR(VLOOKUP(E80,Расчет!$A$2:$E$650,5,FALSE),"")</f>
        <v/>
      </c>
      <c r="K80" s="189"/>
      <c r="L80" s="188">
        <f t="shared" si="34"/>
        <v>0</v>
      </c>
      <c r="M80" s="9"/>
      <c r="N80" s="40" t="str">
        <f>IF(AND(IFERROR(VLOOKUP(R80,Расчет!A:J,10,FALSE),"  ")&lt;&gt;"  ",IFERROR(LEFT(VLOOKUP(R80,Расчет!A:J,10,FALSE),1)," ")&lt;&gt;"H"),0,IFERROR(IF(S80="Camry",IF(OR(W80="2PS",W80="2QL"),IF(R80-AP183&gt;100,R80-AP183-1000+$AD$12,R80-AP183+$AD$12),IF(R80-AP183&gt;100,R80-AP183-1000,R80-AP183)),IF(W80="2PS",IF(R80-AP183&gt;100,R80-AP183-1000+$AD$17,R80-AP183+$AD$17),IF(R80-AP183&gt;100,R80-AP183-1000,R80-AP183))),"-"))</f>
        <v>-</v>
      </c>
      <c r="O80" s="46">
        <v>181</v>
      </c>
      <c r="P80" s="19" t="str">
        <f>IF(R80="","",COUNTA($R$3:R80)+$C$105)</f>
        <v/>
      </c>
      <c r="Q80" s="18" t="str">
        <f t="shared" si="27"/>
        <v/>
      </c>
      <c r="R80" s="30"/>
      <c r="S80" s="45" t="str">
        <f>IFERROR(IF(VLOOKUP(R80,Расчет!$A$2:$B$650,2,FALSE)="664W","Camry",IF(VLOOKUP(R80,Расчет!$A$2:$B$650,2,FALSE)="813W","Goshi","RAV4")),"")</f>
        <v/>
      </c>
      <c r="T80" s="32" t="str">
        <f>IFERROR(IF(S80="Camry",VLOOKUP(R80,Расчет!$A$2:$Q$650,17,FALSE),VLOOKUP(R80,Расчет!$A$2:$R$650,18,FALSE)),"")</f>
        <v/>
      </c>
      <c r="U80" s="32" t="str">
        <f>IFERROR(VLOOKUP(VLOOKUP(R80,Расчет!$A:$D,4,FALSE),$AT$6:$AV$15,3,FALSE),"")</f>
        <v/>
      </c>
      <c r="V80" s="31" t="str">
        <f>IFERROR(VLOOKUP(IFERROR(VLOOKUP(R80,Расчет!$A$2:$D$650,4,FALSE),0),$AT$3:$AU$15,2,FALSE),"")</f>
        <v/>
      </c>
      <c r="W80" s="33" t="str">
        <f>IFERROR(VLOOKUP(R80,Расчет!$A$2:$E$650,5,FALSE),"")</f>
        <v/>
      </c>
      <c r="X80" s="189"/>
      <c r="Y80" s="191">
        <f t="shared" si="35"/>
        <v>0</v>
      </c>
      <c r="Z80" s="155" t="s">
        <v>27</v>
      </c>
      <c r="AA80" s="219" t="s">
        <v>8</v>
      </c>
      <c r="AB80" s="155" t="s">
        <v>137</v>
      </c>
      <c r="AC80" s="155" t="s">
        <v>26</v>
      </c>
      <c r="AD80" s="155" t="s">
        <v>132</v>
      </c>
      <c r="AE80" s="89">
        <v>78</v>
      </c>
      <c r="AF80" s="44" t="str">
        <f>IF(VLOOKUP(AE80,Расчет!$AH$2:$AN$201,5,FALSE)="8","C",IF(VLOOKUP(AE80,Расчет!$AH$2:$AN$201,5,FALSE)="G","G","R"))</f>
        <v>R</v>
      </c>
      <c r="AG80" s="73" t="str">
        <f t="shared" si="28"/>
        <v/>
      </c>
      <c r="AH80" s="87" t="str">
        <f>IF(AG80="","",COUNTIF($AG$2:AG80,"C")-COUNTIF($AF$2:AF80,"C")+$AH$1)</f>
        <v/>
      </c>
      <c r="AI80" s="87" t="str">
        <f>IF(AG80="","",COUNTIF($AG$2:AG80,"R")-COUNTIF($AF$2:AF80,"R")+$AI$1)</f>
        <v/>
      </c>
      <c r="AJ80" s="89">
        <v>181</v>
      </c>
      <c r="AK80" s="44" t="str">
        <f>IF(VLOOKUP(AJ80,Расчет!$AH$2:$AN$211,5,FALSE)="8","C",IF(VLOOKUP(AJ80,Расчет!$AH$2:$AN$211,5,FALSE)="G","G","R"))</f>
        <v>R</v>
      </c>
      <c r="AL80" s="74" t="str">
        <f t="shared" si="29"/>
        <v/>
      </c>
      <c r="AM80" s="118" t="str">
        <f>IF(AL80="","",(COUNTIF($AG$2:$AG$105,"C")+COUNTIF($AL$2:$AL80,"C"))-(COUNTIF($AF$2:$AF$105,"C")+COUNTIF($AK$2:$AK80,"C"))+$AH$1)</f>
        <v/>
      </c>
      <c r="AN80" s="119" t="str">
        <f>IF(AL80="","",(COUNTIF($AG$2:$AG$105,"R")+COUNTIF($AL$2:$AL80,"R"))-(COUNTIF($AF$2:$AF$105,"R")+COUNTIF($AK$2:$AK80,"R"))+$AI$1)</f>
        <v/>
      </c>
      <c r="AO80" s="22" t="str">
        <f>IF(E80="","",COUNTA($E$3:E80)+$Z$1)</f>
        <v/>
      </c>
      <c r="AP80" s="88" t="str">
        <f>IF(AO80="","",IF(AO80+Расчет!$Y$57+$BD$2-Расчет!$X$57&gt;200,AO80+Расчет!$Y$57+$BD$2-1000,AO80+Расчет!$Y$57+$BD$2))</f>
        <v/>
      </c>
      <c r="AR80" s="92"/>
      <c r="AS80" s="92"/>
      <c r="BL80" s="172">
        <f>COUNTIF($BM$5:BM80,"&lt;-115")</f>
        <v>0</v>
      </c>
      <c r="BM80" s="154">
        <f>IFERROR(IF(OR(IFERROR(VLOOKUP(BN80,$E$3:$E$105,1,FALSE),"0")=BN80,IFERROR(VLOOKUP(BN80,$R$3:$R$105,1,FALSE),"0")=BN80),BO80,IF(OR(VLOOKUP(BN80,Расчет!A:E,5,FALSE)="2PS",VLOOKUP(BN80,Расчет!A:E,5,FALSE)="2QL"),IF(VLOOKUP(BN80,Расчет!A:B,2,FALSE)="831W",BN80-$BS$7+$AD$17,BN80-$BS$7+$AD$12),BN80-$BS$7)),"-")</f>
        <v>-2</v>
      </c>
      <c r="BN80" s="154">
        <f>IF(OR(Расчет!C77="A0",Расчет!C77="P9",Расчет!B77="722W"),"-",Расчет!A77)</f>
        <v>11222</v>
      </c>
      <c r="BO80" s="173">
        <f t="shared" si="39"/>
        <v>-2</v>
      </c>
      <c r="BP80" s="172" t="str">
        <f>IF(BQ80="-","-",IFERROR(IF(OR(VLOOKUP(BN80,Расчет!$A$2:$E$582,5,FALSE)="2PS",VLOOKUP(BN80,Расчет!$A$2:$E$582,5,FALSE)="2QL"),IF(OR(VLOOKUP(BN80,Расчет!$A$2:$E$582,2,FALSE)="664W",VLOOKUP(BN80,Расчет!$A$2:$E$582,2,FALSE)="813W"),IF(BN80-$BS$7&gt;150,BN80-$BS$7-1000+$AD$12,BN80-$BS$7+$AD$12),IF(BN80-$BS$7&gt;150,BN80-$BS$7-1000+$AD$17,BN80-$BS$7+$AD$17)),IF(BN80-$BS$7&gt;150,BN80-$BS$7-1000,BN80-$BS$7)),"-"))</f>
        <v>-</v>
      </c>
      <c r="BQ80" s="173" t="str">
        <f t="shared" si="36"/>
        <v>-</v>
      </c>
      <c r="BR80" s="453"/>
      <c r="BS80" s="171"/>
      <c r="BT80" s="464" t="str">
        <f t="shared" si="37"/>
        <v>-</v>
      </c>
      <c r="BU80" s="464" t="str">
        <f t="shared" si="38"/>
        <v>-</v>
      </c>
      <c r="BX80" s="204">
        <f>COUNTIF($BY$4:BY80,"&lt;100")</f>
        <v>59</v>
      </c>
      <c r="BY80" s="213" t="str">
        <f t="shared" si="30"/>
        <v/>
      </c>
      <c r="BZ80" s="216" t="str">
        <f t="shared" si="30"/>
        <v/>
      </c>
      <c r="CA80" s="213" t="e">
        <f t="shared" si="31"/>
        <v>#N/A</v>
      </c>
      <c r="CB80" s="209" t="e">
        <f t="shared" si="32"/>
        <v>#N/A</v>
      </c>
      <c r="CC80" s="205" t="str">
        <f t="shared" si="40"/>
        <v/>
      </c>
      <c r="CD80" s="205" t="str">
        <f t="shared" si="33"/>
        <v>-</v>
      </c>
      <c r="CE80" s="205">
        <f t="shared" si="41"/>
        <v>0</v>
      </c>
      <c r="CG80" s="20" t="str">
        <f t="shared" si="42"/>
        <v/>
      </c>
    </row>
    <row r="81" spans="1:85" ht="23.1" customHeight="1">
      <c r="A81" s="40" t="str">
        <f>IF(AND(IFERROR(VLOOKUP(E81,Расчет!A:J,10,FALSE),"  ")&lt;&gt;"  ",IFERROR(LEFT(VLOOKUP(E81,Расчет!A:J,10,FALSE),1)," ")&lt;&gt;"H"),0,IFERROR(IF(F81="Camry",IF(OR(J81="2PS",J81="2QL"),IF(E81-AP81&gt;100,E81-AP81-1000+$AD$12,E81-AP81+$AD$12),IF(E81-AP81&gt;100,E81-AP81-1000,E81-AP81)),IF(J81="2PS",IF(E81-AP81&gt;100,E81-AP81-1000+$AD$17,E81-AP81+$AD$17),IF(E81-AP81&gt;100,E81-AP81-1000,E81-AP81))),"-"))</f>
        <v>-</v>
      </c>
      <c r="B81" s="46">
        <v>79</v>
      </c>
      <c r="C81" s="19" t="str">
        <f>IF(E81="","",COUNTA($E$3:E81))</f>
        <v/>
      </c>
      <c r="D81" s="18" t="str">
        <f t="shared" si="26"/>
        <v/>
      </c>
      <c r="E81" s="30"/>
      <c r="F81" s="44" t="str">
        <f>IFERROR(IF(VLOOKUP(E81,Расчет!$A$2:$B$650,2,FALSE)="664W","Camry",IF(VLOOKUP(E81,Расчет!$A$2:$B$650,2,FALSE)="813W","Goshi","RAV4")),"")</f>
        <v/>
      </c>
      <c r="G81" s="32" t="str">
        <f>IFERROR(IF(F81="Camry",VLOOKUP(E81,Расчет!$A$2:$Q$650,17,FALSE),VLOOKUP(E81,Расчет!$A$2:$R$650,18,FALSE)),"")</f>
        <v/>
      </c>
      <c r="H81" s="32" t="str">
        <f>IFERROR(VLOOKUP(VLOOKUP(E81,Расчет!$A:$D,4,FALSE),$AT$6:$AV$15,3,FALSE),"")</f>
        <v/>
      </c>
      <c r="I81" s="31" t="str">
        <f>IFERROR(VLOOKUP(IFERROR(VLOOKUP(E81,Расчет!$A$2:$D$650,4,FALSE),0),$AT$3:$AU$15,2,FALSE),"")</f>
        <v/>
      </c>
      <c r="J81" s="33" t="str">
        <f>IFERROR(VLOOKUP(E81,Расчет!$A$2:$E$650,5,FALSE),"")</f>
        <v/>
      </c>
      <c r="K81" s="189"/>
      <c r="L81" s="188">
        <f t="shared" si="34"/>
        <v>0</v>
      </c>
      <c r="M81" s="9"/>
      <c r="N81" s="40" t="str">
        <f>IF(AND(IFERROR(VLOOKUP(R81,Расчет!A:J,10,FALSE),"  ")&lt;&gt;"  ",IFERROR(LEFT(VLOOKUP(R81,Расчет!A:J,10,FALSE),1)," ")&lt;&gt;"H"),0,IFERROR(IF(S81="Camry",IF(OR(W81="2PS",W81="2QL"),IF(R81-AP184&gt;100,R81-AP184-1000+$AD$12,R81-AP184+$AD$12),IF(R81-AP184&gt;100,R81-AP184-1000,R81-AP184)),IF(W81="2PS",IF(R81-AP184&gt;100,R81-AP184-1000+$AD$17,R81-AP184+$AD$17),IF(R81-AP184&gt;100,R81-AP184-1000,R81-AP184))),"-"))</f>
        <v>-</v>
      </c>
      <c r="O81" s="46">
        <v>182</v>
      </c>
      <c r="P81" s="19" t="str">
        <f>IF(R81="","",COUNTA($R$3:R81)+$C$105)</f>
        <v/>
      </c>
      <c r="Q81" s="18" t="str">
        <f t="shared" si="27"/>
        <v/>
      </c>
      <c r="R81" s="30"/>
      <c r="S81" s="45" t="str">
        <f>IFERROR(IF(VLOOKUP(R81,Расчет!$A$2:$B$650,2,FALSE)="664W","Camry",IF(VLOOKUP(R81,Расчет!$A$2:$B$650,2,FALSE)="813W","Goshi","RAV4")),"")</f>
        <v/>
      </c>
      <c r="T81" s="32" t="str">
        <f>IFERROR(IF(S81="Camry",VLOOKUP(R81,Расчет!$A$2:$Q$650,17,FALSE),VLOOKUP(R81,Расчет!$A$2:$R$650,18,FALSE)),"")</f>
        <v/>
      </c>
      <c r="U81" s="32" t="str">
        <f>IFERROR(VLOOKUP(VLOOKUP(R81,Расчет!$A:$D,4,FALSE),$AT$6:$AV$15,3,FALSE),"")</f>
        <v/>
      </c>
      <c r="V81" s="31" t="str">
        <f>IFERROR(VLOOKUP(IFERROR(VLOOKUP(R81,Расчет!$A$2:$D$650,4,FALSE),0),$AT$3:$AU$15,2,FALSE),"")</f>
        <v/>
      </c>
      <c r="W81" s="33" t="str">
        <f>IFERROR(VLOOKUP(R81,Расчет!$A$2:$E$650,5,FALSE),"")</f>
        <v/>
      </c>
      <c r="X81" s="189"/>
      <c r="Y81" s="191">
        <f t="shared" si="35"/>
        <v>0</v>
      </c>
      <c r="Z81" s="226" t="str">
        <f>IFERROR(IF(VLOOKUP(AC81,Расчет!$A$2:$B$236,2,FALSE)="831W","RAV4","Camry"),"-")</f>
        <v>Camry</v>
      </c>
      <c r="AA81" s="227" t="str">
        <f>IFERROR(VLOOKUP(AC35,Расчет!$A$2:$E$236,5,FALSE),"-")</f>
        <v>218</v>
      </c>
      <c r="AB81" s="164">
        <f>IFERROR(SMALL($BU$5:$BU$259,1),"")</f>
        <v>25</v>
      </c>
      <c r="AC81" s="148">
        <f>IF(VLOOKUP2($BP$5:$BQ$500,1,AB81,COUNTIF($AB$81:AB81,AB81),2)=0,"-",VLOOKUP2($BP$5:$BQ$500,1,AB81,COUNTIF($AB$81:AB81,AB81),2))</f>
        <v>11249</v>
      </c>
      <c r="AD81" s="245" t="str">
        <f>IFERROR(VLOOKUP(AC81,Расчет!$BS:$BT,2,FALSE),"")</f>
        <v>T5</v>
      </c>
      <c r="AE81" s="89">
        <v>79</v>
      </c>
      <c r="AF81" s="44" t="str">
        <f>IF(VLOOKUP(AE81,Расчет!$AH$2:$AN$201,5,FALSE)="8","C",IF(VLOOKUP(AE81,Расчет!$AH$2:$AN$201,5,FALSE)="G","G","R"))</f>
        <v>C</v>
      </c>
      <c r="AG81" s="73" t="str">
        <f t="shared" si="28"/>
        <v/>
      </c>
      <c r="AH81" s="87" t="str">
        <f>IF(AG81="","",COUNTIF($AG$2:AG81,"C")-COUNTIF($AF$2:AF81,"C")+$AH$1)</f>
        <v/>
      </c>
      <c r="AI81" s="87" t="str">
        <f>IF(AG81="","",COUNTIF($AG$2:AG81,"R")-COUNTIF($AF$2:AF81,"R")+$AI$1)</f>
        <v/>
      </c>
      <c r="AJ81" s="89">
        <v>182</v>
      </c>
      <c r="AK81" s="44" t="str">
        <f>IF(VLOOKUP(AJ81,Расчет!$AH$2:$AN$211,5,FALSE)="8","C",IF(VLOOKUP(AJ81,Расчет!$AH$2:$AN$211,5,FALSE)="G","G","R"))</f>
        <v>C</v>
      </c>
      <c r="AL81" s="74" t="str">
        <f t="shared" si="29"/>
        <v/>
      </c>
      <c r="AM81" s="118" t="str">
        <f>IF(AL81="","",(COUNTIF($AG$2:$AG$105,"C")+COUNTIF($AL$2:$AL81,"C"))-(COUNTIF($AF$2:$AF$105,"C")+COUNTIF($AK$2:$AK81,"C"))+$AH$1)</f>
        <v/>
      </c>
      <c r="AN81" s="119" t="str">
        <f>IF(AL81="","",(COUNTIF($AG$2:$AG$105,"R")+COUNTIF($AL$2:$AL81,"R"))-(COUNTIF($AF$2:$AF$105,"R")+COUNTIF($AK$2:$AK81,"R"))+$AI$1)</f>
        <v/>
      </c>
      <c r="AO81" s="22" t="str">
        <f>IF(E81="","",COUNTA($E$3:E81)+$Z$1)</f>
        <v/>
      </c>
      <c r="AP81" s="88" t="str">
        <f>IF(AO81="","",IF(AO81+Расчет!$Y$57+$BD$2-Расчет!$X$57&gt;200,AO81+Расчет!$Y$57+$BD$2-1000,AO81+Расчет!$Y$57+$BD$2))</f>
        <v/>
      </c>
      <c r="AR81" s="92"/>
      <c r="AS81" s="92"/>
      <c r="BL81" s="172">
        <f>COUNTIF($BM$5:BM81,"&lt;-115")</f>
        <v>0</v>
      </c>
      <c r="BM81" s="154">
        <f>IFERROR(IF(OR(IFERROR(VLOOKUP(BN81,$E$3:$E$105,1,FALSE),"0")=BN81,IFERROR(VLOOKUP(BN81,$R$3:$R$105,1,FALSE),"0")=BN81),BO81,IF(OR(VLOOKUP(BN81,Расчет!A:E,5,FALSE)="2PS",VLOOKUP(BN81,Расчет!A:E,5,FALSE)="2QL"),IF(VLOOKUP(BN81,Расчет!A:B,2,FALSE)="831W",BN81-$BS$7+$AD$17,BN81-$BS$7+$AD$12),BN81-$BS$7)),"-")</f>
        <v>18</v>
      </c>
      <c r="BN81" s="154">
        <f>IF(OR(Расчет!C78="A0",Расчет!C78="P9",Расчет!B78="722W"),"-",Расчет!A78)</f>
        <v>11223</v>
      </c>
      <c r="BO81" s="173">
        <f t="shared" si="39"/>
        <v>18</v>
      </c>
      <c r="BP81" s="172" t="str">
        <f>IF(BQ81="-","-",IFERROR(IF(OR(VLOOKUP(BN81,Расчет!$A$2:$E$582,5,FALSE)="2PS",VLOOKUP(BN81,Расчет!$A$2:$E$582,5,FALSE)="2QL"),IF(OR(VLOOKUP(BN81,Расчет!$A$2:$E$582,2,FALSE)="664W",VLOOKUP(BN81,Расчет!$A$2:$E$582,2,FALSE)="813W"),IF(BN81-$BS$7&gt;150,BN81-$BS$7-1000+$AD$12,BN81-$BS$7+$AD$12),IF(BN81-$BS$7&gt;150,BN81-$BS$7-1000+$AD$17,BN81-$BS$7+$AD$17)),IF(BN81-$BS$7&gt;150,BN81-$BS$7-1000,BN81-$BS$7)),"-"))</f>
        <v>-</v>
      </c>
      <c r="BQ81" s="173" t="str">
        <f t="shared" si="36"/>
        <v>-</v>
      </c>
      <c r="BR81" s="453"/>
      <c r="BS81" s="171"/>
      <c r="BT81" s="464" t="str">
        <f t="shared" si="37"/>
        <v>-</v>
      </c>
      <c r="BU81" s="464" t="str">
        <f t="shared" si="38"/>
        <v>-</v>
      </c>
      <c r="BX81" s="204">
        <f>COUNTIF($BY$4:BY81,"&lt;100")</f>
        <v>59</v>
      </c>
      <c r="BY81" s="213" t="str">
        <f t="shared" si="30"/>
        <v/>
      </c>
      <c r="BZ81" s="216" t="str">
        <f t="shared" si="30"/>
        <v/>
      </c>
      <c r="CA81" s="213" t="e">
        <f t="shared" si="31"/>
        <v>#N/A</v>
      </c>
      <c r="CB81" s="209" t="e">
        <f t="shared" si="32"/>
        <v>#N/A</v>
      </c>
      <c r="CC81" s="205" t="str">
        <f t="shared" si="40"/>
        <v/>
      </c>
      <c r="CD81" s="205" t="str">
        <f t="shared" si="33"/>
        <v>-</v>
      </c>
      <c r="CE81" s="205">
        <f t="shared" si="41"/>
        <v>0</v>
      </c>
      <c r="CG81" s="20" t="str">
        <f t="shared" si="42"/>
        <v/>
      </c>
    </row>
    <row r="82" spans="1:85" ht="23.1" customHeight="1">
      <c r="A82" s="40" t="str">
        <f>IF(AND(IFERROR(VLOOKUP(E82,Расчет!A:J,10,FALSE),"  ")&lt;&gt;"  ",IFERROR(LEFT(VLOOKUP(E82,Расчет!A:J,10,FALSE),1)," ")&lt;&gt;"H"),0,IFERROR(IF(F82="Camry",IF(OR(J82="2PS",J82="2QL"),IF(E82-AP82&gt;100,E82-AP82-1000+$AD$12,E82-AP82+$AD$12),IF(E82-AP82&gt;100,E82-AP82-1000,E82-AP82)),IF(J82="2PS",IF(E82-AP82&gt;100,E82-AP82-1000+$AD$17,E82-AP82+$AD$17),IF(E82-AP82&gt;100,E82-AP82-1000,E82-AP82))),"-"))</f>
        <v>-</v>
      </c>
      <c r="B82" s="46">
        <v>80</v>
      </c>
      <c r="C82" s="19" t="str">
        <f>IF(E82="","",COUNTA($E$3:E82))</f>
        <v/>
      </c>
      <c r="D82" s="18" t="str">
        <f t="shared" si="26"/>
        <v/>
      </c>
      <c r="E82" s="30"/>
      <c r="F82" s="44" t="str">
        <f>IFERROR(IF(VLOOKUP(E82,Расчет!$A$2:$B$650,2,FALSE)="664W","Camry",IF(VLOOKUP(E82,Расчет!$A$2:$B$650,2,FALSE)="813W","Goshi","RAV4")),"")</f>
        <v/>
      </c>
      <c r="G82" s="32" t="str">
        <f>IFERROR(IF(F82="Camry",VLOOKUP(E82,Расчет!$A$2:$Q$650,17,FALSE),VLOOKUP(E82,Расчет!$A$2:$R$650,18,FALSE)),"")</f>
        <v/>
      </c>
      <c r="H82" s="32" t="str">
        <f>IFERROR(VLOOKUP(VLOOKUP(E82,Расчет!$A:$D,4,FALSE),$AT$6:$AV$15,3,FALSE),"")</f>
        <v/>
      </c>
      <c r="I82" s="31" t="str">
        <f>IFERROR(VLOOKUP(IFERROR(VLOOKUP(E82,Расчет!$A$2:$D$650,4,FALSE),0),$AT$3:$AU$15,2,FALSE),"")</f>
        <v/>
      </c>
      <c r="J82" s="33" t="str">
        <f>IFERROR(VLOOKUP(E82,Расчет!$A$2:$E$650,5,FALSE),"")</f>
        <v/>
      </c>
      <c r="K82" s="189"/>
      <c r="L82" s="188">
        <f t="shared" si="34"/>
        <v>0</v>
      </c>
      <c r="M82" s="9"/>
      <c r="N82" s="40" t="str">
        <f>IF(AND(IFERROR(VLOOKUP(R82,Расчет!A:J,10,FALSE),"  ")&lt;&gt;"  ",IFERROR(LEFT(VLOOKUP(R82,Расчет!A:J,10,FALSE),1)," ")&lt;&gt;"H"),0,IFERROR(IF(S82="Camry",IF(OR(W82="2PS",W82="2QL"),IF(R82-AP185&gt;100,R82-AP185-1000+$AD$12,R82-AP185+$AD$12),IF(R82-AP185&gt;100,R82-AP185-1000,R82-AP185)),IF(W82="2PS",IF(R82-AP185&gt;100,R82-AP185-1000+$AD$17,R82-AP185+$AD$17),IF(R82-AP185&gt;100,R82-AP185-1000,R82-AP185))),"-"))</f>
        <v>-</v>
      </c>
      <c r="O82" s="46">
        <v>183</v>
      </c>
      <c r="P82" s="19" t="str">
        <f>IF(R82="","",COUNTA($R$3:R82)+$C$105)</f>
        <v/>
      </c>
      <c r="Q82" s="18" t="str">
        <f t="shared" si="27"/>
        <v/>
      </c>
      <c r="R82" s="30"/>
      <c r="S82" s="45" t="str">
        <f>IFERROR(IF(VLOOKUP(R82,Расчет!$A$2:$B$650,2,FALSE)="664W","Camry",IF(VLOOKUP(R82,Расчет!$A$2:$B$650,2,FALSE)="813W","Goshi","RAV4")),"")</f>
        <v/>
      </c>
      <c r="T82" s="32" t="str">
        <f>IFERROR(IF(S82="Camry",VLOOKUP(R82,Расчет!$A$2:$Q$650,17,FALSE),VLOOKUP(R82,Расчет!$A$2:$R$650,18,FALSE)),"")</f>
        <v/>
      </c>
      <c r="U82" s="32" t="str">
        <f>IFERROR(VLOOKUP(VLOOKUP(R82,Расчет!$A:$D,4,FALSE),$AT$6:$AV$15,3,FALSE),"")</f>
        <v/>
      </c>
      <c r="V82" s="31" t="str">
        <f>IFERROR(VLOOKUP(IFERROR(VLOOKUP(R82,Расчет!$A$2:$D$650,4,FALSE),0),$AT$3:$AU$15,2,FALSE),"")</f>
        <v/>
      </c>
      <c r="W82" s="33" t="str">
        <f>IFERROR(VLOOKUP(R82,Расчет!$A$2:$E$650,5,FALSE),"")</f>
        <v/>
      </c>
      <c r="X82" s="189"/>
      <c r="Y82" s="191">
        <f t="shared" si="35"/>
        <v>0</v>
      </c>
      <c r="Z82" s="193" t="str">
        <f>IFERROR(IF(VLOOKUP(AC82,Расчет!$A$2:$B$236,2,FALSE)="831W","RAV4","Camry"),"-")</f>
        <v>Camry</v>
      </c>
      <c r="AA82" s="228" t="str">
        <f>IFERROR(VLOOKUP(AC36,Расчет!$A$2:$E$236,5,FALSE),"-")</f>
        <v>089</v>
      </c>
      <c r="AB82" s="167">
        <f>IFERROR(SMALL($BU$5:$BU$259,2),"")</f>
        <v>27</v>
      </c>
      <c r="AC82" s="156">
        <f>IF(VLOOKUP2($BP$5:$BQ$500,1,AB82,COUNTIF($AB$81:AB82,AB82),2)=0,"-",VLOOKUP2($BP$5:$BQ$500,1,AB82,COUNTIF($AB$81:AB82,AB82),2))</f>
        <v>11251</v>
      </c>
      <c r="AD82" s="353" t="str">
        <f>IFERROR(VLOOKUP(AC82,Расчет!$BS:$BT,2,FALSE),"")</f>
        <v>T5</v>
      </c>
      <c r="AE82" s="89">
        <v>80</v>
      </c>
      <c r="AF82" s="44" t="str">
        <f>IF(VLOOKUP(AE82,Расчет!$AH$2:$AN$201,5,FALSE)="8","C",IF(VLOOKUP(AE82,Расчет!$AH$2:$AN$201,5,FALSE)="G","G","R"))</f>
        <v>R</v>
      </c>
      <c r="AG82" s="73" t="str">
        <f t="shared" si="28"/>
        <v/>
      </c>
      <c r="AH82" s="87" t="str">
        <f>IF(AG82="","",COUNTIF($AG$2:AG82,"C")-COUNTIF($AF$2:AF82,"C")+$AH$1)</f>
        <v/>
      </c>
      <c r="AI82" s="87" t="str">
        <f>IF(AG82="","",COUNTIF($AG$2:AG82,"R")-COUNTIF($AF$2:AF82,"R")+$AI$1)</f>
        <v/>
      </c>
      <c r="AJ82" s="89">
        <v>183</v>
      </c>
      <c r="AK82" s="44" t="str">
        <f>IF(VLOOKUP(AJ82,Расчет!$AH$2:$AN$211,5,FALSE)="8","C",IF(VLOOKUP(AJ82,Расчет!$AH$2:$AN$211,5,FALSE)="G","G","R"))</f>
        <v>R</v>
      </c>
      <c r="AL82" s="74" t="str">
        <f t="shared" si="29"/>
        <v/>
      </c>
      <c r="AM82" s="118" t="str">
        <f>IF(AL82="","",(COUNTIF($AG$2:$AG$105,"C")+COUNTIF($AL$2:$AL82,"C"))-(COUNTIF($AF$2:$AF$105,"C")+COUNTIF($AK$2:$AK82,"C"))+$AH$1)</f>
        <v/>
      </c>
      <c r="AN82" s="119" t="str">
        <f>IF(AL82="","",(COUNTIF($AG$2:$AG$105,"R")+COUNTIF($AL$2:$AL82,"R"))-(COUNTIF($AF$2:$AF$105,"R")+COUNTIF($AK$2:$AK82,"R"))+$AI$1)</f>
        <v/>
      </c>
      <c r="AO82" s="22" t="str">
        <f>IF(E82="","",COUNTA($E$3:E82)+$Z$1)</f>
        <v/>
      </c>
      <c r="AP82" s="88" t="str">
        <f>IF(AO82="","",IF(AO82+Расчет!$Y$57+$BD$2-Расчет!$X$57&gt;200,AO82+Расчет!$Y$57+$BD$2-1000,AO82+Расчет!$Y$57+$BD$2))</f>
        <v/>
      </c>
      <c r="AR82" s="92"/>
      <c r="AS82" s="92"/>
      <c r="BL82" s="172">
        <f>COUNTIF($BM$5:BM82,"&lt;-115")</f>
        <v>0</v>
      </c>
      <c r="BM82" s="154">
        <f>IFERROR(IF(OR(IFERROR(VLOOKUP(BN82,$E$3:$E$105,1,FALSE),"0")=BN82,IFERROR(VLOOKUP(BN82,$R$3:$R$105,1,FALSE),"0")=BN82),BO82,IF(OR(VLOOKUP(BN82,Расчет!A:E,5,FALSE)="2PS",VLOOKUP(BN82,Расчет!A:E,5,FALSE)="2QL"),IF(VLOOKUP(BN82,Расчет!A:B,2,FALSE)="831W",BN82-$BS$7+$AD$17,BN82-$BS$7+$AD$12),BN82-$BS$7)),"-")</f>
        <v>21</v>
      </c>
      <c r="BN82" s="154">
        <f>IF(OR(Расчет!C79="A0",Расчет!C79="P9",Расчет!B79="722W"),"-",Расчет!A79)</f>
        <v>11224</v>
      </c>
      <c r="BO82" s="173">
        <f t="shared" si="39"/>
        <v>21</v>
      </c>
      <c r="BP82" s="172" t="str">
        <f>IF(BQ82="-","-",IFERROR(IF(OR(VLOOKUP(BN82,Расчет!$A$2:$E$582,5,FALSE)="2PS",VLOOKUP(BN82,Расчет!$A$2:$E$582,5,FALSE)="2QL"),IF(OR(VLOOKUP(BN82,Расчет!$A$2:$E$582,2,FALSE)="664W",VLOOKUP(BN82,Расчет!$A$2:$E$582,2,FALSE)="813W"),IF(BN82-$BS$7&gt;150,BN82-$BS$7-1000+$AD$12,BN82-$BS$7+$AD$12),IF(BN82-$BS$7&gt;150,BN82-$BS$7-1000+$AD$17,BN82-$BS$7+$AD$17)),IF(BN82-$BS$7&gt;150,BN82-$BS$7-1000,BN82-$BS$7)),"-"))</f>
        <v>-</v>
      </c>
      <c r="BQ82" s="173" t="str">
        <f t="shared" si="36"/>
        <v>-</v>
      </c>
      <c r="BR82" s="453"/>
      <c r="BS82" s="171"/>
      <c r="BT82" s="464" t="str">
        <f t="shared" si="37"/>
        <v>-</v>
      </c>
      <c r="BU82" s="464" t="str">
        <f t="shared" si="38"/>
        <v>-</v>
      </c>
      <c r="BX82" s="204">
        <f>COUNTIF($BY$4:BY82,"&lt;100")</f>
        <v>59</v>
      </c>
      <c r="BY82" s="213" t="str">
        <f t="shared" si="30"/>
        <v/>
      </c>
      <c r="BZ82" s="216" t="str">
        <f t="shared" si="30"/>
        <v/>
      </c>
      <c r="CA82" s="213" t="e">
        <f t="shared" si="31"/>
        <v>#N/A</v>
      </c>
      <c r="CB82" s="209" t="e">
        <f t="shared" si="32"/>
        <v>#N/A</v>
      </c>
      <c r="CC82" s="205" t="str">
        <f t="shared" si="40"/>
        <v/>
      </c>
      <c r="CD82" s="205" t="str">
        <f t="shared" si="33"/>
        <v>-</v>
      </c>
      <c r="CE82" s="205">
        <f t="shared" si="41"/>
        <v>0</v>
      </c>
      <c r="CG82" s="20" t="str">
        <f t="shared" si="42"/>
        <v/>
      </c>
    </row>
    <row r="83" spans="1:85" ht="23.1" customHeight="1">
      <c r="A83" s="40" t="str">
        <f>IF(AND(IFERROR(VLOOKUP(E83,Расчет!A:J,10,FALSE),"  ")&lt;&gt;"  ",IFERROR(LEFT(VLOOKUP(E83,Расчет!A:J,10,FALSE),1)," ")&lt;&gt;"H"),0,IFERROR(IF(F83="Camry",IF(OR(J83="2PS",J83="2QL"),IF(E83-AP83&gt;100,E83-AP83-1000+$AD$12,E83-AP83+$AD$12),IF(E83-AP83&gt;100,E83-AP83-1000,E83-AP83)),IF(J83="2PS",IF(E83-AP83&gt;100,E83-AP83-1000+$AD$17,E83-AP83+$AD$17),IF(E83-AP83&gt;100,E83-AP83-1000,E83-AP83))),"-"))</f>
        <v>-</v>
      </c>
      <c r="B83" s="46">
        <v>81</v>
      </c>
      <c r="C83" s="19" t="str">
        <f>IF(E83="","",COUNTA($E$3:E83))</f>
        <v/>
      </c>
      <c r="D83" s="18" t="str">
        <f t="shared" si="26"/>
        <v/>
      </c>
      <c r="E83" s="30"/>
      <c r="F83" s="44" t="str">
        <f>IFERROR(IF(VLOOKUP(E83,Расчет!$A$2:$B$650,2,FALSE)="664W","Camry",IF(VLOOKUP(E83,Расчет!$A$2:$B$650,2,FALSE)="813W","Goshi","RAV4")),"")</f>
        <v/>
      </c>
      <c r="G83" s="32" t="str">
        <f>IFERROR(IF(F83="Camry",VLOOKUP(E83,Расчет!$A$2:$Q$650,17,FALSE),VLOOKUP(E83,Расчет!$A$2:$R$650,18,FALSE)),"")</f>
        <v/>
      </c>
      <c r="H83" s="32" t="str">
        <f>IFERROR(VLOOKUP(VLOOKUP(E83,Расчет!$A:$D,4,FALSE),$AT$6:$AV$15,3,FALSE),"")</f>
        <v/>
      </c>
      <c r="I83" s="31" t="str">
        <f>IFERROR(VLOOKUP(IFERROR(VLOOKUP(E83,Расчет!$A$2:$D$650,4,FALSE),0),$AT$3:$AU$15,2,FALSE),"")</f>
        <v/>
      </c>
      <c r="J83" s="33" t="str">
        <f>IFERROR(VLOOKUP(E83,Расчет!$A$2:$E$650,5,FALSE),"")</f>
        <v/>
      </c>
      <c r="K83" s="189"/>
      <c r="L83" s="188">
        <f t="shared" si="34"/>
        <v>0</v>
      </c>
      <c r="M83" s="9"/>
      <c r="N83" s="40" t="str">
        <f>IF(AND(IFERROR(VLOOKUP(R83,Расчет!A:J,10,FALSE),"  ")&lt;&gt;"  ",IFERROR(LEFT(VLOOKUP(R83,Расчет!A:J,10,FALSE),1)," ")&lt;&gt;"H"),0,IFERROR(IF(S83="Camry",IF(OR(W83="2PS",W83="2QL"),IF(R83-AP186&gt;100,R83-AP186-1000+$AD$12,R83-AP186+$AD$12),IF(R83-AP186&gt;100,R83-AP186-1000,R83-AP186)),IF(W83="2PS",IF(R83-AP186&gt;100,R83-AP186-1000+$AD$17,R83-AP186+$AD$17),IF(R83-AP186&gt;100,R83-AP186-1000,R83-AP186))),"-"))</f>
        <v>-</v>
      </c>
      <c r="O83" s="46">
        <v>184</v>
      </c>
      <c r="P83" s="19" t="str">
        <f>IF(R83="","",COUNTA($R$3:R83)+$C$105)</f>
        <v/>
      </c>
      <c r="Q83" s="18" t="str">
        <f t="shared" si="27"/>
        <v/>
      </c>
      <c r="R83" s="30"/>
      <c r="S83" s="45" t="str">
        <f>IFERROR(IF(VLOOKUP(R83,Расчет!$A$2:$B$650,2,FALSE)="664W","Camry",IF(VLOOKUP(R83,Расчет!$A$2:$B$650,2,FALSE)="813W","Goshi","RAV4")),"")</f>
        <v/>
      </c>
      <c r="T83" s="32" t="str">
        <f>IFERROR(IF(S83="Camry",VLOOKUP(R83,Расчет!$A$2:$Q$650,17,FALSE),VLOOKUP(R83,Расчет!$A$2:$R$650,18,FALSE)),"")</f>
        <v/>
      </c>
      <c r="U83" s="32" t="str">
        <f>IFERROR(VLOOKUP(VLOOKUP(R83,Расчет!$A:$D,4,FALSE),$AT$6:$AV$15,3,FALSE),"")</f>
        <v/>
      </c>
      <c r="V83" s="31" t="str">
        <f>IFERROR(VLOOKUP(IFERROR(VLOOKUP(R83,Расчет!$A$2:$D$650,4,FALSE),0),$AT$3:$AU$15,2,FALSE),"")</f>
        <v/>
      </c>
      <c r="W83" s="33" t="str">
        <f>IFERROR(VLOOKUP(R83,Расчет!$A$2:$E$650,5,FALSE),"")</f>
        <v/>
      </c>
      <c r="X83" s="189"/>
      <c r="Y83" s="191">
        <f t="shared" si="35"/>
        <v>0</v>
      </c>
      <c r="Z83" s="193" t="str">
        <f>IFERROR(IF(VLOOKUP(AC83,Расчет!$A$2:$B$236,2,FALSE)="831W","RAV4","Camry"),"-")</f>
        <v>RAV4</v>
      </c>
      <c r="AA83" s="228" t="str">
        <f>IFERROR(VLOOKUP(AC37,Расчет!$A$2:$E$236,5,FALSE),"-")</f>
        <v>1F7</v>
      </c>
      <c r="AB83" s="167">
        <f>IFERROR(SMALL($BU$5:$BU$259,3),"")</f>
        <v>28</v>
      </c>
      <c r="AC83" s="156">
        <f>IF(VLOOKUP2($BP$5:$BQ$500,1,AB83,COUNTIF($AB$81:AB83,AB83),2)=0,"-",VLOOKUP2($BP$5:$BQ$500,1,AB83,COUNTIF($AB$81:AB83,AB83),2))</f>
        <v>11252</v>
      </c>
      <c r="AD83" s="353" t="str">
        <f>IFERROR(VLOOKUP(AC83,Расчет!$BS:$BT,2,FALSE),"")</f>
        <v>T5</v>
      </c>
      <c r="AE83" s="89">
        <v>81</v>
      </c>
      <c r="AF83" s="44" t="str">
        <f>IF(VLOOKUP(AE83,Расчет!$AH$2:$AN$201,5,FALSE)="8","C",IF(VLOOKUP(AE83,Расчет!$AH$2:$AN$201,5,FALSE)="G","G","R"))</f>
        <v>R</v>
      </c>
      <c r="AG83" s="73" t="str">
        <f t="shared" si="28"/>
        <v/>
      </c>
      <c r="AH83" s="87" t="str">
        <f>IF(AG83="","",COUNTIF($AG$2:AG83,"C")-COUNTIF($AF$2:AF83,"C")+$AH$1)</f>
        <v/>
      </c>
      <c r="AI83" s="87" t="str">
        <f>IF(AG83="","",COUNTIF($AG$2:AG83,"R")-COUNTIF($AF$2:AF83,"R")+$AI$1)</f>
        <v/>
      </c>
      <c r="AJ83" s="89">
        <v>184</v>
      </c>
      <c r="AK83" s="44" t="str">
        <f>IF(VLOOKUP(AJ83,Расчет!$AH$2:$AN$211,5,FALSE)="8","C",IF(VLOOKUP(AJ83,Расчет!$AH$2:$AN$211,5,FALSE)="G","G","R"))</f>
        <v>R</v>
      </c>
      <c r="AL83" s="74" t="str">
        <f t="shared" si="29"/>
        <v/>
      </c>
      <c r="AM83" s="118" t="str">
        <f>IF(AL83="","",(COUNTIF($AG$2:$AG$105,"C")+COUNTIF($AL$2:$AL83,"C"))-(COUNTIF($AF$2:$AF$105,"C")+COUNTIF($AK$2:$AK83,"C"))+$AH$1)</f>
        <v/>
      </c>
      <c r="AN83" s="119" t="str">
        <f>IF(AL83="","",(COUNTIF($AG$2:$AG$105,"R")+COUNTIF($AL$2:$AL83,"R"))-(COUNTIF($AF$2:$AF$105,"R")+COUNTIF($AK$2:$AK83,"R"))+$AI$1)</f>
        <v/>
      </c>
      <c r="AO83" s="22" t="str">
        <f>IF(E83="","",COUNTA($E$3:E83)+$Z$1)</f>
        <v/>
      </c>
      <c r="AP83" s="88" t="str">
        <f>IF(AO83="","",IF(AO83+Расчет!$Y$57+$BD$2-Расчет!$X$57&gt;200,AO83+Расчет!$Y$57+$BD$2-1000,AO83+Расчет!$Y$57+$BD$2))</f>
        <v/>
      </c>
      <c r="AR83" s="92"/>
      <c r="AS83" s="92"/>
      <c r="BL83" s="172">
        <f>COUNTIF($BM$5:BM83,"&lt;-115")</f>
        <v>0</v>
      </c>
      <c r="BM83" s="154">
        <f>IFERROR(IF(OR(IFERROR(VLOOKUP(BN83,$E$3:$E$105,1,FALSE),"0")=BN83,IFERROR(VLOOKUP(BN83,$R$3:$R$105,1,FALSE),"0")=BN83),BO83,IF(OR(VLOOKUP(BN83,Расчет!A:E,5,FALSE)="2PS",VLOOKUP(BN83,Расчет!A:E,5,FALSE)="2QL"),IF(VLOOKUP(BN83,Расчет!A:B,2,FALSE)="831W",BN83-$BS$7+$AD$17,BN83-$BS$7+$AD$12),BN83-$BS$7)),"-")</f>
        <v>18</v>
      </c>
      <c r="BN83" s="154">
        <f>IF(OR(Расчет!C80="A0",Расчет!C80="P9",Расчет!B80="722W"),"-",Расчет!A80)</f>
        <v>11225</v>
      </c>
      <c r="BO83" s="173">
        <f t="shared" si="39"/>
        <v>18</v>
      </c>
      <c r="BP83" s="172" t="str">
        <f>IF(BQ83="-","-",IFERROR(IF(OR(VLOOKUP(BN83,Расчет!$A$2:$E$582,5,FALSE)="2PS",VLOOKUP(BN83,Расчет!$A$2:$E$582,5,FALSE)="2QL"),IF(OR(VLOOKUP(BN83,Расчет!$A$2:$E$582,2,FALSE)="664W",VLOOKUP(BN83,Расчет!$A$2:$E$582,2,FALSE)="813W"),IF(BN83-$BS$7&gt;150,BN83-$BS$7-1000+$AD$12,BN83-$BS$7+$AD$12),IF(BN83-$BS$7&gt;150,BN83-$BS$7-1000+$AD$17,BN83-$BS$7+$AD$17)),IF(BN83-$BS$7&gt;150,BN83-$BS$7-1000,BN83-$BS$7)),"-"))</f>
        <v>-</v>
      </c>
      <c r="BQ83" s="173" t="str">
        <f t="shared" si="36"/>
        <v>-</v>
      </c>
      <c r="BR83" s="453"/>
      <c r="BS83" s="171"/>
      <c r="BT83" s="464" t="str">
        <f t="shared" si="37"/>
        <v>-</v>
      </c>
      <c r="BU83" s="464" t="str">
        <f t="shared" si="38"/>
        <v>-</v>
      </c>
      <c r="BX83" s="204">
        <f>COUNTIF($BY$4:BY83,"&lt;100")</f>
        <v>59</v>
      </c>
      <c r="BY83" s="213" t="str">
        <f t="shared" si="30"/>
        <v/>
      </c>
      <c r="BZ83" s="216" t="str">
        <f t="shared" si="30"/>
        <v/>
      </c>
      <c r="CA83" s="213" t="e">
        <f t="shared" si="31"/>
        <v>#N/A</v>
      </c>
      <c r="CB83" s="209" t="e">
        <f t="shared" si="32"/>
        <v>#N/A</v>
      </c>
      <c r="CC83" s="205" t="str">
        <f t="shared" si="40"/>
        <v/>
      </c>
      <c r="CD83" s="205" t="str">
        <f t="shared" si="33"/>
        <v>-</v>
      </c>
      <c r="CE83" s="205">
        <f t="shared" si="41"/>
        <v>0</v>
      </c>
      <c r="CG83" s="20" t="str">
        <f t="shared" si="42"/>
        <v/>
      </c>
    </row>
    <row r="84" spans="1:85" ht="23.1" customHeight="1">
      <c r="A84" s="40" t="str">
        <f>IF(AND(IFERROR(VLOOKUP(E84,Расчет!A:J,10,FALSE),"  ")&lt;&gt;"  ",IFERROR(LEFT(VLOOKUP(E84,Расчет!A:J,10,FALSE),1)," ")&lt;&gt;"H"),0,IFERROR(IF(F84="Camry",IF(OR(J84="2PS",J84="2QL"),IF(E84-AP84&gt;100,E84-AP84-1000+$AD$12,E84-AP84+$AD$12),IF(E84-AP84&gt;100,E84-AP84-1000,E84-AP84)),IF(J84="2PS",IF(E84-AP84&gt;100,E84-AP84-1000+$AD$17,E84-AP84+$AD$17),IF(E84-AP84&gt;100,E84-AP84-1000,E84-AP84))),"-"))</f>
        <v>-</v>
      </c>
      <c r="B84" s="46">
        <v>82</v>
      </c>
      <c r="C84" s="19" t="str">
        <f>IF(E84="","",COUNTA($E$3:E84))</f>
        <v/>
      </c>
      <c r="D84" s="18" t="str">
        <f t="shared" si="26"/>
        <v/>
      </c>
      <c r="E84" s="30"/>
      <c r="F84" s="44" t="str">
        <f>IFERROR(IF(VLOOKUP(E84,Расчет!$A$2:$B$650,2,FALSE)="664W","Camry",IF(VLOOKUP(E84,Расчет!$A$2:$B$650,2,FALSE)="813W","Goshi","RAV4")),"")</f>
        <v/>
      </c>
      <c r="G84" s="32" t="str">
        <f>IFERROR(IF(F84="Camry",VLOOKUP(E84,Расчет!$A$2:$Q$650,17,FALSE),VLOOKUP(E84,Расчет!$A$2:$R$650,18,FALSE)),"")</f>
        <v/>
      </c>
      <c r="H84" s="32" t="str">
        <f>IFERROR(VLOOKUP(VLOOKUP(E84,Расчет!$A:$D,4,FALSE),$AT$6:$AV$15,3,FALSE),"")</f>
        <v/>
      </c>
      <c r="I84" s="31" t="str">
        <f>IFERROR(VLOOKUP(IFERROR(VLOOKUP(E84,Расчет!$A$2:$D$650,4,FALSE),0),$AT$3:$AU$15,2,FALSE),"")</f>
        <v/>
      </c>
      <c r="J84" s="33" t="str">
        <f>IFERROR(VLOOKUP(E84,Расчет!$A$2:$E$650,5,FALSE),"")</f>
        <v/>
      </c>
      <c r="K84" s="189"/>
      <c r="L84" s="188">
        <f t="shared" si="34"/>
        <v>0</v>
      </c>
      <c r="M84" s="9"/>
      <c r="N84" s="40" t="str">
        <f>IF(AND(IFERROR(VLOOKUP(R84,Расчет!A:J,10,FALSE),"  ")&lt;&gt;"  ",IFERROR(LEFT(VLOOKUP(R84,Расчет!A:J,10,FALSE),1)," ")&lt;&gt;"H"),0,IFERROR(IF(S84="Camry",IF(OR(W84="2PS",W84="2QL"),IF(R84-AP187&gt;100,R84-AP187-1000+$AD$12,R84-AP187+$AD$12),IF(R84-AP187&gt;100,R84-AP187-1000,R84-AP187)),IF(W84="2PS",IF(R84-AP187&gt;100,R84-AP187-1000+$AD$17,R84-AP187+$AD$17),IF(R84-AP187&gt;100,R84-AP187-1000,R84-AP187))),"-"))</f>
        <v>-</v>
      </c>
      <c r="O84" s="46">
        <v>185</v>
      </c>
      <c r="P84" s="19" t="str">
        <f>IF(R84="","",COUNTA($R$3:R84)+$C$105)</f>
        <v/>
      </c>
      <c r="Q84" s="18" t="str">
        <f t="shared" si="27"/>
        <v/>
      </c>
      <c r="R84" s="30"/>
      <c r="S84" s="45" t="str">
        <f>IFERROR(IF(VLOOKUP(R84,Расчет!$A$2:$B$650,2,FALSE)="664W","Camry",IF(VLOOKUP(R84,Расчет!$A$2:$B$650,2,FALSE)="813W","Goshi","RAV4")),"")</f>
        <v/>
      </c>
      <c r="T84" s="32" t="str">
        <f>IFERROR(IF(S84="Camry",VLOOKUP(R84,Расчет!$A$2:$Q$650,17,FALSE),VLOOKUP(R84,Расчет!$A$2:$R$650,18,FALSE)),"")</f>
        <v/>
      </c>
      <c r="U84" s="32" t="str">
        <f>IFERROR(VLOOKUP(VLOOKUP(R84,Расчет!$A:$D,4,FALSE),$AT$6:$AV$15,3,FALSE),"")</f>
        <v/>
      </c>
      <c r="V84" s="31" t="str">
        <f>IFERROR(VLOOKUP(IFERROR(VLOOKUP(R84,Расчет!$A$2:$D$650,4,FALSE),0),$AT$3:$AU$15,2,FALSE),"")</f>
        <v/>
      </c>
      <c r="W84" s="33" t="str">
        <f>IFERROR(VLOOKUP(R84,Расчет!$A$2:$E$650,5,FALSE),"")</f>
        <v/>
      </c>
      <c r="X84" s="189"/>
      <c r="Y84" s="191">
        <f t="shared" si="35"/>
        <v>0</v>
      </c>
      <c r="Z84" s="193" t="str">
        <f>IFERROR(IF(VLOOKUP(AC84,Расчет!$A$2:$B$236,2,FALSE)="831W","RAV4","Camry"),"-")</f>
        <v>RAV4</v>
      </c>
      <c r="AA84" s="228" t="str">
        <f>IFERROR(VLOOKUP(AC38,Расчет!$A$2:$E$236,5,FALSE),"-")</f>
        <v>4X7</v>
      </c>
      <c r="AB84" s="167">
        <f>IFERROR(SMALL($BU$5:$BU$259,4),"")</f>
        <v>29</v>
      </c>
      <c r="AC84" s="156">
        <f>IF(VLOOKUP2($BP$5:$BQ$500,1,AB84,COUNTIF($AB$81:AB84,AB84),2)=0,"-",VLOOKUP2($BP$5:$BQ$500,1,AB84,COUNTIF($AB$81:AB84,AB84),2))</f>
        <v>11253</v>
      </c>
      <c r="AD84" s="353" t="str">
        <f>IFERROR(VLOOKUP(AC84,Расчет!$BS:$BT,2,FALSE),"")</f>
        <v>T4</v>
      </c>
      <c r="AE84" s="89">
        <v>82</v>
      </c>
      <c r="AF84" s="44" t="str">
        <f>IF(VLOOKUP(AE84,Расчет!$AH$2:$AN$201,5,FALSE)="8","C",IF(VLOOKUP(AE84,Расчет!$AH$2:$AN$201,5,FALSE)="G","G","R"))</f>
        <v>C</v>
      </c>
      <c r="AG84" s="73" t="str">
        <f t="shared" si="28"/>
        <v/>
      </c>
      <c r="AH84" s="87" t="str">
        <f>IF(AG84="","",COUNTIF($AG$2:AG84,"C")-COUNTIF($AF$2:AF84,"C")+$AH$1)</f>
        <v/>
      </c>
      <c r="AI84" s="87" t="str">
        <f>IF(AG84="","",COUNTIF($AG$2:AG84,"R")-COUNTIF($AF$2:AF84,"R")+$AI$1)</f>
        <v/>
      </c>
      <c r="AJ84" s="89">
        <v>185</v>
      </c>
      <c r="AK84" s="44" t="str">
        <f>IF(VLOOKUP(AJ84,Расчет!$AH$2:$AN$211,5,FALSE)="8","C",IF(VLOOKUP(AJ84,Расчет!$AH$2:$AN$211,5,FALSE)="G","G","R"))</f>
        <v>C</v>
      </c>
      <c r="AL84" s="74" t="str">
        <f t="shared" si="29"/>
        <v/>
      </c>
      <c r="AM84" s="118" t="str">
        <f>IF(AL84="","",(COUNTIF($AG$2:$AG$105,"C")+COUNTIF($AL$2:$AL84,"C"))-(COUNTIF($AF$2:$AF$105,"C")+COUNTIF($AK$2:$AK84,"C"))+$AH$1)</f>
        <v/>
      </c>
      <c r="AN84" s="119" t="str">
        <f>IF(AL84="","",(COUNTIF($AG$2:$AG$105,"R")+COUNTIF($AL$2:$AL84,"R"))-(COUNTIF($AF$2:$AF$105,"R")+COUNTIF($AK$2:$AK84,"R"))+$AI$1)</f>
        <v/>
      </c>
      <c r="AO84" s="22" t="str">
        <f>IF(E84="","",COUNTA($E$3:E84)+$Z$1)</f>
        <v/>
      </c>
      <c r="AP84" s="88" t="str">
        <f>IF(AO84="","",IF(AO84+Расчет!$Y$57+$BD$2-Расчет!$X$57&gt;200,AO84+Расчет!$Y$57+$BD$2-1000,AO84+Расчет!$Y$57+$BD$2))</f>
        <v/>
      </c>
      <c r="AR84" s="92"/>
      <c r="AS84" s="92"/>
      <c r="BL84" s="172">
        <f>COUNTIF($BM$5:BM84,"&lt;-115")</f>
        <v>0</v>
      </c>
      <c r="BM84" s="154">
        <f>IFERROR(IF(OR(IFERROR(VLOOKUP(BN84,$E$3:$E$105,1,FALSE),"0")=BN84,IFERROR(VLOOKUP(BN84,$R$3:$R$105,1,FALSE),"0")=BN84),BO84,IF(OR(VLOOKUP(BN84,Расчет!A:E,5,FALSE)="2PS",VLOOKUP(BN84,Расчет!A:E,5,FALSE)="2QL"),IF(VLOOKUP(BN84,Расчет!A:B,2,FALSE)="831W",BN84-$BS$7+$AD$17,BN84-$BS$7+$AD$12),BN84-$BS$7)),"-")</f>
        <v>16</v>
      </c>
      <c r="BN84" s="154">
        <f>IF(OR(Расчет!C81="A0",Расчет!C81="P9",Расчет!B81="722W"),"-",Расчет!A81)</f>
        <v>11226</v>
      </c>
      <c r="BO84" s="173">
        <f t="shared" si="39"/>
        <v>16</v>
      </c>
      <c r="BP84" s="172" t="str">
        <f>IF(BQ84="-","-",IFERROR(IF(OR(VLOOKUP(BN84,Расчет!$A$2:$E$582,5,FALSE)="2PS",VLOOKUP(BN84,Расчет!$A$2:$E$582,5,FALSE)="2QL"),IF(OR(VLOOKUP(BN84,Расчет!$A$2:$E$582,2,FALSE)="664W",VLOOKUP(BN84,Расчет!$A$2:$E$582,2,FALSE)="813W"),IF(BN84-$BS$7&gt;150,BN84-$BS$7-1000+$AD$12,BN84-$BS$7+$AD$12),IF(BN84-$BS$7&gt;150,BN84-$BS$7-1000+$AD$17,BN84-$BS$7+$AD$17)),IF(BN84-$BS$7&gt;150,BN84-$BS$7-1000,BN84-$BS$7)),"-"))</f>
        <v>-</v>
      </c>
      <c r="BQ84" s="173" t="str">
        <f t="shared" si="36"/>
        <v>-</v>
      </c>
      <c r="BR84" s="453"/>
      <c r="BS84" s="171"/>
      <c r="BT84" s="464" t="str">
        <f t="shared" si="37"/>
        <v>-</v>
      </c>
      <c r="BU84" s="464" t="str">
        <f t="shared" si="38"/>
        <v>-</v>
      </c>
      <c r="BX84" s="204">
        <f>COUNTIF($BY$4:BY84,"&lt;100")</f>
        <v>59</v>
      </c>
      <c r="BY84" s="213" t="str">
        <f t="shared" si="30"/>
        <v/>
      </c>
      <c r="BZ84" s="216" t="str">
        <f t="shared" si="30"/>
        <v/>
      </c>
      <c r="CA84" s="213" t="e">
        <f t="shared" si="31"/>
        <v>#N/A</v>
      </c>
      <c r="CB84" s="209" t="e">
        <f t="shared" si="32"/>
        <v>#N/A</v>
      </c>
      <c r="CC84" s="205" t="str">
        <f t="shared" si="40"/>
        <v/>
      </c>
      <c r="CD84" s="205" t="str">
        <f t="shared" si="33"/>
        <v>-</v>
      </c>
      <c r="CE84" s="205">
        <f t="shared" si="41"/>
        <v>0</v>
      </c>
      <c r="CG84" s="20" t="str">
        <f t="shared" si="42"/>
        <v/>
      </c>
    </row>
    <row r="85" spans="1:85" ht="23.1" customHeight="1">
      <c r="A85" s="40" t="str">
        <f>IF(AND(IFERROR(VLOOKUP(E85,Расчет!A:J,10,FALSE),"  ")&lt;&gt;"  ",IFERROR(LEFT(VLOOKUP(E85,Расчет!A:J,10,FALSE),1)," ")&lt;&gt;"H"),0,IFERROR(IF(F85="Camry",IF(OR(J85="2PS",J85="2QL"),IF(E85-AP85&gt;100,E85-AP85-1000+$AD$12,E85-AP85+$AD$12),IF(E85-AP85&gt;100,E85-AP85-1000,E85-AP85)),IF(J85="2PS",IF(E85-AP85&gt;100,E85-AP85-1000+$AD$17,E85-AP85+$AD$17),IF(E85-AP85&gt;100,E85-AP85-1000,E85-AP85))),"-"))</f>
        <v>-</v>
      </c>
      <c r="B85" s="46">
        <v>83</v>
      </c>
      <c r="C85" s="19" t="str">
        <f>IF(E85="","",COUNTA($E$3:E85))</f>
        <v/>
      </c>
      <c r="D85" s="18" t="str">
        <f t="shared" si="26"/>
        <v/>
      </c>
      <c r="E85" s="30"/>
      <c r="F85" s="44" t="str">
        <f>IFERROR(IF(VLOOKUP(E85,Расчет!$A$2:$B$650,2,FALSE)="664W","Camry",IF(VLOOKUP(E85,Расчет!$A$2:$B$650,2,FALSE)="813W","Goshi","RAV4")),"")</f>
        <v/>
      </c>
      <c r="G85" s="32" t="str">
        <f>IFERROR(IF(F85="Camry",VLOOKUP(E85,Расчет!$A$2:$Q$650,17,FALSE),VLOOKUP(E85,Расчет!$A$2:$R$650,18,FALSE)),"")</f>
        <v/>
      </c>
      <c r="H85" s="32" t="str">
        <f>IFERROR(VLOOKUP(VLOOKUP(E85,Расчет!$A:$D,4,FALSE),$AT$6:$AV$15,3,FALSE),"")</f>
        <v/>
      </c>
      <c r="I85" s="31" t="str">
        <f>IFERROR(VLOOKUP(IFERROR(VLOOKUP(E85,Расчет!$A$2:$D$650,4,FALSE),0),$AT$3:$AU$15,2,FALSE),"")</f>
        <v/>
      </c>
      <c r="J85" s="33" t="str">
        <f>IFERROR(VLOOKUP(E85,Расчет!$A$2:$E$650,5,FALSE),"")</f>
        <v/>
      </c>
      <c r="K85" s="189"/>
      <c r="L85" s="188">
        <f t="shared" si="34"/>
        <v>0</v>
      </c>
      <c r="M85" s="9"/>
      <c r="N85" s="40" t="str">
        <f>IF(AND(IFERROR(VLOOKUP(R85,Расчет!A:J,10,FALSE),"  ")&lt;&gt;"  ",IFERROR(LEFT(VLOOKUP(R85,Расчет!A:J,10,FALSE),1)," ")&lt;&gt;"H"),0,IFERROR(IF(S85="Camry",IF(OR(W85="2PS",W85="2QL"),IF(R85-AP188&gt;100,R85-AP188-1000+$AD$12,R85-AP188+$AD$12),IF(R85-AP188&gt;100,R85-AP188-1000,R85-AP188)),IF(W85="2PS",IF(R85-AP188&gt;100,R85-AP188-1000+$AD$17,R85-AP188+$AD$17),IF(R85-AP188&gt;100,R85-AP188-1000,R85-AP188))),"-"))</f>
        <v>-</v>
      </c>
      <c r="O85" s="46">
        <v>186</v>
      </c>
      <c r="P85" s="19" t="str">
        <f>IF(R85="","",COUNTA($R$3:R85)+$C$105)</f>
        <v/>
      </c>
      <c r="Q85" s="18" t="str">
        <f t="shared" si="27"/>
        <v/>
      </c>
      <c r="R85" s="30"/>
      <c r="S85" s="45" t="str">
        <f>IFERROR(IF(VLOOKUP(R85,Расчет!$A$2:$B$650,2,FALSE)="664W","Camry",IF(VLOOKUP(R85,Расчет!$A$2:$B$650,2,FALSE)="813W","Goshi","RAV4")),"")</f>
        <v/>
      </c>
      <c r="T85" s="32" t="str">
        <f>IFERROR(IF(S85="Camry",VLOOKUP(R85,Расчет!$A$2:$Q$650,17,FALSE),VLOOKUP(R85,Расчет!$A$2:$R$650,18,FALSE)),"")</f>
        <v/>
      </c>
      <c r="U85" s="32" t="str">
        <f>IFERROR(VLOOKUP(VLOOKUP(R85,Расчет!$A:$D,4,FALSE),$AT$6:$AV$15,3,FALSE),"")</f>
        <v/>
      </c>
      <c r="V85" s="31" t="str">
        <f>IFERROR(VLOOKUP(IFERROR(VLOOKUP(R85,Расчет!$A$2:$D$650,4,FALSE),0),$AT$3:$AU$15,2,FALSE),"")</f>
        <v/>
      </c>
      <c r="W85" s="33" t="str">
        <f>IFERROR(VLOOKUP(R85,Расчет!$A$2:$E$650,5,FALSE),"")</f>
        <v/>
      </c>
      <c r="X85" s="189"/>
      <c r="Y85" s="191">
        <f t="shared" si="35"/>
        <v>0</v>
      </c>
      <c r="Z85" s="193" t="str">
        <f>IFERROR(IF(VLOOKUP(AC85,Расчет!$A$2:$B$236,2,FALSE)="831W","RAV4","Camry"),"-")</f>
        <v>RAV4</v>
      </c>
      <c r="AA85" s="228" t="str">
        <f>IFERROR(VLOOKUP(AC39,Расчет!$A$2:$E$236,5,FALSE),"-")</f>
        <v>2PS</v>
      </c>
      <c r="AB85" s="167">
        <f>IFERROR(SMALL($BU$5:$BU$259,5),"")</f>
        <v>30</v>
      </c>
      <c r="AC85" s="156">
        <f>IF(VLOOKUP2($BP$5:$BQ$500,1,AB85,COUNTIF($AB$81:AB85,AB85),2)=0,"-",VLOOKUP2($BP$5:$BQ$500,1,AB85,COUNTIF($AB$81:AB85,AB85),2))</f>
        <v>11154</v>
      </c>
      <c r="AD85" s="353" t="str">
        <f>IFERROR(VLOOKUP(AC85,Расчет!$BS:$BT,2,FALSE),"")</f>
        <v>T7</v>
      </c>
      <c r="AE85" s="89">
        <v>83</v>
      </c>
      <c r="AF85" s="44" t="str">
        <f>IF(VLOOKUP(AE85,Расчет!$AH$2:$AN$201,5,FALSE)="8","C",IF(VLOOKUP(AE85,Расчет!$AH$2:$AN$201,5,FALSE)="G","G","R"))</f>
        <v>R</v>
      </c>
      <c r="AG85" s="73" t="str">
        <f t="shared" si="28"/>
        <v/>
      </c>
      <c r="AH85" s="87" t="str">
        <f>IF(AG85="","",COUNTIF($AG$2:AG85,"C")-COUNTIF($AF$2:AF85,"C")+$AH$1)</f>
        <v/>
      </c>
      <c r="AI85" s="87" t="str">
        <f>IF(AG85="","",COUNTIF($AG$2:AG85,"R")-COUNTIF($AF$2:AF85,"R")+$AI$1)</f>
        <v/>
      </c>
      <c r="AJ85" s="89">
        <v>186</v>
      </c>
      <c r="AK85" s="44" t="str">
        <f>IF(VLOOKUP(AJ85,Расчет!$AH$2:$AN$211,5,FALSE)="8","C",IF(VLOOKUP(AJ85,Расчет!$AH$2:$AN$211,5,FALSE)="G","G","R"))</f>
        <v>R</v>
      </c>
      <c r="AL85" s="74" t="str">
        <f t="shared" si="29"/>
        <v/>
      </c>
      <c r="AM85" s="118" t="str">
        <f>IF(AL85="","",(COUNTIF($AG$2:$AG$105,"C")+COUNTIF($AL$2:$AL85,"C"))-(COUNTIF($AF$2:$AF$105,"C")+COUNTIF($AK$2:$AK85,"C"))+$AH$1)</f>
        <v/>
      </c>
      <c r="AN85" s="119" t="str">
        <f>IF(AL85="","",(COUNTIF($AG$2:$AG$105,"R")+COUNTIF($AL$2:$AL85,"R"))-(COUNTIF($AF$2:$AF$105,"R")+COUNTIF($AK$2:$AK85,"R"))+$AI$1)</f>
        <v/>
      </c>
      <c r="AO85" s="22" t="str">
        <f>IF(E85="","",COUNTA($E$3:E85)+$Z$1)</f>
        <v/>
      </c>
      <c r="AP85" s="88" t="str">
        <f>IF(AO85="","",IF(AO85+Расчет!$Y$57+$BD$2-Расчет!$X$57&gt;200,AO85+Расчет!$Y$57+$BD$2-1000,AO85+Расчет!$Y$57+$BD$2))</f>
        <v/>
      </c>
      <c r="AR85" s="92"/>
      <c r="AS85" s="92"/>
      <c r="BL85" s="172">
        <f>COUNTIF($BM$5:BM85,"&lt;-115")</f>
        <v>0</v>
      </c>
      <c r="BM85" s="154">
        <f>IFERROR(IF(OR(IFERROR(VLOOKUP(BN85,$E$3:$E$105,1,FALSE),"0")=BN85,IFERROR(VLOOKUP(BN85,$R$3:$R$105,1,FALSE),"0")=BN85),BO85,IF(OR(VLOOKUP(BN85,Расчет!A:E,5,FALSE)="2PS",VLOOKUP(BN85,Расчет!A:E,5,FALSE)="2QL"),IF(VLOOKUP(BN85,Расчет!A:B,2,FALSE)="831W",BN85-$BS$7+$AD$17,BN85-$BS$7+$AD$12),BN85-$BS$7)),"-")</f>
        <v>3</v>
      </c>
      <c r="BN85" s="154">
        <f>IF(OR(Расчет!C82="A0",Расчет!C82="P9",Расчет!B82="722W"),"-",Расчет!A82)</f>
        <v>11227</v>
      </c>
      <c r="BO85" s="173">
        <f t="shared" si="39"/>
        <v>0</v>
      </c>
      <c r="BP85" s="172">
        <f>IF(BQ85="-","-",IFERROR(IF(OR(VLOOKUP(BN85,Расчет!$A$2:$E$582,5,FALSE)="2PS",VLOOKUP(BN85,Расчет!$A$2:$E$582,5,FALSE)="2QL"),IF(OR(VLOOKUP(BN85,Расчет!$A$2:$E$582,2,FALSE)="664W",VLOOKUP(BN85,Расчет!$A$2:$E$582,2,FALSE)="813W"),IF(BN85-$BS$7&gt;150,BN85-$BS$7-1000+$AD$12,BN85-$BS$7+$AD$12),IF(BN85-$BS$7&gt;150,BN85-$BS$7-1000+$AD$17,BN85-$BS$7+$AD$17)),IF(BN85-$BS$7&gt;150,BN85-$BS$7-1000,BN85-$BS$7)),"-"))</f>
        <v>3</v>
      </c>
      <c r="BQ85" s="173">
        <f t="shared" si="36"/>
        <v>11227</v>
      </c>
      <c r="BR85" s="453"/>
      <c r="BS85" s="171"/>
      <c r="BT85" s="464">
        <f t="shared" si="37"/>
        <v>3</v>
      </c>
      <c r="BU85" s="464" t="str">
        <f t="shared" si="38"/>
        <v>-</v>
      </c>
      <c r="BX85" s="204">
        <f>COUNTIF($BY$4:BY85,"&lt;100")</f>
        <v>59</v>
      </c>
      <c r="BY85" s="213" t="str">
        <f t="shared" si="30"/>
        <v/>
      </c>
      <c r="BZ85" s="216" t="str">
        <f t="shared" si="30"/>
        <v/>
      </c>
      <c r="CA85" s="213" t="e">
        <f t="shared" si="31"/>
        <v>#N/A</v>
      </c>
      <c r="CB85" s="209" t="e">
        <f t="shared" si="32"/>
        <v>#N/A</v>
      </c>
      <c r="CC85" s="205" t="str">
        <f t="shared" si="40"/>
        <v/>
      </c>
      <c r="CD85" s="205" t="str">
        <f t="shared" si="33"/>
        <v>-</v>
      </c>
      <c r="CE85" s="205">
        <f t="shared" si="41"/>
        <v>0</v>
      </c>
      <c r="CG85" s="20" t="str">
        <f t="shared" si="42"/>
        <v/>
      </c>
    </row>
    <row r="86" spans="1:85" ht="23.1" customHeight="1" thickBot="1">
      <c r="A86" s="40" t="str">
        <f>IF(AND(IFERROR(VLOOKUP(E86,Расчет!A:J,10,FALSE),"  ")&lt;&gt;"  ",IFERROR(LEFT(VLOOKUP(E86,Расчет!A:J,10,FALSE),1)," ")&lt;&gt;"H"),0,IFERROR(IF(F86="Camry",IF(OR(J86="2PS",J86="2QL"),IF(E86-AP86&gt;100,E86-AP86-1000+$AD$12,E86-AP86+$AD$12),IF(E86-AP86&gt;100,E86-AP86-1000,E86-AP86)),IF(J86="2PS",IF(E86-AP86&gt;100,E86-AP86-1000+$AD$17,E86-AP86+$AD$17),IF(E86-AP86&gt;100,E86-AP86-1000,E86-AP86))),"-"))</f>
        <v>-</v>
      </c>
      <c r="B86" s="46">
        <v>84</v>
      </c>
      <c r="C86" s="19" t="str">
        <f>IF(E86="","",COUNTA($E$3:E86))</f>
        <v/>
      </c>
      <c r="D86" s="18" t="str">
        <f t="shared" si="26"/>
        <v/>
      </c>
      <c r="E86" s="30"/>
      <c r="F86" s="44" t="str">
        <f>IFERROR(IF(VLOOKUP(E86,Расчет!$A$2:$B$650,2,FALSE)="664W","Camry",IF(VLOOKUP(E86,Расчет!$A$2:$B$650,2,FALSE)="813W","Goshi","RAV4")),"")</f>
        <v/>
      </c>
      <c r="G86" s="32" t="str">
        <f>IFERROR(IF(F86="Camry",VLOOKUP(E86,Расчет!$A$2:$Q$650,17,FALSE),VLOOKUP(E86,Расчет!$A$2:$R$650,18,FALSE)),"")</f>
        <v/>
      </c>
      <c r="H86" s="32" t="str">
        <f>IFERROR(VLOOKUP(VLOOKUP(E86,Расчет!$A:$D,4,FALSE),$AT$6:$AV$15,3,FALSE),"")</f>
        <v/>
      </c>
      <c r="I86" s="31" t="str">
        <f>IFERROR(VLOOKUP(IFERROR(VLOOKUP(E86,Расчет!$A$2:$D$650,4,FALSE),0),$AT$3:$AU$15,2,FALSE),"")</f>
        <v/>
      </c>
      <c r="J86" s="33" t="str">
        <f>IFERROR(VLOOKUP(E86,Расчет!$A$2:$E$650,5,FALSE),"")</f>
        <v/>
      </c>
      <c r="K86" s="189"/>
      <c r="L86" s="188">
        <f t="shared" si="34"/>
        <v>0</v>
      </c>
      <c r="M86" s="9"/>
      <c r="N86" s="40" t="str">
        <f>IF(AND(IFERROR(VLOOKUP(R86,Расчет!A:J,10,FALSE),"  ")&lt;&gt;"  ",IFERROR(LEFT(VLOOKUP(R86,Расчет!A:J,10,FALSE),1)," ")&lt;&gt;"H"),0,IFERROR(IF(S86="Camry",IF(OR(W86="2PS",W86="2QL"),IF(R86-AP189&gt;100,R86-AP189-1000+$AD$12,R86-AP189+$AD$12),IF(R86-AP189&gt;100,R86-AP189-1000,R86-AP189)),IF(W86="2PS",IF(R86-AP189&gt;100,R86-AP189-1000+$AD$17,R86-AP189+$AD$17),IF(R86-AP189&gt;100,R86-AP189-1000,R86-AP189))),"-"))</f>
        <v>-</v>
      </c>
      <c r="O86" s="46">
        <v>187</v>
      </c>
      <c r="P86" s="19" t="str">
        <f>IF(R86="","",COUNTA($R$3:R86)+$C$105)</f>
        <v/>
      </c>
      <c r="Q86" s="18" t="str">
        <f t="shared" si="27"/>
        <v/>
      </c>
      <c r="R86" s="30"/>
      <c r="S86" s="45" t="str">
        <f>IFERROR(IF(VLOOKUP(R86,Расчет!$A$2:$B$650,2,FALSE)="664W","Camry",IF(VLOOKUP(R86,Расчет!$A$2:$B$650,2,FALSE)="813W","Goshi","RAV4")),"")</f>
        <v/>
      </c>
      <c r="T86" s="32" t="str">
        <f>IFERROR(IF(S86="Camry",VLOOKUP(R86,Расчет!$A$2:$Q$650,17,FALSE),VLOOKUP(R86,Расчет!$A$2:$R$650,18,FALSE)),"")</f>
        <v/>
      </c>
      <c r="U86" s="32" t="str">
        <f>IFERROR(VLOOKUP(VLOOKUP(R86,Расчет!$A:$D,4,FALSE),$AT$6:$AV$15,3,FALSE),"")</f>
        <v/>
      </c>
      <c r="V86" s="31" t="str">
        <f>IFERROR(VLOOKUP(IFERROR(VLOOKUP(R86,Расчет!$A$2:$D$650,4,FALSE),0),$AT$3:$AU$15,2,FALSE),"")</f>
        <v/>
      </c>
      <c r="W86" s="33" t="str">
        <f>IFERROR(VLOOKUP(R86,Расчет!$A$2:$E$650,5,FALSE),"")</f>
        <v/>
      </c>
      <c r="X86" s="189"/>
      <c r="Y86" s="191">
        <f t="shared" si="35"/>
        <v>0</v>
      </c>
      <c r="Z86" s="404" t="str">
        <f>IFERROR(IF(VLOOKUP(AC86,Расчет!$A$2:$B$236,2,FALSE)="831W","RAV4","Camry"),"-")</f>
        <v>Camry</v>
      </c>
      <c r="AA86" s="405" t="str">
        <f>IFERROR(VLOOKUP(AC40,Расчет!$A$2:$E$236,5,FALSE),"-")</f>
        <v>089</v>
      </c>
      <c r="AB86" s="406">
        <f>IFERROR(SMALL($BU$5:$BU$259,6),"")</f>
        <v>30</v>
      </c>
      <c r="AC86" s="403">
        <f>IF(VLOOKUP2($BP$5:$BQ$500,1,AB86,COUNTIF($AB$81:AB86,AB86),2)=0,"-",VLOOKUP2($BP$5:$BQ$500,1,AB86,COUNTIF($AB$81:AB86,AB86),2))</f>
        <v>11254</v>
      </c>
      <c r="AD86" s="147" t="str">
        <f>IFERROR(VLOOKUP(AC86,Расчет!$BS:$BT,2,FALSE),"")</f>
        <v>T4</v>
      </c>
      <c r="AE86" s="89">
        <v>84</v>
      </c>
      <c r="AF86" s="44" t="str">
        <f>IF(VLOOKUP(AE86,Расчет!$AH$2:$AN$201,5,FALSE)="8","C",IF(VLOOKUP(AE86,Расчет!$AH$2:$AN$201,5,FALSE)="G","G","R"))</f>
        <v>C</v>
      </c>
      <c r="AG86" s="73" t="str">
        <f t="shared" si="28"/>
        <v/>
      </c>
      <c r="AH86" s="87" t="str">
        <f>IF(AG86="","",COUNTIF($AG$2:AG86,"C")-COUNTIF($AF$2:AF86,"C")+$AH$1)</f>
        <v/>
      </c>
      <c r="AI86" s="87" t="str">
        <f>IF(AG86="","",COUNTIF($AG$2:AG86,"R")-COUNTIF($AF$2:AF86,"R")+$AI$1)</f>
        <v/>
      </c>
      <c r="AJ86" s="89">
        <v>187</v>
      </c>
      <c r="AK86" s="44" t="str">
        <f>IF(VLOOKUP(AJ86,Расчет!$AH$2:$AN$211,5,FALSE)="8","C",IF(VLOOKUP(AJ86,Расчет!$AH$2:$AN$211,5,FALSE)="G","G","R"))</f>
        <v>C</v>
      </c>
      <c r="AL86" s="74" t="str">
        <f t="shared" si="29"/>
        <v/>
      </c>
      <c r="AM86" s="118" t="str">
        <f>IF(AL86="","",(COUNTIF($AG$2:$AG$105,"C")+COUNTIF($AL$2:$AL86,"C"))-(COUNTIF($AF$2:$AF$105,"C")+COUNTIF($AK$2:$AK86,"C"))+$AH$1)</f>
        <v/>
      </c>
      <c r="AN86" s="119" t="str">
        <f>IF(AL86="","",(COUNTIF($AG$2:$AG$105,"R")+COUNTIF($AL$2:$AL86,"R"))-(COUNTIF($AF$2:$AF$105,"R")+COUNTIF($AK$2:$AK86,"R"))+$AI$1)</f>
        <v/>
      </c>
      <c r="AO86" s="22" t="str">
        <f>IF(E86="","",COUNTA($E$3:E86)+$Z$1)</f>
        <v/>
      </c>
      <c r="AP86" s="88" t="str">
        <f>IF(AO86="","",IF(AO86+Расчет!$Y$57+$BD$2-Расчет!$X$57&gt;200,AO86+Расчет!$Y$57+$BD$2-1000,AO86+Расчет!$Y$57+$BD$2))</f>
        <v/>
      </c>
      <c r="AR86" s="92"/>
      <c r="AS86" s="92"/>
      <c r="BL86" s="172">
        <f>COUNTIF($BM$5:BM86,"&lt;-115")</f>
        <v>0</v>
      </c>
      <c r="BM86" s="154">
        <f>IFERROR(IF(OR(IFERROR(VLOOKUP(BN86,$E$3:$E$105,1,FALSE),"0")=BN86,IFERROR(VLOOKUP(BN86,$R$3:$R$105,1,FALSE),"0")=BN86),BO86,IF(OR(VLOOKUP(BN86,Расчет!A:E,5,FALSE)="2PS",VLOOKUP(BN86,Расчет!A:E,5,FALSE)="2QL"),IF(VLOOKUP(BN86,Расчет!A:B,2,FALSE)="831W",BN86-$BS$7+$AD$17,BN86-$BS$7+$AD$12),BN86-$BS$7)),"-")</f>
        <v>4</v>
      </c>
      <c r="BN86" s="154">
        <f>IF(OR(Расчет!C83="A0",Расчет!C83="P9",Расчет!B83="722W"),"-",Расчет!A83)</f>
        <v>11228</v>
      </c>
      <c r="BO86" s="173">
        <f t="shared" si="39"/>
        <v>0</v>
      </c>
      <c r="BP86" s="172">
        <f>IF(BQ86="-","-",IFERROR(IF(OR(VLOOKUP(BN86,Расчет!$A$2:$E$582,5,FALSE)="2PS",VLOOKUP(BN86,Расчет!$A$2:$E$582,5,FALSE)="2QL"),IF(OR(VLOOKUP(BN86,Расчет!$A$2:$E$582,2,FALSE)="664W",VLOOKUP(BN86,Расчет!$A$2:$E$582,2,FALSE)="813W"),IF(BN86-$BS$7&gt;150,BN86-$BS$7-1000+$AD$12,BN86-$BS$7+$AD$12),IF(BN86-$BS$7&gt;150,BN86-$BS$7-1000+$AD$17,BN86-$BS$7+$AD$17)),IF(BN86-$BS$7&gt;150,BN86-$BS$7-1000,BN86-$BS$7)),"-"))</f>
        <v>4</v>
      </c>
      <c r="BQ86" s="173">
        <f t="shared" si="36"/>
        <v>11228</v>
      </c>
      <c r="BR86" s="453"/>
      <c r="BS86" s="171"/>
      <c r="BT86" s="464">
        <f t="shared" si="37"/>
        <v>4</v>
      </c>
      <c r="BU86" s="464" t="str">
        <f t="shared" si="38"/>
        <v>-</v>
      </c>
      <c r="BX86" s="204">
        <f>COUNTIF($BY$4:BY86,"&lt;100")</f>
        <v>59</v>
      </c>
      <c r="BY86" s="213" t="str">
        <f t="shared" si="30"/>
        <v/>
      </c>
      <c r="BZ86" s="216" t="str">
        <f t="shared" si="30"/>
        <v/>
      </c>
      <c r="CA86" s="213" t="e">
        <f t="shared" si="31"/>
        <v>#N/A</v>
      </c>
      <c r="CB86" s="209" t="e">
        <f t="shared" si="32"/>
        <v>#N/A</v>
      </c>
      <c r="CC86" s="205" t="str">
        <f t="shared" si="40"/>
        <v/>
      </c>
      <c r="CD86" s="205" t="str">
        <f t="shared" si="33"/>
        <v>-</v>
      </c>
      <c r="CE86" s="205">
        <f t="shared" si="41"/>
        <v>0</v>
      </c>
      <c r="CG86" s="20" t="str">
        <f t="shared" si="42"/>
        <v/>
      </c>
    </row>
    <row r="87" spans="1:85" ht="23.1" customHeight="1">
      <c r="A87" s="40" t="str">
        <f>IF(AND(IFERROR(VLOOKUP(E87,Расчет!A:J,10,FALSE),"  ")&lt;&gt;"  ",IFERROR(LEFT(VLOOKUP(E87,Расчет!A:J,10,FALSE),1)," ")&lt;&gt;"H"),0,IFERROR(IF(F87="Camry",IF(OR(J87="2PS",J87="2QL"),IF(E87-AP87&gt;100,E87-AP87-1000+$AD$12,E87-AP87+$AD$12),IF(E87-AP87&gt;100,E87-AP87-1000,E87-AP87)),IF(J87="2PS",IF(E87-AP87&gt;100,E87-AP87-1000+$AD$17,E87-AP87+$AD$17),IF(E87-AP87&gt;100,E87-AP87-1000,E87-AP87))),"-"))</f>
        <v>-</v>
      </c>
      <c r="B87" s="46">
        <v>85</v>
      </c>
      <c r="C87" s="19" t="str">
        <f>IF(E87="","",COUNTA($E$3:E87))</f>
        <v/>
      </c>
      <c r="D87" s="18" t="str">
        <f>IFERROR(IF(AO87&gt;=1000,AO87-1000,AO87),"")</f>
        <v/>
      </c>
      <c r="E87" s="199"/>
      <c r="F87" s="44" t="str">
        <f>IFERROR(IF(VLOOKUP(E87,Расчет!$A$2:$B$650,2,FALSE)="664W","Camry",IF(VLOOKUP(E87,Расчет!$A$2:$B$650,2,FALSE)="813W","Goshi","RAV4")),"")</f>
        <v/>
      </c>
      <c r="G87" s="32" t="str">
        <f>IFERROR(IF(F87="Camry",VLOOKUP(E87,Расчет!$A$2:$Q$650,17,FALSE),VLOOKUP(E87,Расчет!$A$2:$R$650,18,FALSE)),"")</f>
        <v/>
      </c>
      <c r="H87" s="32" t="str">
        <f>IFERROR(VLOOKUP(VLOOKUP(E87,Расчет!$A:$D,4,FALSE),$AT$6:$AV$15,3,FALSE),"")</f>
        <v/>
      </c>
      <c r="I87" s="31" t="str">
        <f>IFERROR(VLOOKUP(IFERROR(VLOOKUP(E87,Расчет!$A$2:$D$650,4,FALSE),0),$AT$3:$AU$15,2,FALSE),"")</f>
        <v/>
      </c>
      <c r="J87" s="33" t="str">
        <f>IFERROR(VLOOKUP(E87,Расчет!$A$2:$E$650,5,FALSE),"")</f>
        <v/>
      </c>
      <c r="K87" s="189"/>
      <c r="L87" s="188">
        <f t="shared" si="34"/>
        <v>0</v>
      </c>
      <c r="M87" s="9"/>
      <c r="N87" s="40" t="str">
        <f>IF(AND(IFERROR(VLOOKUP(R87,Расчет!A:J,10,FALSE),"  ")&lt;&gt;"  ",IFERROR(LEFT(VLOOKUP(R87,Расчет!A:J,10,FALSE),1)," ")&lt;&gt;"H"),0,IFERROR(IF(S87="Camry",IF(OR(W87="2PS",W87="2QL"),IF(R87-AP190&gt;100,R87-AP190-1000+$AD$12,R87-AP190+$AD$12),IF(R87-AP190&gt;100,R87-AP190-1000,R87-AP190)),IF(W87="2PS",IF(R87-AP190&gt;100,R87-AP190-1000+$AD$17,R87-AP190+$AD$17),IF(R87-AP190&gt;100,R87-AP190-1000,R87-AP190))),"-"))</f>
        <v>-</v>
      </c>
      <c r="O87" s="46">
        <v>188</v>
      </c>
      <c r="P87" s="19" t="str">
        <f>IF(R87="","",COUNTA($R$3:R87)+$C$105)</f>
        <v/>
      </c>
      <c r="Q87" s="18" t="str">
        <f t="shared" si="27"/>
        <v/>
      </c>
      <c r="R87" s="30"/>
      <c r="S87" s="45" t="str">
        <f>IFERROR(IF(VLOOKUP(R87,Расчет!$A$2:$B$650,2,FALSE)="664W","Camry",IF(VLOOKUP(R87,Расчет!$A$2:$B$650,2,FALSE)="813W","Goshi","RAV4")),"")</f>
        <v/>
      </c>
      <c r="T87" s="32" t="str">
        <f>IFERROR(IF(S87="Camry",VLOOKUP(R87,Расчет!$A$2:$Q$650,17,FALSE),VLOOKUP(R87,Расчет!$A$2:$R$650,18,FALSE)),"")</f>
        <v/>
      </c>
      <c r="U87" s="32" t="str">
        <f>IFERROR(VLOOKUP(VLOOKUP(R87,Расчет!$A:$D,4,FALSE),$AT$6:$AV$15,3,FALSE),"")</f>
        <v/>
      </c>
      <c r="V87" s="31" t="str">
        <f>IFERROR(VLOOKUP(IFERROR(VLOOKUP(R87,Расчет!$A$2:$D$650,4,FALSE),0),$AT$3:$AU$15,2,FALSE),"")</f>
        <v/>
      </c>
      <c r="W87" s="33" t="str">
        <f>IFERROR(VLOOKUP(R87,Расчет!$A$2:$E$650,5,FALSE),"")</f>
        <v/>
      </c>
      <c r="X87" s="189"/>
      <c r="Y87" s="191">
        <f t="shared" si="35"/>
        <v>0</v>
      </c>
      <c r="Z87" s="407"/>
      <c r="AA87" s="408"/>
      <c r="AB87" s="408"/>
      <c r="AC87" s="408"/>
      <c r="AD87" s="422"/>
      <c r="AE87" s="89">
        <v>85</v>
      </c>
      <c r="AF87" s="44" t="str">
        <f>IF(VLOOKUP(AE87,Расчет!$AH$2:$AN$201,5,FALSE)="8","C",IF(VLOOKUP(AE87,Расчет!$AH$2:$AN$201,5,FALSE)="G","G","R"))</f>
        <v>R</v>
      </c>
      <c r="AG87" s="73" t="str">
        <f t="shared" si="28"/>
        <v/>
      </c>
      <c r="AH87" s="87" t="str">
        <f>IF(AG87="","",COUNTIF($AG$2:AG87,"C")-COUNTIF($AF$2:AF87,"C")+$AH$1)</f>
        <v/>
      </c>
      <c r="AI87" s="87" t="str">
        <f>IF(AG87="","",COUNTIF($AG$2:AG87,"R")-COUNTIF($AF$2:AF87,"R")+$AI$1)</f>
        <v/>
      </c>
      <c r="AJ87" s="89">
        <v>188</v>
      </c>
      <c r="AK87" s="44" t="str">
        <f>IF(VLOOKUP(AJ87,Расчет!$AH$2:$AN$211,5,FALSE)="8","C",IF(VLOOKUP(AJ87,Расчет!$AH$2:$AN$211,5,FALSE)="G","G","R"))</f>
        <v>R</v>
      </c>
      <c r="AL87" s="74" t="str">
        <f t="shared" si="29"/>
        <v/>
      </c>
      <c r="AM87" s="118" t="str">
        <f>IF(AL87="","",(COUNTIF($AG$2:$AG$105,"C")+COUNTIF($AL$2:$AL87,"C"))-(COUNTIF($AF$2:$AF$105,"C")+COUNTIF($AK$2:$AK87,"C"))+$AH$1)</f>
        <v/>
      </c>
      <c r="AN87" s="119" t="str">
        <f>IF(AL87="","",(COUNTIF($AG$2:$AG$105,"R")+COUNTIF($AL$2:$AL87,"R"))-(COUNTIF($AF$2:$AF$105,"R")+COUNTIF($AK$2:$AK87,"R"))+$AI$1)</f>
        <v/>
      </c>
      <c r="AO87" s="22" t="str">
        <f>IF(E87="","",COUNTA($E$3:E87)+$Z$1)</f>
        <v/>
      </c>
      <c r="AP87" s="88" t="str">
        <f>IF(AO87="","",IF(AO87+Расчет!$Y$57+$BD$2-Расчет!$X$57&gt;200,AO87+Расчет!$Y$57+$BD$2-1000,AO87+Расчет!$Y$57+$BD$2))</f>
        <v/>
      </c>
      <c r="AR87" s="92"/>
      <c r="AS87" s="92"/>
      <c r="BL87" s="172">
        <f>COUNTIF($BM$5:BM87,"&lt;-115")</f>
        <v>0</v>
      </c>
      <c r="BM87" s="154">
        <f>IFERROR(IF(OR(IFERROR(VLOOKUP(BN87,$E$3:$E$105,1,FALSE),"0")=BN87,IFERROR(VLOOKUP(BN87,$R$3:$R$105,1,FALSE),"0")=BN87),BO87,IF(OR(VLOOKUP(BN87,Расчет!A:E,5,FALSE)="2PS",VLOOKUP(BN87,Расчет!A:E,5,FALSE)="2QL"),IF(VLOOKUP(BN87,Расчет!A:B,2,FALSE)="831W",BN87-$BS$7+$AD$17,BN87-$BS$7+$AD$12),BN87-$BS$7)),"-")</f>
        <v>105</v>
      </c>
      <c r="BN87" s="154">
        <f>IF(OR(Расчет!C84="A0",Расчет!C84="P9",Расчет!B84="722W"),"-",Расчет!A84)</f>
        <v>11229</v>
      </c>
      <c r="BO87" s="173">
        <f t="shared" si="39"/>
        <v>0</v>
      </c>
      <c r="BP87" s="172">
        <f>IF(BQ87="-","-",IFERROR(IF(OR(VLOOKUP(BN87,Расчет!$A$2:$E$582,5,FALSE)="2PS",VLOOKUP(BN87,Расчет!$A$2:$E$582,5,FALSE)="2QL"),IF(OR(VLOOKUP(BN87,Расчет!$A$2:$E$582,2,FALSE)="664W",VLOOKUP(BN87,Расчет!$A$2:$E$582,2,FALSE)="813W"),IF(BN87-$BS$7&gt;150,BN87-$BS$7-1000+$AD$12,BN87-$BS$7+$AD$12),IF(BN87-$BS$7&gt;150,BN87-$BS$7-1000+$AD$17,BN87-$BS$7+$AD$17)),IF(BN87-$BS$7&gt;150,BN87-$BS$7-1000,BN87-$BS$7)),"-"))</f>
        <v>105</v>
      </c>
      <c r="BQ87" s="173">
        <f t="shared" si="36"/>
        <v>11229</v>
      </c>
      <c r="BR87" s="453"/>
      <c r="BS87" s="171"/>
      <c r="BT87" s="464" t="str">
        <f t="shared" si="37"/>
        <v>-</v>
      </c>
      <c r="BU87" s="464" t="str">
        <f t="shared" si="38"/>
        <v>-</v>
      </c>
      <c r="BX87" s="204">
        <f>COUNTIF($BY$4:BY87,"&lt;100")</f>
        <v>59</v>
      </c>
      <c r="BY87" s="213" t="str">
        <f t="shared" si="30"/>
        <v/>
      </c>
      <c r="BZ87" s="216" t="str">
        <f t="shared" si="30"/>
        <v/>
      </c>
      <c r="CA87" s="213" t="e">
        <f t="shared" si="31"/>
        <v>#N/A</v>
      </c>
      <c r="CB87" s="209" t="e">
        <f t="shared" si="32"/>
        <v>#N/A</v>
      </c>
      <c r="CC87" s="205" t="str">
        <f t="shared" si="40"/>
        <v/>
      </c>
      <c r="CD87" s="205" t="str">
        <f t="shared" si="33"/>
        <v>-</v>
      </c>
      <c r="CE87" s="205">
        <f t="shared" si="41"/>
        <v>0</v>
      </c>
      <c r="CG87" s="20" t="str">
        <f t="shared" si="42"/>
        <v/>
      </c>
    </row>
    <row r="88" spans="1:85" ht="23.1" customHeight="1">
      <c r="A88" s="40" t="str">
        <f>IF(AND(IFERROR(VLOOKUP(E88,Расчет!A:J,10,FALSE),"  ")&lt;&gt;"  ",IFERROR(LEFT(VLOOKUP(E88,Расчет!A:J,10,FALSE),1)," ")&lt;&gt;"H"),0,IFERROR(IF(F88="Camry",IF(OR(J88="2PS",J88="2QL"),IF(E88-AP88&gt;100,E88-AP88-1000+$AD$12,E88-AP88+$AD$12),IF(E88-AP88&gt;100,E88-AP88-1000,E88-AP88)),IF(J88="2PS",IF(E88-AP88&gt;100,E88-AP88-1000+$AD$17,E88-AP88+$AD$17),IF(E88-AP88&gt;100,E88-AP88-1000,E88-AP88))),"-"))</f>
        <v>-</v>
      </c>
      <c r="B88" s="46">
        <v>86</v>
      </c>
      <c r="C88" s="19" t="str">
        <f>IF(E88="","",COUNTA($E$3:E88))</f>
        <v/>
      </c>
      <c r="D88" s="198" t="str">
        <f>IFERROR(IF(AO88&gt;=1000,AO88-1000,AO88),"")</f>
        <v/>
      </c>
      <c r="E88" s="30"/>
      <c r="F88" s="44" t="str">
        <f>IFERROR(IF(VLOOKUP(E88,Расчет!$A$2:$B$650,2,FALSE)="664W","Camry",IF(VLOOKUP(E88,Расчет!$A$2:$B$650,2,FALSE)="813W","Goshi","RAV4")),"")</f>
        <v/>
      </c>
      <c r="G88" s="32" t="str">
        <f>IFERROR(IF(F88="Camry",VLOOKUP(E88,Расчет!$A$2:$Q$650,17,FALSE),VLOOKUP(E88,Расчет!$A$2:$R$650,18,FALSE)),"")</f>
        <v/>
      </c>
      <c r="H88" s="32" t="str">
        <f>IFERROR(VLOOKUP(VLOOKUP(E88,Расчет!$A:$D,4,FALSE),$AT$6:$AV$15,3,FALSE),"")</f>
        <v/>
      </c>
      <c r="I88" s="31" t="str">
        <f>IFERROR(VLOOKUP(IFERROR(VLOOKUP(E88,Расчет!$A$2:$D$650,4,FALSE),0),$AT$3:$AU$15,2,FALSE),"")</f>
        <v/>
      </c>
      <c r="J88" s="33" t="str">
        <f>IFERROR(VLOOKUP(E88,Расчет!$A$2:$E$650,5,FALSE),"")</f>
        <v/>
      </c>
      <c r="K88" s="189"/>
      <c r="L88" s="188">
        <f t="shared" si="34"/>
        <v>0</v>
      </c>
      <c r="M88" s="9"/>
      <c r="N88" s="40" t="str">
        <f>IF(AND(IFERROR(VLOOKUP(R88,Расчет!A:J,10,FALSE),"  ")&lt;&gt;"  ",IFERROR(LEFT(VLOOKUP(R88,Расчет!A:J,10,FALSE),1)," ")&lt;&gt;"H"),0,IFERROR(IF(S88="Camry",IF(OR(W88="2PS",W88="2QL"),IF(R88-AP191&gt;100,R88-AP191-1000+$AD$12,R88-AP191+$AD$12),IF(R88-AP191&gt;100,R88-AP191-1000,R88-AP191)),IF(W88="2PS",IF(R88-AP191&gt;100,R88-AP191-1000+$AD$17,R88-AP191+$AD$17),IF(R88-AP191&gt;100,R88-AP191-1000,R88-AP191))),"-"))</f>
        <v>-</v>
      </c>
      <c r="O88" s="46">
        <v>189</v>
      </c>
      <c r="P88" s="19" t="str">
        <f>IF(R88="","",COUNTA($R$3:R88)+$C$105)</f>
        <v/>
      </c>
      <c r="Q88" s="18" t="str">
        <f t="shared" si="27"/>
        <v/>
      </c>
      <c r="R88" s="30"/>
      <c r="S88" s="45" t="str">
        <f>IFERROR(IF(VLOOKUP(R88,Расчет!$A$2:$B$650,2,FALSE)="664W","Camry",IF(VLOOKUP(R88,Расчет!$A$2:$B$650,2,FALSE)="813W","Goshi","RAV4")),"")</f>
        <v/>
      </c>
      <c r="T88" s="32" t="str">
        <f>IFERROR(IF(S88="Camry",VLOOKUP(R88,Расчет!$A$2:$Q$650,17,FALSE),VLOOKUP(R88,Расчет!$A$2:$R$650,18,FALSE)),"")</f>
        <v/>
      </c>
      <c r="U88" s="32" t="str">
        <f>IFERROR(VLOOKUP(VLOOKUP(R88,Расчет!$A:$D,4,FALSE),$AT$6:$AV$15,3,FALSE),"")</f>
        <v/>
      </c>
      <c r="V88" s="31" t="str">
        <f>IFERROR(VLOOKUP(IFERROR(VLOOKUP(R88,Расчет!$A$2:$D$650,4,FALSE),0),$AT$3:$AU$15,2,FALSE),"")</f>
        <v/>
      </c>
      <c r="W88" s="33" t="str">
        <f>IFERROR(VLOOKUP(R88,Расчет!$A$2:$E$650,5,FALSE),"")</f>
        <v/>
      </c>
      <c r="X88" s="189"/>
      <c r="Y88" s="191">
        <f t="shared" si="35"/>
        <v>0</v>
      </c>
      <c r="Z88" s="409"/>
      <c r="AA88" s="410"/>
      <c r="AB88" s="410"/>
      <c r="AC88" s="410"/>
      <c r="AD88" s="423"/>
      <c r="AE88" s="89">
        <v>86</v>
      </c>
      <c r="AF88" s="44" t="str">
        <f>IF(VLOOKUP(AE88,Расчет!$AH$2:$AN$201,5,FALSE)="8","C",IF(VLOOKUP(AE88,Расчет!$AH$2:$AN$201,5,FALSE)="G","G","R"))</f>
        <v>C</v>
      </c>
      <c r="AG88" s="73" t="str">
        <f t="shared" si="28"/>
        <v/>
      </c>
      <c r="AH88" s="87" t="str">
        <f>IF(AG88="","",COUNTIF($AG$2:AG88,"C")-COUNTIF($AF$2:AF88,"C")+$AH$1)</f>
        <v/>
      </c>
      <c r="AI88" s="87" t="str">
        <f>IF(AG88="","",COUNTIF($AG$2:AG88,"R")-COUNTIF($AF$2:AF88,"R")+$AI$1)</f>
        <v/>
      </c>
      <c r="AJ88" s="89">
        <v>189</v>
      </c>
      <c r="AK88" s="44" t="str">
        <f>IF(VLOOKUP(AJ88,Расчет!$AH$2:$AN$211,5,FALSE)="8","C",IF(VLOOKUP(AJ88,Расчет!$AH$2:$AN$211,5,FALSE)="G","G","R"))</f>
        <v>C</v>
      </c>
      <c r="AL88" s="74" t="str">
        <f t="shared" si="29"/>
        <v/>
      </c>
      <c r="AM88" s="118" t="str">
        <f>IF(AL88="","",(COUNTIF($AG$2:$AG$105,"C")+COUNTIF($AL$2:$AL88,"C"))-(COUNTIF($AF$2:$AF$105,"C")+COUNTIF($AK$2:$AK88,"C"))+$AH$1)</f>
        <v/>
      </c>
      <c r="AN88" s="119" t="str">
        <f>IF(AL88="","",(COUNTIF($AG$2:$AG$105,"R")+COUNTIF($AL$2:$AL88,"R"))-(COUNTIF($AF$2:$AF$105,"R")+COUNTIF($AK$2:$AK88,"R"))+$AI$1)</f>
        <v/>
      </c>
      <c r="AO88" s="22" t="str">
        <f>IF(E88="","",COUNTA($E$3:E88)+$Z$1)</f>
        <v/>
      </c>
      <c r="AP88" s="88" t="str">
        <f>IF(AO88="","",IF(AO88+Расчет!$Y$57+$BD$2-Расчет!$X$57&gt;200,AO88+Расчет!$Y$57+$BD$2-1000,AO88+Расчет!$Y$57+$BD$2))</f>
        <v/>
      </c>
      <c r="AR88" s="92"/>
      <c r="AS88" s="92"/>
      <c r="BL88" s="172">
        <f>COUNTIF($BM$5:BM88,"&lt;-115")</f>
        <v>0</v>
      </c>
      <c r="BM88" s="154">
        <f>IFERROR(IF(OR(IFERROR(VLOOKUP(BN88,$E$3:$E$105,1,FALSE),"0")=BN88,IFERROR(VLOOKUP(BN88,$R$3:$R$105,1,FALSE),"0")=BN88),BO88,IF(OR(VLOOKUP(BN88,Расчет!A:E,5,FALSE)="2PS",VLOOKUP(BN88,Расчет!A:E,5,FALSE)="2QL"),IF(VLOOKUP(BN88,Расчет!A:B,2,FALSE)="831W",BN88-$BS$7+$AD$17,BN88-$BS$7+$AD$12),BN88-$BS$7)),"-")</f>
        <v>21</v>
      </c>
      <c r="BN88" s="154">
        <f>IF(OR(Расчет!C85="A0",Расчет!C85="P9",Расчет!B85="722W"),"-",Расчет!A85)</f>
        <v>11230</v>
      </c>
      <c r="BO88" s="173">
        <f t="shared" si="39"/>
        <v>21</v>
      </c>
      <c r="BP88" s="172" t="str">
        <f>IF(BQ88="-","-",IFERROR(IF(OR(VLOOKUP(BN88,Расчет!$A$2:$E$582,5,FALSE)="2PS",VLOOKUP(BN88,Расчет!$A$2:$E$582,5,FALSE)="2QL"),IF(OR(VLOOKUP(BN88,Расчет!$A$2:$E$582,2,FALSE)="664W",VLOOKUP(BN88,Расчет!$A$2:$E$582,2,FALSE)="813W"),IF(BN88-$BS$7&gt;150,BN88-$BS$7-1000+$AD$12,BN88-$BS$7+$AD$12),IF(BN88-$BS$7&gt;150,BN88-$BS$7-1000+$AD$17,BN88-$BS$7+$AD$17)),IF(BN88-$BS$7&gt;150,BN88-$BS$7-1000,BN88-$BS$7)),"-"))</f>
        <v>-</v>
      </c>
      <c r="BQ88" s="173" t="str">
        <f t="shared" si="36"/>
        <v>-</v>
      </c>
      <c r="BR88" s="453"/>
      <c r="BS88" s="171"/>
      <c r="BT88" s="464" t="str">
        <f t="shared" si="37"/>
        <v>-</v>
      </c>
      <c r="BU88" s="464" t="str">
        <f t="shared" si="38"/>
        <v>-</v>
      </c>
      <c r="BX88" s="204">
        <f>COUNTIF($BY$4:BY88,"&lt;100")</f>
        <v>59</v>
      </c>
      <c r="BY88" s="213" t="str">
        <f t="shared" si="30"/>
        <v/>
      </c>
      <c r="BZ88" s="216" t="str">
        <f t="shared" si="30"/>
        <v/>
      </c>
      <c r="CA88" s="213" t="e">
        <f t="shared" si="31"/>
        <v>#N/A</v>
      </c>
      <c r="CB88" s="209" t="e">
        <f t="shared" si="32"/>
        <v>#N/A</v>
      </c>
      <c r="CC88" s="205" t="str">
        <f t="shared" si="40"/>
        <v/>
      </c>
      <c r="CD88" s="205" t="str">
        <f t="shared" si="33"/>
        <v>-</v>
      </c>
      <c r="CE88" s="205">
        <f t="shared" si="41"/>
        <v>0</v>
      </c>
      <c r="CG88" s="20" t="str">
        <f t="shared" si="42"/>
        <v/>
      </c>
    </row>
    <row r="89" spans="1:85" ht="23.1" customHeight="1">
      <c r="A89" s="40" t="str">
        <f>IF(AND(IFERROR(VLOOKUP(E89,Расчет!A:J,10,FALSE),"  ")&lt;&gt;"  ",IFERROR(LEFT(VLOOKUP(E89,Расчет!A:J,10,FALSE),1)," ")&lt;&gt;"H"),0,IFERROR(IF(F89="Camry",IF(OR(J89="2PS",J89="2QL"),IF(E89-AP89&gt;100,E89-AP89-1000+$AD$12,E89-AP89+$AD$12),IF(E89-AP89&gt;100,E89-AP89-1000,E89-AP89)),IF(J89="2PS",IF(E89-AP89&gt;100,E89-AP89-1000+$AD$17,E89-AP89+$AD$17),IF(E89-AP89&gt;100,E89-AP89-1000,E89-AP89))),"-"))</f>
        <v>-</v>
      </c>
      <c r="B89" s="46">
        <v>87</v>
      </c>
      <c r="C89" s="19" t="str">
        <f>IF(E89="","",COUNTA($E$3:E89))</f>
        <v/>
      </c>
      <c r="D89" s="198" t="str">
        <f>IFERROR(IF(AO89&gt;=1000,AO89-1000,AO89),"")</f>
        <v/>
      </c>
      <c r="E89" s="30"/>
      <c r="F89" s="44" t="str">
        <f>IFERROR(IF(VLOOKUP(E89,Расчет!$A$2:$B$650,2,FALSE)="664W","Camry",IF(VLOOKUP(E89,Расчет!$A$2:$B$650,2,FALSE)="813W","Goshi","RAV4")),"")</f>
        <v/>
      </c>
      <c r="G89" s="32" t="str">
        <f>IFERROR(IF(F89="Camry",VLOOKUP(E89,Расчет!$A$2:$Q$650,17,FALSE),VLOOKUP(E89,Расчет!$A$2:$R$650,18,FALSE)),"")</f>
        <v/>
      </c>
      <c r="H89" s="32" t="str">
        <f>IFERROR(VLOOKUP(VLOOKUP(E89,Расчет!$A:$D,4,FALSE),$AT$6:$AV$15,3,FALSE),"")</f>
        <v/>
      </c>
      <c r="I89" s="31" t="str">
        <f>IFERROR(VLOOKUP(IFERROR(VLOOKUP(E89,Расчет!$A$2:$D$650,4,FALSE),0),$AT$3:$AU$15,2,FALSE),"")</f>
        <v/>
      </c>
      <c r="J89" s="33" t="str">
        <f>IFERROR(VLOOKUP(E89,Расчет!$A$2:$E$650,5,FALSE),"")</f>
        <v/>
      </c>
      <c r="K89" s="189"/>
      <c r="L89" s="188">
        <f t="shared" si="34"/>
        <v>0</v>
      </c>
      <c r="M89" s="9"/>
      <c r="N89" s="40" t="str">
        <f>IF(AND(IFERROR(VLOOKUP(R89,Расчет!A:J,10,FALSE),"  ")&lt;&gt;"  ",IFERROR(LEFT(VLOOKUP(R89,Расчет!A:J,10,FALSE),1)," ")&lt;&gt;"H"),0,IFERROR(IF(S89="Camry",IF(OR(W89="2PS",W89="2QL"),IF(R89-AP192&gt;100,R89-AP192-1000+$AD$12,R89-AP192+$AD$12),IF(R89-AP192&gt;100,R89-AP192-1000,R89-AP192)),IF(W89="2PS",IF(R89-AP192&gt;100,R89-AP192-1000+$AD$17,R89-AP192+$AD$17),IF(R89-AP192&gt;100,R89-AP192-1000,R89-AP192))),"-"))</f>
        <v>-</v>
      </c>
      <c r="O89" s="46">
        <v>190</v>
      </c>
      <c r="P89" s="19" t="str">
        <f>IF(R89="","",COUNTA($R$3:R89)+$C$105)</f>
        <v/>
      </c>
      <c r="Q89" s="18" t="str">
        <f t="shared" si="27"/>
        <v/>
      </c>
      <c r="R89" s="30"/>
      <c r="S89" s="45" t="str">
        <f>IFERROR(IF(VLOOKUP(R89,Расчет!$A$2:$B$650,2,FALSE)="664W","Camry",IF(VLOOKUP(R89,Расчет!$A$2:$B$650,2,FALSE)="813W","Goshi","RAV4")),"")</f>
        <v/>
      </c>
      <c r="T89" s="32" t="str">
        <f>IFERROR(IF(S89="Camry",VLOOKUP(R89,Расчет!$A$2:$Q$650,17,FALSE),VLOOKUP(R89,Расчет!$A$2:$R$650,18,FALSE)),"")</f>
        <v/>
      </c>
      <c r="U89" s="32" t="str">
        <f>IFERROR(VLOOKUP(VLOOKUP(R89,Расчет!$A:$D,4,FALSE),$AT$6:$AV$15,3,FALSE),"")</f>
        <v/>
      </c>
      <c r="V89" s="31" t="str">
        <f>IFERROR(VLOOKUP(IFERROR(VLOOKUP(R89,Расчет!$A$2:$D$650,4,FALSE),0),$AT$3:$AU$15,2,FALSE),"")</f>
        <v/>
      </c>
      <c r="W89" s="33" t="str">
        <f>IFERROR(VLOOKUP(R89,Расчет!$A$2:$E$650,5,FALSE),"")</f>
        <v/>
      </c>
      <c r="X89" s="189"/>
      <c r="Y89" s="191">
        <f t="shared" si="35"/>
        <v>0</v>
      </c>
      <c r="Z89" s="409"/>
      <c r="AA89" s="410"/>
      <c r="AB89" s="410"/>
      <c r="AC89" s="410"/>
      <c r="AD89" s="423"/>
      <c r="AE89" s="89">
        <v>87</v>
      </c>
      <c r="AF89" s="44" t="str">
        <f>IF(VLOOKUP(AE89,Расчет!$AH$2:$AN$201,5,FALSE)="8","C",IF(VLOOKUP(AE89,Расчет!$AH$2:$AN$201,5,FALSE)="G","G","R"))</f>
        <v>R</v>
      </c>
      <c r="AG89" s="73" t="str">
        <f t="shared" si="28"/>
        <v/>
      </c>
      <c r="AH89" s="87" t="str">
        <f>IF(AG89="","",COUNTIF($AG$2:AG89,"C")-COUNTIF($AF$2:AF89,"C")+$AH$1)</f>
        <v/>
      </c>
      <c r="AI89" s="87" t="str">
        <f>IF(AG89="","",COUNTIF($AG$2:AG89,"R")-COUNTIF($AF$2:AF89,"R")+$AI$1)</f>
        <v/>
      </c>
      <c r="AJ89" s="89">
        <v>190</v>
      </c>
      <c r="AK89" s="44" t="str">
        <f>IF(VLOOKUP(AJ89,Расчет!$AH$2:$AN$211,5,FALSE)="8","C",IF(VLOOKUP(AJ89,Расчет!$AH$2:$AN$211,5,FALSE)="G","G","R"))</f>
        <v>R</v>
      </c>
      <c r="AL89" s="74" t="str">
        <f t="shared" si="29"/>
        <v/>
      </c>
      <c r="AM89" s="118" t="str">
        <f>IF(AL89="","",(COUNTIF($AG$2:$AG$105,"C")+COUNTIF($AL$2:$AL89,"C"))-(COUNTIF($AF$2:$AF$105,"C")+COUNTIF($AK$2:$AK89,"C"))+$AH$1)</f>
        <v/>
      </c>
      <c r="AN89" s="119" t="str">
        <f>IF(AL89="","",(COUNTIF($AG$2:$AG$105,"R")+COUNTIF($AL$2:$AL89,"R"))-(COUNTIF($AF$2:$AF$105,"R")+COUNTIF($AK$2:$AK89,"R"))+$AI$1)</f>
        <v/>
      </c>
      <c r="AO89" s="22" t="str">
        <f>IF(E89="","",COUNTA($E$3:E89)+$Z$1)</f>
        <v/>
      </c>
      <c r="AP89" s="88" t="str">
        <f>IF(AO89="","",IF(AO89+Расчет!$Y$57+$BD$2-Расчет!$X$57&gt;200,AO89+Расчет!$Y$57+$BD$2-1000,AO89+Расчет!$Y$57+$BD$2))</f>
        <v/>
      </c>
      <c r="AR89" s="92"/>
      <c r="AS89" s="92"/>
      <c r="BL89" s="172">
        <f>COUNTIF($BM$5:BM89,"&lt;-115")</f>
        <v>0</v>
      </c>
      <c r="BM89" s="154">
        <f>IFERROR(IF(OR(IFERROR(VLOOKUP(BN89,$E$3:$E$105,1,FALSE),"0")=BN89,IFERROR(VLOOKUP(BN89,$R$3:$R$105,1,FALSE),"0")=BN89),BO89,IF(OR(VLOOKUP(BN89,Расчет!A:E,5,FALSE)="2PS",VLOOKUP(BN89,Расчет!A:E,5,FALSE)="2QL"),IF(VLOOKUP(BN89,Расчет!A:B,2,FALSE)="831W",BN89-$BS$7+$AD$17,BN89-$BS$7+$AD$12),BN89-$BS$7)),"-")</f>
        <v>14</v>
      </c>
      <c r="BN89" s="154">
        <f>IF(OR(Расчет!C86="A0",Расчет!C86="P9",Расчет!B86="722W"),"-",Расчет!A86)</f>
        <v>11231</v>
      </c>
      <c r="BO89" s="173">
        <f t="shared" si="39"/>
        <v>14</v>
      </c>
      <c r="BP89" s="172" t="str">
        <f>IF(BQ89="-","-",IFERROR(IF(OR(VLOOKUP(BN89,Расчет!$A$2:$E$582,5,FALSE)="2PS",VLOOKUP(BN89,Расчет!$A$2:$E$582,5,FALSE)="2QL"),IF(OR(VLOOKUP(BN89,Расчет!$A$2:$E$582,2,FALSE)="664W",VLOOKUP(BN89,Расчет!$A$2:$E$582,2,FALSE)="813W"),IF(BN89-$BS$7&gt;150,BN89-$BS$7-1000+$AD$12,BN89-$BS$7+$AD$12),IF(BN89-$BS$7&gt;150,BN89-$BS$7-1000+$AD$17,BN89-$BS$7+$AD$17)),IF(BN89-$BS$7&gt;150,BN89-$BS$7-1000,BN89-$BS$7)),"-"))</f>
        <v>-</v>
      </c>
      <c r="BQ89" s="173" t="str">
        <f t="shared" si="36"/>
        <v>-</v>
      </c>
      <c r="BR89" s="453"/>
      <c r="BS89" s="171"/>
      <c r="BT89" s="464" t="str">
        <f t="shared" si="37"/>
        <v>-</v>
      </c>
      <c r="BU89" s="464" t="str">
        <f t="shared" si="38"/>
        <v>-</v>
      </c>
      <c r="BX89" s="204">
        <f>COUNTIF($BY$4:BY89,"&lt;100")</f>
        <v>59</v>
      </c>
      <c r="BY89" s="213" t="str">
        <f t="shared" si="30"/>
        <v/>
      </c>
      <c r="BZ89" s="216" t="str">
        <f t="shared" si="30"/>
        <v/>
      </c>
      <c r="CA89" s="213" t="e">
        <f t="shared" si="31"/>
        <v>#N/A</v>
      </c>
      <c r="CB89" s="209" t="e">
        <f t="shared" si="32"/>
        <v>#N/A</v>
      </c>
      <c r="CC89" s="205" t="str">
        <f t="shared" si="40"/>
        <v/>
      </c>
      <c r="CD89" s="205" t="str">
        <f t="shared" si="33"/>
        <v>-</v>
      </c>
      <c r="CE89" s="205">
        <f t="shared" si="41"/>
        <v>0</v>
      </c>
      <c r="CG89" s="20" t="str">
        <f t="shared" si="42"/>
        <v/>
      </c>
    </row>
    <row r="90" spans="1:85" ht="23.1" customHeight="1">
      <c r="A90" s="40" t="str">
        <f>IF(AND(IFERROR(VLOOKUP(E90,Расчет!A:J,10,FALSE),"  ")&lt;&gt;"  ",IFERROR(LEFT(VLOOKUP(E90,Расчет!A:J,10,FALSE),1)," ")&lt;&gt;"H"),0,IFERROR(IF(F90="Camry",IF(OR(J90="2PS",J90="2QL"),IF(E90-AP90&gt;100,E90-AP90-1000+$AD$12,E90-AP90+$AD$12),IF(E90-AP90&gt;100,E90-AP90-1000,E90-AP90)),IF(J90="2PS",IF(E90-AP90&gt;100,E90-AP90-1000+$AD$17,E90-AP90+$AD$17),IF(E90-AP90&gt;100,E90-AP90-1000,E90-AP90))),"-"))</f>
        <v>-</v>
      </c>
      <c r="B90" s="46">
        <v>88</v>
      </c>
      <c r="C90" s="19" t="str">
        <f>IF(E90="","",COUNTA($E$3:E90))</f>
        <v/>
      </c>
      <c r="D90" s="18" t="str">
        <f t="shared" si="26"/>
        <v/>
      </c>
      <c r="E90" s="200"/>
      <c r="F90" s="44" t="str">
        <f>IFERROR(IF(VLOOKUP(E90,Расчет!$A$2:$B$650,2,FALSE)="664W","Camry",IF(VLOOKUP(E90,Расчет!$A$2:$B$650,2,FALSE)="813W","Goshi","RAV4")),"")</f>
        <v/>
      </c>
      <c r="G90" s="32" t="str">
        <f>IFERROR(IF(F90="Camry",VLOOKUP(E90,Расчет!$A$2:$Q$650,17,FALSE),VLOOKUP(E90,Расчет!$A$2:$R$650,18,FALSE)),"")</f>
        <v/>
      </c>
      <c r="H90" s="32" t="str">
        <f>IFERROR(VLOOKUP(VLOOKUP(E90,Расчет!$A:$D,4,FALSE),$AT$6:$AV$15,3,FALSE),"")</f>
        <v/>
      </c>
      <c r="I90" s="31" t="str">
        <f>IFERROR(VLOOKUP(IFERROR(VLOOKUP(E90,Расчет!$A$2:$D$650,4,FALSE),0),$AT$3:$AU$15,2,FALSE),"")</f>
        <v/>
      </c>
      <c r="J90" s="33" t="str">
        <f>IFERROR(VLOOKUP(E90,Расчет!$A$2:$E$650,5,FALSE),"")</f>
        <v/>
      </c>
      <c r="K90" s="189"/>
      <c r="L90" s="188">
        <f t="shared" si="34"/>
        <v>0</v>
      </c>
      <c r="M90" s="9"/>
      <c r="N90" s="40" t="str">
        <f>IF(AND(IFERROR(VLOOKUP(R90,Расчет!A:J,10,FALSE),"  ")&lt;&gt;"  ",IFERROR(LEFT(VLOOKUP(R90,Расчет!A:J,10,FALSE),1)," ")&lt;&gt;"H"),0,IFERROR(IF(S90="Camry",IF(OR(W90="2PS",W90="2QL"),IF(R90-AP193&gt;100,R90-AP193-1000+$AD$12,R90-AP193+$AD$12),IF(R90-AP193&gt;100,R90-AP193-1000,R90-AP193)),IF(W90="2PS",IF(R90-AP193&gt;100,R90-AP193-1000+$AD$17,R90-AP193+$AD$17),IF(R90-AP193&gt;100,R90-AP193-1000,R90-AP193))),"-"))</f>
        <v>-</v>
      </c>
      <c r="O90" s="46">
        <v>191</v>
      </c>
      <c r="P90" s="19" t="str">
        <f>IF(R90="","",COUNTA($R$3:R90)+$C$105)</f>
        <v/>
      </c>
      <c r="Q90" s="18" t="str">
        <f t="shared" si="27"/>
        <v/>
      </c>
      <c r="R90" s="30"/>
      <c r="S90" s="45" t="str">
        <f>IFERROR(IF(VLOOKUP(R90,Расчет!$A$2:$B$650,2,FALSE)="664W","Camry",IF(VLOOKUP(R90,Расчет!$A$2:$B$650,2,FALSE)="813W","Goshi","RAV4")),"")</f>
        <v/>
      </c>
      <c r="T90" s="32" t="str">
        <f>IFERROR(IF(S90="Camry",VLOOKUP(R90,Расчет!$A$2:$Q$650,17,FALSE),VLOOKUP(R90,Расчет!$A$2:$R$650,18,FALSE)),"")</f>
        <v/>
      </c>
      <c r="U90" s="32" t="str">
        <f>IFERROR(VLOOKUP(VLOOKUP(R90,Расчет!$A:$D,4,FALSE),$AT$6:$AV$15,3,FALSE),"")</f>
        <v/>
      </c>
      <c r="V90" s="31" t="str">
        <f>IFERROR(VLOOKUP(IFERROR(VLOOKUP(R90,Расчет!$A$2:$D$650,4,FALSE),0),$AT$3:$AU$15,2,FALSE),"")</f>
        <v/>
      </c>
      <c r="W90" s="33" t="str">
        <f>IFERROR(VLOOKUP(R90,Расчет!$A$2:$E$650,5,FALSE),"")</f>
        <v/>
      </c>
      <c r="X90" s="189"/>
      <c r="Y90" s="191">
        <f t="shared" si="35"/>
        <v>0</v>
      </c>
      <c r="Z90" s="409"/>
      <c r="AA90" s="410"/>
      <c r="AB90" s="410"/>
      <c r="AC90" s="410"/>
      <c r="AD90" s="423"/>
      <c r="AE90" s="89">
        <v>88</v>
      </c>
      <c r="AF90" s="44" t="str">
        <f>IF(VLOOKUP(AE90,Расчет!$AH$2:$AN$201,5,FALSE)="8","C",IF(VLOOKUP(AE90,Расчет!$AH$2:$AN$201,5,FALSE)="G","G","R"))</f>
        <v>R</v>
      </c>
      <c r="AG90" s="73" t="str">
        <f t="shared" si="28"/>
        <v/>
      </c>
      <c r="AH90" s="87" t="str">
        <f>IF(AG90="","",COUNTIF($AG$2:AG90,"C")-COUNTIF($AF$2:AF90,"C")+$AH$1)</f>
        <v/>
      </c>
      <c r="AI90" s="87" t="str">
        <f>IF(AG90="","",COUNTIF($AG$2:AG90,"R")-COUNTIF($AF$2:AF90,"R")+$AI$1)</f>
        <v/>
      </c>
      <c r="AJ90" s="89">
        <v>191</v>
      </c>
      <c r="AK90" s="44" t="str">
        <f>IF(VLOOKUP(AJ90,Расчет!$AH$2:$AN$211,5,FALSE)="8","C",IF(VLOOKUP(AJ90,Расчет!$AH$2:$AN$211,5,FALSE)="G","G","R"))</f>
        <v>C</v>
      </c>
      <c r="AL90" s="74" t="str">
        <f t="shared" si="29"/>
        <v/>
      </c>
      <c r="AM90" s="118" t="str">
        <f>IF(AL90="","",(COUNTIF($AG$2:$AG$105,"C")+COUNTIF($AL$2:$AL90,"C"))-(COUNTIF($AF$2:$AF$105,"C")+COUNTIF($AK$2:$AK90,"C"))+$AH$1)</f>
        <v/>
      </c>
      <c r="AN90" s="119" t="str">
        <f>IF(AL90="","",(COUNTIF($AG$2:$AG$105,"R")+COUNTIF($AL$2:$AL90,"R"))-(COUNTIF($AF$2:$AF$105,"R")+COUNTIF($AK$2:$AK90,"R"))+$AI$1)</f>
        <v/>
      </c>
      <c r="AO90" s="22" t="str">
        <f>IF(E90="","",COUNTA($E$3:E90)+$Z$1)</f>
        <v/>
      </c>
      <c r="AP90" s="88" t="str">
        <f>IF(AO90="","",IF(AO90+Расчет!$Y$57+$BD$2-Расчет!$X$57&gt;200,AO90+Расчет!$Y$57+$BD$2-1000,AO90+Расчет!$Y$57+$BD$2))</f>
        <v/>
      </c>
      <c r="AR90" s="92"/>
      <c r="AS90" s="92"/>
      <c r="BL90" s="172">
        <f>COUNTIF($BM$5:BM90,"&lt;-115")</f>
        <v>0</v>
      </c>
      <c r="BM90" s="154">
        <f>IFERROR(IF(OR(IFERROR(VLOOKUP(BN90,$E$3:$E$105,1,FALSE),"0")=BN90,IFERROR(VLOOKUP(BN90,$R$3:$R$105,1,FALSE),"0")=BN90),BO90,IF(OR(VLOOKUP(BN90,Расчет!A:E,5,FALSE)="2PS",VLOOKUP(BN90,Расчет!A:E,5,FALSE)="2QL"),IF(VLOOKUP(BN90,Расчет!A:B,2,FALSE)="831W",BN90-$BS$7+$AD$17,BN90-$BS$7+$AD$12),BN90-$BS$7)),"-")</f>
        <v>14</v>
      </c>
      <c r="BN90" s="154">
        <f>IF(OR(Расчет!C87="A0",Расчет!C87="P9",Расчет!B87="722W"),"-",Расчет!A87)</f>
        <v>11232</v>
      </c>
      <c r="BO90" s="173">
        <f t="shared" si="39"/>
        <v>14</v>
      </c>
      <c r="BP90" s="172" t="str">
        <f>IF(BQ90="-","-",IFERROR(IF(OR(VLOOKUP(BN90,Расчет!$A$2:$E$582,5,FALSE)="2PS",VLOOKUP(BN90,Расчет!$A$2:$E$582,5,FALSE)="2QL"),IF(OR(VLOOKUP(BN90,Расчет!$A$2:$E$582,2,FALSE)="664W",VLOOKUP(BN90,Расчет!$A$2:$E$582,2,FALSE)="813W"),IF(BN90-$BS$7&gt;150,BN90-$BS$7-1000+$AD$12,BN90-$BS$7+$AD$12),IF(BN90-$BS$7&gt;150,BN90-$BS$7-1000+$AD$17,BN90-$BS$7+$AD$17)),IF(BN90-$BS$7&gt;150,BN90-$BS$7-1000,BN90-$BS$7)),"-"))</f>
        <v>-</v>
      </c>
      <c r="BQ90" s="173" t="str">
        <f t="shared" si="36"/>
        <v>-</v>
      </c>
      <c r="BR90" s="453"/>
      <c r="BS90" s="171"/>
      <c r="BT90" s="464" t="str">
        <f t="shared" si="37"/>
        <v>-</v>
      </c>
      <c r="BU90" s="464" t="str">
        <f t="shared" si="38"/>
        <v>-</v>
      </c>
      <c r="BX90" s="204">
        <f>COUNTIF($BY$4:BY90,"&lt;100")</f>
        <v>59</v>
      </c>
      <c r="BY90" s="213" t="str">
        <f t="shared" si="30"/>
        <v/>
      </c>
      <c r="BZ90" s="216" t="str">
        <f t="shared" si="30"/>
        <v/>
      </c>
      <c r="CA90" s="213" t="e">
        <f t="shared" si="31"/>
        <v>#N/A</v>
      </c>
      <c r="CB90" s="209" t="e">
        <f t="shared" si="32"/>
        <v>#N/A</v>
      </c>
      <c r="CC90" s="205" t="str">
        <f t="shared" si="40"/>
        <v/>
      </c>
      <c r="CD90" s="205" t="str">
        <f t="shared" si="33"/>
        <v>-</v>
      </c>
      <c r="CE90" s="205">
        <f t="shared" si="41"/>
        <v>0</v>
      </c>
      <c r="CG90" s="20" t="str">
        <f t="shared" si="42"/>
        <v/>
      </c>
    </row>
    <row r="91" spans="1:85" ht="23.1" customHeight="1" thickBot="1">
      <c r="A91" s="40" t="str">
        <f>IF(AND(IFERROR(VLOOKUP(E91,Расчет!A:J,10,FALSE),"  ")&lt;&gt;"  ",IFERROR(LEFT(VLOOKUP(E91,Расчет!A:J,10,FALSE),1)," ")&lt;&gt;"H"),0,IFERROR(IF(F91="Camry",IF(OR(J91="2PS",J91="2QL"),IF(E91-AP91&gt;100,E91-AP91-1000+$AD$12,E91-AP91+$AD$12),IF(E91-AP91&gt;100,E91-AP91-1000,E91-AP91)),IF(J91="2PS",IF(E91-AP91&gt;100,E91-AP91-1000+$AD$17,E91-AP91+$AD$17),IF(E91-AP91&gt;100,E91-AP91-1000,E91-AP91))),"-"))</f>
        <v>-</v>
      </c>
      <c r="B91" s="46">
        <v>89</v>
      </c>
      <c r="C91" s="19" t="str">
        <f>IF(E91="","",COUNTA($E$3:E91))</f>
        <v/>
      </c>
      <c r="D91" s="18" t="str">
        <f t="shared" si="26"/>
        <v/>
      </c>
      <c r="E91" s="30"/>
      <c r="F91" s="44" t="str">
        <f>IFERROR(IF(VLOOKUP(E91,Расчет!$A$2:$B$650,2,FALSE)="664W","Camry",IF(VLOOKUP(E91,Расчет!$A$2:$B$650,2,FALSE)="813W","Goshi","RAV4")),"")</f>
        <v/>
      </c>
      <c r="G91" s="32" t="str">
        <f>IFERROR(IF(F91="Camry",VLOOKUP(E91,Расчет!$A$2:$Q$650,17,FALSE),VLOOKUP(E91,Расчет!$A$2:$R$650,18,FALSE)),"")</f>
        <v/>
      </c>
      <c r="H91" s="32" t="str">
        <f>IFERROR(VLOOKUP(VLOOKUP(E91,Расчет!$A:$D,4,FALSE),$AT$6:$AV$15,3,FALSE),"")</f>
        <v/>
      </c>
      <c r="I91" s="31" t="str">
        <f>IFERROR(VLOOKUP(IFERROR(VLOOKUP(E91,Расчет!$A$2:$D$650,4,FALSE),0),$AT$3:$AU$15,2,FALSE),"")</f>
        <v/>
      </c>
      <c r="J91" s="33" t="str">
        <f>IFERROR(VLOOKUP(E91,Расчет!$A$2:$E$650,5,FALSE),"")</f>
        <v/>
      </c>
      <c r="K91" s="190"/>
      <c r="L91" s="188">
        <f t="shared" si="34"/>
        <v>0</v>
      </c>
      <c r="M91" s="9"/>
      <c r="N91" s="40" t="str">
        <f>IF(AND(IFERROR(VLOOKUP(R91,Расчет!A:J,10,FALSE),"  ")&lt;&gt;"  ",IFERROR(LEFT(VLOOKUP(R91,Расчет!A:J,10,FALSE),1)," ")&lt;&gt;"H"),0,IFERROR(IF(S91="Camry",IF(OR(W91="2PS",W91="2QL"),IF(R91-AP194&gt;100,R91-AP194-1000+$AD$12,R91-AP194+$AD$12),IF(R91-AP194&gt;100,R91-AP194-1000,R91-AP194)),IF(W91="2PS",IF(R91-AP194&gt;100,R91-AP194-1000+$AD$17,R91-AP194+$AD$17),IF(R91-AP194&gt;100,R91-AP194-1000,R91-AP194))),"-"))</f>
        <v>-</v>
      </c>
      <c r="O91" s="46">
        <v>192</v>
      </c>
      <c r="P91" s="19" t="str">
        <f>IF(R91="","",COUNTA($R$3:R91)+$C$105)</f>
        <v/>
      </c>
      <c r="Q91" s="18" t="str">
        <f t="shared" si="27"/>
        <v/>
      </c>
      <c r="R91" s="30"/>
      <c r="S91" s="45" t="str">
        <f>IFERROR(IF(VLOOKUP(R91,Расчет!$A$2:$B$650,2,FALSE)="664W","Camry",IF(VLOOKUP(R91,Расчет!$A$2:$B$650,2,FALSE)="813W","Goshi","RAV4")),"")</f>
        <v/>
      </c>
      <c r="T91" s="32" t="str">
        <f>IFERROR(IF(S91="Camry",VLOOKUP(R91,Расчет!$A$2:$Q$650,17,FALSE),VLOOKUP(R91,Расчет!$A$2:$R$650,18,FALSE)),"")</f>
        <v/>
      </c>
      <c r="U91" s="32" t="str">
        <f>IFERROR(VLOOKUP(VLOOKUP(R91,Расчет!$A:$D,4,FALSE),$AT$6:$AV$15,3,FALSE),"")</f>
        <v/>
      </c>
      <c r="V91" s="31" t="str">
        <f>IFERROR(VLOOKUP(IFERROR(VLOOKUP(R91,Расчет!$A$2:$D$650,4,FALSE),0),$AT$3:$AU$15,2,FALSE),"")</f>
        <v/>
      </c>
      <c r="W91" s="33" t="str">
        <f>IFERROR(VLOOKUP(R91,Расчет!$A$2:$E$650,5,FALSE),"")</f>
        <v/>
      </c>
      <c r="X91" s="189"/>
      <c r="Y91" s="191">
        <f t="shared" si="35"/>
        <v>0</v>
      </c>
      <c r="Z91" s="411"/>
      <c r="AA91" s="412"/>
      <c r="AB91" s="412"/>
      <c r="AC91" s="412"/>
      <c r="AD91" s="423"/>
      <c r="AE91" s="89">
        <v>89</v>
      </c>
      <c r="AF91" s="44" t="str">
        <f>IF(VLOOKUP(AE91,Расчет!$AH$2:$AN$201,5,FALSE)="8","C",IF(VLOOKUP(AE91,Расчет!$AH$2:$AN$201,5,FALSE)="G","G","R"))</f>
        <v>C</v>
      </c>
      <c r="AG91" s="73" t="str">
        <f t="shared" si="28"/>
        <v/>
      </c>
      <c r="AH91" s="87" t="str">
        <f>IF(AG91="","",COUNTIF($AG$2:AG91,"C")-COUNTIF($AF$2:AF91,"C")+$AH$1)</f>
        <v/>
      </c>
      <c r="AI91" s="87" t="str">
        <f>IF(AG91="","",COUNTIF($AG$2:AG91,"R")-COUNTIF($AF$2:AF91,"R")+$AI$1)</f>
        <v/>
      </c>
      <c r="AJ91" s="89">
        <v>192</v>
      </c>
      <c r="AK91" s="44" t="str">
        <f>IF(VLOOKUP(AJ91,Расчет!$AH$2:$AN$211,5,FALSE)="8","C",IF(VLOOKUP(AJ91,Расчет!$AH$2:$AN$211,5,FALSE)="G","G","R"))</f>
        <v>R</v>
      </c>
      <c r="AL91" s="74" t="str">
        <f t="shared" si="29"/>
        <v/>
      </c>
      <c r="AM91" s="118" t="str">
        <f>IF(AL91="","",(COUNTIF($AG$2:$AG$105,"C")+COUNTIF($AL$2:$AL91,"C"))-(COUNTIF($AF$2:$AF$105,"C")+COUNTIF($AK$2:$AK91,"C"))+$AH$1)</f>
        <v/>
      </c>
      <c r="AN91" s="119" t="str">
        <f>IF(AL91="","",(COUNTIF($AG$2:$AG$105,"R")+COUNTIF($AL$2:$AL91,"R"))-(COUNTIF($AF$2:$AF$105,"R")+COUNTIF($AK$2:$AK91,"R"))+$AI$1)</f>
        <v/>
      </c>
      <c r="AO91" s="22" t="str">
        <f>IF(E91="","",COUNTA($E$3:E91)+$Z$1)</f>
        <v/>
      </c>
      <c r="AP91" s="88" t="str">
        <f>IF(AO91="","",IF(AO91+Расчет!$Y$57+$BD$2-Расчет!$X$57&gt;200,AO91+Расчет!$Y$57+$BD$2-1000,AO91+Расчет!$Y$57+$BD$2))</f>
        <v/>
      </c>
      <c r="AR91" s="92"/>
      <c r="AS91" s="92"/>
      <c r="BL91" s="172">
        <f>COUNTIF($BM$5:BM91,"&lt;-115")</f>
        <v>0</v>
      </c>
      <c r="BM91" s="154">
        <f>IFERROR(IF(OR(IFERROR(VLOOKUP(BN91,$E$3:$E$105,1,FALSE),"0")=BN91,IFERROR(VLOOKUP(BN91,$R$3:$R$105,1,FALSE),"0")=BN91),BO91,IF(OR(VLOOKUP(BN91,Расчет!A:E,5,FALSE)="2PS",VLOOKUP(BN91,Расчет!A:E,5,FALSE)="2QL"),IF(VLOOKUP(BN91,Расчет!A:B,2,FALSE)="831W",BN91-$BS$7+$AD$17,BN91-$BS$7+$AD$12),BN91-$BS$7)),"-")</f>
        <v>18</v>
      </c>
      <c r="BN91" s="154">
        <f>IF(OR(Расчет!C88="A0",Расчет!C88="P9",Расчет!B88="722W"),"-",Расчет!A88)</f>
        <v>11233</v>
      </c>
      <c r="BO91" s="173">
        <f t="shared" si="39"/>
        <v>18</v>
      </c>
      <c r="BP91" s="172" t="str">
        <f>IF(BQ91="-","-",IFERROR(IF(OR(VLOOKUP(BN91,Расчет!$A$2:$E$582,5,FALSE)="2PS",VLOOKUP(BN91,Расчет!$A$2:$E$582,5,FALSE)="2QL"),IF(OR(VLOOKUP(BN91,Расчет!$A$2:$E$582,2,FALSE)="664W",VLOOKUP(BN91,Расчет!$A$2:$E$582,2,FALSE)="813W"),IF(BN91-$BS$7&gt;150,BN91-$BS$7-1000+$AD$12,BN91-$BS$7+$AD$12),IF(BN91-$BS$7&gt;150,BN91-$BS$7-1000+$AD$17,BN91-$BS$7+$AD$17)),IF(BN91-$BS$7&gt;150,BN91-$BS$7-1000,BN91-$BS$7)),"-"))</f>
        <v>-</v>
      </c>
      <c r="BQ91" s="173" t="str">
        <f t="shared" si="36"/>
        <v>-</v>
      </c>
      <c r="BR91" s="453"/>
      <c r="BS91" s="171"/>
      <c r="BT91" s="464" t="str">
        <f t="shared" si="37"/>
        <v>-</v>
      </c>
      <c r="BU91" s="464" t="str">
        <f t="shared" si="38"/>
        <v>-</v>
      </c>
      <c r="BX91" s="204">
        <f>COUNTIF($BY$4:BY91,"&lt;100")</f>
        <v>59</v>
      </c>
      <c r="BY91" s="213" t="str">
        <f t="shared" si="30"/>
        <v/>
      </c>
      <c r="BZ91" s="216" t="str">
        <f t="shared" si="30"/>
        <v/>
      </c>
      <c r="CA91" s="213" t="e">
        <f t="shared" si="31"/>
        <v>#N/A</v>
      </c>
      <c r="CB91" s="209" t="e">
        <f t="shared" si="32"/>
        <v>#N/A</v>
      </c>
      <c r="CC91" s="205" t="str">
        <f t="shared" si="40"/>
        <v/>
      </c>
      <c r="CD91" s="205" t="str">
        <f t="shared" si="33"/>
        <v>-</v>
      </c>
      <c r="CE91" s="205">
        <f t="shared" si="41"/>
        <v>0</v>
      </c>
      <c r="CG91" s="20" t="str">
        <f t="shared" si="42"/>
        <v/>
      </c>
    </row>
    <row r="92" spans="1:85" ht="23.1" customHeight="1" thickBot="1">
      <c r="A92" s="40" t="str">
        <f>IF(AND(IFERROR(VLOOKUP(E92,Расчет!A:J,10,FALSE),"  ")&lt;&gt;"  ",IFERROR(LEFT(VLOOKUP(E92,Расчет!A:J,10,FALSE),1)," ")&lt;&gt;"H"),0,IFERROR(IF(F92="Camry",IF(OR(J92="2PS",J92="2QL"),IF(E92-AP92&gt;100,E92-AP92-1000+$AD$12,E92-AP92+$AD$12),IF(E92-AP92&gt;100,E92-AP92-1000,E92-AP92)),IF(J92="2PS",IF(E92-AP92&gt;100,E92-AP92-1000+$AD$17,E92-AP92+$AD$17),IF(E92-AP92&gt;100,E92-AP92-1000,E92-AP92))),"-"))</f>
        <v>-</v>
      </c>
      <c r="B92" s="46">
        <v>90</v>
      </c>
      <c r="C92" s="19" t="str">
        <f>IF(E92="","",COUNTA($E$3:E92))</f>
        <v/>
      </c>
      <c r="D92" s="18" t="str">
        <f t="shared" si="26"/>
        <v/>
      </c>
      <c r="E92" s="30"/>
      <c r="F92" s="44" t="str">
        <f>IFERROR(IF(VLOOKUP(E92,Расчет!$A$2:$B$650,2,FALSE)="664W","Camry",IF(VLOOKUP(E92,Расчет!$A$2:$B$650,2,FALSE)="813W","Goshi","RAV4")),"")</f>
        <v/>
      </c>
      <c r="G92" s="32" t="str">
        <f>IFERROR(IF(F92="Camry",VLOOKUP(E92,Расчет!$A$2:$Q$650,17,FALSE),VLOOKUP(E92,Расчет!$A$2:$R$650,18,FALSE)),"")</f>
        <v/>
      </c>
      <c r="H92" s="32" t="str">
        <f>IFERROR(VLOOKUP(VLOOKUP(E92,Расчет!$A:$D,4,FALSE),$AT$6:$AV$15,3,FALSE),"")</f>
        <v/>
      </c>
      <c r="I92" s="31" t="str">
        <f>IFERROR(VLOOKUP(IFERROR(VLOOKUP(E92,Расчет!$A$2:$D$650,4,FALSE),0),$AT$3:$AU$15,2,FALSE),"")</f>
        <v/>
      </c>
      <c r="J92" s="346" t="str">
        <f>IFERROR(VLOOKUP(E92,Расчет!$A$2:$E$650,5,FALSE),"")</f>
        <v/>
      </c>
      <c r="K92" s="189"/>
      <c r="L92" s="192">
        <f t="shared" si="34"/>
        <v>0</v>
      </c>
      <c r="M92" s="9"/>
      <c r="N92" s="40" t="str">
        <f>IF(AND(IFERROR(VLOOKUP(R92,Расчет!A:J,10,FALSE),"  ")&lt;&gt;"  ",IFERROR(LEFT(VLOOKUP(R92,Расчет!A:J,10,FALSE),1)," ")&lt;&gt;"H"),0,IFERROR(IF(S92="Camry",IF(OR(W92="2PS",W92="2QL"),IF(R92-AP195&gt;100,R92-AP195-1000+$AD$12,R92-AP195+$AD$12),IF(R92-AP195&gt;100,R92-AP195-1000,R92-AP195)),IF(W92="2PS",IF(R92-AP195&gt;100,R92-AP195-1000+$AD$17,R92-AP195+$AD$17),IF(R92-AP195&gt;100,R92-AP195-1000,R92-AP195))),"-"))</f>
        <v>-</v>
      </c>
      <c r="O92" s="46">
        <v>193</v>
      </c>
      <c r="P92" s="19" t="str">
        <f>IF(R92="","",COUNTA($R$3:R92)+$C$105)</f>
        <v/>
      </c>
      <c r="Q92" s="18" t="str">
        <f t="shared" si="27"/>
        <v/>
      </c>
      <c r="R92" s="30"/>
      <c r="S92" s="45" t="str">
        <f>IFERROR(IF(VLOOKUP(R92,Расчет!$A$2:$B$650,2,FALSE)="664W","Camry",IF(VLOOKUP(R92,Расчет!$A$2:$B$650,2,FALSE)="813W","Goshi","RAV4")),"")</f>
        <v/>
      </c>
      <c r="T92" s="32" t="str">
        <f>IFERROR(IF(S92="Camry",VLOOKUP(R92,Расчет!$A$2:$Q$650,17,FALSE),VLOOKUP(R92,Расчет!$A$2:$R$650,18,FALSE)),"")</f>
        <v/>
      </c>
      <c r="U92" s="32" t="str">
        <f>IFERROR(VLOOKUP(VLOOKUP(R92,Расчет!$A:$D,4,FALSE),$AT$6:$AV$15,3,FALSE),"")</f>
        <v/>
      </c>
      <c r="V92" s="31" t="str">
        <f>IFERROR(VLOOKUP(IFERROR(VLOOKUP(R92,Расчет!$A$2:$D$650,4,FALSE),0),$AT$3:$AU$15,2,FALSE),"")</f>
        <v/>
      </c>
      <c r="W92" s="33" t="str">
        <f>IFERROR(VLOOKUP(R92,Расчет!$A$2:$E$650,5,FALSE),"")</f>
        <v/>
      </c>
      <c r="X92" s="189"/>
      <c r="Y92" s="191">
        <f t="shared" si="35"/>
        <v>0</v>
      </c>
      <c r="Z92" s="613" t="s">
        <v>72</v>
      </c>
      <c r="AA92" s="688"/>
      <c r="AB92" s="688"/>
      <c r="AC92" s="688"/>
      <c r="AD92" s="614"/>
      <c r="AE92" s="89">
        <v>90</v>
      </c>
      <c r="AF92" s="44" t="str">
        <f>IF(VLOOKUP(AE92,Расчет!$AH$2:$AN$201,5,FALSE)="8","C",IF(VLOOKUP(AE92,Расчет!$AH$2:$AN$201,5,FALSE)="G","G","R"))</f>
        <v>R</v>
      </c>
      <c r="AG92" s="73" t="str">
        <f t="shared" si="28"/>
        <v/>
      </c>
      <c r="AH92" s="87" t="str">
        <f>IF(AG92="","",COUNTIF($AG$2:AG92,"C")-COUNTIF($AF$2:AF92,"C")+$AH$1)</f>
        <v/>
      </c>
      <c r="AI92" s="87" t="str">
        <f>IF(AG92="","",COUNTIF($AG$2:AG92,"R")-COUNTIF($AF$2:AF92,"R")+$AI$1)</f>
        <v/>
      </c>
      <c r="AJ92" s="89">
        <v>193</v>
      </c>
      <c r="AK92" s="44" t="str">
        <f>IF(VLOOKUP(AJ92,Расчет!$AH$2:$AN$211,5,FALSE)="8","C",IF(VLOOKUP(AJ92,Расчет!$AH$2:$AN$211,5,FALSE)="G","G","R"))</f>
        <v>R</v>
      </c>
      <c r="AL92" s="74" t="str">
        <f t="shared" si="29"/>
        <v/>
      </c>
      <c r="AM92" s="118" t="str">
        <f>IF(AL92="","",(COUNTIF($AG$2:$AG$105,"C")+COUNTIF($AL$2:$AL92,"C"))-(COUNTIF($AF$2:$AF$105,"C")+COUNTIF($AK$2:$AK92,"C"))+$AH$1)</f>
        <v/>
      </c>
      <c r="AN92" s="119" t="str">
        <f>IF(AL92="","",(COUNTIF($AG$2:$AG$105,"R")+COUNTIF($AL$2:$AL92,"R"))-(COUNTIF($AF$2:$AF$105,"R")+COUNTIF($AK$2:$AK92,"R"))+$AI$1)</f>
        <v/>
      </c>
      <c r="AO92" s="22" t="str">
        <f>IF(E92="","",COUNTA($E$3:E92)+$Z$1)</f>
        <v/>
      </c>
      <c r="AP92" s="88" t="str">
        <f>IF(AO92="","",IF(AO92+Расчет!$Y$57+$BD$2-Расчет!$X$57&gt;200,AO92+Расчет!$Y$57+$BD$2-1000,AO92+Расчет!$Y$57+$BD$2))</f>
        <v/>
      </c>
      <c r="AR92" s="92"/>
      <c r="AS92" s="92"/>
      <c r="BL92" s="172">
        <f>COUNTIF($BM$5:BM92,"&lt;-115")</f>
        <v>0</v>
      </c>
      <c r="BM92" s="154">
        <f>IFERROR(IF(OR(IFERROR(VLOOKUP(BN92,$E$3:$E$105,1,FALSE),"0")=BN92,IFERROR(VLOOKUP(BN92,$R$3:$R$105,1,FALSE),"0")=BN92),BO92,IF(OR(VLOOKUP(BN92,Расчет!A:E,5,FALSE)="2PS",VLOOKUP(BN92,Расчет!A:E,5,FALSE)="2QL"),IF(VLOOKUP(BN92,Расчет!A:B,2,FALSE)="831W",BN92-$BS$7+$AD$17,BN92-$BS$7+$AD$12),BN92-$BS$7)),"-")</f>
        <v>20</v>
      </c>
      <c r="BN92" s="154">
        <f>IF(OR(Расчет!C89="A0",Расчет!C89="P9",Расчет!B89="722W"),"-",Расчет!A89)</f>
        <v>11234</v>
      </c>
      <c r="BO92" s="173">
        <f t="shared" si="39"/>
        <v>20</v>
      </c>
      <c r="BP92" s="172" t="str">
        <f>IF(BQ92="-","-",IFERROR(IF(OR(VLOOKUP(BN92,Расчет!$A$2:$E$582,5,FALSE)="2PS",VLOOKUP(BN92,Расчет!$A$2:$E$582,5,FALSE)="2QL"),IF(OR(VLOOKUP(BN92,Расчет!$A$2:$E$582,2,FALSE)="664W",VLOOKUP(BN92,Расчет!$A$2:$E$582,2,FALSE)="813W"),IF(BN92-$BS$7&gt;150,BN92-$BS$7-1000+$AD$12,BN92-$BS$7+$AD$12),IF(BN92-$BS$7&gt;150,BN92-$BS$7-1000+$AD$17,BN92-$BS$7+$AD$17)),IF(BN92-$BS$7&gt;150,BN92-$BS$7-1000,BN92-$BS$7)),"-"))</f>
        <v>-</v>
      </c>
      <c r="BQ92" s="173" t="str">
        <f t="shared" si="36"/>
        <v>-</v>
      </c>
      <c r="BR92" s="453"/>
      <c r="BS92" s="171"/>
      <c r="BT92" s="464" t="str">
        <f t="shared" si="37"/>
        <v>-</v>
      </c>
      <c r="BU92" s="464" t="str">
        <f t="shared" si="38"/>
        <v>-</v>
      </c>
      <c r="BX92" s="204">
        <f>COUNTIF($BY$4:BY92,"&lt;100")</f>
        <v>59</v>
      </c>
      <c r="BY92" s="213" t="str">
        <f t="shared" si="30"/>
        <v/>
      </c>
      <c r="BZ92" s="216" t="str">
        <f t="shared" si="30"/>
        <v/>
      </c>
      <c r="CA92" s="213" t="e">
        <f t="shared" si="31"/>
        <v>#N/A</v>
      </c>
      <c r="CB92" s="209" t="e">
        <f t="shared" si="32"/>
        <v>#N/A</v>
      </c>
      <c r="CC92" s="205" t="str">
        <f t="shared" si="40"/>
        <v/>
      </c>
      <c r="CD92" s="205" t="str">
        <f t="shared" si="33"/>
        <v>-</v>
      </c>
      <c r="CE92" s="205">
        <f t="shared" si="41"/>
        <v>0</v>
      </c>
      <c r="CG92" s="20" t="str">
        <f t="shared" si="42"/>
        <v/>
      </c>
    </row>
    <row r="93" spans="1:85" ht="23.1" customHeight="1" thickBot="1">
      <c r="A93" s="40" t="str">
        <f>IF(AND(IFERROR(VLOOKUP(E93,Расчет!A:J,10,FALSE),"  ")&lt;&gt;"  ",IFERROR(LEFT(VLOOKUP(E93,Расчет!A:J,10,FALSE),1)," ")&lt;&gt;"H"),0,IFERROR(IF(F93="Camry",IF(OR(J93="2PS",J93="2QL"),IF(E93-AP93&gt;100,E93-AP93-1000+$AD$12,E93-AP93+$AD$12),IF(E93-AP93&gt;100,E93-AP93-1000,E93-AP93)),IF(J93="2PS",IF(E93-AP93&gt;100,E93-AP93-1000+$AD$17,E93-AP93+$AD$17),IF(E93-AP93&gt;100,E93-AP93-1000,E93-AP93))),"-"))</f>
        <v>-</v>
      </c>
      <c r="B93" s="46">
        <v>91</v>
      </c>
      <c r="C93" s="19" t="str">
        <f>IF(E93="","",COUNTA($E$3:E93))</f>
        <v/>
      </c>
      <c r="D93" s="18" t="str">
        <f t="shared" si="26"/>
        <v/>
      </c>
      <c r="E93" s="30"/>
      <c r="F93" s="44" t="str">
        <f>IFERROR(IF(VLOOKUP(E93,Расчет!$A$2:$B$650,2,FALSE)="664W","Camry",IF(VLOOKUP(E93,Расчет!$A$2:$B$650,2,FALSE)="813W","Goshi","RAV4")),"")</f>
        <v/>
      </c>
      <c r="G93" s="32" t="str">
        <f>IFERROR(IF(F93="Camry",VLOOKUP(E93,Расчет!$A$2:$Q$650,17,FALSE),VLOOKUP(E93,Расчет!$A$2:$R$650,18,FALSE)),"")</f>
        <v/>
      </c>
      <c r="H93" s="32" t="str">
        <f>IFERROR(VLOOKUP(VLOOKUP(E93,Расчет!$A:$D,4,FALSE),$AT$6:$AV$15,3,FALSE),"")</f>
        <v/>
      </c>
      <c r="I93" s="31" t="str">
        <f>IFERROR(VLOOKUP(IFERROR(VLOOKUP(E93,Расчет!$A$2:$D$650,4,FALSE),0),$AT$3:$AU$15,2,FALSE),"")</f>
        <v/>
      </c>
      <c r="J93" s="33" t="str">
        <f>IFERROR(VLOOKUP(E93,Расчет!$A$2:$E$650,5,FALSE),"")</f>
        <v/>
      </c>
      <c r="K93" s="425"/>
      <c r="L93" s="188">
        <f t="shared" si="34"/>
        <v>0</v>
      </c>
      <c r="M93" s="9"/>
      <c r="N93" s="40" t="str">
        <f>IF(AND(IFERROR(VLOOKUP(R93,Расчет!A:J,10,FALSE),"  ")&lt;&gt;"  ",IFERROR(LEFT(VLOOKUP(R93,Расчет!A:J,10,FALSE),1)," ")&lt;&gt;"H"),0,IFERROR(IF(S93="Camry",IF(OR(W93="2PS",W93="2QL"),IF(R93-AP196&gt;100,R93-AP196-1000+$AD$12,R93-AP196+$AD$12),IF(R93-AP196&gt;100,R93-AP196-1000,R93-AP196)),IF(W93="2PS",IF(R93-AP196&gt;100,R93-AP196-1000+$AD$17,R93-AP196+$AD$17),IF(R93-AP196&gt;100,R93-AP196-1000,R93-AP196))),"-"))</f>
        <v>-</v>
      </c>
      <c r="O93" s="46">
        <v>194</v>
      </c>
      <c r="P93" s="19" t="str">
        <f>IF(R93="","",COUNTA($R$3:R93)+$C$105)</f>
        <v/>
      </c>
      <c r="Q93" s="18" t="str">
        <f t="shared" si="27"/>
        <v/>
      </c>
      <c r="R93" s="30"/>
      <c r="S93" s="45" t="str">
        <f>IFERROR(IF(VLOOKUP(R93,Расчет!$A$2:$B$650,2,FALSE)="664W","Camry",IF(VLOOKUP(R93,Расчет!$A$2:$B$650,2,FALSE)="813W","Goshi","RAV4")),"")</f>
        <v/>
      </c>
      <c r="T93" s="32" t="str">
        <f>IFERROR(IF(S93="Camry",VLOOKUP(R93,Расчет!$A$2:$Q$650,17,FALSE),VLOOKUP(R93,Расчет!$A$2:$R$650,18,FALSE)),"")</f>
        <v/>
      </c>
      <c r="U93" s="32" t="str">
        <f>IFERROR(VLOOKUP(VLOOKUP(R93,Расчет!$A:$D,4,FALSE),$AT$6:$AV$15,3,FALSE),"")</f>
        <v/>
      </c>
      <c r="V93" s="31" t="str">
        <f>IFERROR(VLOOKUP(IFERROR(VLOOKUP(R93,Расчет!$A$2:$D$650,4,FALSE),0),$AT$3:$AU$15,2,FALSE),"")</f>
        <v/>
      </c>
      <c r="W93" s="33" t="str">
        <f>IFERROR(VLOOKUP(R93,Расчет!$A$2:$E$650,5,FALSE),"")</f>
        <v/>
      </c>
      <c r="X93" s="189"/>
      <c r="Y93" s="191">
        <f t="shared" si="35"/>
        <v>0</v>
      </c>
      <c r="Z93" s="691" t="s">
        <v>145</v>
      </c>
      <c r="AA93" s="692"/>
      <c r="AB93" s="692"/>
      <c r="AC93" s="692"/>
      <c r="AD93" s="693"/>
      <c r="AE93" s="89">
        <v>91</v>
      </c>
      <c r="AF93" s="44" t="str">
        <f>IF(VLOOKUP(AE93,Расчет!$AH$2:$AN$201,5,FALSE)="8","C",IF(VLOOKUP(AE93,Расчет!$AH$2:$AN$201,5,FALSE)="G","G","R"))</f>
        <v>C</v>
      </c>
      <c r="AG93" s="73" t="str">
        <f t="shared" si="28"/>
        <v/>
      </c>
      <c r="AH93" s="87" t="str">
        <f>IF(AG93="","",COUNTIF($AG$2:AG93,"C")-COUNTIF($AF$2:AF93,"C")+$AH$1)</f>
        <v/>
      </c>
      <c r="AI93" s="87" t="str">
        <f>IF(AG93="","",COUNTIF($AG$2:AG93,"R")-COUNTIF($AF$2:AF93,"R")+$AI$1)</f>
        <v/>
      </c>
      <c r="AJ93" s="89">
        <v>194</v>
      </c>
      <c r="AK93" s="44" t="str">
        <f>IF(VLOOKUP(AJ93,Расчет!$AH$2:$AN$211,5,FALSE)="8","C",IF(VLOOKUP(AJ93,Расчет!$AH$2:$AN$211,5,FALSE)="G","G","R"))</f>
        <v>C</v>
      </c>
      <c r="AL93" s="74" t="str">
        <f t="shared" si="29"/>
        <v/>
      </c>
      <c r="AM93" s="118" t="str">
        <f>IF(AL93="","",(COUNTIF($AG$2:$AG$105,"C")+COUNTIF($AL$2:$AL93,"C"))-(COUNTIF($AF$2:$AF$105,"C")+COUNTIF($AK$2:$AK93,"C"))+$AH$1)</f>
        <v/>
      </c>
      <c r="AN93" s="119" t="str">
        <f>IF(AL93="","",(COUNTIF($AG$2:$AG$105,"R")+COUNTIF($AL$2:$AL93,"R"))-(COUNTIF($AF$2:$AF$105,"R")+COUNTIF($AK$2:$AK93,"R"))+$AI$1)</f>
        <v/>
      </c>
      <c r="AO93" s="22" t="str">
        <f>IF(E93="","",COUNTA($E$3:E93)+$Z$1)</f>
        <v/>
      </c>
      <c r="AP93" s="88" t="str">
        <f>IF(AO93="","",IF(AO93+Расчет!$Y$57+$BD$2-Расчет!$X$57&gt;200,AO93+Расчет!$Y$57+$BD$2-1000,AO93+Расчет!$Y$57+$BD$2))</f>
        <v/>
      </c>
      <c r="AR93" s="92"/>
      <c r="AS93" s="92"/>
      <c r="BL93" s="172">
        <f>COUNTIF($BM$5:BM93,"&lt;-115")</f>
        <v>0</v>
      </c>
      <c r="BM93" s="154">
        <f>IFERROR(IF(OR(IFERROR(VLOOKUP(BN93,$E$3:$E$105,1,FALSE),"0")=BN93,IFERROR(VLOOKUP(BN93,$R$3:$R$105,1,FALSE),"0")=BN93),BO93,IF(OR(VLOOKUP(BN93,Расчет!A:E,5,FALSE)="2PS",VLOOKUP(BN93,Расчет!A:E,5,FALSE)="2QL"),IF(VLOOKUP(BN93,Расчет!A:B,2,FALSE)="831W",BN93-$BS$7+$AD$17,BN93-$BS$7+$AD$12),BN93-$BS$7)),"-")</f>
        <v>16</v>
      </c>
      <c r="BN93" s="154">
        <f>IF(OR(Расчет!C90="A0",Расчет!C90="P9",Расчет!B90="722W"),"-",Расчет!A90)</f>
        <v>11235</v>
      </c>
      <c r="BO93" s="173">
        <f t="shared" si="39"/>
        <v>16</v>
      </c>
      <c r="BP93" s="172" t="str">
        <f>IF(BQ93="-","-",IFERROR(IF(OR(VLOOKUP(BN93,Расчет!$A$2:$E$582,5,FALSE)="2PS",VLOOKUP(BN93,Расчет!$A$2:$E$582,5,FALSE)="2QL"),IF(OR(VLOOKUP(BN93,Расчет!$A$2:$E$582,2,FALSE)="664W",VLOOKUP(BN93,Расчет!$A$2:$E$582,2,FALSE)="813W"),IF(BN93-$BS$7&gt;150,BN93-$BS$7-1000+$AD$12,BN93-$BS$7+$AD$12),IF(BN93-$BS$7&gt;150,BN93-$BS$7-1000+$AD$17,BN93-$BS$7+$AD$17)),IF(BN93-$BS$7&gt;150,BN93-$BS$7-1000,BN93-$BS$7)),"-"))</f>
        <v>-</v>
      </c>
      <c r="BQ93" s="173" t="str">
        <f t="shared" si="36"/>
        <v>-</v>
      </c>
      <c r="BR93" s="453"/>
      <c r="BS93" s="171"/>
      <c r="BT93" s="464" t="str">
        <f t="shared" si="37"/>
        <v>-</v>
      </c>
      <c r="BU93" s="464" t="str">
        <f t="shared" si="38"/>
        <v>-</v>
      </c>
      <c r="BX93" s="204">
        <f>COUNTIF($BY$4:BY93,"&lt;100")</f>
        <v>59</v>
      </c>
      <c r="BY93" s="213" t="str">
        <f t="shared" si="30"/>
        <v/>
      </c>
      <c r="BZ93" s="216" t="str">
        <f t="shared" si="30"/>
        <v/>
      </c>
      <c r="CA93" s="213" t="e">
        <f t="shared" si="31"/>
        <v>#N/A</v>
      </c>
      <c r="CB93" s="209" t="e">
        <f t="shared" si="32"/>
        <v>#N/A</v>
      </c>
      <c r="CC93" s="205" t="str">
        <f t="shared" si="40"/>
        <v/>
      </c>
      <c r="CD93" s="205" t="str">
        <f t="shared" si="33"/>
        <v>-</v>
      </c>
      <c r="CE93" s="205">
        <f t="shared" si="41"/>
        <v>0</v>
      </c>
      <c r="CG93" s="20" t="str">
        <f t="shared" si="42"/>
        <v/>
      </c>
    </row>
    <row r="94" spans="1:85" ht="23.1" customHeight="1">
      <c r="A94" s="40" t="str">
        <f>IF(AND(IFERROR(VLOOKUP(E94,Расчет!A:J,10,FALSE),"  ")&lt;&gt;"  ",IFERROR(LEFT(VLOOKUP(E94,Расчет!A:J,10,FALSE),1)," ")&lt;&gt;"H"),0,IFERROR(IF(F94="Camry",IF(OR(J94="2PS",J94="2QL"),IF(E94-AP94&gt;100,E94-AP94-1000+$AD$12,E94-AP94+$AD$12),IF(E94-AP94&gt;100,E94-AP94-1000,E94-AP94)),IF(J94="2PS",IF(E94-AP94&gt;100,E94-AP94-1000+$AD$17,E94-AP94+$AD$17),IF(E94-AP94&gt;100,E94-AP94-1000,E94-AP94))),"-"))</f>
        <v>-</v>
      </c>
      <c r="B94" s="46">
        <v>92</v>
      </c>
      <c r="C94" s="19" t="str">
        <f>IF(E94="","",COUNTA($E$3:E94))</f>
        <v/>
      </c>
      <c r="D94" s="18" t="str">
        <f t="shared" si="26"/>
        <v/>
      </c>
      <c r="E94" s="30"/>
      <c r="F94" s="44" t="str">
        <f>IFERROR(IF(VLOOKUP(E94,Расчет!$A$2:$B$650,2,FALSE)="664W","Camry",IF(VLOOKUP(E94,Расчет!$A$2:$B$650,2,FALSE)="813W","Goshi","RAV4")),"")</f>
        <v/>
      </c>
      <c r="G94" s="32" t="str">
        <f>IFERROR(IF(F94="Camry",VLOOKUP(E94,Расчет!$A$2:$Q$650,17,FALSE),VLOOKUP(E94,Расчет!$A$2:$R$650,18,FALSE)),"")</f>
        <v/>
      </c>
      <c r="H94" s="32" t="str">
        <f>IFERROR(VLOOKUP(VLOOKUP(E94,Расчет!$A:$D,4,FALSE),$AT$6:$AV$15,3,FALSE),"")</f>
        <v/>
      </c>
      <c r="I94" s="31" t="str">
        <f>IFERROR(VLOOKUP(IFERROR(VLOOKUP(E94,Расчет!$A$2:$D$650,4,FALSE),0),$AT$3:$AU$15,2,FALSE),"")</f>
        <v/>
      </c>
      <c r="J94" s="33" t="str">
        <f>IFERROR(VLOOKUP(E94,Расчет!$A$2:$E$650,5,FALSE),"")</f>
        <v/>
      </c>
      <c r="K94" s="189"/>
      <c r="L94" s="188">
        <f t="shared" si="34"/>
        <v>0</v>
      </c>
      <c r="M94" s="9"/>
      <c r="N94" s="40" t="str">
        <f>IF(AND(IFERROR(VLOOKUP(R94,Расчет!A:J,10,FALSE),"  ")&lt;&gt;"  ",IFERROR(LEFT(VLOOKUP(R94,Расчет!A:J,10,FALSE),1)," ")&lt;&gt;"H"),0,IFERROR(IF(S94="Camry",IF(OR(W94="2PS",W94="2QL"),IF(R94-AP197&gt;100,R94-AP197-1000+$AD$12,R94-AP197+$AD$12),IF(R94-AP197&gt;100,R94-AP197-1000,R94-AP197)),IF(W94="2PS",IF(R94-AP197&gt;100,R94-AP197-1000+$AD$17,R94-AP197+$AD$17),IF(R94-AP197&gt;100,R94-AP197-1000,R94-AP197))),"-"))</f>
        <v>-</v>
      </c>
      <c r="O94" s="46">
        <v>195</v>
      </c>
      <c r="P94" s="19" t="str">
        <f>IF(R94="","",COUNTA($R$3:R94)+$C$105)</f>
        <v/>
      </c>
      <c r="Q94" s="18" t="str">
        <f t="shared" si="27"/>
        <v/>
      </c>
      <c r="R94" s="30"/>
      <c r="S94" s="45" t="str">
        <f>IFERROR(IF(VLOOKUP(R94,Расчет!$A$2:$B$650,2,FALSE)="664W","Camry",IF(VLOOKUP(R94,Расчет!$A$2:$B$650,2,FALSE)="813W","Goshi","RAV4")),"")</f>
        <v/>
      </c>
      <c r="T94" s="32" t="str">
        <f>IFERROR(IF(S94="Camry",VLOOKUP(R94,Расчет!$A$2:$Q$650,17,FALSE),VLOOKUP(R94,Расчет!$A$2:$R$650,18,FALSE)),"")</f>
        <v/>
      </c>
      <c r="U94" s="32" t="str">
        <f>IFERROR(VLOOKUP(VLOOKUP(R94,Расчет!$A:$D,4,FALSE),$AT$6:$AV$15,3,FALSE),"")</f>
        <v/>
      </c>
      <c r="V94" s="31" t="str">
        <f>IFERROR(VLOOKUP(IFERROR(VLOOKUP(R94,Расчет!$A$2:$D$650,4,FALSE),0),$AT$3:$AU$15,2,FALSE),"")</f>
        <v/>
      </c>
      <c r="W94" s="33" t="str">
        <f>IFERROR(VLOOKUP(R94,Расчет!$A$2:$E$650,5,FALSE),"")</f>
        <v/>
      </c>
      <c r="X94" s="189"/>
      <c r="Y94" s="191">
        <f t="shared" si="35"/>
        <v>0</v>
      </c>
      <c r="Z94" s="155" t="s">
        <v>27</v>
      </c>
      <c r="AA94" s="428" t="s">
        <v>8</v>
      </c>
      <c r="AB94" s="434" t="s">
        <v>137</v>
      </c>
      <c r="AC94" s="155" t="s">
        <v>26</v>
      </c>
      <c r="AD94" s="435" t="s">
        <v>132</v>
      </c>
      <c r="AE94" s="89">
        <v>92</v>
      </c>
      <c r="AF94" s="44" t="str">
        <f>IF(VLOOKUP(AE94,Расчет!$AH$2:$AN$201,5,FALSE)="8","C",IF(VLOOKUP(AE94,Расчет!$AH$2:$AN$201,5,FALSE)="G","G","R"))</f>
        <v>R</v>
      </c>
      <c r="AG94" s="73" t="str">
        <f t="shared" si="28"/>
        <v/>
      </c>
      <c r="AH94" s="87" t="str">
        <f>IF(AG94="","",COUNTIF($AG$2:AG94,"C")-COUNTIF($AF$2:AF94,"C")+$AH$1)</f>
        <v/>
      </c>
      <c r="AI94" s="87" t="str">
        <f>IF(AG94="","",COUNTIF($AG$2:AG94,"R")-COUNTIF($AF$2:AF94,"R")+$AI$1)</f>
        <v/>
      </c>
      <c r="AJ94" s="89">
        <v>195</v>
      </c>
      <c r="AK94" s="44" t="str">
        <f>IF(VLOOKUP(AJ94,Расчет!$AH$2:$AN$211,5,FALSE)="8","C",IF(VLOOKUP(AJ94,Расчет!$AH$2:$AN$211,5,FALSE)="G","G","R"))</f>
        <v>R</v>
      </c>
      <c r="AL94" s="74" t="str">
        <f t="shared" si="29"/>
        <v/>
      </c>
      <c r="AM94" s="118" t="str">
        <f>IF(AL94="","",(COUNTIF($AG$2:$AG$105,"C")+COUNTIF($AL$2:$AL94,"C"))-(COUNTIF($AF$2:$AF$105,"C")+COUNTIF($AK$2:$AK94,"C"))+$AH$1)</f>
        <v/>
      </c>
      <c r="AN94" s="119" t="str">
        <f>IF(AL94="","",(COUNTIF($AG$2:$AG$105,"R")+COUNTIF($AL$2:$AL94,"R"))-(COUNTIF($AF$2:$AF$105,"R")+COUNTIF($AK$2:$AK94,"R"))+$AI$1)</f>
        <v/>
      </c>
      <c r="AO94" s="22" t="str">
        <f>IF(E94="","",COUNTA($E$3:E94)+$Z$1)</f>
        <v/>
      </c>
      <c r="AP94" s="88" t="str">
        <f>IF(AO94="","",IF(AO94+Расчет!$Y$57+$BD$2-Расчет!$X$57&gt;200,AO94+Расчет!$Y$57+$BD$2-1000,AO94+Расчет!$Y$57+$BD$2))</f>
        <v/>
      </c>
      <c r="AR94" s="92"/>
      <c r="AS94" s="92"/>
      <c r="BL94" s="172">
        <f>COUNTIF($BM$5:BM94,"&lt;-115")</f>
        <v>0</v>
      </c>
      <c r="BM94" s="154">
        <f>IFERROR(IF(OR(IFERROR(VLOOKUP(BN94,$E$3:$E$105,1,FALSE),"0")=BN94,IFERROR(VLOOKUP(BN94,$R$3:$R$105,1,FALSE),"0")=BN94),BO94,IF(OR(VLOOKUP(BN94,Расчет!A:E,5,FALSE)="2PS",VLOOKUP(BN94,Расчет!A:E,5,FALSE)="2QL"),IF(VLOOKUP(BN94,Расчет!A:B,2,FALSE)="831W",BN94-$BS$7+$AD$17,BN94-$BS$7+$AD$12),BN94-$BS$7)),"-")</f>
        <v>20</v>
      </c>
      <c r="BN94" s="154">
        <f>IF(OR(Расчет!C91="A0",Расчет!C91="P9",Расчет!B91="722W"),"-",Расчет!A91)</f>
        <v>11236</v>
      </c>
      <c r="BO94" s="173">
        <f t="shared" si="39"/>
        <v>20</v>
      </c>
      <c r="BP94" s="172" t="str">
        <f>IF(BQ94="-","-",IFERROR(IF(OR(VLOOKUP(BN94,Расчет!$A$2:$E$582,5,FALSE)="2PS",VLOOKUP(BN94,Расчет!$A$2:$E$582,5,FALSE)="2QL"),IF(OR(VLOOKUP(BN94,Расчет!$A$2:$E$582,2,FALSE)="664W",VLOOKUP(BN94,Расчет!$A$2:$E$582,2,FALSE)="813W"),IF(BN94-$BS$7&gt;150,BN94-$BS$7-1000+$AD$12,BN94-$BS$7+$AD$12),IF(BN94-$BS$7&gt;150,BN94-$BS$7-1000+$AD$17,BN94-$BS$7+$AD$17)),IF(BN94-$BS$7&gt;150,BN94-$BS$7-1000,BN94-$BS$7)),"-"))</f>
        <v>-</v>
      </c>
      <c r="BQ94" s="173" t="str">
        <f t="shared" si="36"/>
        <v>-</v>
      </c>
      <c r="BR94" s="453"/>
      <c r="BS94" s="171"/>
      <c r="BT94" s="464" t="str">
        <f t="shared" si="37"/>
        <v>-</v>
      </c>
      <c r="BU94" s="464" t="str">
        <f t="shared" si="38"/>
        <v>-</v>
      </c>
      <c r="BX94" s="204">
        <f>COUNTIF($BY$4:BY94,"&lt;100")</f>
        <v>59</v>
      </c>
      <c r="BY94" s="213" t="str">
        <f t="shared" si="30"/>
        <v/>
      </c>
      <c r="BZ94" s="216" t="str">
        <f t="shared" si="30"/>
        <v/>
      </c>
      <c r="CA94" s="213" t="e">
        <f t="shared" si="31"/>
        <v>#N/A</v>
      </c>
      <c r="CB94" s="209" t="e">
        <f t="shared" si="32"/>
        <v>#N/A</v>
      </c>
      <c r="CC94" s="205" t="str">
        <f t="shared" si="40"/>
        <v/>
      </c>
      <c r="CD94" s="205" t="str">
        <f t="shared" si="33"/>
        <v>-</v>
      </c>
      <c r="CE94" s="205">
        <f t="shared" si="41"/>
        <v>0</v>
      </c>
      <c r="CG94" s="20" t="str">
        <f t="shared" si="42"/>
        <v/>
      </c>
    </row>
    <row r="95" spans="1:85" ht="23.1" customHeight="1">
      <c r="A95" s="40" t="str">
        <f>IF(AND(IFERROR(VLOOKUP(E95,Расчет!A:J,10,FALSE),"  ")&lt;&gt;"  ",IFERROR(LEFT(VLOOKUP(E95,Расчет!A:J,10,FALSE),1)," ")&lt;&gt;"H"),0,IFERROR(IF(F95="Camry",IF(OR(J95="2PS",J95="2QL"),IF(E95-AP95&gt;100,E95-AP95-1000+$AD$12,E95-AP95+$AD$12),IF(E95-AP95&gt;100,E95-AP95-1000,E95-AP95)),IF(J95="2PS",IF(E95-AP95&gt;100,E95-AP95-1000+$AD$17,E95-AP95+$AD$17),IF(E95-AP95&gt;100,E95-AP95-1000,E95-AP95))),"-"))</f>
        <v>-</v>
      </c>
      <c r="B95" s="46">
        <v>93</v>
      </c>
      <c r="C95" s="19" t="str">
        <f>IF(E95="","",COUNTA($E$3:E95))</f>
        <v/>
      </c>
      <c r="D95" s="18" t="str">
        <f t="shared" si="26"/>
        <v/>
      </c>
      <c r="E95" s="30"/>
      <c r="F95" s="44" t="str">
        <f>IFERROR(IF(VLOOKUP(E95,Расчет!$A$2:$B$650,2,FALSE)="664W","Camry",IF(VLOOKUP(E95,Расчет!$A$2:$B$650,2,FALSE)="813W","Goshi","RAV4")),"")</f>
        <v/>
      </c>
      <c r="G95" s="32" t="str">
        <f>IFERROR(IF(F95="Camry",VLOOKUP(E95,Расчет!$A$2:$Q$650,17,FALSE),VLOOKUP(E95,Расчет!$A$2:$R$650,18,FALSE)),"")</f>
        <v/>
      </c>
      <c r="H95" s="32" t="str">
        <f>IFERROR(VLOOKUP(VLOOKUP(E95,Расчет!$A:$D,4,FALSE),$AT$6:$AV$15,3,FALSE),"")</f>
        <v/>
      </c>
      <c r="I95" s="31" t="str">
        <f>IFERROR(VLOOKUP(IFERROR(VLOOKUP(E95,Расчет!$A$2:$D$650,4,FALSE),0),$AT$3:$AU$15,2,FALSE),"")</f>
        <v/>
      </c>
      <c r="J95" s="33" t="str">
        <f>IFERROR(VLOOKUP(E95,Расчет!$A$2:$E$650,5,FALSE),"")</f>
        <v/>
      </c>
      <c r="K95" s="189"/>
      <c r="L95" s="188">
        <f t="shared" si="34"/>
        <v>0</v>
      </c>
      <c r="M95" s="9"/>
      <c r="N95" s="40" t="str">
        <f>IF(AND(IFERROR(VLOOKUP(R95,Расчет!A:J,10,FALSE),"  ")&lt;&gt;"  ",IFERROR(LEFT(VLOOKUP(R95,Расчет!A:J,10,FALSE),1)," ")&lt;&gt;"H"),0,IFERROR(IF(S95="Camry",IF(OR(W95="2PS",W95="2QL"),IF(R95-AP198&gt;100,R95-AP198-1000+$AD$12,R95-AP198+$AD$12),IF(R95-AP198&gt;100,R95-AP198-1000,R95-AP198)),IF(W95="2PS",IF(R95-AP198&gt;100,R95-AP198-1000+$AD$17,R95-AP198+$AD$17),IF(R95-AP198&gt;100,R95-AP198-1000,R95-AP198))),"-"))</f>
        <v>-</v>
      </c>
      <c r="O95" s="46">
        <v>196</v>
      </c>
      <c r="P95" s="19" t="str">
        <f>IF(R95="","",COUNTA($R$3:R95)+$C$105)</f>
        <v/>
      </c>
      <c r="Q95" s="18" t="str">
        <f t="shared" si="27"/>
        <v/>
      </c>
      <c r="R95" s="30"/>
      <c r="S95" s="45" t="str">
        <f>IFERROR(IF(VLOOKUP(R95,Расчет!$A$2:$B$650,2,FALSE)="664W","Camry",IF(VLOOKUP(R95,Расчет!$A$2:$B$650,2,FALSE)="813W","Goshi","RAV4")),"")</f>
        <v/>
      </c>
      <c r="T95" s="32" t="str">
        <f>IFERROR(IF(S95="Camry",VLOOKUP(R95,Расчет!$A$2:$Q$650,17,FALSE),VLOOKUP(R95,Расчет!$A$2:$R$650,18,FALSE)),"")</f>
        <v/>
      </c>
      <c r="U95" s="32" t="str">
        <f>IFERROR(VLOOKUP(VLOOKUP(R95,Расчет!$A:$D,4,FALSE),$AT$6:$AV$15,3,FALSE),"")</f>
        <v/>
      </c>
      <c r="V95" s="31" t="str">
        <f>IFERROR(VLOOKUP(IFERROR(VLOOKUP(R95,Расчет!$A$2:$D$650,4,FALSE),0),$AT$3:$AU$15,2,FALSE),"")</f>
        <v/>
      </c>
      <c r="W95" s="33" t="str">
        <f>IFERROR(VLOOKUP(R95,Расчет!$A$2:$E$650,5,FALSE),"")</f>
        <v/>
      </c>
      <c r="X95" s="189"/>
      <c r="Y95" s="191">
        <f t="shared" si="35"/>
        <v>0</v>
      </c>
      <c r="Z95" s="193" t="str">
        <f>IFERROR(IF(VLOOKUP(AC95,Расчет!$A$2:$B$236,2,FALSE)="831W","RAV4","Camry"),"-")</f>
        <v>RAV4</v>
      </c>
      <c r="AA95" s="427" t="str">
        <f>IFERROR(VLOOKUP(AC24,Расчет!$A$2:$E$236,5,FALSE),"-")</f>
        <v>089</v>
      </c>
      <c r="AB95" s="429">
        <f>IFERROR(SMALL($BT$5:$BT$500,1),"")</f>
        <v>3</v>
      </c>
      <c r="AC95" s="156">
        <f>IF(VLOOKUP2($BP$5:$BQ$500,1,AB95,COUNTIF($AB$95:AB95,AB95),2)=0,"-",VLOOKUP2($BP$5:$BQ$500,1,AB95,COUNTIF($AB$95:AB95,AB95),2))</f>
        <v>11227</v>
      </c>
      <c r="AD95" s="430" t="str">
        <f>IFERROR(VLOOKUP(AC95,Расчет!$BS:$BT,2,FALSE),"")</f>
        <v>T5</v>
      </c>
      <c r="AE95" s="89">
        <v>93</v>
      </c>
      <c r="AF95" s="44" t="str">
        <f>IF(VLOOKUP(AE95,Расчет!$AH$2:$AN$201,5,FALSE)="8","C",IF(VLOOKUP(AE95,Расчет!$AH$2:$AN$201,5,FALSE)="G","G","R"))</f>
        <v>C</v>
      </c>
      <c r="AG95" s="73" t="str">
        <f t="shared" si="28"/>
        <v/>
      </c>
      <c r="AH95" s="87" t="str">
        <f>IF(AG95="","",COUNTIF($AG$2:AG95,"C")-COUNTIF($AF$2:AF95,"C")+$AH$1)</f>
        <v/>
      </c>
      <c r="AI95" s="87" t="str">
        <f>IF(AG95="","",COUNTIF($AG$2:AG95,"R")-COUNTIF($AF$2:AF95,"R")+$AI$1)</f>
        <v/>
      </c>
      <c r="AJ95" s="89">
        <v>196</v>
      </c>
      <c r="AK95" s="44" t="str">
        <f>IF(VLOOKUP(AJ95,Расчет!$AH$2:$AN$211,5,FALSE)="8","C",IF(VLOOKUP(AJ95,Расчет!$AH$2:$AN$211,5,FALSE)="G","G","R"))</f>
        <v>C</v>
      </c>
      <c r="AL95" s="74" t="str">
        <f t="shared" si="29"/>
        <v/>
      </c>
      <c r="AM95" s="118" t="str">
        <f>IF(AL95="","",(COUNTIF($AG$2:$AG$105,"C")+COUNTIF($AL$2:$AL95,"C"))-(COUNTIF($AF$2:$AF$105,"C")+COUNTIF($AK$2:$AK95,"C"))+$AH$1)</f>
        <v/>
      </c>
      <c r="AN95" s="119" t="str">
        <f>IF(AL95="","",(COUNTIF($AG$2:$AG$105,"R")+COUNTIF($AL$2:$AL95,"R"))-(COUNTIF($AF$2:$AF$105,"R")+COUNTIF($AK$2:$AK95,"R"))+$AI$1)</f>
        <v/>
      </c>
      <c r="AO95" s="22" t="str">
        <f>IF(E95="","",COUNTA($E$3:E95)+$Z$1)</f>
        <v/>
      </c>
      <c r="AP95" s="88" t="str">
        <f>IF(AO95="","",IF(AO95+Расчет!$Y$57+$BD$2-Расчет!$X$57&gt;200,AO95+Расчет!$Y$57+$BD$2-1000,AO95+Расчет!$Y$57+$BD$2))</f>
        <v/>
      </c>
      <c r="AR95" s="92"/>
      <c r="AS95" s="92"/>
      <c r="BL95" s="172">
        <f>COUNTIF($BM$5:BM95,"&lt;-115")</f>
        <v>0</v>
      </c>
      <c r="BM95" s="154">
        <f>IFERROR(IF(OR(IFERROR(VLOOKUP(BN95,$E$3:$E$105,1,FALSE),"0")=BN95,IFERROR(VLOOKUP(BN95,$R$3:$R$105,1,FALSE),"0")=BN95),BO95,IF(OR(VLOOKUP(BN95,Расчет!A:E,5,FALSE)="2PS",VLOOKUP(BN95,Расчет!A:E,5,FALSE)="2QL"),IF(VLOOKUP(BN95,Расчет!A:B,2,FALSE)="831W",BN95-$BS$7+$AD$17,BN95-$BS$7+$AD$12),BN95-$BS$7)),"-")</f>
        <v>13</v>
      </c>
      <c r="BN95" s="154">
        <f>IF(OR(Расчет!C92="A0",Расчет!C92="P9",Расчет!B92="722W"),"-",Расчет!A92)</f>
        <v>11237</v>
      </c>
      <c r="BO95" s="173">
        <f t="shared" si="39"/>
        <v>0</v>
      </c>
      <c r="BP95" s="172">
        <f>IF(BQ95="-","-",IFERROR(IF(OR(VLOOKUP(BN95,Расчет!$A$2:$E$582,5,FALSE)="2PS",VLOOKUP(BN95,Расчет!$A$2:$E$582,5,FALSE)="2QL"),IF(OR(VLOOKUP(BN95,Расчет!$A$2:$E$582,2,FALSE)="664W",VLOOKUP(BN95,Расчет!$A$2:$E$582,2,FALSE)="813W"),IF(BN95-$BS$7&gt;150,BN95-$BS$7-1000+$AD$12,BN95-$BS$7+$AD$12),IF(BN95-$BS$7&gt;150,BN95-$BS$7-1000+$AD$17,BN95-$BS$7+$AD$17)),IF(BN95-$BS$7&gt;150,BN95-$BS$7-1000,BN95-$BS$7)),"-"))</f>
        <v>13</v>
      </c>
      <c r="BQ95" s="173">
        <f t="shared" si="36"/>
        <v>11237</v>
      </c>
      <c r="BR95" s="453"/>
      <c r="BS95" s="171"/>
      <c r="BT95" s="464" t="str">
        <f t="shared" si="37"/>
        <v>-</v>
      </c>
      <c r="BU95" s="464" t="str">
        <f t="shared" si="38"/>
        <v>-</v>
      </c>
      <c r="BX95" s="204">
        <f>COUNTIF($BY$4:BY95,"&lt;100")</f>
        <v>59</v>
      </c>
      <c r="BY95" s="213" t="str">
        <f t="shared" si="30"/>
        <v/>
      </c>
      <c r="BZ95" s="216" t="str">
        <f t="shared" si="30"/>
        <v/>
      </c>
      <c r="CA95" s="213" t="e">
        <f t="shared" si="31"/>
        <v>#N/A</v>
      </c>
      <c r="CB95" s="209" t="e">
        <f t="shared" si="32"/>
        <v>#N/A</v>
      </c>
      <c r="CC95" s="205" t="str">
        <f t="shared" si="40"/>
        <v/>
      </c>
      <c r="CD95" s="205" t="str">
        <f t="shared" si="33"/>
        <v>-</v>
      </c>
      <c r="CE95" s="205">
        <f t="shared" si="41"/>
        <v>0</v>
      </c>
      <c r="CG95" s="20" t="str">
        <f t="shared" si="42"/>
        <v/>
      </c>
    </row>
    <row r="96" spans="1:85" ht="23.1" customHeight="1">
      <c r="A96" s="40" t="str">
        <f>IF(AND(IFERROR(VLOOKUP(E96,Расчет!A:J,10,FALSE),"  ")&lt;&gt;"  ",IFERROR(LEFT(VLOOKUP(E96,Расчет!A:J,10,FALSE),1)," ")&lt;&gt;"H"),0,IFERROR(IF(F96="Camry",IF(OR(J96="2PS",J96="2QL"),IF(E96-AP96&gt;100,E96-AP96-1000+$AD$12,E96-AP96+$AD$12),IF(E96-AP96&gt;100,E96-AP96-1000,E96-AP96)),IF(J96="2PS",IF(E96-AP96&gt;100,E96-AP96-1000+$AD$17,E96-AP96+$AD$17),IF(E96-AP96&gt;100,E96-AP96-1000,E96-AP96))),"-"))</f>
        <v>-</v>
      </c>
      <c r="B96" s="46">
        <v>94</v>
      </c>
      <c r="C96" s="19" t="str">
        <f>IF(E96="","",COUNTA($E$3:E96))</f>
        <v/>
      </c>
      <c r="D96" s="18" t="str">
        <f t="shared" si="26"/>
        <v/>
      </c>
      <c r="E96" s="30"/>
      <c r="F96" s="44" t="str">
        <f>IFERROR(IF(VLOOKUP(E96,Расчет!$A$2:$B$650,2,FALSE)="664W","Camry",IF(VLOOKUP(E96,Расчет!$A$2:$B$650,2,FALSE)="813W","Goshi","RAV4")),"")</f>
        <v/>
      </c>
      <c r="G96" s="32" t="str">
        <f>IFERROR(IF(F96="Camry",VLOOKUP(E96,Расчет!$A$2:$Q$650,17,FALSE),VLOOKUP(E96,Расчет!$A$2:$R$650,18,FALSE)),"")</f>
        <v/>
      </c>
      <c r="H96" s="32" t="str">
        <f>IFERROR(VLOOKUP(VLOOKUP(E96,Расчет!$A:$D,4,FALSE),$AT$6:$AV$15,3,FALSE),"")</f>
        <v/>
      </c>
      <c r="I96" s="31" t="str">
        <f>IFERROR(VLOOKUP(IFERROR(VLOOKUP(E96,Расчет!$A$2:$D$650,4,FALSE),0),$AT$3:$AU$15,2,FALSE),"")</f>
        <v/>
      </c>
      <c r="J96" s="33" t="str">
        <f>IFERROR(VLOOKUP(E96,Расчет!$A$2:$E$650,5,FALSE),"")</f>
        <v/>
      </c>
      <c r="K96" s="189"/>
      <c r="L96" s="188">
        <f t="shared" si="34"/>
        <v>0</v>
      </c>
      <c r="M96" s="9"/>
      <c r="N96" s="40" t="str">
        <f>IF(AND(IFERROR(VLOOKUP(R96,Расчет!A:J,10,FALSE),"  ")&lt;&gt;"  ",IFERROR(LEFT(VLOOKUP(R96,Расчет!A:J,10,FALSE),1)," ")&lt;&gt;"H"),0,IFERROR(IF(S96="Camry",IF(OR(W96="2PS",W96="2QL"),IF(R96-AP199&gt;100,R96-AP199-1000+$AD$12,R96-AP199+$AD$12),IF(R96-AP199&gt;100,R96-AP199-1000,R96-AP199)),IF(W96="2PS",IF(R96-AP199&gt;100,R96-AP199-1000+$AD$17,R96-AP199+$AD$17),IF(R96-AP199&gt;100,R96-AP199-1000,R96-AP199))),"-"))</f>
        <v>-</v>
      </c>
      <c r="O96" s="46">
        <v>197</v>
      </c>
      <c r="P96" s="19" t="str">
        <f>IF(R96="","",COUNTA($R$3:R96)+$C$105)</f>
        <v/>
      </c>
      <c r="Q96" s="18" t="str">
        <f t="shared" si="27"/>
        <v/>
      </c>
      <c r="R96" s="30"/>
      <c r="S96" s="45" t="str">
        <f>IFERROR(IF(VLOOKUP(R96,Расчет!$A$2:$B$650,2,FALSE)="664W","Camry",IF(VLOOKUP(R96,Расчет!$A$2:$B$650,2,FALSE)="813W","Goshi","RAV4")),"")</f>
        <v/>
      </c>
      <c r="T96" s="32" t="str">
        <f>IFERROR(IF(S96="Camry",VLOOKUP(R96,Расчет!$A$2:$Q$650,17,FALSE),VLOOKUP(R96,Расчет!$A$2:$R$650,18,FALSE)),"")</f>
        <v/>
      </c>
      <c r="U96" s="32" t="str">
        <f>IFERROR(VLOOKUP(VLOOKUP(R96,Расчет!$A:$D,4,FALSE),$AT$6:$AV$15,3,FALSE),"")</f>
        <v/>
      </c>
      <c r="V96" s="31" t="str">
        <f>IFERROR(VLOOKUP(IFERROR(VLOOKUP(R96,Расчет!$A$2:$D$650,4,FALSE),0),$AT$3:$AU$15,2,FALSE),"")</f>
        <v/>
      </c>
      <c r="W96" s="33" t="str">
        <f>IFERROR(VLOOKUP(R96,Расчет!$A$2:$E$650,5,FALSE),"")</f>
        <v/>
      </c>
      <c r="X96" s="189"/>
      <c r="Y96" s="191">
        <f t="shared" si="35"/>
        <v>0</v>
      </c>
      <c r="Z96" s="193" t="str">
        <f>IFERROR(IF(VLOOKUP(AC96,Расчет!$A$2:$B$236,2,FALSE)="831W","RAV4","Camry"),"-")</f>
        <v>Camry</v>
      </c>
      <c r="AA96" s="228" t="str">
        <f>IFERROR(VLOOKUP(AC25,Расчет!$A$2:$E$236,5,FALSE),"-")</f>
        <v>221</v>
      </c>
      <c r="AB96" s="429">
        <f>IFERROR(SMALL($BT$5:$BT$500,2),"")</f>
        <v>4</v>
      </c>
      <c r="AC96" s="156">
        <f>IF(VLOOKUP2($BP$5:$BQ$500,1,AB96,COUNTIF($AB$95:AB96,AB96),2)=0,"-",VLOOKUP2($BP$5:$BQ$500,1,AB96,COUNTIF($AB$95:AB96,AB96),2))</f>
        <v>11228</v>
      </c>
      <c r="AD96" s="430" t="str">
        <f>IFERROR(VLOOKUP(AC96,Расчет!$BS:$BT,2,FALSE),"")</f>
        <v>T6</v>
      </c>
      <c r="AE96" s="89">
        <v>94</v>
      </c>
      <c r="AF96" s="44" t="str">
        <f>IF(VLOOKUP(AE96,Расчет!$AH$2:$AN$201,5,FALSE)="8","C",IF(VLOOKUP(AE96,Расчет!$AH$2:$AN$201,5,FALSE)="G","G","R"))</f>
        <v>R</v>
      </c>
      <c r="AG96" s="73" t="str">
        <f t="shared" si="28"/>
        <v/>
      </c>
      <c r="AH96" s="87" t="str">
        <f>IF(AG96="","",COUNTIF($AG$2:AG96,"C")-COUNTIF($AF$2:AF96,"C")+$AH$1)</f>
        <v/>
      </c>
      <c r="AI96" s="87" t="str">
        <f>IF(AG96="","",COUNTIF($AG$2:AG96,"R")-COUNTIF($AF$2:AF96,"R")+$AI$1)</f>
        <v/>
      </c>
      <c r="AJ96" s="89">
        <v>197</v>
      </c>
      <c r="AK96" s="44" t="str">
        <f>IF(VLOOKUP(AJ96,Расчет!$AH$2:$AN$211,5,FALSE)="8","C",IF(VLOOKUP(AJ96,Расчет!$AH$2:$AN$211,5,FALSE)="G","G","R"))</f>
        <v>R</v>
      </c>
      <c r="AL96" s="74" t="str">
        <f t="shared" si="29"/>
        <v/>
      </c>
      <c r="AM96" s="118" t="str">
        <f>IF(AL96="","",(COUNTIF($AG$2:$AG$105,"C")+COUNTIF($AL$2:$AL96,"C"))-(COUNTIF($AF$2:$AF$105,"C")+COUNTIF($AK$2:$AK96,"C"))+$AH$1)</f>
        <v/>
      </c>
      <c r="AN96" s="119" t="str">
        <f>IF(AL96="","",(COUNTIF($AG$2:$AG$105,"R")+COUNTIF($AL$2:$AL96,"R"))-(COUNTIF($AF$2:$AF$105,"R")+COUNTIF($AK$2:$AK96,"R"))+$AI$1)</f>
        <v/>
      </c>
      <c r="AO96" s="22" t="str">
        <f>IF(E96="","",COUNTA($E$3:E96)+$Z$1)</f>
        <v/>
      </c>
      <c r="AP96" s="88" t="str">
        <f>IF(AO96="","",IF(AO96+Расчет!$Y$57+$BD$2-Расчет!$X$57&gt;200,AO96+Расчет!$Y$57+$BD$2-1000,AO96+Расчет!$Y$57+$BD$2))</f>
        <v/>
      </c>
      <c r="AR96" s="92"/>
      <c r="AS96" s="92"/>
      <c r="BL96" s="172">
        <f>COUNTIF($BM$5:BM96,"&lt;-115")</f>
        <v>0</v>
      </c>
      <c r="BM96" s="154">
        <f>IFERROR(IF(OR(IFERROR(VLOOKUP(BN96,$E$3:$E$105,1,FALSE),"0")=BN96,IFERROR(VLOOKUP(BN96,$R$3:$R$105,1,FALSE),"0")=BN96),BO96,IF(OR(VLOOKUP(BN96,Расчет!A:E,5,FALSE)="2PS",VLOOKUP(BN96,Расчет!A:E,5,FALSE)="2QL"),IF(VLOOKUP(BN96,Расчет!A:B,2,FALSE)="831W",BN96-$BS$7+$AD$17,BN96-$BS$7+$AD$12),BN96-$BS$7)),"-")</f>
        <v>14</v>
      </c>
      <c r="BN96" s="154">
        <f>IF(OR(Расчет!C93="A0",Расчет!C93="P9",Расчет!B93="722W"),"-",Расчет!A93)</f>
        <v>11238</v>
      </c>
      <c r="BO96" s="173">
        <f t="shared" si="39"/>
        <v>0</v>
      </c>
      <c r="BP96" s="172">
        <f>IF(BQ96="-","-",IFERROR(IF(OR(VLOOKUP(BN96,Расчет!$A$2:$E$582,5,FALSE)="2PS",VLOOKUP(BN96,Расчет!$A$2:$E$582,5,FALSE)="2QL"),IF(OR(VLOOKUP(BN96,Расчет!$A$2:$E$582,2,FALSE)="664W",VLOOKUP(BN96,Расчет!$A$2:$E$582,2,FALSE)="813W"),IF(BN96-$BS$7&gt;150,BN96-$BS$7-1000+$AD$12,BN96-$BS$7+$AD$12),IF(BN96-$BS$7&gt;150,BN96-$BS$7-1000+$AD$17,BN96-$BS$7+$AD$17)),IF(BN96-$BS$7&gt;150,BN96-$BS$7-1000,BN96-$BS$7)),"-"))</f>
        <v>14</v>
      </c>
      <c r="BQ96" s="173">
        <f t="shared" si="36"/>
        <v>11238</v>
      </c>
      <c r="BR96" s="453"/>
      <c r="BS96" s="171"/>
      <c r="BT96" s="464" t="str">
        <f t="shared" si="37"/>
        <v>-</v>
      </c>
      <c r="BU96" s="464" t="str">
        <f t="shared" si="38"/>
        <v>-</v>
      </c>
      <c r="BX96" s="204">
        <f>COUNTIF($BY$4:BY96,"&lt;100")</f>
        <v>59</v>
      </c>
      <c r="BY96" s="213" t="str">
        <f t="shared" si="30"/>
        <v/>
      </c>
      <c r="BZ96" s="216" t="str">
        <f t="shared" si="30"/>
        <v/>
      </c>
      <c r="CA96" s="213" t="e">
        <f t="shared" si="31"/>
        <v>#N/A</v>
      </c>
      <c r="CB96" s="209" t="e">
        <f t="shared" si="32"/>
        <v>#N/A</v>
      </c>
      <c r="CC96" s="205" t="str">
        <f t="shared" si="40"/>
        <v/>
      </c>
      <c r="CD96" s="205" t="str">
        <f t="shared" si="33"/>
        <v>-</v>
      </c>
      <c r="CE96" s="205">
        <f t="shared" si="41"/>
        <v>0</v>
      </c>
      <c r="CG96" s="20" t="str">
        <f t="shared" si="42"/>
        <v/>
      </c>
    </row>
    <row r="97" spans="1:85" ht="23.1" customHeight="1">
      <c r="A97" s="40" t="str">
        <f>IF(AND(IFERROR(VLOOKUP(E97,Расчет!A:J,10,FALSE),"  ")&lt;&gt;"  ",IFERROR(LEFT(VLOOKUP(E97,Расчет!A:J,10,FALSE),1)," ")&lt;&gt;"H"),0,IFERROR(IF(F97="Camry",IF(OR(J97="2PS",J97="2QL"),IF(E97-AP97&gt;100,E97-AP97-1000+$AD$12,E97-AP97+$AD$12),IF(E97-AP97&gt;100,E97-AP97-1000,E97-AP97)),IF(J97="2PS",IF(E97-AP97&gt;100,E97-AP97-1000+$AD$17,E97-AP97+$AD$17),IF(E97-AP97&gt;100,E97-AP97-1000,E97-AP97))),"-"))</f>
        <v>-</v>
      </c>
      <c r="B97" s="46">
        <v>95</v>
      </c>
      <c r="C97" s="19" t="str">
        <f>IF(E97="","",COUNTA($E$3:E97))</f>
        <v/>
      </c>
      <c r="D97" s="18" t="str">
        <f t="shared" si="26"/>
        <v/>
      </c>
      <c r="E97" s="30"/>
      <c r="F97" s="44" t="str">
        <f>IFERROR(IF(VLOOKUP(E97,Расчет!$A$2:$B$650,2,FALSE)="664W","Camry",IF(VLOOKUP(E97,Расчет!$A$2:$B$650,2,FALSE)="813W","Goshi","RAV4")),"")</f>
        <v/>
      </c>
      <c r="G97" s="32" t="str">
        <f>IFERROR(IF(F97="Camry",VLOOKUP(E97,Расчет!$A$2:$Q$650,17,FALSE),VLOOKUP(E97,Расчет!$A$2:$R$650,18,FALSE)),"")</f>
        <v/>
      </c>
      <c r="H97" s="32" t="str">
        <f>IFERROR(VLOOKUP(VLOOKUP(E97,Расчет!$A:$D,4,FALSE),$AT$6:$AV$15,3,FALSE),"")</f>
        <v/>
      </c>
      <c r="I97" s="31" t="str">
        <f>IFERROR(VLOOKUP(IFERROR(VLOOKUP(E97,Расчет!$A$2:$D$650,4,FALSE),0),$AT$3:$AU$15,2,FALSE),"")</f>
        <v/>
      </c>
      <c r="J97" s="33" t="str">
        <f>IFERROR(VLOOKUP(E97,Расчет!$A$2:$E$650,5,FALSE),"")</f>
        <v/>
      </c>
      <c r="K97" s="189"/>
      <c r="L97" s="188">
        <f t="shared" si="34"/>
        <v>0</v>
      </c>
      <c r="M97" s="9"/>
      <c r="N97" s="40" t="str">
        <f>IF(AND(IFERROR(VLOOKUP(R97,Расчет!A:J,10,FALSE),"  ")&lt;&gt;"  ",IFERROR(LEFT(VLOOKUP(R97,Расчет!A:J,10,FALSE),1)," ")&lt;&gt;"H"),0,IFERROR(IF(S97="Camry",IF(OR(W97="2PS",W97="2QL"),IF(R97-AP200&gt;100,R97-AP200-1000+$AD$12,R97-AP200+$AD$12),IF(R97-AP200&gt;100,R97-AP200-1000,R97-AP200)),IF(W97="2PS",IF(R97-AP200&gt;100,R97-AP200-1000+$AD$17,R97-AP200+$AD$17),IF(R97-AP200&gt;100,R97-AP200-1000,R97-AP200))),"-"))</f>
        <v>-</v>
      </c>
      <c r="O97" s="46">
        <v>198</v>
      </c>
      <c r="P97" s="19" t="str">
        <f>IF(R97="","",COUNTA($R$3:R97)+$C$105)</f>
        <v/>
      </c>
      <c r="Q97" s="18" t="str">
        <f t="shared" si="27"/>
        <v/>
      </c>
      <c r="R97" s="30"/>
      <c r="S97" s="45" t="str">
        <f>IFERROR(IF(VLOOKUP(R97,Расчет!$A$2:$B$650,2,FALSE)="664W","Camry",IF(VLOOKUP(R97,Расчет!$A$2:$B$650,2,FALSE)="813W","Goshi","RAV4")),"")</f>
        <v/>
      </c>
      <c r="T97" s="32" t="str">
        <f>IFERROR(IF(S97="Camry",VLOOKUP(R97,Расчет!$A$2:$Q$650,17,FALSE),VLOOKUP(R97,Расчет!$A$2:$R$650,18,FALSE)),"")</f>
        <v/>
      </c>
      <c r="U97" s="32" t="str">
        <f>IFERROR(VLOOKUP(VLOOKUP(R97,Расчет!$A:$D,4,FALSE),$AT$6:$AV$15,3,FALSE),"")</f>
        <v/>
      </c>
      <c r="V97" s="31" t="str">
        <f>IFERROR(VLOOKUP(IFERROR(VLOOKUP(R97,Расчет!$A$2:$D$650,4,FALSE),0),$AT$3:$AU$15,2,FALSE),"")</f>
        <v/>
      </c>
      <c r="W97" s="33" t="str">
        <f>IFERROR(VLOOKUP(R97,Расчет!$A$2:$E$650,5,FALSE),"")</f>
        <v/>
      </c>
      <c r="X97" s="189"/>
      <c r="Y97" s="191">
        <f t="shared" si="35"/>
        <v>0</v>
      </c>
      <c r="Z97" s="193" t="str">
        <f>IFERROR(IF(VLOOKUP(AC97,Расчет!$A$2:$B$236,2,FALSE)="831W","RAV4","Camry"),"-")</f>
        <v>-</v>
      </c>
      <c r="AA97" s="228" t="str">
        <f>IFERROR(VLOOKUP(AC26,Расчет!$A$2:$E$236,5,FALSE),"-")</f>
        <v>-</v>
      </c>
      <c r="AB97" s="429" t="str">
        <f>IFERROR(SMALL($BT$5:$BT$500,3),"")</f>
        <v/>
      </c>
      <c r="AC97" s="156" t="str">
        <f>IF(VLOOKUP2($BP$5:$BQ$500,1,AB97,COUNTIF($AB$95:AB97,AB97),2)=0,"-",VLOOKUP2($BP$5:$BQ$500,1,AB97,COUNTIF($AB$95:AB97,AB97),2))</f>
        <v>-</v>
      </c>
      <c r="AD97" s="430" t="str">
        <f>IFERROR(VLOOKUP(AC97,Расчет!$BS:$BT,2,FALSE),"")</f>
        <v/>
      </c>
      <c r="AE97" s="89">
        <v>95</v>
      </c>
      <c r="AF97" s="44" t="str">
        <f>IF(VLOOKUP(AE97,Расчет!$AH$2:$AN$201,5,FALSE)="8","C",IF(VLOOKUP(AE97,Расчет!$AH$2:$AN$201,5,FALSE)="G","G","R"))</f>
        <v>C</v>
      </c>
      <c r="AG97" s="73" t="str">
        <f t="shared" si="28"/>
        <v/>
      </c>
      <c r="AH97" s="87" t="str">
        <f>IF(AG97="","",COUNTIF($AG$2:AG97,"C")-COUNTIF($AF$2:AF97,"C")+$AH$1)</f>
        <v/>
      </c>
      <c r="AI97" s="87" t="str">
        <f>IF(AG97="","",COUNTIF($AG$2:AG97,"R")-COUNTIF($AF$2:AF97,"R")+$AI$1)</f>
        <v/>
      </c>
      <c r="AJ97" s="89">
        <v>198</v>
      </c>
      <c r="AK97" s="44" t="str">
        <f>IF(VLOOKUP(AJ97,Расчет!$AH$2:$AN$211,5,FALSE)="8","C",IF(VLOOKUP(AJ97,Расчет!$AH$2:$AN$211,5,FALSE)="G","G","R"))</f>
        <v>C</v>
      </c>
      <c r="AL97" s="74" t="str">
        <f t="shared" si="29"/>
        <v/>
      </c>
      <c r="AM97" s="118" t="str">
        <f>IF(AL97="","",(COUNTIF($AG$2:$AG$105,"C")+COUNTIF($AL$2:$AL97,"C"))-(COUNTIF($AF$2:$AF$105,"C")+COUNTIF($AK$2:$AK97,"C"))+$AH$1)</f>
        <v/>
      </c>
      <c r="AN97" s="119" t="str">
        <f>IF(AL97="","",(COUNTIF($AG$2:$AG$105,"R")+COUNTIF($AL$2:$AL97,"R"))-(COUNTIF($AF$2:$AF$105,"R")+COUNTIF($AK$2:$AK97,"R"))+$AI$1)</f>
        <v/>
      </c>
      <c r="AO97" s="22" t="str">
        <f>IF(E97="","",COUNTA($E$3:E97)+$Z$1)</f>
        <v/>
      </c>
      <c r="AP97" s="88" t="str">
        <f>IF(AO97="","",IF(AO97+Расчет!$Y$57+$BD$2-Расчет!$X$57&gt;200,AO97+Расчет!$Y$57+$BD$2-1000,AO97+Расчет!$Y$57+$BD$2))</f>
        <v/>
      </c>
      <c r="AR97" s="92"/>
      <c r="AS97" s="92"/>
      <c r="BL97" s="172">
        <f>COUNTIF($BM$5:BM97,"&lt;-115")</f>
        <v>0</v>
      </c>
      <c r="BM97" s="154">
        <f>IFERROR(IF(OR(IFERROR(VLOOKUP(BN97,$E$3:$E$105,1,FALSE),"0")=BN97,IFERROR(VLOOKUP(BN97,$R$3:$R$105,1,FALSE),"0")=BN97),BO97,IF(OR(VLOOKUP(BN97,Расчет!A:E,5,FALSE)="2PS",VLOOKUP(BN97,Расчет!A:E,5,FALSE)="2QL"),IF(VLOOKUP(BN97,Расчет!A:B,2,FALSE)="831W",BN97-$BS$7+$AD$17,BN97-$BS$7+$AD$12),BN97-$BS$7)),"-")</f>
        <v>115</v>
      </c>
      <c r="BN97" s="154">
        <f>IF(OR(Расчет!C94="A0",Расчет!C94="P9",Расчет!B94="722W"),"-",Расчет!A94)</f>
        <v>11239</v>
      </c>
      <c r="BO97" s="173">
        <f t="shared" si="39"/>
        <v>0</v>
      </c>
      <c r="BP97" s="172">
        <f>IF(BQ97="-","-",IFERROR(IF(OR(VLOOKUP(BN97,Расчет!$A$2:$E$582,5,FALSE)="2PS",VLOOKUP(BN97,Расчет!$A$2:$E$582,5,FALSE)="2QL"),IF(OR(VLOOKUP(BN97,Расчет!$A$2:$E$582,2,FALSE)="664W",VLOOKUP(BN97,Расчет!$A$2:$E$582,2,FALSE)="813W"),IF(BN97-$BS$7&gt;150,BN97-$BS$7-1000+$AD$12,BN97-$BS$7+$AD$12),IF(BN97-$BS$7&gt;150,BN97-$BS$7-1000+$AD$17,BN97-$BS$7+$AD$17)),IF(BN97-$BS$7&gt;150,BN97-$BS$7-1000,BN97-$BS$7)),"-"))</f>
        <v>115</v>
      </c>
      <c r="BQ97" s="173">
        <f t="shared" si="36"/>
        <v>11239</v>
      </c>
      <c r="BR97" s="453"/>
      <c r="BS97" s="171"/>
      <c r="BT97" s="464" t="str">
        <f t="shared" si="37"/>
        <v>-</v>
      </c>
      <c r="BU97" s="464" t="str">
        <f t="shared" si="38"/>
        <v>-</v>
      </c>
      <c r="BX97" s="204">
        <f>COUNTIF($BY$4:BY97,"&lt;100")</f>
        <v>59</v>
      </c>
      <c r="BY97" s="213" t="str">
        <f t="shared" si="30"/>
        <v/>
      </c>
      <c r="BZ97" s="216" t="str">
        <f t="shared" si="30"/>
        <v/>
      </c>
      <c r="CA97" s="213" t="e">
        <f t="shared" si="31"/>
        <v>#N/A</v>
      </c>
      <c r="CB97" s="209" t="e">
        <f t="shared" si="32"/>
        <v>#N/A</v>
      </c>
      <c r="CC97" s="205" t="str">
        <f t="shared" si="40"/>
        <v/>
      </c>
      <c r="CD97" s="205" t="str">
        <f t="shared" si="33"/>
        <v>-</v>
      </c>
      <c r="CE97" s="205">
        <f t="shared" si="41"/>
        <v>0</v>
      </c>
      <c r="CG97" s="20" t="str">
        <f t="shared" si="42"/>
        <v/>
      </c>
    </row>
    <row r="98" spans="1:85" ht="23.1" customHeight="1">
      <c r="A98" s="40" t="str">
        <f>IF(AND(IFERROR(VLOOKUP(E98,Расчет!A:J,10,FALSE),"  ")&lt;&gt;"  ",IFERROR(LEFT(VLOOKUP(E98,Расчет!A:J,10,FALSE),1)," ")&lt;&gt;"H"),0,IFERROR(IF(F98="Camry",IF(OR(J98="2PS",J98="2QL"),IF(E98-AP98&gt;100,E98-AP98-1000+$AD$12,E98-AP98+$AD$12),IF(E98-AP98&gt;100,E98-AP98-1000,E98-AP98)),IF(J98="2PS",IF(E98-AP98&gt;100,E98-AP98-1000+$AD$17,E98-AP98+$AD$17),IF(E98-AP98&gt;100,E98-AP98-1000,E98-AP98))),"-"))</f>
        <v>-</v>
      </c>
      <c r="B98" s="46">
        <v>96</v>
      </c>
      <c r="C98" s="19" t="str">
        <f>IF(E98="","",COUNTA($E$3:E98))</f>
        <v/>
      </c>
      <c r="D98" s="18" t="str">
        <f t="shared" si="26"/>
        <v/>
      </c>
      <c r="E98" s="30"/>
      <c r="F98" s="44" t="str">
        <f>IFERROR(IF(VLOOKUP(E98,Расчет!$A$2:$B$650,2,FALSE)="664W","Camry",IF(VLOOKUP(E98,Расчет!$A$2:$B$650,2,FALSE)="813W","Goshi","RAV4")),"")</f>
        <v/>
      </c>
      <c r="G98" s="32" t="str">
        <f>IFERROR(IF(F98="Camry",VLOOKUP(E98,Расчет!$A$2:$Q$650,17,FALSE),VLOOKUP(E98,Расчет!$A$2:$R$650,18,FALSE)),"")</f>
        <v/>
      </c>
      <c r="H98" s="32" t="str">
        <f>IFERROR(VLOOKUP(VLOOKUP(E98,Расчет!$A:$D,4,FALSE),$AT$6:$AV$15,3,FALSE),"")</f>
        <v/>
      </c>
      <c r="I98" s="31" t="str">
        <f>IFERROR(VLOOKUP(IFERROR(VLOOKUP(E98,Расчет!$A$2:$D$650,4,FALSE),0),$AT$3:$AU$15,2,FALSE),"")</f>
        <v/>
      </c>
      <c r="J98" s="33" t="str">
        <f>IFERROR(VLOOKUP(E98,Расчет!$A$2:$E$650,5,FALSE),"")</f>
        <v/>
      </c>
      <c r="K98" s="189"/>
      <c r="L98" s="188">
        <f t="shared" si="34"/>
        <v>0</v>
      </c>
      <c r="M98" s="9"/>
      <c r="N98" s="40" t="str">
        <f>IF(AND(IFERROR(VLOOKUP(R98,Расчет!A:J,10,FALSE),"  ")&lt;&gt;"  ",IFERROR(LEFT(VLOOKUP(R98,Расчет!A:J,10,FALSE),1)," ")&lt;&gt;"H"),0,IFERROR(IF(S98="Camry",IF(OR(W98="2PS",W98="2QL"),IF(R98-AP201&gt;100,R98-AP201-1000+$AD$12,R98-AP201+$AD$12),IF(R98-AP201&gt;100,R98-AP201-1000,R98-AP201)),IF(W98="2PS",IF(R98-AP201&gt;100,R98-AP201-1000+$AD$17,R98-AP201+$AD$17),IF(R98-AP201&gt;100,R98-AP201-1000,R98-AP201))),"-"))</f>
        <v>-</v>
      </c>
      <c r="O98" s="46">
        <v>199</v>
      </c>
      <c r="P98" s="19" t="str">
        <f>IF(R98="","",COUNTA($R$3:R98)+$C$105)</f>
        <v/>
      </c>
      <c r="Q98" s="18" t="str">
        <f t="shared" si="27"/>
        <v/>
      </c>
      <c r="R98" s="30"/>
      <c r="S98" s="45" t="str">
        <f>IFERROR(IF(VLOOKUP(R98,Расчет!$A$2:$B$650,2,FALSE)="664W","Camry",IF(VLOOKUP(R98,Расчет!$A$2:$B$650,2,FALSE)="813W","Goshi","RAV4")),"")</f>
        <v/>
      </c>
      <c r="T98" s="32" t="str">
        <f>IFERROR(IF(S98="Camry",VLOOKUP(R98,Расчет!$A$2:$Q$650,17,FALSE),VLOOKUP(R98,Расчет!$A$2:$R$650,18,FALSE)),"")</f>
        <v/>
      </c>
      <c r="U98" s="32" t="str">
        <f>IFERROR(VLOOKUP(VLOOKUP(R98,Расчет!$A:$D,4,FALSE),$AT$6:$AV$15,3,FALSE),"")</f>
        <v/>
      </c>
      <c r="V98" s="31" t="str">
        <f>IFERROR(VLOOKUP(IFERROR(VLOOKUP(R98,Расчет!$A$2:$D$650,4,FALSE),0),$AT$3:$AU$15,2,FALSE),"")</f>
        <v/>
      </c>
      <c r="W98" s="33" t="str">
        <f>IFERROR(VLOOKUP(R98,Расчет!$A$2:$E$650,5,FALSE),"")</f>
        <v/>
      </c>
      <c r="X98" s="189"/>
      <c r="Y98" s="191">
        <f t="shared" si="35"/>
        <v>0</v>
      </c>
      <c r="Z98" s="193" t="str">
        <f>IFERROR(IF(VLOOKUP(AC98,Расчет!$A$2:$B$236,2,FALSE)="831W","RAV4","Camry"),"-")</f>
        <v>-</v>
      </c>
      <c r="AA98" s="228" t="str">
        <f>IFERROR(VLOOKUP(AC27,Расчет!$A$2:$E$236,5,FALSE),"-")</f>
        <v>-</v>
      </c>
      <c r="AB98" s="429" t="str">
        <f>IFERROR(SMALL($BT$5:$BT$500,4),"")</f>
        <v/>
      </c>
      <c r="AC98" s="156" t="str">
        <f>IF(VLOOKUP2($BP$5:$BQ$500,1,AB98,COUNTIF($AB$95:AB98,AB98),2)=0,"-",VLOOKUP2($BP$5:$BQ$500,1,AB98,COUNTIF($AB$95:AB98,AB98),2))</f>
        <v>-</v>
      </c>
      <c r="AD98" s="430" t="str">
        <f>IFERROR(VLOOKUP(AC98,Расчет!$BS:$BT,2,FALSE),"")</f>
        <v/>
      </c>
      <c r="AE98" s="89">
        <v>96</v>
      </c>
      <c r="AF98" s="44" t="str">
        <f>IF(VLOOKUP(AE98,Расчет!$AH$2:$AN$201,5,FALSE)="8","C",IF(VLOOKUP(AE98,Расчет!$AH$2:$AN$201,5,FALSE)="G","G","R"))</f>
        <v>R</v>
      </c>
      <c r="AG98" s="73" t="str">
        <f t="shared" si="28"/>
        <v/>
      </c>
      <c r="AH98" s="87" t="str">
        <f>IF(AG98="","",COUNTIF($AG$2:AG98,"C")-COUNTIF($AF$2:AF98,"C")+$AH$1)</f>
        <v/>
      </c>
      <c r="AI98" s="87" t="str">
        <f>IF(AG98="","",COUNTIF($AG$2:AG98,"R")-COUNTIF($AF$2:AF98,"R")+$AI$1)</f>
        <v/>
      </c>
      <c r="AJ98" s="89">
        <v>199</v>
      </c>
      <c r="AK98" s="44" t="str">
        <f>IF(VLOOKUP(AJ98,Расчет!$AH$2:$AN$211,5,FALSE)="8","C",IF(VLOOKUP(AJ98,Расчет!$AH$2:$AN$211,5,FALSE)="G","G","R"))</f>
        <v>R</v>
      </c>
      <c r="AL98" s="74" t="str">
        <f t="shared" si="29"/>
        <v/>
      </c>
      <c r="AM98" s="118" t="str">
        <f>IF(AL98="","",(COUNTIF($AG$2:$AG$105,"C")+COUNTIF($AL$2:$AL98,"C"))-(COUNTIF($AF$2:$AF$105,"C")+COUNTIF($AK$2:$AK98,"C"))+$AH$1)</f>
        <v/>
      </c>
      <c r="AN98" s="119" t="str">
        <f>IF(AL98="","",(COUNTIF($AG$2:$AG$105,"R")+COUNTIF($AL$2:$AL98,"R"))-(COUNTIF($AF$2:$AF$105,"R")+COUNTIF($AK$2:$AK98,"R"))+$AI$1)</f>
        <v/>
      </c>
      <c r="AO98" s="22" t="str">
        <f>IF(E98="","",COUNTA($E$3:E98)+$Z$1)</f>
        <v/>
      </c>
      <c r="AP98" s="88" t="str">
        <f>IF(AO98="","",IF(AO98+Расчет!$Y$57+$BD$2-Расчет!$X$57&gt;200,AO98+Расчет!$Y$57+$BD$2-1000,AO98+Расчет!$Y$57+$BD$2))</f>
        <v/>
      </c>
      <c r="AR98" s="92"/>
      <c r="AS98" s="92"/>
      <c r="BL98" s="172">
        <f>COUNTIF($BM$5:BM98,"&lt;-115")</f>
        <v>0</v>
      </c>
      <c r="BM98" s="154">
        <f>IFERROR(IF(OR(IFERROR(VLOOKUP(BN98,$E$3:$E$105,1,FALSE),"0")=BN98,IFERROR(VLOOKUP(BN98,$R$3:$R$105,1,FALSE),"0")=BN98),BO98,IF(OR(VLOOKUP(BN98,Расчет!A:E,5,FALSE)="2PS",VLOOKUP(BN98,Расчет!A:E,5,FALSE)="2QL"),IF(VLOOKUP(BN98,Расчет!A:B,2,FALSE)="831W",BN98-$BS$7+$AD$17,BN98-$BS$7+$AD$12),BN98-$BS$7)),"-")</f>
        <v>16</v>
      </c>
      <c r="BN98" s="154">
        <f>IF(OR(Расчет!C95="A0",Расчет!C95="P9",Расчет!B95="722W"),"-",Расчет!A95)</f>
        <v>11240</v>
      </c>
      <c r="BO98" s="173">
        <f t="shared" si="39"/>
        <v>0</v>
      </c>
      <c r="BP98" s="172">
        <f>IF(BQ98="-","-",IFERROR(IF(OR(VLOOKUP(BN98,Расчет!$A$2:$E$582,5,FALSE)="2PS",VLOOKUP(BN98,Расчет!$A$2:$E$582,5,FALSE)="2QL"),IF(OR(VLOOKUP(BN98,Расчет!$A$2:$E$582,2,FALSE)="664W",VLOOKUP(BN98,Расчет!$A$2:$E$582,2,FALSE)="813W"),IF(BN98-$BS$7&gt;150,BN98-$BS$7-1000+$AD$12,BN98-$BS$7+$AD$12),IF(BN98-$BS$7&gt;150,BN98-$BS$7-1000+$AD$17,BN98-$BS$7+$AD$17)),IF(BN98-$BS$7&gt;150,BN98-$BS$7-1000,BN98-$BS$7)),"-"))</f>
        <v>16</v>
      </c>
      <c r="BQ98" s="173">
        <f t="shared" si="36"/>
        <v>11240</v>
      </c>
      <c r="BR98" s="453"/>
      <c r="BS98" s="171"/>
      <c r="BT98" s="464" t="str">
        <f t="shared" si="37"/>
        <v>-</v>
      </c>
      <c r="BU98" s="464" t="str">
        <f t="shared" si="38"/>
        <v>-</v>
      </c>
      <c r="BX98" s="204">
        <f>COUNTIF($BY$4:BY98,"&lt;100")</f>
        <v>59</v>
      </c>
      <c r="BY98" s="213" t="str">
        <f t="shared" si="30"/>
        <v/>
      </c>
      <c r="BZ98" s="216" t="str">
        <f t="shared" si="30"/>
        <v/>
      </c>
      <c r="CA98" s="213" t="e">
        <f t="shared" si="31"/>
        <v>#N/A</v>
      </c>
      <c r="CB98" s="209" t="e">
        <f t="shared" si="32"/>
        <v>#N/A</v>
      </c>
      <c r="CC98" s="205" t="str">
        <f t="shared" si="40"/>
        <v/>
      </c>
      <c r="CD98" s="205" t="str">
        <f t="shared" si="33"/>
        <v>-</v>
      </c>
      <c r="CE98" s="205">
        <f t="shared" si="41"/>
        <v>0</v>
      </c>
      <c r="CG98" s="20" t="str">
        <f t="shared" si="42"/>
        <v/>
      </c>
    </row>
    <row r="99" spans="1:85" ht="23.1" customHeight="1">
      <c r="A99" s="40" t="str">
        <f>IF(AND(IFERROR(VLOOKUP(E99,Расчет!A:J,10,FALSE),"  ")&lt;&gt;"  ",IFERROR(LEFT(VLOOKUP(E99,Расчет!A:J,10,FALSE),1)," ")&lt;&gt;"H"),0,IFERROR(IF(F99="Camry",IF(OR(J99="2PS",J99="2QL"),IF(E99-AP99&gt;100,E99-AP99-1000+$AD$12,E99-AP99+$AD$12),IF(E99-AP99&gt;100,E99-AP99-1000,E99-AP99)),IF(J99="2PS",IF(E99-AP99&gt;100,E99-AP99-1000+$AD$17,E99-AP99+$AD$17),IF(E99-AP99&gt;100,E99-AP99-1000,E99-AP99))),"-"))</f>
        <v>-</v>
      </c>
      <c r="B99" s="46">
        <v>97</v>
      </c>
      <c r="C99" s="19" t="str">
        <f>IF(E99="","",COUNTA($E$3:E99))</f>
        <v/>
      </c>
      <c r="D99" s="18" t="str">
        <f t="shared" si="26"/>
        <v/>
      </c>
      <c r="E99" s="30"/>
      <c r="F99" s="44" t="str">
        <f>IFERROR(IF(VLOOKUP(E99,Расчет!$A$2:$B$650,2,FALSE)="664W","Camry",IF(VLOOKUP(E99,Расчет!$A$2:$B$650,2,FALSE)="813W","Goshi","RAV4")),"")</f>
        <v/>
      </c>
      <c r="G99" s="32" t="str">
        <f>IFERROR(IF(F99="Camry",VLOOKUP(E99,Расчет!$A$2:$Q$650,17,FALSE),VLOOKUP(E99,Расчет!$A$2:$R$650,18,FALSE)),"")</f>
        <v/>
      </c>
      <c r="H99" s="32" t="str">
        <f>IFERROR(VLOOKUP(VLOOKUP(E99,Расчет!$A:$D,4,FALSE),$AT$6:$AV$15,3,FALSE),"")</f>
        <v/>
      </c>
      <c r="I99" s="31" t="str">
        <f>IFERROR(VLOOKUP(IFERROR(VLOOKUP(E99,Расчет!$A$2:$D$650,4,FALSE),0),$AT$3:$AU$15,2,FALSE),"")</f>
        <v/>
      </c>
      <c r="J99" s="33" t="str">
        <f>IFERROR(VLOOKUP(E99,Расчет!$A$2:$E$650,5,FALSE),"")</f>
        <v/>
      </c>
      <c r="K99" s="189"/>
      <c r="L99" s="188">
        <f t="shared" si="34"/>
        <v>0</v>
      </c>
      <c r="M99" s="9"/>
      <c r="N99" s="40" t="str">
        <f>IF(AND(IFERROR(VLOOKUP(R99,Расчет!A:J,10,FALSE),"  ")&lt;&gt;"  ",IFERROR(LEFT(VLOOKUP(R99,Расчет!A:J,10,FALSE),1)," ")&lt;&gt;"H"),0,IFERROR(IF(S99="Camry",IF(OR(W99="2PS",W99="2QL"),IF(R99-AP202&gt;100,R99-AP202-1000+$AD$12,R99-AP202+$AD$12),IF(R99-AP202&gt;100,R99-AP202-1000,R99-AP202)),IF(W99="2PS",IF(R99-AP202&gt;100,R99-AP202-1000+$AD$17,R99-AP202+$AD$17),IF(R99-AP202&gt;100,R99-AP202-1000,R99-AP202))),"-"))</f>
        <v>-</v>
      </c>
      <c r="O99" s="46">
        <v>200</v>
      </c>
      <c r="P99" s="19" t="str">
        <f>IF(R99="","",COUNTA($R$3:R99)+$C$105)</f>
        <v/>
      </c>
      <c r="Q99" s="18" t="str">
        <f t="shared" si="27"/>
        <v/>
      </c>
      <c r="R99" s="30"/>
      <c r="S99" s="45" t="str">
        <f>IFERROR(IF(VLOOKUP(R99,Расчет!$A$2:$B$650,2,FALSE)="664W","Camry",IF(VLOOKUP(R99,Расчет!$A$2:$B$650,2,FALSE)="813W","Goshi","RAV4")),"")</f>
        <v/>
      </c>
      <c r="T99" s="32" t="str">
        <f>IFERROR(IF(S99="Camry",VLOOKUP(R99,Расчет!$A$2:$Q$650,17,FALSE),VLOOKUP(R99,Расчет!$A$2:$R$650,18,FALSE)),"")</f>
        <v/>
      </c>
      <c r="U99" s="32" t="str">
        <f>IFERROR(VLOOKUP(VLOOKUP(R99,Расчет!$A:$D,4,FALSE),$AT$6:$AV$15,3,FALSE),"")</f>
        <v/>
      </c>
      <c r="V99" s="31" t="str">
        <f>IFERROR(VLOOKUP(IFERROR(VLOOKUP(R99,Расчет!$A$2:$D$650,4,FALSE),0),$AT$3:$AU$15,2,FALSE),"")</f>
        <v/>
      </c>
      <c r="W99" s="33" t="str">
        <f>IFERROR(VLOOKUP(R99,Расчет!$A$2:$E$650,5,FALSE),"")</f>
        <v/>
      </c>
      <c r="X99" s="189"/>
      <c r="Y99" s="191">
        <f t="shared" si="35"/>
        <v>0</v>
      </c>
      <c r="Z99" s="193" t="str">
        <f>IFERROR(IF(VLOOKUP(AC99,Расчет!$A$2:$B$236,2,FALSE)="831W","RAV4","Camry"),"-")</f>
        <v>-</v>
      </c>
      <c r="AA99" s="228" t="str">
        <f>IFERROR(VLOOKUP(AC28,Расчет!$A$2:$E$236,5,FALSE),"-")</f>
        <v>-</v>
      </c>
      <c r="AB99" s="429" t="str">
        <f>IFERROR(SMALL($BT$5:$BT$500,5),"")</f>
        <v/>
      </c>
      <c r="AC99" s="156" t="str">
        <f>IF(VLOOKUP2($BP$5:$BQ$500,1,AB99,COUNTIF($AB$95:AB99,AB99),2)=0,"-",VLOOKUP2($BP$5:$BQ$500,1,AB99,COUNTIF($AB$95:AB99,AB99),2))</f>
        <v>-</v>
      </c>
      <c r="AD99" s="430" t="str">
        <f>IFERROR(VLOOKUP(AC99,Расчет!$BS:$BT,2,FALSE),"")</f>
        <v/>
      </c>
      <c r="AE99" s="89">
        <v>97</v>
      </c>
      <c r="AF99" s="44" t="str">
        <f>IF(VLOOKUP(AE99,Расчет!$AH$2:$AN$201,5,FALSE)="8","C",IF(VLOOKUP(AE99,Расчет!$AH$2:$AN$201,5,FALSE)="G","G","R"))</f>
        <v>R</v>
      </c>
      <c r="AG99" s="73" t="str">
        <f t="shared" si="28"/>
        <v/>
      </c>
      <c r="AH99" s="87" t="str">
        <f>IF(AG99="","",COUNTIF($AG$2:AG99,"C")-COUNTIF($AF$2:AF99,"C")+$AH$1)</f>
        <v/>
      </c>
      <c r="AI99" s="87" t="str">
        <f>IF(AG99="","",COUNTIF($AG$2:AG99,"R")-COUNTIF($AF$2:AF99,"R")+$AI$1)</f>
        <v/>
      </c>
      <c r="AJ99" s="89">
        <v>200</v>
      </c>
      <c r="AK99" s="44" t="str">
        <f>IF(VLOOKUP(AJ99,Расчет!$AH$2:$AN$211,5,FALSE)="8","C",IF(VLOOKUP(AJ99,Расчет!$AH$2:$AN$211,5,FALSE)="G","G","R"))</f>
        <v>R</v>
      </c>
      <c r="AL99" s="74" t="str">
        <f t="shared" si="29"/>
        <v/>
      </c>
      <c r="AM99" s="118" t="str">
        <f>IF(AL99="","",(COUNTIF($AG$2:$AG$105,"C")+COUNTIF($AL$2:$AL99,"C"))-(COUNTIF($AF$2:$AF$105,"C")+COUNTIF($AK$2:$AK99,"C"))+$AH$1)</f>
        <v/>
      </c>
      <c r="AN99" s="119" t="str">
        <f>IF(AL99="","",(COUNTIF($AG$2:$AG$105,"R")+COUNTIF($AL$2:$AL99,"R"))-(COUNTIF($AF$2:$AF$105,"R")+COUNTIF($AK$2:$AK99,"R"))+$AI$1)</f>
        <v/>
      </c>
      <c r="AO99" s="22" t="str">
        <f>IF(E99="","",COUNTA($E$3:E99)+$Z$1)</f>
        <v/>
      </c>
      <c r="AP99" s="88" t="str">
        <f>IF(AO99="","",IF(AO99+Расчет!$Y$57+$BD$2-Расчет!$X$57&gt;200,AO99+Расчет!$Y$57+$BD$2-1000,AO99+Расчет!$Y$57+$BD$2))</f>
        <v/>
      </c>
      <c r="AR99" s="92"/>
      <c r="AS99" s="92"/>
      <c r="BL99" s="172">
        <f>COUNTIF($BM$5:BM99,"&lt;-115")</f>
        <v>0</v>
      </c>
      <c r="BM99" s="154">
        <f>IFERROR(IF(OR(IFERROR(VLOOKUP(BN99,$E$3:$E$105,1,FALSE),"0")=BN99,IFERROR(VLOOKUP(BN99,$R$3:$R$105,1,FALSE),"0")=BN99),BO99,IF(OR(VLOOKUP(BN99,Расчет!A:E,5,FALSE)="2PS",VLOOKUP(BN99,Расчет!A:E,5,FALSE)="2QL"),IF(VLOOKUP(BN99,Расчет!A:B,2,FALSE)="831W",BN99-$BS$7+$AD$17,BN99-$BS$7+$AD$12),BN99-$BS$7)),"-")</f>
        <v>21</v>
      </c>
      <c r="BN99" s="154">
        <f>IF(OR(Расчет!C96="A0",Расчет!C96="P9",Расчет!B96="722W"),"-",Расчет!A96)</f>
        <v>11241</v>
      </c>
      <c r="BO99" s="173">
        <f t="shared" si="39"/>
        <v>21</v>
      </c>
      <c r="BP99" s="172" t="str">
        <f>IF(BQ99="-","-",IFERROR(IF(OR(VLOOKUP(BN99,Расчет!$A$2:$E$582,5,FALSE)="2PS",VLOOKUP(BN99,Расчет!$A$2:$E$582,5,FALSE)="2QL"),IF(OR(VLOOKUP(BN99,Расчет!$A$2:$E$582,2,FALSE)="664W",VLOOKUP(BN99,Расчет!$A$2:$E$582,2,FALSE)="813W"),IF(BN99-$BS$7&gt;150,BN99-$BS$7-1000+$AD$12,BN99-$BS$7+$AD$12),IF(BN99-$BS$7&gt;150,BN99-$BS$7-1000+$AD$17,BN99-$BS$7+$AD$17)),IF(BN99-$BS$7&gt;150,BN99-$BS$7-1000,BN99-$BS$7)),"-"))</f>
        <v>-</v>
      </c>
      <c r="BQ99" s="173" t="str">
        <f t="shared" si="36"/>
        <v>-</v>
      </c>
      <c r="BR99" s="453"/>
      <c r="BS99" s="171"/>
      <c r="BT99" s="464" t="str">
        <f t="shared" si="37"/>
        <v>-</v>
      </c>
      <c r="BU99" s="464" t="str">
        <f t="shared" si="38"/>
        <v>-</v>
      </c>
      <c r="BX99" s="204">
        <f>COUNTIF($BY$4:BY99,"&lt;100")</f>
        <v>59</v>
      </c>
      <c r="BY99" s="213" t="str">
        <f t="shared" si="30"/>
        <v/>
      </c>
      <c r="BZ99" s="216" t="str">
        <f t="shared" si="30"/>
        <v/>
      </c>
      <c r="CA99" s="213" t="e">
        <f t="shared" si="31"/>
        <v>#N/A</v>
      </c>
      <c r="CB99" s="209" t="e">
        <f t="shared" si="32"/>
        <v>#N/A</v>
      </c>
      <c r="CC99" s="205" t="str">
        <f t="shared" si="40"/>
        <v/>
      </c>
      <c r="CD99" s="205" t="str">
        <f t="shared" si="33"/>
        <v>-</v>
      </c>
      <c r="CE99" s="205">
        <f t="shared" si="41"/>
        <v>0</v>
      </c>
      <c r="CG99" s="20" t="str">
        <f t="shared" si="42"/>
        <v/>
      </c>
    </row>
    <row r="100" spans="1:85" ht="23.1" customHeight="1">
      <c r="A100" s="40" t="str">
        <f>IF(AND(IFERROR(VLOOKUP(E100,Расчет!A:J,10,FALSE),"  ")&lt;&gt;"  ",IFERROR(LEFT(VLOOKUP(E100,Расчет!A:J,10,FALSE),1)," ")&lt;&gt;"H"),0,IFERROR(IF(F100="Camry",IF(OR(J100="2PS",J100="2QL"),IF(E100-AP100&gt;100,E100-AP100-1000+$AD$12,E100-AP100+$AD$12),IF(E100-AP100&gt;100,E100-AP100-1000,E100-AP100)),IF(J100="2PS",IF(E100-AP100&gt;100,E100-AP100-1000+$AD$17,E100-AP100+$AD$17),IF(E100-AP100&gt;100,E100-AP100-1000,E100-AP100))),"-"))</f>
        <v>-</v>
      </c>
      <c r="B100" s="46">
        <v>98</v>
      </c>
      <c r="C100" s="19" t="str">
        <f>IF(E100="","",COUNTA($E$3:E100))</f>
        <v/>
      </c>
      <c r="D100" s="18" t="str">
        <f t="shared" si="26"/>
        <v/>
      </c>
      <c r="E100" s="30"/>
      <c r="F100" s="44" t="str">
        <f>IFERROR(IF(VLOOKUP(E100,Расчет!$A$2:$B$650,2,FALSE)="664W","Camry",IF(VLOOKUP(E100,Расчет!$A$2:$B$650,2,FALSE)="813W","Goshi","RAV4")),"")</f>
        <v/>
      </c>
      <c r="G100" s="32" t="str">
        <f>IFERROR(IF(F100="Camry",VLOOKUP(E100,Расчет!$A$2:$Q$650,17,FALSE),VLOOKUP(E100,Расчет!$A$2:$R$650,18,FALSE)),"")</f>
        <v/>
      </c>
      <c r="H100" s="32" t="str">
        <f>IFERROR(VLOOKUP(VLOOKUP(E100,Расчет!$A:$D,4,FALSE),$AT$6:$AV$15,3,FALSE),"")</f>
        <v/>
      </c>
      <c r="I100" s="31" t="str">
        <f>IFERROR(VLOOKUP(IFERROR(VLOOKUP(E100,Расчет!$A$2:$D$650,4,FALSE),0),$AT$3:$AU$15,2,FALSE),"")</f>
        <v/>
      </c>
      <c r="J100" s="33" t="str">
        <f>IFERROR(VLOOKUP(E100,Расчет!$A$2:$E$650,5,FALSE),"")</f>
        <v/>
      </c>
      <c r="K100" s="189"/>
      <c r="L100" s="188">
        <f t="shared" si="34"/>
        <v>0</v>
      </c>
      <c r="M100" s="9"/>
      <c r="N100" s="40" t="str">
        <f>IF(AND(IFERROR(VLOOKUP(R100,Расчет!A:J,10,FALSE),"  ")&lt;&gt;"  ",IFERROR(LEFT(VLOOKUP(R100,Расчет!A:J,10,FALSE),1)," ")&lt;&gt;"H"),0,IFERROR(IF(S100="Camry",IF(OR(W100="2PS",W100="2QL"),IF(R100-AP203&gt;100,R100-AP203-1000+$AD$12,R100-AP203+$AD$12),IF(R100-AP203&gt;100,R100-AP203-1000,R100-AP203)),IF(W100="2PS",IF(R100-AP203&gt;100,R100-AP203-1000+$AD$17,R100-AP203+$AD$17),IF(R100-AP203&gt;100,R100-AP203-1000,R100-AP203))),"-"))</f>
        <v>-</v>
      </c>
      <c r="O100" s="46">
        <v>201</v>
      </c>
      <c r="P100" s="19" t="str">
        <f>IF(R100="","",COUNTA($R$3:R100)+$C$105)</f>
        <v/>
      </c>
      <c r="Q100" s="18" t="str">
        <f>IFERROR(IF(AO203&gt;=1000,AO203-1000,AO203),"")</f>
        <v/>
      </c>
      <c r="R100" s="30"/>
      <c r="S100" s="45" t="str">
        <f>IFERROR(IF(VLOOKUP(R100,Расчет!$A$2:$B$650,2,FALSE)="664W","Camry",IF(VLOOKUP(R100,Расчет!$A$2:$B$650,2,FALSE)="813W","Goshi","RAV4")),"")</f>
        <v/>
      </c>
      <c r="T100" s="32" t="str">
        <f>IFERROR(IF(S100="Camry",VLOOKUP(R100,Расчет!$A$2:$Q$650,17,FALSE),VLOOKUP(R100,Расчет!$A$2:$R$650,18,FALSE)),"")</f>
        <v/>
      </c>
      <c r="U100" s="32" t="str">
        <f>IFERROR(VLOOKUP(VLOOKUP(R100,Расчет!$A:$D,4,FALSE),$AT$6:$AV$15,3,FALSE),"")</f>
        <v/>
      </c>
      <c r="V100" s="31" t="str">
        <f>IFERROR(VLOOKUP(IFERROR(VLOOKUP(R100,Расчет!$A$2:$D$650,4,FALSE),0),$AT$3:$AU$15,2,FALSE),"")</f>
        <v/>
      </c>
      <c r="W100" s="33" t="str">
        <f>IFERROR(VLOOKUP(R100,Расчет!$A$2:$E$650,5,FALSE),"")</f>
        <v/>
      </c>
      <c r="X100" s="189"/>
      <c r="Y100" s="191">
        <f t="shared" si="35"/>
        <v>0</v>
      </c>
      <c r="Z100" s="193" t="str">
        <f>IFERROR(IF(VLOOKUP(AC100,Расчет!$A$2:$B$236,2,FALSE)="831W","RAV4","Camry"),"-")</f>
        <v>-</v>
      </c>
      <c r="AA100" s="228" t="str">
        <f>IFERROR(VLOOKUP(AC29,Расчет!$A$2:$E$236,5,FALSE),"-")</f>
        <v>-</v>
      </c>
      <c r="AB100" s="429" t="str">
        <f>IFERROR(SMALL($BT$5:$BT$500,6),"")</f>
        <v/>
      </c>
      <c r="AC100" s="156" t="str">
        <f>IF(VLOOKUP2($BP$5:$BQ$500,1,AB100,COUNTIF($AB$95:AB100,AB100),2)=0,"-",VLOOKUP2($BP$5:$BQ$500,1,AB100,COUNTIF($AB$95:AB100,AB100),2))</f>
        <v>-</v>
      </c>
      <c r="AD100" s="430" t="str">
        <f>IFERROR(VLOOKUP(AC100,Расчет!$BS:$BT,2,FALSE),"")</f>
        <v/>
      </c>
      <c r="AE100" s="89">
        <v>98</v>
      </c>
      <c r="AF100" s="44" t="str">
        <f>IF(VLOOKUP(AE100,Расчет!$AH$2:$AN$201,5,FALSE)="8","C",IF(VLOOKUP(AE100,Расчет!$AH$2:$AN$201,5,FALSE)="G","G","R"))</f>
        <v>C</v>
      </c>
      <c r="AG100" s="73" t="str">
        <f t="shared" si="28"/>
        <v/>
      </c>
      <c r="AH100" s="87" t="str">
        <f>IF(AG100="","",COUNTIF($AG$2:AG100,"C")-COUNTIF($AF$2:AF100,"C")+$AH$1)</f>
        <v/>
      </c>
      <c r="AI100" s="87" t="str">
        <f>IF(AG100="","",COUNTIF($AG$2:AG100,"R")-COUNTIF($AF$2:AF100,"R")+$AI$1)</f>
        <v/>
      </c>
      <c r="AJ100" s="89">
        <v>201</v>
      </c>
      <c r="AK100" s="44" t="str">
        <f>IF(VLOOKUP(AJ100,Расчет!$AH$2:$AN$211,5,FALSE)="8","C",IF(VLOOKUP(AJ100,Расчет!$AH$2:$AN$211,5,FALSE)="G","G","R"))</f>
        <v>C</v>
      </c>
      <c r="AL100" s="74" t="str">
        <f t="shared" si="29"/>
        <v/>
      </c>
      <c r="AM100" s="118" t="str">
        <f>IF(AL100="","",(COUNTIF($AG$2:$AG$105,"C")+COUNTIF($AL$2:$AL100,"C"))-(COUNTIF($AF$2:$AF$105,"C")+COUNTIF($AK$2:$AK100,"C"))+$AH$1)</f>
        <v/>
      </c>
      <c r="AN100" s="119" t="str">
        <f>IF(AL100="","",(COUNTIF($AG$2:$AG$105,"R")+COUNTIF($AL$2:$AL100,"R"))-(COUNTIF($AF$2:$AF$105,"R")+COUNTIF($AK$2:$AK100,"R"))+$AI$1)</f>
        <v/>
      </c>
      <c r="AO100" s="22" t="str">
        <f>IF(E100="","",COUNTA($E$3:E100)+$Z$1)</f>
        <v/>
      </c>
      <c r="AP100" s="88" t="str">
        <f>IF(AO100="","",IF(AO100+Расчет!$Y$57+$BD$2-Расчет!$X$57&gt;200,AO100+Расчет!$Y$57+$BD$2-1000,AO100+Расчет!$Y$57+$BD$2))</f>
        <v/>
      </c>
      <c r="AR100" s="92"/>
      <c r="AS100" s="92"/>
      <c r="BL100" s="172">
        <f>COUNTIF($BM$5:BM100,"&lt;-115")</f>
        <v>0</v>
      </c>
      <c r="BM100" s="154">
        <f>IFERROR(IF(OR(IFERROR(VLOOKUP(BN100,$E$3:$E$105,1,FALSE),"0")=BN100,IFERROR(VLOOKUP(BN100,$R$3:$R$105,1,FALSE),"0")=BN100),BO100,IF(OR(VLOOKUP(BN100,Расчет!A:E,5,FALSE)="2PS",VLOOKUP(BN100,Расчет!A:E,5,FALSE)="2QL"),IF(VLOOKUP(BN100,Расчет!A:B,2,FALSE)="831W",BN100-$BS$7+$AD$17,BN100-$BS$7+$AD$12),BN100-$BS$7)),"-")</f>
        <v>18</v>
      </c>
      <c r="BN100" s="154">
        <f>IF(OR(Расчет!C97="A0",Расчет!C97="P9",Расчет!B97="722W"),"-",Расчет!A97)</f>
        <v>11242</v>
      </c>
      <c r="BO100" s="173">
        <f t="shared" si="39"/>
        <v>0</v>
      </c>
      <c r="BP100" s="172">
        <f>IF(BQ100="-","-",IFERROR(IF(OR(VLOOKUP(BN100,Расчет!$A$2:$E$582,5,FALSE)="2PS",VLOOKUP(BN100,Расчет!$A$2:$E$582,5,FALSE)="2QL"),IF(OR(VLOOKUP(BN100,Расчет!$A$2:$E$582,2,FALSE)="664W",VLOOKUP(BN100,Расчет!$A$2:$E$582,2,FALSE)="813W"),IF(BN100-$BS$7&gt;150,BN100-$BS$7-1000+$AD$12,BN100-$BS$7+$AD$12),IF(BN100-$BS$7&gt;150,BN100-$BS$7-1000+$AD$17,BN100-$BS$7+$AD$17)),IF(BN100-$BS$7&gt;150,BN100-$BS$7-1000,BN100-$BS$7)),"-"))</f>
        <v>18</v>
      </c>
      <c r="BQ100" s="173">
        <f t="shared" si="36"/>
        <v>11242</v>
      </c>
      <c r="BR100" s="453"/>
      <c r="BS100" s="171"/>
      <c r="BT100" s="464" t="str">
        <f t="shared" si="37"/>
        <v>-</v>
      </c>
      <c r="BU100" s="464" t="str">
        <f t="shared" si="38"/>
        <v>-</v>
      </c>
      <c r="BX100" s="204">
        <f>COUNTIF($BY$4:BY100,"&lt;100")</f>
        <v>59</v>
      </c>
      <c r="BY100" s="213" t="str">
        <f t="shared" ref="BY100:BZ106" si="43">AH99</f>
        <v/>
      </c>
      <c r="BZ100" s="216" t="str">
        <f t="shared" si="43"/>
        <v/>
      </c>
      <c r="CA100" s="213" t="e">
        <f t="shared" si="31"/>
        <v>#N/A</v>
      </c>
      <c r="CB100" s="209" t="e">
        <f t="shared" si="32"/>
        <v>#N/A</v>
      </c>
      <c r="CC100" s="205" t="str">
        <f t="shared" si="40"/>
        <v/>
      </c>
      <c r="CD100" s="205" t="str">
        <f t="shared" si="33"/>
        <v>-</v>
      </c>
      <c r="CE100" s="205">
        <f t="shared" si="41"/>
        <v>0</v>
      </c>
      <c r="CG100" s="20" t="str">
        <f t="shared" si="42"/>
        <v/>
      </c>
    </row>
    <row r="101" spans="1:85" ht="23.1" customHeight="1">
      <c r="A101" s="40" t="str">
        <f>IF(AND(IFERROR(VLOOKUP(E101,Расчет!A:J,10,FALSE),"  ")&lt;&gt;"  ",IFERROR(LEFT(VLOOKUP(E101,Расчет!A:J,10,FALSE),1)," ")&lt;&gt;"H"),0,IFERROR(IF(F101="Camry",IF(OR(J101="2PS",J101="2QL"),IF(E101-AP101&gt;100,E101-AP101-1000+$AD$12,E101-AP101+$AD$12),IF(E101-AP101&gt;100,E101-AP101-1000,E101-AP101)),IF(J101="2PS",IF(E101-AP101&gt;100,E101-AP101-1000+$AD$17,E101-AP101+$AD$17),IF(E101-AP101&gt;100,E101-AP101-1000,E101-AP101))),"-"))</f>
        <v>-</v>
      </c>
      <c r="B101" s="46">
        <v>99</v>
      </c>
      <c r="C101" s="19" t="str">
        <f>IF(E101="","",COUNTA($E$3:E101))</f>
        <v/>
      </c>
      <c r="D101" s="18" t="str">
        <f t="shared" si="26"/>
        <v/>
      </c>
      <c r="E101" s="30"/>
      <c r="F101" s="44" t="str">
        <f>IFERROR(IF(VLOOKUP(E101,Расчет!$A$2:$B$650,2,FALSE)="664W","Camry",IF(VLOOKUP(E101,Расчет!$A$2:$B$650,2,FALSE)="813W","Goshi","RAV4")),"")</f>
        <v/>
      </c>
      <c r="G101" s="32" t="str">
        <f>IFERROR(IF(F101="Camry",VLOOKUP(E101,Расчет!$A$2:$Q$650,17,FALSE),VLOOKUP(E101,Расчет!$A$2:$R$650,18,FALSE)),"")</f>
        <v/>
      </c>
      <c r="H101" s="32" t="str">
        <f>IFERROR(VLOOKUP(VLOOKUP(E101,Расчет!$A:$D,4,FALSE),$AT$6:$AV$15,3,FALSE),"")</f>
        <v/>
      </c>
      <c r="I101" s="31" t="str">
        <f>IFERROR(VLOOKUP(IFERROR(VLOOKUP(E101,Расчет!$A$2:$D$650,4,FALSE),0),$AT$3:$AU$15,2,FALSE),"")</f>
        <v/>
      </c>
      <c r="J101" s="33" t="str">
        <f>IFERROR(VLOOKUP(E101,Расчет!$A$2:$E$650,5,FALSE),"")</f>
        <v/>
      </c>
      <c r="K101" s="190"/>
      <c r="L101" s="188">
        <f t="shared" si="34"/>
        <v>0</v>
      </c>
      <c r="M101" s="9"/>
      <c r="N101" s="40" t="str">
        <f>IF(AND(IFERROR(VLOOKUP(R101,Расчет!A:J,10,FALSE),"  ")&lt;&gt;"  ",IFERROR(LEFT(VLOOKUP(R101,Расчет!A:J,10,FALSE),1)," ")&lt;&gt;"H"),0,IFERROR(IF(S101="Camry",IF(OR(W101="2PS",W101="2QL"),IF(R101-AP204&gt;100,R101-AP204-1000+$AD$12,R101-AP204+$AD$12),IF(R101-AP204&gt;100,R101-AP204-1000,R101-AP204)),IF(W101="2PS",IF(R101-AP204&gt;100,R101-AP204-1000+$AD$17,R101-AP204+$AD$17),IF(R101-AP204&gt;100,R101-AP204-1000,R101-AP204))),"-"))</f>
        <v>-</v>
      </c>
      <c r="O101" s="46">
        <v>202</v>
      </c>
      <c r="P101" s="19" t="str">
        <f>IF(R101="","",COUNTA($R$3:R101)+$C$105)</f>
        <v/>
      </c>
      <c r="Q101" s="18" t="str">
        <f t="shared" si="27"/>
        <v/>
      </c>
      <c r="R101" s="30"/>
      <c r="S101" s="45" t="str">
        <f>IFERROR(IF(VLOOKUP(R101,Расчет!$A$2:$B$650,2,FALSE)="664W","Camry",IF(VLOOKUP(R101,Расчет!$A$2:$B$650,2,FALSE)="813W","Goshi","RAV4")),"")</f>
        <v/>
      </c>
      <c r="T101" s="32" t="str">
        <f>IFERROR(IF(S101="Camry",VLOOKUP(R101,Расчет!$A$2:$Q$650,17,FALSE),VLOOKUP(R101,Расчет!$A$2:$R$650,18,FALSE)),"")</f>
        <v/>
      </c>
      <c r="U101" s="32" t="str">
        <f>IFERROR(VLOOKUP(VLOOKUP(R101,Расчет!$A:$D,4,FALSE),$AT$6:$AV$15,3,FALSE),"")</f>
        <v/>
      </c>
      <c r="V101" s="31" t="str">
        <f>IFERROR(VLOOKUP(IFERROR(VLOOKUP(R101,Расчет!$A$2:$D$650,4,FALSE),0),$AT$3:$AU$15,2,FALSE),"")</f>
        <v/>
      </c>
      <c r="W101" s="33" t="str">
        <f>IFERROR(VLOOKUP(R101,Расчет!$A$2:$E$650,5,FALSE),"")</f>
        <v/>
      </c>
      <c r="X101" s="189"/>
      <c r="Y101" s="191">
        <f t="shared" si="35"/>
        <v>0</v>
      </c>
      <c r="Z101" s="193" t="str">
        <f>IFERROR(IF(VLOOKUP(AC101,Расчет!$A$2:$B$236,2,FALSE)="831W","RAV4","Camry"),"-")</f>
        <v>-</v>
      </c>
      <c r="AA101" s="228" t="str">
        <f>IFERROR(VLOOKUP(AC30,Расчет!$A$2:$E$236,5,FALSE),"-")</f>
        <v>-</v>
      </c>
      <c r="AB101" s="429" t="str">
        <f>IFERROR(SMALL($BT$5:$BT$500,7),"")</f>
        <v/>
      </c>
      <c r="AC101" s="156" t="str">
        <f>IF(VLOOKUP2($BP$5:$BQ$500,1,AB101,COUNTIF($AB$95:AB101,AB101),2)=0,"-",VLOOKUP2($BP$5:$BQ$500,1,AB101,COUNTIF($AB$95:AB101,AB101),2))</f>
        <v>-</v>
      </c>
      <c r="AD101" s="430" t="str">
        <f>IFERROR(VLOOKUP(AC101,Расчет!$BS:$BT,2,FALSE),"")</f>
        <v/>
      </c>
      <c r="AE101" s="89">
        <v>99</v>
      </c>
      <c r="AF101" s="44" t="str">
        <f>IF(VLOOKUP(AE101,Расчет!$AH$2:$AN$201,5,FALSE)="8","C",IF(VLOOKUP(AE101,Расчет!$AH$2:$AN$201,5,FALSE)="G","G","R"))</f>
        <v>R</v>
      </c>
      <c r="AG101" s="73" t="str">
        <f t="shared" si="28"/>
        <v/>
      </c>
      <c r="AH101" s="87" t="str">
        <f>IF(AG101="","",COUNTIF($AG$2:AG101,"C")-COUNTIF($AF$2:AF101,"C")+$AH$1)</f>
        <v/>
      </c>
      <c r="AI101" s="87" t="str">
        <f>IF(AG101="","",COUNTIF($AG$2:AG101,"R")-COUNTIF($AF$2:AF101,"R")+$AI$1)</f>
        <v/>
      </c>
      <c r="AJ101" s="89">
        <v>202</v>
      </c>
      <c r="AK101" s="44" t="str">
        <f>IF(VLOOKUP(AJ101,Расчет!$AH$2:$AN$211,5,FALSE)="8","C",IF(VLOOKUP(AJ101,Расчет!$AH$2:$AN$211,5,FALSE)="G","G","R"))</f>
        <v>R</v>
      </c>
      <c r="AL101" s="74" t="str">
        <f t="shared" si="29"/>
        <v/>
      </c>
      <c r="AM101" s="118" t="str">
        <f>IF(AL101="","",(COUNTIF($AG$2:$AG$105,"C")+COUNTIF($AL$2:$AL101,"C"))-(COUNTIF($AF$2:$AF$105,"C")+COUNTIF($AK$2:$AK101,"C"))+$AH$1)</f>
        <v/>
      </c>
      <c r="AN101" s="119" t="str">
        <f>IF(AL101="","",(COUNTIF($AG$2:$AG$105,"R")+COUNTIF($AL$2:$AL101,"R"))-(COUNTIF($AF$2:$AF$105,"R")+COUNTIF($AK$2:$AK101,"R"))+$AI$1)</f>
        <v/>
      </c>
      <c r="AO101" s="22" t="str">
        <f>IF(E101="","",COUNTA($E$3:E101)+$Z$1)</f>
        <v/>
      </c>
      <c r="AP101" s="88" t="str">
        <f>IF(AO101="","",IF(AO101+Расчет!$Y$57+$BD$2-Расчет!$X$57&gt;200,AO101+Расчет!$Y$57+$BD$2-1000,AO101+Расчет!$Y$57+$BD$2))</f>
        <v/>
      </c>
      <c r="AR101" s="92"/>
      <c r="AS101" s="92"/>
      <c r="BL101" s="172">
        <f>COUNTIF($BM$5:BM101,"&lt;-115")</f>
        <v>0</v>
      </c>
      <c r="BM101" s="154">
        <f>IFERROR(IF(OR(IFERROR(VLOOKUP(BN101,$E$3:$E$105,1,FALSE),"0")=BN101,IFERROR(VLOOKUP(BN101,$R$3:$R$105,1,FALSE),"0")=BN101),BO101,IF(OR(VLOOKUP(BN101,Расчет!A:E,5,FALSE)="2PS",VLOOKUP(BN101,Расчет!A:E,5,FALSE)="2QL"),IF(VLOOKUP(BN101,Расчет!A:B,2,FALSE)="831W",BN101-$BS$7+$AD$17,BN101-$BS$7+$AD$12),BN101-$BS$7)),"-")</f>
        <v>20</v>
      </c>
      <c r="BN101" s="154">
        <f>IF(OR(Расчет!C98="A0",Расчет!C98="P9",Расчет!B98="722W"),"-",Расчет!A98)</f>
        <v>11243</v>
      </c>
      <c r="BO101" s="173">
        <f t="shared" si="39"/>
        <v>20</v>
      </c>
      <c r="BP101" s="172" t="str">
        <f>IF(BQ101="-","-",IFERROR(IF(OR(VLOOKUP(BN101,Расчет!$A$2:$E$582,5,FALSE)="2PS",VLOOKUP(BN101,Расчет!$A$2:$E$582,5,FALSE)="2QL"),IF(OR(VLOOKUP(BN101,Расчет!$A$2:$E$582,2,FALSE)="664W",VLOOKUP(BN101,Расчет!$A$2:$E$582,2,FALSE)="813W"),IF(BN101-$BS$7&gt;150,BN101-$BS$7-1000+$AD$12,BN101-$BS$7+$AD$12),IF(BN101-$BS$7&gt;150,BN101-$BS$7-1000+$AD$17,BN101-$BS$7+$AD$17)),IF(BN101-$BS$7&gt;150,BN101-$BS$7-1000,BN101-$BS$7)),"-"))</f>
        <v>-</v>
      </c>
      <c r="BQ101" s="173" t="str">
        <f t="shared" si="36"/>
        <v>-</v>
      </c>
      <c r="BR101" s="453"/>
      <c r="BS101" s="171"/>
      <c r="BT101" s="464" t="str">
        <f t="shared" si="37"/>
        <v>-</v>
      </c>
      <c r="BU101" s="464" t="str">
        <f t="shared" si="38"/>
        <v>-</v>
      </c>
      <c r="BX101" s="204">
        <f>COUNTIF($BY$4:BY101,"&lt;100")</f>
        <v>59</v>
      </c>
      <c r="BY101" s="213" t="str">
        <f t="shared" si="43"/>
        <v/>
      </c>
      <c r="BZ101" s="216" t="str">
        <f t="shared" si="43"/>
        <v/>
      </c>
      <c r="CA101" s="213" t="e">
        <f t="shared" si="31"/>
        <v>#N/A</v>
      </c>
      <c r="CB101" s="209" t="e">
        <f t="shared" si="32"/>
        <v>#N/A</v>
      </c>
      <c r="CC101" s="205" t="str">
        <f t="shared" si="40"/>
        <v/>
      </c>
      <c r="CD101" s="205" t="str">
        <f t="shared" si="33"/>
        <v>-</v>
      </c>
      <c r="CE101" s="205">
        <f t="shared" si="41"/>
        <v>0</v>
      </c>
      <c r="CG101" s="20" t="str">
        <f t="shared" si="42"/>
        <v/>
      </c>
    </row>
    <row r="102" spans="1:85" ht="23.1" customHeight="1">
      <c r="A102" s="40" t="str">
        <f>IF(AND(IFERROR(VLOOKUP(E102,Расчет!A:J,10,FALSE),"  ")&lt;&gt;"  ",IFERROR(LEFT(VLOOKUP(E102,Расчет!A:J,10,FALSE),1)," ")&lt;&gt;"H"),0,IFERROR(IF(F102="Camry",IF(OR(J102="2PS",J102="2QL"),IF(E102-AP102&gt;100,E102-AP102-1000+$AD$12,E102-AP102+$AD$12),IF(E102-AP102&gt;100,E102-AP102-1000,E102-AP102)),IF(J102="2PS",IF(E102-AP102&gt;100,E102-AP102-1000+$AD$17,E102-AP102+$AD$17),IF(E102-AP102&gt;100,E102-AP102-1000,E102-AP102))),"-"))</f>
        <v>-</v>
      </c>
      <c r="B102" s="46">
        <v>100</v>
      </c>
      <c r="C102" s="19" t="str">
        <f>IF(E102="","",COUNTA($E$3:E102))</f>
        <v/>
      </c>
      <c r="D102" s="18" t="str">
        <f t="shared" si="26"/>
        <v/>
      </c>
      <c r="E102" s="30"/>
      <c r="F102" s="44" t="str">
        <f>IFERROR(IF(VLOOKUP(E102,Расчет!$A$2:$B$650,2,FALSE)="664W","Camry",IF(VLOOKUP(E102,Расчет!$A$2:$B$650,2,FALSE)="813W","Goshi","RAV4")),"")</f>
        <v/>
      </c>
      <c r="G102" s="32" t="str">
        <f>IFERROR(IF(F102="Camry",VLOOKUP(E102,Расчет!$A$2:$Q$650,17,FALSE),VLOOKUP(E102,Расчет!$A$2:$R$650,18,FALSE)),"")</f>
        <v/>
      </c>
      <c r="H102" s="32" t="str">
        <f>IFERROR(VLOOKUP(VLOOKUP(E102,Расчет!$A:$D,4,FALSE),$AT$6:$AV$15,3,FALSE),"")</f>
        <v/>
      </c>
      <c r="I102" s="31" t="str">
        <f>IFERROR(VLOOKUP(IFERROR(VLOOKUP(E102,Расчет!$A$2:$D$650,4,FALSE),0),$AT$3:$AU$15,2,FALSE),"")</f>
        <v/>
      </c>
      <c r="J102" s="33" t="str">
        <f>IFERROR(VLOOKUP(E102,Расчет!$A$2:$E$650,5,FALSE),"")</f>
        <v/>
      </c>
      <c r="K102" s="189"/>
      <c r="L102" s="188">
        <f t="shared" si="34"/>
        <v>0</v>
      </c>
      <c r="M102" s="9"/>
      <c r="N102" s="40" t="str">
        <f>IF(AND(IFERROR(VLOOKUP(R102,Расчет!A:J,10,FALSE),"  ")&lt;&gt;"  ",IFERROR(LEFT(VLOOKUP(R102,Расчет!A:J,10,FALSE),1)," ")&lt;&gt;"H"),0,IFERROR(IF(S102="Camry",IF(OR(W102="2PS",W102="2QL"),IF(R102-AP205&gt;100,R102-AP205-1000+$AD$12,R102-AP205+$AD$12),IF(R102-AP205&gt;100,R102-AP205-1000,R102-AP205)),IF(W102="2PS",IF(R102-AP205&gt;100,R102-AP205-1000+$AD$17,R102-AP205+$AD$17),IF(R102-AP205&gt;100,R102-AP205-1000,R102-AP205))),"-"))</f>
        <v>-</v>
      </c>
      <c r="O102" s="46">
        <v>203</v>
      </c>
      <c r="P102" s="19" t="str">
        <f>IF(R102="","",COUNTA($R$3:R102)+$C$105)</f>
        <v/>
      </c>
      <c r="Q102" s="18" t="str">
        <f t="shared" si="27"/>
        <v/>
      </c>
      <c r="R102" s="30"/>
      <c r="S102" s="45" t="str">
        <f>IFERROR(IF(VLOOKUP(R102,Расчет!$A$2:$B$650,2,FALSE)="664W","Camry",IF(VLOOKUP(R102,Расчет!$A$2:$B$650,2,FALSE)="813W","Goshi","RAV4")),"")</f>
        <v/>
      </c>
      <c r="T102" s="32" t="str">
        <f>IFERROR(IF(S102="Camry",VLOOKUP(R102,Расчет!$A$2:$Q$650,17,FALSE),VLOOKUP(R102,Расчет!$A$2:$R$650,18,FALSE)),"")</f>
        <v/>
      </c>
      <c r="U102" s="32" t="str">
        <f>IFERROR(VLOOKUP(VLOOKUP(R102,Расчет!$A:$D,4,FALSE),$AT$6:$AV$15,3,FALSE),"")</f>
        <v/>
      </c>
      <c r="V102" s="31" t="str">
        <f>IFERROR(VLOOKUP(IFERROR(VLOOKUP(R102,Расчет!$A$2:$D$650,4,FALSE),0),$AT$3:$AU$15,2,FALSE),"")</f>
        <v/>
      </c>
      <c r="W102" s="33" t="str">
        <f>IFERROR(VLOOKUP(R102,Расчет!$A$2:$E$650,5,FALSE),"")</f>
        <v/>
      </c>
      <c r="X102" s="189"/>
      <c r="Y102" s="191">
        <f t="shared" si="35"/>
        <v>0</v>
      </c>
      <c r="Z102" s="193" t="str">
        <f>IFERROR(IF(VLOOKUP(AC102,Расчет!$A$2:$B$236,2,FALSE)="831W","RAV4","Camry"),"-")</f>
        <v>-</v>
      </c>
      <c r="AA102" s="228" t="str">
        <f>IFERROR(VLOOKUP(AC31,Расчет!$A$2:$E$236,5,FALSE),"-")</f>
        <v>-</v>
      </c>
      <c r="AB102" s="429" t="str">
        <f>IFERROR(SMALL($BT$5:$BT$500,8),"")</f>
        <v/>
      </c>
      <c r="AC102" s="156" t="str">
        <f>IF(VLOOKUP2($BP$5:$BQ$500,1,AB102,COUNTIF($AB$95:AB102,AB102),2)=0,"-",VLOOKUP2($BP$5:$BQ$500,1,AB102,COUNTIF($AB$95:AB102,AB102),2))</f>
        <v>-</v>
      </c>
      <c r="AD102" s="430" t="str">
        <f>IFERROR(VLOOKUP(AC102,Расчет!$BS:$BT,2,FALSE),"")</f>
        <v/>
      </c>
      <c r="AE102" s="89">
        <v>100</v>
      </c>
      <c r="AF102" s="44" t="str">
        <f>IF(VLOOKUP(AE102,Расчет!$AH$2:$AN$201,5,FALSE)="8","C",IF(VLOOKUP(AE102,Расчет!$AH$2:$AN$201,5,FALSE)="G","G","R"))</f>
        <v>C</v>
      </c>
      <c r="AG102" s="73" t="str">
        <f t="shared" si="28"/>
        <v/>
      </c>
      <c r="AH102" s="87" t="str">
        <f>IF(AG102="","",COUNTIF($AG$2:AG102,"C")-COUNTIF($AF$2:AF102,"C")+$AH$1)</f>
        <v/>
      </c>
      <c r="AI102" s="87" t="str">
        <f>IF(AG102="","",COUNTIF($AG$2:AG102,"R")-COUNTIF($AF$2:AF102,"R")+$AI$1)</f>
        <v/>
      </c>
      <c r="AJ102" s="89">
        <v>203</v>
      </c>
      <c r="AK102" s="44" t="str">
        <f>IF(VLOOKUP(AJ102,Расчет!$AH$2:$AN$211,5,FALSE)="8","C",IF(VLOOKUP(AJ102,Расчет!$AH$2:$AN$211,5,FALSE)="G","G","R"))</f>
        <v>C</v>
      </c>
      <c r="AL102" s="74" t="str">
        <f t="shared" si="29"/>
        <v/>
      </c>
      <c r="AM102" s="118" t="str">
        <f>IF(AL102="","",(COUNTIF($AG$2:$AG$105,"C")+COUNTIF($AL$2:$AL102,"C"))-(COUNTIF($AF$2:$AF$105,"C")+COUNTIF($AK$2:$AK102,"C"))+$AH$1)</f>
        <v/>
      </c>
      <c r="AN102" s="119" t="str">
        <f>IF(AL102="","",(COUNTIF($AG$2:$AG$105,"R")+COUNTIF($AL$2:$AL102,"R"))-(COUNTIF($AF$2:$AF$105,"R")+COUNTIF($AK$2:$AK102,"R"))+$AI$1)</f>
        <v/>
      </c>
      <c r="AO102" s="22" t="str">
        <f>IF(E102="","",COUNTA($E$3:E102)+$Z$1)</f>
        <v/>
      </c>
      <c r="AP102" s="88" t="str">
        <f>IF(AO102="","",IF(AO102+Расчет!$Y$57+$BD$2-Расчет!$X$57&gt;200,AO102+Расчет!$Y$57+$BD$2-1000,AO102+Расчет!$Y$57+$BD$2))</f>
        <v/>
      </c>
      <c r="AR102" s="92"/>
      <c r="AS102" s="92"/>
      <c r="BL102" s="172">
        <f>COUNTIF($BM$5:BM102,"&lt;-115")</f>
        <v>0</v>
      </c>
      <c r="BM102" s="154">
        <f>IFERROR(IF(OR(IFERROR(VLOOKUP(BN102,$E$3:$E$105,1,FALSE),"0")=BN102,IFERROR(VLOOKUP(BN102,$R$3:$R$105,1,FALSE),"0")=BN102),BO102,IF(OR(VLOOKUP(BN102,Расчет!A:E,5,FALSE)="2PS",VLOOKUP(BN102,Расчет!A:E,5,FALSE)="2QL"),IF(VLOOKUP(BN102,Расчет!A:B,2,FALSE)="831W",BN102-$BS$7+$AD$17,BN102-$BS$7+$AD$12),BN102-$BS$7)),"-")</f>
        <v>20</v>
      </c>
      <c r="BN102" s="154">
        <f>IF(OR(Расчет!C99="A0",Расчет!C99="P9",Расчет!B99="722W"),"-",Расчет!A99)</f>
        <v>11244</v>
      </c>
      <c r="BO102" s="173">
        <f t="shared" si="39"/>
        <v>0</v>
      </c>
      <c r="BP102" s="172">
        <f>IF(BQ102="-","-",IFERROR(IF(OR(VLOOKUP(BN102,Расчет!$A$2:$E$582,5,FALSE)="2PS",VLOOKUP(BN102,Расчет!$A$2:$E$582,5,FALSE)="2QL"),IF(OR(VLOOKUP(BN102,Расчет!$A$2:$E$582,2,FALSE)="664W",VLOOKUP(BN102,Расчет!$A$2:$E$582,2,FALSE)="813W"),IF(BN102-$BS$7&gt;150,BN102-$BS$7-1000+$AD$12,BN102-$BS$7+$AD$12),IF(BN102-$BS$7&gt;150,BN102-$BS$7-1000+$AD$17,BN102-$BS$7+$AD$17)),IF(BN102-$BS$7&gt;150,BN102-$BS$7-1000,BN102-$BS$7)),"-"))</f>
        <v>20</v>
      </c>
      <c r="BQ102" s="173">
        <f t="shared" si="36"/>
        <v>11244</v>
      </c>
      <c r="BR102" s="453"/>
      <c r="BS102" s="171"/>
      <c r="BT102" s="464" t="str">
        <f t="shared" si="37"/>
        <v>-</v>
      </c>
      <c r="BU102" s="464" t="str">
        <f t="shared" si="38"/>
        <v>-</v>
      </c>
      <c r="BX102" s="204">
        <f>COUNTIF($BY$4:BY102,"&lt;100")</f>
        <v>59</v>
      </c>
      <c r="BY102" s="213" t="str">
        <f t="shared" si="43"/>
        <v/>
      </c>
      <c r="BZ102" s="216" t="str">
        <f t="shared" si="43"/>
        <v/>
      </c>
      <c r="CA102" s="213" t="e">
        <f t="shared" si="31"/>
        <v>#N/A</v>
      </c>
      <c r="CB102" s="209" t="e">
        <f t="shared" si="32"/>
        <v>#N/A</v>
      </c>
      <c r="CC102" s="205" t="str">
        <f t="shared" si="40"/>
        <v/>
      </c>
      <c r="CD102" s="205" t="str">
        <f t="shared" si="33"/>
        <v>-</v>
      </c>
      <c r="CE102" s="205">
        <f t="shared" si="41"/>
        <v>0</v>
      </c>
      <c r="CG102" s="20" t="str">
        <f t="shared" si="42"/>
        <v/>
      </c>
    </row>
    <row r="103" spans="1:85" ht="23.1" customHeight="1">
      <c r="A103" s="40" t="str">
        <f>IF(AND(IFERROR(VLOOKUP(E103,Расчет!A:J,10,FALSE),"  ")&lt;&gt;"  ",IFERROR(LEFT(VLOOKUP(E103,Расчет!A:J,10,FALSE),1)," ")&lt;&gt;"H"),0,IFERROR(IF(F103="Camry",IF(OR(J103="2PS",J103="2QL"),IF(E103-AP103&gt;100,E103-AP103-1000+$AD$12,E103-AP103+$AD$12),IF(E103-AP103&gt;100,E103-AP103-1000,E103-AP103)),IF(J103="2PS",IF(E103-AP103&gt;100,E103-AP103-1000+$AD$17,E103-AP103+$AD$17),IF(E103-AP103&gt;100,E103-AP103-1000,E103-AP103))),"-"))</f>
        <v>-</v>
      </c>
      <c r="B103" s="46">
        <v>101</v>
      </c>
      <c r="C103" s="19" t="str">
        <f>IF(E103="","",COUNTA($E$3:E103))</f>
        <v/>
      </c>
      <c r="D103" s="18" t="str">
        <f t="shared" si="26"/>
        <v/>
      </c>
      <c r="E103" s="30"/>
      <c r="F103" s="44" t="str">
        <f>IFERROR(IF(VLOOKUP(E103,Расчет!$A$2:$B$650,2,FALSE)="664W","Camry",IF(VLOOKUP(E103,Расчет!$A$2:$B$650,2,FALSE)="813W","Goshi","RAV4")),"")</f>
        <v/>
      </c>
      <c r="G103" s="32" t="str">
        <f>IFERROR(IF(F103="Camry",VLOOKUP(E103,Расчет!$A$2:$Q$650,17,FALSE),VLOOKUP(E103,Расчет!$A$2:$R$650,18,FALSE)),"")</f>
        <v/>
      </c>
      <c r="H103" s="32" t="str">
        <f>IFERROR(VLOOKUP(VLOOKUP(E103,Расчет!$A:$D,4,FALSE),$AT$6:$AV$15,3,FALSE),"")</f>
        <v/>
      </c>
      <c r="I103" s="31" t="str">
        <f>IFERROR(VLOOKUP(IFERROR(VLOOKUP(E103,Расчет!$A$2:$D$650,4,FALSE),0),$AT$3:$AU$15,2,FALSE),"")</f>
        <v/>
      </c>
      <c r="J103" s="33" t="str">
        <f>IFERROR(VLOOKUP(E103,Расчет!$A$2:$E$650,5,FALSE),"")</f>
        <v/>
      </c>
      <c r="K103" s="189"/>
      <c r="L103" s="188">
        <f t="shared" si="34"/>
        <v>0</v>
      </c>
      <c r="M103" s="9"/>
      <c r="N103" s="40" t="str">
        <f>IF(AND(IFERROR(VLOOKUP(R103,Расчет!A:J,10,FALSE),"  ")&lt;&gt;"  ",IFERROR(LEFT(VLOOKUP(R103,Расчет!A:J,10,FALSE),1)," ")&lt;&gt;"H"),0,IFERROR(IF(S103="Camry",IF(OR(W103="2PS",W103="2QL"),IF(R103-AP206&gt;100,R103-AP206-1000+$AD$12,R103-AP206+$AD$12),IF(R103-AP206&gt;100,R103-AP206-1000,R103-AP206)),IF(W103="2PS",IF(R103-AP206&gt;100,R103-AP206-1000+$AD$17,R103-AP206+$AD$17),IF(R103-AP206&gt;100,R103-AP206-1000,R103-AP206))),"-"))</f>
        <v>-</v>
      </c>
      <c r="O103" s="46">
        <v>204</v>
      </c>
      <c r="P103" s="19" t="str">
        <f>IF(R103="","",COUNTA($R$3:R103)+$C$105)</f>
        <v/>
      </c>
      <c r="Q103" s="18" t="str">
        <f t="shared" si="27"/>
        <v/>
      </c>
      <c r="R103" s="30"/>
      <c r="S103" s="45" t="str">
        <f>IFERROR(IF(VLOOKUP(R103,Расчет!$A$2:$B$650,2,FALSE)="664W","Camry",IF(VLOOKUP(R103,Расчет!$A$2:$B$650,2,FALSE)="813W","Goshi","RAV4")),"")</f>
        <v/>
      </c>
      <c r="T103" s="32" t="str">
        <f>IFERROR(IF(S103="Camry",VLOOKUP(R103,Расчет!$A$2:$Q$650,17,FALSE),VLOOKUP(R103,Расчет!$A$2:$R$650,18,FALSE)),"")</f>
        <v/>
      </c>
      <c r="U103" s="32" t="str">
        <f>IFERROR(VLOOKUP(VLOOKUP(R103,Расчет!$A:$D,4,FALSE),$AT$6:$AV$15,3,FALSE),"")</f>
        <v/>
      </c>
      <c r="V103" s="31" t="str">
        <f>IFERROR(VLOOKUP(IFERROR(VLOOKUP(R103,Расчет!$A$2:$D$650,4,FALSE),0),$AT$3:$AU$15,2,FALSE),"")</f>
        <v/>
      </c>
      <c r="W103" s="33" t="str">
        <f>IFERROR(VLOOKUP(R103,Расчет!$A$2:$E$650,5,FALSE),"")</f>
        <v/>
      </c>
      <c r="X103" s="189"/>
      <c r="Y103" s="191">
        <f t="shared" si="35"/>
        <v>0</v>
      </c>
      <c r="Z103" s="193" t="str">
        <f>IFERROR(IF(VLOOKUP(AC103,Расчет!$A$2:$B$236,2,FALSE)="831W","RAV4","Camry"),"-")</f>
        <v>-</v>
      </c>
      <c r="AA103" s="228" t="str">
        <f>IFERROR(VLOOKUP(AC32,Расчет!$A$2:$E$236,5,FALSE),"-")</f>
        <v>-</v>
      </c>
      <c r="AB103" s="429" t="str">
        <f>IFERROR(SMALL($BT$5:$BT$500,9),"")</f>
        <v/>
      </c>
      <c r="AC103" s="156" t="str">
        <f>IF(VLOOKUP2($BP$5:$BQ$500,1,AB103,COUNTIF($AB$95:AB103,AB103),2)=0,"-",VLOOKUP2($BP$5:$BQ$500,1,AB103,COUNTIF($AB$95:AB103,AB103),2))</f>
        <v>-</v>
      </c>
      <c r="AD103" s="430" t="str">
        <f>IFERROR(VLOOKUP(AC103,Расчет!$BS:$BT,2,FALSE),"")</f>
        <v/>
      </c>
      <c r="AE103" s="89">
        <v>101</v>
      </c>
      <c r="AF103" s="44" t="str">
        <f>IF(VLOOKUP(AE103,Расчет!$AH$2:$AN$201,5,FALSE)="8","C",IF(VLOOKUP(AE103,Расчет!$AH$2:$AN$201,5,FALSE)="G","G","R"))</f>
        <v>R</v>
      </c>
      <c r="AG103" s="73" t="str">
        <f t="shared" si="28"/>
        <v/>
      </c>
      <c r="AH103" s="87" t="str">
        <f>IF(AG103="","",COUNTIF($AG$2:AG103,"C")-COUNTIF($AF$2:AF103,"C")+$AH$1)</f>
        <v/>
      </c>
      <c r="AI103" s="87" t="str">
        <f>IF(AG103="","",COUNTIF($AG$2:AG103,"R")-COUNTIF($AF$2:AF103,"R")+$AI$1)</f>
        <v/>
      </c>
      <c r="AJ103" s="89">
        <v>204</v>
      </c>
      <c r="AK103" s="44" t="str">
        <f>IF(VLOOKUP(AJ103,Расчет!$AH$2:$AN$211,5,FALSE)="8","C",IF(VLOOKUP(AJ103,Расчет!$AH$2:$AN$211,5,FALSE)="G","G","R"))</f>
        <v>R</v>
      </c>
      <c r="AL103" s="74" t="str">
        <f t="shared" si="29"/>
        <v/>
      </c>
      <c r="AM103" s="118" t="str">
        <f>IF(AL103="","",(COUNTIF($AG$2:$AG$105,"C")+COUNTIF($AL$2:$AL103,"C"))-(COUNTIF($AF$2:$AF$105,"C")+COUNTIF($AK$2:$AK103,"C"))+$AH$1)</f>
        <v/>
      </c>
      <c r="AN103" s="119" t="str">
        <f>IF(AL103="","",(COUNTIF($AG$2:$AG$105,"R")+COUNTIF($AL$2:$AL103,"R"))-(COUNTIF($AF$2:$AF$105,"R")+COUNTIF($AK$2:$AK103,"R"))+$AI$1)</f>
        <v/>
      </c>
      <c r="AO103" s="22" t="str">
        <f>IF(E103="","",COUNTA($E$3:E103)+$Z$1)</f>
        <v/>
      </c>
      <c r="AP103" s="88" t="str">
        <f>IF(AO103="","",IF(AO103+Расчет!$Y$57+$BD$2-Расчет!$X$57&gt;200,AO103+Расчет!$Y$57+$BD$2-1000,AO103+Расчет!$Y$57+$BD$2))</f>
        <v/>
      </c>
      <c r="AR103" s="92"/>
      <c r="AS103" s="92"/>
      <c r="BL103" s="172">
        <f>COUNTIF($BM$5:BM103,"&lt;-115")</f>
        <v>0</v>
      </c>
      <c r="BM103" s="154">
        <f>IFERROR(IF(OR(IFERROR(VLOOKUP(BN103,$E$3:$E$105,1,FALSE),"0")=BN103,IFERROR(VLOOKUP(BN103,$R$3:$R$105,1,FALSE),"0")=BN103),BO103,IF(OR(VLOOKUP(BN103,Расчет!A:E,5,FALSE)="2PS",VLOOKUP(BN103,Расчет!A:E,5,FALSE)="2QL"),IF(VLOOKUP(BN103,Расчет!A:B,2,FALSE)="831W",BN103-$BS$7+$AD$17,BN103-$BS$7+$AD$12),BN103-$BS$7)),"-")</f>
        <v>24</v>
      </c>
      <c r="BN103" s="154">
        <f>IF(OR(Расчет!C100="A0",Расчет!C100="P9",Расчет!B100="722W"),"-",Расчет!A100)</f>
        <v>11245</v>
      </c>
      <c r="BO103" s="173">
        <f t="shared" si="39"/>
        <v>24</v>
      </c>
      <c r="BP103" s="172" t="str">
        <f>IF(BQ103="-","-",IFERROR(IF(OR(VLOOKUP(BN103,Расчет!$A$2:$E$582,5,FALSE)="2PS",VLOOKUP(BN103,Расчет!$A$2:$E$582,5,FALSE)="2QL"),IF(OR(VLOOKUP(BN103,Расчет!$A$2:$E$582,2,FALSE)="664W",VLOOKUP(BN103,Расчет!$A$2:$E$582,2,FALSE)="813W"),IF(BN103-$BS$7&gt;150,BN103-$BS$7-1000+$AD$12,BN103-$BS$7+$AD$12),IF(BN103-$BS$7&gt;150,BN103-$BS$7-1000+$AD$17,BN103-$BS$7+$AD$17)),IF(BN103-$BS$7&gt;150,BN103-$BS$7-1000,BN103-$BS$7)),"-"))</f>
        <v>-</v>
      </c>
      <c r="BQ103" s="173" t="str">
        <f t="shared" si="36"/>
        <v>-</v>
      </c>
      <c r="BR103" s="453"/>
      <c r="BS103" s="171"/>
      <c r="BT103" s="464" t="str">
        <f t="shared" si="37"/>
        <v>-</v>
      </c>
      <c r="BU103" s="464" t="str">
        <f t="shared" si="38"/>
        <v>-</v>
      </c>
      <c r="BX103" s="204">
        <f>COUNTIF($BY$4:BY103,"&lt;100")</f>
        <v>59</v>
      </c>
      <c r="BY103" s="213" t="str">
        <f t="shared" si="43"/>
        <v/>
      </c>
      <c r="BZ103" s="216" t="str">
        <f t="shared" si="43"/>
        <v/>
      </c>
      <c r="CA103" s="213" t="e">
        <f t="shared" si="31"/>
        <v>#N/A</v>
      </c>
      <c r="CB103" s="209" t="e">
        <f t="shared" si="32"/>
        <v>#N/A</v>
      </c>
      <c r="CC103" s="205" t="str">
        <f t="shared" si="40"/>
        <v/>
      </c>
      <c r="CD103" s="205" t="str">
        <f t="shared" si="33"/>
        <v>-</v>
      </c>
      <c r="CE103" s="205">
        <f t="shared" si="41"/>
        <v>0</v>
      </c>
      <c r="CG103" s="20" t="str">
        <f t="shared" si="42"/>
        <v/>
      </c>
    </row>
    <row r="104" spans="1:85" ht="23.1" customHeight="1">
      <c r="A104" s="40" t="str">
        <f>IF(AND(IFERROR(VLOOKUP(E104,Расчет!A:J,10,FALSE),"  ")&lt;&gt;"  ",IFERROR(LEFT(VLOOKUP(E104,Расчет!A:J,10,FALSE),1)," ")&lt;&gt;"H"),0,IFERROR(IF(F104="Camry",IF(OR(J104="2PS",J104="2QL"),IF(E104-AP104&gt;100,E104-AP104-1000+$AD$12,E104-AP104+$AD$12),IF(E104-AP104&gt;100,E104-AP104-1000,E104-AP104)),IF(J104="2PS",IF(E104-AP104&gt;100,E104-AP104-1000+$AD$17,E104-AP104+$AD$17),IF(E104-AP104&gt;100,E104-AP104-1000,E104-AP104))),"-"))</f>
        <v>-</v>
      </c>
      <c r="B104" s="46">
        <v>102</v>
      </c>
      <c r="C104" s="19" t="str">
        <f>IF(E104="","",COUNTA($E$3:E104))</f>
        <v/>
      </c>
      <c r="D104" s="18" t="str">
        <f t="shared" si="26"/>
        <v/>
      </c>
      <c r="E104" s="30"/>
      <c r="F104" s="44" t="str">
        <f>IFERROR(IF(VLOOKUP(E104,Расчет!$A$2:$B$650,2,FALSE)="664W","Camry",IF(VLOOKUP(E104,Расчет!$A$2:$B$650,2,FALSE)="813W","Goshi","RAV4")),"")</f>
        <v/>
      </c>
      <c r="G104" s="32" t="str">
        <f>IFERROR(IF(F104="Camry",VLOOKUP(E104,Расчет!$A$2:$Q$650,17,FALSE),VLOOKUP(E104,Расчет!$A$2:$R$650,18,FALSE)),"")</f>
        <v/>
      </c>
      <c r="H104" s="32" t="str">
        <f>IFERROR(VLOOKUP(VLOOKUP(E104,Расчет!$A:$D,4,FALSE),$AT$6:$AV$15,3,FALSE),"")</f>
        <v/>
      </c>
      <c r="I104" s="31" t="str">
        <f>IFERROR(VLOOKUP(IFERROR(VLOOKUP(E104,Расчет!$A$2:$D$650,4,FALSE),0),$AT$3:$AU$15,2,FALSE),"")</f>
        <v/>
      </c>
      <c r="J104" s="33" t="str">
        <f>IFERROR(VLOOKUP(E104,Расчет!$A$2:$E$650,5,FALSE),"")</f>
        <v/>
      </c>
      <c r="K104" s="189"/>
      <c r="L104" s="188">
        <f t="shared" si="34"/>
        <v>0</v>
      </c>
      <c r="M104" s="9"/>
      <c r="N104" s="40" t="str">
        <f>IF(AND(IFERROR(VLOOKUP(R104,Расчет!A:J,10,FALSE),"  ")&lt;&gt;"  ",IFERROR(LEFT(VLOOKUP(R104,Расчет!A:J,10,FALSE),1)," ")&lt;&gt;"H"),0,IFERROR(IF(S104="Camry",IF(OR(W104="2PS",W104="2QL"),IF(R104-AP207&gt;100,R104-AP207-1000+$AD$12,R104-AP207+$AD$12),IF(R104-AP207&gt;100,R104-AP207-1000,R104-AP207)),IF(W104="2PS",IF(R104-AP207&gt;100,R104-AP207-1000+$AD$17,R104-AP207+$AD$17),IF(R104-AP207&gt;100,R104-AP207-1000,R104-AP207))),"-"))</f>
        <v>-</v>
      </c>
      <c r="O104" s="46">
        <v>205</v>
      </c>
      <c r="P104" s="19" t="str">
        <f>IF(R104="","",COUNTA($R$3:R104)+$C$105)</f>
        <v/>
      </c>
      <c r="Q104" s="18" t="str">
        <f t="shared" si="27"/>
        <v/>
      </c>
      <c r="R104" s="30"/>
      <c r="S104" s="45" t="str">
        <f>IFERROR(IF(VLOOKUP(R104,Расчет!$A$2:$B$650,2,FALSE)="664W","Camry",IF(VLOOKUP(R104,Расчет!$A$2:$B$650,2,FALSE)="813W","Goshi","RAV4")),"")</f>
        <v/>
      </c>
      <c r="T104" s="32" t="str">
        <f>IFERROR(IF(S104="Camry",VLOOKUP(R104,Расчет!$A$2:$Q$650,17,FALSE),VLOOKUP(R104,Расчет!$A$2:$R$650,18,FALSE)),"")</f>
        <v/>
      </c>
      <c r="U104" s="32" t="str">
        <f>IFERROR(VLOOKUP(VLOOKUP(R104,Расчет!$A:$D,4,FALSE),$AT$6:$AV$15,3,FALSE),"")</f>
        <v/>
      </c>
      <c r="V104" s="31" t="str">
        <f>IFERROR(VLOOKUP(IFERROR(VLOOKUP(R104,Расчет!$A$2:$D$650,4,FALSE),0),$AT$3:$AU$15,2,FALSE),"")</f>
        <v/>
      </c>
      <c r="W104" s="33" t="str">
        <f>IFERROR(VLOOKUP(R104,Расчет!$A$2:$E$650,5,FALSE),"")</f>
        <v/>
      </c>
      <c r="X104" s="189"/>
      <c r="Y104" s="191">
        <f t="shared" si="35"/>
        <v>0</v>
      </c>
      <c r="Z104" s="193" t="str">
        <f>IFERROR(IF(VLOOKUP(AC104,Расчет!$A$2:$B$236,2,FALSE)="831W","RAV4","Camry"),"-")</f>
        <v>-</v>
      </c>
      <c r="AA104" s="228" t="str">
        <f>IFERROR(VLOOKUP(AC33,Расчет!$A$2:$E$236,5,FALSE),"-")</f>
        <v>-</v>
      </c>
      <c r="AB104" s="429" t="str">
        <f>IFERROR(SMALL($BT$5:$BT$500,10),"")</f>
        <v/>
      </c>
      <c r="AC104" s="156" t="str">
        <f>IF(VLOOKUP2($BP$5:$BQ$500,1,AB104,COUNTIF($AB$95:AB104,AB104),2)=0,"-",VLOOKUP2($BP$5:$BQ$500,1,AB104,COUNTIF($AB$95:AB104,AB104),2))</f>
        <v>-</v>
      </c>
      <c r="AD104" s="430" t="str">
        <f>IFERROR(VLOOKUP(AC104,Расчет!$BS:$BT,2,FALSE),"")</f>
        <v/>
      </c>
      <c r="AE104" s="89">
        <v>102</v>
      </c>
      <c r="AF104" s="44" t="str">
        <f>IF(VLOOKUP(AE104,Расчет!$AH$2:$AN$201,5,FALSE)="8","C",IF(VLOOKUP(AE104,Расчет!$AH$2:$AN$201,5,FALSE)="G","G","R"))</f>
        <v>C</v>
      </c>
      <c r="AG104" s="73" t="str">
        <f t="shared" si="28"/>
        <v/>
      </c>
      <c r="AH104" s="87" t="str">
        <f>IF(AG104="","",COUNTIF($AG$2:AG104,"C")-COUNTIF($AF$2:AF104,"C")+$AH$1)</f>
        <v/>
      </c>
      <c r="AI104" s="87" t="str">
        <f>IF(AG104="","",COUNTIF($AG$2:AG104,"R")-COUNTIF($AF$2:AF104,"R")+$AI$1)</f>
        <v/>
      </c>
      <c r="AJ104" s="89">
        <v>205</v>
      </c>
      <c r="AK104" s="44" t="str">
        <f>IF(VLOOKUP(AJ104,Расчет!$AH$2:$AN$211,5,FALSE)="8","C",IF(VLOOKUP(AJ104,Расчет!$AH$2:$AN$211,5,FALSE)="G","G","R"))</f>
        <v>C</v>
      </c>
      <c r="AL104" s="74" t="str">
        <f t="shared" si="29"/>
        <v/>
      </c>
      <c r="AM104" s="118" t="str">
        <f>IF(AL104="","",(COUNTIF($AG$2:$AG$105,"C")+COUNTIF($AL$2:$AL104,"C"))-(COUNTIF($AF$2:$AF$105,"C")+COUNTIF($AK$2:$AK104,"C"))+$AH$1)</f>
        <v/>
      </c>
      <c r="AN104" s="119" t="str">
        <f>IF(AL104="","",(COUNTIF($AG$2:$AG$105,"R")+COUNTIF($AL$2:$AL104,"R"))-(COUNTIF($AF$2:$AF$105,"R")+COUNTIF($AK$2:$AK104,"R"))+$AI$1)</f>
        <v/>
      </c>
      <c r="AO104" s="22" t="str">
        <f>IF(E104="","",COUNTA($E$3:E104)+$Z$1)</f>
        <v/>
      </c>
      <c r="AP104" s="88" t="str">
        <f>IF(AO104="","",IF(AO104+Расчет!$Y$57+$BD$2-Расчет!$X$57&gt;200,AO104+Расчет!$Y$57+$BD$2-1000,AO104+Расчет!$Y$57+$BD$2))</f>
        <v/>
      </c>
      <c r="AR104" s="92"/>
      <c r="AS104" s="92"/>
      <c r="BL104" s="172">
        <f>COUNTIF($BM$5:BM104,"&lt;-115")</f>
        <v>0</v>
      </c>
      <c r="BM104" s="154">
        <f>IFERROR(IF(OR(IFERROR(VLOOKUP(BN104,$E$3:$E$105,1,FALSE),"0")=BN104,IFERROR(VLOOKUP(BN104,$R$3:$R$105,1,FALSE),"0")=BN104),BO104,IF(OR(VLOOKUP(BN104,Расчет!A:E,5,FALSE)="2PS",VLOOKUP(BN104,Расчет!A:E,5,FALSE)="2QL"),IF(VLOOKUP(BN104,Расчет!A:B,2,FALSE)="831W",BN104-$BS$7+$AD$17,BN104-$BS$7+$AD$12),BN104-$BS$7)),"-")</f>
        <v>22</v>
      </c>
      <c r="BN104" s="154">
        <f>IF(OR(Расчет!C101="A0",Расчет!C101="P9",Расчет!B101="722W"),"-",Расчет!A101)</f>
        <v>11246</v>
      </c>
      <c r="BO104" s="173">
        <f t="shared" si="39"/>
        <v>0</v>
      </c>
      <c r="BP104" s="172">
        <f>IF(BQ104="-","-",IFERROR(IF(OR(VLOOKUP(BN104,Расчет!$A$2:$E$582,5,FALSE)="2PS",VLOOKUP(BN104,Расчет!$A$2:$E$582,5,FALSE)="2QL"),IF(OR(VLOOKUP(BN104,Расчет!$A$2:$E$582,2,FALSE)="664W",VLOOKUP(BN104,Расчет!$A$2:$E$582,2,FALSE)="813W"),IF(BN104-$BS$7&gt;150,BN104-$BS$7-1000+$AD$12,BN104-$BS$7+$AD$12),IF(BN104-$BS$7&gt;150,BN104-$BS$7-1000+$AD$17,BN104-$BS$7+$AD$17)),IF(BN104-$BS$7&gt;150,BN104-$BS$7-1000,BN104-$BS$7)),"-"))</f>
        <v>22</v>
      </c>
      <c r="BQ104" s="173">
        <f t="shared" si="36"/>
        <v>11246</v>
      </c>
      <c r="BR104" s="453"/>
      <c r="BS104" s="171"/>
      <c r="BT104" s="464" t="str">
        <f t="shared" si="37"/>
        <v>-</v>
      </c>
      <c r="BU104" s="464" t="str">
        <f t="shared" si="38"/>
        <v>-</v>
      </c>
      <c r="BX104" s="204">
        <f>COUNTIF($BY$4:BY104,"&lt;100")</f>
        <v>59</v>
      </c>
      <c r="BY104" s="213" t="str">
        <f t="shared" si="43"/>
        <v/>
      </c>
      <c r="BZ104" s="216" t="str">
        <f t="shared" si="43"/>
        <v/>
      </c>
      <c r="CA104" s="213" t="e">
        <f t="shared" si="31"/>
        <v>#N/A</v>
      </c>
      <c r="CB104" s="209" t="e">
        <f t="shared" si="32"/>
        <v>#N/A</v>
      </c>
      <c r="CC104" s="205" t="str">
        <f t="shared" si="40"/>
        <v/>
      </c>
      <c r="CD104" s="205" t="str">
        <f t="shared" si="33"/>
        <v>-</v>
      </c>
      <c r="CE104" s="205">
        <f t="shared" si="41"/>
        <v>0</v>
      </c>
      <c r="CG104" s="20" t="str">
        <f t="shared" si="42"/>
        <v/>
      </c>
    </row>
    <row r="105" spans="1:85" ht="23.1" customHeight="1" thickBot="1">
      <c r="A105" s="40" t="str">
        <f>IF(AND(IFERROR(VLOOKUP(E105,Расчет!A:J,10,FALSE),"  ")&lt;&gt;"  ",IFERROR(LEFT(VLOOKUP(E105,Расчет!A:J,10,FALSE),1)," ")&lt;&gt;"H"),0,IFERROR(IF(F105="Camry",IF(OR(J105="2PS",J105="2QL"),IF(E105-AP105&gt;100,E105-AP105-1000+$AD$12,E105-AP105+$AD$12),IF(E105-AP105&gt;100,E105-AP105-1000,E105-AP105)),IF(J105="2PS",IF(E105-AP105&gt;100,E105-AP105-1000+$AD$17,E105-AP105+$AD$17),IF(E105-AP105&gt;100,E105-AP105-1000,E105-AP105))),"-"))</f>
        <v>-</v>
      </c>
      <c r="B105" s="46">
        <v>103</v>
      </c>
      <c r="C105" s="19" t="str">
        <f>IF(E105="","",COUNTA($E$3:E105))</f>
        <v/>
      </c>
      <c r="D105" s="18" t="str">
        <f t="shared" si="26"/>
        <v/>
      </c>
      <c r="E105" s="30"/>
      <c r="F105" s="44" t="str">
        <f>IFERROR(IF(VLOOKUP(E105,Расчет!$A$2:$B$650,2,FALSE)="664W","Camry",IF(VLOOKUP(E105,Расчет!$A$2:$B$650,2,FALSE)="813W","Goshi","RAV4")),"")</f>
        <v/>
      </c>
      <c r="G105" s="32" t="str">
        <f>IFERROR(IF(F105="Camry",VLOOKUP(E105,Расчет!$A$2:$Q$650,17,FALSE),VLOOKUP(E105,Расчет!$A$2:$R$650,18,FALSE)),"")</f>
        <v/>
      </c>
      <c r="H105" s="32" t="str">
        <f>IFERROR(VLOOKUP(VLOOKUP(E105,Расчет!$A:$D,4,FALSE),$AT$6:$AV$15,3,FALSE),"")</f>
        <v/>
      </c>
      <c r="I105" s="31" t="str">
        <f>IFERROR(VLOOKUP(IFERROR(VLOOKUP(E105,Расчет!$A$2:$D$650,4,FALSE),0),$AT$3:$AU$15,2,FALSE),"")</f>
        <v/>
      </c>
      <c r="J105" s="346" t="str">
        <f>IFERROR(VLOOKUP(E105,Расчет!$A$2:$E$650,5,FALSE),"")</f>
        <v/>
      </c>
      <c r="K105" s="189"/>
      <c r="L105" s="192">
        <f t="shared" si="34"/>
        <v>0</v>
      </c>
      <c r="M105" s="9"/>
      <c r="N105" s="40" t="str">
        <f>IF(AND(IFERROR(VLOOKUP(R105,Расчет!A:J,10,FALSE),"  ")&lt;&gt;"  ",IFERROR(LEFT(VLOOKUP(R105,Расчет!A:J,10,FALSE),1)," ")&lt;&gt;"H"),0,IFERROR(IF(S105="Camry",IF(OR(W105="2PS",W105="2QL"),IF(R105-AP208&gt;100,R105-AP208-1000+$AD$12,R105-AP208+$AD$12),IF(R105-AP208&gt;100,R105-AP208-1000,R105-AP208)),IF(W105="2PS",IF(R105-AP208&gt;100,R105-AP208-1000+$AD$17,R105-AP208+$AD$17),IF(R105-AP208&gt;100,R105-AP208-1000,R105-AP208))),"-"))</f>
        <v>-</v>
      </c>
      <c r="O105" s="46">
        <v>206</v>
      </c>
      <c r="P105" s="19" t="str">
        <f>IF(R105="","",COUNTA($R$3:R105)+$C$105)</f>
        <v/>
      </c>
      <c r="Q105" s="18" t="str">
        <f t="shared" si="27"/>
        <v/>
      </c>
      <c r="R105" s="30"/>
      <c r="S105" s="45" t="str">
        <f>IFERROR(IF(VLOOKUP(R105,Расчет!$A$2:$B$650,2,FALSE)="664W","Camry",IF(VLOOKUP(R105,Расчет!$A$2:$B$650,2,FALSE)="813W","Goshi","RAV4")),"")</f>
        <v/>
      </c>
      <c r="T105" s="32" t="str">
        <f>IFERROR(IF(S105="Camry",VLOOKUP(R105,Расчет!$A$2:$Q$650,17,FALSE),VLOOKUP(R105,Расчет!$A$2:$R$650,18,FALSE)),"")</f>
        <v/>
      </c>
      <c r="U105" s="32" t="str">
        <f>IFERROR(VLOOKUP(VLOOKUP(R105,Расчет!$A:$D,4,FALSE),$AT$6:$AV$15,3,FALSE),"")</f>
        <v/>
      </c>
      <c r="V105" s="31" t="str">
        <f>IFERROR(VLOOKUP(IFERROR(VLOOKUP(R105,Расчет!$A$2:$D$650,4,FALSE),0),$AT$3:$AU$15,2,FALSE),"")</f>
        <v/>
      </c>
      <c r="W105" s="33" t="str">
        <f>IFERROR(VLOOKUP(R105,Расчет!$A$2:$E$650,5,FALSE),"")</f>
        <v/>
      </c>
      <c r="X105" s="189"/>
      <c r="Y105" s="191">
        <f t="shared" si="35"/>
        <v>0</v>
      </c>
      <c r="Z105" s="431" t="str">
        <f>IFERROR(IF(VLOOKUP(AC105,Расчет!$A$2:$B$236,2,FALSE)="831W","RAV4","Camry"),"-")</f>
        <v>-</v>
      </c>
      <c r="AA105" s="426" t="str">
        <f>IFERROR(VLOOKUP(AC34,Расчет!$A$2:$E$236,5,FALSE),"-")</f>
        <v>-</v>
      </c>
      <c r="AB105" s="432" t="str">
        <f>IFERROR(SMALL($BT$5:$BT$500,11),"")</f>
        <v/>
      </c>
      <c r="AC105" s="157" t="str">
        <f>IF(VLOOKUP2($BP$5:$BQ$500,1,AB105,COUNTIF($AB$95:AB105,AB105),2)=0,"-",VLOOKUP2($BP$5:$BQ$500,1,AB105,COUNTIF($AB$95:AB105,AB105),2))</f>
        <v>-</v>
      </c>
      <c r="AD105" s="433" t="str">
        <f>IFERROR(VLOOKUP(AC105,Расчет!$BS:$BT,2,FALSE),"")</f>
        <v/>
      </c>
      <c r="AE105" s="89">
        <v>103</v>
      </c>
      <c r="AF105" s="44" t="str">
        <f>IF(VLOOKUP(AE105,Расчет!$AH$2:$AN$201,5,FALSE)="8","C",IF(VLOOKUP(AE105,Расчет!$AH$2:$AN$201,5,FALSE)="G","G","R"))</f>
        <v>R</v>
      </c>
      <c r="AG105" s="73" t="str">
        <f t="shared" si="28"/>
        <v/>
      </c>
      <c r="AH105" s="87" t="str">
        <f>IF(AG105="","",COUNTIF($AG$2:AG105,"C")-COUNTIF($AF$2:AF105,"C")+$AH$1)</f>
        <v/>
      </c>
      <c r="AI105" s="87" t="str">
        <f>IF(AG105="","",COUNTIF($AG$2:AG105,"R")-COUNTIF($AF$2:AF105,"R")+$AI$1)</f>
        <v/>
      </c>
      <c r="AJ105" s="89">
        <v>206</v>
      </c>
      <c r="AK105" s="44" t="str">
        <f>IF(VLOOKUP(AJ105,Расчет!$AH$2:$AN$211,5,FALSE)="8","C",IF(VLOOKUP(AJ105,Расчет!$AH$2:$AN$211,5,FALSE)="G","G","R"))</f>
        <v>R</v>
      </c>
      <c r="AL105" s="74" t="str">
        <f t="shared" si="29"/>
        <v/>
      </c>
      <c r="AM105" s="118" t="str">
        <f>IF(AL105="","",(COUNTIF($AG$2:$AG$105,"C")+COUNTIF($AL$2:$AL105,"C"))-(COUNTIF($AF$2:$AF$105,"C")+COUNTIF($AK$2:$AK105,"C"))+$AH$1)</f>
        <v/>
      </c>
      <c r="AN105" s="119" t="str">
        <f>IF(AL105="","",(COUNTIF($AG$2:$AG$105,"R")+COUNTIF($AL$2:$AL105,"R"))-(COUNTIF($AF$2:$AF$105,"R")+COUNTIF($AK$2:$AK105,"R"))+$AI$1)</f>
        <v/>
      </c>
      <c r="AO105" s="22" t="str">
        <f>IF(E105="","",COUNTA($E$3:E105)+$Z$1)</f>
        <v/>
      </c>
      <c r="AP105" s="88" t="str">
        <f>IF(AO105="","",IF(AO105+Расчет!$Y$57+$BD$2-Расчет!$X$57&gt;200,AO105+Расчет!$Y$57+$BD$2-1000,AO105+Расчет!$Y$57+$BD$2))</f>
        <v/>
      </c>
      <c r="AR105" s="92"/>
      <c r="AS105" s="92"/>
      <c r="BL105" s="172">
        <f>COUNTIF($BM$5:BM105,"&lt;-115")</f>
        <v>0</v>
      </c>
      <c r="BM105" s="154">
        <f>IFERROR(IF(OR(IFERROR(VLOOKUP(BN105,$E$3:$E$105,1,FALSE),"0")=BN105,IFERROR(VLOOKUP(BN105,$R$3:$R$105,1,FALSE),"0")=BN105),BO105,IF(OR(VLOOKUP(BN105,Расчет!A:E,5,FALSE)="2PS",VLOOKUP(BN105,Расчет!A:E,5,FALSE)="2QL"),IF(VLOOKUP(BN105,Расчет!A:B,2,FALSE)="831W",BN105-$BS$7+$AD$17,BN105-$BS$7+$AD$12),BN105-$BS$7)),"-")</f>
        <v>23</v>
      </c>
      <c r="BN105" s="154">
        <f>IF(OR(Расчет!C102="A0",Расчет!C102="P9",Расчет!B102="722W"),"-",Расчет!A102)</f>
        <v>11247</v>
      </c>
      <c r="BO105" s="173">
        <f t="shared" si="39"/>
        <v>0</v>
      </c>
      <c r="BP105" s="172">
        <f>IF(BQ105="-","-",IFERROR(IF(OR(VLOOKUP(BN105,Расчет!$A$2:$E$582,5,FALSE)="2PS",VLOOKUP(BN105,Расчет!$A$2:$E$582,5,FALSE)="2QL"),IF(OR(VLOOKUP(BN105,Расчет!$A$2:$E$582,2,FALSE)="664W",VLOOKUP(BN105,Расчет!$A$2:$E$582,2,FALSE)="813W"),IF(BN105-$BS$7&gt;150,BN105-$BS$7-1000+$AD$12,BN105-$BS$7+$AD$12),IF(BN105-$BS$7&gt;150,BN105-$BS$7-1000+$AD$17,BN105-$BS$7+$AD$17)),IF(BN105-$BS$7&gt;150,BN105-$BS$7-1000,BN105-$BS$7)),"-"))</f>
        <v>23</v>
      </c>
      <c r="BQ105" s="173">
        <f t="shared" si="36"/>
        <v>11247</v>
      </c>
      <c r="BR105" s="453"/>
      <c r="BS105" s="171"/>
      <c r="BT105" s="464" t="str">
        <f t="shared" si="37"/>
        <v>-</v>
      </c>
      <c r="BU105" s="464" t="str">
        <f t="shared" si="38"/>
        <v>-</v>
      </c>
      <c r="BX105" s="204">
        <f>COUNTIF($BY$4:BY105,"&lt;100")</f>
        <v>59</v>
      </c>
      <c r="BY105" s="213" t="str">
        <f t="shared" si="43"/>
        <v/>
      </c>
      <c r="BZ105" s="216" t="str">
        <f t="shared" si="43"/>
        <v/>
      </c>
      <c r="CA105" s="213" t="e">
        <f t="shared" si="31"/>
        <v>#N/A</v>
      </c>
      <c r="CB105" s="209" t="e">
        <f t="shared" si="32"/>
        <v>#N/A</v>
      </c>
      <c r="CC105" s="205" t="str">
        <f t="shared" si="40"/>
        <v/>
      </c>
      <c r="CD105" s="205" t="str">
        <f t="shared" si="33"/>
        <v>-</v>
      </c>
      <c r="CE105" s="205">
        <f t="shared" si="41"/>
        <v>0</v>
      </c>
      <c r="CG105" s="20" t="str">
        <f t="shared" si="42"/>
        <v/>
      </c>
    </row>
    <row r="106" spans="1:85" ht="21.75" thickBot="1">
      <c r="N106" s="8"/>
      <c r="O106" s="8"/>
      <c r="AJ106"/>
      <c r="AK106"/>
      <c r="AL106"/>
      <c r="AM106" s="87"/>
      <c r="AN106" s="87"/>
      <c r="AO106" s="14" t="str">
        <f>IF(R3="","",COUNTA($R$3:R3)+$AO$105)</f>
        <v/>
      </c>
      <c r="AP106" s="88" t="str">
        <f>IF(AO106="","",IF(AO106+Расчет!$Y$57+$BD$2-Расчет!$X$57&gt;200,AO106+Расчет!$Y$57+$BD$2-1000,AO106+Расчет!$Y$57+$BD$2))</f>
        <v/>
      </c>
      <c r="AR106" s="92"/>
      <c r="AS106" s="92"/>
      <c r="BL106" s="172">
        <f>COUNTIF($BM$5:BM106,"&lt;-115")</f>
        <v>0</v>
      </c>
      <c r="BM106" s="154">
        <f>IFERROR(IF(OR(IFERROR(VLOOKUP(BN106,$E$3:$E$105,1,FALSE),"0")=BN106,IFERROR(VLOOKUP(BN106,$R$3:$R$105,1,FALSE),"0")=BN106),BO106,IF(OR(VLOOKUP(BN106,Расчет!A:E,5,FALSE)="2PS",VLOOKUP(BN106,Расчет!A:E,5,FALSE)="2QL"),IF(VLOOKUP(BN106,Расчет!A:B,2,FALSE)="831W",BN106-$BS$7+$AD$17,BN106-$BS$7+$AD$12),BN106-$BS$7)),"-")</f>
        <v>24</v>
      </c>
      <c r="BN106" s="154">
        <f>IF(OR(Расчет!C103="A0",Расчет!C103="P9",Расчет!B103="722W"),"-",Расчет!A103)</f>
        <v>11248</v>
      </c>
      <c r="BO106" s="173">
        <f t="shared" si="39"/>
        <v>0</v>
      </c>
      <c r="BP106" s="172">
        <f>IF(BQ106="-","-",IFERROR(IF(OR(VLOOKUP(BN106,Расчет!$A$2:$E$582,5,FALSE)="2PS",VLOOKUP(BN106,Расчет!$A$2:$E$582,5,FALSE)="2QL"),IF(OR(VLOOKUP(BN106,Расчет!$A$2:$E$582,2,FALSE)="664W",VLOOKUP(BN106,Расчет!$A$2:$E$582,2,FALSE)="813W"),IF(BN106-$BS$7&gt;150,BN106-$BS$7-1000+$AD$12,BN106-$BS$7+$AD$12),IF(BN106-$BS$7&gt;150,BN106-$BS$7-1000+$AD$17,BN106-$BS$7+$AD$17)),IF(BN106-$BS$7&gt;150,BN106-$BS$7-1000,BN106-$BS$7)),"-"))</f>
        <v>24</v>
      </c>
      <c r="BQ106" s="173">
        <f t="shared" si="36"/>
        <v>11248</v>
      </c>
      <c r="BR106" s="453"/>
      <c r="BS106" s="171"/>
      <c r="BT106" s="464" t="str">
        <f t="shared" si="37"/>
        <v>-</v>
      </c>
      <c r="BU106" s="464" t="str">
        <f t="shared" si="38"/>
        <v>-</v>
      </c>
      <c r="BX106" s="204">
        <f>COUNTIF($BY$4:BY106,"&lt;100")</f>
        <v>59</v>
      </c>
      <c r="BY106" s="213" t="str">
        <f t="shared" si="43"/>
        <v/>
      </c>
      <c r="BZ106" s="216" t="str">
        <f t="shared" si="43"/>
        <v/>
      </c>
      <c r="CA106" s="213" t="e">
        <f t="shared" si="31"/>
        <v>#N/A</v>
      </c>
      <c r="CB106" s="209" t="e">
        <f t="shared" si="32"/>
        <v>#N/A</v>
      </c>
      <c r="CC106" s="205" t="str">
        <f t="shared" si="40"/>
        <v/>
      </c>
      <c r="CD106" s="205" t="str">
        <f t="shared" si="33"/>
        <v>-</v>
      </c>
      <c r="CE106" s="205">
        <f t="shared" si="41"/>
        <v>0</v>
      </c>
      <c r="CG106" s="20" t="str">
        <f t="shared" si="42"/>
        <v/>
      </c>
    </row>
    <row r="107" spans="1:85" ht="21">
      <c r="N107" s="8"/>
      <c r="O107" s="8"/>
      <c r="AJ107"/>
      <c r="AK107"/>
      <c r="AL107"/>
      <c r="AM107" s="87"/>
      <c r="AN107" s="87"/>
      <c r="AO107" s="14" t="str">
        <f>IF(R4="","",COUNTA($R$3:R4)+$AO$105)</f>
        <v/>
      </c>
      <c r="AP107" s="88" t="str">
        <f>IF(AO107="","",IF(AO107+Расчет!$Y$57+$BD$2-Расчет!$X$57&gt;200,AO107+Расчет!$Y$57+$BD$2-1000,AO107+Расчет!$Y$57+$BD$2))</f>
        <v/>
      </c>
      <c r="AR107" s="92"/>
      <c r="AS107" s="92"/>
      <c r="BL107" s="172">
        <f>COUNTIF($BM$5:BM107,"&lt;-115")</f>
        <v>0</v>
      </c>
      <c r="BM107" s="154">
        <f>IFERROR(IF(OR(IFERROR(VLOOKUP(BN107,$E$3:$E$105,1,FALSE),"0")=BN107,IFERROR(VLOOKUP(BN107,$R$3:$R$105,1,FALSE),"0")=BN107),BO107,IF(OR(VLOOKUP(BN107,Расчет!A:E,5,FALSE)="2PS",VLOOKUP(BN107,Расчет!A:E,5,FALSE)="2QL"),IF(VLOOKUP(BN107,Расчет!A:B,2,FALSE)="831W",BN107-$BS$7+$AD$17,BN107-$BS$7+$AD$12),BN107-$BS$7)),"-")</f>
        <v>25</v>
      </c>
      <c r="BN107" s="154">
        <f>IF(OR(Расчет!C104="A0",Расчет!C104="P9",Расчет!B104="722W"),"-",Расчет!A104)</f>
        <v>11249</v>
      </c>
      <c r="BO107" s="173">
        <f t="shared" si="39"/>
        <v>0</v>
      </c>
      <c r="BP107" s="172">
        <f>IF(BQ107="-","-",IFERROR(IF(OR(VLOOKUP(BN107,Расчет!$A$2:$E$582,5,FALSE)="2PS",VLOOKUP(BN107,Расчет!$A$2:$E$582,5,FALSE)="2QL"),IF(OR(VLOOKUP(BN107,Расчет!$A$2:$E$582,2,FALSE)="664W",VLOOKUP(BN107,Расчет!$A$2:$E$582,2,FALSE)="813W"),IF(BN107-$BS$7&gt;150,BN107-$BS$7-1000+$AD$12,BN107-$BS$7+$AD$12),IF(BN107-$BS$7&gt;150,BN107-$BS$7-1000+$AD$17,BN107-$BS$7+$AD$17)),IF(BN107-$BS$7&gt;150,BN107-$BS$7-1000,BN107-$BS$7)),"-"))</f>
        <v>25</v>
      </c>
      <c r="BQ107" s="173">
        <f t="shared" si="36"/>
        <v>11249</v>
      </c>
      <c r="BR107" s="453"/>
      <c r="BS107" s="171"/>
      <c r="BT107" s="464" t="str">
        <f t="shared" si="37"/>
        <v>-</v>
      </c>
      <c r="BU107" s="464">
        <f t="shared" si="38"/>
        <v>25</v>
      </c>
      <c r="BX107" s="204">
        <f>COUNTIF($BY$4:BY107,"&lt;100")</f>
        <v>59</v>
      </c>
      <c r="BY107" s="213" t="str">
        <f t="shared" ref="BY107:BZ138" si="44">AM3</f>
        <v/>
      </c>
      <c r="BZ107" s="216" t="str">
        <f t="shared" si="44"/>
        <v/>
      </c>
      <c r="CA107" s="213" t="e">
        <f t="shared" si="31"/>
        <v>#N/A</v>
      </c>
      <c r="CB107" s="209" t="e">
        <f t="shared" si="32"/>
        <v>#N/A</v>
      </c>
      <c r="CC107" s="205" t="str">
        <f t="shared" si="40"/>
        <v/>
      </c>
      <c r="CD107" s="205" t="str">
        <f t="shared" ref="CD107:CD170" si="45">N3</f>
        <v>-</v>
      </c>
      <c r="CE107" s="350">
        <f>IF(OR(AND($T3="Rich",$G105="Rich"),AND($T3="Rich",$G104="Rich"),AND($U3="TWIN-C",$H105="TWIN-C"),AND($U3="TWIN-C",$H105="4WD",$H104="TWIN-C"),AND($U3="TWIN-C",$G105="Rich",$H104="TWIN-C"),AND(COUNTIF($CG112:$CG115,"Rich")&gt;1,COUNTIF($CG112:$CG115,"Mech")&gt;1),AND($CG115="Sport",COUNTIF($CG110:$CG115,"Sport")&gt;1))=TRUE(),1,0)</f>
        <v>0</v>
      </c>
      <c r="CF107" s="351" t="s">
        <v>951</v>
      </c>
      <c r="CG107" s="81" t="str">
        <f t="shared" si="42"/>
        <v/>
      </c>
    </row>
    <row r="108" spans="1:85" ht="21.75" thickBot="1">
      <c r="N108" s="8"/>
      <c r="O108" s="8"/>
      <c r="AJ108"/>
      <c r="AK108"/>
      <c r="AL108"/>
      <c r="AM108" s="87"/>
      <c r="AN108" s="87"/>
      <c r="AO108" s="14" t="str">
        <f>IF(R5="","",COUNTA($R$3:R5)+$AO$105)</f>
        <v/>
      </c>
      <c r="AP108" s="88" t="str">
        <f>IF(AO108="","",IF(AO108+Расчет!$Y$57+$BD$2-Расчет!$X$57&gt;200,AO108+Расчет!$Y$57+$BD$2-1000,AO108+Расчет!$Y$57+$BD$2))</f>
        <v/>
      </c>
      <c r="BL108" s="172">
        <f>COUNTIF($BM$5:BM108,"&lt;-115")</f>
        <v>0</v>
      </c>
      <c r="BM108" s="154">
        <f>IFERROR(IF(OR(IFERROR(VLOOKUP(BN108,$E$3:$E$105,1,FALSE),"0")=BN108,IFERROR(VLOOKUP(BN108,$R$3:$R$105,1,FALSE),"0")=BN108),BO108,IF(OR(VLOOKUP(BN108,Расчет!A:E,5,FALSE)="2PS",VLOOKUP(BN108,Расчет!A:E,5,FALSE)="2QL"),IF(VLOOKUP(BN108,Расчет!A:B,2,FALSE)="831W",BN108-$BS$7+$AD$17,BN108-$BS$7+$AD$12),BN108-$BS$7)),"-")</f>
        <v>126</v>
      </c>
      <c r="BN108" s="154">
        <f>IF(OR(Расчет!C105="A0",Расчет!C105="P9",Расчет!B105="722W"),"-",Расчет!A105)</f>
        <v>11250</v>
      </c>
      <c r="BO108" s="173">
        <f t="shared" si="39"/>
        <v>0</v>
      </c>
      <c r="BP108" s="172">
        <f>IF(BQ108="-","-",IFERROR(IF(OR(VLOOKUP(BN108,Расчет!$A$2:$E$582,5,FALSE)="2PS",VLOOKUP(BN108,Расчет!$A$2:$E$582,5,FALSE)="2QL"),IF(OR(VLOOKUP(BN108,Расчет!$A$2:$E$582,2,FALSE)="664W",VLOOKUP(BN108,Расчет!$A$2:$E$582,2,FALSE)="813W"),IF(BN108-$BS$7&gt;150,BN108-$BS$7-1000+$AD$12,BN108-$BS$7+$AD$12),IF(BN108-$BS$7&gt;150,BN108-$BS$7-1000+$AD$17,BN108-$BS$7+$AD$17)),IF(BN108-$BS$7&gt;150,BN108-$BS$7-1000,BN108-$BS$7)),"-"))</f>
        <v>126</v>
      </c>
      <c r="BQ108" s="173">
        <f t="shared" si="36"/>
        <v>11250</v>
      </c>
      <c r="BR108" s="453"/>
      <c r="BS108" s="171"/>
      <c r="BT108" s="464" t="str">
        <f t="shared" si="37"/>
        <v>-</v>
      </c>
      <c r="BU108" s="464" t="str">
        <f t="shared" si="38"/>
        <v>-</v>
      </c>
      <c r="BX108" s="204">
        <f>COUNTIF($BY$4:BY108,"&lt;100")</f>
        <v>59</v>
      </c>
      <c r="BY108" s="213" t="str">
        <f t="shared" si="44"/>
        <v/>
      </c>
      <c r="BZ108" s="216" t="str">
        <f t="shared" si="44"/>
        <v/>
      </c>
      <c r="CA108" s="213" t="e">
        <f t="shared" si="31"/>
        <v>#N/A</v>
      </c>
      <c r="CB108" s="209" t="e">
        <f t="shared" si="32"/>
        <v>#N/A</v>
      </c>
      <c r="CC108" s="205" t="str">
        <f t="shared" si="40"/>
        <v/>
      </c>
      <c r="CD108" s="205" t="str">
        <f t="shared" si="45"/>
        <v>-</v>
      </c>
      <c r="CE108" s="336">
        <f>IF(OR(AND($T4="Rich",$T3="Rich"),AND($T4="Rich",$G105="Rich"),AND($U4="TWIN-C",$U3="TWIN-C"),AND($U4="TWIN-C",$U3="4WD",$H105="TWIN-C"),AND($U4="TWIN-C",$T3="Rich",$H105="TWIN-C"),AND(COUNTIF($CG113:$CG116,"Rich")&gt;1,COUNTIF($CG113:$CG116,"Mech")&gt;1),AND($CG116="Sport",COUNTIF($CG111:$CG116,"Sport")&gt;1))=TRUE(),1,0)</f>
        <v>0</v>
      </c>
      <c r="CF108" s="352" t="s">
        <v>951</v>
      </c>
      <c r="CG108" s="81" t="str">
        <f t="shared" si="42"/>
        <v/>
      </c>
    </row>
    <row r="109" spans="1:85" ht="21">
      <c r="N109" s="8"/>
      <c r="O109" s="8"/>
      <c r="AJ109"/>
      <c r="AK109"/>
      <c r="AL109"/>
      <c r="AM109" s="87"/>
      <c r="AN109" s="87"/>
      <c r="AO109" s="14" t="str">
        <f>IF(R6="","",COUNTA($R$3:R6)+$AO$105)</f>
        <v/>
      </c>
      <c r="AP109" s="88" t="str">
        <f>IF(AO109="","",IF(AO109+Расчет!$Y$57+$BD$2-Расчет!$X$57&gt;200,AO109+Расчет!$Y$57+$BD$2-1000,AO109+Расчет!$Y$57+$BD$2))</f>
        <v/>
      </c>
      <c r="BL109" s="172">
        <f>COUNTIF($BM$5:BM109,"&lt;-115")</f>
        <v>0</v>
      </c>
      <c r="BM109" s="154">
        <f>IFERROR(IF(OR(IFERROR(VLOOKUP(BN109,$E$3:$E$105,1,FALSE),"0")=BN109,IFERROR(VLOOKUP(BN109,$R$3:$R$105,1,FALSE),"0")=BN109),BO109,IF(OR(VLOOKUP(BN109,Расчет!A:E,5,FALSE)="2PS",VLOOKUP(BN109,Расчет!A:E,5,FALSE)="2QL"),IF(VLOOKUP(BN109,Расчет!A:B,2,FALSE)="831W",BN109-$BS$7+$AD$17,BN109-$BS$7+$AD$12),BN109-$BS$7)),"-")</f>
        <v>27</v>
      </c>
      <c r="BN109" s="154">
        <f>IF(OR(Расчет!C106="A0",Расчет!C106="P9",Расчет!B106="722W"),"-",Расчет!A106)</f>
        <v>11251</v>
      </c>
      <c r="BO109" s="173">
        <f t="shared" si="39"/>
        <v>0</v>
      </c>
      <c r="BP109" s="172">
        <f>IF(BQ109="-","-",IFERROR(IF(OR(VLOOKUP(BN109,Расчет!$A$2:$E$582,5,FALSE)="2PS",VLOOKUP(BN109,Расчет!$A$2:$E$582,5,FALSE)="2QL"),IF(OR(VLOOKUP(BN109,Расчет!$A$2:$E$582,2,FALSE)="664W",VLOOKUP(BN109,Расчет!$A$2:$E$582,2,FALSE)="813W"),IF(BN109-$BS$7&gt;150,BN109-$BS$7-1000+$AD$12,BN109-$BS$7+$AD$12),IF(BN109-$BS$7&gt;150,BN109-$BS$7-1000+$AD$17,BN109-$BS$7+$AD$17)),IF(BN109-$BS$7&gt;150,BN109-$BS$7-1000,BN109-$BS$7)),"-"))</f>
        <v>27</v>
      </c>
      <c r="BQ109" s="173">
        <f t="shared" si="36"/>
        <v>11251</v>
      </c>
      <c r="BR109" s="453"/>
      <c r="BS109" s="171"/>
      <c r="BT109" s="464" t="str">
        <f t="shared" si="37"/>
        <v>-</v>
      </c>
      <c r="BU109" s="464">
        <f t="shared" si="38"/>
        <v>27</v>
      </c>
      <c r="BX109" s="204">
        <f>COUNTIF($BY$4:BY109,"&lt;100")</f>
        <v>59</v>
      </c>
      <c r="BY109" s="213" t="str">
        <f t="shared" si="44"/>
        <v/>
      </c>
      <c r="BZ109" s="216" t="str">
        <f t="shared" si="44"/>
        <v/>
      </c>
      <c r="CA109" s="213" t="e">
        <f t="shared" si="31"/>
        <v>#N/A</v>
      </c>
      <c r="CB109" s="209" t="e">
        <f t="shared" si="32"/>
        <v>#N/A</v>
      </c>
      <c r="CC109" s="205" t="str">
        <f t="shared" si="40"/>
        <v/>
      </c>
      <c r="CD109" s="205" t="str">
        <f t="shared" si="45"/>
        <v>-</v>
      </c>
      <c r="CE109" s="204">
        <f t="shared" ref="CE109:CE172" si="46">IF(OR(AND($T5="Rich",$T4="Rich"),AND($T5="Rich",$T3="Rich"),AND($U5="TWIN-C",$U4="TWIN-C"),AND($U5="TWIN-C",$U4="4WD",$U3="TWIN-C"),AND($U5="TWIN-C",$T4="Rich",$U3="TWIN-C"),AND(COUNTIF($CG114:$CG117,"Rich")&gt;1,COUNTIF($CG114:$CG117,"Mech")&gt;1),AND($CG117="Sport",COUNTIF($CG112:$CG117,"Sport")&gt;1))=TRUE(),1,0)</f>
        <v>0</v>
      </c>
      <c r="CG109" s="20" t="str">
        <f t="shared" si="42"/>
        <v/>
      </c>
    </row>
    <row r="110" spans="1:85" ht="21">
      <c r="N110" s="8"/>
      <c r="O110" s="8"/>
      <c r="AJ110"/>
      <c r="AK110"/>
      <c r="AL110"/>
      <c r="AM110" s="87"/>
      <c r="AN110" s="87"/>
      <c r="AO110" s="14" t="str">
        <f>IF(R7="","",COUNTA($R$3:R7)+$AO$105)</f>
        <v/>
      </c>
      <c r="AP110" s="88" t="str">
        <f>IF(AO110="","",IF(AO110+Расчет!$Y$57+$BD$2-Расчет!$X$57&gt;200,AO110+Расчет!$Y$57+$BD$2-1000,AO110+Расчет!$Y$57+$BD$2))</f>
        <v/>
      </c>
      <c r="BL110" s="172">
        <f>COUNTIF($BM$5:BM110,"&lt;-115")</f>
        <v>0</v>
      </c>
      <c r="BM110" s="154">
        <f>IFERROR(IF(OR(IFERROR(VLOOKUP(BN110,$E$3:$E$105,1,FALSE),"0")=BN110,IFERROR(VLOOKUP(BN110,$R$3:$R$105,1,FALSE),"0")=BN110),BO110,IF(OR(VLOOKUP(BN110,Расчет!A:E,5,FALSE)="2PS",VLOOKUP(BN110,Расчет!A:E,5,FALSE)="2QL"),IF(VLOOKUP(BN110,Расчет!A:B,2,FALSE)="831W",BN110-$BS$7+$AD$17,BN110-$BS$7+$AD$12),BN110-$BS$7)),"-")</f>
        <v>28</v>
      </c>
      <c r="BN110" s="154">
        <f>IF(OR(Расчет!C107="A0",Расчет!C107="P9",Расчет!B107="722W"),"-",Расчет!A107)</f>
        <v>11252</v>
      </c>
      <c r="BO110" s="173">
        <f t="shared" si="39"/>
        <v>0</v>
      </c>
      <c r="BP110" s="172">
        <f>IF(BQ110="-","-",IFERROR(IF(OR(VLOOKUP(BN110,Расчет!$A$2:$E$582,5,FALSE)="2PS",VLOOKUP(BN110,Расчет!$A$2:$E$582,5,FALSE)="2QL"),IF(OR(VLOOKUP(BN110,Расчет!$A$2:$E$582,2,FALSE)="664W",VLOOKUP(BN110,Расчет!$A$2:$E$582,2,FALSE)="813W"),IF(BN110-$BS$7&gt;150,BN110-$BS$7-1000+$AD$12,BN110-$BS$7+$AD$12),IF(BN110-$BS$7&gt;150,BN110-$BS$7-1000+$AD$17,BN110-$BS$7+$AD$17)),IF(BN110-$BS$7&gt;150,BN110-$BS$7-1000,BN110-$BS$7)),"-"))</f>
        <v>28</v>
      </c>
      <c r="BQ110" s="173">
        <f t="shared" si="36"/>
        <v>11252</v>
      </c>
      <c r="BR110" s="453"/>
      <c r="BS110" s="171"/>
      <c r="BT110" s="464" t="str">
        <f t="shared" si="37"/>
        <v>-</v>
      </c>
      <c r="BU110" s="464">
        <f t="shared" si="38"/>
        <v>28</v>
      </c>
      <c r="BX110" s="204">
        <f>COUNTIF($BY$4:BY110,"&lt;100")</f>
        <v>59</v>
      </c>
      <c r="BY110" s="213" t="str">
        <f t="shared" si="44"/>
        <v/>
      </c>
      <c r="BZ110" s="216" t="str">
        <f t="shared" si="44"/>
        <v/>
      </c>
      <c r="CA110" s="213" t="e">
        <f t="shared" si="31"/>
        <v>#N/A</v>
      </c>
      <c r="CB110" s="209" t="e">
        <f t="shared" si="32"/>
        <v>#N/A</v>
      </c>
      <c r="CC110" s="205" t="str">
        <f t="shared" si="40"/>
        <v/>
      </c>
      <c r="CD110" s="205" t="str">
        <f t="shared" si="45"/>
        <v>-</v>
      </c>
      <c r="CE110" s="204">
        <f t="shared" si="46"/>
        <v>0</v>
      </c>
      <c r="CG110" s="20" t="str">
        <f t="shared" si="42"/>
        <v/>
      </c>
    </row>
    <row r="111" spans="1:85" ht="21">
      <c r="N111" s="8"/>
      <c r="O111" s="8"/>
      <c r="AJ111"/>
      <c r="AK111"/>
      <c r="AL111"/>
      <c r="AM111" s="87"/>
      <c r="AN111" s="87"/>
      <c r="AO111" s="14" t="str">
        <f>IF(R8="","",COUNTA($R$3:R8)+$AO$105)</f>
        <v/>
      </c>
      <c r="AP111" s="88" t="str">
        <f>IF(AO111="","",IF(AO111+Расчет!$Y$57+$BD$2-Расчет!$X$57&gt;200,AO111+Расчет!$Y$57+$BD$2-1000,AO111+Расчет!$Y$57+$BD$2))</f>
        <v/>
      </c>
      <c r="BL111" s="172">
        <f>COUNTIF($BM$5:BM111,"&lt;-115")</f>
        <v>0</v>
      </c>
      <c r="BM111" s="154">
        <f>IFERROR(IF(OR(IFERROR(VLOOKUP(BN111,$E$3:$E$105,1,FALSE),"0")=BN111,IFERROR(VLOOKUP(BN111,$R$3:$R$105,1,FALSE),"0")=BN111),BO111,IF(OR(VLOOKUP(BN111,Расчет!A:E,5,FALSE)="2PS",VLOOKUP(BN111,Расчет!A:E,5,FALSE)="2QL"),IF(VLOOKUP(BN111,Расчет!A:B,2,FALSE)="831W",BN111-$BS$7+$AD$17,BN111-$BS$7+$AD$12),BN111-$BS$7)),"-")</f>
        <v>29</v>
      </c>
      <c r="BN111" s="154">
        <f>IF(OR(Расчет!C108="A0",Расчет!C108="P9",Расчет!B108="722W"),"-",Расчет!A108)</f>
        <v>11253</v>
      </c>
      <c r="BO111" s="173">
        <f t="shared" si="39"/>
        <v>0</v>
      </c>
      <c r="BP111" s="172">
        <f>IF(BQ111="-","-",IFERROR(IF(OR(VLOOKUP(BN111,Расчет!$A$2:$E$582,5,FALSE)="2PS",VLOOKUP(BN111,Расчет!$A$2:$E$582,5,FALSE)="2QL"),IF(OR(VLOOKUP(BN111,Расчет!$A$2:$E$582,2,FALSE)="664W",VLOOKUP(BN111,Расчет!$A$2:$E$582,2,FALSE)="813W"),IF(BN111-$BS$7&gt;150,BN111-$BS$7-1000+$AD$12,BN111-$BS$7+$AD$12),IF(BN111-$BS$7&gt;150,BN111-$BS$7-1000+$AD$17,BN111-$BS$7+$AD$17)),IF(BN111-$BS$7&gt;150,BN111-$BS$7-1000,BN111-$BS$7)),"-"))</f>
        <v>29</v>
      </c>
      <c r="BQ111" s="173">
        <f t="shared" si="36"/>
        <v>11253</v>
      </c>
      <c r="BR111" s="453"/>
      <c r="BS111" s="171"/>
      <c r="BT111" s="464" t="str">
        <f t="shared" si="37"/>
        <v>-</v>
      </c>
      <c r="BU111" s="464">
        <f t="shared" si="38"/>
        <v>29</v>
      </c>
      <c r="BX111" s="204">
        <f>COUNTIF($BY$4:BY111,"&lt;100")</f>
        <v>59</v>
      </c>
      <c r="BY111" s="213" t="str">
        <f t="shared" si="44"/>
        <v/>
      </c>
      <c r="BZ111" s="216" t="str">
        <f t="shared" si="44"/>
        <v/>
      </c>
      <c r="CA111" s="213" t="e">
        <f t="shared" si="31"/>
        <v>#N/A</v>
      </c>
      <c r="CB111" s="209" t="e">
        <f t="shared" si="32"/>
        <v>#N/A</v>
      </c>
      <c r="CC111" s="205" t="str">
        <f t="shared" si="40"/>
        <v/>
      </c>
      <c r="CD111" s="205" t="str">
        <f t="shared" si="45"/>
        <v>-</v>
      </c>
      <c r="CE111" s="204">
        <f t="shared" si="46"/>
        <v>0</v>
      </c>
      <c r="CG111" s="20" t="str">
        <f t="shared" si="42"/>
        <v/>
      </c>
    </row>
    <row r="112" spans="1:85" ht="21">
      <c r="N112" s="8"/>
      <c r="O112" s="8"/>
      <c r="AJ112"/>
      <c r="AK112"/>
      <c r="AL112"/>
      <c r="AM112" s="87"/>
      <c r="AN112" s="87"/>
      <c r="AO112" s="14" t="str">
        <f>IF(R9="","",COUNTA($R$3:R9)+$AO$105)</f>
        <v/>
      </c>
      <c r="AP112" s="88" t="str">
        <f>IF(AO112="","",IF(AO112+Расчет!$Y$57+$BD$2-Расчет!$X$57&gt;200,AO112+Расчет!$Y$57+$BD$2-1000,AO112+Расчет!$Y$57+$BD$2))</f>
        <v/>
      </c>
      <c r="BL112" s="172">
        <f>COUNTIF($BM$5:BM112,"&lt;-115")</f>
        <v>0</v>
      </c>
      <c r="BM112" s="154">
        <f>IFERROR(IF(OR(IFERROR(VLOOKUP(BN112,$E$3:$E$105,1,FALSE),"0")=BN112,IFERROR(VLOOKUP(BN112,$R$3:$R$105,1,FALSE),"0")=BN112),BO112,IF(OR(VLOOKUP(BN112,Расчет!A:E,5,FALSE)="2PS",VLOOKUP(BN112,Расчет!A:E,5,FALSE)="2QL"),IF(VLOOKUP(BN112,Расчет!A:B,2,FALSE)="831W",BN112-$BS$7+$AD$17,BN112-$BS$7+$AD$12),BN112-$BS$7)),"-")</f>
        <v>30</v>
      </c>
      <c r="BN112" s="154">
        <f>IF(OR(Расчет!C109="A0",Расчет!C109="P9",Расчет!B109="722W"),"-",Расчет!A109)</f>
        <v>11254</v>
      </c>
      <c r="BO112" s="173">
        <f t="shared" si="39"/>
        <v>0</v>
      </c>
      <c r="BP112" s="172">
        <f>IF(BQ112="-","-",IFERROR(IF(OR(VLOOKUP(BN112,Расчет!$A$2:$E$582,5,FALSE)="2PS",VLOOKUP(BN112,Расчет!$A$2:$E$582,5,FALSE)="2QL"),IF(OR(VLOOKUP(BN112,Расчет!$A$2:$E$582,2,FALSE)="664W",VLOOKUP(BN112,Расчет!$A$2:$E$582,2,FALSE)="813W"),IF(BN112-$BS$7&gt;150,BN112-$BS$7-1000+$AD$12,BN112-$BS$7+$AD$12),IF(BN112-$BS$7&gt;150,BN112-$BS$7-1000+$AD$17,BN112-$BS$7+$AD$17)),IF(BN112-$BS$7&gt;150,BN112-$BS$7-1000,BN112-$BS$7)),"-"))</f>
        <v>30</v>
      </c>
      <c r="BQ112" s="173">
        <f t="shared" si="36"/>
        <v>11254</v>
      </c>
      <c r="BR112" s="453"/>
      <c r="BS112" s="171"/>
      <c r="BT112" s="464" t="str">
        <f t="shared" si="37"/>
        <v>-</v>
      </c>
      <c r="BU112" s="464">
        <f t="shared" si="38"/>
        <v>30</v>
      </c>
      <c r="BX112" s="204">
        <f>COUNTIF($BY$4:BY112,"&lt;100")</f>
        <v>59</v>
      </c>
      <c r="BY112" s="213" t="str">
        <f t="shared" si="44"/>
        <v/>
      </c>
      <c r="BZ112" s="216" t="str">
        <f t="shared" si="44"/>
        <v/>
      </c>
      <c r="CA112" s="213" t="e">
        <f t="shared" si="31"/>
        <v>#N/A</v>
      </c>
      <c r="CB112" s="209" t="e">
        <f t="shared" si="32"/>
        <v>#N/A</v>
      </c>
      <c r="CC112" s="205" t="str">
        <f t="shared" si="40"/>
        <v/>
      </c>
      <c r="CD112" s="205" t="str">
        <f t="shared" si="45"/>
        <v>-</v>
      </c>
      <c r="CE112" s="204">
        <f t="shared" si="46"/>
        <v>0</v>
      </c>
      <c r="CG112" s="20" t="str">
        <f t="shared" si="42"/>
        <v/>
      </c>
    </row>
    <row r="113" spans="6:86" ht="21">
      <c r="F113" s="8"/>
      <c r="N113" s="8"/>
      <c r="O113" s="8"/>
      <c r="AJ113"/>
      <c r="AK113"/>
      <c r="AL113"/>
      <c r="AM113" s="87"/>
      <c r="AN113" s="87"/>
      <c r="AO113" s="14" t="str">
        <f>IF(R10="","",COUNTA($R$3:R10)+$AO$105)</f>
        <v/>
      </c>
      <c r="AP113" s="88" t="str">
        <f>IF(AO113="","",IF(AO113+Расчет!$Y$57+$BD$2-Расчет!$X$57&gt;200,AO113+Расчет!$Y$57+$BD$2-1000,AO113+Расчет!$Y$57+$BD$2))</f>
        <v/>
      </c>
      <c r="BL113" s="172">
        <f>COUNTIF($BM$5:BM113,"&lt;-115")</f>
        <v>0</v>
      </c>
      <c r="BM113" s="154">
        <f>IFERROR(IF(OR(IFERROR(VLOOKUP(BN113,$E$3:$E$105,1,FALSE),"0")=BN113,IFERROR(VLOOKUP(BN113,$R$3:$R$105,1,FALSE),"0")=BN113),BO113,IF(OR(VLOOKUP(BN113,Расчет!A:E,5,FALSE)="2PS",VLOOKUP(BN113,Расчет!A:E,5,FALSE)="2QL"),IF(VLOOKUP(BN113,Расчет!A:B,2,FALSE)="831W",BN113-$BS$7+$AD$17,BN113-$BS$7+$AD$12),BN113-$BS$7)),"-")</f>
        <v>31</v>
      </c>
      <c r="BN113" s="154">
        <f>IF(OR(Расчет!C110="A0",Расчет!C110="P9",Расчет!B110="722W"),"-",Расчет!A110)</f>
        <v>11255</v>
      </c>
      <c r="BO113" s="173">
        <f t="shared" si="39"/>
        <v>0</v>
      </c>
      <c r="BP113" s="172">
        <f>IF(BQ113="-","-",IFERROR(IF(OR(VLOOKUP(BN113,Расчет!$A$2:$E$582,5,FALSE)="2PS",VLOOKUP(BN113,Расчет!$A$2:$E$582,5,FALSE)="2QL"),IF(OR(VLOOKUP(BN113,Расчет!$A$2:$E$582,2,FALSE)="664W",VLOOKUP(BN113,Расчет!$A$2:$E$582,2,FALSE)="813W"),IF(BN113-$BS$7&gt;150,BN113-$BS$7-1000+$AD$12,BN113-$BS$7+$AD$12),IF(BN113-$BS$7&gt;150,BN113-$BS$7-1000+$AD$17,BN113-$BS$7+$AD$17)),IF(BN113-$BS$7&gt;150,BN113-$BS$7-1000,BN113-$BS$7)),"-"))</f>
        <v>31</v>
      </c>
      <c r="BQ113" s="173">
        <f t="shared" si="36"/>
        <v>11255</v>
      </c>
      <c r="BR113" s="453"/>
      <c r="BS113" s="171"/>
      <c r="BT113" s="464" t="str">
        <f t="shared" si="37"/>
        <v>-</v>
      </c>
      <c r="BU113" s="464" t="str">
        <f t="shared" si="38"/>
        <v>-</v>
      </c>
      <c r="BX113" s="204">
        <f>COUNTIF($BY$4:BY113,"&lt;100")</f>
        <v>59</v>
      </c>
      <c r="BY113" s="213" t="str">
        <f t="shared" si="44"/>
        <v/>
      </c>
      <c r="BZ113" s="216" t="str">
        <f t="shared" si="44"/>
        <v/>
      </c>
      <c r="CA113" s="213" t="e">
        <f t="shared" si="31"/>
        <v>#N/A</v>
      </c>
      <c r="CB113" s="209" t="e">
        <f t="shared" si="32"/>
        <v>#N/A</v>
      </c>
      <c r="CC113" s="205" t="str">
        <f t="shared" si="40"/>
        <v/>
      </c>
      <c r="CD113" s="205" t="str">
        <f t="shared" si="45"/>
        <v>-</v>
      </c>
      <c r="CE113" s="204">
        <f t="shared" si="46"/>
        <v>0</v>
      </c>
      <c r="CG113" s="20" t="str">
        <f t="shared" si="42"/>
        <v/>
      </c>
    </row>
    <row r="114" spans="6:86" ht="21">
      <c r="N114" s="8"/>
      <c r="O114" s="8"/>
      <c r="AJ114"/>
      <c r="AK114"/>
      <c r="AL114"/>
      <c r="AM114" s="87"/>
      <c r="AN114" s="87"/>
      <c r="AO114" s="14" t="str">
        <f>IF(R11="","",COUNTA($R$3:R11)+$AO$105)</f>
        <v/>
      </c>
      <c r="AP114" s="88" t="str">
        <f>IF(AO114="","",IF(AO114+Расчет!$Y$57+$BD$2-Расчет!$X$57&gt;200,AO114+Расчет!$Y$57+$BD$2-1000,AO114+Расчет!$Y$57+$BD$2))</f>
        <v/>
      </c>
      <c r="BL114" s="172">
        <f>COUNTIF($BM$5:BM114,"&lt;-115")</f>
        <v>0</v>
      </c>
      <c r="BM114" s="154">
        <f>IFERROR(IF(OR(IFERROR(VLOOKUP(BN114,$E$3:$E$105,1,FALSE),"0")=BN114,IFERROR(VLOOKUP(BN114,$R$3:$R$105,1,FALSE),"0")=BN114),BO114,IF(OR(VLOOKUP(BN114,Расчет!A:E,5,FALSE)="2PS",VLOOKUP(BN114,Расчет!A:E,5,FALSE)="2QL"),IF(VLOOKUP(BN114,Расчет!A:B,2,FALSE)="831W",BN114-$BS$7+$AD$17,BN114-$BS$7+$AD$12),BN114-$BS$7)),"-")</f>
        <v>32</v>
      </c>
      <c r="BN114" s="154">
        <f>IF(OR(Расчет!C111="A0",Расчет!C111="P9",Расчет!B111="722W"),"-",Расчет!A111)</f>
        <v>11256</v>
      </c>
      <c r="BO114" s="173">
        <f t="shared" si="39"/>
        <v>0</v>
      </c>
      <c r="BP114" s="172">
        <f>IF(BQ114="-","-",IFERROR(IF(OR(VLOOKUP(BN114,Расчет!$A$2:$E$582,5,FALSE)="2PS",VLOOKUP(BN114,Расчет!$A$2:$E$582,5,FALSE)="2QL"),IF(OR(VLOOKUP(BN114,Расчет!$A$2:$E$582,2,FALSE)="664W",VLOOKUP(BN114,Расчет!$A$2:$E$582,2,FALSE)="813W"),IF(BN114-$BS$7&gt;150,BN114-$BS$7-1000+$AD$12,BN114-$BS$7+$AD$12),IF(BN114-$BS$7&gt;150,BN114-$BS$7-1000+$AD$17,BN114-$BS$7+$AD$17)),IF(BN114-$BS$7&gt;150,BN114-$BS$7-1000,BN114-$BS$7)),"-"))</f>
        <v>32</v>
      </c>
      <c r="BQ114" s="173">
        <f t="shared" si="36"/>
        <v>11256</v>
      </c>
      <c r="BR114" s="453"/>
      <c r="BS114" s="171"/>
      <c r="BT114" s="464" t="str">
        <f t="shared" si="37"/>
        <v>-</v>
      </c>
      <c r="BU114" s="464" t="str">
        <f t="shared" si="38"/>
        <v>-</v>
      </c>
      <c r="BX114" s="204">
        <f>COUNTIF($BY$4:BY114,"&lt;100")</f>
        <v>59</v>
      </c>
      <c r="BY114" s="213" t="str">
        <f t="shared" si="44"/>
        <v/>
      </c>
      <c r="BZ114" s="216" t="str">
        <f t="shared" si="44"/>
        <v/>
      </c>
      <c r="CA114" s="213" t="e">
        <f t="shared" si="31"/>
        <v>#N/A</v>
      </c>
      <c r="CB114" s="209" t="e">
        <f t="shared" si="32"/>
        <v>#N/A</v>
      </c>
      <c r="CC114" s="205" t="str">
        <f t="shared" si="40"/>
        <v/>
      </c>
      <c r="CD114" s="205" t="str">
        <f t="shared" si="45"/>
        <v>-</v>
      </c>
      <c r="CE114" s="204">
        <f t="shared" si="46"/>
        <v>0</v>
      </c>
      <c r="CG114" s="20" t="str">
        <f t="shared" si="42"/>
        <v/>
      </c>
    </row>
    <row r="115" spans="6:86" ht="21">
      <c r="N115" s="8"/>
      <c r="O115" s="8"/>
      <c r="AJ115"/>
      <c r="AK115"/>
      <c r="AL115"/>
      <c r="AM115" s="87"/>
      <c r="AN115" s="87"/>
      <c r="AO115" s="14" t="str">
        <f>IF(R12="","",COUNTA($R$3:R12)+$AO$105)</f>
        <v/>
      </c>
      <c r="AP115" s="88" t="str">
        <f>IF(AO115="","",IF(AO115+Расчет!$Y$57+$BD$2-Расчет!$X$57&gt;200,AO115+Расчет!$Y$57+$BD$2-1000,AO115+Расчет!$Y$57+$BD$2))</f>
        <v/>
      </c>
      <c r="BL115" s="172">
        <f>COUNTIF($BM$5:BM115,"&lt;-115")</f>
        <v>0</v>
      </c>
      <c r="BM115" s="154">
        <f>IFERROR(IF(OR(IFERROR(VLOOKUP(BN115,$E$3:$E$105,1,FALSE),"0")=BN115,IFERROR(VLOOKUP(BN115,$R$3:$R$105,1,FALSE),"0")=BN115),BO115,IF(OR(VLOOKUP(BN115,Расчет!A:E,5,FALSE)="2PS",VLOOKUP(BN115,Расчет!A:E,5,FALSE)="2QL"),IF(VLOOKUP(BN115,Расчет!A:B,2,FALSE)="831W",BN115-$BS$7+$AD$17,BN115-$BS$7+$AD$12),BN115-$BS$7)),"-")</f>
        <v>33</v>
      </c>
      <c r="BN115" s="154">
        <f>IF(OR(Расчет!C112="A0",Расчет!C112="P9",Расчет!B112="722W"),"-",Расчет!A112)</f>
        <v>11257</v>
      </c>
      <c r="BO115" s="173">
        <f t="shared" si="39"/>
        <v>0</v>
      </c>
      <c r="BP115" s="172">
        <f>IF(BQ115="-","-",IFERROR(IF(OR(VLOOKUP(BN115,Расчет!$A$2:$E$582,5,FALSE)="2PS",VLOOKUP(BN115,Расчет!$A$2:$E$582,5,FALSE)="2QL"),IF(OR(VLOOKUP(BN115,Расчет!$A$2:$E$582,2,FALSE)="664W",VLOOKUP(BN115,Расчет!$A$2:$E$582,2,FALSE)="813W"),IF(BN115-$BS$7&gt;150,BN115-$BS$7-1000+$AD$12,BN115-$BS$7+$AD$12),IF(BN115-$BS$7&gt;150,BN115-$BS$7-1000+$AD$17,BN115-$BS$7+$AD$17)),IF(BN115-$BS$7&gt;150,BN115-$BS$7-1000,BN115-$BS$7)),"-"))</f>
        <v>33</v>
      </c>
      <c r="BQ115" s="173">
        <f t="shared" si="36"/>
        <v>11257</v>
      </c>
      <c r="BR115" s="453"/>
      <c r="BS115" s="171"/>
      <c r="BT115" s="464" t="str">
        <f t="shared" si="37"/>
        <v>-</v>
      </c>
      <c r="BU115" s="464" t="str">
        <f t="shared" si="38"/>
        <v>-</v>
      </c>
      <c r="BX115" s="204">
        <f>COUNTIF($BY$4:BY115,"&lt;100")</f>
        <v>59</v>
      </c>
      <c r="BY115" s="213" t="str">
        <f t="shared" si="44"/>
        <v/>
      </c>
      <c r="BZ115" s="216" t="str">
        <f t="shared" si="44"/>
        <v/>
      </c>
      <c r="CA115" s="213" t="e">
        <f t="shared" si="31"/>
        <v>#N/A</v>
      </c>
      <c r="CB115" s="209" t="e">
        <f t="shared" si="32"/>
        <v>#N/A</v>
      </c>
      <c r="CC115" s="205" t="str">
        <f t="shared" si="40"/>
        <v/>
      </c>
      <c r="CD115" s="205" t="str">
        <f t="shared" si="45"/>
        <v>-</v>
      </c>
      <c r="CE115" s="204">
        <f t="shared" si="46"/>
        <v>0</v>
      </c>
      <c r="CG115" s="20" t="str">
        <f t="shared" ref="CG115:CG178" si="47">T3</f>
        <v/>
      </c>
      <c r="CH115" s="360"/>
    </row>
    <row r="116" spans="6:86" ht="21">
      <c r="N116" s="8"/>
      <c r="O116" s="8"/>
      <c r="AJ116"/>
      <c r="AK116"/>
      <c r="AL116"/>
      <c r="AM116" s="87"/>
      <c r="AN116" s="87"/>
      <c r="AO116" s="14" t="str">
        <f>IF(R13="","",COUNTA($R$3:R13)+$AO$105)</f>
        <v/>
      </c>
      <c r="AP116" s="88" t="str">
        <f>IF(AO116="","",IF(AO116+Расчет!$Y$57+$BD$2-Расчет!$X$57&gt;200,AO116+Расчет!$Y$57+$BD$2-1000,AO116+Расчет!$Y$57+$BD$2))</f>
        <v/>
      </c>
      <c r="BL116" s="172">
        <f>COUNTIF($BM$5:BM116,"&lt;-115")</f>
        <v>0</v>
      </c>
      <c r="BM116" s="154">
        <f>IFERROR(IF(OR(IFERROR(VLOOKUP(BN116,$E$3:$E$105,1,FALSE),"0")=BN116,IFERROR(VLOOKUP(BN116,$R$3:$R$105,1,FALSE),"0")=BN116),BO116,IF(OR(VLOOKUP(BN116,Расчет!A:E,5,FALSE)="2PS",VLOOKUP(BN116,Расчет!A:E,5,FALSE)="2QL"),IF(VLOOKUP(BN116,Расчет!A:B,2,FALSE)="831W",BN116-$BS$7+$AD$17,BN116-$BS$7+$AD$12),BN116-$BS$7)),"-")</f>
        <v>34</v>
      </c>
      <c r="BN116" s="154">
        <f>IF(OR(Расчет!C113="A0",Расчет!C113="P9",Расчет!B113="722W"),"-",Расчет!A113)</f>
        <v>11258</v>
      </c>
      <c r="BO116" s="173">
        <f t="shared" si="39"/>
        <v>0</v>
      </c>
      <c r="BP116" s="172">
        <f>IF(BQ116="-","-",IFERROR(IF(OR(VLOOKUP(BN116,Расчет!$A$2:$E$582,5,FALSE)="2PS",VLOOKUP(BN116,Расчет!$A$2:$E$582,5,FALSE)="2QL"),IF(OR(VLOOKUP(BN116,Расчет!$A$2:$E$582,2,FALSE)="664W",VLOOKUP(BN116,Расчет!$A$2:$E$582,2,FALSE)="813W"),IF(BN116-$BS$7&gt;150,BN116-$BS$7-1000+$AD$12,BN116-$BS$7+$AD$12),IF(BN116-$BS$7&gt;150,BN116-$BS$7-1000+$AD$17,BN116-$BS$7+$AD$17)),IF(BN116-$BS$7&gt;150,BN116-$BS$7-1000,BN116-$BS$7)),"-"))</f>
        <v>34</v>
      </c>
      <c r="BQ116" s="173">
        <f t="shared" si="36"/>
        <v>11258</v>
      </c>
      <c r="BR116" s="453"/>
      <c r="BS116" s="171"/>
      <c r="BT116" s="464" t="str">
        <f t="shared" si="37"/>
        <v>-</v>
      </c>
      <c r="BU116" s="464" t="str">
        <f t="shared" si="38"/>
        <v>-</v>
      </c>
      <c r="BX116" s="204">
        <f>COUNTIF($BY$4:BY116,"&lt;100")</f>
        <v>59</v>
      </c>
      <c r="BY116" s="213" t="str">
        <f t="shared" si="44"/>
        <v/>
      </c>
      <c r="BZ116" s="216" t="str">
        <f t="shared" si="44"/>
        <v/>
      </c>
      <c r="CA116" s="213" t="e">
        <f t="shared" si="31"/>
        <v>#N/A</v>
      </c>
      <c r="CB116" s="209" t="e">
        <f t="shared" si="32"/>
        <v>#N/A</v>
      </c>
      <c r="CC116" s="205" t="str">
        <f t="shared" si="40"/>
        <v/>
      </c>
      <c r="CD116" s="205" t="str">
        <f t="shared" si="45"/>
        <v>-</v>
      </c>
      <c r="CE116" s="204">
        <f t="shared" si="46"/>
        <v>0</v>
      </c>
      <c r="CG116" s="20" t="str">
        <f t="shared" si="47"/>
        <v/>
      </c>
    </row>
    <row r="117" spans="6:86" ht="21">
      <c r="N117" s="8"/>
      <c r="O117" s="8"/>
      <c r="AJ117"/>
      <c r="AK117"/>
      <c r="AL117"/>
      <c r="AM117" s="87"/>
      <c r="AN117" s="87"/>
      <c r="AO117" s="14" t="str">
        <f>IF(R14="","",COUNTA($R$3:R14)+$AO$105)</f>
        <v/>
      </c>
      <c r="AP117" s="88" t="str">
        <f>IF(AO117="","",IF(AO117+Расчет!$Y$57+$BD$2-Расчет!$X$57&gt;200,AO117+Расчет!$Y$57+$BD$2-1000,AO117+Расчет!$Y$57+$BD$2))</f>
        <v/>
      </c>
      <c r="BL117" s="172">
        <f>COUNTIF($BM$5:BM117,"&lt;-115")</f>
        <v>0</v>
      </c>
      <c r="BM117" s="154">
        <f>IFERROR(IF(OR(IFERROR(VLOOKUP(BN117,$E$3:$E$105,1,FALSE),"0")=BN117,IFERROR(VLOOKUP(BN117,$R$3:$R$105,1,FALSE),"0")=BN117),BO117,IF(OR(VLOOKUP(BN117,Расчет!A:E,5,FALSE)="2PS",VLOOKUP(BN117,Расчет!A:E,5,FALSE)="2QL"),IF(VLOOKUP(BN117,Расчет!A:B,2,FALSE)="831W",BN117-$BS$7+$AD$17,BN117-$BS$7+$AD$12),BN117-$BS$7)),"-")</f>
        <v>35</v>
      </c>
      <c r="BN117" s="154">
        <f>IF(OR(Расчет!C114="A0",Расчет!C114="P9",Расчет!B114="722W"),"-",Расчет!A114)</f>
        <v>11259</v>
      </c>
      <c r="BO117" s="173">
        <f t="shared" si="39"/>
        <v>0</v>
      </c>
      <c r="BP117" s="172">
        <f>IF(BQ117="-","-",IFERROR(IF(OR(VLOOKUP(BN117,Расчет!$A$2:$E$582,5,FALSE)="2PS",VLOOKUP(BN117,Расчет!$A$2:$E$582,5,FALSE)="2QL"),IF(OR(VLOOKUP(BN117,Расчет!$A$2:$E$582,2,FALSE)="664W",VLOOKUP(BN117,Расчет!$A$2:$E$582,2,FALSE)="813W"),IF(BN117-$BS$7&gt;150,BN117-$BS$7-1000+$AD$12,BN117-$BS$7+$AD$12),IF(BN117-$BS$7&gt;150,BN117-$BS$7-1000+$AD$17,BN117-$BS$7+$AD$17)),IF(BN117-$BS$7&gt;150,BN117-$BS$7-1000,BN117-$BS$7)),"-"))</f>
        <v>35</v>
      </c>
      <c r="BQ117" s="173">
        <f t="shared" si="36"/>
        <v>11259</v>
      </c>
      <c r="BR117" s="453"/>
      <c r="BS117" s="171"/>
      <c r="BT117" s="464" t="str">
        <f t="shared" si="37"/>
        <v>-</v>
      </c>
      <c r="BU117" s="464" t="str">
        <f t="shared" si="38"/>
        <v>-</v>
      </c>
      <c r="BX117" s="204">
        <f>COUNTIF($BY$4:BY117,"&lt;100")</f>
        <v>59</v>
      </c>
      <c r="BY117" s="213" t="str">
        <f t="shared" si="44"/>
        <v/>
      </c>
      <c r="BZ117" s="216" t="str">
        <f t="shared" si="44"/>
        <v/>
      </c>
      <c r="CA117" s="213" t="e">
        <f t="shared" si="31"/>
        <v>#N/A</v>
      </c>
      <c r="CB117" s="209" t="e">
        <f t="shared" si="32"/>
        <v>#N/A</v>
      </c>
      <c r="CC117" s="205" t="str">
        <f t="shared" si="40"/>
        <v/>
      </c>
      <c r="CD117" s="205" t="str">
        <f t="shared" si="45"/>
        <v>-</v>
      </c>
      <c r="CE117" s="204">
        <f t="shared" si="46"/>
        <v>0</v>
      </c>
      <c r="CG117" s="20" t="str">
        <f t="shared" si="47"/>
        <v/>
      </c>
    </row>
    <row r="118" spans="6:86" ht="21">
      <c r="N118" s="8"/>
      <c r="O118" s="8"/>
      <c r="AJ118"/>
      <c r="AK118"/>
      <c r="AL118"/>
      <c r="AM118" s="87"/>
      <c r="AN118" s="87"/>
      <c r="AO118" s="14" t="str">
        <f>IF(R15="","",COUNTA($R$3:R15)+$AO$105)</f>
        <v/>
      </c>
      <c r="AP118" s="88" t="str">
        <f>IF(AO118="","",IF(AO118+Расчет!$Y$57+$BD$2-Расчет!$X$57&gt;200,AO118+Расчет!$Y$57+$BD$2-1000,AO118+Расчет!$Y$57+$BD$2))</f>
        <v/>
      </c>
      <c r="BL118" s="172">
        <f>COUNTIF($BM$5:BM118,"&lt;-115")</f>
        <v>0</v>
      </c>
      <c r="BM118" s="154">
        <f>IFERROR(IF(OR(IFERROR(VLOOKUP(BN118,$E$3:$E$105,1,FALSE),"0")=BN118,IFERROR(VLOOKUP(BN118,$R$3:$R$105,1,FALSE),"0")=BN118),BO118,IF(OR(VLOOKUP(BN118,Расчет!A:E,5,FALSE)="2PS",VLOOKUP(BN118,Расчет!A:E,5,FALSE)="2QL"),IF(VLOOKUP(BN118,Расчет!A:B,2,FALSE)="831W",BN118-$BS$7+$AD$17,BN118-$BS$7+$AD$12),BN118-$BS$7)),"-")</f>
        <v>36</v>
      </c>
      <c r="BN118" s="154">
        <f>IF(OR(Расчет!C115="A0",Расчет!C115="P9",Расчет!B115="722W"),"-",Расчет!A115)</f>
        <v>11260</v>
      </c>
      <c r="BO118" s="173">
        <f t="shared" si="39"/>
        <v>0</v>
      </c>
      <c r="BP118" s="172">
        <f>IF(BQ118="-","-",IFERROR(IF(OR(VLOOKUP(BN118,Расчет!$A$2:$E$582,5,FALSE)="2PS",VLOOKUP(BN118,Расчет!$A$2:$E$582,5,FALSE)="2QL"),IF(OR(VLOOKUP(BN118,Расчет!$A$2:$E$582,2,FALSE)="664W",VLOOKUP(BN118,Расчет!$A$2:$E$582,2,FALSE)="813W"),IF(BN118-$BS$7&gt;150,BN118-$BS$7-1000+$AD$12,BN118-$BS$7+$AD$12),IF(BN118-$BS$7&gt;150,BN118-$BS$7-1000+$AD$17,BN118-$BS$7+$AD$17)),IF(BN118-$BS$7&gt;150,BN118-$BS$7-1000,BN118-$BS$7)),"-"))</f>
        <v>36</v>
      </c>
      <c r="BQ118" s="173">
        <f t="shared" si="36"/>
        <v>11260</v>
      </c>
      <c r="BR118" s="453"/>
      <c r="BS118" s="171"/>
      <c r="BT118" s="464" t="str">
        <f t="shared" si="37"/>
        <v>-</v>
      </c>
      <c r="BU118" s="464" t="str">
        <f t="shared" si="38"/>
        <v>-</v>
      </c>
      <c r="BX118" s="204">
        <f>COUNTIF($BY$4:BY118,"&lt;100")</f>
        <v>59</v>
      </c>
      <c r="BY118" s="213" t="str">
        <f t="shared" si="44"/>
        <v/>
      </c>
      <c r="BZ118" s="216" t="str">
        <f t="shared" si="44"/>
        <v/>
      </c>
      <c r="CA118" s="213" t="e">
        <f t="shared" si="31"/>
        <v>#N/A</v>
      </c>
      <c r="CB118" s="209" t="e">
        <f t="shared" si="32"/>
        <v>#N/A</v>
      </c>
      <c r="CC118" s="205" t="str">
        <f t="shared" si="40"/>
        <v/>
      </c>
      <c r="CD118" s="205" t="str">
        <f t="shared" si="45"/>
        <v>-</v>
      </c>
      <c r="CE118" s="204">
        <f t="shared" si="46"/>
        <v>0</v>
      </c>
      <c r="CG118" s="20" t="str">
        <f t="shared" si="47"/>
        <v/>
      </c>
    </row>
    <row r="119" spans="6:86" ht="21">
      <c r="N119" s="8"/>
      <c r="O119" s="8"/>
      <c r="AJ119"/>
      <c r="AK119"/>
      <c r="AL119"/>
      <c r="AM119" s="87"/>
      <c r="AN119" s="87"/>
      <c r="AO119" s="14" t="str">
        <f>IF(R16="","",COUNTA($R$3:R16)+$AO$105)</f>
        <v/>
      </c>
      <c r="AP119" s="88" t="str">
        <f>IF(AO119="","",IF(AO119+Расчет!$Y$57+$BD$2-Расчет!$X$57&gt;200,AO119+Расчет!$Y$57+$BD$2-1000,AO119+Расчет!$Y$57+$BD$2))</f>
        <v/>
      </c>
      <c r="BL119" s="172">
        <f>COUNTIF($BM$5:BM119,"&lt;-115")</f>
        <v>0</v>
      </c>
      <c r="BM119" s="154">
        <f>IFERROR(IF(OR(IFERROR(VLOOKUP(BN119,$E$3:$E$105,1,FALSE),"0")=BN119,IFERROR(VLOOKUP(BN119,$R$3:$R$105,1,FALSE),"0")=BN119),BO119,IF(OR(VLOOKUP(BN119,Расчет!A:E,5,FALSE)="2PS",VLOOKUP(BN119,Расчет!A:E,5,FALSE)="2QL"),IF(VLOOKUP(BN119,Расчет!A:B,2,FALSE)="831W",BN119-$BS$7+$AD$17,BN119-$BS$7+$AD$12),BN119-$BS$7)),"-")</f>
        <v>137</v>
      </c>
      <c r="BN119" s="154">
        <f>IF(OR(Расчет!C116="A0",Расчет!C116="P9",Расчет!B116="722W"),"-",Расчет!A116)</f>
        <v>11261</v>
      </c>
      <c r="BO119" s="173">
        <f t="shared" si="39"/>
        <v>0</v>
      </c>
      <c r="BP119" s="172">
        <f>IF(BQ119="-","-",IFERROR(IF(OR(VLOOKUP(BN119,Расчет!$A$2:$E$582,5,FALSE)="2PS",VLOOKUP(BN119,Расчет!$A$2:$E$582,5,FALSE)="2QL"),IF(OR(VLOOKUP(BN119,Расчет!$A$2:$E$582,2,FALSE)="664W",VLOOKUP(BN119,Расчет!$A$2:$E$582,2,FALSE)="813W"),IF(BN119-$BS$7&gt;150,BN119-$BS$7-1000+$AD$12,BN119-$BS$7+$AD$12),IF(BN119-$BS$7&gt;150,BN119-$BS$7-1000+$AD$17,BN119-$BS$7+$AD$17)),IF(BN119-$BS$7&gt;150,BN119-$BS$7-1000,BN119-$BS$7)),"-"))</f>
        <v>137</v>
      </c>
      <c r="BQ119" s="173">
        <f t="shared" si="36"/>
        <v>11261</v>
      </c>
      <c r="BR119" s="453"/>
      <c r="BS119" s="171"/>
      <c r="BT119" s="464" t="str">
        <f t="shared" si="37"/>
        <v>-</v>
      </c>
      <c r="BU119" s="464" t="str">
        <f t="shared" si="38"/>
        <v>-</v>
      </c>
      <c r="BX119" s="204">
        <f>COUNTIF($BY$4:BY119,"&lt;100")</f>
        <v>59</v>
      </c>
      <c r="BY119" s="213" t="str">
        <f t="shared" si="44"/>
        <v/>
      </c>
      <c r="BZ119" s="216" t="str">
        <f t="shared" si="44"/>
        <v/>
      </c>
      <c r="CA119" s="213" t="e">
        <f t="shared" si="31"/>
        <v>#N/A</v>
      </c>
      <c r="CB119" s="209" t="e">
        <f t="shared" si="32"/>
        <v>#N/A</v>
      </c>
      <c r="CC119" s="205" t="str">
        <f t="shared" si="40"/>
        <v/>
      </c>
      <c r="CD119" s="205" t="str">
        <f t="shared" si="45"/>
        <v>-</v>
      </c>
      <c r="CE119" s="204">
        <f t="shared" si="46"/>
        <v>0</v>
      </c>
      <c r="CG119" s="20" t="str">
        <f t="shared" si="47"/>
        <v/>
      </c>
    </row>
    <row r="120" spans="6:86" ht="21">
      <c r="N120" s="8"/>
      <c r="O120" s="8"/>
      <c r="AJ120"/>
      <c r="AK120"/>
      <c r="AL120"/>
      <c r="AM120" s="87"/>
      <c r="AN120" s="87"/>
      <c r="AO120" s="14" t="str">
        <f>IF(R17="","",COUNTA($R$3:R17)+$AO$105)</f>
        <v/>
      </c>
      <c r="AP120" s="88" t="str">
        <f>IF(AO120="","",IF(AO120+Расчет!$Y$57+$BD$2-Расчет!$X$57&gt;200,AO120+Расчет!$Y$57+$BD$2-1000,AO120+Расчет!$Y$57+$BD$2))</f>
        <v/>
      </c>
      <c r="BL120" s="172">
        <f>COUNTIF($BM$5:BM120,"&lt;-115")</f>
        <v>0</v>
      </c>
      <c r="BM120" s="154">
        <f>IFERROR(IF(OR(IFERROR(VLOOKUP(BN120,$E$3:$E$105,1,FALSE),"0")=BN120,IFERROR(VLOOKUP(BN120,$R$3:$R$105,1,FALSE),"0")=BN120),BO120,IF(OR(VLOOKUP(BN120,Расчет!A:E,5,FALSE)="2PS",VLOOKUP(BN120,Расчет!A:E,5,FALSE)="2QL"),IF(VLOOKUP(BN120,Расчет!A:B,2,FALSE)="831W",BN120-$BS$7+$AD$17,BN120-$BS$7+$AD$12),BN120-$BS$7)),"-")</f>
        <v>38</v>
      </c>
      <c r="BN120" s="154">
        <f>IF(OR(Расчет!C117="A0",Расчет!C117="P9",Расчет!B117="722W"),"-",Расчет!A117)</f>
        <v>11262</v>
      </c>
      <c r="BO120" s="173">
        <f t="shared" si="39"/>
        <v>0</v>
      </c>
      <c r="BP120" s="172">
        <f>IF(BQ120="-","-",IFERROR(IF(OR(VLOOKUP(BN120,Расчет!$A$2:$E$582,5,FALSE)="2PS",VLOOKUP(BN120,Расчет!$A$2:$E$582,5,FALSE)="2QL"),IF(OR(VLOOKUP(BN120,Расчет!$A$2:$E$582,2,FALSE)="664W",VLOOKUP(BN120,Расчет!$A$2:$E$582,2,FALSE)="813W"),IF(BN120-$BS$7&gt;150,BN120-$BS$7-1000+$AD$12,BN120-$BS$7+$AD$12),IF(BN120-$BS$7&gt;150,BN120-$BS$7-1000+$AD$17,BN120-$BS$7+$AD$17)),IF(BN120-$BS$7&gt;150,BN120-$BS$7-1000,BN120-$BS$7)),"-"))</f>
        <v>38</v>
      </c>
      <c r="BQ120" s="173">
        <f t="shared" si="36"/>
        <v>11262</v>
      </c>
      <c r="BR120" s="453"/>
      <c r="BS120" s="171"/>
      <c r="BT120" s="464" t="str">
        <f t="shared" si="37"/>
        <v>-</v>
      </c>
      <c r="BU120" s="464" t="str">
        <f t="shared" si="38"/>
        <v>-</v>
      </c>
      <c r="BX120" s="204">
        <f>COUNTIF($BY$4:BY120,"&lt;100")</f>
        <v>59</v>
      </c>
      <c r="BY120" s="213" t="str">
        <f t="shared" si="44"/>
        <v/>
      </c>
      <c r="BZ120" s="216" t="str">
        <f t="shared" si="44"/>
        <v/>
      </c>
      <c r="CA120" s="213" t="e">
        <f t="shared" si="31"/>
        <v>#N/A</v>
      </c>
      <c r="CB120" s="209" t="e">
        <f t="shared" si="32"/>
        <v>#N/A</v>
      </c>
      <c r="CC120" s="205" t="str">
        <f t="shared" si="40"/>
        <v/>
      </c>
      <c r="CD120" s="205" t="str">
        <f t="shared" si="45"/>
        <v>-</v>
      </c>
      <c r="CE120" s="204">
        <f t="shared" si="46"/>
        <v>0</v>
      </c>
      <c r="CG120" s="20" t="str">
        <f t="shared" si="47"/>
        <v/>
      </c>
    </row>
    <row r="121" spans="6:86" ht="21">
      <c r="N121" s="8"/>
      <c r="O121" s="8"/>
      <c r="AJ121"/>
      <c r="AK121"/>
      <c r="AL121"/>
      <c r="AM121" s="87"/>
      <c r="AN121" s="87"/>
      <c r="AO121" s="14" t="str">
        <f>IF(R18="","",COUNTA($R$3:R18)+$AO$105)</f>
        <v/>
      </c>
      <c r="AP121" s="88" t="str">
        <f>IF(AO121="","",IF(AO121+Расчет!$Y$57+$BD$2-Расчет!$X$57&gt;200,AO121+Расчет!$Y$57+$BD$2-1000,AO121+Расчет!$Y$57+$BD$2))</f>
        <v/>
      </c>
      <c r="BL121" s="172">
        <f>COUNTIF($BM$5:BM121,"&lt;-115")</f>
        <v>0</v>
      </c>
      <c r="BM121" s="154">
        <f>IFERROR(IF(OR(IFERROR(VLOOKUP(BN121,$E$3:$E$105,1,FALSE),"0")=BN121,IFERROR(VLOOKUP(BN121,$R$3:$R$105,1,FALSE),"0")=BN121),BO121,IF(OR(VLOOKUP(BN121,Расчет!A:E,5,FALSE)="2PS",VLOOKUP(BN121,Расчет!A:E,5,FALSE)="2QL"),IF(VLOOKUP(BN121,Расчет!A:B,2,FALSE)="831W",BN121-$BS$7+$AD$17,BN121-$BS$7+$AD$12),BN121-$BS$7)),"-")</f>
        <v>39</v>
      </c>
      <c r="BN121" s="154">
        <f>IF(OR(Расчет!C118="A0",Расчет!C118="P9",Расчет!B118="722W"),"-",Расчет!A118)</f>
        <v>11263</v>
      </c>
      <c r="BO121" s="173">
        <f t="shared" si="39"/>
        <v>0</v>
      </c>
      <c r="BP121" s="172">
        <f>IF(BQ121="-","-",IFERROR(IF(OR(VLOOKUP(BN121,Расчет!$A$2:$E$582,5,FALSE)="2PS",VLOOKUP(BN121,Расчет!$A$2:$E$582,5,FALSE)="2QL"),IF(OR(VLOOKUP(BN121,Расчет!$A$2:$E$582,2,FALSE)="664W",VLOOKUP(BN121,Расчет!$A$2:$E$582,2,FALSE)="813W"),IF(BN121-$BS$7&gt;150,BN121-$BS$7-1000+$AD$12,BN121-$BS$7+$AD$12),IF(BN121-$BS$7&gt;150,BN121-$BS$7-1000+$AD$17,BN121-$BS$7+$AD$17)),IF(BN121-$BS$7&gt;150,BN121-$BS$7-1000,BN121-$BS$7)),"-"))</f>
        <v>39</v>
      </c>
      <c r="BQ121" s="173">
        <f t="shared" si="36"/>
        <v>11263</v>
      </c>
      <c r="BR121" s="453"/>
      <c r="BS121" s="171"/>
      <c r="BT121" s="464" t="str">
        <f t="shared" si="37"/>
        <v>-</v>
      </c>
      <c r="BU121" s="464" t="str">
        <f t="shared" si="38"/>
        <v>-</v>
      </c>
      <c r="BX121" s="204">
        <f>COUNTIF($BY$4:BY121,"&lt;100")</f>
        <v>59</v>
      </c>
      <c r="BY121" s="213" t="str">
        <f t="shared" si="44"/>
        <v/>
      </c>
      <c r="BZ121" s="216" t="str">
        <f t="shared" si="44"/>
        <v/>
      </c>
      <c r="CA121" s="213" t="e">
        <f t="shared" si="31"/>
        <v>#N/A</v>
      </c>
      <c r="CB121" s="209" t="e">
        <f t="shared" si="32"/>
        <v>#N/A</v>
      </c>
      <c r="CC121" s="205" t="str">
        <f t="shared" si="40"/>
        <v/>
      </c>
      <c r="CD121" s="205" t="str">
        <f t="shared" si="45"/>
        <v>-</v>
      </c>
      <c r="CE121" s="204">
        <f t="shared" si="46"/>
        <v>0</v>
      </c>
      <c r="CG121" s="20" t="str">
        <f t="shared" si="47"/>
        <v/>
      </c>
    </row>
    <row r="122" spans="6:86" ht="21">
      <c r="N122" s="8"/>
      <c r="O122" s="8"/>
      <c r="AJ122"/>
      <c r="AK122"/>
      <c r="AL122"/>
      <c r="AM122" s="87"/>
      <c r="AN122" s="87"/>
      <c r="AO122" s="14" t="str">
        <f>IF(R19="","",COUNTA($R$3:R19)+$AO$105)</f>
        <v/>
      </c>
      <c r="AP122" s="88" t="str">
        <f>IF(AO122="","",IF(AO122+Расчет!$Y$57+$BD$2-Расчет!$X$57&gt;200,AO122+Расчет!$Y$57+$BD$2-1000,AO122+Расчет!$Y$57+$BD$2))</f>
        <v/>
      </c>
      <c r="BL122" s="172">
        <f>COUNTIF($BM$5:BM122,"&lt;-115")</f>
        <v>0</v>
      </c>
      <c r="BM122" s="154">
        <f>IFERROR(IF(OR(IFERROR(VLOOKUP(BN122,$E$3:$E$105,1,FALSE),"0")=BN122,IFERROR(VLOOKUP(BN122,$R$3:$R$105,1,FALSE),"0")=BN122),BO122,IF(OR(VLOOKUP(BN122,Расчет!A:E,5,FALSE)="2PS",VLOOKUP(BN122,Расчет!A:E,5,FALSE)="2QL"),IF(VLOOKUP(BN122,Расчет!A:B,2,FALSE)="831W",BN122-$BS$7+$AD$17,BN122-$BS$7+$AD$12),BN122-$BS$7)),"-")</f>
        <v>40</v>
      </c>
      <c r="BN122" s="154">
        <f>IF(OR(Расчет!C119="A0",Расчет!C119="P9",Расчет!B119="722W"),"-",Расчет!A119)</f>
        <v>11264</v>
      </c>
      <c r="BO122" s="173">
        <f t="shared" si="39"/>
        <v>0</v>
      </c>
      <c r="BP122" s="172">
        <f>IF(BQ122="-","-",IFERROR(IF(OR(VLOOKUP(BN122,Расчет!$A$2:$E$582,5,FALSE)="2PS",VLOOKUP(BN122,Расчет!$A$2:$E$582,5,FALSE)="2QL"),IF(OR(VLOOKUP(BN122,Расчет!$A$2:$E$582,2,FALSE)="664W",VLOOKUP(BN122,Расчет!$A$2:$E$582,2,FALSE)="813W"),IF(BN122-$BS$7&gt;150,BN122-$BS$7-1000+$AD$12,BN122-$BS$7+$AD$12),IF(BN122-$BS$7&gt;150,BN122-$BS$7-1000+$AD$17,BN122-$BS$7+$AD$17)),IF(BN122-$BS$7&gt;150,BN122-$BS$7-1000,BN122-$BS$7)),"-"))</f>
        <v>40</v>
      </c>
      <c r="BQ122" s="173">
        <f t="shared" si="36"/>
        <v>11264</v>
      </c>
      <c r="BR122" s="453"/>
      <c r="BS122" s="171"/>
      <c r="BT122" s="464" t="str">
        <f t="shared" si="37"/>
        <v>-</v>
      </c>
      <c r="BU122" s="464" t="str">
        <f t="shared" si="38"/>
        <v>-</v>
      </c>
      <c r="BX122" s="204">
        <f>COUNTIF($BY$4:BY122,"&lt;100")</f>
        <v>59</v>
      </c>
      <c r="BY122" s="213" t="str">
        <f t="shared" si="44"/>
        <v/>
      </c>
      <c r="BZ122" s="216" t="str">
        <f t="shared" si="44"/>
        <v/>
      </c>
      <c r="CA122" s="213" t="e">
        <f t="shared" si="31"/>
        <v>#N/A</v>
      </c>
      <c r="CB122" s="209" t="e">
        <f t="shared" si="32"/>
        <v>#N/A</v>
      </c>
      <c r="CC122" s="205" t="str">
        <f t="shared" si="40"/>
        <v/>
      </c>
      <c r="CD122" s="205" t="str">
        <f t="shared" si="45"/>
        <v>-</v>
      </c>
      <c r="CE122" s="204">
        <f t="shared" si="46"/>
        <v>0</v>
      </c>
      <c r="CG122" s="20" t="str">
        <f t="shared" si="47"/>
        <v/>
      </c>
    </row>
    <row r="123" spans="6:86" ht="21">
      <c r="N123" s="8"/>
      <c r="O123" s="8"/>
      <c r="AJ123"/>
      <c r="AK123"/>
      <c r="AL123"/>
      <c r="AM123" s="87"/>
      <c r="AN123" s="87"/>
      <c r="AO123" s="14" t="str">
        <f>IF(R20="","",COUNTA($R$3:R20)+$AO$105)</f>
        <v/>
      </c>
      <c r="AP123" s="88" t="str">
        <f>IF(AO123="","",IF(AO123+Расчет!$Y$57+$BD$2-Расчет!$X$57&gt;200,AO123+Расчет!$Y$57+$BD$2-1000,AO123+Расчет!$Y$57+$BD$2))</f>
        <v/>
      </c>
      <c r="BL123" s="172">
        <f>COUNTIF($BM$5:BM123,"&lt;-115")</f>
        <v>0</v>
      </c>
      <c r="BM123" s="154">
        <f>IFERROR(IF(OR(IFERROR(VLOOKUP(BN123,$E$3:$E$105,1,FALSE),"0")=BN123,IFERROR(VLOOKUP(BN123,$R$3:$R$105,1,FALSE),"0")=BN123),BO123,IF(OR(VLOOKUP(BN123,Расчет!A:E,5,FALSE)="2PS",VLOOKUP(BN123,Расчет!A:E,5,FALSE)="2QL"),IF(VLOOKUP(BN123,Расчет!A:B,2,FALSE)="831W",BN123-$BS$7+$AD$17,BN123-$BS$7+$AD$12),BN123-$BS$7)),"-")</f>
        <v>41</v>
      </c>
      <c r="BN123" s="154">
        <f>IF(OR(Расчет!C120="A0",Расчет!C120="P9",Расчет!B120="722W"),"-",Расчет!A120)</f>
        <v>11265</v>
      </c>
      <c r="BO123" s="173">
        <f t="shared" si="39"/>
        <v>0</v>
      </c>
      <c r="BP123" s="172">
        <f>IF(BQ123="-","-",IFERROR(IF(OR(VLOOKUP(BN123,Расчет!$A$2:$E$582,5,FALSE)="2PS",VLOOKUP(BN123,Расчет!$A$2:$E$582,5,FALSE)="2QL"),IF(OR(VLOOKUP(BN123,Расчет!$A$2:$E$582,2,FALSE)="664W",VLOOKUP(BN123,Расчет!$A$2:$E$582,2,FALSE)="813W"),IF(BN123-$BS$7&gt;150,BN123-$BS$7-1000+$AD$12,BN123-$BS$7+$AD$12),IF(BN123-$BS$7&gt;150,BN123-$BS$7-1000+$AD$17,BN123-$BS$7+$AD$17)),IF(BN123-$BS$7&gt;150,BN123-$BS$7-1000,BN123-$BS$7)),"-"))</f>
        <v>41</v>
      </c>
      <c r="BQ123" s="173">
        <f t="shared" si="36"/>
        <v>11265</v>
      </c>
      <c r="BR123" s="453"/>
      <c r="BS123" s="171"/>
      <c r="BT123" s="464" t="str">
        <f t="shared" si="37"/>
        <v>-</v>
      </c>
      <c r="BU123" s="464" t="str">
        <f t="shared" si="38"/>
        <v>-</v>
      </c>
      <c r="BX123" s="204">
        <f>COUNTIF($BY$4:BY123,"&lt;100")</f>
        <v>59</v>
      </c>
      <c r="BY123" s="213" t="str">
        <f t="shared" si="44"/>
        <v/>
      </c>
      <c r="BZ123" s="216" t="str">
        <f t="shared" si="44"/>
        <v/>
      </c>
      <c r="CA123" s="213" t="e">
        <f t="shared" si="31"/>
        <v>#N/A</v>
      </c>
      <c r="CB123" s="209" t="e">
        <f t="shared" si="32"/>
        <v>#N/A</v>
      </c>
      <c r="CC123" s="205" t="str">
        <f t="shared" si="40"/>
        <v/>
      </c>
      <c r="CD123" s="205" t="str">
        <f t="shared" si="45"/>
        <v>-</v>
      </c>
      <c r="CE123" s="204">
        <f t="shared" si="46"/>
        <v>0</v>
      </c>
      <c r="CG123" s="20" t="str">
        <f t="shared" si="47"/>
        <v/>
      </c>
    </row>
    <row r="124" spans="6:86" ht="21">
      <c r="N124" s="8"/>
      <c r="O124" s="8"/>
      <c r="AJ124"/>
      <c r="AK124"/>
      <c r="AL124"/>
      <c r="AM124" s="87"/>
      <c r="AN124" s="87"/>
      <c r="AO124" s="14" t="str">
        <f>IF(R21="","",COUNTA($R$3:R21)+$AO$105)</f>
        <v/>
      </c>
      <c r="AP124" s="88" t="str">
        <f>IF(AO124="","",IF(AO124+Расчет!$Y$57+$BD$2-Расчет!$X$57&gt;200,AO124+Расчет!$Y$57+$BD$2-1000,AO124+Расчет!$Y$57+$BD$2))</f>
        <v/>
      </c>
      <c r="BL124" s="172">
        <f>COUNTIF($BM$5:BM124,"&lt;-115")</f>
        <v>0</v>
      </c>
      <c r="BM124" s="154">
        <f>IFERROR(IF(OR(IFERROR(VLOOKUP(BN124,$E$3:$E$105,1,FALSE),"0")=BN124,IFERROR(VLOOKUP(BN124,$R$3:$R$105,1,FALSE),"0")=BN124),BO124,IF(OR(VLOOKUP(BN124,Расчет!A:E,5,FALSE)="2PS",VLOOKUP(BN124,Расчет!A:E,5,FALSE)="2QL"),IF(VLOOKUP(BN124,Расчет!A:B,2,FALSE)="831W",BN124-$BS$7+$AD$17,BN124-$BS$7+$AD$12),BN124-$BS$7)),"-")</f>
        <v>42</v>
      </c>
      <c r="BN124" s="154">
        <f>IF(OR(Расчет!C121="A0",Расчет!C121="P9",Расчет!B121="722W"),"-",Расчет!A121)</f>
        <v>11266</v>
      </c>
      <c r="BO124" s="173">
        <f t="shared" si="39"/>
        <v>0</v>
      </c>
      <c r="BP124" s="172">
        <f>IF(BQ124="-","-",IFERROR(IF(OR(VLOOKUP(BN124,Расчет!$A$2:$E$582,5,FALSE)="2PS",VLOOKUP(BN124,Расчет!$A$2:$E$582,5,FALSE)="2QL"),IF(OR(VLOOKUP(BN124,Расчет!$A$2:$E$582,2,FALSE)="664W",VLOOKUP(BN124,Расчет!$A$2:$E$582,2,FALSE)="813W"),IF(BN124-$BS$7&gt;150,BN124-$BS$7-1000+$AD$12,BN124-$BS$7+$AD$12),IF(BN124-$BS$7&gt;150,BN124-$BS$7-1000+$AD$17,BN124-$BS$7+$AD$17)),IF(BN124-$BS$7&gt;150,BN124-$BS$7-1000,BN124-$BS$7)),"-"))</f>
        <v>42</v>
      </c>
      <c r="BQ124" s="173">
        <f t="shared" si="36"/>
        <v>11266</v>
      </c>
      <c r="BR124" s="453"/>
      <c r="BS124" s="171"/>
      <c r="BT124" s="464" t="str">
        <f t="shared" si="37"/>
        <v>-</v>
      </c>
      <c r="BU124" s="464" t="str">
        <f t="shared" si="38"/>
        <v>-</v>
      </c>
      <c r="BX124" s="204">
        <f>COUNTIF($BY$4:BY124,"&lt;100")</f>
        <v>59</v>
      </c>
      <c r="BY124" s="213" t="str">
        <f t="shared" si="44"/>
        <v/>
      </c>
      <c r="BZ124" s="216" t="str">
        <f t="shared" si="44"/>
        <v/>
      </c>
      <c r="CA124" s="213" t="e">
        <f t="shared" si="31"/>
        <v>#N/A</v>
      </c>
      <c r="CB124" s="209" t="e">
        <f t="shared" si="32"/>
        <v>#N/A</v>
      </c>
      <c r="CC124" s="205" t="str">
        <f t="shared" si="40"/>
        <v/>
      </c>
      <c r="CD124" s="205" t="str">
        <f t="shared" si="45"/>
        <v>-</v>
      </c>
      <c r="CE124" s="204">
        <f t="shared" si="46"/>
        <v>0</v>
      </c>
      <c r="CG124" s="20" t="str">
        <f t="shared" si="47"/>
        <v/>
      </c>
    </row>
    <row r="125" spans="6:86" ht="21">
      <c r="N125" s="8"/>
      <c r="O125" s="8"/>
      <c r="AJ125"/>
      <c r="AK125"/>
      <c r="AL125"/>
      <c r="AM125" s="87"/>
      <c r="AN125" s="87"/>
      <c r="AO125" s="14" t="str">
        <f>IF(R22="","",COUNTA($R$3:R22)+$AO$105)</f>
        <v/>
      </c>
      <c r="AP125" s="88" t="str">
        <f>IF(AO125="","",IF(AO125+Расчет!$Y$57+$BD$2-Расчет!$X$57&gt;200,AO125+Расчет!$Y$57+$BD$2-1000,AO125+Расчет!$Y$57+$BD$2))</f>
        <v/>
      </c>
      <c r="BL125" s="172">
        <f>COUNTIF($BM$5:BM125,"&lt;-115")</f>
        <v>0</v>
      </c>
      <c r="BM125" s="154">
        <f>IFERROR(IF(OR(IFERROR(VLOOKUP(BN125,$E$3:$E$105,1,FALSE),"0")=BN125,IFERROR(VLOOKUP(BN125,$R$3:$R$105,1,FALSE),"0")=BN125),BO125,IF(OR(VLOOKUP(BN125,Расчет!A:E,5,FALSE)="2PS",VLOOKUP(BN125,Расчет!A:E,5,FALSE)="2QL"),IF(VLOOKUP(BN125,Расчет!A:B,2,FALSE)="831W",BN125-$BS$7+$AD$17,BN125-$BS$7+$AD$12),BN125-$BS$7)),"-")</f>
        <v>43</v>
      </c>
      <c r="BN125" s="154">
        <f>IF(OR(Расчет!C122="A0",Расчет!C122="P9",Расчет!B122="722W"),"-",Расчет!A122)</f>
        <v>11267</v>
      </c>
      <c r="BO125" s="173">
        <f t="shared" si="39"/>
        <v>0</v>
      </c>
      <c r="BP125" s="172">
        <f>IF(BQ125="-","-",IFERROR(IF(OR(VLOOKUP(BN125,Расчет!$A$2:$E$582,5,FALSE)="2PS",VLOOKUP(BN125,Расчет!$A$2:$E$582,5,FALSE)="2QL"),IF(OR(VLOOKUP(BN125,Расчет!$A$2:$E$582,2,FALSE)="664W",VLOOKUP(BN125,Расчет!$A$2:$E$582,2,FALSE)="813W"),IF(BN125-$BS$7&gt;150,BN125-$BS$7-1000+$AD$12,BN125-$BS$7+$AD$12),IF(BN125-$BS$7&gt;150,BN125-$BS$7-1000+$AD$17,BN125-$BS$7+$AD$17)),IF(BN125-$BS$7&gt;150,BN125-$BS$7-1000,BN125-$BS$7)),"-"))</f>
        <v>43</v>
      </c>
      <c r="BQ125" s="173">
        <f t="shared" si="36"/>
        <v>11267</v>
      </c>
      <c r="BR125" s="453"/>
      <c r="BS125" s="171"/>
      <c r="BT125" s="464" t="str">
        <f t="shared" si="37"/>
        <v>-</v>
      </c>
      <c r="BU125" s="464" t="str">
        <f t="shared" si="38"/>
        <v>-</v>
      </c>
      <c r="BX125" s="204">
        <f>COUNTIF($BY$4:BY125,"&lt;100")</f>
        <v>59</v>
      </c>
      <c r="BY125" s="213" t="str">
        <f t="shared" si="44"/>
        <v/>
      </c>
      <c r="BZ125" s="216" t="str">
        <f t="shared" si="44"/>
        <v/>
      </c>
      <c r="CA125" s="213" t="e">
        <f t="shared" si="31"/>
        <v>#N/A</v>
      </c>
      <c r="CB125" s="209" t="e">
        <f t="shared" si="32"/>
        <v>#N/A</v>
      </c>
      <c r="CC125" s="205" t="str">
        <f t="shared" si="40"/>
        <v/>
      </c>
      <c r="CD125" s="205" t="str">
        <f t="shared" si="45"/>
        <v>-</v>
      </c>
      <c r="CE125" s="204">
        <f t="shared" si="46"/>
        <v>0</v>
      </c>
      <c r="CG125" s="20" t="str">
        <f t="shared" si="47"/>
        <v/>
      </c>
    </row>
    <row r="126" spans="6:86" ht="21">
      <c r="N126" s="8"/>
      <c r="O126" s="8"/>
      <c r="AJ126"/>
      <c r="AK126"/>
      <c r="AL126"/>
      <c r="AM126" s="87"/>
      <c r="AN126" s="87"/>
      <c r="AO126" s="14" t="str">
        <f>IF(R23="","",COUNTA($R$3:R23)+$AO$105)</f>
        <v/>
      </c>
      <c r="AP126" s="88" t="str">
        <f>IF(AO126="","",IF(AO126+Расчет!$Y$57+$BD$2-Расчет!$X$57&gt;200,AO126+Расчет!$Y$57+$BD$2-1000,AO126+Расчет!$Y$57+$BD$2))</f>
        <v/>
      </c>
      <c r="BL126" s="172">
        <f>COUNTIF($BM$5:BM126,"&lt;-115")</f>
        <v>0</v>
      </c>
      <c r="BM126" s="154">
        <f>IFERROR(IF(OR(IFERROR(VLOOKUP(BN126,$E$3:$E$105,1,FALSE),"0")=BN126,IFERROR(VLOOKUP(BN126,$R$3:$R$105,1,FALSE),"0")=BN126),BO126,IF(OR(VLOOKUP(BN126,Расчет!A:E,5,FALSE)="2PS",VLOOKUP(BN126,Расчет!A:E,5,FALSE)="2QL"),IF(VLOOKUP(BN126,Расчет!A:B,2,FALSE)="831W",BN126-$BS$7+$AD$17,BN126-$BS$7+$AD$12),BN126-$BS$7)),"-")</f>
        <v>44</v>
      </c>
      <c r="BN126" s="154">
        <f>IF(OR(Расчет!C123="A0",Расчет!C123="P9",Расчет!B123="722W"),"-",Расчет!A123)</f>
        <v>11268</v>
      </c>
      <c r="BO126" s="173">
        <f t="shared" si="39"/>
        <v>0</v>
      </c>
      <c r="BP126" s="172">
        <f>IF(BQ126="-","-",IFERROR(IF(OR(VLOOKUP(BN126,Расчет!$A$2:$E$582,5,FALSE)="2PS",VLOOKUP(BN126,Расчет!$A$2:$E$582,5,FALSE)="2QL"),IF(OR(VLOOKUP(BN126,Расчет!$A$2:$E$582,2,FALSE)="664W",VLOOKUP(BN126,Расчет!$A$2:$E$582,2,FALSE)="813W"),IF(BN126-$BS$7&gt;150,BN126-$BS$7-1000+$AD$12,BN126-$BS$7+$AD$12),IF(BN126-$BS$7&gt;150,BN126-$BS$7-1000+$AD$17,BN126-$BS$7+$AD$17)),IF(BN126-$BS$7&gt;150,BN126-$BS$7-1000,BN126-$BS$7)),"-"))</f>
        <v>44</v>
      </c>
      <c r="BQ126" s="173">
        <f t="shared" si="36"/>
        <v>11268</v>
      </c>
      <c r="BR126" s="453"/>
      <c r="BS126" s="171"/>
      <c r="BT126" s="464" t="str">
        <f t="shared" si="37"/>
        <v>-</v>
      </c>
      <c r="BU126" s="464" t="str">
        <f t="shared" si="38"/>
        <v>-</v>
      </c>
      <c r="BX126" s="204">
        <f>COUNTIF($BY$4:BY126,"&lt;100")</f>
        <v>59</v>
      </c>
      <c r="BY126" s="213" t="str">
        <f t="shared" si="44"/>
        <v/>
      </c>
      <c r="BZ126" s="216" t="str">
        <f t="shared" si="44"/>
        <v/>
      </c>
      <c r="CA126" s="213" t="e">
        <f t="shared" si="31"/>
        <v>#N/A</v>
      </c>
      <c r="CB126" s="209" t="e">
        <f t="shared" si="32"/>
        <v>#N/A</v>
      </c>
      <c r="CC126" s="205" t="str">
        <f t="shared" si="40"/>
        <v/>
      </c>
      <c r="CD126" s="205" t="str">
        <f t="shared" si="45"/>
        <v>-</v>
      </c>
      <c r="CE126" s="204">
        <f t="shared" si="46"/>
        <v>0</v>
      </c>
      <c r="CG126" s="20" t="str">
        <f t="shared" si="47"/>
        <v/>
      </c>
    </row>
    <row r="127" spans="6:86" ht="21">
      <c r="N127" s="8"/>
      <c r="O127" s="8"/>
      <c r="AJ127"/>
      <c r="AK127"/>
      <c r="AL127"/>
      <c r="AM127" s="87"/>
      <c r="AN127" s="87"/>
      <c r="AO127" s="14" t="str">
        <f>IF(R24="","",COUNTA($R$3:R24)+$AO$105)</f>
        <v/>
      </c>
      <c r="AP127" s="88" t="str">
        <f>IF(AO127="","",IF(AO127+Расчет!$Y$57+$BD$2-Расчет!$X$57&gt;200,AO127+Расчет!$Y$57+$BD$2-1000,AO127+Расчет!$Y$57+$BD$2))</f>
        <v/>
      </c>
      <c r="BL127" s="172">
        <f>COUNTIF($BM$5:BM127,"&lt;-115")</f>
        <v>0</v>
      </c>
      <c r="BM127" s="154">
        <f>IFERROR(IF(OR(IFERROR(VLOOKUP(BN127,$E$3:$E$105,1,FALSE),"0")=BN127,IFERROR(VLOOKUP(BN127,$R$3:$R$105,1,FALSE),"0")=BN127),BO127,IF(OR(VLOOKUP(BN127,Расчет!A:E,5,FALSE)="2PS",VLOOKUP(BN127,Расчет!A:E,5,FALSE)="2QL"),IF(VLOOKUP(BN127,Расчет!A:B,2,FALSE)="831W",BN127-$BS$7+$AD$17,BN127-$BS$7+$AD$12),BN127-$BS$7)),"-")</f>
        <v>45</v>
      </c>
      <c r="BN127" s="154">
        <f>IF(OR(Расчет!C124="A0",Расчет!C124="P9",Расчет!B124="722W"),"-",Расчет!A124)</f>
        <v>11269</v>
      </c>
      <c r="BO127" s="173">
        <f t="shared" si="39"/>
        <v>0</v>
      </c>
      <c r="BP127" s="172">
        <f>IF(BQ127="-","-",IFERROR(IF(OR(VLOOKUP(BN127,Расчет!$A$2:$E$582,5,FALSE)="2PS",VLOOKUP(BN127,Расчет!$A$2:$E$582,5,FALSE)="2QL"),IF(OR(VLOOKUP(BN127,Расчет!$A$2:$E$582,2,FALSE)="664W",VLOOKUP(BN127,Расчет!$A$2:$E$582,2,FALSE)="813W"),IF(BN127-$BS$7&gt;150,BN127-$BS$7-1000+$AD$12,BN127-$BS$7+$AD$12),IF(BN127-$BS$7&gt;150,BN127-$BS$7-1000+$AD$17,BN127-$BS$7+$AD$17)),IF(BN127-$BS$7&gt;150,BN127-$BS$7-1000,BN127-$BS$7)),"-"))</f>
        <v>45</v>
      </c>
      <c r="BQ127" s="173">
        <f t="shared" si="36"/>
        <v>11269</v>
      </c>
      <c r="BR127" s="453"/>
      <c r="BS127" s="171"/>
      <c r="BT127" s="464" t="str">
        <f t="shared" si="37"/>
        <v>-</v>
      </c>
      <c r="BU127" s="464" t="str">
        <f t="shared" si="38"/>
        <v>-</v>
      </c>
      <c r="BX127" s="204">
        <f>COUNTIF($BY$4:BY127,"&lt;100")</f>
        <v>59</v>
      </c>
      <c r="BY127" s="213" t="str">
        <f t="shared" si="44"/>
        <v/>
      </c>
      <c r="BZ127" s="216" t="str">
        <f t="shared" si="44"/>
        <v/>
      </c>
      <c r="CA127" s="213" t="e">
        <f t="shared" si="31"/>
        <v>#N/A</v>
      </c>
      <c r="CB127" s="209" t="e">
        <f t="shared" si="32"/>
        <v>#N/A</v>
      </c>
      <c r="CC127" s="205" t="str">
        <f t="shared" si="40"/>
        <v/>
      </c>
      <c r="CD127" s="205" t="str">
        <f t="shared" si="45"/>
        <v>-</v>
      </c>
      <c r="CE127" s="204">
        <f t="shared" si="46"/>
        <v>0</v>
      </c>
      <c r="CG127" s="20" t="str">
        <f t="shared" si="47"/>
        <v/>
      </c>
    </row>
    <row r="128" spans="6:86" ht="21">
      <c r="N128" s="8"/>
      <c r="O128" s="8"/>
      <c r="AJ128"/>
      <c r="AK128"/>
      <c r="AL128"/>
      <c r="AM128" s="87"/>
      <c r="AN128" s="87"/>
      <c r="AO128" s="14" t="str">
        <f>IF(R25="","",COUNTA($R$3:R25)+$AO$105)</f>
        <v/>
      </c>
      <c r="AP128" s="88" t="str">
        <f>IF(AO128="","",IF(AO128+Расчет!$Y$57+$BD$2-Расчет!$X$57&gt;200,AO128+Расчет!$Y$57+$BD$2-1000,AO128+Расчет!$Y$57+$BD$2))</f>
        <v/>
      </c>
      <c r="BL128" s="172">
        <f>COUNTIF($BM$5:BM128,"&lt;-115")</f>
        <v>0</v>
      </c>
      <c r="BM128" s="154">
        <f>IFERROR(IF(OR(IFERROR(VLOOKUP(BN128,$E$3:$E$105,1,FALSE),"0")=BN128,IFERROR(VLOOKUP(BN128,$R$3:$R$105,1,FALSE),"0")=BN128),BO128,IF(OR(VLOOKUP(BN128,Расчет!A:E,5,FALSE)="2PS",VLOOKUP(BN128,Расчет!A:E,5,FALSE)="2QL"),IF(VLOOKUP(BN128,Расчет!A:B,2,FALSE)="831W",BN128-$BS$7+$AD$17,BN128-$BS$7+$AD$12),BN128-$BS$7)),"-")</f>
        <v>46</v>
      </c>
      <c r="BN128" s="154">
        <f>IF(OR(Расчет!C125="A0",Расчет!C125="P9",Расчет!B125="722W"),"-",Расчет!A125)</f>
        <v>11270</v>
      </c>
      <c r="BO128" s="173">
        <f t="shared" si="39"/>
        <v>0</v>
      </c>
      <c r="BP128" s="172">
        <f>IF(BQ128="-","-",IFERROR(IF(OR(VLOOKUP(BN128,Расчет!$A$2:$E$582,5,FALSE)="2PS",VLOOKUP(BN128,Расчет!$A$2:$E$582,5,FALSE)="2QL"),IF(OR(VLOOKUP(BN128,Расчет!$A$2:$E$582,2,FALSE)="664W",VLOOKUP(BN128,Расчет!$A$2:$E$582,2,FALSE)="813W"),IF(BN128-$BS$7&gt;150,BN128-$BS$7-1000+$AD$12,BN128-$BS$7+$AD$12),IF(BN128-$BS$7&gt;150,BN128-$BS$7-1000+$AD$17,BN128-$BS$7+$AD$17)),IF(BN128-$BS$7&gt;150,BN128-$BS$7-1000,BN128-$BS$7)),"-"))</f>
        <v>46</v>
      </c>
      <c r="BQ128" s="173">
        <f t="shared" si="36"/>
        <v>11270</v>
      </c>
      <c r="BR128" s="453"/>
      <c r="BS128" s="171"/>
      <c r="BT128" s="464" t="str">
        <f t="shared" si="37"/>
        <v>-</v>
      </c>
      <c r="BU128" s="464" t="str">
        <f t="shared" si="38"/>
        <v>-</v>
      </c>
      <c r="BX128" s="204">
        <f>COUNTIF($BY$4:BY128,"&lt;100")</f>
        <v>59</v>
      </c>
      <c r="BY128" s="213" t="str">
        <f t="shared" si="44"/>
        <v/>
      </c>
      <c r="BZ128" s="216" t="str">
        <f t="shared" si="44"/>
        <v/>
      </c>
      <c r="CA128" s="213" t="e">
        <f t="shared" si="31"/>
        <v>#N/A</v>
      </c>
      <c r="CB128" s="209" t="e">
        <f t="shared" si="32"/>
        <v>#N/A</v>
      </c>
      <c r="CC128" s="205" t="str">
        <f t="shared" si="40"/>
        <v/>
      </c>
      <c r="CD128" s="205" t="str">
        <f t="shared" si="45"/>
        <v>-</v>
      </c>
      <c r="CE128" s="204">
        <f t="shared" si="46"/>
        <v>0</v>
      </c>
      <c r="CG128" s="20" t="str">
        <f t="shared" si="47"/>
        <v/>
      </c>
    </row>
    <row r="129" spans="14:85" ht="21">
      <c r="N129" s="8"/>
      <c r="O129" s="8"/>
      <c r="AJ129"/>
      <c r="AK129"/>
      <c r="AL129"/>
      <c r="AM129" s="87"/>
      <c r="AN129" s="87"/>
      <c r="AO129" s="14" t="str">
        <f>IF(R26="","",COUNTA($R$3:R26)+$AO$105)</f>
        <v/>
      </c>
      <c r="AP129" s="88" t="str">
        <f>IF(AO129="","",IF(AO129+Расчет!$Y$57+$BD$2-Расчет!$X$57&gt;200,AO129+Расчет!$Y$57+$BD$2-1000,AO129+Расчет!$Y$57+$BD$2))</f>
        <v/>
      </c>
      <c r="BL129" s="172">
        <f>COUNTIF($BM$5:BM129,"&lt;-115")</f>
        <v>0</v>
      </c>
      <c r="BM129" s="154">
        <f>IFERROR(IF(OR(IFERROR(VLOOKUP(BN129,$E$3:$E$105,1,FALSE),"0")=BN129,IFERROR(VLOOKUP(BN129,$R$3:$R$105,1,FALSE),"0")=BN129),BO129,IF(OR(VLOOKUP(BN129,Расчет!A:E,5,FALSE)="2PS",VLOOKUP(BN129,Расчет!A:E,5,FALSE)="2QL"),IF(VLOOKUP(BN129,Расчет!A:B,2,FALSE)="831W",BN129-$BS$7+$AD$17,BN129-$BS$7+$AD$12),BN129-$BS$7)),"-")</f>
        <v>147</v>
      </c>
      <c r="BN129" s="154">
        <f>IF(OR(Расчет!C126="A0",Расчет!C126="P9",Расчет!B126="722W"),"-",Расчет!A126)</f>
        <v>11271</v>
      </c>
      <c r="BO129" s="173">
        <f t="shared" si="39"/>
        <v>0</v>
      </c>
      <c r="BP129" s="172">
        <f>IF(BQ129="-","-",IFERROR(IF(OR(VLOOKUP(BN129,Расчет!$A$2:$E$582,5,FALSE)="2PS",VLOOKUP(BN129,Расчет!$A$2:$E$582,5,FALSE)="2QL"),IF(OR(VLOOKUP(BN129,Расчет!$A$2:$E$582,2,FALSE)="664W",VLOOKUP(BN129,Расчет!$A$2:$E$582,2,FALSE)="813W"),IF(BN129-$BS$7&gt;150,BN129-$BS$7-1000+$AD$12,BN129-$BS$7+$AD$12),IF(BN129-$BS$7&gt;150,BN129-$BS$7-1000+$AD$17,BN129-$BS$7+$AD$17)),IF(BN129-$BS$7&gt;150,BN129-$BS$7-1000,BN129-$BS$7)),"-"))</f>
        <v>147</v>
      </c>
      <c r="BQ129" s="173">
        <f t="shared" si="36"/>
        <v>11271</v>
      </c>
      <c r="BR129" s="453"/>
      <c r="BS129" s="171"/>
      <c r="BT129" s="464" t="str">
        <f t="shared" si="37"/>
        <v>-</v>
      </c>
      <c r="BU129" s="464" t="str">
        <f t="shared" si="38"/>
        <v>-</v>
      </c>
      <c r="BX129" s="204">
        <f>COUNTIF($BY$4:BY129,"&lt;100")</f>
        <v>59</v>
      </c>
      <c r="BY129" s="213" t="str">
        <f t="shared" si="44"/>
        <v/>
      </c>
      <c r="BZ129" s="216" t="str">
        <f t="shared" si="44"/>
        <v/>
      </c>
      <c r="CA129" s="213" t="e">
        <f t="shared" si="31"/>
        <v>#N/A</v>
      </c>
      <c r="CB129" s="209" t="e">
        <f t="shared" si="32"/>
        <v>#N/A</v>
      </c>
      <c r="CC129" s="205" t="str">
        <f t="shared" si="40"/>
        <v/>
      </c>
      <c r="CD129" s="205" t="str">
        <f t="shared" si="45"/>
        <v>-</v>
      </c>
      <c r="CE129" s="204">
        <f t="shared" si="46"/>
        <v>0</v>
      </c>
      <c r="CG129" s="20" t="str">
        <f t="shared" si="47"/>
        <v/>
      </c>
    </row>
    <row r="130" spans="14:85" ht="21">
      <c r="N130" s="8"/>
      <c r="O130" s="8"/>
      <c r="AJ130"/>
      <c r="AK130"/>
      <c r="AL130"/>
      <c r="AM130" s="87"/>
      <c r="AN130" s="87"/>
      <c r="AO130" s="14" t="str">
        <f>IF(R27="","",COUNTA($R$3:R27)+$AO$105)</f>
        <v/>
      </c>
      <c r="AP130" s="88" t="str">
        <f>IF(AO130="","",IF(AO130+Расчет!$Y$57+$BD$2-Расчет!$X$57&gt;200,AO130+Расчет!$Y$57+$BD$2-1000,AO130+Расчет!$Y$57+$BD$2))</f>
        <v/>
      </c>
      <c r="BL130" s="172">
        <f>COUNTIF($BM$5:BM130,"&lt;-115")</f>
        <v>0</v>
      </c>
      <c r="BM130" s="154">
        <f>IFERROR(IF(OR(IFERROR(VLOOKUP(BN130,$E$3:$E$105,1,FALSE),"0")=BN130,IFERROR(VLOOKUP(BN130,$R$3:$R$105,1,FALSE),"0")=BN130),BO130,IF(OR(VLOOKUP(BN130,Расчет!A:E,5,FALSE)="2PS",VLOOKUP(BN130,Расчет!A:E,5,FALSE)="2QL"),IF(VLOOKUP(BN130,Расчет!A:B,2,FALSE)="831W",BN130-$BS$7+$AD$17,BN130-$BS$7+$AD$12),BN130-$BS$7)),"-")</f>
        <v>48</v>
      </c>
      <c r="BN130" s="154">
        <f>IF(OR(Расчет!C127="A0",Расчет!C127="P9",Расчет!B127="722W"),"-",Расчет!A127)</f>
        <v>11272</v>
      </c>
      <c r="BO130" s="173">
        <f t="shared" si="39"/>
        <v>0</v>
      </c>
      <c r="BP130" s="172">
        <f>IF(BQ130="-","-",IFERROR(IF(OR(VLOOKUP(BN130,Расчет!$A$2:$E$582,5,FALSE)="2PS",VLOOKUP(BN130,Расчет!$A$2:$E$582,5,FALSE)="2QL"),IF(OR(VLOOKUP(BN130,Расчет!$A$2:$E$582,2,FALSE)="664W",VLOOKUP(BN130,Расчет!$A$2:$E$582,2,FALSE)="813W"),IF(BN130-$BS$7&gt;150,BN130-$BS$7-1000+$AD$12,BN130-$BS$7+$AD$12),IF(BN130-$BS$7&gt;150,BN130-$BS$7-1000+$AD$17,BN130-$BS$7+$AD$17)),IF(BN130-$BS$7&gt;150,BN130-$BS$7-1000,BN130-$BS$7)),"-"))</f>
        <v>48</v>
      </c>
      <c r="BQ130" s="173">
        <f t="shared" si="36"/>
        <v>11272</v>
      </c>
      <c r="BR130" s="453"/>
      <c r="BS130" s="171"/>
      <c r="BT130" s="464" t="str">
        <f t="shared" si="37"/>
        <v>-</v>
      </c>
      <c r="BU130" s="464" t="str">
        <f t="shared" si="38"/>
        <v>-</v>
      </c>
      <c r="BX130" s="204">
        <f>COUNTIF($BY$4:BY130,"&lt;100")</f>
        <v>59</v>
      </c>
      <c r="BY130" s="213" t="str">
        <f t="shared" si="44"/>
        <v/>
      </c>
      <c r="BZ130" s="216" t="str">
        <f t="shared" si="44"/>
        <v/>
      </c>
      <c r="CA130" s="213" t="e">
        <f t="shared" si="31"/>
        <v>#N/A</v>
      </c>
      <c r="CB130" s="209" t="e">
        <f t="shared" si="32"/>
        <v>#N/A</v>
      </c>
      <c r="CC130" s="205" t="str">
        <f t="shared" si="40"/>
        <v/>
      </c>
      <c r="CD130" s="205" t="str">
        <f t="shared" si="45"/>
        <v>-</v>
      </c>
      <c r="CE130" s="204">
        <f t="shared" si="46"/>
        <v>0</v>
      </c>
      <c r="CG130" s="20" t="str">
        <f t="shared" si="47"/>
        <v/>
      </c>
    </row>
    <row r="131" spans="14:85" ht="21">
      <c r="N131" s="8"/>
      <c r="O131" s="8"/>
      <c r="AJ131"/>
      <c r="AK131"/>
      <c r="AL131"/>
      <c r="AM131" s="87"/>
      <c r="AN131" s="87"/>
      <c r="AO131" s="14" t="str">
        <f>IF(R28="","",COUNTA($R$3:R28)+$AO$105)</f>
        <v/>
      </c>
      <c r="AP131" s="88" t="str">
        <f>IF(AO131="","",IF(AO131+Расчет!$Y$57+$BD$2-Расчет!$X$57&gt;200,AO131+Расчет!$Y$57+$BD$2-1000,AO131+Расчет!$Y$57+$BD$2))</f>
        <v/>
      </c>
      <c r="BL131" s="172">
        <f>COUNTIF($BM$5:BM131,"&lt;-115")</f>
        <v>0</v>
      </c>
      <c r="BM131" s="154">
        <f>IFERROR(IF(OR(IFERROR(VLOOKUP(BN131,$E$3:$E$105,1,FALSE),"0")=BN131,IFERROR(VLOOKUP(BN131,$R$3:$R$105,1,FALSE),"0")=BN131),BO131,IF(OR(VLOOKUP(BN131,Расчет!A:E,5,FALSE)="2PS",VLOOKUP(BN131,Расчет!A:E,5,FALSE)="2QL"),IF(VLOOKUP(BN131,Расчет!A:B,2,FALSE)="831W",BN131-$BS$7+$AD$17,BN131-$BS$7+$AD$12),BN131-$BS$7)),"-")</f>
        <v>49</v>
      </c>
      <c r="BN131" s="154">
        <f>IF(OR(Расчет!C128="A0",Расчет!C128="P9",Расчет!B128="722W"),"-",Расчет!A128)</f>
        <v>11273</v>
      </c>
      <c r="BO131" s="173">
        <f t="shared" si="39"/>
        <v>0</v>
      </c>
      <c r="BP131" s="172">
        <f>IF(BQ131="-","-",IFERROR(IF(OR(VLOOKUP(BN131,Расчет!$A$2:$E$582,5,FALSE)="2PS",VLOOKUP(BN131,Расчет!$A$2:$E$582,5,FALSE)="2QL"),IF(OR(VLOOKUP(BN131,Расчет!$A$2:$E$582,2,FALSE)="664W",VLOOKUP(BN131,Расчет!$A$2:$E$582,2,FALSE)="813W"),IF(BN131-$BS$7&gt;150,BN131-$BS$7-1000+$AD$12,BN131-$BS$7+$AD$12),IF(BN131-$BS$7&gt;150,BN131-$BS$7-1000+$AD$17,BN131-$BS$7+$AD$17)),IF(BN131-$BS$7&gt;150,BN131-$BS$7-1000,BN131-$BS$7)),"-"))</f>
        <v>49</v>
      </c>
      <c r="BQ131" s="173">
        <f t="shared" si="36"/>
        <v>11273</v>
      </c>
      <c r="BR131" s="453"/>
      <c r="BS131" s="171"/>
      <c r="BT131" s="464" t="str">
        <f t="shared" si="37"/>
        <v>-</v>
      </c>
      <c r="BU131" s="464" t="str">
        <f t="shared" si="38"/>
        <v>-</v>
      </c>
      <c r="BX131" s="204">
        <f>COUNTIF($BY$4:BY131,"&lt;100")</f>
        <v>59</v>
      </c>
      <c r="BY131" s="213" t="str">
        <f t="shared" si="44"/>
        <v/>
      </c>
      <c r="BZ131" s="216" t="str">
        <f t="shared" si="44"/>
        <v/>
      </c>
      <c r="CA131" s="213" t="e">
        <f t="shared" si="31"/>
        <v>#N/A</v>
      </c>
      <c r="CB131" s="209" t="e">
        <f t="shared" si="32"/>
        <v>#N/A</v>
      </c>
      <c r="CC131" s="205" t="str">
        <f t="shared" si="40"/>
        <v/>
      </c>
      <c r="CD131" s="205" t="str">
        <f t="shared" si="45"/>
        <v>-</v>
      </c>
      <c r="CE131" s="204">
        <f t="shared" si="46"/>
        <v>0</v>
      </c>
      <c r="CG131" s="20" t="str">
        <f t="shared" si="47"/>
        <v/>
      </c>
    </row>
    <row r="132" spans="14:85" ht="21">
      <c r="N132" s="8"/>
      <c r="O132" s="8"/>
      <c r="AJ132"/>
      <c r="AK132"/>
      <c r="AL132"/>
      <c r="AM132" s="87"/>
      <c r="AN132" s="87"/>
      <c r="AO132" s="14" t="str">
        <f>IF(R29="","",COUNTA($R$3:R29)+$AO$105)</f>
        <v/>
      </c>
      <c r="AP132" s="88" t="str">
        <f>IF(AO132="","",IF(AO132+Расчет!$Y$57+$BD$2-Расчет!$X$57&gt;200,AO132+Расчет!$Y$57+$BD$2-1000,AO132+Расчет!$Y$57+$BD$2))</f>
        <v/>
      </c>
      <c r="BL132" s="172">
        <f>COUNTIF($BM$5:BM132,"&lt;-115")</f>
        <v>0</v>
      </c>
      <c r="BM132" s="154">
        <f>IFERROR(IF(OR(IFERROR(VLOOKUP(BN132,$E$3:$E$105,1,FALSE),"0")=BN132,IFERROR(VLOOKUP(BN132,$R$3:$R$105,1,FALSE),"0")=BN132),BO132,IF(OR(VLOOKUP(BN132,Расчет!A:E,5,FALSE)="2PS",VLOOKUP(BN132,Расчет!A:E,5,FALSE)="2QL"),IF(VLOOKUP(BN132,Расчет!A:B,2,FALSE)="831W",BN132-$BS$7+$AD$17,BN132-$BS$7+$AD$12),BN132-$BS$7)),"-")</f>
        <v>50</v>
      </c>
      <c r="BN132" s="154">
        <f>IF(OR(Расчет!C129="A0",Расчет!C129="P9",Расчет!B129="722W"),"-",Расчет!A129)</f>
        <v>11274</v>
      </c>
      <c r="BO132" s="173">
        <f t="shared" si="39"/>
        <v>0</v>
      </c>
      <c r="BP132" s="172">
        <f>IF(BQ132="-","-",IFERROR(IF(OR(VLOOKUP(BN132,Расчет!$A$2:$E$582,5,FALSE)="2PS",VLOOKUP(BN132,Расчет!$A$2:$E$582,5,FALSE)="2QL"),IF(OR(VLOOKUP(BN132,Расчет!$A$2:$E$582,2,FALSE)="664W",VLOOKUP(BN132,Расчет!$A$2:$E$582,2,FALSE)="813W"),IF(BN132-$BS$7&gt;150,BN132-$BS$7-1000+$AD$12,BN132-$BS$7+$AD$12),IF(BN132-$BS$7&gt;150,BN132-$BS$7-1000+$AD$17,BN132-$BS$7+$AD$17)),IF(BN132-$BS$7&gt;150,BN132-$BS$7-1000,BN132-$BS$7)),"-"))</f>
        <v>50</v>
      </c>
      <c r="BQ132" s="173">
        <f t="shared" si="36"/>
        <v>11274</v>
      </c>
      <c r="BR132" s="453"/>
      <c r="BS132" s="171"/>
      <c r="BT132" s="464" t="str">
        <f t="shared" si="37"/>
        <v>-</v>
      </c>
      <c r="BU132" s="464" t="str">
        <f t="shared" si="38"/>
        <v>-</v>
      </c>
      <c r="BX132" s="204">
        <f>COUNTIF($BY$4:BY132,"&lt;100")</f>
        <v>59</v>
      </c>
      <c r="BY132" s="213" t="str">
        <f t="shared" si="44"/>
        <v/>
      </c>
      <c r="BZ132" s="216" t="str">
        <f t="shared" si="44"/>
        <v/>
      </c>
      <c r="CA132" s="213" t="e">
        <f t="shared" ref="CA132:CA195" si="48">VLOOKUP(ROW(A129),$BX$4:$BY$209,2,FALSE)</f>
        <v>#N/A</v>
      </c>
      <c r="CB132" s="209" t="e">
        <f t="shared" ref="CB132:CB195" si="49">VLOOKUP(ROW(A129),$BX$4:$BZ$209,3,FALSE)</f>
        <v>#N/A</v>
      </c>
      <c r="CC132" s="205" t="str">
        <f t="shared" si="40"/>
        <v/>
      </c>
      <c r="CD132" s="205" t="str">
        <f t="shared" si="45"/>
        <v>-</v>
      </c>
      <c r="CE132" s="204">
        <f t="shared" si="46"/>
        <v>0</v>
      </c>
      <c r="CG132" s="20" t="str">
        <f t="shared" si="47"/>
        <v/>
      </c>
    </row>
    <row r="133" spans="14:85" ht="21">
      <c r="N133" s="8"/>
      <c r="O133" s="8"/>
      <c r="AJ133"/>
      <c r="AK133"/>
      <c r="AL133"/>
      <c r="AM133" s="87"/>
      <c r="AN133" s="87"/>
      <c r="AO133" s="14" t="str">
        <f>IF(R30="","",COUNTA($R$3:R30)+$AO$105)</f>
        <v/>
      </c>
      <c r="AP133" s="88" t="str">
        <f>IF(AO133="","",IF(AO133+Расчет!$Y$57+$BD$2-Расчет!$X$57&gt;200,AO133+Расчет!$Y$57+$BD$2-1000,AO133+Расчет!$Y$57+$BD$2))</f>
        <v/>
      </c>
      <c r="BL133" s="172">
        <f>COUNTIF($BM$5:BM133,"&lt;-115")</f>
        <v>0</v>
      </c>
      <c r="BM133" s="154">
        <f>IFERROR(IF(OR(IFERROR(VLOOKUP(BN133,$E$3:$E$105,1,FALSE),"0")=BN133,IFERROR(VLOOKUP(BN133,$R$3:$R$105,1,FALSE),"0")=BN133),BO133,IF(OR(VLOOKUP(BN133,Расчет!A:E,5,FALSE)="2PS",VLOOKUP(BN133,Расчет!A:E,5,FALSE)="2QL"),IF(VLOOKUP(BN133,Расчет!A:B,2,FALSE)="831W",BN133-$BS$7+$AD$17,BN133-$BS$7+$AD$12),BN133-$BS$7)),"-")</f>
        <v>51</v>
      </c>
      <c r="BN133" s="154">
        <f>IF(OR(Расчет!C130="A0",Расчет!C130="P9",Расчет!B130="722W"),"-",Расчет!A130)</f>
        <v>11275</v>
      </c>
      <c r="BO133" s="173">
        <f t="shared" si="39"/>
        <v>0</v>
      </c>
      <c r="BP133" s="172">
        <f>IF(BQ133="-","-",IFERROR(IF(OR(VLOOKUP(BN133,Расчет!$A$2:$E$582,5,FALSE)="2PS",VLOOKUP(BN133,Расчет!$A$2:$E$582,5,FALSE)="2QL"),IF(OR(VLOOKUP(BN133,Расчет!$A$2:$E$582,2,FALSE)="664W",VLOOKUP(BN133,Расчет!$A$2:$E$582,2,FALSE)="813W"),IF(BN133-$BS$7&gt;150,BN133-$BS$7-1000+$AD$12,BN133-$BS$7+$AD$12),IF(BN133-$BS$7&gt;150,BN133-$BS$7-1000+$AD$17,BN133-$BS$7+$AD$17)),IF(BN133-$BS$7&gt;150,BN133-$BS$7-1000,BN133-$BS$7)),"-"))</f>
        <v>51</v>
      </c>
      <c r="BQ133" s="173">
        <f t="shared" ref="BQ133:BQ196" si="50">IFERROR(IF(OR(IFERROR(VLOOKUP(BN133,$E$3:$E$105,1,FALSE),"0")=BN133,IFERROR(VLOOKUP(BN133,$R$3:$R$105,1,FALSE),"0")=BN133),"-",BN133),"-")</f>
        <v>11275</v>
      </c>
      <c r="BR133" s="453"/>
      <c r="BS133" s="171"/>
      <c r="BT133" s="464" t="str">
        <f t="shared" ref="BT133:BT196" si="51">IF(BQ133="-","-",IF(AND(BP133&gt;=$BR$5,BP133&lt;$BR$5+9),BP133,"-"))</f>
        <v>-</v>
      </c>
      <c r="BU133" s="464" t="str">
        <f t="shared" ref="BU133:BU196" si="52">IF(OR(BP133=$AC$2+1,BP133=$AC$2+2,BP133=$AC$2+3,BP133=$AC$2+4,BP133=$AC$2+5,BP133=$AC$2+6),BP133,"-")</f>
        <v>-</v>
      </c>
      <c r="BX133" s="204">
        <f>COUNTIF($BY$4:BY133,"&lt;100")</f>
        <v>59</v>
      </c>
      <c r="BY133" s="213" t="str">
        <f t="shared" si="44"/>
        <v/>
      </c>
      <c r="BZ133" s="216" t="str">
        <f t="shared" si="44"/>
        <v/>
      </c>
      <c r="CA133" s="213" t="e">
        <f t="shared" si="48"/>
        <v>#N/A</v>
      </c>
      <c r="CB133" s="209" t="e">
        <f t="shared" si="49"/>
        <v>#N/A</v>
      </c>
      <c r="CC133" s="205" t="str">
        <f t="shared" si="40"/>
        <v/>
      </c>
      <c r="CD133" s="205" t="str">
        <f t="shared" si="45"/>
        <v>-</v>
      </c>
      <c r="CE133" s="204">
        <f t="shared" si="46"/>
        <v>0</v>
      </c>
      <c r="CG133" s="20" t="str">
        <f t="shared" si="47"/>
        <v/>
      </c>
    </row>
    <row r="134" spans="14:85" ht="21">
      <c r="N134" s="8"/>
      <c r="O134" s="8"/>
      <c r="AJ134"/>
      <c r="AK134"/>
      <c r="AL134"/>
      <c r="AM134" s="87"/>
      <c r="AN134" s="87"/>
      <c r="AO134" s="14" t="str">
        <f>IF(R31="","",COUNTA($R$3:R31)+$AO$105)</f>
        <v/>
      </c>
      <c r="AP134" s="88" t="str">
        <f>IF(AO134="","",IF(AO134+Расчет!$Y$57+$BD$2-Расчет!$X$57&gt;200,AO134+Расчет!$Y$57+$BD$2-1000,AO134+Расчет!$Y$57+$BD$2))</f>
        <v/>
      </c>
      <c r="BL134" s="172">
        <f>COUNTIF($BM$5:BM134,"&lt;-115")</f>
        <v>0</v>
      </c>
      <c r="BM134" s="154">
        <f>IFERROR(IF(OR(IFERROR(VLOOKUP(BN134,$E$3:$E$105,1,FALSE),"0")=BN134,IFERROR(VLOOKUP(BN134,$R$3:$R$105,1,FALSE),"0")=BN134),BO134,IF(OR(VLOOKUP(BN134,Расчет!A:E,5,FALSE)="2PS",VLOOKUP(BN134,Расчет!A:E,5,FALSE)="2QL"),IF(VLOOKUP(BN134,Расчет!A:B,2,FALSE)="831W",BN134-$BS$7+$AD$17,BN134-$BS$7+$AD$12),BN134-$BS$7)),"-")</f>
        <v>52</v>
      </c>
      <c r="BN134" s="154">
        <f>IF(OR(Расчет!C131="A0",Расчет!C131="P9",Расчет!B131="722W"),"-",Расчет!A131)</f>
        <v>11276</v>
      </c>
      <c r="BO134" s="173">
        <f t="shared" ref="BO134:BO197" si="53">IF(IFERROR(INDEX($A$3:$A$105,MATCH(BN134,$E$3:$E$105,0)),"-")&lt;&gt;"-",IFERROR(INDEX($A$3:$A$105,MATCH(BN134,$E$3:$E$105,0)),0),IFERROR(INDEX($N$3:$N$105,MATCH(BN134,$R$3:$R$105,0)),0))</f>
        <v>0</v>
      </c>
      <c r="BP134" s="172">
        <f>IF(BQ134="-","-",IFERROR(IF(OR(VLOOKUP(BN134,Расчет!$A$2:$E$582,5,FALSE)="2PS",VLOOKUP(BN134,Расчет!$A$2:$E$582,5,FALSE)="2QL"),IF(OR(VLOOKUP(BN134,Расчет!$A$2:$E$582,2,FALSE)="664W",VLOOKUP(BN134,Расчет!$A$2:$E$582,2,FALSE)="813W"),IF(BN134-$BS$7&gt;150,BN134-$BS$7-1000+$AD$12,BN134-$BS$7+$AD$12),IF(BN134-$BS$7&gt;150,BN134-$BS$7-1000+$AD$17,BN134-$BS$7+$AD$17)),IF(BN134-$BS$7&gt;150,BN134-$BS$7-1000,BN134-$BS$7)),"-"))</f>
        <v>52</v>
      </c>
      <c r="BQ134" s="173">
        <f t="shared" si="50"/>
        <v>11276</v>
      </c>
      <c r="BR134" s="453"/>
      <c r="BS134" s="171"/>
      <c r="BT134" s="464" t="str">
        <f t="shared" si="51"/>
        <v>-</v>
      </c>
      <c r="BU134" s="464" t="str">
        <f t="shared" si="52"/>
        <v>-</v>
      </c>
      <c r="BX134" s="204">
        <f>COUNTIF($BY$4:BY134,"&lt;100")</f>
        <v>59</v>
      </c>
      <c r="BY134" s="213" t="str">
        <f t="shared" si="44"/>
        <v/>
      </c>
      <c r="BZ134" s="216" t="str">
        <f t="shared" si="44"/>
        <v/>
      </c>
      <c r="CA134" s="213" t="e">
        <f t="shared" si="48"/>
        <v>#N/A</v>
      </c>
      <c r="CB134" s="209" t="e">
        <f t="shared" si="49"/>
        <v>#N/A</v>
      </c>
      <c r="CC134" s="205" t="str">
        <f t="shared" ref="CC134:CC197" si="54">IFERROR(IF(OR(AND(CA134&gt;CA133,CA134&gt;=1),AND(CA134&lt;CA133,CA134&lt;=-1)),1,0),"")</f>
        <v/>
      </c>
      <c r="CD134" s="205" t="str">
        <f t="shared" si="45"/>
        <v>-</v>
      </c>
      <c r="CE134" s="204">
        <f t="shared" si="46"/>
        <v>0</v>
      </c>
      <c r="CG134" s="20" t="str">
        <f t="shared" si="47"/>
        <v/>
      </c>
    </row>
    <row r="135" spans="14:85" ht="21">
      <c r="N135" s="8"/>
      <c r="O135" s="8"/>
      <c r="AJ135"/>
      <c r="AK135"/>
      <c r="AL135"/>
      <c r="AM135" s="87"/>
      <c r="AN135" s="87"/>
      <c r="AO135" s="14" t="str">
        <f>IF(R32="","",COUNTA($R$3:R32)+$AO$105)</f>
        <v/>
      </c>
      <c r="AP135" s="88" t="str">
        <f>IF(AO135="","",IF(AO135+Расчет!$Y$57+$BD$2-Расчет!$X$57&gt;200,AO135+Расчет!$Y$57+$BD$2-1000,AO135+Расчет!$Y$57+$BD$2))</f>
        <v/>
      </c>
      <c r="BL135" s="172">
        <f>COUNTIF($BM$5:BM135,"&lt;-115")</f>
        <v>0</v>
      </c>
      <c r="BM135" s="154">
        <f>IFERROR(IF(OR(IFERROR(VLOOKUP(BN135,$E$3:$E$105,1,FALSE),"0")=BN135,IFERROR(VLOOKUP(BN135,$R$3:$R$105,1,FALSE),"0")=BN135),BO135,IF(OR(VLOOKUP(BN135,Расчет!A:E,5,FALSE)="2PS",VLOOKUP(BN135,Расчет!A:E,5,FALSE)="2QL"),IF(VLOOKUP(BN135,Расчет!A:B,2,FALSE)="831W",BN135-$BS$7+$AD$17,BN135-$BS$7+$AD$12),BN135-$BS$7)),"-")</f>
        <v>53</v>
      </c>
      <c r="BN135" s="154">
        <f>IF(OR(Расчет!C132="A0",Расчет!C132="P9",Расчет!B132="722W"),"-",Расчет!A132)</f>
        <v>11277</v>
      </c>
      <c r="BO135" s="173">
        <f t="shared" si="53"/>
        <v>0</v>
      </c>
      <c r="BP135" s="172">
        <f>IF(BQ135="-","-",IFERROR(IF(OR(VLOOKUP(BN135,Расчет!$A$2:$E$582,5,FALSE)="2PS",VLOOKUP(BN135,Расчет!$A$2:$E$582,5,FALSE)="2QL"),IF(OR(VLOOKUP(BN135,Расчет!$A$2:$E$582,2,FALSE)="664W",VLOOKUP(BN135,Расчет!$A$2:$E$582,2,FALSE)="813W"),IF(BN135-$BS$7&gt;150,BN135-$BS$7-1000+$AD$12,BN135-$BS$7+$AD$12),IF(BN135-$BS$7&gt;150,BN135-$BS$7-1000+$AD$17,BN135-$BS$7+$AD$17)),IF(BN135-$BS$7&gt;150,BN135-$BS$7-1000,BN135-$BS$7)),"-"))</f>
        <v>53</v>
      </c>
      <c r="BQ135" s="173">
        <f t="shared" si="50"/>
        <v>11277</v>
      </c>
      <c r="BR135" s="453"/>
      <c r="BS135" s="171"/>
      <c r="BT135" s="464" t="str">
        <f t="shared" si="51"/>
        <v>-</v>
      </c>
      <c r="BU135" s="464" t="str">
        <f t="shared" si="52"/>
        <v>-</v>
      </c>
      <c r="BX135" s="204">
        <f>COUNTIF($BY$4:BY135,"&lt;100")</f>
        <v>59</v>
      </c>
      <c r="BY135" s="213" t="str">
        <f t="shared" si="44"/>
        <v/>
      </c>
      <c r="BZ135" s="216" t="str">
        <f t="shared" si="44"/>
        <v/>
      </c>
      <c r="CA135" s="213" t="e">
        <f t="shared" si="48"/>
        <v>#N/A</v>
      </c>
      <c r="CB135" s="209" t="e">
        <f t="shared" si="49"/>
        <v>#N/A</v>
      </c>
      <c r="CC135" s="205" t="str">
        <f t="shared" si="54"/>
        <v/>
      </c>
      <c r="CD135" s="205" t="str">
        <f t="shared" si="45"/>
        <v>-</v>
      </c>
      <c r="CE135" s="204">
        <f t="shared" si="46"/>
        <v>0</v>
      </c>
      <c r="CG135" s="20" t="str">
        <f t="shared" si="47"/>
        <v/>
      </c>
    </row>
    <row r="136" spans="14:85" ht="21">
      <c r="N136" s="8"/>
      <c r="O136" s="8"/>
      <c r="AJ136"/>
      <c r="AK136"/>
      <c r="AL136"/>
      <c r="AM136" s="87"/>
      <c r="AN136" s="87"/>
      <c r="AO136" s="14" t="str">
        <f>IF(R33="","",COUNTA($R$3:R33)+$AO$105)</f>
        <v/>
      </c>
      <c r="AP136" s="88" t="str">
        <f>IF(AO136="","",IF(AO136+Расчет!$Y$57+$BD$2-Расчет!$X$57&gt;200,AO136+Расчет!$Y$57+$BD$2-1000,AO136+Расчет!$Y$57+$BD$2))</f>
        <v/>
      </c>
      <c r="BL136" s="172">
        <f>COUNTIF($BM$5:BM136,"&lt;-115")</f>
        <v>0</v>
      </c>
      <c r="BM136" s="154">
        <f>IFERROR(IF(OR(IFERROR(VLOOKUP(BN136,$E$3:$E$105,1,FALSE),"0")=BN136,IFERROR(VLOOKUP(BN136,$R$3:$R$105,1,FALSE),"0")=BN136),BO136,IF(OR(VLOOKUP(BN136,Расчет!A:E,5,FALSE)="2PS",VLOOKUP(BN136,Расчет!A:E,5,FALSE)="2QL"),IF(VLOOKUP(BN136,Расчет!A:B,2,FALSE)="831W",BN136-$BS$7+$AD$17,BN136-$BS$7+$AD$12),BN136-$BS$7)),"-")</f>
        <v>54</v>
      </c>
      <c r="BN136" s="154">
        <f>IF(OR(Расчет!C133="A0",Расчет!C133="P9",Расчет!B133="722W"),"-",Расчет!A133)</f>
        <v>11278</v>
      </c>
      <c r="BO136" s="173">
        <f t="shared" si="53"/>
        <v>0</v>
      </c>
      <c r="BP136" s="172">
        <f>IF(BQ136="-","-",IFERROR(IF(OR(VLOOKUP(BN136,Расчет!$A$2:$E$582,5,FALSE)="2PS",VLOOKUP(BN136,Расчет!$A$2:$E$582,5,FALSE)="2QL"),IF(OR(VLOOKUP(BN136,Расчет!$A$2:$E$582,2,FALSE)="664W",VLOOKUP(BN136,Расчет!$A$2:$E$582,2,FALSE)="813W"),IF(BN136-$BS$7&gt;150,BN136-$BS$7-1000+$AD$12,BN136-$BS$7+$AD$12),IF(BN136-$BS$7&gt;150,BN136-$BS$7-1000+$AD$17,BN136-$BS$7+$AD$17)),IF(BN136-$BS$7&gt;150,BN136-$BS$7-1000,BN136-$BS$7)),"-"))</f>
        <v>54</v>
      </c>
      <c r="BQ136" s="173">
        <f t="shared" si="50"/>
        <v>11278</v>
      </c>
      <c r="BR136" s="453"/>
      <c r="BS136" s="171"/>
      <c r="BT136" s="464" t="str">
        <f t="shared" si="51"/>
        <v>-</v>
      </c>
      <c r="BU136" s="464" t="str">
        <f t="shared" si="52"/>
        <v>-</v>
      </c>
      <c r="BX136" s="204">
        <f>COUNTIF($BY$4:BY136,"&lt;100")</f>
        <v>59</v>
      </c>
      <c r="BY136" s="213" t="str">
        <f t="shared" si="44"/>
        <v/>
      </c>
      <c r="BZ136" s="216" t="str">
        <f t="shared" si="44"/>
        <v/>
      </c>
      <c r="CA136" s="213" t="e">
        <f t="shared" si="48"/>
        <v>#N/A</v>
      </c>
      <c r="CB136" s="209" t="e">
        <f t="shared" si="49"/>
        <v>#N/A</v>
      </c>
      <c r="CC136" s="205" t="str">
        <f t="shared" si="54"/>
        <v/>
      </c>
      <c r="CD136" s="205" t="str">
        <f t="shared" si="45"/>
        <v>-</v>
      </c>
      <c r="CE136" s="204">
        <f t="shared" si="46"/>
        <v>0</v>
      </c>
      <c r="CG136" s="20" t="str">
        <f t="shared" si="47"/>
        <v/>
      </c>
    </row>
    <row r="137" spans="14:85" ht="21">
      <c r="N137" s="8"/>
      <c r="O137" s="8"/>
      <c r="AJ137"/>
      <c r="AK137"/>
      <c r="AL137"/>
      <c r="AM137" s="87"/>
      <c r="AN137" s="87"/>
      <c r="AO137" s="14" t="str">
        <f>IF(R34="","",COUNTA($R$3:R34)+$AO$105)</f>
        <v/>
      </c>
      <c r="AP137" s="88" t="str">
        <f>IF(AO137="","",IF(AO137+Расчет!$Y$57+$BD$2-Расчет!$X$57&gt;200,AO137+Расчет!$Y$57+$BD$2-1000,AO137+Расчет!$Y$57+$BD$2))</f>
        <v/>
      </c>
      <c r="BL137" s="172">
        <f>COUNTIF($BM$5:BM137,"&lt;-115")</f>
        <v>0</v>
      </c>
      <c r="BM137" s="154">
        <f>IFERROR(IF(OR(IFERROR(VLOOKUP(BN137,$E$3:$E$105,1,FALSE),"0")=BN137,IFERROR(VLOOKUP(BN137,$R$3:$R$105,1,FALSE),"0")=BN137),BO137,IF(OR(VLOOKUP(BN137,Расчет!A:E,5,FALSE)="2PS",VLOOKUP(BN137,Расчет!A:E,5,FALSE)="2QL"),IF(VLOOKUP(BN137,Расчет!A:B,2,FALSE)="831W",BN137-$BS$7+$AD$17,BN137-$BS$7+$AD$12),BN137-$BS$7)),"-")</f>
        <v>55</v>
      </c>
      <c r="BN137" s="154">
        <f>IF(OR(Расчет!C134="A0",Расчет!C134="P9",Расчет!B134="722W"),"-",Расчет!A134)</f>
        <v>11279</v>
      </c>
      <c r="BO137" s="173">
        <f t="shared" si="53"/>
        <v>0</v>
      </c>
      <c r="BP137" s="172">
        <f>IF(BQ137="-","-",IFERROR(IF(OR(VLOOKUP(BN137,Расчет!$A$2:$E$582,5,FALSE)="2PS",VLOOKUP(BN137,Расчет!$A$2:$E$582,5,FALSE)="2QL"),IF(OR(VLOOKUP(BN137,Расчет!$A$2:$E$582,2,FALSE)="664W",VLOOKUP(BN137,Расчет!$A$2:$E$582,2,FALSE)="813W"),IF(BN137-$BS$7&gt;150,BN137-$BS$7-1000+$AD$12,BN137-$BS$7+$AD$12),IF(BN137-$BS$7&gt;150,BN137-$BS$7-1000+$AD$17,BN137-$BS$7+$AD$17)),IF(BN137-$BS$7&gt;150,BN137-$BS$7-1000,BN137-$BS$7)),"-"))</f>
        <v>55</v>
      </c>
      <c r="BQ137" s="173">
        <f t="shared" si="50"/>
        <v>11279</v>
      </c>
      <c r="BR137" s="453"/>
      <c r="BS137" s="171"/>
      <c r="BT137" s="464" t="str">
        <f t="shared" si="51"/>
        <v>-</v>
      </c>
      <c r="BU137" s="464" t="str">
        <f t="shared" si="52"/>
        <v>-</v>
      </c>
      <c r="BX137" s="204">
        <f>COUNTIF($BY$4:BY137,"&lt;100")</f>
        <v>59</v>
      </c>
      <c r="BY137" s="213" t="str">
        <f t="shared" si="44"/>
        <v/>
      </c>
      <c r="BZ137" s="216" t="str">
        <f t="shared" si="44"/>
        <v/>
      </c>
      <c r="CA137" s="213" t="e">
        <f t="shared" si="48"/>
        <v>#N/A</v>
      </c>
      <c r="CB137" s="209" t="e">
        <f t="shared" si="49"/>
        <v>#N/A</v>
      </c>
      <c r="CC137" s="205" t="str">
        <f t="shared" si="54"/>
        <v/>
      </c>
      <c r="CD137" s="205" t="str">
        <f t="shared" si="45"/>
        <v>-</v>
      </c>
      <c r="CE137" s="204">
        <f t="shared" si="46"/>
        <v>0</v>
      </c>
      <c r="CG137" s="20" t="str">
        <f t="shared" si="47"/>
        <v/>
      </c>
    </row>
    <row r="138" spans="14:85" ht="21">
      <c r="N138" s="8"/>
      <c r="O138" s="8"/>
      <c r="AJ138"/>
      <c r="AK138"/>
      <c r="AL138"/>
      <c r="AM138" s="87"/>
      <c r="AN138" s="87"/>
      <c r="AO138" s="14" t="str">
        <f>IF(R35="","",COUNTA($R$3:R35)+$AO$105)</f>
        <v/>
      </c>
      <c r="AP138" s="88" t="str">
        <f>IF(AO138="","",IF(AO138+Расчет!$Y$57+$BD$2-Расчет!$X$57&gt;200,AO138+Расчет!$Y$57+$BD$2-1000,AO138+Расчет!$Y$57+$BD$2))</f>
        <v/>
      </c>
      <c r="BL138" s="172">
        <f>COUNTIF($BM$5:BM138,"&lt;-115")</f>
        <v>0</v>
      </c>
      <c r="BM138" s="154">
        <f>IFERROR(IF(OR(IFERROR(VLOOKUP(BN138,$E$3:$E$105,1,FALSE),"0")=BN138,IFERROR(VLOOKUP(BN138,$R$3:$R$105,1,FALSE),"0")=BN138),BO138,IF(OR(VLOOKUP(BN138,Расчет!A:E,5,FALSE)="2PS",VLOOKUP(BN138,Расчет!A:E,5,FALSE)="2QL"),IF(VLOOKUP(BN138,Расчет!A:B,2,FALSE)="831W",BN138-$BS$7+$AD$17,BN138-$BS$7+$AD$12),BN138-$BS$7)),"-")</f>
        <v>56</v>
      </c>
      <c r="BN138" s="154">
        <f>IF(OR(Расчет!C135="A0",Расчет!C135="P9",Расчет!B135="722W"),"-",Расчет!A135)</f>
        <v>11280</v>
      </c>
      <c r="BO138" s="173">
        <f t="shared" si="53"/>
        <v>0</v>
      </c>
      <c r="BP138" s="172">
        <f>IF(BQ138="-","-",IFERROR(IF(OR(VLOOKUP(BN138,Расчет!$A$2:$E$582,5,FALSE)="2PS",VLOOKUP(BN138,Расчет!$A$2:$E$582,5,FALSE)="2QL"),IF(OR(VLOOKUP(BN138,Расчет!$A$2:$E$582,2,FALSE)="664W",VLOOKUP(BN138,Расчет!$A$2:$E$582,2,FALSE)="813W"),IF(BN138-$BS$7&gt;150,BN138-$BS$7-1000+$AD$12,BN138-$BS$7+$AD$12),IF(BN138-$BS$7&gt;150,BN138-$BS$7-1000+$AD$17,BN138-$BS$7+$AD$17)),IF(BN138-$BS$7&gt;150,BN138-$BS$7-1000,BN138-$BS$7)),"-"))</f>
        <v>56</v>
      </c>
      <c r="BQ138" s="173">
        <f t="shared" si="50"/>
        <v>11280</v>
      </c>
      <c r="BR138" s="453"/>
      <c r="BS138" s="171"/>
      <c r="BT138" s="464" t="str">
        <f t="shared" si="51"/>
        <v>-</v>
      </c>
      <c r="BU138" s="464" t="str">
        <f t="shared" si="52"/>
        <v>-</v>
      </c>
      <c r="BX138" s="204">
        <f>COUNTIF($BY$4:BY138,"&lt;100")</f>
        <v>59</v>
      </c>
      <c r="BY138" s="213" t="str">
        <f t="shared" si="44"/>
        <v/>
      </c>
      <c r="BZ138" s="216" t="str">
        <f t="shared" si="44"/>
        <v/>
      </c>
      <c r="CA138" s="213" t="e">
        <f t="shared" si="48"/>
        <v>#N/A</v>
      </c>
      <c r="CB138" s="209" t="e">
        <f t="shared" si="49"/>
        <v>#N/A</v>
      </c>
      <c r="CC138" s="205" t="str">
        <f t="shared" si="54"/>
        <v/>
      </c>
      <c r="CD138" s="205" t="str">
        <f t="shared" si="45"/>
        <v>-</v>
      </c>
      <c r="CE138" s="204">
        <f t="shared" si="46"/>
        <v>0</v>
      </c>
      <c r="CG138" s="20" t="str">
        <f t="shared" si="47"/>
        <v/>
      </c>
    </row>
    <row r="139" spans="14:85" ht="21">
      <c r="N139" s="8"/>
      <c r="O139" s="8"/>
      <c r="AJ139"/>
      <c r="AK139"/>
      <c r="AL139"/>
      <c r="AM139" s="87"/>
      <c r="AN139" s="87"/>
      <c r="AO139" s="14" t="str">
        <f>IF(R36="","",COUNTA($R$3:R36)+$AO$105)</f>
        <v/>
      </c>
      <c r="AP139" s="88" t="str">
        <f>IF(AO139="","",IF(AO139+Расчет!$Y$57+$BD$2-Расчет!$X$57&gt;200,AO139+Расчет!$Y$57+$BD$2-1000,AO139+Расчет!$Y$57+$BD$2))</f>
        <v/>
      </c>
      <c r="BL139" s="172">
        <f>COUNTIF($BM$5:BM139,"&lt;-115")</f>
        <v>0</v>
      </c>
      <c r="BM139" s="154">
        <f>IFERROR(IF(OR(IFERROR(VLOOKUP(BN139,$E$3:$E$105,1,FALSE),"0")=BN139,IFERROR(VLOOKUP(BN139,$R$3:$R$105,1,FALSE),"0")=BN139),BO139,IF(OR(VLOOKUP(BN139,Расчет!A:E,5,FALSE)="2PS",VLOOKUP(BN139,Расчет!A:E,5,FALSE)="2QL"),IF(VLOOKUP(BN139,Расчет!A:B,2,FALSE)="831W",BN139-$BS$7+$AD$17,BN139-$BS$7+$AD$12),BN139-$BS$7)),"-")</f>
        <v>57</v>
      </c>
      <c r="BN139" s="154">
        <f>IF(OR(Расчет!C136="A0",Расчет!C136="P9",Расчет!B136="722W"),"-",Расчет!A136)</f>
        <v>11281</v>
      </c>
      <c r="BO139" s="173">
        <f t="shared" si="53"/>
        <v>0</v>
      </c>
      <c r="BP139" s="172">
        <f>IF(BQ139="-","-",IFERROR(IF(OR(VLOOKUP(BN139,Расчет!$A$2:$E$582,5,FALSE)="2PS",VLOOKUP(BN139,Расчет!$A$2:$E$582,5,FALSE)="2QL"),IF(OR(VLOOKUP(BN139,Расчет!$A$2:$E$582,2,FALSE)="664W",VLOOKUP(BN139,Расчет!$A$2:$E$582,2,FALSE)="813W"),IF(BN139-$BS$7&gt;150,BN139-$BS$7-1000+$AD$12,BN139-$BS$7+$AD$12),IF(BN139-$BS$7&gt;150,BN139-$BS$7-1000+$AD$17,BN139-$BS$7+$AD$17)),IF(BN139-$BS$7&gt;150,BN139-$BS$7-1000,BN139-$BS$7)),"-"))</f>
        <v>57</v>
      </c>
      <c r="BQ139" s="173">
        <f t="shared" si="50"/>
        <v>11281</v>
      </c>
      <c r="BR139" s="453"/>
      <c r="BS139" s="171"/>
      <c r="BT139" s="464" t="str">
        <f t="shared" si="51"/>
        <v>-</v>
      </c>
      <c r="BU139" s="464" t="str">
        <f t="shared" si="52"/>
        <v>-</v>
      </c>
      <c r="BX139" s="204">
        <f>COUNTIF($BY$4:BY139,"&lt;100")</f>
        <v>59</v>
      </c>
      <c r="BY139" s="213" t="str">
        <f t="shared" ref="BY139:BZ170" si="55">AM35</f>
        <v/>
      </c>
      <c r="BZ139" s="216" t="str">
        <f t="shared" si="55"/>
        <v/>
      </c>
      <c r="CA139" s="213" t="e">
        <f t="shared" si="48"/>
        <v>#N/A</v>
      </c>
      <c r="CB139" s="209" t="e">
        <f t="shared" si="49"/>
        <v>#N/A</v>
      </c>
      <c r="CC139" s="205" t="str">
        <f t="shared" si="54"/>
        <v/>
      </c>
      <c r="CD139" s="205" t="str">
        <f t="shared" si="45"/>
        <v>-</v>
      </c>
      <c r="CE139" s="204">
        <f t="shared" si="46"/>
        <v>0</v>
      </c>
      <c r="CG139" s="20" t="str">
        <f t="shared" si="47"/>
        <v/>
      </c>
    </row>
    <row r="140" spans="14:85" ht="21">
      <c r="N140" s="8"/>
      <c r="O140" s="8"/>
      <c r="AJ140"/>
      <c r="AK140"/>
      <c r="AL140"/>
      <c r="AM140" s="87"/>
      <c r="AN140" s="87"/>
      <c r="AO140" s="14" t="str">
        <f>IF(R37="","",COUNTA($R$3:R37)+$AO$105)</f>
        <v/>
      </c>
      <c r="AP140" s="88" t="str">
        <f>IF(AO140="","",IF(AO140+Расчет!$Y$57+$BD$2-Расчет!$X$57&gt;200,AO140+Расчет!$Y$57+$BD$2-1000,AO140+Расчет!$Y$57+$BD$2))</f>
        <v/>
      </c>
      <c r="BL140" s="172">
        <f>COUNTIF($BM$5:BM140,"&lt;-115")</f>
        <v>0</v>
      </c>
      <c r="BM140" s="154">
        <f>IFERROR(IF(OR(IFERROR(VLOOKUP(BN140,$E$3:$E$105,1,FALSE),"0")=BN140,IFERROR(VLOOKUP(BN140,$R$3:$R$105,1,FALSE),"0")=BN140),BO140,IF(OR(VLOOKUP(BN140,Расчет!A:E,5,FALSE)="2PS",VLOOKUP(BN140,Расчет!A:E,5,FALSE)="2QL"),IF(VLOOKUP(BN140,Расчет!A:B,2,FALSE)="831W",BN140-$BS$7+$AD$17,BN140-$BS$7+$AD$12),BN140-$BS$7)),"-")</f>
        <v>158</v>
      </c>
      <c r="BN140" s="154">
        <f>IF(OR(Расчет!C137="A0",Расчет!C137="P9",Расчет!B137="722W"),"-",Расчет!A137)</f>
        <v>11282</v>
      </c>
      <c r="BO140" s="173">
        <f t="shared" si="53"/>
        <v>0</v>
      </c>
      <c r="BP140" s="172">
        <f>IF(BQ140="-","-",IFERROR(IF(OR(VLOOKUP(BN140,Расчет!$A$2:$E$582,5,FALSE)="2PS",VLOOKUP(BN140,Расчет!$A$2:$E$582,5,FALSE)="2QL"),IF(OR(VLOOKUP(BN140,Расчет!$A$2:$E$582,2,FALSE)="664W",VLOOKUP(BN140,Расчет!$A$2:$E$582,2,FALSE)="813W"),IF(BN140-$BS$7&gt;150,BN140-$BS$7-1000+$AD$12,BN140-$BS$7+$AD$12),IF(BN140-$BS$7&gt;150,BN140-$BS$7-1000+$AD$17,BN140-$BS$7+$AD$17)),IF(BN140-$BS$7&gt;150,BN140-$BS$7-1000,BN140-$BS$7)),"-"))</f>
        <v>158</v>
      </c>
      <c r="BQ140" s="173">
        <f t="shared" si="50"/>
        <v>11282</v>
      </c>
      <c r="BR140" s="453"/>
      <c r="BS140" s="171"/>
      <c r="BT140" s="464" t="str">
        <f t="shared" si="51"/>
        <v>-</v>
      </c>
      <c r="BU140" s="464" t="str">
        <f t="shared" si="52"/>
        <v>-</v>
      </c>
      <c r="BX140" s="204">
        <f>COUNTIF($BY$4:BY140,"&lt;100")</f>
        <v>59</v>
      </c>
      <c r="BY140" s="213" t="str">
        <f t="shared" si="55"/>
        <v/>
      </c>
      <c r="BZ140" s="216" t="str">
        <f t="shared" si="55"/>
        <v/>
      </c>
      <c r="CA140" s="213" t="e">
        <f t="shared" si="48"/>
        <v>#N/A</v>
      </c>
      <c r="CB140" s="209" t="e">
        <f t="shared" si="49"/>
        <v>#N/A</v>
      </c>
      <c r="CC140" s="205" t="str">
        <f t="shared" si="54"/>
        <v/>
      </c>
      <c r="CD140" s="205" t="str">
        <f t="shared" si="45"/>
        <v>-</v>
      </c>
      <c r="CE140" s="204">
        <f t="shared" si="46"/>
        <v>0</v>
      </c>
      <c r="CG140" s="20" t="str">
        <f t="shared" si="47"/>
        <v/>
      </c>
    </row>
    <row r="141" spans="14:85" ht="21">
      <c r="N141" s="8"/>
      <c r="O141" s="8"/>
      <c r="AJ141"/>
      <c r="AK141"/>
      <c r="AL141"/>
      <c r="AM141" s="87"/>
      <c r="AN141" s="87"/>
      <c r="AO141" s="14" t="str">
        <f>IF(R38="","",COUNTA($R$3:R38)+$AO$105)</f>
        <v/>
      </c>
      <c r="AP141" s="88" t="str">
        <f>IF(AO141="","",IF(AO141+Расчет!$Y$57+$BD$2-Расчет!$X$57&gt;200,AO141+Расчет!$Y$57+$BD$2-1000,AO141+Расчет!$Y$57+$BD$2))</f>
        <v/>
      </c>
      <c r="BL141" s="172">
        <f>COUNTIF($BM$5:BM141,"&lt;-115")</f>
        <v>0</v>
      </c>
      <c r="BM141" s="154">
        <f>IFERROR(IF(OR(IFERROR(VLOOKUP(BN141,$E$3:$E$105,1,FALSE),"0")=BN141,IFERROR(VLOOKUP(BN141,$R$3:$R$105,1,FALSE),"0")=BN141),BO141,IF(OR(VLOOKUP(BN141,Расчет!A:E,5,FALSE)="2PS",VLOOKUP(BN141,Расчет!A:E,5,FALSE)="2QL"),IF(VLOOKUP(BN141,Расчет!A:B,2,FALSE)="831W",BN141-$BS$7+$AD$17,BN141-$BS$7+$AD$12),BN141-$BS$7)),"-")</f>
        <v>59</v>
      </c>
      <c r="BN141" s="154">
        <f>IF(OR(Расчет!C138="A0",Расчет!C138="P9",Расчет!B138="722W"),"-",Расчет!A138)</f>
        <v>11283</v>
      </c>
      <c r="BO141" s="173">
        <f t="shared" si="53"/>
        <v>0</v>
      </c>
      <c r="BP141" s="172">
        <f>IF(BQ141="-","-",IFERROR(IF(OR(VLOOKUP(BN141,Расчет!$A$2:$E$582,5,FALSE)="2PS",VLOOKUP(BN141,Расчет!$A$2:$E$582,5,FALSE)="2QL"),IF(OR(VLOOKUP(BN141,Расчет!$A$2:$E$582,2,FALSE)="664W",VLOOKUP(BN141,Расчет!$A$2:$E$582,2,FALSE)="813W"),IF(BN141-$BS$7&gt;150,BN141-$BS$7-1000+$AD$12,BN141-$BS$7+$AD$12),IF(BN141-$BS$7&gt;150,BN141-$BS$7-1000+$AD$17,BN141-$BS$7+$AD$17)),IF(BN141-$BS$7&gt;150,BN141-$BS$7-1000,BN141-$BS$7)),"-"))</f>
        <v>59</v>
      </c>
      <c r="BQ141" s="173">
        <f t="shared" si="50"/>
        <v>11283</v>
      </c>
      <c r="BR141" s="453"/>
      <c r="BS141" s="171"/>
      <c r="BT141" s="464" t="str">
        <f t="shared" si="51"/>
        <v>-</v>
      </c>
      <c r="BU141" s="464" t="str">
        <f t="shared" si="52"/>
        <v>-</v>
      </c>
      <c r="BX141" s="204">
        <f>COUNTIF($BY$4:BY141,"&lt;100")</f>
        <v>59</v>
      </c>
      <c r="BY141" s="213" t="str">
        <f t="shared" si="55"/>
        <v/>
      </c>
      <c r="BZ141" s="216" t="str">
        <f t="shared" si="55"/>
        <v/>
      </c>
      <c r="CA141" s="213" t="e">
        <f t="shared" si="48"/>
        <v>#N/A</v>
      </c>
      <c r="CB141" s="209" t="e">
        <f t="shared" si="49"/>
        <v>#N/A</v>
      </c>
      <c r="CC141" s="205" t="str">
        <f t="shared" si="54"/>
        <v/>
      </c>
      <c r="CD141" s="205" t="str">
        <f t="shared" si="45"/>
        <v>-</v>
      </c>
      <c r="CE141" s="204">
        <f t="shared" si="46"/>
        <v>0</v>
      </c>
      <c r="CG141" s="20" t="str">
        <f t="shared" si="47"/>
        <v/>
      </c>
    </row>
    <row r="142" spans="14:85" ht="21">
      <c r="N142" s="8"/>
      <c r="O142" s="8"/>
      <c r="AJ142"/>
      <c r="AK142"/>
      <c r="AL142"/>
      <c r="AM142" s="87"/>
      <c r="AN142" s="87"/>
      <c r="AO142" s="14" t="str">
        <f>IF(R39="","",COUNTA($R$3:R39)+$AO$105)</f>
        <v/>
      </c>
      <c r="AP142" s="88" t="str">
        <f>IF(AO142="","",IF(AO142+Расчет!$Y$57+$BD$2-Расчет!$X$57&gt;200,AO142+Расчет!$Y$57+$BD$2-1000,AO142+Расчет!$Y$57+$BD$2))</f>
        <v/>
      </c>
      <c r="BL142" s="172">
        <f>COUNTIF($BM$5:BM142,"&lt;-115")</f>
        <v>0</v>
      </c>
      <c r="BM142" s="154">
        <f>IFERROR(IF(OR(IFERROR(VLOOKUP(BN142,$E$3:$E$105,1,FALSE),"0")=BN142,IFERROR(VLOOKUP(BN142,$R$3:$R$105,1,FALSE),"0")=BN142),BO142,IF(OR(VLOOKUP(BN142,Расчет!A:E,5,FALSE)="2PS",VLOOKUP(BN142,Расчет!A:E,5,FALSE)="2QL"),IF(VLOOKUP(BN142,Расчет!A:B,2,FALSE)="831W",BN142-$BS$7+$AD$17,BN142-$BS$7+$AD$12),BN142-$BS$7)),"-")</f>
        <v>60</v>
      </c>
      <c r="BN142" s="154">
        <f>IF(OR(Расчет!C139="A0",Расчет!C139="P9",Расчет!B139="722W"),"-",Расчет!A139)</f>
        <v>11284</v>
      </c>
      <c r="BO142" s="173">
        <f t="shared" si="53"/>
        <v>0</v>
      </c>
      <c r="BP142" s="172">
        <f>IF(BQ142="-","-",IFERROR(IF(OR(VLOOKUP(BN142,Расчет!$A$2:$E$582,5,FALSE)="2PS",VLOOKUP(BN142,Расчет!$A$2:$E$582,5,FALSE)="2QL"),IF(OR(VLOOKUP(BN142,Расчет!$A$2:$E$582,2,FALSE)="664W",VLOOKUP(BN142,Расчет!$A$2:$E$582,2,FALSE)="813W"),IF(BN142-$BS$7&gt;150,BN142-$BS$7-1000+$AD$12,BN142-$BS$7+$AD$12),IF(BN142-$BS$7&gt;150,BN142-$BS$7-1000+$AD$17,BN142-$BS$7+$AD$17)),IF(BN142-$BS$7&gt;150,BN142-$BS$7-1000,BN142-$BS$7)),"-"))</f>
        <v>60</v>
      </c>
      <c r="BQ142" s="173">
        <f t="shared" si="50"/>
        <v>11284</v>
      </c>
      <c r="BR142" s="453"/>
      <c r="BS142" s="171"/>
      <c r="BT142" s="464" t="str">
        <f t="shared" si="51"/>
        <v>-</v>
      </c>
      <c r="BU142" s="464" t="str">
        <f t="shared" si="52"/>
        <v>-</v>
      </c>
      <c r="BX142" s="204">
        <f>COUNTIF($BY$4:BY142,"&lt;100")</f>
        <v>59</v>
      </c>
      <c r="BY142" s="213" t="str">
        <f t="shared" si="55"/>
        <v/>
      </c>
      <c r="BZ142" s="216" t="str">
        <f t="shared" si="55"/>
        <v/>
      </c>
      <c r="CA142" s="213" t="e">
        <f t="shared" si="48"/>
        <v>#N/A</v>
      </c>
      <c r="CB142" s="209" t="e">
        <f t="shared" si="49"/>
        <v>#N/A</v>
      </c>
      <c r="CC142" s="205" t="str">
        <f t="shared" si="54"/>
        <v/>
      </c>
      <c r="CD142" s="205" t="str">
        <f t="shared" si="45"/>
        <v>-</v>
      </c>
      <c r="CE142" s="204">
        <f t="shared" si="46"/>
        <v>0</v>
      </c>
      <c r="CG142" s="20" t="str">
        <f t="shared" si="47"/>
        <v/>
      </c>
    </row>
    <row r="143" spans="14:85" ht="21">
      <c r="N143" s="8"/>
      <c r="O143" s="8"/>
      <c r="AJ143"/>
      <c r="AK143"/>
      <c r="AL143"/>
      <c r="AM143" s="87"/>
      <c r="AN143" s="87"/>
      <c r="AO143" s="14" t="str">
        <f>IF(R40="","",COUNTA($R$3:R40)+$AO$105)</f>
        <v/>
      </c>
      <c r="AP143" s="88" t="str">
        <f>IF(AO143="","",IF(AO143+Расчет!$Y$57+$BD$2-Расчет!$X$57&gt;200,AO143+Расчет!$Y$57+$BD$2-1000,AO143+Расчет!$Y$57+$BD$2))</f>
        <v/>
      </c>
      <c r="BL143" s="172">
        <f>COUNTIF($BM$5:BM143,"&lt;-115")</f>
        <v>0</v>
      </c>
      <c r="BM143" s="154">
        <f>IFERROR(IF(OR(IFERROR(VLOOKUP(BN143,$E$3:$E$105,1,FALSE),"0")=BN143,IFERROR(VLOOKUP(BN143,$R$3:$R$105,1,FALSE),"0")=BN143),BO143,IF(OR(VLOOKUP(BN143,Расчет!A:E,5,FALSE)="2PS",VLOOKUP(BN143,Расчет!A:E,5,FALSE)="2QL"),IF(VLOOKUP(BN143,Расчет!A:B,2,FALSE)="831W",BN143-$BS$7+$AD$17,BN143-$BS$7+$AD$12),BN143-$BS$7)),"-")</f>
        <v>61</v>
      </c>
      <c r="BN143" s="154">
        <f>IF(OR(Расчет!C140="A0",Расчет!C140="P9",Расчет!B140="722W"),"-",Расчет!A140)</f>
        <v>11285</v>
      </c>
      <c r="BO143" s="173">
        <f t="shared" si="53"/>
        <v>0</v>
      </c>
      <c r="BP143" s="172">
        <f>IF(BQ143="-","-",IFERROR(IF(OR(VLOOKUP(BN143,Расчет!$A$2:$E$582,5,FALSE)="2PS",VLOOKUP(BN143,Расчет!$A$2:$E$582,5,FALSE)="2QL"),IF(OR(VLOOKUP(BN143,Расчет!$A$2:$E$582,2,FALSE)="664W",VLOOKUP(BN143,Расчет!$A$2:$E$582,2,FALSE)="813W"),IF(BN143-$BS$7&gt;150,BN143-$BS$7-1000+$AD$12,BN143-$BS$7+$AD$12),IF(BN143-$BS$7&gt;150,BN143-$BS$7-1000+$AD$17,BN143-$BS$7+$AD$17)),IF(BN143-$BS$7&gt;150,BN143-$BS$7-1000,BN143-$BS$7)),"-"))</f>
        <v>61</v>
      </c>
      <c r="BQ143" s="173">
        <f t="shared" si="50"/>
        <v>11285</v>
      </c>
      <c r="BR143" s="453"/>
      <c r="BS143" s="171"/>
      <c r="BT143" s="464" t="str">
        <f t="shared" si="51"/>
        <v>-</v>
      </c>
      <c r="BU143" s="464" t="str">
        <f t="shared" si="52"/>
        <v>-</v>
      </c>
      <c r="BX143" s="204">
        <f>COUNTIF($BY$4:BY143,"&lt;100")</f>
        <v>59</v>
      </c>
      <c r="BY143" s="213" t="str">
        <f t="shared" si="55"/>
        <v/>
      </c>
      <c r="BZ143" s="216" t="str">
        <f t="shared" si="55"/>
        <v/>
      </c>
      <c r="CA143" s="213" t="e">
        <f t="shared" si="48"/>
        <v>#N/A</v>
      </c>
      <c r="CB143" s="209" t="e">
        <f t="shared" si="49"/>
        <v>#N/A</v>
      </c>
      <c r="CC143" s="205" t="str">
        <f t="shared" si="54"/>
        <v/>
      </c>
      <c r="CD143" s="205" t="str">
        <f t="shared" si="45"/>
        <v>-</v>
      </c>
      <c r="CE143" s="204">
        <f t="shared" si="46"/>
        <v>0</v>
      </c>
      <c r="CG143" s="20" t="str">
        <f t="shared" si="47"/>
        <v/>
      </c>
    </row>
    <row r="144" spans="14:85" ht="21">
      <c r="N144" s="8"/>
      <c r="O144" s="8"/>
      <c r="AJ144"/>
      <c r="AK144"/>
      <c r="AL144"/>
      <c r="AM144" s="87"/>
      <c r="AN144" s="87"/>
      <c r="AO144" s="14" t="str">
        <f>IF(R41="","",COUNTA($R$3:R41)+$AO$105)</f>
        <v/>
      </c>
      <c r="AP144" s="88" t="str">
        <f>IF(AO144="","",IF(AO144+Расчет!$Y$57+$BD$2-Расчет!$X$57&gt;200,AO144+Расчет!$Y$57+$BD$2-1000,AO144+Расчет!$Y$57+$BD$2))</f>
        <v/>
      </c>
      <c r="BL144" s="172">
        <f>COUNTIF($BM$5:BM144,"&lt;-115")</f>
        <v>0</v>
      </c>
      <c r="BM144" s="154">
        <f>IFERROR(IF(OR(IFERROR(VLOOKUP(BN144,$E$3:$E$105,1,FALSE),"0")=BN144,IFERROR(VLOOKUP(BN144,$R$3:$R$105,1,FALSE),"0")=BN144),BO144,IF(OR(VLOOKUP(BN144,Расчет!A:E,5,FALSE)="2PS",VLOOKUP(BN144,Расчет!A:E,5,FALSE)="2QL"),IF(VLOOKUP(BN144,Расчет!A:B,2,FALSE)="831W",BN144-$BS$7+$AD$17,BN144-$BS$7+$AD$12),BN144-$BS$7)),"-")</f>
        <v>62</v>
      </c>
      <c r="BN144" s="154">
        <f>IF(OR(Расчет!C141="A0",Расчет!C141="P9",Расчет!B141="722W"),"-",Расчет!A141)</f>
        <v>11286</v>
      </c>
      <c r="BO144" s="173">
        <f t="shared" si="53"/>
        <v>0</v>
      </c>
      <c r="BP144" s="172">
        <f>IF(BQ144="-","-",IFERROR(IF(OR(VLOOKUP(BN144,Расчет!$A$2:$E$582,5,FALSE)="2PS",VLOOKUP(BN144,Расчет!$A$2:$E$582,5,FALSE)="2QL"),IF(OR(VLOOKUP(BN144,Расчет!$A$2:$E$582,2,FALSE)="664W",VLOOKUP(BN144,Расчет!$A$2:$E$582,2,FALSE)="813W"),IF(BN144-$BS$7&gt;150,BN144-$BS$7-1000+$AD$12,BN144-$BS$7+$AD$12),IF(BN144-$BS$7&gt;150,BN144-$BS$7-1000+$AD$17,BN144-$BS$7+$AD$17)),IF(BN144-$BS$7&gt;150,BN144-$BS$7-1000,BN144-$BS$7)),"-"))</f>
        <v>62</v>
      </c>
      <c r="BQ144" s="173">
        <f t="shared" si="50"/>
        <v>11286</v>
      </c>
      <c r="BR144" s="453"/>
      <c r="BS144" s="171"/>
      <c r="BT144" s="464" t="str">
        <f t="shared" si="51"/>
        <v>-</v>
      </c>
      <c r="BU144" s="464" t="str">
        <f t="shared" si="52"/>
        <v>-</v>
      </c>
      <c r="BX144" s="204">
        <f>COUNTIF($BY$4:BY144,"&lt;100")</f>
        <v>59</v>
      </c>
      <c r="BY144" s="213" t="str">
        <f t="shared" si="55"/>
        <v/>
      </c>
      <c r="BZ144" s="216" t="str">
        <f t="shared" si="55"/>
        <v/>
      </c>
      <c r="CA144" s="213" t="e">
        <f t="shared" si="48"/>
        <v>#N/A</v>
      </c>
      <c r="CB144" s="209" t="e">
        <f t="shared" si="49"/>
        <v>#N/A</v>
      </c>
      <c r="CC144" s="205" t="str">
        <f t="shared" si="54"/>
        <v/>
      </c>
      <c r="CD144" s="205" t="str">
        <f t="shared" si="45"/>
        <v>-</v>
      </c>
      <c r="CE144" s="204">
        <f t="shared" si="46"/>
        <v>0</v>
      </c>
      <c r="CG144" s="20" t="str">
        <f t="shared" si="47"/>
        <v/>
      </c>
    </row>
    <row r="145" spans="36:85" ht="21">
      <c r="AJ145"/>
      <c r="AK145"/>
      <c r="AL145"/>
      <c r="AM145" s="87"/>
      <c r="AN145" s="87"/>
      <c r="AO145" s="14" t="str">
        <f>IF(R42="","",COUNTA($R$3:R42)+$AO$105)</f>
        <v/>
      </c>
      <c r="AP145" s="88" t="str">
        <f>IF(AO145="","",IF(AO145+Расчет!$Y$57+$BD$2-Расчет!$X$57&gt;200,AO145+Расчет!$Y$57+$BD$2-1000,AO145+Расчет!$Y$57+$BD$2))</f>
        <v/>
      </c>
      <c r="BL145" s="172">
        <f>COUNTIF($BM$5:BM145,"&lt;-115")</f>
        <v>0</v>
      </c>
      <c r="BM145" s="154">
        <f>IFERROR(IF(OR(IFERROR(VLOOKUP(BN145,$E$3:$E$105,1,FALSE),"0")=BN145,IFERROR(VLOOKUP(BN145,$R$3:$R$105,1,FALSE),"0")=BN145),BO145,IF(OR(VLOOKUP(BN145,Расчет!A:E,5,FALSE)="2PS",VLOOKUP(BN145,Расчет!A:E,5,FALSE)="2QL"),IF(VLOOKUP(BN145,Расчет!A:B,2,FALSE)="831W",BN145-$BS$7+$AD$17,BN145-$BS$7+$AD$12),BN145-$BS$7)),"-")</f>
        <v>63</v>
      </c>
      <c r="BN145" s="154">
        <f>IF(OR(Расчет!C142="A0",Расчет!C142="P9",Расчет!B142="722W"),"-",Расчет!A142)</f>
        <v>11287</v>
      </c>
      <c r="BO145" s="173">
        <f t="shared" si="53"/>
        <v>0</v>
      </c>
      <c r="BP145" s="172">
        <f>IF(BQ145="-","-",IFERROR(IF(OR(VLOOKUP(BN145,Расчет!$A$2:$E$582,5,FALSE)="2PS",VLOOKUP(BN145,Расчет!$A$2:$E$582,5,FALSE)="2QL"),IF(OR(VLOOKUP(BN145,Расчет!$A$2:$E$582,2,FALSE)="664W",VLOOKUP(BN145,Расчет!$A$2:$E$582,2,FALSE)="813W"),IF(BN145-$BS$7&gt;150,BN145-$BS$7-1000+$AD$12,BN145-$BS$7+$AD$12),IF(BN145-$BS$7&gt;150,BN145-$BS$7-1000+$AD$17,BN145-$BS$7+$AD$17)),IF(BN145-$BS$7&gt;150,BN145-$BS$7-1000,BN145-$BS$7)),"-"))</f>
        <v>63</v>
      </c>
      <c r="BQ145" s="173">
        <f t="shared" si="50"/>
        <v>11287</v>
      </c>
      <c r="BR145" s="453"/>
      <c r="BS145" s="171"/>
      <c r="BT145" s="464" t="str">
        <f t="shared" si="51"/>
        <v>-</v>
      </c>
      <c r="BU145" s="464" t="str">
        <f t="shared" si="52"/>
        <v>-</v>
      </c>
      <c r="BX145" s="204">
        <f>COUNTIF($BY$4:BY145,"&lt;100")</f>
        <v>59</v>
      </c>
      <c r="BY145" s="213" t="str">
        <f t="shared" si="55"/>
        <v/>
      </c>
      <c r="BZ145" s="216" t="str">
        <f t="shared" si="55"/>
        <v/>
      </c>
      <c r="CA145" s="213" t="e">
        <f t="shared" si="48"/>
        <v>#N/A</v>
      </c>
      <c r="CB145" s="209" t="e">
        <f t="shared" si="49"/>
        <v>#N/A</v>
      </c>
      <c r="CC145" s="205" t="str">
        <f t="shared" si="54"/>
        <v/>
      </c>
      <c r="CD145" s="205" t="str">
        <f t="shared" si="45"/>
        <v>-</v>
      </c>
      <c r="CE145" s="204">
        <f t="shared" si="46"/>
        <v>0</v>
      </c>
      <c r="CG145" s="20" t="str">
        <f t="shared" si="47"/>
        <v/>
      </c>
    </row>
    <row r="146" spans="36:85" ht="21">
      <c r="AJ146"/>
      <c r="AK146"/>
      <c r="AL146"/>
      <c r="AM146" s="87"/>
      <c r="AN146" s="87"/>
      <c r="AO146" s="14" t="str">
        <f>IF(R43="","",COUNTA($R$3:R43)+$AO$105)</f>
        <v/>
      </c>
      <c r="AP146" s="88" t="str">
        <f>IF(AO146="","",IF(AO146+Расчет!$Y$57+$BD$2-Расчет!$X$57&gt;200,AO146+Расчет!$Y$57+$BD$2-1000,AO146+Расчет!$Y$57+$BD$2))</f>
        <v/>
      </c>
      <c r="BL146" s="172">
        <f>COUNTIF($BM$5:BM146,"&lt;-115")</f>
        <v>0</v>
      </c>
      <c r="BM146" s="154">
        <f>IFERROR(IF(OR(IFERROR(VLOOKUP(BN146,$E$3:$E$105,1,FALSE),"0")=BN146,IFERROR(VLOOKUP(BN146,$R$3:$R$105,1,FALSE),"0")=BN146),BO146,IF(OR(VLOOKUP(BN146,Расчет!A:E,5,FALSE)="2PS",VLOOKUP(BN146,Расчет!A:E,5,FALSE)="2QL"),IF(VLOOKUP(BN146,Расчет!A:B,2,FALSE)="831W",BN146-$BS$7+$AD$17,BN146-$BS$7+$AD$12),BN146-$BS$7)),"-")</f>
        <v>64</v>
      </c>
      <c r="BN146" s="154">
        <f>IF(OR(Расчет!C143="A0",Расчет!C143="P9",Расчет!B143="722W"),"-",Расчет!A143)</f>
        <v>11288</v>
      </c>
      <c r="BO146" s="173">
        <f t="shared" si="53"/>
        <v>0</v>
      </c>
      <c r="BP146" s="172">
        <f>IF(BQ146="-","-",IFERROR(IF(OR(VLOOKUP(BN146,Расчет!$A$2:$E$582,5,FALSE)="2PS",VLOOKUP(BN146,Расчет!$A$2:$E$582,5,FALSE)="2QL"),IF(OR(VLOOKUP(BN146,Расчет!$A$2:$E$582,2,FALSE)="664W",VLOOKUP(BN146,Расчет!$A$2:$E$582,2,FALSE)="813W"),IF(BN146-$BS$7&gt;150,BN146-$BS$7-1000+$AD$12,BN146-$BS$7+$AD$12),IF(BN146-$BS$7&gt;150,BN146-$BS$7-1000+$AD$17,BN146-$BS$7+$AD$17)),IF(BN146-$BS$7&gt;150,BN146-$BS$7-1000,BN146-$BS$7)),"-"))</f>
        <v>64</v>
      </c>
      <c r="BQ146" s="173">
        <f t="shared" si="50"/>
        <v>11288</v>
      </c>
      <c r="BR146" s="453"/>
      <c r="BS146" s="171"/>
      <c r="BT146" s="464" t="str">
        <f t="shared" si="51"/>
        <v>-</v>
      </c>
      <c r="BU146" s="464" t="str">
        <f t="shared" si="52"/>
        <v>-</v>
      </c>
      <c r="BX146" s="204">
        <f>COUNTIF($BY$4:BY146,"&lt;100")</f>
        <v>59</v>
      </c>
      <c r="BY146" s="213" t="str">
        <f t="shared" si="55"/>
        <v/>
      </c>
      <c r="BZ146" s="216" t="str">
        <f t="shared" si="55"/>
        <v/>
      </c>
      <c r="CA146" s="213" t="e">
        <f t="shared" si="48"/>
        <v>#N/A</v>
      </c>
      <c r="CB146" s="209" t="e">
        <f t="shared" si="49"/>
        <v>#N/A</v>
      </c>
      <c r="CC146" s="205" t="str">
        <f t="shared" si="54"/>
        <v/>
      </c>
      <c r="CD146" s="205" t="str">
        <f t="shared" si="45"/>
        <v>-</v>
      </c>
      <c r="CE146" s="204">
        <f t="shared" si="46"/>
        <v>0</v>
      </c>
      <c r="CG146" s="20" t="str">
        <f t="shared" si="47"/>
        <v/>
      </c>
    </row>
    <row r="147" spans="36:85" ht="21">
      <c r="AJ147"/>
      <c r="AK147"/>
      <c r="AL147"/>
      <c r="AM147" s="87"/>
      <c r="AN147" s="87"/>
      <c r="AO147" s="14" t="str">
        <f>IF(R44="","",COUNTA($R$3:R44)+$AO$105)</f>
        <v/>
      </c>
      <c r="AP147" s="88" t="str">
        <f>IF(AO147="","",IF(AO147+Расчет!$Y$57+$BD$2-Расчет!$X$57&gt;200,AO147+Расчет!$Y$57+$BD$2-1000,AO147+Расчет!$Y$57+$BD$2))</f>
        <v/>
      </c>
      <c r="BL147" s="172">
        <f>COUNTIF($BM$5:BM147,"&lt;-115")</f>
        <v>0</v>
      </c>
      <c r="BM147" s="154">
        <f>IFERROR(IF(OR(IFERROR(VLOOKUP(BN147,$E$3:$E$105,1,FALSE),"0")=BN147,IFERROR(VLOOKUP(BN147,$R$3:$R$105,1,FALSE),"0")=BN147),BO147,IF(OR(VLOOKUP(BN147,Расчет!A:E,5,FALSE)="2PS",VLOOKUP(BN147,Расчет!A:E,5,FALSE)="2QL"),IF(VLOOKUP(BN147,Расчет!A:B,2,FALSE)="831W",BN147-$BS$7+$AD$17,BN147-$BS$7+$AD$12),BN147-$BS$7)),"-")</f>
        <v>65</v>
      </c>
      <c r="BN147" s="154">
        <f>IF(OR(Расчет!C144="A0",Расчет!C144="P9",Расчет!B144="722W"),"-",Расчет!A144)</f>
        <v>11289</v>
      </c>
      <c r="BO147" s="173">
        <f t="shared" si="53"/>
        <v>0</v>
      </c>
      <c r="BP147" s="172">
        <f>IF(BQ147="-","-",IFERROR(IF(OR(VLOOKUP(BN147,Расчет!$A$2:$E$582,5,FALSE)="2PS",VLOOKUP(BN147,Расчет!$A$2:$E$582,5,FALSE)="2QL"),IF(OR(VLOOKUP(BN147,Расчет!$A$2:$E$582,2,FALSE)="664W",VLOOKUP(BN147,Расчет!$A$2:$E$582,2,FALSE)="813W"),IF(BN147-$BS$7&gt;150,BN147-$BS$7-1000+$AD$12,BN147-$BS$7+$AD$12),IF(BN147-$BS$7&gt;150,BN147-$BS$7-1000+$AD$17,BN147-$BS$7+$AD$17)),IF(BN147-$BS$7&gt;150,BN147-$BS$7-1000,BN147-$BS$7)),"-"))</f>
        <v>65</v>
      </c>
      <c r="BQ147" s="173">
        <f t="shared" si="50"/>
        <v>11289</v>
      </c>
      <c r="BR147" s="453"/>
      <c r="BS147" s="171"/>
      <c r="BT147" s="464" t="str">
        <f t="shared" si="51"/>
        <v>-</v>
      </c>
      <c r="BU147" s="464" t="str">
        <f t="shared" si="52"/>
        <v>-</v>
      </c>
      <c r="BX147" s="204">
        <f>COUNTIF($BY$4:BY147,"&lt;100")</f>
        <v>59</v>
      </c>
      <c r="BY147" s="213" t="str">
        <f t="shared" si="55"/>
        <v/>
      </c>
      <c r="BZ147" s="216" t="str">
        <f t="shared" si="55"/>
        <v/>
      </c>
      <c r="CA147" s="213" t="e">
        <f t="shared" si="48"/>
        <v>#N/A</v>
      </c>
      <c r="CB147" s="209" t="e">
        <f t="shared" si="49"/>
        <v>#N/A</v>
      </c>
      <c r="CC147" s="205" t="str">
        <f t="shared" si="54"/>
        <v/>
      </c>
      <c r="CD147" s="205" t="str">
        <f t="shared" si="45"/>
        <v>-</v>
      </c>
      <c r="CE147" s="204">
        <f t="shared" si="46"/>
        <v>0</v>
      </c>
      <c r="CG147" s="20" t="str">
        <f t="shared" si="47"/>
        <v/>
      </c>
    </row>
    <row r="148" spans="36:85" ht="21">
      <c r="AJ148"/>
      <c r="AK148"/>
      <c r="AL148"/>
      <c r="AM148" s="87"/>
      <c r="AN148" s="87"/>
      <c r="AO148" s="14" t="str">
        <f>IF(R45="","",COUNTA($R$3:R45)+$AO$105)</f>
        <v/>
      </c>
      <c r="AP148" s="88" t="str">
        <f>IF(AO148="","",IF(AO148+Расчет!$Y$57+$BD$2-Расчет!$X$57&gt;200,AO148+Расчет!$Y$57+$BD$2-1000,AO148+Расчет!$Y$57+$BD$2))</f>
        <v/>
      </c>
      <c r="BL148" s="172">
        <f>COUNTIF($BM$5:BM148,"&lt;-115")</f>
        <v>0</v>
      </c>
      <c r="BM148" s="154">
        <f>IFERROR(IF(OR(IFERROR(VLOOKUP(BN148,$E$3:$E$105,1,FALSE),"0")=BN148,IFERROR(VLOOKUP(BN148,$R$3:$R$105,1,FALSE),"0")=BN148),BO148,IF(OR(VLOOKUP(BN148,Расчет!A:E,5,FALSE)="2PS",VLOOKUP(BN148,Расчет!A:E,5,FALSE)="2QL"),IF(VLOOKUP(BN148,Расчет!A:B,2,FALSE)="831W",BN148-$BS$7+$AD$17,BN148-$BS$7+$AD$12),BN148-$BS$7)),"-")</f>
        <v>66</v>
      </c>
      <c r="BN148" s="154">
        <f>IF(OR(Расчет!C145="A0",Расчет!C145="P9",Расчет!B145="722W"),"-",Расчет!A145)</f>
        <v>11290</v>
      </c>
      <c r="BO148" s="173">
        <f t="shared" si="53"/>
        <v>0</v>
      </c>
      <c r="BP148" s="172">
        <f>IF(BQ148="-","-",IFERROR(IF(OR(VLOOKUP(BN148,Расчет!$A$2:$E$582,5,FALSE)="2PS",VLOOKUP(BN148,Расчет!$A$2:$E$582,5,FALSE)="2QL"),IF(OR(VLOOKUP(BN148,Расчет!$A$2:$E$582,2,FALSE)="664W",VLOOKUP(BN148,Расчет!$A$2:$E$582,2,FALSE)="813W"),IF(BN148-$BS$7&gt;150,BN148-$BS$7-1000+$AD$12,BN148-$BS$7+$AD$12),IF(BN148-$BS$7&gt;150,BN148-$BS$7-1000+$AD$17,BN148-$BS$7+$AD$17)),IF(BN148-$BS$7&gt;150,BN148-$BS$7-1000,BN148-$BS$7)),"-"))</f>
        <v>66</v>
      </c>
      <c r="BQ148" s="173">
        <f t="shared" si="50"/>
        <v>11290</v>
      </c>
      <c r="BR148" s="453"/>
      <c r="BS148" s="171"/>
      <c r="BT148" s="464" t="str">
        <f t="shared" si="51"/>
        <v>-</v>
      </c>
      <c r="BU148" s="464" t="str">
        <f t="shared" si="52"/>
        <v>-</v>
      </c>
      <c r="BX148" s="204">
        <f>COUNTIF($BY$4:BY148,"&lt;100")</f>
        <v>59</v>
      </c>
      <c r="BY148" s="213" t="str">
        <f t="shared" si="55"/>
        <v/>
      </c>
      <c r="BZ148" s="216" t="str">
        <f t="shared" si="55"/>
        <v/>
      </c>
      <c r="CA148" s="213" t="e">
        <f t="shared" si="48"/>
        <v>#N/A</v>
      </c>
      <c r="CB148" s="209" t="e">
        <f t="shared" si="49"/>
        <v>#N/A</v>
      </c>
      <c r="CC148" s="205" t="str">
        <f t="shared" si="54"/>
        <v/>
      </c>
      <c r="CD148" s="205" t="str">
        <f t="shared" si="45"/>
        <v>-</v>
      </c>
      <c r="CE148" s="204">
        <f t="shared" si="46"/>
        <v>0</v>
      </c>
      <c r="CG148" s="20" t="str">
        <f t="shared" si="47"/>
        <v/>
      </c>
    </row>
    <row r="149" spans="36:85" ht="21">
      <c r="AJ149"/>
      <c r="AK149"/>
      <c r="AL149"/>
      <c r="AM149" s="87"/>
      <c r="AN149" s="87"/>
      <c r="AO149" s="14" t="str">
        <f>IF(R46="","",COUNTA($R$3:R46)+$AO$105)</f>
        <v/>
      </c>
      <c r="AP149" s="88" t="str">
        <f>IF(AO149="","",IF(AO149+Расчет!$Y$57+$BD$2-Расчет!$X$57&gt;200,AO149+Расчет!$Y$57+$BD$2-1000,AO149+Расчет!$Y$57+$BD$2))</f>
        <v/>
      </c>
      <c r="BL149" s="172">
        <f>COUNTIF($BM$5:BM149,"&lt;-115")</f>
        <v>0</v>
      </c>
      <c r="BM149" s="154">
        <f>IFERROR(IF(OR(IFERROR(VLOOKUP(BN149,$E$3:$E$105,1,FALSE),"0")=BN149,IFERROR(VLOOKUP(BN149,$R$3:$R$105,1,FALSE),"0")=BN149),BO149,IF(OR(VLOOKUP(BN149,Расчет!A:E,5,FALSE)="2PS",VLOOKUP(BN149,Расчет!A:E,5,FALSE)="2QL"),IF(VLOOKUP(BN149,Расчет!A:B,2,FALSE)="831W",BN149-$BS$7+$AD$17,BN149-$BS$7+$AD$12),BN149-$BS$7)),"-")</f>
        <v>67</v>
      </c>
      <c r="BN149" s="154">
        <f>IF(OR(Расчет!C146="A0",Расчет!C146="P9",Расчет!B146="722W"),"-",Расчет!A146)</f>
        <v>11291</v>
      </c>
      <c r="BO149" s="173">
        <f t="shared" si="53"/>
        <v>0</v>
      </c>
      <c r="BP149" s="172">
        <f>IF(BQ149="-","-",IFERROR(IF(OR(VLOOKUP(BN149,Расчет!$A$2:$E$582,5,FALSE)="2PS",VLOOKUP(BN149,Расчет!$A$2:$E$582,5,FALSE)="2QL"),IF(OR(VLOOKUP(BN149,Расчет!$A$2:$E$582,2,FALSE)="664W",VLOOKUP(BN149,Расчет!$A$2:$E$582,2,FALSE)="813W"),IF(BN149-$BS$7&gt;150,BN149-$BS$7-1000+$AD$12,BN149-$BS$7+$AD$12),IF(BN149-$BS$7&gt;150,BN149-$BS$7-1000+$AD$17,BN149-$BS$7+$AD$17)),IF(BN149-$BS$7&gt;150,BN149-$BS$7-1000,BN149-$BS$7)),"-"))</f>
        <v>67</v>
      </c>
      <c r="BQ149" s="173">
        <f t="shared" si="50"/>
        <v>11291</v>
      </c>
      <c r="BR149" s="453"/>
      <c r="BS149" s="171"/>
      <c r="BT149" s="464" t="str">
        <f t="shared" si="51"/>
        <v>-</v>
      </c>
      <c r="BU149" s="464" t="str">
        <f t="shared" si="52"/>
        <v>-</v>
      </c>
      <c r="BX149" s="204">
        <f>COUNTIF($BY$4:BY149,"&lt;100")</f>
        <v>59</v>
      </c>
      <c r="BY149" s="213" t="str">
        <f t="shared" si="55"/>
        <v/>
      </c>
      <c r="BZ149" s="216" t="str">
        <f t="shared" si="55"/>
        <v/>
      </c>
      <c r="CA149" s="213" t="e">
        <f t="shared" si="48"/>
        <v>#N/A</v>
      </c>
      <c r="CB149" s="209" t="e">
        <f t="shared" si="49"/>
        <v>#N/A</v>
      </c>
      <c r="CC149" s="205" t="str">
        <f t="shared" si="54"/>
        <v/>
      </c>
      <c r="CD149" s="205" t="str">
        <f t="shared" si="45"/>
        <v>-</v>
      </c>
      <c r="CE149" s="204">
        <f t="shared" si="46"/>
        <v>0</v>
      </c>
      <c r="CG149" s="20" t="str">
        <f t="shared" si="47"/>
        <v/>
      </c>
    </row>
    <row r="150" spans="36:85" ht="21">
      <c r="AJ150"/>
      <c r="AK150"/>
      <c r="AL150"/>
      <c r="AM150" s="87"/>
      <c r="AN150" s="87"/>
      <c r="AO150" s="14" t="str">
        <f>IF(R47="","",COUNTA($R$3:R47)+$AO$105)</f>
        <v/>
      </c>
      <c r="AP150" s="88" t="str">
        <f>IF(AO150="","",IF(AO150+Расчет!$Y$57+$BD$2-Расчет!$X$57&gt;200,AO150+Расчет!$Y$57+$BD$2-1000,AO150+Расчет!$Y$57+$BD$2))</f>
        <v/>
      </c>
      <c r="BL150" s="172">
        <f>COUNTIF($BM$5:BM150,"&lt;-115")</f>
        <v>0</v>
      </c>
      <c r="BM150" s="154">
        <f>IFERROR(IF(OR(IFERROR(VLOOKUP(BN150,$E$3:$E$105,1,FALSE),"0")=BN150,IFERROR(VLOOKUP(BN150,$R$3:$R$105,1,FALSE),"0")=BN150),BO150,IF(OR(VLOOKUP(BN150,Расчет!A:E,5,FALSE)="2PS",VLOOKUP(BN150,Расчет!A:E,5,FALSE)="2QL"),IF(VLOOKUP(BN150,Расчет!A:B,2,FALSE)="831W",BN150-$BS$7+$AD$17,BN150-$BS$7+$AD$12),BN150-$BS$7)),"-")</f>
        <v>179</v>
      </c>
      <c r="BN150" s="154">
        <f>IF(OR(Расчет!C147="A0",Расчет!C147="P9",Расчет!B147="722W"),"-",Расчет!A147)</f>
        <v>11292</v>
      </c>
      <c r="BO150" s="173">
        <f t="shared" si="53"/>
        <v>0</v>
      </c>
      <c r="BP150" s="172">
        <f>IF(BQ150="-","-",IFERROR(IF(OR(VLOOKUP(BN150,Расчет!$A$2:$E$582,5,FALSE)="2PS",VLOOKUP(BN150,Расчет!$A$2:$E$582,5,FALSE)="2QL"),IF(OR(VLOOKUP(BN150,Расчет!$A$2:$E$582,2,FALSE)="664W",VLOOKUP(BN150,Расчет!$A$2:$E$582,2,FALSE)="813W"),IF(BN150-$BS$7&gt;150,BN150-$BS$7-1000+$AD$12,BN150-$BS$7+$AD$12),IF(BN150-$BS$7&gt;150,BN150-$BS$7-1000+$AD$17,BN150-$BS$7+$AD$17)),IF(BN150-$BS$7&gt;150,BN150-$BS$7-1000,BN150-$BS$7)),"-"))</f>
        <v>179</v>
      </c>
      <c r="BQ150" s="173">
        <f t="shared" si="50"/>
        <v>11292</v>
      </c>
      <c r="BR150" s="453"/>
      <c r="BS150" s="171"/>
      <c r="BT150" s="464" t="str">
        <f t="shared" si="51"/>
        <v>-</v>
      </c>
      <c r="BU150" s="464" t="str">
        <f t="shared" si="52"/>
        <v>-</v>
      </c>
      <c r="BX150" s="204">
        <f>COUNTIF($BY$4:BY150,"&lt;100")</f>
        <v>59</v>
      </c>
      <c r="BY150" s="213" t="str">
        <f t="shared" si="55"/>
        <v/>
      </c>
      <c r="BZ150" s="216" t="str">
        <f t="shared" si="55"/>
        <v/>
      </c>
      <c r="CA150" s="213" t="e">
        <f t="shared" si="48"/>
        <v>#N/A</v>
      </c>
      <c r="CB150" s="209" t="e">
        <f t="shared" si="49"/>
        <v>#N/A</v>
      </c>
      <c r="CC150" s="205" t="str">
        <f t="shared" si="54"/>
        <v/>
      </c>
      <c r="CD150" s="205" t="str">
        <f t="shared" si="45"/>
        <v>-</v>
      </c>
      <c r="CE150" s="204">
        <f t="shared" si="46"/>
        <v>0</v>
      </c>
      <c r="CG150" s="20" t="str">
        <f t="shared" si="47"/>
        <v/>
      </c>
    </row>
    <row r="151" spans="36:85" ht="21">
      <c r="AJ151"/>
      <c r="AK151"/>
      <c r="AL151"/>
      <c r="AM151" s="87"/>
      <c r="AN151" s="87"/>
      <c r="AO151" s="14" t="str">
        <f>IF(R48="","",COUNTA($R$3:R48)+$AO$105)</f>
        <v/>
      </c>
      <c r="AP151" s="88" t="str">
        <f>IF(AO151="","",IF(AO151+Расчет!$Y$57+$BD$2-Расчет!$X$57&gt;200,AO151+Расчет!$Y$57+$BD$2-1000,AO151+Расчет!$Y$57+$BD$2))</f>
        <v/>
      </c>
      <c r="BL151" s="172">
        <f>COUNTIF($BM$5:BM151,"&lt;-115")</f>
        <v>0</v>
      </c>
      <c r="BM151" s="154">
        <f>IFERROR(IF(OR(IFERROR(VLOOKUP(BN151,$E$3:$E$105,1,FALSE),"0")=BN151,IFERROR(VLOOKUP(BN151,$R$3:$R$105,1,FALSE),"0")=BN151),BO151,IF(OR(VLOOKUP(BN151,Расчет!A:E,5,FALSE)="2PS",VLOOKUP(BN151,Расчет!A:E,5,FALSE)="2QL"),IF(VLOOKUP(BN151,Расчет!A:B,2,FALSE)="831W",BN151-$BS$7+$AD$17,BN151-$BS$7+$AD$12),BN151-$BS$7)),"-")</f>
        <v>69</v>
      </c>
      <c r="BN151" s="154">
        <f>IF(OR(Расчет!C148="A0",Расчет!C148="P9",Расчет!B148="722W"),"-",Расчет!A148)</f>
        <v>11293</v>
      </c>
      <c r="BO151" s="173">
        <f t="shared" si="53"/>
        <v>0</v>
      </c>
      <c r="BP151" s="172">
        <f>IF(BQ151="-","-",IFERROR(IF(OR(VLOOKUP(BN151,Расчет!$A$2:$E$582,5,FALSE)="2PS",VLOOKUP(BN151,Расчет!$A$2:$E$582,5,FALSE)="2QL"),IF(OR(VLOOKUP(BN151,Расчет!$A$2:$E$582,2,FALSE)="664W",VLOOKUP(BN151,Расчет!$A$2:$E$582,2,FALSE)="813W"),IF(BN151-$BS$7&gt;150,BN151-$BS$7-1000+$AD$12,BN151-$BS$7+$AD$12),IF(BN151-$BS$7&gt;150,BN151-$BS$7-1000+$AD$17,BN151-$BS$7+$AD$17)),IF(BN151-$BS$7&gt;150,BN151-$BS$7-1000,BN151-$BS$7)),"-"))</f>
        <v>69</v>
      </c>
      <c r="BQ151" s="173">
        <f t="shared" si="50"/>
        <v>11293</v>
      </c>
      <c r="BR151" s="453"/>
      <c r="BS151" s="171"/>
      <c r="BT151" s="464" t="str">
        <f t="shared" si="51"/>
        <v>-</v>
      </c>
      <c r="BU151" s="464" t="str">
        <f t="shared" si="52"/>
        <v>-</v>
      </c>
      <c r="BX151" s="204">
        <f>COUNTIF($BY$4:BY151,"&lt;100")</f>
        <v>59</v>
      </c>
      <c r="BY151" s="213" t="str">
        <f t="shared" si="55"/>
        <v/>
      </c>
      <c r="BZ151" s="216" t="str">
        <f t="shared" si="55"/>
        <v/>
      </c>
      <c r="CA151" s="213" t="e">
        <f t="shared" si="48"/>
        <v>#N/A</v>
      </c>
      <c r="CB151" s="209" t="e">
        <f t="shared" si="49"/>
        <v>#N/A</v>
      </c>
      <c r="CC151" s="205" t="str">
        <f t="shared" si="54"/>
        <v/>
      </c>
      <c r="CD151" s="205" t="str">
        <f t="shared" si="45"/>
        <v>-</v>
      </c>
      <c r="CE151" s="204">
        <f t="shared" si="46"/>
        <v>0</v>
      </c>
      <c r="CG151" s="20" t="str">
        <f t="shared" si="47"/>
        <v/>
      </c>
    </row>
    <row r="152" spans="36:85" ht="21">
      <c r="AJ152"/>
      <c r="AK152"/>
      <c r="AL152"/>
      <c r="AM152" s="87"/>
      <c r="AN152" s="87"/>
      <c r="AO152" s="14" t="str">
        <f>IF(R49="","",COUNTA($R$3:R49)+$AO$105)</f>
        <v/>
      </c>
      <c r="AP152" s="88" t="str">
        <f>IF(AO152="","",IF(AO152+Расчет!$Y$57+$BD$2-Расчет!$X$57&gt;200,AO152+Расчет!$Y$57+$BD$2-1000,AO152+Расчет!$Y$57+$BD$2))</f>
        <v/>
      </c>
      <c r="BL152" s="172">
        <f>COUNTIF($BM$5:BM152,"&lt;-115")</f>
        <v>0</v>
      </c>
      <c r="BM152" s="154">
        <f>IFERROR(IF(OR(IFERROR(VLOOKUP(BN152,$E$3:$E$105,1,FALSE),"0")=BN152,IFERROR(VLOOKUP(BN152,$R$3:$R$105,1,FALSE),"0")=BN152),BO152,IF(OR(VLOOKUP(BN152,Расчет!A:E,5,FALSE)="2PS",VLOOKUP(BN152,Расчет!A:E,5,FALSE)="2QL"),IF(VLOOKUP(BN152,Расчет!A:B,2,FALSE)="831W",BN152-$BS$7+$AD$17,BN152-$BS$7+$AD$12),BN152-$BS$7)),"-")</f>
        <v>70</v>
      </c>
      <c r="BN152" s="154">
        <f>IF(OR(Расчет!C149="A0",Расчет!C149="P9",Расчет!B149="722W"),"-",Расчет!A149)</f>
        <v>11294</v>
      </c>
      <c r="BO152" s="173">
        <f t="shared" si="53"/>
        <v>0</v>
      </c>
      <c r="BP152" s="172">
        <f>IF(BQ152="-","-",IFERROR(IF(OR(VLOOKUP(BN152,Расчет!$A$2:$E$582,5,FALSE)="2PS",VLOOKUP(BN152,Расчет!$A$2:$E$582,5,FALSE)="2QL"),IF(OR(VLOOKUP(BN152,Расчет!$A$2:$E$582,2,FALSE)="664W",VLOOKUP(BN152,Расчет!$A$2:$E$582,2,FALSE)="813W"),IF(BN152-$BS$7&gt;150,BN152-$BS$7-1000+$AD$12,BN152-$BS$7+$AD$12),IF(BN152-$BS$7&gt;150,BN152-$BS$7-1000+$AD$17,BN152-$BS$7+$AD$17)),IF(BN152-$BS$7&gt;150,BN152-$BS$7-1000,BN152-$BS$7)),"-"))</f>
        <v>70</v>
      </c>
      <c r="BQ152" s="173">
        <f t="shared" si="50"/>
        <v>11294</v>
      </c>
      <c r="BR152" s="453"/>
      <c r="BS152" s="171"/>
      <c r="BT152" s="464" t="str">
        <f t="shared" si="51"/>
        <v>-</v>
      </c>
      <c r="BU152" s="464" t="str">
        <f t="shared" si="52"/>
        <v>-</v>
      </c>
      <c r="BX152" s="204">
        <f>COUNTIF($BY$4:BY152,"&lt;100")</f>
        <v>59</v>
      </c>
      <c r="BY152" s="213" t="str">
        <f t="shared" si="55"/>
        <v/>
      </c>
      <c r="BZ152" s="216" t="str">
        <f t="shared" si="55"/>
        <v/>
      </c>
      <c r="CA152" s="213" t="e">
        <f t="shared" si="48"/>
        <v>#N/A</v>
      </c>
      <c r="CB152" s="209" t="e">
        <f t="shared" si="49"/>
        <v>#N/A</v>
      </c>
      <c r="CC152" s="205" t="str">
        <f t="shared" si="54"/>
        <v/>
      </c>
      <c r="CD152" s="205" t="str">
        <f t="shared" si="45"/>
        <v>-</v>
      </c>
      <c r="CE152" s="204">
        <f t="shared" si="46"/>
        <v>0</v>
      </c>
      <c r="CG152" s="20" t="str">
        <f t="shared" si="47"/>
        <v/>
      </c>
    </row>
    <row r="153" spans="36:85" ht="21">
      <c r="AJ153"/>
      <c r="AK153"/>
      <c r="AL153"/>
      <c r="AM153" s="87"/>
      <c r="AN153" s="87"/>
      <c r="AO153" s="14" t="str">
        <f>IF(R50="","",COUNTA($R$3:R50)+$AO$105)</f>
        <v/>
      </c>
      <c r="AP153" s="88" t="str">
        <f>IF(AO153="","",IF(AO153+Расчет!$Y$57+$BD$2-Расчет!$X$57&gt;200,AO153+Расчет!$Y$57+$BD$2-1000,AO153+Расчет!$Y$57+$BD$2))</f>
        <v/>
      </c>
      <c r="BL153" s="172">
        <f>COUNTIF($BM$5:BM153,"&lt;-115")</f>
        <v>0</v>
      </c>
      <c r="BM153" s="154">
        <f>IFERROR(IF(OR(IFERROR(VLOOKUP(BN153,$E$3:$E$105,1,FALSE),"0")=BN153,IFERROR(VLOOKUP(BN153,$R$3:$R$105,1,FALSE),"0")=BN153),BO153,IF(OR(VLOOKUP(BN153,Расчет!A:E,5,FALSE)="2PS",VLOOKUP(BN153,Расчет!A:E,5,FALSE)="2QL"),IF(VLOOKUP(BN153,Расчет!A:B,2,FALSE)="831W",BN153-$BS$7+$AD$17,BN153-$BS$7+$AD$12),BN153-$BS$7)),"-")</f>
        <v>71</v>
      </c>
      <c r="BN153" s="154">
        <f>IF(OR(Расчет!C150="A0",Расчет!C150="P9",Расчет!B150="722W"),"-",Расчет!A150)</f>
        <v>11295</v>
      </c>
      <c r="BO153" s="173">
        <f t="shared" si="53"/>
        <v>0</v>
      </c>
      <c r="BP153" s="172">
        <f>IF(BQ153="-","-",IFERROR(IF(OR(VLOOKUP(BN153,Расчет!$A$2:$E$582,5,FALSE)="2PS",VLOOKUP(BN153,Расчет!$A$2:$E$582,5,FALSE)="2QL"),IF(OR(VLOOKUP(BN153,Расчет!$A$2:$E$582,2,FALSE)="664W",VLOOKUP(BN153,Расчет!$A$2:$E$582,2,FALSE)="813W"),IF(BN153-$BS$7&gt;150,BN153-$BS$7-1000+$AD$12,BN153-$BS$7+$AD$12),IF(BN153-$BS$7&gt;150,BN153-$BS$7-1000+$AD$17,BN153-$BS$7+$AD$17)),IF(BN153-$BS$7&gt;150,BN153-$BS$7-1000,BN153-$BS$7)),"-"))</f>
        <v>71</v>
      </c>
      <c r="BQ153" s="173">
        <f t="shared" si="50"/>
        <v>11295</v>
      </c>
      <c r="BR153" s="453"/>
      <c r="BS153" s="171"/>
      <c r="BT153" s="464" t="str">
        <f t="shared" si="51"/>
        <v>-</v>
      </c>
      <c r="BU153" s="464" t="str">
        <f t="shared" si="52"/>
        <v>-</v>
      </c>
      <c r="BX153" s="204">
        <f>COUNTIF($BY$4:BY153,"&lt;100")</f>
        <v>59</v>
      </c>
      <c r="BY153" s="213" t="str">
        <f t="shared" si="55"/>
        <v/>
      </c>
      <c r="BZ153" s="216" t="str">
        <f t="shared" si="55"/>
        <v/>
      </c>
      <c r="CA153" s="213" t="e">
        <f t="shared" si="48"/>
        <v>#N/A</v>
      </c>
      <c r="CB153" s="209" t="e">
        <f t="shared" si="49"/>
        <v>#N/A</v>
      </c>
      <c r="CC153" s="205" t="str">
        <f t="shared" si="54"/>
        <v/>
      </c>
      <c r="CD153" s="205" t="str">
        <f t="shared" si="45"/>
        <v>-</v>
      </c>
      <c r="CE153" s="204">
        <f t="shared" si="46"/>
        <v>0</v>
      </c>
      <c r="CG153" s="20" t="str">
        <f t="shared" si="47"/>
        <v/>
      </c>
    </row>
    <row r="154" spans="36:85" ht="21">
      <c r="AJ154"/>
      <c r="AK154"/>
      <c r="AL154"/>
      <c r="AM154" s="87"/>
      <c r="AN154" s="87"/>
      <c r="AO154" s="14" t="str">
        <f>IF(R51="","",COUNTA($R$3:R51)+$AO$105)</f>
        <v/>
      </c>
      <c r="AP154" s="88" t="str">
        <f>IF(AO154="","",IF(AO154+Расчет!$Y$57+$BD$2-Расчет!$X$57&gt;200,AO154+Расчет!$Y$57+$BD$2-1000,AO154+Расчет!$Y$57+$BD$2))</f>
        <v/>
      </c>
      <c r="BL154" s="172">
        <f>COUNTIF($BM$5:BM154,"&lt;-115")</f>
        <v>0</v>
      </c>
      <c r="BM154" s="154">
        <f>IFERROR(IF(OR(IFERROR(VLOOKUP(BN154,$E$3:$E$105,1,FALSE),"0")=BN154,IFERROR(VLOOKUP(BN154,$R$3:$R$105,1,FALSE),"0")=BN154),BO154,IF(OR(VLOOKUP(BN154,Расчет!A:E,5,FALSE)="2PS",VLOOKUP(BN154,Расчет!A:E,5,FALSE)="2QL"),IF(VLOOKUP(BN154,Расчет!A:B,2,FALSE)="831W",BN154-$BS$7+$AD$17,BN154-$BS$7+$AD$12),BN154-$BS$7)),"-")</f>
        <v>72</v>
      </c>
      <c r="BN154" s="154">
        <f>IF(OR(Расчет!C151="A0",Расчет!C151="P9",Расчет!B151="722W"),"-",Расчет!A151)</f>
        <v>11296</v>
      </c>
      <c r="BO154" s="173">
        <f t="shared" si="53"/>
        <v>0</v>
      </c>
      <c r="BP154" s="172">
        <f>IF(BQ154="-","-",IFERROR(IF(OR(VLOOKUP(BN154,Расчет!$A$2:$E$582,5,FALSE)="2PS",VLOOKUP(BN154,Расчет!$A$2:$E$582,5,FALSE)="2QL"),IF(OR(VLOOKUP(BN154,Расчет!$A$2:$E$582,2,FALSE)="664W",VLOOKUP(BN154,Расчет!$A$2:$E$582,2,FALSE)="813W"),IF(BN154-$BS$7&gt;150,BN154-$BS$7-1000+$AD$12,BN154-$BS$7+$AD$12),IF(BN154-$BS$7&gt;150,BN154-$BS$7-1000+$AD$17,BN154-$BS$7+$AD$17)),IF(BN154-$BS$7&gt;150,BN154-$BS$7-1000,BN154-$BS$7)),"-"))</f>
        <v>72</v>
      </c>
      <c r="BQ154" s="173">
        <f t="shared" si="50"/>
        <v>11296</v>
      </c>
      <c r="BR154" s="453"/>
      <c r="BS154" s="171"/>
      <c r="BT154" s="464" t="str">
        <f t="shared" si="51"/>
        <v>-</v>
      </c>
      <c r="BU154" s="464" t="str">
        <f t="shared" si="52"/>
        <v>-</v>
      </c>
      <c r="BX154" s="204">
        <f>COUNTIF($BY$4:BY154,"&lt;100")</f>
        <v>59</v>
      </c>
      <c r="BY154" s="213" t="str">
        <f t="shared" si="55"/>
        <v/>
      </c>
      <c r="BZ154" s="216" t="str">
        <f t="shared" si="55"/>
        <v/>
      </c>
      <c r="CA154" s="213" t="e">
        <f t="shared" si="48"/>
        <v>#N/A</v>
      </c>
      <c r="CB154" s="209" t="e">
        <f t="shared" si="49"/>
        <v>#N/A</v>
      </c>
      <c r="CC154" s="205" t="str">
        <f t="shared" si="54"/>
        <v/>
      </c>
      <c r="CD154" s="205" t="str">
        <f t="shared" si="45"/>
        <v>-</v>
      </c>
      <c r="CE154" s="204">
        <f t="shared" si="46"/>
        <v>0</v>
      </c>
      <c r="CG154" s="20" t="str">
        <f t="shared" si="47"/>
        <v/>
      </c>
    </row>
    <row r="155" spans="36:85" ht="21">
      <c r="AJ155"/>
      <c r="AK155"/>
      <c r="AL155"/>
      <c r="AM155" s="87"/>
      <c r="AN155" s="87"/>
      <c r="AO155" s="14" t="str">
        <f>IF(R52="","",COUNTA($R$3:R52)+$AO$105)</f>
        <v/>
      </c>
      <c r="AP155" s="88" t="str">
        <f>IF(AO155="","",IF(AO155+Расчет!$Y$57+$BD$2-Расчет!$X$57&gt;200,AO155+Расчет!$Y$57+$BD$2-1000,AO155+Расчет!$Y$57+$BD$2))</f>
        <v/>
      </c>
      <c r="BL155" s="172">
        <f>COUNTIF($BM$5:BM155,"&lt;-115")</f>
        <v>0</v>
      </c>
      <c r="BM155" s="154">
        <f>IFERROR(IF(OR(IFERROR(VLOOKUP(BN155,$E$3:$E$105,1,FALSE),"0")=BN155,IFERROR(VLOOKUP(BN155,$R$3:$R$105,1,FALSE),"0")=BN155),BO155,IF(OR(VLOOKUP(BN155,Расчет!A:E,5,FALSE)="2PS",VLOOKUP(BN155,Расчет!A:E,5,FALSE)="2QL"),IF(VLOOKUP(BN155,Расчет!A:B,2,FALSE)="831W",BN155-$BS$7+$AD$17,BN155-$BS$7+$AD$12),BN155-$BS$7)),"-")</f>
        <v>73</v>
      </c>
      <c r="BN155" s="154">
        <f>IF(OR(Расчет!C152="A0",Расчет!C152="P9",Расчет!B152="722W"),"-",Расчет!A152)</f>
        <v>11297</v>
      </c>
      <c r="BO155" s="173">
        <f t="shared" si="53"/>
        <v>0</v>
      </c>
      <c r="BP155" s="172">
        <f>IF(BQ155="-","-",IFERROR(IF(OR(VLOOKUP(BN155,Расчет!$A$2:$E$582,5,FALSE)="2PS",VLOOKUP(BN155,Расчет!$A$2:$E$582,5,FALSE)="2QL"),IF(OR(VLOOKUP(BN155,Расчет!$A$2:$E$582,2,FALSE)="664W",VLOOKUP(BN155,Расчет!$A$2:$E$582,2,FALSE)="813W"),IF(BN155-$BS$7&gt;150,BN155-$BS$7-1000+$AD$12,BN155-$BS$7+$AD$12),IF(BN155-$BS$7&gt;150,BN155-$BS$7-1000+$AD$17,BN155-$BS$7+$AD$17)),IF(BN155-$BS$7&gt;150,BN155-$BS$7-1000,BN155-$BS$7)),"-"))</f>
        <v>73</v>
      </c>
      <c r="BQ155" s="173">
        <f t="shared" si="50"/>
        <v>11297</v>
      </c>
      <c r="BR155" s="453"/>
      <c r="BS155" s="171"/>
      <c r="BT155" s="464" t="str">
        <f t="shared" si="51"/>
        <v>-</v>
      </c>
      <c r="BU155" s="464" t="str">
        <f t="shared" si="52"/>
        <v>-</v>
      </c>
      <c r="BX155" s="204">
        <f>COUNTIF($BY$4:BY155,"&lt;100")</f>
        <v>59</v>
      </c>
      <c r="BY155" s="213" t="str">
        <f t="shared" si="55"/>
        <v/>
      </c>
      <c r="BZ155" s="216" t="str">
        <f t="shared" si="55"/>
        <v/>
      </c>
      <c r="CA155" s="213" t="e">
        <f t="shared" si="48"/>
        <v>#N/A</v>
      </c>
      <c r="CB155" s="209" t="e">
        <f t="shared" si="49"/>
        <v>#N/A</v>
      </c>
      <c r="CC155" s="205" t="str">
        <f t="shared" si="54"/>
        <v/>
      </c>
      <c r="CD155" s="205" t="str">
        <f t="shared" si="45"/>
        <v>-</v>
      </c>
      <c r="CE155" s="204">
        <f t="shared" si="46"/>
        <v>0</v>
      </c>
      <c r="CG155" s="20" t="str">
        <f t="shared" si="47"/>
        <v/>
      </c>
    </row>
    <row r="156" spans="36:85" ht="21">
      <c r="AJ156"/>
      <c r="AK156"/>
      <c r="AL156"/>
      <c r="AM156" s="87"/>
      <c r="AN156" s="87"/>
      <c r="AO156" s="14" t="str">
        <f>IF(R53="","",COUNTA($R$3:R53)+$AO$105)</f>
        <v/>
      </c>
      <c r="AP156" s="88" t="str">
        <f>IF(AO156="","",IF(AO156+Расчет!$Y$57+$BD$2-Расчет!$X$57&gt;200,AO156+Расчет!$Y$57+$BD$2-1000,AO156+Расчет!$Y$57+$BD$2))</f>
        <v/>
      </c>
      <c r="BL156" s="172">
        <f>COUNTIF($BM$5:BM156,"&lt;-115")</f>
        <v>0</v>
      </c>
      <c r="BM156" s="154">
        <f>IFERROR(IF(OR(IFERROR(VLOOKUP(BN156,$E$3:$E$105,1,FALSE),"0")=BN156,IFERROR(VLOOKUP(BN156,$R$3:$R$105,1,FALSE),"0")=BN156),BO156,IF(OR(VLOOKUP(BN156,Расчет!A:E,5,FALSE)="2PS",VLOOKUP(BN156,Расчет!A:E,5,FALSE)="2QL"),IF(VLOOKUP(BN156,Расчет!A:B,2,FALSE)="831W",BN156-$BS$7+$AD$17,BN156-$BS$7+$AD$12),BN156-$BS$7)),"-")</f>
        <v>74</v>
      </c>
      <c r="BN156" s="154">
        <f>IF(OR(Расчет!C153="A0",Расчет!C153="P9",Расчет!B153="722W"),"-",Расчет!A153)</f>
        <v>11298</v>
      </c>
      <c r="BO156" s="173">
        <f t="shared" si="53"/>
        <v>0</v>
      </c>
      <c r="BP156" s="172">
        <f>IF(BQ156="-","-",IFERROR(IF(OR(VLOOKUP(BN156,Расчет!$A$2:$E$582,5,FALSE)="2PS",VLOOKUP(BN156,Расчет!$A$2:$E$582,5,FALSE)="2QL"),IF(OR(VLOOKUP(BN156,Расчет!$A$2:$E$582,2,FALSE)="664W",VLOOKUP(BN156,Расчет!$A$2:$E$582,2,FALSE)="813W"),IF(BN156-$BS$7&gt;150,BN156-$BS$7-1000+$AD$12,BN156-$BS$7+$AD$12),IF(BN156-$BS$7&gt;150,BN156-$BS$7-1000+$AD$17,BN156-$BS$7+$AD$17)),IF(BN156-$BS$7&gt;150,BN156-$BS$7-1000,BN156-$BS$7)),"-"))</f>
        <v>74</v>
      </c>
      <c r="BQ156" s="173">
        <f t="shared" si="50"/>
        <v>11298</v>
      </c>
      <c r="BR156" s="453"/>
      <c r="BS156" s="171"/>
      <c r="BT156" s="464" t="str">
        <f t="shared" si="51"/>
        <v>-</v>
      </c>
      <c r="BU156" s="464" t="str">
        <f t="shared" si="52"/>
        <v>-</v>
      </c>
      <c r="BX156" s="204">
        <f>COUNTIF($BY$4:BY156,"&lt;100")</f>
        <v>59</v>
      </c>
      <c r="BY156" s="213" t="str">
        <f t="shared" si="55"/>
        <v/>
      </c>
      <c r="BZ156" s="216" t="str">
        <f t="shared" si="55"/>
        <v/>
      </c>
      <c r="CA156" s="213" t="e">
        <f t="shared" si="48"/>
        <v>#N/A</v>
      </c>
      <c r="CB156" s="209" t="e">
        <f t="shared" si="49"/>
        <v>#N/A</v>
      </c>
      <c r="CC156" s="205" t="str">
        <f t="shared" si="54"/>
        <v/>
      </c>
      <c r="CD156" s="205" t="str">
        <f t="shared" si="45"/>
        <v>-</v>
      </c>
      <c r="CE156" s="204">
        <f t="shared" si="46"/>
        <v>0</v>
      </c>
      <c r="CG156" s="20" t="str">
        <f t="shared" si="47"/>
        <v/>
      </c>
    </row>
    <row r="157" spans="36:85" ht="21">
      <c r="AJ157"/>
      <c r="AK157"/>
      <c r="AL157"/>
      <c r="AM157" s="87"/>
      <c r="AN157" s="87"/>
      <c r="AO157" s="14" t="str">
        <f>IF(R54="","",COUNTA($R$3:R54)+$AO$105)</f>
        <v/>
      </c>
      <c r="AP157" s="88" t="str">
        <f>IF(AO157="","",IF(AO157+Расчет!$Y$57+$BD$2-Расчет!$X$57&gt;200,AO157+Расчет!$Y$57+$BD$2-1000,AO157+Расчет!$Y$57+$BD$2))</f>
        <v/>
      </c>
      <c r="AZ157"/>
      <c r="BA157"/>
      <c r="BB157"/>
      <c r="BC157"/>
      <c r="BD157"/>
      <c r="BL157" s="172">
        <f>COUNTIF($BM$5:BM157,"&lt;-115")</f>
        <v>0</v>
      </c>
      <c r="BM157" s="154">
        <f>IFERROR(IF(OR(IFERROR(VLOOKUP(BN157,$E$3:$E$105,1,FALSE),"0")=BN157,IFERROR(VLOOKUP(BN157,$R$3:$R$105,1,FALSE),"0")=BN157),BO157,IF(OR(VLOOKUP(BN157,Расчет!A:E,5,FALSE)="2PS",VLOOKUP(BN157,Расчет!A:E,5,FALSE)="2QL"),IF(VLOOKUP(BN157,Расчет!A:B,2,FALSE)="831W",BN157-$BS$7+$AD$17,BN157-$BS$7+$AD$12),BN157-$BS$7)),"-")</f>
        <v>75</v>
      </c>
      <c r="BN157" s="154">
        <f>IF(OR(Расчет!C154="A0",Расчет!C154="P9",Расчет!B154="722W"),"-",Расчет!A154)</f>
        <v>11299</v>
      </c>
      <c r="BO157" s="173">
        <f t="shared" si="53"/>
        <v>0</v>
      </c>
      <c r="BP157" s="172">
        <f>IF(BQ157="-","-",IFERROR(IF(OR(VLOOKUP(BN157,Расчет!$A$2:$E$582,5,FALSE)="2PS",VLOOKUP(BN157,Расчет!$A$2:$E$582,5,FALSE)="2QL"),IF(OR(VLOOKUP(BN157,Расчет!$A$2:$E$582,2,FALSE)="664W",VLOOKUP(BN157,Расчет!$A$2:$E$582,2,FALSE)="813W"),IF(BN157-$BS$7&gt;150,BN157-$BS$7-1000+$AD$12,BN157-$BS$7+$AD$12),IF(BN157-$BS$7&gt;150,BN157-$BS$7-1000+$AD$17,BN157-$BS$7+$AD$17)),IF(BN157-$BS$7&gt;150,BN157-$BS$7-1000,BN157-$BS$7)),"-"))</f>
        <v>75</v>
      </c>
      <c r="BQ157" s="173">
        <f t="shared" si="50"/>
        <v>11299</v>
      </c>
      <c r="BR157" s="453"/>
      <c r="BS157" s="171"/>
      <c r="BT157" s="464" t="str">
        <f t="shared" si="51"/>
        <v>-</v>
      </c>
      <c r="BU157" s="464" t="str">
        <f t="shared" si="52"/>
        <v>-</v>
      </c>
      <c r="BX157" s="204">
        <f>COUNTIF($BY$4:BY157,"&lt;100")</f>
        <v>59</v>
      </c>
      <c r="BY157" s="213" t="str">
        <f t="shared" si="55"/>
        <v/>
      </c>
      <c r="BZ157" s="216" t="str">
        <f t="shared" si="55"/>
        <v/>
      </c>
      <c r="CA157" s="213" t="e">
        <f t="shared" si="48"/>
        <v>#N/A</v>
      </c>
      <c r="CB157" s="209" t="e">
        <f t="shared" si="49"/>
        <v>#N/A</v>
      </c>
      <c r="CC157" s="205" t="str">
        <f t="shared" si="54"/>
        <v/>
      </c>
      <c r="CD157" s="205" t="str">
        <f t="shared" si="45"/>
        <v>-</v>
      </c>
      <c r="CE157" s="204">
        <f t="shared" si="46"/>
        <v>0</v>
      </c>
      <c r="CG157" s="20" t="str">
        <f t="shared" si="47"/>
        <v/>
      </c>
    </row>
    <row r="158" spans="36:85" ht="21">
      <c r="AJ158"/>
      <c r="AK158"/>
      <c r="AL158"/>
      <c r="AM158" s="87"/>
      <c r="AN158" s="87"/>
      <c r="AO158" s="14" t="str">
        <f>IF(R55="","",COUNTA($R$3:R55)+$AO$105)</f>
        <v/>
      </c>
      <c r="AP158" s="88" t="str">
        <f>IF(AO158="","",IF(AO158+Расчет!$Y$57+$BD$2-Расчет!$X$57&gt;200,AO158+Расчет!$Y$57+$BD$2-1000,AO158+Расчет!$Y$57+$BD$2))</f>
        <v/>
      </c>
      <c r="AZ158"/>
      <c r="BA158"/>
      <c r="BB158"/>
      <c r="BC158"/>
      <c r="BD158"/>
      <c r="BL158" s="172">
        <f>COUNTIF($BM$5:BM158,"&lt;-115")</f>
        <v>0</v>
      </c>
      <c r="BM158" s="154">
        <f>IFERROR(IF(OR(IFERROR(VLOOKUP(BN158,$E$3:$E$105,1,FALSE),"0")=BN158,IFERROR(VLOOKUP(BN158,$R$3:$R$105,1,FALSE),"0")=BN158),BO158,IF(OR(VLOOKUP(BN158,Расчет!A:E,5,FALSE)="2PS",VLOOKUP(BN158,Расчет!A:E,5,FALSE)="2QL"),IF(VLOOKUP(BN158,Расчет!A:B,2,FALSE)="831W",BN158-$BS$7+$AD$17,BN158-$BS$7+$AD$12),BN158-$BS$7)),"-")</f>
        <v>76</v>
      </c>
      <c r="BN158" s="154">
        <f>IF(OR(Расчет!C155="A0",Расчет!C155="P9",Расчет!B155="722W"),"-",Расчет!A155)</f>
        <v>11300</v>
      </c>
      <c r="BO158" s="173">
        <f t="shared" si="53"/>
        <v>0</v>
      </c>
      <c r="BP158" s="172">
        <f>IF(BQ158="-","-",IFERROR(IF(OR(VLOOKUP(BN158,Расчет!$A$2:$E$582,5,FALSE)="2PS",VLOOKUP(BN158,Расчет!$A$2:$E$582,5,FALSE)="2QL"),IF(OR(VLOOKUP(BN158,Расчет!$A$2:$E$582,2,FALSE)="664W",VLOOKUP(BN158,Расчет!$A$2:$E$582,2,FALSE)="813W"),IF(BN158-$BS$7&gt;150,BN158-$BS$7-1000+$AD$12,BN158-$BS$7+$AD$12),IF(BN158-$BS$7&gt;150,BN158-$BS$7-1000+$AD$17,BN158-$BS$7+$AD$17)),IF(BN158-$BS$7&gt;150,BN158-$BS$7-1000,BN158-$BS$7)),"-"))</f>
        <v>76</v>
      </c>
      <c r="BQ158" s="173">
        <f t="shared" si="50"/>
        <v>11300</v>
      </c>
      <c r="BR158" s="453"/>
      <c r="BS158" s="171"/>
      <c r="BT158" s="464" t="str">
        <f t="shared" si="51"/>
        <v>-</v>
      </c>
      <c r="BU158" s="464" t="str">
        <f t="shared" si="52"/>
        <v>-</v>
      </c>
      <c r="BX158" s="204">
        <f>COUNTIF($BY$4:BY158,"&lt;100")</f>
        <v>59</v>
      </c>
      <c r="BY158" s="213" t="str">
        <f t="shared" si="55"/>
        <v/>
      </c>
      <c r="BZ158" s="216" t="str">
        <f t="shared" si="55"/>
        <v/>
      </c>
      <c r="CA158" s="213" t="e">
        <f t="shared" si="48"/>
        <v>#N/A</v>
      </c>
      <c r="CB158" s="209" t="e">
        <f t="shared" si="49"/>
        <v>#N/A</v>
      </c>
      <c r="CC158" s="205" t="str">
        <f t="shared" si="54"/>
        <v/>
      </c>
      <c r="CD158" s="205" t="str">
        <f t="shared" si="45"/>
        <v>-</v>
      </c>
      <c r="CE158" s="204">
        <f t="shared" si="46"/>
        <v>0</v>
      </c>
      <c r="CG158" s="20" t="str">
        <f t="shared" si="47"/>
        <v/>
      </c>
    </row>
    <row r="159" spans="36:85" ht="21">
      <c r="AJ159"/>
      <c r="AK159"/>
      <c r="AL159"/>
      <c r="AM159" s="87"/>
      <c r="AN159" s="87"/>
      <c r="AO159" s="14" t="str">
        <f>IF(R56="","",COUNTA($R$3:R56)+$AO$105)</f>
        <v/>
      </c>
      <c r="AP159" s="88" t="str">
        <f>IF(AO159="","",IF(AO159+Расчет!$Y$57+$BD$2-Расчет!$X$57&gt;200,AO159+Расчет!$Y$57+$BD$2-1000,AO159+Расчет!$Y$57+$BD$2))</f>
        <v/>
      </c>
      <c r="AZ159"/>
      <c r="BA159"/>
      <c r="BB159"/>
      <c r="BC159"/>
      <c r="BD159"/>
      <c r="BL159" s="172">
        <f>COUNTIF($BM$5:BM159,"&lt;-115")</f>
        <v>0</v>
      </c>
      <c r="BM159" s="154">
        <f>IFERROR(IF(OR(IFERROR(VLOOKUP(BN159,$E$3:$E$105,1,FALSE),"0")=BN159,IFERROR(VLOOKUP(BN159,$R$3:$R$105,1,FALSE),"0")=BN159),BO159,IF(OR(VLOOKUP(BN159,Расчет!A:E,5,FALSE)="2PS",VLOOKUP(BN159,Расчет!A:E,5,FALSE)="2QL"),IF(VLOOKUP(BN159,Расчет!A:B,2,FALSE)="831W",BN159-$BS$7+$AD$17,BN159-$BS$7+$AD$12),BN159-$BS$7)),"-")</f>
        <v>77</v>
      </c>
      <c r="BN159" s="154">
        <f>IF(OR(Расчет!C156="A0",Расчет!C156="P9",Расчет!B156="722W"),"-",Расчет!A156)</f>
        <v>11301</v>
      </c>
      <c r="BO159" s="173">
        <f t="shared" si="53"/>
        <v>0</v>
      </c>
      <c r="BP159" s="172">
        <f>IF(BQ159="-","-",IFERROR(IF(OR(VLOOKUP(BN159,Расчет!$A$2:$E$582,5,FALSE)="2PS",VLOOKUP(BN159,Расчет!$A$2:$E$582,5,FALSE)="2QL"),IF(OR(VLOOKUP(BN159,Расчет!$A$2:$E$582,2,FALSE)="664W",VLOOKUP(BN159,Расчет!$A$2:$E$582,2,FALSE)="813W"),IF(BN159-$BS$7&gt;150,BN159-$BS$7-1000+$AD$12,BN159-$BS$7+$AD$12),IF(BN159-$BS$7&gt;150,BN159-$BS$7-1000+$AD$17,BN159-$BS$7+$AD$17)),IF(BN159-$BS$7&gt;150,BN159-$BS$7-1000,BN159-$BS$7)),"-"))</f>
        <v>77</v>
      </c>
      <c r="BQ159" s="173">
        <f t="shared" si="50"/>
        <v>11301</v>
      </c>
      <c r="BR159" s="453"/>
      <c r="BS159" s="171"/>
      <c r="BT159" s="464" t="str">
        <f t="shared" si="51"/>
        <v>-</v>
      </c>
      <c r="BU159" s="464" t="str">
        <f t="shared" si="52"/>
        <v>-</v>
      </c>
      <c r="BX159" s="204">
        <f>COUNTIF($BY$4:BY159,"&lt;100")</f>
        <v>59</v>
      </c>
      <c r="BY159" s="213" t="str">
        <f t="shared" si="55"/>
        <v/>
      </c>
      <c r="BZ159" s="216" t="str">
        <f t="shared" si="55"/>
        <v/>
      </c>
      <c r="CA159" s="213" t="e">
        <f t="shared" si="48"/>
        <v>#N/A</v>
      </c>
      <c r="CB159" s="209" t="e">
        <f t="shared" si="49"/>
        <v>#N/A</v>
      </c>
      <c r="CC159" s="205" t="str">
        <f t="shared" si="54"/>
        <v/>
      </c>
      <c r="CD159" s="205" t="str">
        <f t="shared" si="45"/>
        <v>-</v>
      </c>
      <c r="CE159" s="204">
        <f t="shared" si="46"/>
        <v>0</v>
      </c>
      <c r="CG159" s="20" t="str">
        <f t="shared" si="47"/>
        <v/>
      </c>
    </row>
    <row r="160" spans="36:85" ht="21">
      <c r="AJ160"/>
      <c r="AK160"/>
      <c r="AL160"/>
      <c r="AM160" s="87"/>
      <c r="AN160" s="87"/>
      <c r="AO160" s="14" t="str">
        <f>IF(R57="","",COUNTA($R$3:R57)+$AO$105)</f>
        <v/>
      </c>
      <c r="AP160" s="88" t="str">
        <f>IF(AO160="","",IF(AO160+Расчет!$Y$57+$BD$2-Расчет!$X$57&gt;200,AO160+Расчет!$Y$57+$BD$2-1000,AO160+Расчет!$Y$57+$BD$2))</f>
        <v/>
      </c>
      <c r="AZ160"/>
      <c r="BA160"/>
      <c r="BB160"/>
      <c r="BC160"/>
      <c r="BD160"/>
      <c r="BL160" s="172">
        <f>COUNTIF($BM$5:BM160,"&lt;-115")</f>
        <v>0</v>
      </c>
      <c r="BM160" s="154">
        <f>IFERROR(IF(OR(IFERROR(VLOOKUP(BN160,$E$3:$E$105,1,FALSE),"0")=BN160,IFERROR(VLOOKUP(BN160,$R$3:$R$105,1,FALSE),"0")=BN160),BO160,IF(OR(VLOOKUP(BN160,Расчет!A:E,5,FALSE)="2PS",VLOOKUP(BN160,Расчет!A:E,5,FALSE)="2QL"),IF(VLOOKUP(BN160,Расчет!A:B,2,FALSE)="831W",BN160-$BS$7+$AD$17,BN160-$BS$7+$AD$12),BN160-$BS$7)),"-")</f>
        <v>78</v>
      </c>
      <c r="BN160" s="154">
        <f>IF(OR(Расчет!C157="A0",Расчет!C157="P9",Расчет!B157="722W"),"-",Расчет!A157)</f>
        <v>11302</v>
      </c>
      <c r="BO160" s="173">
        <f t="shared" si="53"/>
        <v>0</v>
      </c>
      <c r="BP160" s="172">
        <f>IF(BQ160="-","-",IFERROR(IF(OR(VLOOKUP(BN160,Расчет!$A$2:$E$582,5,FALSE)="2PS",VLOOKUP(BN160,Расчет!$A$2:$E$582,5,FALSE)="2QL"),IF(OR(VLOOKUP(BN160,Расчет!$A$2:$E$582,2,FALSE)="664W",VLOOKUP(BN160,Расчет!$A$2:$E$582,2,FALSE)="813W"),IF(BN160-$BS$7&gt;150,BN160-$BS$7-1000+$AD$12,BN160-$BS$7+$AD$12),IF(BN160-$BS$7&gt;150,BN160-$BS$7-1000+$AD$17,BN160-$BS$7+$AD$17)),IF(BN160-$BS$7&gt;150,BN160-$BS$7-1000,BN160-$BS$7)),"-"))</f>
        <v>78</v>
      </c>
      <c r="BQ160" s="173">
        <f t="shared" si="50"/>
        <v>11302</v>
      </c>
      <c r="BR160" s="453"/>
      <c r="BS160" s="171"/>
      <c r="BT160" s="464" t="str">
        <f t="shared" si="51"/>
        <v>-</v>
      </c>
      <c r="BU160" s="464" t="str">
        <f t="shared" si="52"/>
        <v>-</v>
      </c>
      <c r="BX160" s="204">
        <f>COUNTIF($BY$4:BY160,"&lt;100")</f>
        <v>59</v>
      </c>
      <c r="BY160" s="213" t="str">
        <f t="shared" si="55"/>
        <v/>
      </c>
      <c r="BZ160" s="216" t="str">
        <f t="shared" si="55"/>
        <v/>
      </c>
      <c r="CA160" s="213" t="e">
        <f t="shared" si="48"/>
        <v>#N/A</v>
      </c>
      <c r="CB160" s="209" t="e">
        <f t="shared" si="49"/>
        <v>#N/A</v>
      </c>
      <c r="CC160" s="205" t="str">
        <f t="shared" si="54"/>
        <v/>
      </c>
      <c r="CD160" s="205" t="str">
        <f t="shared" si="45"/>
        <v>-</v>
      </c>
      <c r="CE160" s="204">
        <f t="shared" si="46"/>
        <v>0</v>
      </c>
      <c r="CG160" s="20" t="str">
        <f t="shared" si="47"/>
        <v/>
      </c>
    </row>
    <row r="161" spans="36:85" ht="21">
      <c r="AJ161"/>
      <c r="AK161"/>
      <c r="AL161"/>
      <c r="AM161" s="87"/>
      <c r="AN161" s="87"/>
      <c r="AO161" s="14" t="str">
        <f>IF(R58="","",COUNTA($R$3:R58)+$AO$105)</f>
        <v/>
      </c>
      <c r="AP161" s="88" t="str">
        <f>IF(AO161="","",IF(AO161+Расчет!$Y$57+$BD$2-Расчет!$X$57&gt;200,AO161+Расчет!$Y$57+$BD$2-1000,AO161+Расчет!$Y$57+$BD$2))</f>
        <v/>
      </c>
      <c r="AZ161"/>
      <c r="BA161"/>
      <c r="BB161"/>
      <c r="BC161"/>
      <c r="BD161"/>
      <c r="BL161" s="172">
        <f>COUNTIF($BM$5:BM161,"&lt;-115")</f>
        <v>0</v>
      </c>
      <c r="BM161" s="154">
        <f>IFERROR(IF(OR(IFERROR(VLOOKUP(BN161,$E$3:$E$105,1,FALSE),"0")=BN161,IFERROR(VLOOKUP(BN161,$R$3:$R$105,1,FALSE),"0")=BN161),BO161,IF(OR(VLOOKUP(BN161,Расчет!A:E,5,FALSE)="2PS",VLOOKUP(BN161,Расчет!A:E,5,FALSE)="2QL"),IF(VLOOKUP(BN161,Расчет!A:B,2,FALSE)="831W",BN161-$BS$7+$AD$17,BN161-$BS$7+$AD$12),BN161-$BS$7)),"-")</f>
        <v>179</v>
      </c>
      <c r="BN161" s="154">
        <f>IF(OR(Расчет!C158="A0",Расчет!C158="P9",Расчет!B158="722W"),"-",Расчет!A158)</f>
        <v>11303</v>
      </c>
      <c r="BO161" s="173">
        <f t="shared" si="53"/>
        <v>0</v>
      </c>
      <c r="BP161" s="172">
        <f>IF(BQ161="-","-",IFERROR(IF(OR(VLOOKUP(BN161,Расчет!$A$2:$E$582,5,FALSE)="2PS",VLOOKUP(BN161,Расчет!$A$2:$E$582,5,FALSE)="2QL"),IF(OR(VLOOKUP(BN161,Расчет!$A$2:$E$582,2,FALSE)="664W",VLOOKUP(BN161,Расчет!$A$2:$E$582,2,FALSE)="813W"),IF(BN161-$BS$7&gt;150,BN161-$BS$7-1000+$AD$12,BN161-$BS$7+$AD$12),IF(BN161-$BS$7&gt;150,BN161-$BS$7-1000+$AD$17,BN161-$BS$7+$AD$17)),IF(BN161-$BS$7&gt;150,BN161-$BS$7-1000,BN161-$BS$7)),"-"))</f>
        <v>179</v>
      </c>
      <c r="BQ161" s="173">
        <f t="shared" si="50"/>
        <v>11303</v>
      </c>
      <c r="BR161" s="453"/>
      <c r="BS161" s="171"/>
      <c r="BT161" s="464" t="str">
        <f t="shared" si="51"/>
        <v>-</v>
      </c>
      <c r="BU161" s="464" t="str">
        <f t="shared" si="52"/>
        <v>-</v>
      </c>
      <c r="BX161" s="204">
        <f>COUNTIF($BY$4:BY161,"&lt;100")</f>
        <v>59</v>
      </c>
      <c r="BY161" s="213" t="str">
        <f t="shared" si="55"/>
        <v/>
      </c>
      <c r="BZ161" s="216" t="str">
        <f t="shared" si="55"/>
        <v/>
      </c>
      <c r="CA161" s="213" t="e">
        <f t="shared" si="48"/>
        <v>#N/A</v>
      </c>
      <c r="CB161" s="209" t="e">
        <f t="shared" si="49"/>
        <v>#N/A</v>
      </c>
      <c r="CC161" s="205" t="str">
        <f t="shared" si="54"/>
        <v/>
      </c>
      <c r="CD161" s="205" t="str">
        <f t="shared" si="45"/>
        <v>-</v>
      </c>
      <c r="CE161" s="204">
        <f t="shared" si="46"/>
        <v>0</v>
      </c>
      <c r="CG161" s="20" t="str">
        <f t="shared" si="47"/>
        <v/>
      </c>
    </row>
    <row r="162" spans="36:85" ht="21">
      <c r="AJ162"/>
      <c r="AK162"/>
      <c r="AL162"/>
      <c r="AM162" s="87"/>
      <c r="AN162" s="87"/>
      <c r="AO162" s="14" t="str">
        <f>IF(R59="","",COUNTA($R$3:R59)+$AO$105)</f>
        <v/>
      </c>
      <c r="AP162" s="88" t="str">
        <f>IF(AO162="","",IF(AO162+Расчет!$Y$57+$BD$2-Расчет!$X$57&gt;200,AO162+Расчет!$Y$57+$BD$2-1000,AO162+Расчет!$Y$57+$BD$2))</f>
        <v/>
      </c>
      <c r="AZ162"/>
      <c r="BA162"/>
      <c r="BB162"/>
      <c r="BC162"/>
      <c r="BD162"/>
      <c r="BL162" s="172">
        <f>COUNTIF($BM$5:BM162,"&lt;-115")</f>
        <v>0</v>
      </c>
      <c r="BM162" s="154">
        <f>IFERROR(IF(OR(IFERROR(VLOOKUP(BN162,$E$3:$E$105,1,FALSE),"0")=BN162,IFERROR(VLOOKUP(BN162,$R$3:$R$105,1,FALSE),"0")=BN162),BO162,IF(OR(VLOOKUP(BN162,Расчет!A:E,5,FALSE)="2PS",VLOOKUP(BN162,Расчет!A:E,5,FALSE)="2QL"),IF(VLOOKUP(BN162,Расчет!A:B,2,FALSE)="831W",BN162-$BS$7+$AD$17,BN162-$BS$7+$AD$12),BN162-$BS$7)),"-")</f>
        <v>80</v>
      </c>
      <c r="BN162" s="154">
        <f>IF(OR(Расчет!C159="A0",Расчет!C159="P9",Расчет!B159="722W"),"-",Расчет!A159)</f>
        <v>11304</v>
      </c>
      <c r="BO162" s="173">
        <f t="shared" si="53"/>
        <v>0</v>
      </c>
      <c r="BP162" s="172">
        <f>IF(BQ162="-","-",IFERROR(IF(OR(VLOOKUP(BN162,Расчет!$A$2:$E$582,5,FALSE)="2PS",VLOOKUP(BN162,Расчет!$A$2:$E$582,5,FALSE)="2QL"),IF(OR(VLOOKUP(BN162,Расчет!$A$2:$E$582,2,FALSE)="664W",VLOOKUP(BN162,Расчет!$A$2:$E$582,2,FALSE)="813W"),IF(BN162-$BS$7&gt;150,BN162-$BS$7-1000+$AD$12,BN162-$BS$7+$AD$12),IF(BN162-$BS$7&gt;150,BN162-$BS$7-1000+$AD$17,BN162-$BS$7+$AD$17)),IF(BN162-$BS$7&gt;150,BN162-$BS$7-1000,BN162-$BS$7)),"-"))</f>
        <v>80</v>
      </c>
      <c r="BQ162" s="173">
        <f t="shared" si="50"/>
        <v>11304</v>
      </c>
      <c r="BR162" s="453"/>
      <c r="BS162" s="171"/>
      <c r="BT162" s="464" t="str">
        <f t="shared" si="51"/>
        <v>-</v>
      </c>
      <c r="BU162" s="464" t="str">
        <f t="shared" si="52"/>
        <v>-</v>
      </c>
      <c r="BX162" s="204">
        <f>COUNTIF($BY$4:BY162,"&lt;100")</f>
        <v>59</v>
      </c>
      <c r="BY162" s="213" t="str">
        <f t="shared" si="55"/>
        <v/>
      </c>
      <c r="BZ162" s="216" t="str">
        <f t="shared" si="55"/>
        <v/>
      </c>
      <c r="CA162" s="213" t="e">
        <f t="shared" si="48"/>
        <v>#N/A</v>
      </c>
      <c r="CB162" s="209" t="e">
        <f t="shared" si="49"/>
        <v>#N/A</v>
      </c>
      <c r="CC162" s="205" t="str">
        <f t="shared" si="54"/>
        <v/>
      </c>
      <c r="CD162" s="205" t="str">
        <f t="shared" si="45"/>
        <v>-</v>
      </c>
      <c r="CE162" s="204">
        <f t="shared" si="46"/>
        <v>0</v>
      </c>
      <c r="CG162" s="20" t="str">
        <f t="shared" si="47"/>
        <v/>
      </c>
    </row>
    <row r="163" spans="36:85" ht="21">
      <c r="AJ163"/>
      <c r="AK163"/>
      <c r="AL163"/>
      <c r="AM163" s="87"/>
      <c r="AN163" s="87"/>
      <c r="AO163" s="14" t="str">
        <f>IF(R60="","",COUNTA($R$3:R60)+$AO$105)</f>
        <v/>
      </c>
      <c r="AP163" s="88" t="str">
        <f>IF(AO163="","",IF(AO163+Расчет!$Y$57+$BD$2-Расчет!$X$57&gt;200,AO163+Расчет!$Y$57+$BD$2-1000,AO163+Расчет!$Y$57+$BD$2))</f>
        <v/>
      </c>
      <c r="BL163" s="172">
        <f>COUNTIF($BM$5:BM163,"&lt;-115")</f>
        <v>0</v>
      </c>
      <c r="BM163" s="154">
        <f>IFERROR(IF(OR(IFERROR(VLOOKUP(BN163,$E$3:$E$105,1,FALSE),"0")=BN163,IFERROR(VLOOKUP(BN163,$R$3:$R$105,1,FALSE),"0")=BN163),BO163,IF(OR(VLOOKUP(BN163,Расчет!A:E,5,FALSE)="2PS",VLOOKUP(BN163,Расчет!A:E,5,FALSE)="2QL"),IF(VLOOKUP(BN163,Расчет!A:B,2,FALSE)="831W",BN163-$BS$7+$AD$17,BN163-$BS$7+$AD$12),BN163-$BS$7)),"-")</f>
        <v>81</v>
      </c>
      <c r="BN163" s="154">
        <f>IF(OR(Расчет!C160="A0",Расчет!C160="P9",Расчет!B160="722W"),"-",Расчет!A160)</f>
        <v>11305</v>
      </c>
      <c r="BO163" s="173">
        <f t="shared" si="53"/>
        <v>0</v>
      </c>
      <c r="BP163" s="172">
        <f>IF(BQ163="-","-",IFERROR(IF(OR(VLOOKUP(BN163,Расчет!$A$2:$E$582,5,FALSE)="2PS",VLOOKUP(BN163,Расчет!$A$2:$E$582,5,FALSE)="2QL"),IF(OR(VLOOKUP(BN163,Расчет!$A$2:$E$582,2,FALSE)="664W",VLOOKUP(BN163,Расчет!$A$2:$E$582,2,FALSE)="813W"),IF(BN163-$BS$7&gt;150,BN163-$BS$7-1000+$AD$12,BN163-$BS$7+$AD$12),IF(BN163-$BS$7&gt;150,BN163-$BS$7-1000+$AD$17,BN163-$BS$7+$AD$17)),IF(BN163-$BS$7&gt;150,BN163-$BS$7-1000,BN163-$BS$7)),"-"))</f>
        <v>81</v>
      </c>
      <c r="BQ163" s="173">
        <f t="shared" si="50"/>
        <v>11305</v>
      </c>
      <c r="BR163" s="453"/>
      <c r="BS163" s="171"/>
      <c r="BT163" s="464" t="str">
        <f t="shared" si="51"/>
        <v>-</v>
      </c>
      <c r="BU163" s="464" t="str">
        <f t="shared" si="52"/>
        <v>-</v>
      </c>
      <c r="BX163" s="204">
        <f>COUNTIF($BY$4:BY163,"&lt;100")</f>
        <v>59</v>
      </c>
      <c r="BY163" s="213" t="str">
        <f t="shared" si="55"/>
        <v/>
      </c>
      <c r="BZ163" s="216" t="str">
        <f t="shared" si="55"/>
        <v/>
      </c>
      <c r="CA163" s="213" t="e">
        <f t="shared" si="48"/>
        <v>#N/A</v>
      </c>
      <c r="CB163" s="209" t="e">
        <f t="shared" si="49"/>
        <v>#N/A</v>
      </c>
      <c r="CC163" s="205" t="str">
        <f t="shared" si="54"/>
        <v/>
      </c>
      <c r="CD163" s="205" t="str">
        <f t="shared" si="45"/>
        <v>-</v>
      </c>
      <c r="CE163" s="204">
        <f t="shared" si="46"/>
        <v>0</v>
      </c>
      <c r="CG163" s="20" t="str">
        <f t="shared" si="47"/>
        <v/>
      </c>
    </row>
    <row r="164" spans="36:85" ht="21">
      <c r="AJ164"/>
      <c r="AK164"/>
      <c r="AL164"/>
      <c r="AM164" s="87"/>
      <c r="AN164" s="87"/>
      <c r="AO164" s="14" t="str">
        <f>IF(R61="","",COUNTA($R$3:R61)+$AO$105)</f>
        <v/>
      </c>
      <c r="AP164" s="88" t="str">
        <f>IF(AO164="","",IF(AO164+Расчет!$Y$57+$BD$2-Расчет!$X$57&gt;200,AO164+Расчет!$Y$57+$BD$2-1000,AO164+Расчет!$Y$57+$BD$2))</f>
        <v/>
      </c>
      <c r="BL164" s="172">
        <f>COUNTIF($BM$5:BM164,"&lt;-115")</f>
        <v>0</v>
      </c>
      <c r="BM164" s="154">
        <f>IFERROR(IF(OR(IFERROR(VLOOKUP(BN164,$E$3:$E$105,1,FALSE),"0")=BN164,IFERROR(VLOOKUP(BN164,$R$3:$R$105,1,FALSE),"0")=BN164),BO164,IF(OR(VLOOKUP(BN164,Расчет!A:E,5,FALSE)="2PS",VLOOKUP(BN164,Расчет!A:E,5,FALSE)="2QL"),IF(VLOOKUP(BN164,Расчет!A:B,2,FALSE)="831W",BN164-$BS$7+$AD$17,BN164-$BS$7+$AD$12),BN164-$BS$7)),"-")</f>
        <v>82</v>
      </c>
      <c r="BN164" s="154">
        <f>IF(OR(Расчет!C161="A0",Расчет!C161="P9",Расчет!B161="722W"),"-",Расчет!A161)</f>
        <v>11306</v>
      </c>
      <c r="BO164" s="173">
        <f t="shared" si="53"/>
        <v>0</v>
      </c>
      <c r="BP164" s="172">
        <f>IF(BQ164="-","-",IFERROR(IF(OR(VLOOKUP(BN164,Расчет!$A$2:$E$582,5,FALSE)="2PS",VLOOKUP(BN164,Расчет!$A$2:$E$582,5,FALSE)="2QL"),IF(OR(VLOOKUP(BN164,Расчет!$A$2:$E$582,2,FALSE)="664W",VLOOKUP(BN164,Расчет!$A$2:$E$582,2,FALSE)="813W"),IF(BN164-$BS$7&gt;150,BN164-$BS$7-1000+$AD$12,BN164-$BS$7+$AD$12),IF(BN164-$BS$7&gt;150,BN164-$BS$7-1000+$AD$17,BN164-$BS$7+$AD$17)),IF(BN164-$BS$7&gt;150,BN164-$BS$7-1000,BN164-$BS$7)),"-"))</f>
        <v>82</v>
      </c>
      <c r="BQ164" s="173">
        <f t="shared" si="50"/>
        <v>11306</v>
      </c>
      <c r="BR164" s="453"/>
      <c r="BS164" s="171"/>
      <c r="BT164" s="464" t="str">
        <f t="shared" si="51"/>
        <v>-</v>
      </c>
      <c r="BU164" s="464" t="str">
        <f t="shared" si="52"/>
        <v>-</v>
      </c>
      <c r="BX164" s="204">
        <f>COUNTIF($BY$4:BY164,"&lt;100")</f>
        <v>59</v>
      </c>
      <c r="BY164" s="213" t="str">
        <f t="shared" si="55"/>
        <v/>
      </c>
      <c r="BZ164" s="216" t="str">
        <f t="shared" si="55"/>
        <v/>
      </c>
      <c r="CA164" s="213" t="e">
        <f t="shared" si="48"/>
        <v>#N/A</v>
      </c>
      <c r="CB164" s="209" t="e">
        <f t="shared" si="49"/>
        <v>#N/A</v>
      </c>
      <c r="CC164" s="205" t="str">
        <f t="shared" si="54"/>
        <v/>
      </c>
      <c r="CD164" s="205" t="str">
        <f t="shared" si="45"/>
        <v>-</v>
      </c>
      <c r="CE164" s="204">
        <f t="shared" si="46"/>
        <v>0</v>
      </c>
      <c r="CG164" s="20" t="str">
        <f t="shared" si="47"/>
        <v/>
      </c>
    </row>
    <row r="165" spans="36:85" ht="21">
      <c r="AJ165"/>
      <c r="AK165"/>
      <c r="AL165"/>
      <c r="AM165" s="87"/>
      <c r="AN165" s="87"/>
      <c r="AO165" s="14" t="str">
        <f>IF(R62="","",COUNTA($R$3:R62)+$AO$105)</f>
        <v/>
      </c>
      <c r="AP165" s="88" t="str">
        <f>IF(AO165="","",IF(AO165+Расчет!$Y$57+$BD$2-Расчет!$X$57&gt;200,AO165+Расчет!$Y$57+$BD$2-1000,AO165+Расчет!$Y$57+$BD$2))</f>
        <v/>
      </c>
      <c r="BL165" s="172">
        <f>COUNTIF($BM$5:BM165,"&lt;-115")</f>
        <v>0</v>
      </c>
      <c r="BM165" s="154">
        <f>IFERROR(IF(OR(IFERROR(VLOOKUP(BN165,$E$3:$E$105,1,FALSE),"0")=BN165,IFERROR(VLOOKUP(BN165,$R$3:$R$105,1,FALSE),"0")=BN165),BO165,IF(OR(VLOOKUP(BN165,Расчет!A:E,5,FALSE)="2PS",VLOOKUP(BN165,Расчет!A:E,5,FALSE)="2QL"),IF(VLOOKUP(BN165,Расчет!A:B,2,FALSE)="831W",BN165-$BS$7+$AD$17,BN165-$BS$7+$AD$12),BN165-$BS$7)),"-")</f>
        <v>83</v>
      </c>
      <c r="BN165" s="154">
        <f>IF(OR(Расчет!C162="A0",Расчет!C162="P9",Расчет!B162="722W"),"-",Расчет!A162)</f>
        <v>11307</v>
      </c>
      <c r="BO165" s="173">
        <f t="shared" si="53"/>
        <v>0</v>
      </c>
      <c r="BP165" s="172">
        <f>IF(BQ165="-","-",IFERROR(IF(OR(VLOOKUP(BN165,Расчет!$A$2:$E$582,5,FALSE)="2PS",VLOOKUP(BN165,Расчет!$A$2:$E$582,5,FALSE)="2QL"),IF(OR(VLOOKUP(BN165,Расчет!$A$2:$E$582,2,FALSE)="664W",VLOOKUP(BN165,Расчет!$A$2:$E$582,2,FALSE)="813W"),IF(BN165-$BS$7&gt;150,BN165-$BS$7-1000+$AD$12,BN165-$BS$7+$AD$12),IF(BN165-$BS$7&gt;150,BN165-$BS$7-1000+$AD$17,BN165-$BS$7+$AD$17)),IF(BN165-$BS$7&gt;150,BN165-$BS$7-1000,BN165-$BS$7)),"-"))</f>
        <v>83</v>
      </c>
      <c r="BQ165" s="173">
        <f t="shared" si="50"/>
        <v>11307</v>
      </c>
      <c r="BR165" s="453"/>
      <c r="BS165" s="171"/>
      <c r="BT165" s="464" t="str">
        <f t="shared" si="51"/>
        <v>-</v>
      </c>
      <c r="BU165" s="464" t="str">
        <f t="shared" si="52"/>
        <v>-</v>
      </c>
      <c r="BX165" s="204">
        <f>COUNTIF($BY$4:BY165,"&lt;100")</f>
        <v>59</v>
      </c>
      <c r="BY165" s="213" t="str">
        <f t="shared" si="55"/>
        <v/>
      </c>
      <c r="BZ165" s="216" t="str">
        <f t="shared" si="55"/>
        <v/>
      </c>
      <c r="CA165" s="213" t="e">
        <f t="shared" si="48"/>
        <v>#N/A</v>
      </c>
      <c r="CB165" s="209" t="e">
        <f t="shared" si="49"/>
        <v>#N/A</v>
      </c>
      <c r="CC165" s="205" t="str">
        <f t="shared" si="54"/>
        <v/>
      </c>
      <c r="CD165" s="205" t="str">
        <f t="shared" si="45"/>
        <v>-</v>
      </c>
      <c r="CE165" s="204">
        <f t="shared" si="46"/>
        <v>0</v>
      </c>
      <c r="CG165" s="20" t="str">
        <f t="shared" si="47"/>
        <v/>
      </c>
    </row>
    <row r="166" spans="36:85" ht="21">
      <c r="AJ166"/>
      <c r="AK166"/>
      <c r="AL166"/>
      <c r="AM166" s="87"/>
      <c r="AN166" s="87"/>
      <c r="AO166" s="14" t="str">
        <f>IF(R63="","",COUNTA($R$3:R63)+$AO$105)</f>
        <v/>
      </c>
      <c r="AP166" s="88" t="str">
        <f>IF(AO166="","",IF(AO166+Расчет!$Y$57+$BD$2-Расчет!$X$57&gt;200,AO166+Расчет!$Y$57+$BD$2-1000,AO166+Расчет!$Y$57+$BD$2))</f>
        <v/>
      </c>
      <c r="BL166" s="172">
        <f>COUNTIF($BM$5:BM166,"&lt;-115")</f>
        <v>0</v>
      </c>
      <c r="BM166" s="154">
        <f>IFERROR(IF(OR(IFERROR(VLOOKUP(BN166,$E$3:$E$105,1,FALSE),"0")=BN166,IFERROR(VLOOKUP(BN166,$R$3:$R$105,1,FALSE),"0")=BN166),BO166,IF(OR(VLOOKUP(BN166,Расчет!A:E,5,FALSE)="2PS",VLOOKUP(BN166,Расчет!A:E,5,FALSE)="2QL"),IF(VLOOKUP(BN166,Расчет!A:B,2,FALSE)="831W",BN166-$BS$7+$AD$17,BN166-$BS$7+$AD$12),BN166-$BS$7)),"-")</f>
        <v>84</v>
      </c>
      <c r="BN166" s="154">
        <f>IF(OR(Расчет!C163="A0",Расчет!C163="P9",Расчет!B163="722W"),"-",Расчет!A163)</f>
        <v>11308</v>
      </c>
      <c r="BO166" s="173">
        <f t="shared" si="53"/>
        <v>0</v>
      </c>
      <c r="BP166" s="172">
        <f>IF(BQ166="-","-",IFERROR(IF(OR(VLOOKUP(BN166,Расчет!$A$2:$E$582,5,FALSE)="2PS",VLOOKUP(BN166,Расчет!$A$2:$E$582,5,FALSE)="2QL"),IF(OR(VLOOKUP(BN166,Расчет!$A$2:$E$582,2,FALSE)="664W",VLOOKUP(BN166,Расчет!$A$2:$E$582,2,FALSE)="813W"),IF(BN166-$BS$7&gt;150,BN166-$BS$7-1000+$AD$12,BN166-$BS$7+$AD$12),IF(BN166-$BS$7&gt;150,BN166-$BS$7-1000+$AD$17,BN166-$BS$7+$AD$17)),IF(BN166-$BS$7&gt;150,BN166-$BS$7-1000,BN166-$BS$7)),"-"))</f>
        <v>84</v>
      </c>
      <c r="BQ166" s="173">
        <f t="shared" si="50"/>
        <v>11308</v>
      </c>
      <c r="BR166" s="453"/>
      <c r="BS166" s="171"/>
      <c r="BT166" s="464" t="str">
        <f t="shared" si="51"/>
        <v>-</v>
      </c>
      <c r="BU166" s="464" t="str">
        <f t="shared" si="52"/>
        <v>-</v>
      </c>
      <c r="BX166" s="204">
        <f>COUNTIF($BY$4:BY166,"&lt;100")</f>
        <v>59</v>
      </c>
      <c r="BY166" s="213" t="str">
        <f t="shared" si="55"/>
        <v/>
      </c>
      <c r="BZ166" s="216" t="str">
        <f t="shared" si="55"/>
        <v/>
      </c>
      <c r="CA166" s="213" t="e">
        <f t="shared" si="48"/>
        <v>#N/A</v>
      </c>
      <c r="CB166" s="209" t="e">
        <f t="shared" si="49"/>
        <v>#N/A</v>
      </c>
      <c r="CC166" s="205" t="str">
        <f t="shared" si="54"/>
        <v/>
      </c>
      <c r="CD166" s="205" t="str">
        <f t="shared" si="45"/>
        <v>-</v>
      </c>
      <c r="CE166" s="204">
        <f t="shared" si="46"/>
        <v>0</v>
      </c>
      <c r="CG166" s="20" t="str">
        <f t="shared" si="47"/>
        <v/>
      </c>
    </row>
    <row r="167" spans="36:85" ht="21">
      <c r="AJ167"/>
      <c r="AK167"/>
      <c r="AL167"/>
      <c r="AM167" s="87"/>
      <c r="AN167" s="87"/>
      <c r="AO167" s="14" t="str">
        <f>IF(R64="","",COUNTA($R$3:R64)+$AO$105)</f>
        <v/>
      </c>
      <c r="AP167" s="88" t="str">
        <f>IF(AO167="","",IF(AO167+Расчет!$Y$57+$BD$2-Расчет!$X$57&gt;200,AO167+Расчет!$Y$57+$BD$2-1000,AO167+Расчет!$Y$57+$BD$2))</f>
        <v/>
      </c>
      <c r="BL167" s="172">
        <f>COUNTIF($BM$5:BM167,"&lt;-115")</f>
        <v>0</v>
      </c>
      <c r="BM167" s="154">
        <f>IFERROR(IF(OR(IFERROR(VLOOKUP(BN167,$E$3:$E$105,1,FALSE),"0")=BN167,IFERROR(VLOOKUP(BN167,$R$3:$R$105,1,FALSE),"0")=BN167),BO167,IF(OR(VLOOKUP(BN167,Расчет!A:E,5,FALSE)="2PS",VLOOKUP(BN167,Расчет!A:E,5,FALSE)="2QL"),IF(VLOOKUP(BN167,Расчет!A:B,2,FALSE)="831W",BN167-$BS$7+$AD$17,BN167-$BS$7+$AD$12),BN167-$BS$7)),"-")</f>
        <v>85</v>
      </c>
      <c r="BN167" s="154">
        <f>IF(OR(Расчет!C164="A0",Расчет!C164="P9",Расчет!B164="722W"),"-",Расчет!A164)</f>
        <v>11309</v>
      </c>
      <c r="BO167" s="173">
        <f t="shared" si="53"/>
        <v>0</v>
      </c>
      <c r="BP167" s="172">
        <f>IF(BQ167="-","-",IFERROR(IF(OR(VLOOKUP(BN167,Расчет!$A$2:$E$582,5,FALSE)="2PS",VLOOKUP(BN167,Расчет!$A$2:$E$582,5,FALSE)="2QL"),IF(OR(VLOOKUP(BN167,Расчет!$A$2:$E$582,2,FALSE)="664W",VLOOKUP(BN167,Расчет!$A$2:$E$582,2,FALSE)="813W"),IF(BN167-$BS$7&gt;150,BN167-$BS$7-1000+$AD$12,BN167-$BS$7+$AD$12),IF(BN167-$BS$7&gt;150,BN167-$BS$7-1000+$AD$17,BN167-$BS$7+$AD$17)),IF(BN167-$BS$7&gt;150,BN167-$BS$7-1000,BN167-$BS$7)),"-"))</f>
        <v>85</v>
      </c>
      <c r="BQ167" s="173">
        <f t="shared" si="50"/>
        <v>11309</v>
      </c>
      <c r="BR167" s="453"/>
      <c r="BS167" s="171"/>
      <c r="BT167" s="464" t="str">
        <f t="shared" si="51"/>
        <v>-</v>
      </c>
      <c r="BU167" s="464" t="str">
        <f t="shared" si="52"/>
        <v>-</v>
      </c>
      <c r="BX167" s="204">
        <f>COUNTIF($BY$4:BY167,"&lt;100")</f>
        <v>59</v>
      </c>
      <c r="BY167" s="213" t="str">
        <f t="shared" si="55"/>
        <v/>
      </c>
      <c r="BZ167" s="216" t="str">
        <f t="shared" si="55"/>
        <v/>
      </c>
      <c r="CA167" s="213" t="e">
        <f t="shared" si="48"/>
        <v>#N/A</v>
      </c>
      <c r="CB167" s="209" t="e">
        <f t="shared" si="49"/>
        <v>#N/A</v>
      </c>
      <c r="CC167" s="205" t="str">
        <f t="shared" si="54"/>
        <v/>
      </c>
      <c r="CD167" s="205" t="str">
        <f t="shared" si="45"/>
        <v>-</v>
      </c>
      <c r="CE167" s="204">
        <f t="shared" si="46"/>
        <v>0</v>
      </c>
      <c r="CG167" s="20" t="str">
        <f t="shared" si="47"/>
        <v/>
      </c>
    </row>
    <row r="168" spans="36:85" ht="21">
      <c r="AJ168"/>
      <c r="AK168"/>
      <c r="AL168"/>
      <c r="AM168" s="87"/>
      <c r="AN168" s="87"/>
      <c r="AO168" s="14" t="str">
        <f>IF(R65="","",COUNTA($R$3:R65)+$AO$105)</f>
        <v/>
      </c>
      <c r="AP168" s="88" t="str">
        <f>IF(AO168="","",IF(AO168+Расчет!$Y$57+$BD$2-Расчет!$X$57&gt;200,AO168+Расчет!$Y$57+$BD$2-1000,AO168+Расчет!$Y$57+$BD$2))</f>
        <v/>
      </c>
      <c r="BL168" s="172">
        <f>COUNTIF($BM$5:BM168,"&lt;-115")</f>
        <v>0</v>
      </c>
      <c r="BM168" s="154">
        <f>IFERROR(IF(OR(IFERROR(VLOOKUP(BN168,$E$3:$E$105,1,FALSE),"0")=BN168,IFERROR(VLOOKUP(BN168,$R$3:$R$105,1,FALSE),"0")=BN168),BO168,IF(OR(VLOOKUP(BN168,Расчет!A:E,5,FALSE)="2PS",VLOOKUP(BN168,Расчет!A:E,5,FALSE)="2QL"),IF(VLOOKUP(BN168,Расчет!A:B,2,FALSE)="831W",BN168-$BS$7+$AD$17,BN168-$BS$7+$AD$12),BN168-$BS$7)),"-")</f>
        <v>86</v>
      </c>
      <c r="BN168" s="154">
        <f>IF(OR(Расчет!C165="A0",Расчет!C165="P9",Расчет!B165="722W"),"-",Расчет!A165)</f>
        <v>11310</v>
      </c>
      <c r="BO168" s="173">
        <f t="shared" si="53"/>
        <v>0</v>
      </c>
      <c r="BP168" s="172">
        <f>IF(BQ168="-","-",IFERROR(IF(OR(VLOOKUP(BN168,Расчет!$A$2:$E$582,5,FALSE)="2PS",VLOOKUP(BN168,Расчет!$A$2:$E$582,5,FALSE)="2QL"),IF(OR(VLOOKUP(BN168,Расчет!$A$2:$E$582,2,FALSE)="664W",VLOOKUP(BN168,Расчет!$A$2:$E$582,2,FALSE)="813W"),IF(BN168-$BS$7&gt;150,BN168-$BS$7-1000+$AD$12,BN168-$BS$7+$AD$12),IF(BN168-$BS$7&gt;150,BN168-$BS$7-1000+$AD$17,BN168-$BS$7+$AD$17)),IF(BN168-$BS$7&gt;150,BN168-$BS$7-1000,BN168-$BS$7)),"-"))</f>
        <v>86</v>
      </c>
      <c r="BQ168" s="173">
        <f t="shared" si="50"/>
        <v>11310</v>
      </c>
      <c r="BR168" s="453"/>
      <c r="BS168" s="171"/>
      <c r="BT168" s="464" t="str">
        <f t="shared" si="51"/>
        <v>-</v>
      </c>
      <c r="BU168" s="464" t="str">
        <f t="shared" si="52"/>
        <v>-</v>
      </c>
      <c r="BX168" s="204">
        <f>COUNTIF($BY$4:BY168,"&lt;100")</f>
        <v>59</v>
      </c>
      <c r="BY168" s="213" t="str">
        <f t="shared" si="55"/>
        <v/>
      </c>
      <c r="BZ168" s="216" t="str">
        <f t="shared" si="55"/>
        <v/>
      </c>
      <c r="CA168" s="213" t="e">
        <f t="shared" si="48"/>
        <v>#N/A</v>
      </c>
      <c r="CB168" s="209" t="e">
        <f t="shared" si="49"/>
        <v>#N/A</v>
      </c>
      <c r="CC168" s="205" t="str">
        <f t="shared" si="54"/>
        <v/>
      </c>
      <c r="CD168" s="205" t="str">
        <f t="shared" si="45"/>
        <v>-</v>
      </c>
      <c r="CE168" s="204">
        <f t="shared" si="46"/>
        <v>0</v>
      </c>
      <c r="CG168" s="20" t="str">
        <f t="shared" si="47"/>
        <v/>
      </c>
    </row>
    <row r="169" spans="36:85" ht="21">
      <c r="AJ169"/>
      <c r="AK169"/>
      <c r="AL169"/>
      <c r="AM169" s="87"/>
      <c r="AN169" s="87"/>
      <c r="AO169" s="14" t="str">
        <f>IF(R66="","",COUNTA($R$3:R66)+$AO$105)</f>
        <v/>
      </c>
      <c r="AP169" s="88" t="str">
        <f>IF(AO169="","",IF(AO169+Расчет!$Y$57+$BD$2-Расчет!$X$57&gt;200,AO169+Расчет!$Y$57+$BD$2-1000,AO169+Расчет!$Y$57+$BD$2))</f>
        <v/>
      </c>
      <c r="BL169" s="172">
        <f>COUNTIF($BM$5:BM169,"&lt;-115")</f>
        <v>0</v>
      </c>
      <c r="BM169" s="154">
        <f>IFERROR(IF(OR(IFERROR(VLOOKUP(BN169,$E$3:$E$105,1,FALSE),"0")=BN169,IFERROR(VLOOKUP(BN169,$R$3:$R$105,1,FALSE),"0")=BN169),BO169,IF(OR(VLOOKUP(BN169,Расчет!A:E,5,FALSE)="2PS",VLOOKUP(BN169,Расчет!A:E,5,FALSE)="2QL"),IF(VLOOKUP(BN169,Расчет!A:B,2,FALSE)="831W",BN169-$BS$7+$AD$17,BN169-$BS$7+$AD$12),BN169-$BS$7)),"-")</f>
        <v>87</v>
      </c>
      <c r="BN169" s="154">
        <f>IF(OR(Расчет!C166="A0",Расчет!C166="P9",Расчет!B166="722W"),"-",Расчет!A166)</f>
        <v>11311</v>
      </c>
      <c r="BO169" s="173">
        <f t="shared" si="53"/>
        <v>0</v>
      </c>
      <c r="BP169" s="172">
        <f>IF(BQ169="-","-",IFERROR(IF(OR(VLOOKUP(BN169,Расчет!$A$2:$E$582,5,FALSE)="2PS",VLOOKUP(BN169,Расчет!$A$2:$E$582,5,FALSE)="2QL"),IF(OR(VLOOKUP(BN169,Расчет!$A$2:$E$582,2,FALSE)="664W",VLOOKUP(BN169,Расчет!$A$2:$E$582,2,FALSE)="813W"),IF(BN169-$BS$7&gt;150,BN169-$BS$7-1000+$AD$12,BN169-$BS$7+$AD$12),IF(BN169-$BS$7&gt;150,BN169-$BS$7-1000+$AD$17,BN169-$BS$7+$AD$17)),IF(BN169-$BS$7&gt;150,BN169-$BS$7-1000,BN169-$BS$7)),"-"))</f>
        <v>87</v>
      </c>
      <c r="BQ169" s="173">
        <f t="shared" si="50"/>
        <v>11311</v>
      </c>
      <c r="BR169" s="453"/>
      <c r="BS169" s="171"/>
      <c r="BT169" s="464" t="str">
        <f t="shared" si="51"/>
        <v>-</v>
      </c>
      <c r="BU169" s="464" t="str">
        <f t="shared" si="52"/>
        <v>-</v>
      </c>
      <c r="BX169" s="204">
        <f>COUNTIF($BY$4:BY169,"&lt;100")</f>
        <v>59</v>
      </c>
      <c r="BY169" s="213" t="str">
        <f t="shared" si="55"/>
        <v/>
      </c>
      <c r="BZ169" s="216" t="str">
        <f t="shared" si="55"/>
        <v/>
      </c>
      <c r="CA169" s="213" t="e">
        <f t="shared" si="48"/>
        <v>#N/A</v>
      </c>
      <c r="CB169" s="209" t="e">
        <f t="shared" si="49"/>
        <v>#N/A</v>
      </c>
      <c r="CC169" s="205" t="str">
        <f t="shared" si="54"/>
        <v/>
      </c>
      <c r="CD169" s="205" t="str">
        <f t="shared" si="45"/>
        <v>-</v>
      </c>
      <c r="CE169" s="204">
        <f t="shared" si="46"/>
        <v>0</v>
      </c>
      <c r="CG169" s="20" t="str">
        <f t="shared" si="47"/>
        <v/>
      </c>
    </row>
    <row r="170" spans="36:85" ht="21">
      <c r="AJ170"/>
      <c r="AK170"/>
      <c r="AL170"/>
      <c r="AM170" s="87"/>
      <c r="AN170" s="87"/>
      <c r="AO170" s="14" t="str">
        <f>IF(R67="","",COUNTA($R$3:R67)+$AO$105)</f>
        <v/>
      </c>
      <c r="AP170" s="88" t="str">
        <f>IF(AO170="","",IF(AO170+Расчет!$Y$57+$BD$2-Расчет!$X$57&gt;200,AO170+Расчет!$Y$57+$BD$2-1000,AO170+Расчет!$Y$57+$BD$2))</f>
        <v/>
      </c>
      <c r="BL170" s="172">
        <f>COUNTIF($BM$5:BM170,"&lt;-115")</f>
        <v>0</v>
      </c>
      <c r="BM170" s="154">
        <f>IFERROR(IF(OR(IFERROR(VLOOKUP(BN170,$E$3:$E$105,1,FALSE),"0")=BN170,IFERROR(VLOOKUP(BN170,$R$3:$R$105,1,FALSE),"0")=BN170),BO170,IF(OR(VLOOKUP(BN170,Расчет!A:E,5,FALSE)="2PS",VLOOKUP(BN170,Расчет!A:E,5,FALSE)="2QL"),IF(VLOOKUP(BN170,Расчет!A:B,2,FALSE)="831W",BN170-$BS$7+$AD$17,BN170-$BS$7+$AD$12),BN170-$BS$7)),"-")</f>
        <v>88</v>
      </c>
      <c r="BN170" s="154">
        <f>IF(OR(Расчет!C167="A0",Расчет!C167="P9",Расчет!B167="722W"),"-",Расчет!A167)</f>
        <v>11312</v>
      </c>
      <c r="BO170" s="173">
        <f t="shared" si="53"/>
        <v>0</v>
      </c>
      <c r="BP170" s="172">
        <f>IF(BQ170="-","-",IFERROR(IF(OR(VLOOKUP(BN170,Расчет!$A$2:$E$582,5,FALSE)="2PS",VLOOKUP(BN170,Расчет!$A$2:$E$582,5,FALSE)="2QL"),IF(OR(VLOOKUP(BN170,Расчет!$A$2:$E$582,2,FALSE)="664W",VLOOKUP(BN170,Расчет!$A$2:$E$582,2,FALSE)="813W"),IF(BN170-$BS$7&gt;150,BN170-$BS$7-1000+$AD$12,BN170-$BS$7+$AD$12),IF(BN170-$BS$7&gt;150,BN170-$BS$7-1000+$AD$17,BN170-$BS$7+$AD$17)),IF(BN170-$BS$7&gt;150,BN170-$BS$7-1000,BN170-$BS$7)),"-"))</f>
        <v>88</v>
      </c>
      <c r="BQ170" s="173">
        <f t="shared" si="50"/>
        <v>11312</v>
      </c>
      <c r="BR170" s="453"/>
      <c r="BS170" s="171"/>
      <c r="BT170" s="464" t="str">
        <f t="shared" si="51"/>
        <v>-</v>
      </c>
      <c r="BU170" s="464" t="str">
        <f t="shared" si="52"/>
        <v>-</v>
      </c>
      <c r="BX170" s="204">
        <f>COUNTIF($BY$4:BY170,"&lt;100")</f>
        <v>59</v>
      </c>
      <c r="BY170" s="213" t="str">
        <f t="shared" si="55"/>
        <v/>
      </c>
      <c r="BZ170" s="216" t="str">
        <f t="shared" si="55"/>
        <v/>
      </c>
      <c r="CA170" s="213" t="e">
        <f t="shared" si="48"/>
        <v>#N/A</v>
      </c>
      <c r="CB170" s="209" t="e">
        <f t="shared" si="49"/>
        <v>#N/A</v>
      </c>
      <c r="CC170" s="205" t="str">
        <f t="shared" si="54"/>
        <v/>
      </c>
      <c r="CD170" s="205" t="str">
        <f t="shared" si="45"/>
        <v>-</v>
      </c>
      <c r="CE170" s="204">
        <f t="shared" si="46"/>
        <v>0</v>
      </c>
      <c r="CG170" s="20" t="str">
        <f t="shared" si="47"/>
        <v/>
      </c>
    </row>
    <row r="171" spans="36:85" ht="21">
      <c r="AJ171"/>
      <c r="AK171"/>
      <c r="AL171"/>
      <c r="AM171" s="87"/>
      <c r="AN171" s="87"/>
      <c r="AO171" s="14" t="str">
        <f>IF(R68="","",COUNTA($R$3:R68)+$AO$105)</f>
        <v/>
      </c>
      <c r="AP171" s="88" t="str">
        <f>IF(AO171="","",IF(AO171+Расчет!$Y$57+$BD$2-Расчет!$X$57&gt;200,AO171+Расчет!$Y$57+$BD$2-1000,AO171+Расчет!$Y$57+$BD$2))</f>
        <v/>
      </c>
      <c r="BL171" s="172">
        <f>COUNTIF($BM$5:BM171,"&lt;-115")</f>
        <v>0</v>
      </c>
      <c r="BM171" s="154">
        <f>IFERROR(IF(OR(IFERROR(VLOOKUP(BN171,$E$3:$E$105,1,FALSE),"0")=BN171,IFERROR(VLOOKUP(BN171,$R$3:$R$105,1,FALSE),"0")=BN171),BO171,IF(OR(VLOOKUP(BN171,Расчет!A:E,5,FALSE)="2PS",VLOOKUP(BN171,Расчет!A:E,5,FALSE)="2QL"),IF(VLOOKUP(BN171,Расчет!A:B,2,FALSE)="831W",BN171-$BS$7+$AD$17,BN171-$BS$7+$AD$12),BN171-$BS$7)),"-")</f>
        <v>200</v>
      </c>
      <c r="BN171" s="154">
        <f>IF(OR(Расчет!C168="A0",Расчет!C168="P9",Расчет!B168="722W"),"-",Расчет!A168)</f>
        <v>11313</v>
      </c>
      <c r="BO171" s="173">
        <f t="shared" si="53"/>
        <v>0</v>
      </c>
      <c r="BP171" s="172">
        <f>IF(BQ171="-","-",IFERROR(IF(OR(VLOOKUP(BN171,Расчет!$A$2:$E$582,5,FALSE)="2PS",VLOOKUP(BN171,Расчет!$A$2:$E$582,5,FALSE)="2QL"),IF(OR(VLOOKUP(BN171,Расчет!$A$2:$E$582,2,FALSE)="664W",VLOOKUP(BN171,Расчет!$A$2:$E$582,2,FALSE)="813W"),IF(BN171-$BS$7&gt;150,BN171-$BS$7-1000+$AD$12,BN171-$BS$7+$AD$12),IF(BN171-$BS$7&gt;150,BN171-$BS$7-1000+$AD$17,BN171-$BS$7+$AD$17)),IF(BN171-$BS$7&gt;150,BN171-$BS$7-1000,BN171-$BS$7)),"-"))</f>
        <v>200</v>
      </c>
      <c r="BQ171" s="173">
        <f t="shared" si="50"/>
        <v>11313</v>
      </c>
      <c r="BR171" s="453"/>
      <c r="BS171" s="171"/>
      <c r="BT171" s="464" t="str">
        <f t="shared" si="51"/>
        <v>-</v>
      </c>
      <c r="BU171" s="464" t="str">
        <f t="shared" si="52"/>
        <v>-</v>
      </c>
      <c r="BX171" s="204">
        <f>COUNTIF($BY$4:BY171,"&lt;100")</f>
        <v>59</v>
      </c>
      <c r="BY171" s="213" t="str">
        <f t="shared" ref="BY171:BZ202" si="56">AM67</f>
        <v/>
      </c>
      <c r="BZ171" s="216" t="str">
        <f t="shared" si="56"/>
        <v/>
      </c>
      <c r="CA171" s="213" t="e">
        <f t="shared" si="48"/>
        <v>#N/A</v>
      </c>
      <c r="CB171" s="209" t="e">
        <f t="shared" si="49"/>
        <v>#N/A</v>
      </c>
      <c r="CC171" s="205" t="str">
        <f t="shared" si="54"/>
        <v/>
      </c>
      <c r="CD171" s="205" t="str">
        <f t="shared" ref="CD171:CD209" si="57">N67</f>
        <v>-</v>
      </c>
      <c r="CE171" s="204">
        <f t="shared" si="46"/>
        <v>0</v>
      </c>
      <c r="CG171" s="20" t="str">
        <f t="shared" si="47"/>
        <v/>
      </c>
    </row>
    <row r="172" spans="36:85" ht="21">
      <c r="AJ172"/>
      <c r="AK172"/>
      <c r="AL172"/>
      <c r="AM172" s="87"/>
      <c r="AN172" s="87"/>
      <c r="AO172" s="14" t="str">
        <f>IF(R69="","",COUNTA($R$3:R69)+$AO$105)</f>
        <v/>
      </c>
      <c r="AP172" s="88" t="str">
        <f>IF(AO172="","",IF(AO172+Расчет!$Y$57+$BD$2-Расчет!$X$57&gt;200,AO172+Расчет!$Y$57+$BD$2-1000,AO172+Расчет!$Y$57+$BD$2))</f>
        <v/>
      </c>
      <c r="BL172" s="172">
        <f>COUNTIF($BM$5:BM172,"&lt;-115")</f>
        <v>0</v>
      </c>
      <c r="BM172" s="154">
        <f>IFERROR(IF(OR(IFERROR(VLOOKUP(BN172,$E$3:$E$105,1,FALSE),"0")=BN172,IFERROR(VLOOKUP(BN172,$R$3:$R$105,1,FALSE),"0")=BN172),BO172,IF(OR(VLOOKUP(BN172,Расчет!A:E,5,FALSE)="2PS",VLOOKUP(BN172,Расчет!A:E,5,FALSE)="2QL"),IF(VLOOKUP(BN172,Расчет!A:B,2,FALSE)="831W",BN172-$BS$7+$AD$17,BN172-$BS$7+$AD$12),BN172-$BS$7)),"-")</f>
        <v>90</v>
      </c>
      <c r="BN172" s="154">
        <f>IF(OR(Расчет!C169="A0",Расчет!C169="P9",Расчет!B169="722W"),"-",Расчет!A169)</f>
        <v>11314</v>
      </c>
      <c r="BO172" s="173">
        <f t="shared" si="53"/>
        <v>0</v>
      </c>
      <c r="BP172" s="172">
        <f>IF(BQ172="-","-",IFERROR(IF(OR(VLOOKUP(BN172,Расчет!$A$2:$E$582,5,FALSE)="2PS",VLOOKUP(BN172,Расчет!$A$2:$E$582,5,FALSE)="2QL"),IF(OR(VLOOKUP(BN172,Расчет!$A$2:$E$582,2,FALSE)="664W",VLOOKUP(BN172,Расчет!$A$2:$E$582,2,FALSE)="813W"),IF(BN172-$BS$7&gt;150,BN172-$BS$7-1000+$AD$12,BN172-$BS$7+$AD$12),IF(BN172-$BS$7&gt;150,BN172-$BS$7-1000+$AD$17,BN172-$BS$7+$AD$17)),IF(BN172-$BS$7&gt;150,BN172-$BS$7-1000,BN172-$BS$7)),"-"))</f>
        <v>90</v>
      </c>
      <c r="BQ172" s="173">
        <f t="shared" si="50"/>
        <v>11314</v>
      </c>
      <c r="BR172" s="453"/>
      <c r="BS172" s="171"/>
      <c r="BT172" s="464" t="str">
        <f t="shared" si="51"/>
        <v>-</v>
      </c>
      <c r="BU172" s="464" t="str">
        <f t="shared" si="52"/>
        <v>-</v>
      </c>
      <c r="BX172" s="204">
        <f>COUNTIF($BY$4:BY172,"&lt;100")</f>
        <v>59</v>
      </c>
      <c r="BY172" s="213" t="str">
        <f t="shared" si="56"/>
        <v/>
      </c>
      <c r="BZ172" s="216" t="str">
        <f t="shared" si="56"/>
        <v/>
      </c>
      <c r="CA172" s="213" t="e">
        <f t="shared" si="48"/>
        <v>#N/A</v>
      </c>
      <c r="CB172" s="209" t="e">
        <f t="shared" si="49"/>
        <v>#N/A</v>
      </c>
      <c r="CC172" s="205" t="str">
        <f t="shared" si="54"/>
        <v/>
      </c>
      <c r="CD172" s="205" t="str">
        <f t="shared" si="57"/>
        <v>-</v>
      </c>
      <c r="CE172" s="204">
        <f t="shared" si="46"/>
        <v>0</v>
      </c>
      <c r="CG172" s="20" t="str">
        <f t="shared" si="47"/>
        <v/>
      </c>
    </row>
    <row r="173" spans="36:85" ht="21">
      <c r="AJ173"/>
      <c r="AK173"/>
      <c r="AL173"/>
      <c r="AM173" s="87"/>
      <c r="AN173" s="87"/>
      <c r="AO173" s="14" t="str">
        <f>IF(R70="","",COUNTA($R$3:R70)+$AO$105)</f>
        <v/>
      </c>
      <c r="AP173" s="88" t="str">
        <f>IF(AO173="","",IF(AO173+Расчет!$Y$57+$BD$2-Расчет!$X$57&gt;200,AO173+Расчет!$Y$57+$BD$2-1000,AO173+Расчет!$Y$57+$BD$2))</f>
        <v/>
      </c>
      <c r="BL173" s="172">
        <f>COUNTIF($BM$5:BM173,"&lt;-115")</f>
        <v>0</v>
      </c>
      <c r="BM173" s="154">
        <f>IFERROR(IF(OR(IFERROR(VLOOKUP(BN173,$E$3:$E$105,1,FALSE),"0")=BN173,IFERROR(VLOOKUP(BN173,$R$3:$R$105,1,FALSE),"0")=BN173),BO173,IF(OR(VLOOKUP(BN173,Расчет!A:E,5,FALSE)="2PS",VLOOKUP(BN173,Расчет!A:E,5,FALSE)="2QL"),IF(VLOOKUP(BN173,Расчет!A:B,2,FALSE)="831W",BN173-$BS$7+$AD$17,BN173-$BS$7+$AD$12),BN173-$BS$7)),"-")</f>
        <v>91</v>
      </c>
      <c r="BN173" s="154">
        <f>IF(OR(Расчет!C170="A0",Расчет!C170="P9",Расчет!B170="722W"),"-",Расчет!A170)</f>
        <v>11315</v>
      </c>
      <c r="BO173" s="173">
        <f t="shared" si="53"/>
        <v>0</v>
      </c>
      <c r="BP173" s="172">
        <f>IF(BQ173="-","-",IFERROR(IF(OR(VLOOKUP(BN173,Расчет!$A$2:$E$582,5,FALSE)="2PS",VLOOKUP(BN173,Расчет!$A$2:$E$582,5,FALSE)="2QL"),IF(OR(VLOOKUP(BN173,Расчет!$A$2:$E$582,2,FALSE)="664W",VLOOKUP(BN173,Расчет!$A$2:$E$582,2,FALSE)="813W"),IF(BN173-$BS$7&gt;150,BN173-$BS$7-1000+$AD$12,BN173-$BS$7+$AD$12),IF(BN173-$BS$7&gt;150,BN173-$BS$7-1000+$AD$17,BN173-$BS$7+$AD$17)),IF(BN173-$BS$7&gt;150,BN173-$BS$7-1000,BN173-$BS$7)),"-"))</f>
        <v>91</v>
      </c>
      <c r="BQ173" s="173">
        <f t="shared" si="50"/>
        <v>11315</v>
      </c>
      <c r="BR173" s="453"/>
      <c r="BS173" s="171"/>
      <c r="BT173" s="464" t="str">
        <f t="shared" si="51"/>
        <v>-</v>
      </c>
      <c r="BU173" s="464" t="str">
        <f t="shared" si="52"/>
        <v>-</v>
      </c>
      <c r="BX173" s="204">
        <f>COUNTIF($BY$4:BY173,"&lt;100")</f>
        <v>59</v>
      </c>
      <c r="BY173" s="213" t="str">
        <f t="shared" si="56"/>
        <v/>
      </c>
      <c r="BZ173" s="216" t="str">
        <f t="shared" si="56"/>
        <v/>
      </c>
      <c r="CA173" s="213" t="e">
        <f t="shared" si="48"/>
        <v>#N/A</v>
      </c>
      <c r="CB173" s="209" t="e">
        <f t="shared" si="49"/>
        <v>#N/A</v>
      </c>
      <c r="CC173" s="205" t="str">
        <f t="shared" si="54"/>
        <v/>
      </c>
      <c r="CD173" s="205" t="str">
        <f t="shared" si="57"/>
        <v>-</v>
      </c>
      <c r="CE173" s="204">
        <f t="shared" ref="CE173:CE209" si="58">IF(OR(AND($T69="Rich",$T68="Rich"),AND($T69="Rich",$T67="Rich"),AND($U69="TWIN-C",$U68="TWIN-C"),AND($U69="TWIN-C",$U68="4WD",$U67="TWIN-C"),AND($U69="TWIN-C",$T68="Rich",$U67="TWIN-C"),AND(COUNTIF($CG178:$CG181,"Rich")&gt;1,COUNTIF($CG178:$CG181,"Mech")&gt;1),AND($CG181="Sport",COUNTIF($CG176:$CG181,"Sport")&gt;1))=TRUE(),1,0)</f>
        <v>0</v>
      </c>
      <c r="CG173" s="20" t="str">
        <f t="shared" si="47"/>
        <v/>
      </c>
    </row>
    <row r="174" spans="36:85" ht="21">
      <c r="AJ174"/>
      <c r="AK174"/>
      <c r="AL174"/>
      <c r="AM174" s="87"/>
      <c r="AN174" s="87"/>
      <c r="AO174" s="14" t="str">
        <f>IF(R71="","",COUNTA($R$3:R71)+$AO$105)</f>
        <v/>
      </c>
      <c r="AP174" s="88" t="str">
        <f>IF(AO174="","",IF(AO174+Расчет!$Y$57+$BD$2-Расчет!$X$57&gt;200,AO174+Расчет!$Y$57+$BD$2-1000,AO174+Расчет!$Y$57+$BD$2))</f>
        <v/>
      </c>
      <c r="BL174" s="172">
        <f>COUNTIF($BM$5:BM174,"&lt;-115")</f>
        <v>0</v>
      </c>
      <c r="BM174" s="154">
        <f>IFERROR(IF(OR(IFERROR(VLOOKUP(BN174,$E$3:$E$105,1,FALSE),"0")=BN174,IFERROR(VLOOKUP(BN174,$R$3:$R$105,1,FALSE),"0")=BN174),BO174,IF(OR(VLOOKUP(BN174,Расчет!A:E,5,FALSE)="2PS",VLOOKUP(BN174,Расчет!A:E,5,FALSE)="2QL"),IF(VLOOKUP(BN174,Расчет!A:B,2,FALSE)="831W",BN174-$BS$7+$AD$17,BN174-$BS$7+$AD$12),BN174-$BS$7)),"-")</f>
        <v>92</v>
      </c>
      <c r="BN174" s="154">
        <f>IF(OR(Расчет!C171="A0",Расчет!C171="P9",Расчет!B171="722W"),"-",Расчет!A171)</f>
        <v>11316</v>
      </c>
      <c r="BO174" s="173">
        <f t="shared" si="53"/>
        <v>0</v>
      </c>
      <c r="BP174" s="172">
        <f>IF(BQ174="-","-",IFERROR(IF(OR(VLOOKUP(BN174,Расчет!$A$2:$E$582,5,FALSE)="2PS",VLOOKUP(BN174,Расчет!$A$2:$E$582,5,FALSE)="2QL"),IF(OR(VLOOKUP(BN174,Расчет!$A$2:$E$582,2,FALSE)="664W",VLOOKUP(BN174,Расчет!$A$2:$E$582,2,FALSE)="813W"),IF(BN174-$BS$7&gt;150,BN174-$BS$7-1000+$AD$12,BN174-$BS$7+$AD$12),IF(BN174-$BS$7&gt;150,BN174-$BS$7-1000+$AD$17,BN174-$BS$7+$AD$17)),IF(BN174-$BS$7&gt;150,BN174-$BS$7-1000,BN174-$BS$7)),"-"))</f>
        <v>92</v>
      </c>
      <c r="BQ174" s="173">
        <f t="shared" si="50"/>
        <v>11316</v>
      </c>
      <c r="BR174" s="453"/>
      <c r="BS174" s="171"/>
      <c r="BT174" s="464" t="str">
        <f t="shared" si="51"/>
        <v>-</v>
      </c>
      <c r="BU174" s="464" t="str">
        <f t="shared" si="52"/>
        <v>-</v>
      </c>
      <c r="BX174" s="204">
        <f>COUNTIF($BY$4:BY174,"&lt;100")</f>
        <v>59</v>
      </c>
      <c r="BY174" s="213" t="str">
        <f t="shared" si="56"/>
        <v/>
      </c>
      <c r="BZ174" s="216" t="str">
        <f t="shared" si="56"/>
        <v/>
      </c>
      <c r="CA174" s="213" t="e">
        <f t="shared" si="48"/>
        <v>#N/A</v>
      </c>
      <c r="CB174" s="209" t="e">
        <f t="shared" si="49"/>
        <v>#N/A</v>
      </c>
      <c r="CC174" s="205" t="str">
        <f t="shared" si="54"/>
        <v/>
      </c>
      <c r="CD174" s="205" t="str">
        <f t="shared" si="57"/>
        <v>-</v>
      </c>
      <c r="CE174" s="204">
        <f t="shared" si="58"/>
        <v>0</v>
      </c>
      <c r="CG174" s="20" t="str">
        <f t="shared" si="47"/>
        <v/>
      </c>
    </row>
    <row r="175" spans="36:85" ht="21">
      <c r="AJ175"/>
      <c r="AK175"/>
      <c r="AL175"/>
      <c r="AM175" s="87"/>
      <c r="AN175" s="87"/>
      <c r="AO175" s="14" t="str">
        <f>IF(R72="","",COUNTA($R$3:R72)+$AO$105)</f>
        <v/>
      </c>
      <c r="AP175" s="88" t="str">
        <f>IF(AO175="","",IF(AO175+Расчет!$Y$57+$BD$2-Расчет!$X$57&gt;200,AO175+Расчет!$Y$57+$BD$2-1000,AO175+Расчет!$Y$57+$BD$2))</f>
        <v/>
      </c>
      <c r="BL175" s="172">
        <f>COUNTIF($BM$5:BM175,"&lt;-115")</f>
        <v>0</v>
      </c>
      <c r="BM175" s="154">
        <f>IFERROR(IF(OR(IFERROR(VLOOKUP(BN175,$E$3:$E$105,1,FALSE),"0")=BN175,IFERROR(VLOOKUP(BN175,$R$3:$R$105,1,FALSE),"0")=BN175),BO175,IF(OR(VLOOKUP(BN175,Расчет!A:E,5,FALSE)="2PS",VLOOKUP(BN175,Расчет!A:E,5,FALSE)="2QL"),IF(VLOOKUP(BN175,Расчет!A:B,2,FALSE)="831W",BN175-$BS$7+$AD$17,BN175-$BS$7+$AD$12),BN175-$BS$7)),"-")</f>
        <v>93</v>
      </c>
      <c r="BN175" s="154">
        <f>IF(OR(Расчет!C172="A0",Расчет!C172="P9",Расчет!B172="722W"),"-",Расчет!A172)</f>
        <v>11317</v>
      </c>
      <c r="BO175" s="173">
        <f t="shared" si="53"/>
        <v>0</v>
      </c>
      <c r="BP175" s="172">
        <f>IF(BQ175="-","-",IFERROR(IF(OR(VLOOKUP(BN175,Расчет!$A$2:$E$582,5,FALSE)="2PS",VLOOKUP(BN175,Расчет!$A$2:$E$582,5,FALSE)="2QL"),IF(OR(VLOOKUP(BN175,Расчет!$A$2:$E$582,2,FALSE)="664W",VLOOKUP(BN175,Расчет!$A$2:$E$582,2,FALSE)="813W"),IF(BN175-$BS$7&gt;150,BN175-$BS$7-1000+$AD$12,BN175-$BS$7+$AD$12),IF(BN175-$BS$7&gt;150,BN175-$BS$7-1000+$AD$17,BN175-$BS$7+$AD$17)),IF(BN175-$BS$7&gt;150,BN175-$BS$7-1000,BN175-$BS$7)),"-"))</f>
        <v>93</v>
      </c>
      <c r="BQ175" s="173">
        <f t="shared" si="50"/>
        <v>11317</v>
      </c>
      <c r="BR175" s="453"/>
      <c r="BS175" s="171"/>
      <c r="BT175" s="464" t="str">
        <f t="shared" si="51"/>
        <v>-</v>
      </c>
      <c r="BU175" s="464" t="str">
        <f t="shared" si="52"/>
        <v>-</v>
      </c>
      <c r="BX175" s="204">
        <f>COUNTIF($BY$4:BY175,"&lt;100")</f>
        <v>59</v>
      </c>
      <c r="BY175" s="213" t="str">
        <f t="shared" si="56"/>
        <v/>
      </c>
      <c r="BZ175" s="216" t="str">
        <f t="shared" si="56"/>
        <v/>
      </c>
      <c r="CA175" s="213" t="e">
        <f t="shared" si="48"/>
        <v>#N/A</v>
      </c>
      <c r="CB175" s="209" t="e">
        <f t="shared" si="49"/>
        <v>#N/A</v>
      </c>
      <c r="CC175" s="205" t="str">
        <f t="shared" si="54"/>
        <v/>
      </c>
      <c r="CD175" s="205" t="str">
        <f t="shared" si="57"/>
        <v>-</v>
      </c>
      <c r="CE175" s="204">
        <f t="shared" si="58"/>
        <v>0</v>
      </c>
      <c r="CG175" s="20" t="str">
        <f t="shared" si="47"/>
        <v/>
      </c>
    </row>
    <row r="176" spans="36:85" ht="21">
      <c r="AJ176"/>
      <c r="AK176"/>
      <c r="AL176"/>
      <c r="AM176" s="87"/>
      <c r="AN176" s="87"/>
      <c r="AO176" s="14" t="str">
        <f>IF(R73="","",COUNTA($R$3:R73)+$AO$105)</f>
        <v/>
      </c>
      <c r="AP176" s="88" t="str">
        <f>IF(AO176="","",IF(AO176+Расчет!$Y$57+$BD$2-Расчет!$X$57&gt;200,AO176+Расчет!$Y$57+$BD$2-1000,AO176+Расчет!$Y$57+$BD$2))</f>
        <v/>
      </c>
      <c r="BL176" s="172">
        <f>COUNTIF($BM$5:BM176,"&lt;-115")</f>
        <v>0</v>
      </c>
      <c r="BM176" s="154">
        <f>IFERROR(IF(OR(IFERROR(VLOOKUP(BN176,$E$3:$E$105,1,FALSE),"0")=BN176,IFERROR(VLOOKUP(BN176,$R$3:$R$105,1,FALSE),"0")=BN176),BO176,IF(OR(VLOOKUP(BN176,Расчет!A:E,5,FALSE)="2PS",VLOOKUP(BN176,Расчет!A:E,5,FALSE)="2QL"),IF(VLOOKUP(BN176,Расчет!A:B,2,FALSE)="831W",BN176-$BS$7+$AD$17,BN176-$BS$7+$AD$12),BN176-$BS$7)),"-")</f>
        <v>94</v>
      </c>
      <c r="BN176" s="154">
        <f>IF(OR(Расчет!C173="A0",Расчет!C173="P9",Расчет!B173="722W"),"-",Расчет!A173)</f>
        <v>11318</v>
      </c>
      <c r="BO176" s="173">
        <f t="shared" si="53"/>
        <v>0</v>
      </c>
      <c r="BP176" s="172">
        <f>IF(BQ176="-","-",IFERROR(IF(OR(VLOOKUP(BN176,Расчет!$A$2:$E$582,5,FALSE)="2PS",VLOOKUP(BN176,Расчет!$A$2:$E$582,5,FALSE)="2QL"),IF(OR(VLOOKUP(BN176,Расчет!$A$2:$E$582,2,FALSE)="664W",VLOOKUP(BN176,Расчет!$A$2:$E$582,2,FALSE)="813W"),IF(BN176-$BS$7&gt;150,BN176-$BS$7-1000+$AD$12,BN176-$BS$7+$AD$12),IF(BN176-$BS$7&gt;150,BN176-$BS$7-1000+$AD$17,BN176-$BS$7+$AD$17)),IF(BN176-$BS$7&gt;150,BN176-$BS$7-1000,BN176-$BS$7)),"-"))</f>
        <v>94</v>
      </c>
      <c r="BQ176" s="173">
        <f t="shared" si="50"/>
        <v>11318</v>
      </c>
      <c r="BR176" s="453"/>
      <c r="BS176" s="171"/>
      <c r="BT176" s="464" t="str">
        <f t="shared" si="51"/>
        <v>-</v>
      </c>
      <c r="BU176" s="464" t="str">
        <f t="shared" si="52"/>
        <v>-</v>
      </c>
      <c r="BX176" s="204">
        <f>COUNTIF($BY$4:BY176,"&lt;100")</f>
        <v>59</v>
      </c>
      <c r="BY176" s="213" t="str">
        <f t="shared" si="56"/>
        <v/>
      </c>
      <c r="BZ176" s="216" t="str">
        <f t="shared" si="56"/>
        <v/>
      </c>
      <c r="CA176" s="213" t="e">
        <f t="shared" si="48"/>
        <v>#N/A</v>
      </c>
      <c r="CB176" s="209" t="e">
        <f t="shared" si="49"/>
        <v>#N/A</v>
      </c>
      <c r="CC176" s="205" t="str">
        <f t="shared" si="54"/>
        <v/>
      </c>
      <c r="CD176" s="205" t="str">
        <f t="shared" si="57"/>
        <v>-</v>
      </c>
      <c r="CE176" s="204">
        <f t="shared" si="58"/>
        <v>0</v>
      </c>
      <c r="CG176" s="20" t="str">
        <f t="shared" si="47"/>
        <v/>
      </c>
    </row>
    <row r="177" spans="36:85" ht="21">
      <c r="AJ177"/>
      <c r="AK177"/>
      <c r="AL177"/>
      <c r="AM177" s="87"/>
      <c r="AN177" s="87"/>
      <c r="AO177" s="14" t="str">
        <f>IF(R74="","",COUNTA($R$3:R74)+$AO$105)</f>
        <v/>
      </c>
      <c r="AP177" s="88" t="str">
        <f>IF(AO177="","",IF(AO177+Расчет!$Y$57+$BD$2-Расчет!$X$57&gt;200,AO177+Расчет!$Y$57+$BD$2-1000,AO177+Расчет!$Y$57+$BD$2))</f>
        <v/>
      </c>
      <c r="BL177" s="172">
        <f>COUNTIF($BM$5:BM177,"&lt;-115")</f>
        <v>0</v>
      </c>
      <c r="BM177" s="154">
        <f>IFERROR(IF(OR(IFERROR(VLOOKUP(BN177,$E$3:$E$105,1,FALSE),"0")=BN177,IFERROR(VLOOKUP(BN177,$R$3:$R$105,1,FALSE),"0")=BN177),BO177,IF(OR(VLOOKUP(BN177,Расчет!A:E,5,FALSE)="2PS",VLOOKUP(BN177,Расчет!A:E,5,FALSE)="2QL"),IF(VLOOKUP(BN177,Расчет!A:B,2,FALSE)="831W",BN177-$BS$7+$AD$17,BN177-$BS$7+$AD$12),BN177-$BS$7)),"-")</f>
        <v>95</v>
      </c>
      <c r="BN177" s="154">
        <f>IF(OR(Расчет!C174="A0",Расчет!C174="P9",Расчет!B174="722W"),"-",Расчет!A174)</f>
        <v>11319</v>
      </c>
      <c r="BO177" s="173">
        <f t="shared" si="53"/>
        <v>0</v>
      </c>
      <c r="BP177" s="172">
        <f>IF(BQ177="-","-",IFERROR(IF(OR(VLOOKUP(BN177,Расчет!$A$2:$E$582,5,FALSE)="2PS",VLOOKUP(BN177,Расчет!$A$2:$E$582,5,FALSE)="2QL"),IF(OR(VLOOKUP(BN177,Расчет!$A$2:$E$582,2,FALSE)="664W",VLOOKUP(BN177,Расчет!$A$2:$E$582,2,FALSE)="813W"),IF(BN177-$BS$7&gt;150,BN177-$BS$7-1000+$AD$12,BN177-$BS$7+$AD$12),IF(BN177-$BS$7&gt;150,BN177-$BS$7-1000+$AD$17,BN177-$BS$7+$AD$17)),IF(BN177-$BS$7&gt;150,BN177-$BS$7-1000,BN177-$BS$7)),"-"))</f>
        <v>95</v>
      </c>
      <c r="BQ177" s="173">
        <f t="shared" si="50"/>
        <v>11319</v>
      </c>
      <c r="BR177" s="453"/>
      <c r="BS177" s="171"/>
      <c r="BT177" s="464" t="str">
        <f t="shared" si="51"/>
        <v>-</v>
      </c>
      <c r="BU177" s="464" t="str">
        <f t="shared" si="52"/>
        <v>-</v>
      </c>
      <c r="BX177" s="204">
        <f>COUNTIF($BY$4:BY177,"&lt;100")</f>
        <v>59</v>
      </c>
      <c r="BY177" s="213" t="str">
        <f t="shared" si="56"/>
        <v/>
      </c>
      <c r="BZ177" s="216" t="str">
        <f t="shared" si="56"/>
        <v/>
      </c>
      <c r="CA177" s="213" t="e">
        <f t="shared" si="48"/>
        <v>#N/A</v>
      </c>
      <c r="CB177" s="209" t="e">
        <f t="shared" si="49"/>
        <v>#N/A</v>
      </c>
      <c r="CC177" s="205" t="str">
        <f t="shared" si="54"/>
        <v/>
      </c>
      <c r="CD177" s="205" t="str">
        <f t="shared" si="57"/>
        <v>-</v>
      </c>
      <c r="CE177" s="204">
        <f t="shared" si="58"/>
        <v>0</v>
      </c>
      <c r="CG177" s="20" t="str">
        <f t="shared" si="47"/>
        <v/>
      </c>
    </row>
    <row r="178" spans="36:85" ht="21">
      <c r="AJ178"/>
      <c r="AK178"/>
      <c r="AL178"/>
      <c r="AM178" s="87"/>
      <c r="AN178" s="87"/>
      <c r="AO178" s="14" t="str">
        <f>IF(R75="","",COUNTA($R$3:R75)+$AO$105)</f>
        <v/>
      </c>
      <c r="AP178" s="88" t="str">
        <f>IF(AO178="","",IF(AO178+Расчет!$Y$57+$BD$2-Расчет!$X$57&gt;200,AO178+Расчет!$Y$57+$BD$2-1000,AO178+Расчет!$Y$57+$BD$2))</f>
        <v/>
      </c>
      <c r="BL178" s="172">
        <f>COUNTIF($BM$5:BM178,"&lt;-115")</f>
        <v>0</v>
      </c>
      <c r="BM178" s="154">
        <f>IFERROR(IF(OR(IFERROR(VLOOKUP(BN178,$E$3:$E$105,1,FALSE),"0")=BN178,IFERROR(VLOOKUP(BN178,$R$3:$R$105,1,FALSE),"0")=BN178),BO178,IF(OR(VLOOKUP(BN178,Расчет!A:E,5,FALSE)="2PS",VLOOKUP(BN178,Расчет!A:E,5,FALSE)="2QL"),IF(VLOOKUP(BN178,Расчет!A:B,2,FALSE)="831W",BN178-$BS$7+$AD$17,BN178-$BS$7+$AD$12),BN178-$BS$7)),"-")</f>
        <v>96</v>
      </c>
      <c r="BN178" s="154">
        <f>IF(OR(Расчет!C175="A0",Расчет!C175="P9",Расчет!B175="722W"),"-",Расчет!A175)</f>
        <v>11320</v>
      </c>
      <c r="BO178" s="173">
        <f t="shared" si="53"/>
        <v>0</v>
      </c>
      <c r="BP178" s="172">
        <f>IF(BQ178="-","-",IFERROR(IF(OR(VLOOKUP(BN178,Расчет!$A$2:$E$582,5,FALSE)="2PS",VLOOKUP(BN178,Расчет!$A$2:$E$582,5,FALSE)="2QL"),IF(OR(VLOOKUP(BN178,Расчет!$A$2:$E$582,2,FALSE)="664W",VLOOKUP(BN178,Расчет!$A$2:$E$582,2,FALSE)="813W"),IF(BN178-$BS$7&gt;150,BN178-$BS$7-1000+$AD$12,BN178-$BS$7+$AD$12),IF(BN178-$BS$7&gt;150,BN178-$BS$7-1000+$AD$17,BN178-$BS$7+$AD$17)),IF(BN178-$BS$7&gt;150,BN178-$BS$7-1000,BN178-$BS$7)),"-"))</f>
        <v>96</v>
      </c>
      <c r="BQ178" s="173">
        <f t="shared" si="50"/>
        <v>11320</v>
      </c>
      <c r="BR178" s="453"/>
      <c r="BS178" s="171"/>
      <c r="BT178" s="464" t="str">
        <f t="shared" si="51"/>
        <v>-</v>
      </c>
      <c r="BU178" s="464" t="str">
        <f t="shared" si="52"/>
        <v>-</v>
      </c>
      <c r="BX178" s="204">
        <f>COUNTIF($BY$4:BY178,"&lt;100")</f>
        <v>59</v>
      </c>
      <c r="BY178" s="213" t="str">
        <f t="shared" si="56"/>
        <v/>
      </c>
      <c r="BZ178" s="216" t="str">
        <f t="shared" si="56"/>
        <v/>
      </c>
      <c r="CA178" s="213" t="e">
        <f t="shared" si="48"/>
        <v>#N/A</v>
      </c>
      <c r="CB178" s="209" t="e">
        <f t="shared" si="49"/>
        <v>#N/A</v>
      </c>
      <c r="CC178" s="205" t="str">
        <f t="shared" si="54"/>
        <v/>
      </c>
      <c r="CD178" s="205" t="str">
        <f t="shared" si="57"/>
        <v>-</v>
      </c>
      <c r="CE178" s="204">
        <f t="shared" si="58"/>
        <v>0</v>
      </c>
      <c r="CG178" s="20" t="str">
        <f t="shared" si="47"/>
        <v/>
      </c>
    </row>
    <row r="179" spans="36:85" ht="21">
      <c r="AJ179"/>
      <c r="AK179"/>
      <c r="AL179"/>
      <c r="AM179" s="87"/>
      <c r="AN179" s="87"/>
      <c r="AO179" s="14" t="str">
        <f>IF(R76="","",COUNTA($R$3:R76)+$AO$105)</f>
        <v/>
      </c>
      <c r="AP179" s="88" t="str">
        <f>IF(AO179="","",IF(AO179+Расчет!$Y$57+$BD$2-Расчет!$X$57&gt;200,AO179+Расчет!$Y$57+$BD$2-1000,AO179+Расчет!$Y$57+$BD$2))</f>
        <v/>
      </c>
      <c r="BL179" s="172">
        <f>COUNTIF($BM$5:BM179,"&lt;-115")</f>
        <v>0</v>
      </c>
      <c r="BM179" s="154">
        <f>IFERROR(IF(OR(IFERROR(VLOOKUP(BN179,$E$3:$E$105,1,FALSE),"0")=BN179,IFERROR(VLOOKUP(BN179,$R$3:$R$105,1,FALSE),"0")=BN179),BO179,IF(OR(VLOOKUP(BN179,Расчет!A:E,5,FALSE)="2PS",VLOOKUP(BN179,Расчет!A:E,5,FALSE)="2QL"),IF(VLOOKUP(BN179,Расчет!A:B,2,FALSE)="831W",BN179-$BS$7+$AD$17,BN179-$BS$7+$AD$12),BN179-$BS$7)),"-")</f>
        <v>97</v>
      </c>
      <c r="BN179" s="154">
        <f>IF(OR(Расчет!C176="A0",Расчет!C176="P9",Расчет!B176="722W"),"-",Расчет!A176)</f>
        <v>11321</v>
      </c>
      <c r="BO179" s="173">
        <f t="shared" si="53"/>
        <v>0</v>
      </c>
      <c r="BP179" s="172">
        <f>IF(BQ179="-","-",IFERROR(IF(OR(VLOOKUP(BN179,Расчет!$A$2:$E$582,5,FALSE)="2PS",VLOOKUP(BN179,Расчет!$A$2:$E$582,5,FALSE)="2QL"),IF(OR(VLOOKUP(BN179,Расчет!$A$2:$E$582,2,FALSE)="664W",VLOOKUP(BN179,Расчет!$A$2:$E$582,2,FALSE)="813W"),IF(BN179-$BS$7&gt;150,BN179-$BS$7-1000+$AD$12,BN179-$BS$7+$AD$12),IF(BN179-$BS$7&gt;150,BN179-$BS$7-1000+$AD$17,BN179-$BS$7+$AD$17)),IF(BN179-$BS$7&gt;150,BN179-$BS$7-1000,BN179-$BS$7)),"-"))</f>
        <v>97</v>
      </c>
      <c r="BQ179" s="173">
        <f t="shared" si="50"/>
        <v>11321</v>
      </c>
      <c r="BR179" s="453"/>
      <c r="BS179" s="171"/>
      <c r="BT179" s="464" t="str">
        <f t="shared" si="51"/>
        <v>-</v>
      </c>
      <c r="BU179" s="464" t="str">
        <f t="shared" si="52"/>
        <v>-</v>
      </c>
      <c r="BX179" s="204">
        <f>COUNTIF($BY$4:BY179,"&lt;100")</f>
        <v>59</v>
      </c>
      <c r="BY179" s="213" t="str">
        <f t="shared" si="56"/>
        <v/>
      </c>
      <c r="BZ179" s="216" t="str">
        <f t="shared" si="56"/>
        <v/>
      </c>
      <c r="CA179" s="213" t="e">
        <f t="shared" si="48"/>
        <v>#N/A</v>
      </c>
      <c r="CB179" s="209" t="e">
        <f t="shared" si="49"/>
        <v>#N/A</v>
      </c>
      <c r="CC179" s="205" t="str">
        <f t="shared" si="54"/>
        <v/>
      </c>
      <c r="CD179" s="205" t="str">
        <f t="shared" si="57"/>
        <v>-</v>
      </c>
      <c r="CE179" s="204">
        <f t="shared" si="58"/>
        <v>0</v>
      </c>
      <c r="CG179" s="20" t="str">
        <f t="shared" ref="CG179:CG217" si="59">T67</f>
        <v/>
      </c>
    </row>
    <row r="180" spans="36:85" ht="21">
      <c r="AJ180"/>
      <c r="AK180"/>
      <c r="AL180"/>
      <c r="AM180" s="87"/>
      <c r="AN180" s="87"/>
      <c r="AO180" s="14" t="str">
        <f>IF(R77="","",COUNTA($R$3:R77)+$AO$105)</f>
        <v/>
      </c>
      <c r="AP180" s="88" t="str">
        <f>IF(AO180="","",IF(AO180+Расчет!$Y$57+$BD$2-Расчет!$X$57&gt;200,AO180+Расчет!$Y$57+$BD$2-1000,AO180+Расчет!$Y$57+$BD$2))</f>
        <v/>
      </c>
      <c r="BL180" s="172">
        <f>COUNTIF($BM$5:BM180,"&lt;-115")</f>
        <v>0</v>
      </c>
      <c r="BM180" s="154">
        <f>IFERROR(IF(OR(IFERROR(VLOOKUP(BN180,$E$3:$E$105,1,FALSE),"0")=BN180,IFERROR(VLOOKUP(BN180,$R$3:$R$105,1,FALSE),"0")=BN180),BO180,IF(OR(VLOOKUP(BN180,Расчет!A:E,5,FALSE)="2PS",VLOOKUP(BN180,Расчет!A:E,5,FALSE)="2QL"),IF(VLOOKUP(BN180,Расчет!A:B,2,FALSE)="831W",BN180-$BS$7+$AD$17,BN180-$BS$7+$AD$12),BN180-$BS$7)),"-")</f>
        <v>98</v>
      </c>
      <c r="BN180" s="154">
        <f>IF(OR(Расчет!C177="A0",Расчет!C177="P9",Расчет!B177="722W"),"-",Расчет!A177)</f>
        <v>11322</v>
      </c>
      <c r="BO180" s="173">
        <f t="shared" si="53"/>
        <v>0</v>
      </c>
      <c r="BP180" s="172">
        <f>IF(BQ180="-","-",IFERROR(IF(OR(VLOOKUP(BN180,Расчет!$A$2:$E$582,5,FALSE)="2PS",VLOOKUP(BN180,Расчет!$A$2:$E$582,5,FALSE)="2QL"),IF(OR(VLOOKUP(BN180,Расчет!$A$2:$E$582,2,FALSE)="664W",VLOOKUP(BN180,Расчет!$A$2:$E$582,2,FALSE)="813W"),IF(BN180-$BS$7&gt;150,BN180-$BS$7-1000+$AD$12,BN180-$BS$7+$AD$12),IF(BN180-$BS$7&gt;150,BN180-$BS$7-1000+$AD$17,BN180-$BS$7+$AD$17)),IF(BN180-$BS$7&gt;150,BN180-$BS$7-1000,BN180-$BS$7)),"-"))</f>
        <v>98</v>
      </c>
      <c r="BQ180" s="173">
        <f t="shared" si="50"/>
        <v>11322</v>
      </c>
      <c r="BR180" s="453"/>
      <c r="BS180" s="171"/>
      <c r="BT180" s="464" t="str">
        <f t="shared" si="51"/>
        <v>-</v>
      </c>
      <c r="BU180" s="464" t="str">
        <f t="shared" si="52"/>
        <v>-</v>
      </c>
      <c r="BX180" s="204">
        <f>COUNTIF($BY$4:BY180,"&lt;100")</f>
        <v>59</v>
      </c>
      <c r="BY180" s="213" t="str">
        <f t="shared" si="56"/>
        <v/>
      </c>
      <c r="BZ180" s="216" t="str">
        <f t="shared" si="56"/>
        <v/>
      </c>
      <c r="CA180" s="213" t="e">
        <f t="shared" si="48"/>
        <v>#N/A</v>
      </c>
      <c r="CB180" s="209" t="e">
        <f t="shared" si="49"/>
        <v>#N/A</v>
      </c>
      <c r="CC180" s="205" t="str">
        <f t="shared" si="54"/>
        <v/>
      </c>
      <c r="CD180" s="205" t="str">
        <f t="shared" si="57"/>
        <v>-</v>
      </c>
      <c r="CE180" s="204">
        <f t="shared" si="58"/>
        <v>0</v>
      </c>
      <c r="CG180" s="20" t="str">
        <f t="shared" si="59"/>
        <v/>
      </c>
    </row>
    <row r="181" spans="36:85" ht="21">
      <c r="AJ181"/>
      <c r="AK181"/>
      <c r="AL181"/>
      <c r="AM181" s="87"/>
      <c r="AN181" s="87"/>
      <c r="AO181" s="14" t="str">
        <f>IF(R78="","",COUNTA($R$3:R78)+$AO$105)</f>
        <v/>
      </c>
      <c r="AP181" s="88" t="str">
        <f>IF(AO181="","",IF(AO181+Расчет!$Y$57+$BD$2-Расчет!$X$57&gt;200,AO181+Расчет!$Y$57+$BD$2-1000,AO181+Расчет!$Y$57+$BD$2))</f>
        <v/>
      </c>
      <c r="BL181" s="172">
        <f>COUNTIF($BM$5:BM181,"&lt;-115")</f>
        <v>0</v>
      </c>
      <c r="BM181" s="154">
        <f>IFERROR(IF(OR(IFERROR(VLOOKUP(BN181,$E$3:$E$105,1,FALSE),"0")=BN181,IFERROR(VLOOKUP(BN181,$R$3:$R$105,1,FALSE),"0")=BN181),BO181,IF(OR(VLOOKUP(BN181,Расчет!A:E,5,FALSE)="2PS",VLOOKUP(BN181,Расчет!A:E,5,FALSE)="2QL"),IF(VLOOKUP(BN181,Расчет!A:B,2,FALSE)="831W",BN181-$BS$7+$AD$17,BN181-$BS$7+$AD$12),BN181-$BS$7)),"-")</f>
        <v>199</v>
      </c>
      <c r="BN181" s="154">
        <f>IF(OR(Расчет!C178="A0",Расчет!C178="P9",Расчет!B178="722W"),"-",Расчет!A178)</f>
        <v>11323</v>
      </c>
      <c r="BO181" s="173">
        <f t="shared" si="53"/>
        <v>0</v>
      </c>
      <c r="BP181" s="172">
        <f>IF(BQ181="-","-",IFERROR(IF(OR(VLOOKUP(BN181,Расчет!$A$2:$E$582,5,FALSE)="2PS",VLOOKUP(BN181,Расчет!$A$2:$E$582,5,FALSE)="2QL"),IF(OR(VLOOKUP(BN181,Расчет!$A$2:$E$582,2,FALSE)="664W",VLOOKUP(BN181,Расчет!$A$2:$E$582,2,FALSE)="813W"),IF(BN181-$BS$7&gt;150,BN181-$BS$7-1000+$AD$12,BN181-$BS$7+$AD$12),IF(BN181-$BS$7&gt;150,BN181-$BS$7-1000+$AD$17,BN181-$BS$7+$AD$17)),IF(BN181-$BS$7&gt;150,BN181-$BS$7-1000,BN181-$BS$7)),"-"))</f>
        <v>199</v>
      </c>
      <c r="BQ181" s="173">
        <f t="shared" si="50"/>
        <v>11323</v>
      </c>
      <c r="BR181" s="453"/>
      <c r="BS181" s="171"/>
      <c r="BT181" s="464" t="str">
        <f t="shared" si="51"/>
        <v>-</v>
      </c>
      <c r="BU181" s="464" t="str">
        <f t="shared" si="52"/>
        <v>-</v>
      </c>
      <c r="BX181" s="204">
        <f>COUNTIF($BY$4:BY181,"&lt;100")</f>
        <v>59</v>
      </c>
      <c r="BY181" s="213" t="str">
        <f t="shared" si="56"/>
        <v/>
      </c>
      <c r="BZ181" s="216" t="str">
        <f t="shared" si="56"/>
        <v/>
      </c>
      <c r="CA181" s="213" t="e">
        <f t="shared" si="48"/>
        <v>#N/A</v>
      </c>
      <c r="CB181" s="209" t="e">
        <f t="shared" si="49"/>
        <v>#N/A</v>
      </c>
      <c r="CC181" s="205" t="str">
        <f t="shared" si="54"/>
        <v/>
      </c>
      <c r="CD181" s="205" t="str">
        <f t="shared" si="57"/>
        <v>-</v>
      </c>
      <c r="CE181" s="204">
        <f t="shared" si="58"/>
        <v>0</v>
      </c>
      <c r="CG181" s="20" t="str">
        <f t="shared" si="59"/>
        <v/>
      </c>
    </row>
    <row r="182" spans="36:85" ht="21">
      <c r="AJ182"/>
      <c r="AK182"/>
      <c r="AL182"/>
      <c r="AM182" s="87"/>
      <c r="AN182" s="87"/>
      <c r="AO182" s="14" t="str">
        <f>IF(R79="","",COUNTA($R$3:R79)+$AO$105)</f>
        <v/>
      </c>
      <c r="AP182" s="88" t="str">
        <f>IF(AO182="","",IF(AO182+Расчет!$Y$57+$BD$2-Расчет!$X$57&gt;200,AO182+Расчет!$Y$57+$BD$2-1000,AO182+Расчет!$Y$57+$BD$2))</f>
        <v/>
      </c>
      <c r="BL182" s="172">
        <f>COUNTIF($BM$5:BM182,"&lt;-115")</f>
        <v>0</v>
      </c>
      <c r="BM182" s="154">
        <f>IFERROR(IF(OR(IFERROR(VLOOKUP(BN182,$E$3:$E$105,1,FALSE),"0")=BN182,IFERROR(VLOOKUP(BN182,$R$3:$R$105,1,FALSE),"0")=BN182),BO182,IF(OR(VLOOKUP(BN182,Расчет!A:E,5,FALSE)="2PS",VLOOKUP(BN182,Расчет!A:E,5,FALSE)="2QL"),IF(VLOOKUP(BN182,Расчет!A:B,2,FALSE)="831W",BN182-$BS$7+$AD$17,BN182-$BS$7+$AD$12),BN182-$BS$7)),"-")</f>
        <v>100</v>
      </c>
      <c r="BN182" s="154">
        <f>IF(OR(Расчет!C179="A0",Расчет!C179="P9",Расчет!B179="722W"),"-",Расчет!A179)</f>
        <v>11324</v>
      </c>
      <c r="BO182" s="173">
        <f t="shared" si="53"/>
        <v>0</v>
      </c>
      <c r="BP182" s="172">
        <f>IF(BQ182="-","-",IFERROR(IF(OR(VLOOKUP(BN182,Расчет!$A$2:$E$582,5,FALSE)="2PS",VLOOKUP(BN182,Расчет!$A$2:$E$582,5,FALSE)="2QL"),IF(OR(VLOOKUP(BN182,Расчет!$A$2:$E$582,2,FALSE)="664W",VLOOKUP(BN182,Расчет!$A$2:$E$582,2,FALSE)="813W"),IF(BN182-$BS$7&gt;150,BN182-$BS$7-1000+$AD$12,BN182-$BS$7+$AD$12),IF(BN182-$BS$7&gt;150,BN182-$BS$7-1000+$AD$17,BN182-$BS$7+$AD$17)),IF(BN182-$BS$7&gt;150,BN182-$BS$7-1000,BN182-$BS$7)),"-"))</f>
        <v>100</v>
      </c>
      <c r="BQ182" s="173">
        <f t="shared" si="50"/>
        <v>11324</v>
      </c>
      <c r="BR182" s="453"/>
      <c r="BS182" s="171"/>
      <c r="BT182" s="464" t="str">
        <f t="shared" si="51"/>
        <v>-</v>
      </c>
      <c r="BU182" s="464" t="str">
        <f t="shared" si="52"/>
        <v>-</v>
      </c>
      <c r="BX182" s="204">
        <f>COUNTIF($BY$4:BY182,"&lt;100")</f>
        <v>59</v>
      </c>
      <c r="BY182" s="213" t="str">
        <f t="shared" si="56"/>
        <v/>
      </c>
      <c r="BZ182" s="216" t="str">
        <f t="shared" si="56"/>
        <v/>
      </c>
      <c r="CA182" s="213" t="e">
        <f t="shared" si="48"/>
        <v>#N/A</v>
      </c>
      <c r="CB182" s="209" t="e">
        <f t="shared" si="49"/>
        <v>#N/A</v>
      </c>
      <c r="CC182" s="205" t="str">
        <f t="shared" si="54"/>
        <v/>
      </c>
      <c r="CD182" s="205" t="str">
        <f t="shared" si="57"/>
        <v>-</v>
      </c>
      <c r="CE182" s="204">
        <f t="shared" si="58"/>
        <v>0</v>
      </c>
      <c r="CG182" s="20" t="str">
        <f t="shared" si="59"/>
        <v/>
      </c>
    </row>
    <row r="183" spans="36:85" ht="21">
      <c r="AJ183"/>
      <c r="AK183"/>
      <c r="AL183"/>
      <c r="AM183" s="87"/>
      <c r="AN183" s="87"/>
      <c r="AO183" s="14" t="str">
        <f>IF(R80="","",COUNTA($R$3:R80)+$AO$105)</f>
        <v/>
      </c>
      <c r="AP183" s="88" t="str">
        <f>IF(AO183="","",IF(AO183+Расчет!$Y$57+$BD$2-Расчет!$X$57&gt;200,AO183+Расчет!$Y$57+$BD$2-1000,AO183+Расчет!$Y$57+$BD$2))</f>
        <v/>
      </c>
      <c r="BL183" s="172">
        <f>COUNTIF($BM$5:BM183,"&lt;-115")</f>
        <v>0</v>
      </c>
      <c r="BM183" s="154">
        <f>IFERROR(IF(OR(IFERROR(VLOOKUP(BN183,$E$3:$E$105,1,FALSE),"0")=BN183,IFERROR(VLOOKUP(BN183,$R$3:$R$105,1,FALSE),"0")=BN183),BO183,IF(OR(VLOOKUP(BN183,Расчет!A:E,5,FALSE)="2PS",VLOOKUP(BN183,Расчет!A:E,5,FALSE)="2QL"),IF(VLOOKUP(BN183,Расчет!A:B,2,FALSE)="831W",BN183-$BS$7+$AD$17,BN183-$BS$7+$AD$12),BN183-$BS$7)),"-")</f>
        <v>101</v>
      </c>
      <c r="BN183" s="154">
        <f>IF(OR(Расчет!C180="A0",Расчет!C180="P9",Расчет!B180="722W"),"-",Расчет!A180)</f>
        <v>11325</v>
      </c>
      <c r="BO183" s="173">
        <f t="shared" si="53"/>
        <v>0</v>
      </c>
      <c r="BP183" s="172">
        <f>IF(BQ183="-","-",IFERROR(IF(OR(VLOOKUP(BN183,Расчет!$A$2:$E$582,5,FALSE)="2PS",VLOOKUP(BN183,Расчет!$A$2:$E$582,5,FALSE)="2QL"),IF(OR(VLOOKUP(BN183,Расчет!$A$2:$E$582,2,FALSE)="664W",VLOOKUP(BN183,Расчет!$A$2:$E$582,2,FALSE)="813W"),IF(BN183-$BS$7&gt;150,BN183-$BS$7-1000+$AD$12,BN183-$BS$7+$AD$12),IF(BN183-$BS$7&gt;150,BN183-$BS$7-1000+$AD$17,BN183-$BS$7+$AD$17)),IF(BN183-$BS$7&gt;150,BN183-$BS$7-1000,BN183-$BS$7)),"-"))</f>
        <v>101</v>
      </c>
      <c r="BQ183" s="173">
        <f t="shared" si="50"/>
        <v>11325</v>
      </c>
      <c r="BR183" s="453"/>
      <c r="BS183" s="171"/>
      <c r="BT183" s="464" t="str">
        <f t="shared" si="51"/>
        <v>-</v>
      </c>
      <c r="BU183" s="464" t="str">
        <f t="shared" si="52"/>
        <v>-</v>
      </c>
      <c r="BX183" s="204">
        <f>COUNTIF($BY$4:BY183,"&lt;100")</f>
        <v>59</v>
      </c>
      <c r="BY183" s="213" t="str">
        <f t="shared" si="56"/>
        <v/>
      </c>
      <c r="BZ183" s="216" t="str">
        <f t="shared" si="56"/>
        <v/>
      </c>
      <c r="CA183" s="213" t="e">
        <f t="shared" si="48"/>
        <v>#N/A</v>
      </c>
      <c r="CB183" s="209" t="e">
        <f t="shared" si="49"/>
        <v>#N/A</v>
      </c>
      <c r="CC183" s="205" t="str">
        <f t="shared" si="54"/>
        <v/>
      </c>
      <c r="CD183" s="205" t="str">
        <f t="shared" si="57"/>
        <v>-</v>
      </c>
      <c r="CE183" s="204">
        <f t="shared" si="58"/>
        <v>0</v>
      </c>
      <c r="CG183" s="20" t="str">
        <f t="shared" si="59"/>
        <v/>
      </c>
    </row>
    <row r="184" spans="36:85" ht="21">
      <c r="AJ184"/>
      <c r="AK184"/>
      <c r="AL184"/>
      <c r="AM184" s="87"/>
      <c r="AN184" s="87"/>
      <c r="AO184" s="14" t="str">
        <f>IF(R81="","",COUNTA($R$3:R81)+$AO$105)</f>
        <v/>
      </c>
      <c r="AP184" s="88" t="str">
        <f>IF(AO184="","",IF(AO184+Расчет!$Y$57+$BD$2-Расчет!$X$57&gt;200,AO184+Расчет!$Y$57+$BD$2-1000,AO184+Расчет!$Y$57+$BD$2))</f>
        <v/>
      </c>
      <c r="BL184" s="172">
        <f>COUNTIF($BM$5:BM184,"&lt;-115")</f>
        <v>0</v>
      </c>
      <c r="BM184" s="154">
        <f>IFERROR(IF(OR(IFERROR(VLOOKUP(BN184,$E$3:$E$105,1,FALSE),"0")=BN184,IFERROR(VLOOKUP(BN184,$R$3:$R$105,1,FALSE),"0")=BN184),BO184,IF(OR(VLOOKUP(BN184,Расчет!A:E,5,FALSE)="2PS",VLOOKUP(BN184,Расчет!A:E,5,FALSE)="2QL"),IF(VLOOKUP(BN184,Расчет!A:B,2,FALSE)="831W",BN184-$BS$7+$AD$17,BN184-$BS$7+$AD$12),BN184-$BS$7)),"-")</f>
        <v>102</v>
      </c>
      <c r="BN184" s="154">
        <f>IF(OR(Расчет!C181="A0",Расчет!C181="P9",Расчет!B181="722W"),"-",Расчет!A181)</f>
        <v>11326</v>
      </c>
      <c r="BO184" s="173">
        <f t="shared" si="53"/>
        <v>0</v>
      </c>
      <c r="BP184" s="172">
        <f>IF(BQ184="-","-",IFERROR(IF(OR(VLOOKUP(BN184,Расчет!$A$2:$E$582,5,FALSE)="2PS",VLOOKUP(BN184,Расчет!$A$2:$E$582,5,FALSE)="2QL"),IF(OR(VLOOKUP(BN184,Расчет!$A$2:$E$582,2,FALSE)="664W",VLOOKUP(BN184,Расчет!$A$2:$E$582,2,FALSE)="813W"),IF(BN184-$BS$7&gt;150,BN184-$BS$7-1000+$AD$12,BN184-$BS$7+$AD$12),IF(BN184-$BS$7&gt;150,BN184-$BS$7-1000+$AD$17,BN184-$BS$7+$AD$17)),IF(BN184-$BS$7&gt;150,BN184-$BS$7-1000,BN184-$BS$7)),"-"))</f>
        <v>102</v>
      </c>
      <c r="BQ184" s="173">
        <f t="shared" si="50"/>
        <v>11326</v>
      </c>
      <c r="BR184" s="453"/>
      <c r="BS184" s="171"/>
      <c r="BT184" s="464" t="str">
        <f t="shared" si="51"/>
        <v>-</v>
      </c>
      <c r="BU184" s="464" t="str">
        <f t="shared" si="52"/>
        <v>-</v>
      </c>
      <c r="BX184" s="204">
        <f>COUNTIF($BY$4:BY184,"&lt;100")</f>
        <v>59</v>
      </c>
      <c r="BY184" s="213" t="str">
        <f t="shared" si="56"/>
        <v/>
      </c>
      <c r="BZ184" s="216" t="str">
        <f t="shared" si="56"/>
        <v/>
      </c>
      <c r="CA184" s="213" t="e">
        <f t="shared" si="48"/>
        <v>#N/A</v>
      </c>
      <c r="CB184" s="209" t="e">
        <f t="shared" si="49"/>
        <v>#N/A</v>
      </c>
      <c r="CC184" s="205" t="str">
        <f t="shared" si="54"/>
        <v/>
      </c>
      <c r="CD184" s="205" t="str">
        <f t="shared" si="57"/>
        <v>-</v>
      </c>
      <c r="CE184" s="204">
        <f t="shared" si="58"/>
        <v>0</v>
      </c>
      <c r="CG184" s="20" t="str">
        <f t="shared" si="59"/>
        <v/>
      </c>
    </row>
    <row r="185" spans="36:85" ht="21">
      <c r="AJ185"/>
      <c r="AK185"/>
      <c r="AL185"/>
      <c r="AM185" s="87"/>
      <c r="AN185" s="87"/>
      <c r="AO185" s="14" t="str">
        <f>IF(R82="","",COUNTA($R$3:R82)+$AO$105)</f>
        <v/>
      </c>
      <c r="AP185" s="88" t="str">
        <f>IF(AO185="","",IF(AO185+Расчет!$Y$57+$BD$2-Расчет!$X$57&gt;200,AO185+Расчет!$Y$57+$BD$2-1000,AO185+Расчет!$Y$57+$BD$2))</f>
        <v/>
      </c>
      <c r="BL185" s="172">
        <f>COUNTIF($BM$5:BM185,"&lt;-115")</f>
        <v>0</v>
      </c>
      <c r="BM185" s="154">
        <f>IFERROR(IF(OR(IFERROR(VLOOKUP(BN185,$E$3:$E$105,1,FALSE),"0")=BN185,IFERROR(VLOOKUP(BN185,$R$3:$R$105,1,FALSE),"0")=BN185),BO185,IF(OR(VLOOKUP(BN185,Расчет!A:E,5,FALSE)="2PS",VLOOKUP(BN185,Расчет!A:E,5,FALSE)="2QL"),IF(VLOOKUP(BN185,Расчет!A:B,2,FALSE)="831W",BN185-$BS$7+$AD$17,BN185-$BS$7+$AD$12),BN185-$BS$7)),"-")</f>
        <v>103</v>
      </c>
      <c r="BN185" s="154">
        <f>IF(OR(Расчет!C182="A0",Расчет!C182="P9",Расчет!B182="722W"),"-",Расчет!A182)</f>
        <v>11327</v>
      </c>
      <c r="BO185" s="173">
        <f t="shared" si="53"/>
        <v>0</v>
      </c>
      <c r="BP185" s="172">
        <f>IF(BQ185="-","-",IFERROR(IF(OR(VLOOKUP(BN185,Расчет!$A$2:$E$582,5,FALSE)="2PS",VLOOKUP(BN185,Расчет!$A$2:$E$582,5,FALSE)="2QL"),IF(OR(VLOOKUP(BN185,Расчет!$A$2:$E$582,2,FALSE)="664W",VLOOKUP(BN185,Расчет!$A$2:$E$582,2,FALSE)="813W"),IF(BN185-$BS$7&gt;150,BN185-$BS$7-1000+$AD$12,BN185-$BS$7+$AD$12),IF(BN185-$BS$7&gt;150,BN185-$BS$7-1000+$AD$17,BN185-$BS$7+$AD$17)),IF(BN185-$BS$7&gt;150,BN185-$BS$7-1000,BN185-$BS$7)),"-"))</f>
        <v>103</v>
      </c>
      <c r="BQ185" s="173">
        <f t="shared" si="50"/>
        <v>11327</v>
      </c>
      <c r="BR185" s="453"/>
      <c r="BS185" s="171"/>
      <c r="BT185" s="464" t="str">
        <f t="shared" si="51"/>
        <v>-</v>
      </c>
      <c r="BU185" s="464" t="str">
        <f t="shared" si="52"/>
        <v>-</v>
      </c>
      <c r="BX185" s="204">
        <f>COUNTIF($BY$4:BY185,"&lt;100")</f>
        <v>59</v>
      </c>
      <c r="BY185" s="213" t="str">
        <f t="shared" si="56"/>
        <v/>
      </c>
      <c r="BZ185" s="216" t="str">
        <f t="shared" si="56"/>
        <v/>
      </c>
      <c r="CA185" s="213" t="e">
        <f t="shared" si="48"/>
        <v>#N/A</v>
      </c>
      <c r="CB185" s="209" t="e">
        <f t="shared" si="49"/>
        <v>#N/A</v>
      </c>
      <c r="CC185" s="205" t="str">
        <f t="shared" si="54"/>
        <v/>
      </c>
      <c r="CD185" s="205" t="str">
        <f t="shared" si="57"/>
        <v>-</v>
      </c>
      <c r="CE185" s="204">
        <f t="shared" si="58"/>
        <v>0</v>
      </c>
      <c r="CG185" s="20" t="str">
        <f t="shared" si="59"/>
        <v/>
      </c>
    </row>
    <row r="186" spans="36:85" ht="21">
      <c r="AJ186"/>
      <c r="AK186"/>
      <c r="AL186"/>
      <c r="AM186" s="87"/>
      <c r="AN186" s="87"/>
      <c r="AO186" s="14" t="str">
        <f>IF(R83="","",COUNTA($R$3:R83)+$AO$105)</f>
        <v/>
      </c>
      <c r="AP186" s="88" t="str">
        <f>IF(AO186="","",IF(AO186+Расчет!$Y$57+$BD$2-Расчет!$X$57&gt;200,AO186+Расчет!$Y$57+$BD$2-1000,AO186+Расчет!$Y$57+$BD$2))</f>
        <v/>
      </c>
      <c r="BL186" s="172">
        <f>COUNTIF($BM$5:BM186,"&lt;-115")</f>
        <v>0</v>
      </c>
      <c r="BM186" s="154">
        <f>IFERROR(IF(OR(IFERROR(VLOOKUP(BN186,$E$3:$E$105,1,FALSE),"0")=BN186,IFERROR(VLOOKUP(BN186,$R$3:$R$105,1,FALSE),"0")=BN186),BO186,IF(OR(VLOOKUP(BN186,Расчет!A:E,5,FALSE)="2PS",VLOOKUP(BN186,Расчет!A:E,5,FALSE)="2QL"),IF(VLOOKUP(BN186,Расчет!A:B,2,FALSE)="831W",BN186-$BS$7+$AD$17,BN186-$BS$7+$AD$12),BN186-$BS$7)),"-")</f>
        <v>104</v>
      </c>
      <c r="BN186" s="154">
        <f>IF(OR(Расчет!C183="A0",Расчет!C183="P9",Расчет!B183="722W"),"-",Расчет!A183)</f>
        <v>11328</v>
      </c>
      <c r="BO186" s="173">
        <f t="shared" si="53"/>
        <v>0</v>
      </c>
      <c r="BP186" s="172">
        <f>IF(BQ186="-","-",IFERROR(IF(OR(VLOOKUP(BN186,Расчет!$A$2:$E$582,5,FALSE)="2PS",VLOOKUP(BN186,Расчет!$A$2:$E$582,5,FALSE)="2QL"),IF(OR(VLOOKUP(BN186,Расчет!$A$2:$E$582,2,FALSE)="664W",VLOOKUP(BN186,Расчет!$A$2:$E$582,2,FALSE)="813W"),IF(BN186-$BS$7&gt;150,BN186-$BS$7-1000+$AD$12,BN186-$BS$7+$AD$12),IF(BN186-$BS$7&gt;150,BN186-$BS$7-1000+$AD$17,BN186-$BS$7+$AD$17)),IF(BN186-$BS$7&gt;150,BN186-$BS$7-1000,BN186-$BS$7)),"-"))</f>
        <v>104</v>
      </c>
      <c r="BQ186" s="173">
        <f t="shared" si="50"/>
        <v>11328</v>
      </c>
      <c r="BR186" s="453"/>
      <c r="BS186" s="171"/>
      <c r="BT186" s="464" t="str">
        <f t="shared" si="51"/>
        <v>-</v>
      </c>
      <c r="BU186" s="464" t="str">
        <f t="shared" si="52"/>
        <v>-</v>
      </c>
      <c r="BX186" s="204">
        <f>COUNTIF($BY$4:BY186,"&lt;100")</f>
        <v>59</v>
      </c>
      <c r="BY186" s="213" t="str">
        <f t="shared" si="56"/>
        <v/>
      </c>
      <c r="BZ186" s="216" t="str">
        <f t="shared" si="56"/>
        <v/>
      </c>
      <c r="CA186" s="213" t="e">
        <f t="shared" si="48"/>
        <v>#N/A</v>
      </c>
      <c r="CB186" s="209" t="e">
        <f t="shared" si="49"/>
        <v>#N/A</v>
      </c>
      <c r="CC186" s="205" t="str">
        <f t="shared" si="54"/>
        <v/>
      </c>
      <c r="CD186" s="205" t="str">
        <f t="shared" si="57"/>
        <v>-</v>
      </c>
      <c r="CE186" s="204">
        <f t="shared" si="58"/>
        <v>0</v>
      </c>
      <c r="CG186" s="20" t="str">
        <f t="shared" si="59"/>
        <v/>
      </c>
    </row>
    <row r="187" spans="36:85" ht="21">
      <c r="AJ187"/>
      <c r="AK187"/>
      <c r="AL187"/>
      <c r="AM187" s="87"/>
      <c r="AN187" s="87"/>
      <c r="AO187" s="14" t="str">
        <f>IF(R84="","",COUNTA($R$3:R84)+$AO$105)</f>
        <v/>
      </c>
      <c r="AP187" s="88" t="str">
        <f>IF(AO187="","",IF(AO187+Расчет!$Y$57+$BD$2-Расчет!$X$57&gt;200,AO187+Расчет!$Y$57+$BD$2-1000,AO187+Расчет!$Y$57+$BD$2))</f>
        <v/>
      </c>
      <c r="BL187" s="172">
        <f>COUNTIF($BM$5:BM187,"&lt;-115")</f>
        <v>0</v>
      </c>
      <c r="BM187" s="154">
        <f>IFERROR(IF(OR(IFERROR(VLOOKUP(BN187,$E$3:$E$105,1,FALSE),"0")=BN187,IFERROR(VLOOKUP(BN187,$R$3:$R$105,1,FALSE),"0")=BN187),BO187,IF(OR(VLOOKUP(BN187,Расчет!A:E,5,FALSE)="2PS",VLOOKUP(BN187,Расчет!A:E,5,FALSE)="2QL"),IF(VLOOKUP(BN187,Расчет!A:B,2,FALSE)="831W",BN187-$BS$7+$AD$17,BN187-$BS$7+$AD$12),BN187-$BS$7)),"-")</f>
        <v>105</v>
      </c>
      <c r="BN187" s="154">
        <f>IF(OR(Расчет!C184="A0",Расчет!C184="P9",Расчет!B184="722W"),"-",Расчет!A184)</f>
        <v>11329</v>
      </c>
      <c r="BO187" s="173">
        <f t="shared" si="53"/>
        <v>0</v>
      </c>
      <c r="BP187" s="172">
        <f>IF(BQ187="-","-",IFERROR(IF(OR(VLOOKUP(BN187,Расчет!$A$2:$E$582,5,FALSE)="2PS",VLOOKUP(BN187,Расчет!$A$2:$E$582,5,FALSE)="2QL"),IF(OR(VLOOKUP(BN187,Расчет!$A$2:$E$582,2,FALSE)="664W",VLOOKUP(BN187,Расчет!$A$2:$E$582,2,FALSE)="813W"),IF(BN187-$BS$7&gt;150,BN187-$BS$7-1000+$AD$12,BN187-$BS$7+$AD$12),IF(BN187-$BS$7&gt;150,BN187-$BS$7-1000+$AD$17,BN187-$BS$7+$AD$17)),IF(BN187-$BS$7&gt;150,BN187-$BS$7-1000,BN187-$BS$7)),"-"))</f>
        <v>105</v>
      </c>
      <c r="BQ187" s="173">
        <f t="shared" si="50"/>
        <v>11329</v>
      </c>
      <c r="BR187" s="453"/>
      <c r="BS187" s="171"/>
      <c r="BT187" s="464" t="str">
        <f t="shared" si="51"/>
        <v>-</v>
      </c>
      <c r="BU187" s="464" t="str">
        <f t="shared" si="52"/>
        <v>-</v>
      </c>
      <c r="BX187" s="204">
        <f>COUNTIF($BY$4:BY187,"&lt;100")</f>
        <v>59</v>
      </c>
      <c r="BY187" s="213" t="str">
        <f t="shared" si="56"/>
        <v/>
      </c>
      <c r="BZ187" s="216" t="str">
        <f t="shared" si="56"/>
        <v/>
      </c>
      <c r="CA187" s="213" t="e">
        <f t="shared" si="48"/>
        <v>#N/A</v>
      </c>
      <c r="CB187" s="209" t="e">
        <f t="shared" si="49"/>
        <v>#N/A</v>
      </c>
      <c r="CC187" s="205" t="str">
        <f t="shared" si="54"/>
        <v/>
      </c>
      <c r="CD187" s="205" t="str">
        <f t="shared" si="57"/>
        <v>-</v>
      </c>
      <c r="CE187" s="204">
        <f t="shared" si="58"/>
        <v>0</v>
      </c>
      <c r="CG187" s="20" t="str">
        <f t="shared" si="59"/>
        <v/>
      </c>
    </row>
    <row r="188" spans="36:85" ht="21">
      <c r="AJ188"/>
      <c r="AK188"/>
      <c r="AL188"/>
      <c r="AM188" s="87"/>
      <c r="AN188" s="87"/>
      <c r="AO188" s="14" t="str">
        <f>IF(R85="","",COUNTA($R$3:R85)+$AO$105)</f>
        <v/>
      </c>
      <c r="AP188" s="88" t="str">
        <f>IF(AO188="","",IF(AO188+Расчет!$Y$57+$BD$2-Расчет!$X$57&gt;200,AO188+Расчет!$Y$57+$BD$2-1000,AO188+Расчет!$Y$57+$BD$2))</f>
        <v/>
      </c>
      <c r="BL188" s="172">
        <f>COUNTIF($BM$5:BM188,"&lt;-115")</f>
        <v>0</v>
      </c>
      <c r="BM188" s="154">
        <f>IFERROR(IF(OR(IFERROR(VLOOKUP(BN188,$E$3:$E$105,1,FALSE),"0")=BN188,IFERROR(VLOOKUP(BN188,$R$3:$R$105,1,FALSE),"0")=BN188),BO188,IF(OR(VLOOKUP(BN188,Расчет!A:E,5,FALSE)="2PS",VLOOKUP(BN188,Расчет!A:E,5,FALSE)="2QL"),IF(VLOOKUP(BN188,Расчет!A:B,2,FALSE)="831W",BN188-$BS$7+$AD$17,BN188-$BS$7+$AD$12),BN188-$BS$7)),"-")</f>
        <v>106</v>
      </c>
      <c r="BN188" s="154">
        <f>IF(OR(Расчет!C185="A0",Расчет!C185="P9",Расчет!B185="722W"),"-",Расчет!A185)</f>
        <v>11330</v>
      </c>
      <c r="BO188" s="173">
        <f t="shared" si="53"/>
        <v>0</v>
      </c>
      <c r="BP188" s="172">
        <f>IF(BQ188="-","-",IFERROR(IF(OR(VLOOKUP(BN188,Расчет!$A$2:$E$582,5,FALSE)="2PS",VLOOKUP(BN188,Расчет!$A$2:$E$582,5,FALSE)="2QL"),IF(OR(VLOOKUP(BN188,Расчет!$A$2:$E$582,2,FALSE)="664W",VLOOKUP(BN188,Расчет!$A$2:$E$582,2,FALSE)="813W"),IF(BN188-$BS$7&gt;150,BN188-$BS$7-1000+$AD$12,BN188-$BS$7+$AD$12),IF(BN188-$BS$7&gt;150,BN188-$BS$7-1000+$AD$17,BN188-$BS$7+$AD$17)),IF(BN188-$BS$7&gt;150,BN188-$BS$7-1000,BN188-$BS$7)),"-"))</f>
        <v>106</v>
      </c>
      <c r="BQ188" s="173">
        <f t="shared" si="50"/>
        <v>11330</v>
      </c>
      <c r="BR188" s="453"/>
      <c r="BS188" s="171"/>
      <c r="BT188" s="464" t="str">
        <f t="shared" si="51"/>
        <v>-</v>
      </c>
      <c r="BU188" s="464" t="str">
        <f t="shared" si="52"/>
        <v>-</v>
      </c>
      <c r="BX188" s="204">
        <f>COUNTIF($BY$4:BY188,"&lt;100")</f>
        <v>59</v>
      </c>
      <c r="BY188" s="213" t="str">
        <f t="shared" si="56"/>
        <v/>
      </c>
      <c r="BZ188" s="216" t="str">
        <f t="shared" si="56"/>
        <v/>
      </c>
      <c r="CA188" s="213" t="e">
        <f t="shared" si="48"/>
        <v>#N/A</v>
      </c>
      <c r="CB188" s="209" t="e">
        <f t="shared" si="49"/>
        <v>#N/A</v>
      </c>
      <c r="CC188" s="205" t="str">
        <f t="shared" si="54"/>
        <v/>
      </c>
      <c r="CD188" s="205" t="str">
        <f t="shared" si="57"/>
        <v>-</v>
      </c>
      <c r="CE188" s="204">
        <f t="shared" si="58"/>
        <v>0</v>
      </c>
      <c r="CG188" s="20" t="str">
        <f t="shared" si="59"/>
        <v/>
      </c>
    </row>
    <row r="189" spans="36:85" ht="21">
      <c r="AJ189"/>
      <c r="AK189"/>
      <c r="AL189"/>
      <c r="AM189" s="87"/>
      <c r="AN189" s="87"/>
      <c r="AO189" s="14" t="str">
        <f>IF(R86="","",COUNTA($R$3:R86)+$AO$105)</f>
        <v/>
      </c>
      <c r="AP189" s="88" t="str">
        <f>IF(AO189="","",IF(AO189+Расчет!$Y$57+$BD$2-Расчет!$X$57&gt;200,AO189+Расчет!$Y$57+$BD$2-1000,AO189+Расчет!$Y$57+$BD$2))</f>
        <v/>
      </c>
      <c r="BL189" s="172">
        <f>COUNTIF($BM$5:BM189,"&lt;-115")</f>
        <v>0</v>
      </c>
      <c r="BM189" s="154">
        <f>IFERROR(IF(OR(IFERROR(VLOOKUP(BN189,$E$3:$E$105,1,FALSE),"0")=BN189,IFERROR(VLOOKUP(BN189,$R$3:$R$105,1,FALSE),"0")=BN189),BO189,IF(OR(VLOOKUP(BN189,Расчет!A:E,5,FALSE)="2PS",VLOOKUP(BN189,Расчет!A:E,5,FALSE)="2QL"),IF(VLOOKUP(BN189,Расчет!A:B,2,FALSE)="831W",BN189-$BS$7+$AD$17,BN189-$BS$7+$AD$12),BN189-$BS$7)),"-")</f>
        <v>107</v>
      </c>
      <c r="BN189" s="154">
        <f>IF(OR(Расчет!C186="A0",Расчет!C186="P9",Расчет!B186="722W"),"-",Расчет!A186)</f>
        <v>11331</v>
      </c>
      <c r="BO189" s="173">
        <f t="shared" si="53"/>
        <v>0</v>
      </c>
      <c r="BP189" s="172">
        <f>IF(BQ189="-","-",IFERROR(IF(OR(VLOOKUP(BN189,Расчет!$A$2:$E$582,5,FALSE)="2PS",VLOOKUP(BN189,Расчет!$A$2:$E$582,5,FALSE)="2QL"),IF(OR(VLOOKUP(BN189,Расчет!$A$2:$E$582,2,FALSE)="664W",VLOOKUP(BN189,Расчет!$A$2:$E$582,2,FALSE)="813W"),IF(BN189-$BS$7&gt;150,BN189-$BS$7-1000+$AD$12,BN189-$BS$7+$AD$12),IF(BN189-$BS$7&gt;150,BN189-$BS$7-1000+$AD$17,BN189-$BS$7+$AD$17)),IF(BN189-$BS$7&gt;150,BN189-$BS$7-1000,BN189-$BS$7)),"-"))</f>
        <v>107</v>
      </c>
      <c r="BQ189" s="173">
        <f t="shared" si="50"/>
        <v>11331</v>
      </c>
      <c r="BR189" s="453"/>
      <c r="BS189" s="171"/>
      <c r="BT189" s="464" t="str">
        <f t="shared" si="51"/>
        <v>-</v>
      </c>
      <c r="BU189" s="464" t="str">
        <f t="shared" si="52"/>
        <v>-</v>
      </c>
      <c r="BX189" s="204">
        <f>COUNTIF($BY$4:BY189,"&lt;100")</f>
        <v>59</v>
      </c>
      <c r="BY189" s="213" t="str">
        <f t="shared" si="56"/>
        <v/>
      </c>
      <c r="BZ189" s="216" t="str">
        <f t="shared" si="56"/>
        <v/>
      </c>
      <c r="CA189" s="213" t="e">
        <f t="shared" si="48"/>
        <v>#N/A</v>
      </c>
      <c r="CB189" s="209" t="e">
        <f t="shared" si="49"/>
        <v>#N/A</v>
      </c>
      <c r="CC189" s="205" t="str">
        <f t="shared" si="54"/>
        <v/>
      </c>
      <c r="CD189" s="205" t="str">
        <f t="shared" si="57"/>
        <v>-</v>
      </c>
      <c r="CE189" s="204">
        <f t="shared" si="58"/>
        <v>0</v>
      </c>
      <c r="CG189" s="20" t="str">
        <f t="shared" si="59"/>
        <v/>
      </c>
    </row>
    <row r="190" spans="36:85" ht="21">
      <c r="AJ190"/>
      <c r="AK190"/>
      <c r="AL190"/>
      <c r="AM190" s="87"/>
      <c r="AN190" s="87"/>
      <c r="AO190" s="14" t="str">
        <f>IF(R87="","",COUNTA($R$3:R87)+$AO$105)</f>
        <v/>
      </c>
      <c r="AP190" s="88" t="str">
        <f>IF(AO190="","",IF(AO190+Расчет!$Y$57+$BD$2-Расчет!$X$57&gt;200,AO190+Расчет!$Y$57+$BD$2-1000,AO190+Расчет!$Y$57+$BD$2))</f>
        <v/>
      </c>
      <c r="BL190" s="172">
        <f>COUNTIF($BM$5:BM190,"&lt;-115")</f>
        <v>0</v>
      </c>
      <c r="BM190" s="154">
        <f>IFERROR(IF(OR(IFERROR(VLOOKUP(BN190,$E$3:$E$105,1,FALSE),"0")=BN190,IFERROR(VLOOKUP(BN190,$R$3:$R$105,1,FALSE),"0")=BN190),BO190,IF(OR(VLOOKUP(BN190,Расчет!A:E,5,FALSE)="2PS",VLOOKUP(BN190,Расчет!A:E,5,FALSE)="2QL"),IF(VLOOKUP(BN190,Расчет!A:B,2,FALSE)="831W",BN190-$BS$7+$AD$17,BN190-$BS$7+$AD$12),BN190-$BS$7)),"-")</f>
        <v>108</v>
      </c>
      <c r="BN190" s="154">
        <f>IF(OR(Расчет!C187="A0",Расчет!C187="P9",Расчет!B187="722W"),"-",Расчет!A187)</f>
        <v>11332</v>
      </c>
      <c r="BO190" s="173">
        <f t="shared" si="53"/>
        <v>0</v>
      </c>
      <c r="BP190" s="172">
        <f>IF(BQ190="-","-",IFERROR(IF(OR(VLOOKUP(BN190,Расчет!$A$2:$E$582,5,FALSE)="2PS",VLOOKUP(BN190,Расчет!$A$2:$E$582,5,FALSE)="2QL"),IF(OR(VLOOKUP(BN190,Расчет!$A$2:$E$582,2,FALSE)="664W",VLOOKUP(BN190,Расчет!$A$2:$E$582,2,FALSE)="813W"),IF(BN190-$BS$7&gt;150,BN190-$BS$7-1000+$AD$12,BN190-$BS$7+$AD$12),IF(BN190-$BS$7&gt;150,BN190-$BS$7-1000+$AD$17,BN190-$BS$7+$AD$17)),IF(BN190-$BS$7&gt;150,BN190-$BS$7-1000,BN190-$BS$7)),"-"))</f>
        <v>108</v>
      </c>
      <c r="BQ190" s="173">
        <f t="shared" si="50"/>
        <v>11332</v>
      </c>
      <c r="BR190" s="453"/>
      <c r="BS190" s="171"/>
      <c r="BT190" s="464" t="str">
        <f t="shared" si="51"/>
        <v>-</v>
      </c>
      <c r="BU190" s="464" t="str">
        <f t="shared" si="52"/>
        <v>-</v>
      </c>
      <c r="BX190" s="204">
        <f>COUNTIF($BY$4:BY190,"&lt;100")</f>
        <v>59</v>
      </c>
      <c r="BY190" s="213" t="str">
        <f t="shared" si="56"/>
        <v/>
      </c>
      <c r="BZ190" s="216" t="str">
        <f t="shared" si="56"/>
        <v/>
      </c>
      <c r="CA190" s="213" t="e">
        <f t="shared" si="48"/>
        <v>#N/A</v>
      </c>
      <c r="CB190" s="209" t="e">
        <f t="shared" si="49"/>
        <v>#N/A</v>
      </c>
      <c r="CC190" s="205" t="str">
        <f t="shared" si="54"/>
        <v/>
      </c>
      <c r="CD190" s="205" t="str">
        <f t="shared" si="57"/>
        <v>-</v>
      </c>
      <c r="CE190" s="204">
        <f t="shared" si="58"/>
        <v>0</v>
      </c>
      <c r="CG190" s="20" t="str">
        <f t="shared" si="59"/>
        <v/>
      </c>
    </row>
    <row r="191" spans="36:85" ht="21">
      <c r="AJ191"/>
      <c r="AK191"/>
      <c r="AL191"/>
      <c r="AM191" s="87"/>
      <c r="AN191" s="87"/>
      <c r="AO191" s="14" t="str">
        <f>IF(R88="","",COUNTA($R$3:R88)+$AO$105)</f>
        <v/>
      </c>
      <c r="AP191" s="88" t="str">
        <f>IF(AO191="","",IF(AO191+Расчет!$Y$57+$BD$2-Расчет!$X$57&gt;200,AO191+Расчет!$Y$57+$BD$2-1000,AO191+Расчет!$Y$57+$BD$2))</f>
        <v/>
      </c>
      <c r="BL191" s="172">
        <f>COUNTIF($BM$5:BM191,"&lt;-115")</f>
        <v>0</v>
      </c>
      <c r="BM191" s="154">
        <f>IFERROR(IF(OR(IFERROR(VLOOKUP(BN191,$E$3:$E$105,1,FALSE),"0")=BN191,IFERROR(VLOOKUP(BN191,$R$3:$R$105,1,FALSE),"0")=BN191),BO191,IF(OR(VLOOKUP(BN191,Расчет!A:E,5,FALSE)="2PS",VLOOKUP(BN191,Расчет!A:E,5,FALSE)="2QL"),IF(VLOOKUP(BN191,Расчет!A:B,2,FALSE)="831W",BN191-$BS$7+$AD$17,BN191-$BS$7+$AD$12),BN191-$BS$7)),"-")</f>
        <v>209</v>
      </c>
      <c r="BN191" s="154">
        <f>IF(OR(Расчет!C188="A0",Расчет!C188="P9",Расчет!B188="722W"),"-",Расчет!A188)</f>
        <v>11333</v>
      </c>
      <c r="BO191" s="173">
        <f t="shared" si="53"/>
        <v>0</v>
      </c>
      <c r="BP191" s="172">
        <f>IF(BQ191="-","-",IFERROR(IF(OR(VLOOKUP(BN191,Расчет!$A$2:$E$582,5,FALSE)="2PS",VLOOKUP(BN191,Расчет!$A$2:$E$582,5,FALSE)="2QL"),IF(OR(VLOOKUP(BN191,Расчет!$A$2:$E$582,2,FALSE)="664W",VLOOKUP(BN191,Расчет!$A$2:$E$582,2,FALSE)="813W"),IF(BN191-$BS$7&gt;150,BN191-$BS$7-1000+$AD$12,BN191-$BS$7+$AD$12),IF(BN191-$BS$7&gt;150,BN191-$BS$7-1000+$AD$17,BN191-$BS$7+$AD$17)),IF(BN191-$BS$7&gt;150,BN191-$BS$7-1000,BN191-$BS$7)),"-"))</f>
        <v>209</v>
      </c>
      <c r="BQ191" s="173">
        <f t="shared" si="50"/>
        <v>11333</v>
      </c>
      <c r="BR191" s="453"/>
      <c r="BS191" s="171"/>
      <c r="BT191" s="464" t="str">
        <f t="shared" si="51"/>
        <v>-</v>
      </c>
      <c r="BU191" s="464" t="str">
        <f t="shared" si="52"/>
        <v>-</v>
      </c>
      <c r="BX191" s="204">
        <f>COUNTIF($BY$4:BY191,"&lt;100")</f>
        <v>59</v>
      </c>
      <c r="BY191" s="213" t="str">
        <f t="shared" si="56"/>
        <v/>
      </c>
      <c r="BZ191" s="216" t="str">
        <f t="shared" si="56"/>
        <v/>
      </c>
      <c r="CA191" s="213" t="e">
        <f t="shared" si="48"/>
        <v>#N/A</v>
      </c>
      <c r="CB191" s="209" t="e">
        <f t="shared" si="49"/>
        <v>#N/A</v>
      </c>
      <c r="CC191" s="205" t="str">
        <f t="shared" si="54"/>
        <v/>
      </c>
      <c r="CD191" s="205" t="str">
        <f t="shared" si="57"/>
        <v>-</v>
      </c>
      <c r="CE191" s="204">
        <f t="shared" si="58"/>
        <v>0</v>
      </c>
      <c r="CG191" s="20" t="str">
        <f t="shared" si="59"/>
        <v/>
      </c>
    </row>
    <row r="192" spans="36:85" ht="21">
      <c r="AJ192"/>
      <c r="AK192"/>
      <c r="AL192"/>
      <c r="AM192" s="87"/>
      <c r="AN192" s="87"/>
      <c r="AO192" s="14" t="str">
        <f>IF(R89="","",COUNTA($R$3:R89)+$AO$105)</f>
        <v/>
      </c>
      <c r="AP192" s="88" t="str">
        <f>IF(AO192="","",IF(AO192+Расчет!$Y$57+$BD$2-Расчет!$X$57&gt;200,AO192+Расчет!$Y$57+$BD$2-1000,AO192+Расчет!$Y$57+$BD$2))</f>
        <v/>
      </c>
      <c r="BL192" s="172">
        <f>COUNTIF($BM$5:BM192,"&lt;-115")</f>
        <v>0</v>
      </c>
      <c r="BM192" s="154">
        <f>IFERROR(IF(OR(IFERROR(VLOOKUP(BN192,$E$3:$E$105,1,FALSE),"0")=BN192,IFERROR(VLOOKUP(BN192,$R$3:$R$105,1,FALSE),"0")=BN192),BO192,IF(OR(VLOOKUP(BN192,Расчет!A:E,5,FALSE)="2PS",VLOOKUP(BN192,Расчет!A:E,5,FALSE)="2QL"),IF(VLOOKUP(BN192,Расчет!A:B,2,FALSE)="831W",BN192-$BS$7+$AD$17,BN192-$BS$7+$AD$12),BN192-$BS$7)),"-")</f>
        <v>110</v>
      </c>
      <c r="BN192" s="154">
        <f>IF(OR(Расчет!C189="A0",Расчет!C189="P9",Расчет!B189="722W"),"-",Расчет!A189)</f>
        <v>11334</v>
      </c>
      <c r="BO192" s="173">
        <f t="shared" si="53"/>
        <v>0</v>
      </c>
      <c r="BP192" s="172">
        <f>IF(BQ192="-","-",IFERROR(IF(OR(VLOOKUP(BN192,Расчет!$A$2:$E$582,5,FALSE)="2PS",VLOOKUP(BN192,Расчет!$A$2:$E$582,5,FALSE)="2QL"),IF(OR(VLOOKUP(BN192,Расчет!$A$2:$E$582,2,FALSE)="664W",VLOOKUP(BN192,Расчет!$A$2:$E$582,2,FALSE)="813W"),IF(BN192-$BS$7&gt;150,BN192-$BS$7-1000+$AD$12,BN192-$BS$7+$AD$12),IF(BN192-$BS$7&gt;150,BN192-$BS$7-1000+$AD$17,BN192-$BS$7+$AD$17)),IF(BN192-$BS$7&gt;150,BN192-$BS$7-1000,BN192-$BS$7)),"-"))</f>
        <v>110</v>
      </c>
      <c r="BQ192" s="173">
        <f t="shared" si="50"/>
        <v>11334</v>
      </c>
      <c r="BR192" s="453"/>
      <c r="BS192" s="171"/>
      <c r="BT192" s="464" t="str">
        <f t="shared" si="51"/>
        <v>-</v>
      </c>
      <c r="BU192" s="464" t="str">
        <f t="shared" si="52"/>
        <v>-</v>
      </c>
      <c r="BX192" s="204">
        <f>COUNTIF($BY$4:BY192,"&lt;100")</f>
        <v>59</v>
      </c>
      <c r="BY192" s="213" t="str">
        <f t="shared" si="56"/>
        <v/>
      </c>
      <c r="BZ192" s="216" t="str">
        <f t="shared" si="56"/>
        <v/>
      </c>
      <c r="CA192" s="213" t="e">
        <f t="shared" si="48"/>
        <v>#N/A</v>
      </c>
      <c r="CB192" s="209" t="e">
        <f t="shared" si="49"/>
        <v>#N/A</v>
      </c>
      <c r="CC192" s="205" t="str">
        <f t="shared" si="54"/>
        <v/>
      </c>
      <c r="CD192" s="205" t="str">
        <f t="shared" si="57"/>
        <v>-</v>
      </c>
      <c r="CE192" s="204">
        <f t="shared" si="58"/>
        <v>0</v>
      </c>
      <c r="CG192" s="20" t="str">
        <f t="shared" si="59"/>
        <v/>
      </c>
    </row>
    <row r="193" spans="31:85" ht="21">
      <c r="AJ193"/>
      <c r="AK193"/>
      <c r="AL193"/>
      <c r="AM193" s="87"/>
      <c r="AN193" s="87"/>
      <c r="AO193" s="14" t="str">
        <f>IF(R90="","",COUNTA($R$3:R90)+$AO$105)</f>
        <v/>
      </c>
      <c r="AP193" s="88" t="str">
        <f>IF(AO193="","",IF(AO193+Расчет!$Y$57+$BD$2-Расчет!$X$57&gt;200,AO193+Расчет!$Y$57+$BD$2-1000,AO193+Расчет!$Y$57+$BD$2))</f>
        <v/>
      </c>
      <c r="BL193" s="172">
        <f>COUNTIF($BM$5:BM193,"&lt;-115")</f>
        <v>0</v>
      </c>
      <c r="BM193" s="154">
        <f>IFERROR(IF(OR(IFERROR(VLOOKUP(BN193,$E$3:$E$105,1,FALSE),"0")=BN193,IFERROR(VLOOKUP(BN193,$R$3:$R$105,1,FALSE),"0")=BN193),BO193,IF(OR(VLOOKUP(BN193,Расчет!A:E,5,FALSE)="2PS",VLOOKUP(BN193,Расчет!A:E,5,FALSE)="2QL"),IF(VLOOKUP(BN193,Расчет!A:B,2,FALSE)="831W",BN193-$BS$7+$AD$17,BN193-$BS$7+$AD$12),BN193-$BS$7)),"-")</f>
        <v>111</v>
      </c>
      <c r="BN193" s="154">
        <f>IF(OR(Расчет!C190="A0",Расчет!C190="P9",Расчет!B190="722W"),"-",Расчет!A190)</f>
        <v>11335</v>
      </c>
      <c r="BO193" s="173">
        <f t="shared" si="53"/>
        <v>0</v>
      </c>
      <c r="BP193" s="172">
        <f>IF(BQ193="-","-",IFERROR(IF(OR(VLOOKUP(BN193,Расчет!$A$2:$E$582,5,FALSE)="2PS",VLOOKUP(BN193,Расчет!$A$2:$E$582,5,FALSE)="2QL"),IF(OR(VLOOKUP(BN193,Расчет!$A$2:$E$582,2,FALSE)="664W",VLOOKUP(BN193,Расчет!$A$2:$E$582,2,FALSE)="813W"),IF(BN193-$BS$7&gt;150,BN193-$BS$7-1000+$AD$12,BN193-$BS$7+$AD$12),IF(BN193-$BS$7&gt;150,BN193-$BS$7-1000+$AD$17,BN193-$BS$7+$AD$17)),IF(BN193-$BS$7&gt;150,BN193-$BS$7-1000,BN193-$BS$7)),"-"))</f>
        <v>111</v>
      </c>
      <c r="BQ193" s="173">
        <f t="shared" si="50"/>
        <v>11335</v>
      </c>
      <c r="BR193" s="453"/>
      <c r="BS193" s="171"/>
      <c r="BT193" s="464" t="str">
        <f t="shared" si="51"/>
        <v>-</v>
      </c>
      <c r="BU193" s="464" t="str">
        <f t="shared" si="52"/>
        <v>-</v>
      </c>
      <c r="BX193" s="204">
        <f>COUNTIF($BY$4:BY193,"&lt;100")</f>
        <v>59</v>
      </c>
      <c r="BY193" s="213" t="str">
        <f t="shared" si="56"/>
        <v/>
      </c>
      <c r="BZ193" s="216" t="str">
        <f t="shared" si="56"/>
        <v/>
      </c>
      <c r="CA193" s="213" t="e">
        <f t="shared" si="48"/>
        <v>#N/A</v>
      </c>
      <c r="CB193" s="209" t="e">
        <f t="shared" si="49"/>
        <v>#N/A</v>
      </c>
      <c r="CC193" s="205" t="str">
        <f t="shared" si="54"/>
        <v/>
      </c>
      <c r="CD193" s="205" t="str">
        <f t="shared" si="57"/>
        <v>-</v>
      </c>
      <c r="CE193" s="204">
        <f t="shared" si="58"/>
        <v>0</v>
      </c>
      <c r="CG193" s="20" t="str">
        <f t="shared" si="59"/>
        <v/>
      </c>
    </row>
    <row r="194" spans="31:85" ht="21">
      <c r="AJ194"/>
      <c r="AK194"/>
      <c r="AL194"/>
      <c r="AM194" s="87"/>
      <c r="AN194" s="87"/>
      <c r="AO194" s="14" t="str">
        <f>IF(R91="","",COUNTA($R$3:R91)+$AO$105)</f>
        <v/>
      </c>
      <c r="AP194" s="88" t="str">
        <f>IF(AO194="","",IF(AO194+Расчет!$Y$57+$BD$2-Расчет!$X$57&gt;200,AO194+Расчет!$Y$57+$BD$2-1000,AO194+Расчет!$Y$57+$BD$2))</f>
        <v/>
      </c>
      <c r="BL194" s="172">
        <f>COUNTIF($BM$5:BM194,"&lt;-115")</f>
        <v>0</v>
      </c>
      <c r="BM194" s="154">
        <f>IFERROR(IF(OR(IFERROR(VLOOKUP(BN194,$E$3:$E$105,1,FALSE),"0")=BN194,IFERROR(VLOOKUP(BN194,$R$3:$R$105,1,FALSE),"0")=BN194),BO194,IF(OR(VLOOKUP(BN194,Расчет!A:E,5,FALSE)="2PS",VLOOKUP(BN194,Расчет!A:E,5,FALSE)="2QL"),IF(VLOOKUP(BN194,Расчет!A:B,2,FALSE)="831W",BN194-$BS$7+$AD$17,BN194-$BS$7+$AD$12),BN194-$BS$7)),"-")</f>
        <v>112</v>
      </c>
      <c r="BN194" s="154">
        <f>IF(OR(Расчет!C191="A0",Расчет!C191="P9",Расчет!B191="722W"),"-",Расчет!A191)</f>
        <v>11336</v>
      </c>
      <c r="BO194" s="173">
        <f t="shared" si="53"/>
        <v>0</v>
      </c>
      <c r="BP194" s="172">
        <f>IF(BQ194="-","-",IFERROR(IF(OR(VLOOKUP(BN194,Расчет!$A$2:$E$582,5,FALSE)="2PS",VLOOKUP(BN194,Расчет!$A$2:$E$582,5,FALSE)="2QL"),IF(OR(VLOOKUP(BN194,Расчет!$A$2:$E$582,2,FALSE)="664W",VLOOKUP(BN194,Расчет!$A$2:$E$582,2,FALSE)="813W"),IF(BN194-$BS$7&gt;150,BN194-$BS$7-1000+$AD$12,BN194-$BS$7+$AD$12),IF(BN194-$BS$7&gt;150,BN194-$BS$7-1000+$AD$17,BN194-$BS$7+$AD$17)),IF(BN194-$BS$7&gt;150,BN194-$BS$7-1000,BN194-$BS$7)),"-"))</f>
        <v>112</v>
      </c>
      <c r="BQ194" s="173">
        <f t="shared" si="50"/>
        <v>11336</v>
      </c>
      <c r="BR194" s="453"/>
      <c r="BS194" s="171"/>
      <c r="BT194" s="464" t="str">
        <f t="shared" si="51"/>
        <v>-</v>
      </c>
      <c r="BU194" s="464" t="str">
        <f t="shared" si="52"/>
        <v>-</v>
      </c>
      <c r="BX194" s="204">
        <f>COUNTIF($BY$4:BY194,"&lt;100")</f>
        <v>59</v>
      </c>
      <c r="BY194" s="213" t="str">
        <f t="shared" si="56"/>
        <v/>
      </c>
      <c r="BZ194" s="216" t="str">
        <f t="shared" si="56"/>
        <v/>
      </c>
      <c r="CA194" s="213" t="e">
        <f t="shared" si="48"/>
        <v>#N/A</v>
      </c>
      <c r="CB194" s="209" t="e">
        <f t="shared" si="49"/>
        <v>#N/A</v>
      </c>
      <c r="CC194" s="205" t="str">
        <f t="shared" si="54"/>
        <v/>
      </c>
      <c r="CD194" s="205" t="str">
        <f t="shared" si="57"/>
        <v>-</v>
      </c>
      <c r="CE194" s="204">
        <f t="shared" si="58"/>
        <v>0</v>
      </c>
      <c r="CG194" s="20" t="str">
        <f t="shared" si="59"/>
        <v/>
      </c>
    </row>
    <row r="195" spans="31:85" ht="21">
      <c r="AJ195"/>
      <c r="AK195"/>
      <c r="AL195"/>
      <c r="AM195" s="87"/>
      <c r="AN195" s="87"/>
      <c r="AO195" s="14" t="str">
        <f>IF(R92="","",COUNTA($R$3:R92)+$AO$105)</f>
        <v/>
      </c>
      <c r="AP195" s="88" t="str">
        <f>IF(AO195="","",IF(AO195+Расчет!$Y$57+$BD$2-Расчет!$X$57&gt;200,AO195+Расчет!$Y$57+$BD$2-1000,AO195+Расчет!$Y$57+$BD$2))</f>
        <v/>
      </c>
      <c r="BL195" s="172">
        <f>COUNTIF($BM$5:BM195,"&lt;-115")</f>
        <v>0</v>
      </c>
      <c r="BM195" s="154">
        <f>IFERROR(IF(OR(IFERROR(VLOOKUP(BN195,$E$3:$E$105,1,FALSE),"0")=BN195,IFERROR(VLOOKUP(BN195,$R$3:$R$105,1,FALSE),"0")=BN195),BO195,IF(OR(VLOOKUP(BN195,Расчет!A:E,5,FALSE)="2PS",VLOOKUP(BN195,Расчет!A:E,5,FALSE)="2QL"),IF(VLOOKUP(BN195,Расчет!A:B,2,FALSE)="831W",BN195-$BS$7+$AD$17,BN195-$BS$7+$AD$12),BN195-$BS$7)),"-")</f>
        <v>113</v>
      </c>
      <c r="BN195" s="154">
        <f>IF(OR(Расчет!C192="A0",Расчет!C192="P9",Расчет!B192="722W"),"-",Расчет!A192)</f>
        <v>11337</v>
      </c>
      <c r="BO195" s="173">
        <f t="shared" si="53"/>
        <v>0</v>
      </c>
      <c r="BP195" s="172">
        <f>IF(BQ195="-","-",IFERROR(IF(OR(VLOOKUP(BN195,Расчет!$A$2:$E$582,5,FALSE)="2PS",VLOOKUP(BN195,Расчет!$A$2:$E$582,5,FALSE)="2QL"),IF(OR(VLOOKUP(BN195,Расчет!$A$2:$E$582,2,FALSE)="664W",VLOOKUP(BN195,Расчет!$A$2:$E$582,2,FALSE)="813W"),IF(BN195-$BS$7&gt;150,BN195-$BS$7-1000+$AD$12,BN195-$BS$7+$AD$12),IF(BN195-$BS$7&gt;150,BN195-$BS$7-1000+$AD$17,BN195-$BS$7+$AD$17)),IF(BN195-$BS$7&gt;150,BN195-$BS$7-1000,BN195-$BS$7)),"-"))</f>
        <v>113</v>
      </c>
      <c r="BQ195" s="173">
        <f t="shared" si="50"/>
        <v>11337</v>
      </c>
      <c r="BR195" s="453"/>
      <c r="BS195" s="171"/>
      <c r="BT195" s="464" t="str">
        <f t="shared" si="51"/>
        <v>-</v>
      </c>
      <c r="BU195" s="464" t="str">
        <f t="shared" si="52"/>
        <v>-</v>
      </c>
      <c r="BX195" s="204">
        <f>COUNTIF($BY$4:BY195,"&lt;100")</f>
        <v>59</v>
      </c>
      <c r="BY195" s="213" t="str">
        <f t="shared" si="56"/>
        <v/>
      </c>
      <c r="BZ195" s="216" t="str">
        <f t="shared" si="56"/>
        <v/>
      </c>
      <c r="CA195" s="213" t="e">
        <f t="shared" si="48"/>
        <v>#N/A</v>
      </c>
      <c r="CB195" s="209" t="e">
        <f t="shared" si="49"/>
        <v>#N/A</v>
      </c>
      <c r="CC195" s="205" t="str">
        <f t="shared" si="54"/>
        <v/>
      </c>
      <c r="CD195" s="205" t="str">
        <f t="shared" si="57"/>
        <v>-</v>
      </c>
      <c r="CE195" s="204">
        <f t="shared" si="58"/>
        <v>0</v>
      </c>
      <c r="CG195" s="20" t="str">
        <f t="shared" si="59"/>
        <v/>
      </c>
    </row>
    <row r="196" spans="31:85" ht="21">
      <c r="AJ196"/>
      <c r="AK196"/>
      <c r="AL196"/>
      <c r="AM196" s="87"/>
      <c r="AN196" s="87"/>
      <c r="AO196" s="14" t="str">
        <f>IF(R93="","",COUNTA($R$3:R93)+$AO$105)</f>
        <v/>
      </c>
      <c r="AP196" s="88" t="str">
        <f>IF(AO196="","",IF(AO196+Расчет!$Y$57+$BD$2-Расчет!$X$57&gt;200,AO196+Расчет!$Y$57+$BD$2-1000,AO196+Расчет!$Y$57+$BD$2))</f>
        <v/>
      </c>
      <c r="BL196" s="172">
        <f>COUNTIF($BM$5:BM196,"&lt;-115")</f>
        <v>0</v>
      </c>
      <c r="BM196" s="154">
        <f>IFERROR(IF(OR(IFERROR(VLOOKUP(BN196,$E$3:$E$105,1,FALSE),"0")=BN196,IFERROR(VLOOKUP(BN196,$R$3:$R$105,1,FALSE),"0")=BN196),BO196,IF(OR(VLOOKUP(BN196,Расчет!A:E,5,FALSE)="2PS",VLOOKUP(BN196,Расчет!A:E,5,FALSE)="2QL"),IF(VLOOKUP(BN196,Расчет!A:B,2,FALSE)="831W",BN196-$BS$7+$AD$17,BN196-$BS$7+$AD$12),BN196-$BS$7)),"-")</f>
        <v>114</v>
      </c>
      <c r="BN196" s="154">
        <f>IF(OR(Расчет!C193="A0",Расчет!C193="P9",Расчет!B193="722W"),"-",Расчет!A193)</f>
        <v>11338</v>
      </c>
      <c r="BO196" s="173">
        <f t="shared" si="53"/>
        <v>0</v>
      </c>
      <c r="BP196" s="172">
        <f>IF(BQ196="-","-",IFERROR(IF(OR(VLOOKUP(BN196,Расчет!$A$2:$E$582,5,FALSE)="2PS",VLOOKUP(BN196,Расчет!$A$2:$E$582,5,FALSE)="2QL"),IF(OR(VLOOKUP(BN196,Расчет!$A$2:$E$582,2,FALSE)="664W",VLOOKUP(BN196,Расчет!$A$2:$E$582,2,FALSE)="813W"),IF(BN196-$BS$7&gt;150,BN196-$BS$7-1000+$AD$12,BN196-$BS$7+$AD$12),IF(BN196-$BS$7&gt;150,BN196-$BS$7-1000+$AD$17,BN196-$BS$7+$AD$17)),IF(BN196-$BS$7&gt;150,BN196-$BS$7-1000,BN196-$BS$7)),"-"))</f>
        <v>114</v>
      </c>
      <c r="BQ196" s="173">
        <f t="shared" si="50"/>
        <v>11338</v>
      </c>
      <c r="BR196" s="453"/>
      <c r="BS196" s="171"/>
      <c r="BT196" s="464" t="str">
        <f t="shared" si="51"/>
        <v>-</v>
      </c>
      <c r="BU196" s="464" t="str">
        <f t="shared" si="52"/>
        <v>-</v>
      </c>
      <c r="BX196" s="204">
        <f>COUNTIF($BY$4:BY196,"&lt;100")</f>
        <v>59</v>
      </c>
      <c r="BY196" s="213" t="str">
        <f t="shared" si="56"/>
        <v/>
      </c>
      <c r="BZ196" s="216" t="str">
        <f t="shared" si="56"/>
        <v/>
      </c>
      <c r="CA196" s="213" t="e">
        <f t="shared" ref="CA196:CA209" si="60">VLOOKUP(ROW(A193),$BX$4:$BY$209,2,FALSE)</f>
        <v>#N/A</v>
      </c>
      <c r="CB196" s="209" t="e">
        <f t="shared" ref="CB196:CB209" si="61">VLOOKUP(ROW(A193),$BX$4:$BZ$209,3,FALSE)</f>
        <v>#N/A</v>
      </c>
      <c r="CC196" s="205" t="str">
        <f t="shared" si="54"/>
        <v/>
      </c>
      <c r="CD196" s="205" t="str">
        <f t="shared" si="57"/>
        <v>-</v>
      </c>
      <c r="CE196" s="204">
        <f t="shared" si="58"/>
        <v>0</v>
      </c>
      <c r="CG196" s="20" t="str">
        <f t="shared" si="59"/>
        <v/>
      </c>
    </row>
    <row r="197" spans="31:85" ht="21">
      <c r="AJ197"/>
      <c r="AK197"/>
      <c r="AL197"/>
      <c r="AM197" s="87"/>
      <c r="AN197" s="87"/>
      <c r="AO197" s="14" t="str">
        <f>IF(R94="","",COUNTA($R$3:R94)+$AO$105)</f>
        <v/>
      </c>
      <c r="AP197" s="88" t="str">
        <f>IF(AO197="","",IF(AO197+Расчет!$Y$57+$BD$2-Расчет!$X$57&gt;200,AO197+Расчет!$Y$57+$BD$2-1000,AO197+Расчет!$Y$57+$BD$2))</f>
        <v/>
      </c>
      <c r="BL197" s="172">
        <f>COUNTIF($BM$5:BM197,"&lt;-115")</f>
        <v>0</v>
      </c>
      <c r="BM197" s="154">
        <f>IFERROR(IF(OR(IFERROR(VLOOKUP(BN197,$E$3:$E$105,1,FALSE),"0")=BN197,IFERROR(VLOOKUP(BN197,$R$3:$R$105,1,FALSE),"0")=BN197),BO197,IF(OR(VLOOKUP(BN197,Расчет!A:E,5,FALSE)="2PS",VLOOKUP(BN197,Расчет!A:E,5,FALSE)="2QL"),IF(VLOOKUP(BN197,Расчет!A:B,2,FALSE)="831W",BN197-$BS$7+$AD$17,BN197-$BS$7+$AD$12),BN197-$BS$7)),"-")</f>
        <v>115</v>
      </c>
      <c r="BN197" s="154">
        <f>IF(OR(Расчет!C194="A0",Расчет!C194="P9",Расчет!B194="722W"),"-",Расчет!A194)</f>
        <v>11339</v>
      </c>
      <c r="BO197" s="173">
        <f t="shared" si="53"/>
        <v>0</v>
      </c>
      <c r="BP197" s="172">
        <f>IF(BQ197="-","-",IFERROR(IF(OR(VLOOKUP(BN197,Расчет!$A$2:$E$582,5,FALSE)="2PS",VLOOKUP(BN197,Расчет!$A$2:$E$582,5,FALSE)="2QL"),IF(OR(VLOOKUP(BN197,Расчет!$A$2:$E$582,2,FALSE)="664W",VLOOKUP(BN197,Расчет!$A$2:$E$582,2,FALSE)="813W"),IF(BN197-$BS$7&gt;150,BN197-$BS$7-1000+$AD$12,BN197-$BS$7+$AD$12),IF(BN197-$BS$7&gt;150,BN197-$BS$7-1000+$AD$17,BN197-$BS$7+$AD$17)),IF(BN197-$BS$7&gt;150,BN197-$BS$7-1000,BN197-$BS$7)),"-"))</f>
        <v>115</v>
      </c>
      <c r="BQ197" s="173">
        <f t="shared" ref="BQ197:BQ259" si="62">IFERROR(IF(OR(IFERROR(VLOOKUP(BN197,$E$3:$E$105,1,FALSE),"0")=BN197,IFERROR(VLOOKUP(BN197,$R$3:$R$105,1,FALSE),"0")=BN197),"-",BN197),"-")</f>
        <v>11339</v>
      </c>
      <c r="BR197" s="453"/>
      <c r="BS197" s="171"/>
      <c r="BT197" s="464" t="str">
        <f t="shared" ref="BT197:BT259" si="63">IF(BQ197="-","-",IF(AND(BP197&gt;=$BR$5,BP197&lt;$BR$5+9),BP197,"-"))</f>
        <v>-</v>
      </c>
      <c r="BU197" s="464" t="str">
        <f t="shared" ref="BU197:BU259" si="64">IF(OR(BP197=$AC$2+1,BP197=$AC$2+2,BP197=$AC$2+3,BP197=$AC$2+4,BP197=$AC$2+5,BP197=$AC$2+6),BP197,"-")</f>
        <v>-</v>
      </c>
      <c r="BX197" s="204">
        <f>COUNTIF($BY$4:BY197,"&lt;100")</f>
        <v>59</v>
      </c>
      <c r="BY197" s="213" t="str">
        <f t="shared" si="56"/>
        <v/>
      </c>
      <c r="BZ197" s="216" t="str">
        <f t="shared" si="56"/>
        <v/>
      </c>
      <c r="CA197" s="213" t="e">
        <f t="shared" si="60"/>
        <v>#N/A</v>
      </c>
      <c r="CB197" s="209" t="e">
        <f t="shared" si="61"/>
        <v>#N/A</v>
      </c>
      <c r="CC197" s="205" t="str">
        <f t="shared" si="54"/>
        <v/>
      </c>
      <c r="CD197" s="205" t="str">
        <f t="shared" si="57"/>
        <v>-</v>
      </c>
      <c r="CE197" s="204">
        <f t="shared" si="58"/>
        <v>0</v>
      </c>
      <c r="CG197" s="20" t="str">
        <f t="shared" si="59"/>
        <v/>
      </c>
    </row>
    <row r="198" spans="31:85" ht="21">
      <c r="AJ198"/>
      <c r="AK198"/>
      <c r="AL198"/>
      <c r="AM198" s="87"/>
      <c r="AN198" s="87"/>
      <c r="AO198" s="14" t="str">
        <f>IF(R95="","",COUNTA($R$3:R95)+$AO$105)</f>
        <v/>
      </c>
      <c r="AP198" s="88" t="str">
        <f>IF(AO198="","",IF(AO198+Расчет!$Y$57+$BD$2-Расчет!$X$57&gt;200,AO198+Расчет!$Y$57+$BD$2-1000,AO198+Расчет!$Y$57+$BD$2))</f>
        <v/>
      </c>
      <c r="BL198" s="172">
        <f>COUNTIF($BM$5:BM198,"&lt;-115")</f>
        <v>0</v>
      </c>
      <c r="BM198" s="154">
        <f>IFERROR(IF(OR(IFERROR(VLOOKUP(BN198,$E$3:$E$105,1,FALSE),"0")=BN198,IFERROR(VLOOKUP(BN198,$R$3:$R$105,1,FALSE),"0")=BN198),BO198,IF(OR(VLOOKUP(BN198,Расчет!A:E,5,FALSE)="2PS",VLOOKUP(BN198,Расчет!A:E,5,FALSE)="2QL"),IF(VLOOKUP(BN198,Расчет!A:B,2,FALSE)="831W",BN198-$BS$7+$AD$17,BN198-$BS$7+$AD$12),BN198-$BS$7)),"-")</f>
        <v>116</v>
      </c>
      <c r="BN198" s="154">
        <f>IF(OR(Расчет!C195="A0",Расчет!C195="P9",Расчет!B195="722W"),"-",Расчет!A195)</f>
        <v>11340</v>
      </c>
      <c r="BO198" s="173">
        <f t="shared" ref="BO198:BO259" si="65">IF(IFERROR(INDEX($A$3:$A$105,MATCH(BN198,$E$3:$E$105,0)),"-")&lt;&gt;"-",IFERROR(INDEX($A$3:$A$105,MATCH(BN198,$E$3:$E$105,0)),0),IFERROR(INDEX($N$3:$N$105,MATCH(BN198,$R$3:$R$105,0)),0))</f>
        <v>0</v>
      </c>
      <c r="BP198" s="172">
        <f>IF(BQ198="-","-",IFERROR(IF(OR(VLOOKUP(BN198,Расчет!$A$2:$E$582,5,FALSE)="2PS",VLOOKUP(BN198,Расчет!$A$2:$E$582,5,FALSE)="2QL"),IF(OR(VLOOKUP(BN198,Расчет!$A$2:$E$582,2,FALSE)="664W",VLOOKUP(BN198,Расчет!$A$2:$E$582,2,FALSE)="813W"),IF(BN198-$BS$7&gt;150,BN198-$BS$7-1000+$AD$12,BN198-$BS$7+$AD$12),IF(BN198-$BS$7&gt;150,BN198-$BS$7-1000+$AD$17,BN198-$BS$7+$AD$17)),IF(BN198-$BS$7&gt;150,BN198-$BS$7-1000,BN198-$BS$7)),"-"))</f>
        <v>116</v>
      </c>
      <c r="BQ198" s="173">
        <f t="shared" si="62"/>
        <v>11340</v>
      </c>
      <c r="BR198" s="453"/>
      <c r="BS198" s="171"/>
      <c r="BT198" s="464" t="str">
        <f t="shared" si="63"/>
        <v>-</v>
      </c>
      <c r="BU198" s="464" t="str">
        <f t="shared" si="64"/>
        <v>-</v>
      </c>
      <c r="BX198" s="204">
        <f>COUNTIF($BY$4:BY198,"&lt;100")</f>
        <v>59</v>
      </c>
      <c r="BY198" s="213" t="str">
        <f t="shared" si="56"/>
        <v/>
      </c>
      <c r="BZ198" s="216" t="str">
        <f t="shared" si="56"/>
        <v/>
      </c>
      <c r="CA198" s="213" t="e">
        <f t="shared" si="60"/>
        <v>#N/A</v>
      </c>
      <c r="CB198" s="209" t="e">
        <f t="shared" si="61"/>
        <v>#N/A</v>
      </c>
      <c r="CC198" s="205" t="str">
        <f t="shared" ref="CC198:CC209" si="66">IFERROR(IF(OR(AND(CA198&gt;CA197,CA198&gt;=1),AND(CA198&lt;CA197,CA198&lt;=-1)),1,0),"")</f>
        <v/>
      </c>
      <c r="CD198" s="205" t="str">
        <f t="shared" si="57"/>
        <v>-</v>
      </c>
      <c r="CE198" s="204">
        <f t="shared" si="58"/>
        <v>0</v>
      </c>
      <c r="CG198" s="20" t="str">
        <f t="shared" si="59"/>
        <v/>
      </c>
    </row>
    <row r="199" spans="31:85" ht="21">
      <c r="AJ199"/>
      <c r="AK199"/>
      <c r="AL199"/>
      <c r="AM199" s="87"/>
      <c r="AN199" s="87"/>
      <c r="AO199" s="14" t="str">
        <f>IF(R96="","",COUNTA($R$3:R96)+$AO$105)</f>
        <v/>
      </c>
      <c r="AP199" s="88" t="str">
        <f>IF(AO199="","",IF(AO199+Расчет!$Y$57+$BD$2-Расчет!$X$57&gt;200,AO199+Расчет!$Y$57+$BD$2-1000,AO199+Расчет!$Y$57+$BD$2))</f>
        <v/>
      </c>
      <c r="BL199" s="172">
        <f>COUNTIF($BM$5:BM199,"&lt;-115")</f>
        <v>0</v>
      </c>
      <c r="BM199" s="154">
        <f>IFERROR(IF(OR(IFERROR(VLOOKUP(BN199,$E$3:$E$105,1,FALSE),"0")=BN199,IFERROR(VLOOKUP(BN199,$R$3:$R$105,1,FALSE),"0")=BN199),BO199,IF(OR(VLOOKUP(BN199,Расчет!A:E,5,FALSE)="2PS",VLOOKUP(BN199,Расчет!A:E,5,FALSE)="2QL"),IF(VLOOKUP(BN199,Расчет!A:B,2,FALSE)="831W",BN199-$BS$7+$AD$17,BN199-$BS$7+$AD$12),BN199-$BS$7)),"-")</f>
        <v>117</v>
      </c>
      <c r="BN199" s="154">
        <f>IF(OR(Расчет!C196="A0",Расчет!C196="P9",Расчет!B196="722W"),"-",Расчет!A196)</f>
        <v>11341</v>
      </c>
      <c r="BO199" s="173">
        <f t="shared" si="65"/>
        <v>0</v>
      </c>
      <c r="BP199" s="172">
        <f>IF(BQ199="-","-",IFERROR(IF(OR(VLOOKUP(BN199,Расчет!$A$2:$E$582,5,FALSE)="2PS",VLOOKUP(BN199,Расчет!$A$2:$E$582,5,FALSE)="2QL"),IF(OR(VLOOKUP(BN199,Расчет!$A$2:$E$582,2,FALSE)="664W",VLOOKUP(BN199,Расчет!$A$2:$E$582,2,FALSE)="813W"),IF(BN199-$BS$7&gt;150,BN199-$BS$7-1000+$AD$12,BN199-$BS$7+$AD$12),IF(BN199-$BS$7&gt;150,BN199-$BS$7-1000+$AD$17,BN199-$BS$7+$AD$17)),IF(BN199-$BS$7&gt;150,BN199-$BS$7-1000,BN199-$BS$7)),"-"))</f>
        <v>117</v>
      </c>
      <c r="BQ199" s="173">
        <f t="shared" si="62"/>
        <v>11341</v>
      </c>
      <c r="BR199" s="453"/>
      <c r="BS199" s="171"/>
      <c r="BT199" s="464" t="str">
        <f t="shared" si="63"/>
        <v>-</v>
      </c>
      <c r="BU199" s="464" t="str">
        <f t="shared" si="64"/>
        <v>-</v>
      </c>
      <c r="BX199" s="204">
        <f>COUNTIF($BY$4:BY199,"&lt;100")</f>
        <v>59</v>
      </c>
      <c r="BY199" s="213" t="str">
        <f t="shared" si="56"/>
        <v/>
      </c>
      <c r="BZ199" s="216" t="str">
        <f t="shared" si="56"/>
        <v/>
      </c>
      <c r="CA199" s="213" t="e">
        <f t="shared" si="60"/>
        <v>#N/A</v>
      </c>
      <c r="CB199" s="209" t="e">
        <f t="shared" si="61"/>
        <v>#N/A</v>
      </c>
      <c r="CC199" s="205" t="str">
        <f t="shared" si="66"/>
        <v/>
      </c>
      <c r="CD199" s="205" t="str">
        <f t="shared" si="57"/>
        <v>-</v>
      </c>
      <c r="CE199" s="204">
        <f t="shared" si="58"/>
        <v>0</v>
      </c>
      <c r="CG199" s="20" t="str">
        <f t="shared" si="59"/>
        <v/>
      </c>
    </row>
    <row r="200" spans="31:85" ht="21">
      <c r="AJ200"/>
      <c r="AK200"/>
      <c r="AL200"/>
      <c r="AM200" s="87"/>
      <c r="AN200" s="87"/>
      <c r="AO200" s="14" t="str">
        <f>IF(R97="","",COUNTA($R$3:R97)+$AO$105)</f>
        <v/>
      </c>
      <c r="AP200" s="88" t="str">
        <f>IF(AO200="","",IF(AO200+Расчет!$Y$57+$BD$2-Расчет!$X$57&gt;200,AO200+Расчет!$Y$57+$BD$2-1000,AO200+Расчет!$Y$57+$BD$2))</f>
        <v/>
      </c>
      <c r="BL200" s="172">
        <f>COUNTIF($BM$5:BM200,"&lt;-115")</f>
        <v>0</v>
      </c>
      <c r="BM200" s="154">
        <f>IFERROR(IF(OR(IFERROR(VLOOKUP(BN200,$E$3:$E$105,1,FALSE),"0")=BN200,IFERROR(VLOOKUP(BN200,$R$3:$R$105,1,FALSE),"0")=BN200),BO200,IF(OR(VLOOKUP(BN200,Расчет!A:E,5,FALSE)="2PS",VLOOKUP(BN200,Расчет!A:E,5,FALSE)="2QL"),IF(VLOOKUP(BN200,Расчет!A:B,2,FALSE)="831W",BN200-$BS$7+$AD$17,BN200-$BS$7+$AD$12),BN200-$BS$7)),"-")</f>
        <v>118</v>
      </c>
      <c r="BN200" s="154">
        <f>IF(OR(Расчет!C197="A0",Расчет!C197="P9",Расчет!B197="722W"),"-",Расчет!A197)</f>
        <v>11342</v>
      </c>
      <c r="BO200" s="173">
        <f t="shared" si="65"/>
        <v>0</v>
      </c>
      <c r="BP200" s="172">
        <f>IF(BQ200="-","-",IFERROR(IF(OR(VLOOKUP(BN200,Расчет!$A$2:$E$582,5,FALSE)="2PS",VLOOKUP(BN200,Расчет!$A$2:$E$582,5,FALSE)="2QL"),IF(OR(VLOOKUP(BN200,Расчет!$A$2:$E$582,2,FALSE)="664W",VLOOKUP(BN200,Расчет!$A$2:$E$582,2,FALSE)="813W"),IF(BN200-$BS$7&gt;150,BN200-$BS$7-1000+$AD$12,BN200-$BS$7+$AD$12),IF(BN200-$BS$7&gt;150,BN200-$BS$7-1000+$AD$17,BN200-$BS$7+$AD$17)),IF(BN200-$BS$7&gt;150,BN200-$BS$7-1000,BN200-$BS$7)),"-"))</f>
        <v>118</v>
      </c>
      <c r="BQ200" s="173">
        <f t="shared" si="62"/>
        <v>11342</v>
      </c>
      <c r="BR200" s="453"/>
      <c r="BS200" s="171"/>
      <c r="BT200" s="464" t="str">
        <f t="shared" si="63"/>
        <v>-</v>
      </c>
      <c r="BU200" s="464" t="str">
        <f t="shared" si="64"/>
        <v>-</v>
      </c>
      <c r="BX200" s="204">
        <f>COUNTIF($BY$4:BY200,"&lt;100")</f>
        <v>59</v>
      </c>
      <c r="BY200" s="213" t="str">
        <f t="shared" si="56"/>
        <v/>
      </c>
      <c r="BZ200" s="216" t="str">
        <f t="shared" si="56"/>
        <v/>
      </c>
      <c r="CA200" s="213" t="e">
        <f t="shared" si="60"/>
        <v>#N/A</v>
      </c>
      <c r="CB200" s="209" t="e">
        <f t="shared" si="61"/>
        <v>#N/A</v>
      </c>
      <c r="CC200" s="205" t="str">
        <f t="shared" si="66"/>
        <v/>
      </c>
      <c r="CD200" s="205" t="str">
        <f t="shared" si="57"/>
        <v>-</v>
      </c>
      <c r="CE200" s="204">
        <f t="shared" si="58"/>
        <v>0</v>
      </c>
      <c r="CG200" s="20" t="str">
        <f t="shared" si="59"/>
        <v/>
      </c>
    </row>
    <row r="201" spans="31:85" ht="21">
      <c r="AJ201"/>
      <c r="AK201"/>
      <c r="AL201"/>
      <c r="AM201" s="87"/>
      <c r="AN201" s="87"/>
      <c r="AO201" s="14" t="str">
        <f>IF(R98="","",COUNTA($R$3:R98)+$AO$105)</f>
        <v/>
      </c>
      <c r="AP201" s="88" t="str">
        <f>IF(AO201="","",IF(AO201+Расчет!$Y$57+$BD$2-Расчет!$X$57&gt;200,AO201+Расчет!$Y$57+$BD$2-1000,AO201+Расчет!$Y$57+$BD$2))</f>
        <v/>
      </c>
      <c r="BL201" s="172">
        <f>COUNTIF($BM$5:BM201,"&lt;-115")</f>
        <v>0</v>
      </c>
      <c r="BM201" s="154">
        <f>IFERROR(IF(OR(IFERROR(VLOOKUP(BN201,$E$3:$E$105,1,FALSE),"0")=BN201,IFERROR(VLOOKUP(BN201,$R$3:$R$105,1,FALSE),"0")=BN201),BO201,IF(OR(VLOOKUP(BN201,Расчет!A:E,5,FALSE)="2PS",VLOOKUP(BN201,Расчет!A:E,5,FALSE)="2QL"),IF(VLOOKUP(BN201,Расчет!A:B,2,FALSE)="831W",BN201-$BS$7+$AD$17,BN201-$BS$7+$AD$12),BN201-$BS$7)),"-")</f>
        <v>230</v>
      </c>
      <c r="BN201" s="154">
        <f>IF(OR(Расчет!C198="A0",Расчет!C198="P9",Расчет!B198="722W"),"-",Расчет!A198)</f>
        <v>11343</v>
      </c>
      <c r="BO201" s="173">
        <f t="shared" si="65"/>
        <v>0</v>
      </c>
      <c r="BP201" s="172">
        <f>IF(BQ201="-","-",IFERROR(IF(OR(VLOOKUP(BN201,Расчет!$A$2:$E$582,5,FALSE)="2PS",VLOOKUP(BN201,Расчет!$A$2:$E$582,5,FALSE)="2QL"),IF(OR(VLOOKUP(BN201,Расчет!$A$2:$E$582,2,FALSE)="664W",VLOOKUP(BN201,Расчет!$A$2:$E$582,2,FALSE)="813W"),IF(BN201-$BS$7&gt;150,BN201-$BS$7-1000+$AD$12,BN201-$BS$7+$AD$12),IF(BN201-$BS$7&gt;150,BN201-$BS$7-1000+$AD$17,BN201-$BS$7+$AD$17)),IF(BN201-$BS$7&gt;150,BN201-$BS$7-1000,BN201-$BS$7)),"-"))</f>
        <v>230</v>
      </c>
      <c r="BQ201" s="173">
        <f t="shared" si="62"/>
        <v>11343</v>
      </c>
      <c r="BR201" s="453"/>
      <c r="BS201" s="171"/>
      <c r="BT201" s="464" t="str">
        <f t="shared" si="63"/>
        <v>-</v>
      </c>
      <c r="BU201" s="464" t="str">
        <f t="shared" si="64"/>
        <v>-</v>
      </c>
      <c r="BX201" s="204">
        <f>COUNTIF($BY$4:BY201,"&lt;100")</f>
        <v>59</v>
      </c>
      <c r="BY201" s="213" t="str">
        <f t="shared" si="56"/>
        <v/>
      </c>
      <c r="BZ201" s="216" t="str">
        <f t="shared" si="56"/>
        <v/>
      </c>
      <c r="CA201" s="213" t="e">
        <f t="shared" si="60"/>
        <v>#N/A</v>
      </c>
      <c r="CB201" s="209" t="e">
        <f t="shared" si="61"/>
        <v>#N/A</v>
      </c>
      <c r="CC201" s="205" t="str">
        <f t="shared" si="66"/>
        <v/>
      </c>
      <c r="CD201" s="205" t="str">
        <f t="shared" si="57"/>
        <v>-</v>
      </c>
      <c r="CE201" s="204">
        <f t="shared" si="58"/>
        <v>0</v>
      </c>
      <c r="CG201" s="20" t="str">
        <f t="shared" si="59"/>
        <v/>
      </c>
    </row>
    <row r="202" spans="31:85" ht="21">
      <c r="AJ202"/>
      <c r="AK202"/>
      <c r="AL202"/>
      <c r="AM202" s="87"/>
      <c r="AN202" s="87"/>
      <c r="AO202" s="14" t="str">
        <f>IF(R99="","",COUNTA($R$3:R99)+$AO$105)</f>
        <v/>
      </c>
      <c r="AP202" s="88" t="str">
        <f>IF(AO202="","",IF(AO202+Расчет!$Y$57+$BD$2-Расчет!$X$57&gt;200,AO202+Расчет!$Y$57+$BD$2-1000,AO202+Расчет!$Y$57+$BD$2))</f>
        <v/>
      </c>
      <c r="BL202" s="172">
        <f>COUNTIF($BM$5:BM202,"&lt;-115")</f>
        <v>0</v>
      </c>
      <c r="BM202" s="154">
        <f>IFERROR(IF(OR(IFERROR(VLOOKUP(BN202,$E$3:$E$105,1,FALSE),"0")=BN202,IFERROR(VLOOKUP(BN202,$R$3:$R$105,1,FALSE),"0")=BN202),BO202,IF(OR(VLOOKUP(BN202,Расчет!A:E,5,FALSE)="2PS",VLOOKUP(BN202,Расчет!A:E,5,FALSE)="2QL"),IF(VLOOKUP(BN202,Расчет!A:B,2,FALSE)="831W",BN202-$BS$7+$AD$17,BN202-$BS$7+$AD$12),BN202-$BS$7)),"-")</f>
        <v>120</v>
      </c>
      <c r="BN202" s="154">
        <f>IF(OR(Расчет!C199="A0",Расчет!C199="P9",Расчет!B199="722W"),"-",Расчет!A199)</f>
        <v>11344</v>
      </c>
      <c r="BO202" s="173">
        <f t="shared" si="65"/>
        <v>0</v>
      </c>
      <c r="BP202" s="172">
        <f>IF(BQ202="-","-",IFERROR(IF(OR(VLOOKUP(BN202,Расчет!$A$2:$E$582,5,FALSE)="2PS",VLOOKUP(BN202,Расчет!$A$2:$E$582,5,FALSE)="2QL"),IF(OR(VLOOKUP(BN202,Расчет!$A$2:$E$582,2,FALSE)="664W",VLOOKUP(BN202,Расчет!$A$2:$E$582,2,FALSE)="813W"),IF(BN202-$BS$7&gt;150,BN202-$BS$7-1000+$AD$12,BN202-$BS$7+$AD$12),IF(BN202-$BS$7&gt;150,BN202-$BS$7-1000+$AD$17,BN202-$BS$7+$AD$17)),IF(BN202-$BS$7&gt;150,BN202-$BS$7-1000,BN202-$BS$7)),"-"))</f>
        <v>120</v>
      </c>
      <c r="BQ202" s="173">
        <f t="shared" si="62"/>
        <v>11344</v>
      </c>
      <c r="BR202" s="453"/>
      <c r="BS202" s="171"/>
      <c r="BT202" s="464" t="str">
        <f t="shared" si="63"/>
        <v>-</v>
      </c>
      <c r="BU202" s="464" t="str">
        <f t="shared" si="64"/>
        <v>-</v>
      </c>
      <c r="BX202" s="204">
        <f>COUNTIF($BY$4:BY202,"&lt;100")</f>
        <v>59</v>
      </c>
      <c r="BY202" s="213" t="str">
        <f t="shared" si="56"/>
        <v/>
      </c>
      <c r="BZ202" s="216" t="str">
        <f t="shared" si="56"/>
        <v/>
      </c>
      <c r="CA202" s="213" t="e">
        <f t="shared" si="60"/>
        <v>#N/A</v>
      </c>
      <c r="CB202" s="209" t="e">
        <f t="shared" si="61"/>
        <v>#N/A</v>
      </c>
      <c r="CC202" s="205" t="str">
        <f t="shared" si="66"/>
        <v/>
      </c>
      <c r="CD202" s="205" t="str">
        <f t="shared" si="57"/>
        <v>-</v>
      </c>
      <c r="CE202" s="204">
        <f t="shared" si="58"/>
        <v>0</v>
      </c>
      <c r="CG202" s="20" t="str">
        <f t="shared" si="59"/>
        <v/>
      </c>
    </row>
    <row r="203" spans="31:85" ht="21">
      <c r="AE203"/>
      <c r="AF203"/>
      <c r="AG203"/>
      <c r="AH203"/>
      <c r="AI203"/>
      <c r="AJ203"/>
      <c r="AK203"/>
      <c r="AL203"/>
      <c r="AM203"/>
      <c r="AN203"/>
      <c r="AO203" s="14" t="str">
        <f>IF(R100="","",COUNTA($R$3:R100)+$AO$105)</f>
        <v/>
      </c>
      <c r="AP203" s="88" t="str">
        <f>IF(AO203="","",IF(AO203+Расчет!$Y$57+$BD$2-Расчет!$X$57&gt;200,AO203+Расчет!$Y$57+$BD$2-1000,AO203+Расчет!$Y$57+$BD$2))</f>
        <v/>
      </c>
      <c r="AQ203"/>
      <c r="AR203"/>
      <c r="AS203"/>
      <c r="AT203"/>
      <c r="AU203"/>
      <c r="BL203" s="172">
        <f>COUNTIF($BM$5:BM203,"&lt;-115")</f>
        <v>0</v>
      </c>
      <c r="BM203" s="154">
        <f>IFERROR(IF(OR(IFERROR(VLOOKUP(BN203,$E$3:$E$105,1,FALSE),"0")=BN203,IFERROR(VLOOKUP(BN203,$R$3:$R$105,1,FALSE),"0")=BN203),BO203,IF(OR(VLOOKUP(BN203,Расчет!A:E,5,FALSE)="2PS",VLOOKUP(BN203,Расчет!A:E,5,FALSE)="2QL"),IF(VLOOKUP(BN203,Расчет!A:B,2,FALSE)="831W",BN203-$BS$7+$AD$17,BN203-$BS$7+$AD$12),BN203-$BS$7)),"-")</f>
        <v>121</v>
      </c>
      <c r="BN203" s="154">
        <f>IF(OR(Расчет!C200="A0",Расчет!C200="P9",Расчет!B200="722W"),"-",Расчет!A200)</f>
        <v>11345</v>
      </c>
      <c r="BO203" s="173">
        <f t="shared" si="65"/>
        <v>0</v>
      </c>
      <c r="BP203" s="172">
        <f>IF(BQ203="-","-",IFERROR(IF(OR(VLOOKUP(BN203,Расчет!$A$2:$E$582,5,FALSE)="2PS",VLOOKUP(BN203,Расчет!$A$2:$E$582,5,FALSE)="2QL"),IF(OR(VLOOKUP(BN203,Расчет!$A$2:$E$582,2,FALSE)="664W",VLOOKUP(BN203,Расчет!$A$2:$E$582,2,FALSE)="813W"),IF(BN203-$BS$7&gt;150,BN203-$BS$7-1000+$AD$12,BN203-$BS$7+$AD$12),IF(BN203-$BS$7&gt;150,BN203-$BS$7-1000+$AD$17,BN203-$BS$7+$AD$17)),IF(BN203-$BS$7&gt;150,BN203-$BS$7-1000,BN203-$BS$7)),"-"))</f>
        <v>121</v>
      </c>
      <c r="BQ203" s="173">
        <f t="shared" si="62"/>
        <v>11345</v>
      </c>
      <c r="BR203" s="453"/>
      <c r="BS203" s="171"/>
      <c r="BT203" s="464" t="str">
        <f t="shared" si="63"/>
        <v>-</v>
      </c>
      <c r="BU203" s="464" t="str">
        <f t="shared" si="64"/>
        <v>-</v>
      </c>
      <c r="BX203" s="204">
        <f>COUNTIF($BY$4:BY203,"&lt;100")</f>
        <v>59</v>
      </c>
      <c r="BY203" s="213" t="str">
        <f t="shared" ref="BY203:BZ209" si="67">AM99</f>
        <v/>
      </c>
      <c r="BZ203" s="216" t="str">
        <f t="shared" si="67"/>
        <v/>
      </c>
      <c r="CA203" s="213" t="e">
        <f t="shared" si="60"/>
        <v>#N/A</v>
      </c>
      <c r="CB203" s="209" t="e">
        <f t="shared" si="61"/>
        <v>#N/A</v>
      </c>
      <c r="CC203" s="205" t="str">
        <f t="shared" si="66"/>
        <v/>
      </c>
      <c r="CD203" s="205" t="str">
        <f t="shared" si="57"/>
        <v>-</v>
      </c>
      <c r="CE203" s="204">
        <f t="shared" si="58"/>
        <v>0</v>
      </c>
      <c r="CG203" s="20" t="str">
        <f t="shared" si="59"/>
        <v/>
      </c>
    </row>
    <row r="204" spans="31:85" ht="21">
      <c r="AE204"/>
      <c r="AF204"/>
      <c r="AG204"/>
      <c r="AH204"/>
      <c r="AI204"/>
      <c r="AJ204"/>
      <c r="AK204"/>
      <c r="AL204"/>
      <c r="AM204"/>
      <c r="AN204"/>
      <c r="AO204" s="14" t="str">
        <f>IF(R101="","",COUNTA($R$3:R101)+$AO$105)</f>
        <v/>
      </c>
      <c r="AP204" s="88" t="str">
        <f>IF(AO204="","",IF(AO204+Расчет!$Y$57+$BD$2-Расчет!$X$57&gt;200,AO204+Расчет!$Y$57+$BD$2-1000,AO204+Расчет!$Y$57+$BD$2))</f>
        <v/>
      </c>
      <c r="AQ204"/>
      <c r="AR204"/>
      <c r="AS204"/>
      <c r="AT204"/>
      <c r="AU204"/>
      <c r="BL204" s="172">
        <f>COUNTIF($BM$5:BM204,"&lt;-115")</f>
        <v>0</v>
      </c>
      <c r="BM204" s="154">
        <f>IFERROR(IF(OR(IFERROR(VLOOKUP(BN204,$E$3:$E$105,1,FALSE),"0")=BN204,IFERROR(VLOOKUP(BN204,$R$3:$R$105,1,FALSE),"0")=BN204),BO204,IF(OR(VLOOKUP(BN204,Расчет!A:E,5,FALSE)="2PS",VLOOKUP(BN204,Расчет!A:E,5,FALSE)="2QL"),IF(VLOOKUP(BN204,Расчет!A:B,2,FALSE)="831W",BN204-$BS$7+$AD$17,BN204-$BS$7+$AD$12),BN204-$BS$7)),"-")</f>
        <v>122</v>
      </c>
      <c r="BN204" s="154">
        <f>IF(OR(Расчет!C201="A0",Расчет!C201="P9",Расчет!B201="722W"),"-",Расчет!A201)</f>
        <v>11346</v>
      </c>
      <c r="BO204" s="173">
        <f t="shared" si="65"/>
        <v>0</v>
      </c>
      <c r="BP204" s="172">
        <f>IF(BQ204="-","-",IFERROR(IF(OR(VLOOKUP(BN204,Расчет!$A$2:$E$582,5,FALSE)="2PS",VLOOKUP(BN204,Расчет!$A$2:$E$582,5,FALSE)="2QL"),IF(OR(VLOOKUP(BN204,Расчет!$A$2:$E$582,2,FALSE)="664W",VLOOKUP(BN204,Расчет!$A$2:$E$582,2,FALSE)="813W"),IF(BN204-$BS$7&gt;150,BN204-$BS$7-1000+$AD$12,BN204-$BS$7+$AD$12),IF(BN204-$BS$7&gt;150,BN204-$BS$7-1000+$AD$17,BN204-$BS$7+$AD$17)),IF(BN204-$BS$7&gt;150,BN204-$BS$7-1000,BN204-$BS$7)),"-"))</f>
        <v>122</v>
      </c>
      <c r="BQ204" s="173">
        <f t="shared" si="62"/>
        <v>11346</v>
      </c>
      <c r="BR204" s="453"/>
      <c r="BS204" s="171"/>
      <c r="BT204" s="464" t="str">
        <f t="shared" si="63"/>
        <v>-</v>
      </c>
      <c r="BU204" s="464" t="str">
        <f t="shared" si="64"/>
        <v>-</v>
      </c>
      <c r="BX204" s="204">
        <f>COUNTIF($BY$4:BY204,"&lt;100")</f>
        <v>59</v>
      </c>
      <c r="BY204" s="213" t="str">
        <f t="shared" si="67"/>
        <v/>
      </c>
      <c r="BZ204" s="216" t="str">
        <f t="shared" si="67"/>
        <v/>
      </c>
      <c r="CA204" s="213" t="e">
        <f t="shared" si="60"/>
        <v>#N/A</v>
      </c>
      <c r="CB204" s="209" t="e">
        <f t="shared" si="61"/>
        <v>#N/A</v>
      </c>
      <c r="CC204" s="205" t="str">
        <f t="shared" si="66"/>
        <v/>
      </c>
      <c r="CD204" s="205" t="str">
        <f t="shared" si="57"/>
        <v>-</v>
      </c>
      <c r="CE204" s="204">
        <f t="shared" si="58"/>
        <v>0</v>
      </c>
      <c r="CG204" s="20" t="str">
        <f t="shared" si="59"/>
        <v/>
      </c>
    </row>
    <row r="205" spans="31:85" ht="21">
      <c r="AE205"/>
      <c r="AF205"/>
      <c r="AG205"/>
      <c r="AH205"/>
      <c r="AI205"/>
      <c r="AJ205"/>
      <c r="AK205"/>
      <c r="AL205"/>
      <c r="AM205"/>
      <c r="AN205"/>
      <c r="AO205" s="14" t="str">
        <f>IF(R102="","",COUNTA($R$3:R102)+$AO$105)</f>
        <v/>
      </c>
      <c r="AP205" s="88" t="str">
        <f>IF(AO205="","",IF(AO205+Расчет!$Y$57+$BD$2-Расчет!$X$57&gt;200,AO205+Расчет!$Y$57+$BD$2-1000,AO205+Расчет!$Y$57+$BD$2))</f>
        <v/>
      </c>
      <c r="AQ205"/>
      <c r="AR205"/>
      <c r="AS205"/>
      <c r="AT205"/>
      <c r="AU205"/>
      <c r="BL205" s="172">
        <f>COUNTIF($BM$5:BM205,"&lt;-115")</f>
        <v>0</v>
      </c>
      <c r="BM205" s="154">
        <f>IFERROR(IF(OR(IFERROR(VLOOKUP(BN205,$E$3:$E$105,1,FALSE),"0")=BN205,IFERROR(VLOOKUP(BN205,$R$3:$R$105,1,FALSE),"0")=BN205),BO205,IF(OR(VLOOKUP(BN205,Расчет!A:E,5,FALSE)="2PS",VLOOKUP(BN205,Расчет!A:E,5,FALSE)="2QL"),IF(VLOOKUP(BN205,Расчет!A:B,2,FALSE)="831W",BN205-$BS$7+$AD$17,BN205-$BS$7+$AD$12),BN205-$BS$7)),"-")</f>
        <v>123</v>
      </c>
      <c r="BN205" s="154">
        <f>IF(OR(Расчет!C202="A0",Расчет!C202="P9",Расчет!B202="722W"),"-",Расчет!A202)</f>
        <v>11347</v>
      </c>
      <c r="BO205" s="173">
        <f t="shared" si="65"/>
        <v>0</v>
      </c>
      <c r="BP205" s="172">
        <f>IF(BQ205="-","-",IFERROR(IF(OR(VLOOKUP(BN205,Расчет!$A$2:$E$582,5,FALSE)="2PS",VLOOKUP(BN205,Расчет!$A$2:$E$582,5,FALSE)="2QL"),IF(OR(VLOOKUP(BN205,Расчет!$A$2:$E$582,2,FALSE)="664W",VLOOKUP(BN205,Расчет!$A$2:$E$582,2,FALSE)="813W"),IF(BN205-$BS$7&gt;150,BN205-$BS$7-1000+$AD$12,BN205-$BS$7+$AD$12),IF(BN205-$BS$7&gt;150,BN205-$BS$7-1000+$AD$17,BN205-$BS$7+$AD$17)),IF(BN205-$BS$7&gt;150,BN205-$BS$7-1000,BN205-$BS$7)),"-"))</f>
        <v>123</v>
      </c>
      <c r="BQ205" s="173">
        <f t="shared" si="62"/>
        <v>11347</v>
      </c>
      <c r="BR205" s="453"/>
      <c r="BS205" s="171"/>
      <c r="BT205" s="464" t="str">
        <f t="shared" si="63"/>
        <v>-</v>
      </c>
      <c r="BU205" s="464" t="str">
        <f t="shared" si="64"/>
        <v>-</v>
      </c>
      <c r="BX205" s="204">
        <f>COUNTIF($BY$4:BY205,"&lt;100")</f>
        <v>59</v>
      </c>
      <c r="BY205" s="213" t="str">
        <f t="shared" si="67"/>
        <v/>
      </c>
      <c r="BZ205" s="216" t="str">
        <f t="shared" si="67"/>
        <v/>
      </c>
      <c r="CA205" s="213" t="e">
        <f t="shared" si="60"/>
        <v>#N/A</v>
      </c>
      <c r="CB205" s="209" t="e">
        <f t="shared" si="61"/>
        <v>#N/A</v>
      </c>
      <c r="CC205" s="205" t="str">
        <f t="shared" si="66"/>
        <v/>
      </c>
      <c r="CD205" s="205" t="str">
        <f t="shared" si="57"/>
        <v>-</v>
      </c>
      <c r="CE205" s="204">
        <f t="shared" si="58"/>
        <v>0</v>
      </c>
      <c r="CG205" s="20" t="str">
        <f t="shared" si="59"/>
        <v/>
      </c>
    </row>
    <row r="206" spans="31:85" ht="21">
      <c r="AE206"/>
      <c r="AF206"/>
      <c r="AG206"/>
      <c r="AH206"/>
      <c r="AI206"/>
      <c r="AJ206"/>
      <c r="AK206"/>
      <c r="AL206"/>
      <c r="AM206"/>
      <c r="AN206"/>
      <c r="AO206" s="14" t="str">
        <f>IF(R103="","",COUNTA($R$3:R103)+$AO$105)</f>
        <v/>
      </c>
      <c r="AP206" s="88" t="str">
        <f>IF(AO206="","",IF(AO206+Расчет!$Y$57+$BD$2-Расчет!$X$57&gt;200,AO206+Расчет!$Y$57+$BD$2-1000,AO206+Расчет!$Y$57+$BD$2))</f>
        <v/>
      </c>
      <c r="AQ206"/>
      <c r="AR206"/>
      <c r="AS206"/>
      <c r="AT206"/>
      <c r="AU206"/>
      <c r="BL206" s="172">
        <f>COUNTIF($BM$5:BM206,"&lt;-115")</f>
        <v>0</v>
      </c>
      <c r="BM206" s="154">
        <f>IFERROR(IF(OR(IFERROR(VLOOKUP(BN206,$E$3:$E$105,1,FALSE),"0")=BN206,IFERROR(VLOOKUP(BN206,$R$3:$R$105,1,FALSE),"0")=BN206),BO206,IF(OR(VLOOKUP(BN206,Расчет!A:E,5,FALSE)="2PS",VLOOKUP(BN206,Расчет!A:E,5,FALSE)="2QL"),IF(VLOOKUP(BN206,Расчет!A:B,2,FALSE)="831W",BN206-$BS$7+$AD$17,BN206-$BS$7+$AD$12),BN206-$BS$7)),"-")</f>
        <v>124</v>
      </c>
      <c r="BN206" s="154">
        <f>IF(OR(Расчет!C203="A0",Расчет!C203="P9",Расчет!B203="722W"),"-",Расчет!A203)</f>
        <v>11348</v>
      </c>
      <c r="BO206" s="173">
        <f t="shared" si="65"/>
        <v>0</v>
      </c>
      <c r="BP206" s="172">
        <f>IF(BQ206="-","-",IFERROR(IF(OR(VLOOKUP(BN206,Расчет!$A$2:$E$582,5,FALSE)="2PS",VLOOKUP(BN206,Расчет!$A$2:$E$582,5,FALSE)="2QL"),IF(OR(VLOOKUP(BN206,Расчет!$A$2:$E$582,2,FALSE)="664W",VLOOKUP(BN206,Расчет!$A$2:$E$582,2,FALSE)="813W"),IF(BN206-$BS$7&gt;150,BN206-$BS$7-1000+$AD$12,BN206-$BS$7+$AD$12),IF(BN206-$BS$7&gt;150,BN206-$BS$7-1000+$AD$17,BN206-$BS$7+$AD$17)),IF(BN206-$BS$7&gt;150,BN206-$BS$7-1000,BN206-$BS$7)),"-"))</f>
        <v>124</v>
      </c>
      <c r="BQ206" s="173">
        <f t="shared" si="62"/>
        <v>11348</v>
      </c>
      <c r="BR206" s="453"/>
      <c r="BS206" s="171"/>
      <c r="BT206" s="464" t="str">
        <f t="shared" si="63"/>
        <v>-</v>
      </c>
      <c r="BU206" s="464" t="str">
        <f t="shared" si="64"/>
        <v>-</v>
      </c>
      <c r="BX206" s="204">
        <f>COUNTIF($BY$4:BY206,"&lt;100")</f>
        <v>59</v>
      </c>
      <c r="BY206" s="213" t="str">
        <f t="shared" si="67"/>
        <v/>
      </c>
      <c r="BZ206" s="216" t="str">
        <f t="shared" si="67"/>
        <v/>
      </c>
      <c r="CA206" s="213" t="e">
        <f t="shared" si="60"/>
        <v>#N/A</v>
      </c>
      <c r="CB206" s="209" t="e">
        <f t="shared" si="61"/>
        <v>#N/A</v>
      </c>
      <c r="CC206" s="205" t="str">
        <f t="shared" si="66"/>
        <v/>
      </c>
      <c r="CD206" s="205" t="str">
        <f t="shared" si="57"/>
        <v>-</v>
      </c>
      <c r="CE206" s="204">
        <f t="shared" si="58"/>
        <v>0</v>
      </c>
      <c r="CG206" s="20" t="str">
        <f t="shared" si="59"/>
        <v/>
      </c>
    </row>
    <row r="207" spans="31:85" ht="21">
      <c r="AE207"/>
      <c r="AF207"/>
      <c r="AG207"/>
      <c r="AH207"/>
      <c r="AI207"/>
      <c r="AJ207"/>
      <c r="AK207"/>
      <c r="AL207"/>
      <c r="AM207"/>
      <c r="AN207"/>
      <c r="AO207" s="14" t="str">
        <f>IF(R104="","",COUNTA($R$3:R104)+$AO$105)</f>
        <v/>
      </c>
      <c r="AP207" s="88" t="str">
        <f>IF(AO207="","",IF(AO207+Расчет!$Y$57+$BD$2-Расчет!$X$57&gt;200,AO207+Расчет!$Y$57+$BD$2-1000,AO207+Расчет!$Y$57+$BD$2))</f>
        <v/>
      </c>
      <c r="AQ207"/>
      <c r="AR207"/>
      <c r="AS207"/>
      <c r="AT207"/>
      <c r="AU207"/>
      <c r="BL207" s="172">
        <f>COUNTIF($BM$5:BM207,"&lt;-115")</f>
        <v>0</v>
      </c>
      <c r="BM207" s="154">
        <f>IFERROR(IF(OR(IFERROR(VLOOKUP(BN207,$E$3:$E$105,1,FALSE),"0")=BN207,IFERROR(VLOOKUP(BN207,$R$3:$R$105,1,FALSE),"0")=BN207),BO207,IF(OR(VLOOKUP(BN207,Расчет!A:E,5,FALSE)="2PS",VLOOKUP(BN207,Расчет!A:E,5,FALSE)="2QL"),IF(VLOOKUP(BN207,Расчет!A:B,2,FALSE)="831W",BN207-$BS$7+$AD$17,BN207-$BS$7+$AD$12),BN207-$BS$7)),"-")</f>
        <v>125</v>
      </c>
      <c r="BN207" s="154">
        <f>IF(OR(Расчет!C204="A0",Расчет!C204="P9",Расчет!B204="722W"),"-",Расчет!A204)</f>
        <v>11349</v>
      </c>
      <c r="BO207" s="173">
        <f t="shared" si="65"/>
        <v>0</v>
      </c>
      <c r="BP207" s="172">
        <f>IF(BQ207="-","-",IFERROR(IF(OR(VLOOKUP(BN207,Расчет!$A$2:$E$582,5,FALSE)="2PS",VLOOKUP(BN207,Расчет!$A$2:$E$582,5,FALSE)="2QL"),IF(OR(VLOOKUP(BN207,Расчет!$A$2:$E$582,2,FALSE)="664W",VLOOKUP(BN207,Расчет!$A$2:$E$582,2,FALSE)="813W"),IF(BN207-$BS$7&gt;150,BN207-$BS$7-1000+$AD$12,BN207-$BS$7+$AD$12),IF(BN207-$BS$7&gt;150,BN207-$BS$7-1000+$AD$17,BN207-$BS$7+$AD$17)),IF(BN207-$BS$7&gt;150,BN207-$BS$7-1000,BN207-$BS$7)),"-"))</f>
        <v>125</v>
      </c>
      <c r="BQ207" s="173">
        <f t="shared" si="62"/>
        <v>11349</v>
      </c>
      <c r="BR207" s="453"/>
      <c r="BS207" s="171"/>
      <c r="BT207" s="464" t="str">
        <f t="shared" si="63"/>
        <v>-</v>
      </c>
      <c r="BU207" s="464" t="str">
        <f t="shared" si="64"/>
        <v>-</v>
      </c>
      <c r="BX207" s="204">
        <f>COUNTIF($BY$4:BY207,"&lt;100")</f>
        <v>59</v>
      </c>
      <c r="BY207" s="213" t="str">
        <f t="shared" si="67"/>
        <v/>
      </c>
      <c r="BZ207" s="216" t="str">
        <f t="shared" si="67"/>
        <v/>
      </c>
      <c r="CA207" s="213" t="e">
        <f t="shared" si="60"/>
        <v>#N/A</v>
      </c>
      <c r="CB207" s="209" t="e">
        <f t="shared" si="61"/>
        <v>#N/A</v>
      </c>
      <c r="CC207" s="205" t="str">
        <f t="shared" si="66"/>
        <v/>
      </c>
      <c r="CD207" s="205" t="str">
        <f t="shared" si="57"/>
        <v>-</v>
      </c>
      <c r="CE207" s="204">
        <f t="shared" si="58"/>
        <v>0</v>
      </c>
      <c r="CG207" s="20" t="str">
        <f t="shared" si="59"/>
        <v/>
      </c>
    </row>
    <row r="208" spans="31:85" ht="21">
      <c r="AE208"/>
      <c r="AF208"/>
      <c r="AG208"/>
      <c r="AH208"/>
      <c r="AI208"/>
      <c r="AJ208"/>
      <c r="AK208"/>
      <c r="AL208"/>
      <c r="AM208"/>
      <c r="AN208"/>
      <c r="AO208" s="14" t="str">
        <f>IF(R105="","",COUNTA($R$3:R105)+$AO$105)</f>
        <v/>
      </c>
      <c r="AP208" s="88" t="str">
        <f>IF(AO208="","",IF(AO208+Расчет!$Y$57+$BD$2-Расчет!$X$57&gt;200,AO208+Расчет!$Y$57+$BD$2-1000,AO208+Расчет!$Y$57+$BD$2))</f>
        <v/>
      </c>
      <c r="AQ208"/>
      <c r="AR208"/>
      <c r="AS208"/>
      <c r="AT208"/>
      <c r="AU208"/>
      <c r="BL208" s="172">
        <f>COUNTIF($BM$5:BM208,"&lt;-115")</f>
        <v>0</v>
      </c>
      <c r="BM208" s="154">
        <f>IFERROR(IF(OR(IFERROR(VLOOKUP(BN208,$E$3:$E$105,1,FALSE),"0")=BN208,IFERROR(VLOOKUP(BN208,$R$3:$R$105,1,FALSE),"0")=BN208),BO208,IF(OR(VLOOKUP(BN208,Расчет!A:E,5,FALSE)="2PS",VLOOKUP(BN208,Расчет!A:E,5,FALSE)="2QL"),IF(VLOOKUP(BN208,Расчет!A:B,2,FALSE)="831W",BN208-$BS$7+$AD$17,BN208-$BS$7+$AD$12),BN208-$BS$7)),"-")</f>
        <v>126</v>
      </c>
      <c r="BN208" s="154">
        <f>IF(OR(Расчет!C205="A0",Расчет!C205="P9",Расчет!B205="722W"),"-",Расчет!A205)</f>
        <v>11350</v>
      </c>
      <c r="BO208" s="173">
        <f t="shared" si="65"/>
        <v>0</v>
      </c>
      <c r="BP208" s="172">
        <f>IF(BQ208="-","-",IFERROR(IF(OR(VLOOKUP(BN208,Расчет!$A$2:$E$582,5,FALSE)="2PS",VLOOKUP(BN208,Расчет!$A$2:$E$582,5,FALSE)="2QL"),IF(OR(VLOOKUP(BN208,Расчет!$A$2:$E$582,2,FALSE)="664W",VLOOKUP(BN208,Расчет!$A$2:$E$582,2,FALSE)="813W"),IF(BN208-$BS$7&gt;150,BN208-$BS$7-1000+$AD$12,BN208-$BS$7+$AD$12),IF(BN208-$BS$7&gt;150,BN208-$BS$7-1000+$AD$17,BN208-$BS$7+$AD$17)),IF(BN208-$BS$7&gt;150,BN208-$BS$7-1000,BN208-$BS$7)),"-"))</f>
        <v>126</v>
      </c>
      <c r="BQ208" s="173">
        <f t="shared" si="62"/>
        <v>11350</v>
      </c>
      <c r="BR208" s="453"/>
      <c r="BS208" s="171"/>
      <c r="BT208" s="464" t="str">
        <f t="shared" si="63"/>
        <v>-</v>
      </c>
      <c r="BU208" s="464" t="str">
        <f t="shared" si="64"/>
        <v>-</v>
      </c>
      <c r="BX208" s="204">
        <f>COUNTIF($BY$4:BY208,"&lt;100")</f>
        <v>59</v>
      </c>
      <c r="BY208" s="213" t="str">
        <f t="shared" si="67"/>
        <v/>
      </c>
      <c r="BZ208" s="216" t="str">
        <f t="shared" si="67"/>
        <v/>
      </c>
      <c r="CA208" s="213" t="e">
        <f t="shared" si="60"/>
        <v>#N/A</v>
      </c>
      <c r="CB208" s="209" t="e">
        <f t="shared" si="61"/>
        <v>#N/A</v>
      </c>
      <c r="CC208" s="205" t="str">
        <f t="shared" si="66"/>
        <v/>
      </c>
      <c r="CD208" s="205" t="str">
        <f t="shared" si="57"/>
        <v>-</v>
      </c>
      <c r="CE208" s="204">
        <f t="shared" si="58"/>
        <v>0</v>
      </c>
      <c r="CG208" s="20" t="str">
        <f t="shared" si="59"/>
        <v/>
      </c>
    </row>
    <row r="209" spans="31:85" ht="21.75" thickBot="1">
      <c r="AE209"/>
      <c r="AF209"/>
      <c r="AG209"/>
      <c r="AH209"/>
      <c r="AI209"/>
      <c r="AJ209"/>
      <c r="AK209"/>
      <c r="AL209"/>
      <c r="AM209"/>
      <c r="AN209"/>
      <c r="AO209" s="14" t="str">
        <f>IF(R106="","",COUNTA($R$3:R106)+$AO$105)</f>
        <v/>
      </c>
      <c r="AP209" s="88" t="str">
        <f>IF(AO209="","",IF(AO209+Расчет!$Y$57+$BD$2-Расчет!$X$57&gt;200,AO209+Расчет!$Y$57+$BD$2-1000,AO209+Расчет!$Y$57+$BD$2))</f>
        <v/>
      </c>
      <c r="AQ209"/>
      <c r="AR209"/>
      <c r="AS209"/>
      <c r="AT209"/>
      <c r="AU209"/>
      <c r="BL209" s="172">
        <f>COUNTIF($BM$5:BM209,"&lt;-115")</f>
        <v>0</v>
      </c>
      <c r="BM209" s="154">
        <f>IFERROR(IF(OR(IFERROR(VLOOKUP(BN209,$E$3:$E$105,1,FALSE),"0")=BN209,IFERROR(VLOOKUP(BN209,$R$3:$R$105,1,FALSE),"0")=BN209),BO209,IF(OR(VLOOKUP(BN209,Расчет!A:E,5,FALSE)="2PS",VLOOKUP(BN209,Расчет!A:E,5,FALSE)="2QL"),IF(VLOOKUP(BN209,Расчет!A:B,2,FALSE)="831W",BN209-$BS$7+$AD$17,BN209-$BS$7+$AD$12),BN209-$BS$7)),"-")</f>
        <v>127</v>
      </c>
      <c r="BN209" s="154">
        <f>IF(OR(Расчет!C206="A0",Расчет!C206="P9",Расчет!B206="722W"),"-",Расчет!A206)</f>
        <v>11351</v>
      </c>
      <c r="BO209" s="173">
        <f t="shared" si="65"/>
        <v>0</v>
      </c>
      <c r="BP209" s="172">
        <f>IF(BQ209="-","-",IFERROR(IF(OR(VLOOKUP(BN209,Расчет!$A$2:$E$582,5,FALSE)="2PS",VLOOKUP(BN209,Расчет!$A$2:$E$582,5,FALSE)="2QL"),IF(OR(VLOOKUP(BN209,Расчет!$A$2:$E$582,2,FALSE)="664W",VLOOKUP(BN209,Расчет!$A$2:$E$582,2,FALSE)="813W"),IF(BN209-$BS$7&gt;150,BN209-$BS$7-1000+$AD$12,BN209-$BS$7+$AD$12),IF(BN209-$BS$7&gt;150,BN209-$BS$7-1000+$AD$17,BN209-$BS$7+$AD$17)),IF(BN209-$BS$7&gt;150,BN209-$BS$7-1000,BN209-$BS$7)),"-"))</f>
        <v>127</v>
      </c>
      <c r="BQ209" s="173">
        <f t="shared" si="62"/>
        <v>11351</v>
      </c>
      <c r="BR209" s="453"/>
      <c r="BS209" s="171"/>
      <c r="BT209" s="464" t="str">
        <f t="shared" si="63"/>
        <v>-</v>
      </c>
      <c r="BU209" s="464" t="str">
        <f t="shared" si="64"/>
        <v>-</v>
      </c>
      <c r="BX209" s="204">
        <f>COUNTIF($BY$4:BY209,"&lt;100")</f>
        <v>59</v>
      </c>
      <c r="BY209" s="214" t="str">
        <f t="shared" si="67"/>
        <v/>
      </c>
      <c r="BZ209" s="217" t="str">
        <f t="shared" si="67"/>
        <v/>
      </c>
      <c r="CA209" s="214" t="e">
        <f t="shared" si="60"/>
        <v>#N/A</v>
      </c>
      <c r="CB209" s="210" t="e">
        <f t="shared" si="61"/>
        <v>#N/A</v>
      </c>
      <c r="CC209" s="205" t="str">
        <f t="shared" si="66"/>
        <v/>
      </c>
      <c r="CD209" s="336" t="str">
        <f t="shared" si="57"/>
        <v>-</v>
      </c>
      <c r="CE209" s="204">
        <f t="shared" si="58"/>
        <v>0</v>
      </c>
      <c r="CG209" s="20" t="str">
        <f t="shared" si="59"/>
        <v/>
      </c>
    </row>
    <row r="210" spans="31:85" ht="21">
      <c r="AE210"/>
      <c r="AF210"/>
      <c r="AG210"/>
      <c r="AH210"/>
      <c r="AI210"/>
      <c r="AJ210"/>
      <c r="AK210"/>
      <c r="AL210"/>
      <c r="AM210"/>
      <c r="AN210"/>
      <c r="AO210" s="14" t="str">
        <f>IF(R107="","",COUNTA($R$3:R107)+$AO$105)</f>
        <v/>
      </c>
      <c r="AP210" s="88" t="str">
        <f>IF(AO210="","",IF(AO210+Расчет!$Y$57+$BD$2-Расчет!$X$57&gt;200,AO210+Расчет!$Y$57+$BD$2-1000,AO210+Расчет!$Y$57+$BD$2))</f>
        <v/>
      </c>
      <c r="AQ210"/>
      <c r="AR210"/>
      <c r="AS210"/>
      <c r="AT210"/>
      <c r="AU210"/>
      <c r="BL210" s="172">
        <f>COUNTIF($BM$5:BM210,"&lt;-115")</f>
        <v>0</v>
      </c>
      <c r="BM210" s="154">
        <f>IFERROR(IF(OR(IFERROR(VLOOKUP(BN210,$E$3:$E$105,1,FALSE),"0")=BN210,IFERROR(VLOOKUP(BN210,$R$3:$R$105,1,FALSE),"0")=BN210),BO210,IF(OR(VLOOKUP(BN210,Расчет!A:E,5,FALSE)="2PS",VLOOKUP(BN210,Расчет!A:E,5,FALSE)="2QL"),IF(VLOOKUP(BN210,Расчет!A:B,2,FALSE)="831W",BN210-$BS$7+$AD$17,BN210-$BS$7+$AD$12),BN210-$BS$7)),"-")</f>
        <v>128</v>
      </c>
      <c r="BN210" s="154">
        <f>IF(OR(Расчет!C207="A0",Расчет!C207="P9",Расчет!B207="722W"),"-",Расчет!A207)</f>
        <v>11352</v>
      </c>
      <c r="BO210" s="173">
        <f t="shared" si="65"/>
        <v>0</v>
      </c>
      <c r="BP210" s="172">
        <f>IF(BQ210="-","-",IFERROR(IF(OR(VLOOKUP(BN210,Расчет!$A$2:$E$582,5,FALSE)="2PS",VLOOKUP(BN210,Расчет!$A$2:$E$582,5,FALSE)="2QL"),IF(OR(VLOOKUP(BN210,Расчет!$A$2:$E$582,2,FALSE)="664W",VLOOKUP(BN210,Расчет!$A$2:$E$582,2,FALSE)="813W"),IF(BN210-$BS$7&gt;150,BN210-$BS$7-1000+$AD$12,BN210-$BS$7+$AD$12),IF(BN210-$BS$7&gt;150,BN210-$BS$7-1000+$AD$17,BN210-$BS$7+$AD$17)),IF(BN210-$BS$7&gt;150,BN210-$BS$7-1000,BN210-$BS$7)),"-"))</f>
        <v>128</v>
      </c>
      <c r="BQ210" s="173">
        <f t="shared" si="62"/>
        <v>11352</v>
      </c>
      <c r="BR210" s="453"/>
      <c r="BS210" s="171"/>
      <c r="BT210" s="464" t="str">
        <f t="shared" si="63"/>
        <v>-</v>
      </c>
      <c r="BU210" s="464" t="str">
        <f t="shared" si="64"/>
        <v>-</v>
      </c>
      <c r="BX210"/>
      <c r="BY210"/>
      <c r="CG210" s="20" t="str">
        <f t="shared" si="59"/>
        <v/>
      </c>
    </row>
    <row r="211" spans="31:85" ht="21">
      <c r="AE211"/>
      <c r="AF211"/>
      <c r="AG211"/>
      <c r="AH211"/>
      <c r="AI211"/>
      <c r="AJ211"/>
      <c r="AK211"/>
      <c r="AL211"/>
      <c r="AM211"/>
      <c r="AN211"/>
      <c r="AO211" s="14" t="str">
        <f>IF(R108="","",COUNTA($R$3:R108)+$AO$105)</f>
        <v/>
      </c>
      <c r="AP211" s="88" t="str">
        <f>IF(AO211="","",IF(AO211+Расчет!$Y$57+$BD$2-Расчет!$X$57&gt;200,AO211+Расчет!$Y$57+$BD$2-1000,AO211+Расчет!$Y$57+$BD$2))</f>
        <v/>
      </c>
      <c r="AQ211"/>
      <c r="AR211"/>
      <c r="AS211"/>
      <c r="AT211"/>
      <c r="AU211"/>
      <c r="BL211" s="172">
        <f>COUNTIF($BM$5:BM211,"&lt;-115")</f>
        <v>0</v>
      </c>
      <c r="BM211" s="154">
        <f>IFERROR(IF(OR(IFERROR(VLOOKUP(BN211,$E$3:$E$105,1,FALSE),"0")=BN211,IFERROR(VLOOKUP(BN211,$R$3:$R$105,1,FALSE),"0")=BN211),BO211,IF(OR(VLOOKUP(BN211,Расчет!A:E,5,FALSE)="2PS",VLOOKUP(BN211,Расчет!A:E,5,FALSE)="2QL"),IF(VLOOKUP(BN211,Расчет!A:B,2,FALSE)="831W",BN211-$BS$7+$AD$17,BN211-$BS$7+$AD$12),BN211-$BS$7)),"-")</f>
        <v>229</v>
      </c>
      <c r="BN211" s="154">
        <f>IF(OR(Расчет!C208="A0",Расчет!C208="P9",Расчет!B208="722W"),"-",Расчет!A208)</f>
        <v>11353</v>
      </c>
      <c r="BO211" s="173">
        <f t="shared" si="65"/>
        <v>0</v>
      </c>
      <c r="BP211" s="172">
        <f>IF(BQ211="-","-",IFERROR(IF(OR(VLOOKUP(BN211,Расчет!$A$2:$E$582,5,FALSE)="2PS",VLOOKUP(BN211,Расчет!$A$2:$E$582,5,FALSE)="2QL"),IF(OR(VLOOKUP(BN211,Расчет!$A$2:$E$582,2,FALSE)="664W",VLOOKUP(BN211,Расчет!$A$2:$E$582,2,FALSE)="813W"),IF(BN211-$BS$7&gt;150,BN211-$BS$7-1000+$AD$12,BN211-$BS$7+$AD$12),IF(BN211-$BS$7&gt;150,BN211-$BS$7-1000+$AD$17,BN211-$BS$7+$AD$17)),IF(BN211-$BS$7&gt;150,BN211-$BS$7-1000,BN211-$BS$7)),"-"))</f>
        <v>229</v>
      </c>
      <c r="BQ211" s="173">
        <f t="shared" si="62"/>
        <v>11353</v>
      </c>
      <c r="BR211" s="453"/>
      <c r="BS211" s="171"/>
      <c r="BT211" s="464" t="str">
        <f t="shared" si="63"/>
        <v>-</v>
      </c>
      <c r="BU211" s="464" t="str">
        <f t="shared" si="64"/>
        <v>-</v>
      </c>
      <c r="BX211"/>
      <c r="BY211"/>
      <c r="CG211" s="20" t="str">
        <f t="shared" si="59"/>
        <v/>
      </c>
    </row>
    <row r="212" spans="31:85" ht="21">
      <c r="BL212" s="172">
        <f>COUNTIF($BM$5:BM212,"&lt;-115")</f>
        <v>0</v>
      </c>
      <c r="BM212" s="154">
        <f>IFERROR(IF(OR(IFERROR(VLOOKUP(BN212,$E$3:$E$105,1,FALSE),"0")=BN212,IFERROR(VLOOKUP(BN212,$R$3:$R$105,1,FALSE),"0")=BN212),BO212,IF(OR(VLOOKUP(BN212,Расчет!A:E,5,FALSE)="2PS",VLOOKUP(BN212,Расчет!A:E,5,FALSE)="2QL"),IF(VLOOKUP(BN212,Расчет!A:B,2,FALSE)="831W",BN212-$BS$7+$AD$17,BN212-$BS$7+$AD$12),BN212-$BS$7)),"-")</f>
        <v>130</v>
      </c>
      <c r="BN212" s="154">
        <f>IF(OR(Расчет!C209="A0",Расчет!C209="P9",Расчет!B209="722W"),"-",Расчет!A209)</f>
        <v>11354</v>
      </c>
      <c r="BO212" s="173">
        <f t="shared" si="65"/>
        <v>0</v>
      </c>
      <c r="BP212" s="172">
        <f>IF(BQ212="-","-",IFERROR(IF(OR(VLOOKUP(BN212,Расчет!$A$2:$E$582,5,FALSE)="2PS",VLOOKUP(BN212,Расчет!$A$2:$E$582,5,FALSE)="2QL"),IF(OR(VLOOKUP(BN212,Расчет!$A$2:$E$582,2,FALSE)="664W",VLOOKUP(BN212,Расчет!$A$2:$E$582,2,FALSE)="813W"),IF(BN212-$BS$7&gt;150,BN212-$BS$7-1000+$AD$12,BN212-$BS$7+$AD$12),IF(BN212-$BS$7&gt;150,BN212-$BS$7-1000+$AD$17,BN212-$BS$7+$AD$17)),IF(BN212-$BS$7&gt;150,BN212-$BS$7-1000,BN212-$BS$7)),"-"))</f>
        <v>130</v>
      </c>
      <c r="BQ212" s="173">
        <f t="shared" si="62"/>
        <v>11354</v>
      </c>
      <c r="BR212" s="453"/>
      <c r="BS212" s="171"/>
      <c r="BT212" s="464" t="str">
        <f t="shared" si="63"/>
        <v>-</v>
      </c>
      <c r="BU212" s="464" t="str">
        <f t="shared" si="64"/>
        <v>-</v>
      </c>
      <c r="BX212"/>
      <c r="BY212"/>
      <c r="CG212" s="20" t="str">
        <f t="shared" si="59"/>
        <v/>
      </c>
    </row>
    <row r="213" spans="31:85" ht="21">
      <c r="BL213" s="172">
        <f>COUNTIF($BM$5:BM213,"&lt;-115")</f>
        <v>0</v>
      </c>
      <c r="BM213" s="154">
        <f>IFERROR(IF(OR(IFERROR(VLOOKUP(BN213,$E$3:$E$105,1,FALSE),"0")=BN213,IFERROR(VLOOKUP(BN213,$R$3:$R$105,1,FALSE),"0")=BN213),BO213,IF(OR(VLOOKUP(BN213,Расчет!A:E,5,FALSE)="2PS",VLOOKUP(BN213,Расчет!A:E,5,FALSE)="2QL"),IF(VLOOKUP(BN213,Расчет!A:B,2,FALSE)="831W",BN213-$BS$7+$AD$17,BN213-$BS$7+$AD$12),BN213-$BS$7)),"-")</f>
        <v>131</v>
      </c>
      <c r="BN213" s="154">
        <f>IF(OR(Расчет!C210="A0",Расчет!C210="P9",Расчет!B210="722W"),"-",Расчет!A210)</f>
        <v>11355</v>
      </c>
      <c r="BO213" s="173">
        <f t="shared" si="65"/>
        <v>0</v>
      </c>
      <c r="BP213" s="172">
        <f>IF(BQ213="-","-",IFERROR(IF(OR(VLOOKUP(BN213,Расчет!$A$2:$E$582,5,FALSE)="2PS",VLOOKUP(BN213,Расчет!$A$2:$E$582,5,FALSE)="2QL"),IF(OR(VLOOKUP(BN213,Расчет!$A$2:$E$582,2,FALSE)="664W",VLOOKUP(BN213,Расчет!$A$2:$E$582,2,FALSE)="813W"),IF(BN213-$BS$7&gt;150,BN213-$BS$7-1000+$AD$12,BN213-$BS$7+$AD$12),IF(BN213-$BS$7&gt;150,BN213-$BS$7-1000+$AD$17,BN213-$BS$7+$AD$17)),IF(BN213-$BS$7&gt;150,BN213-$BS$7-1000,BN213-$BS$7)),"-"))</f>
        <v>131</v>
      </c>
      <c r="BQ213" s="173">
        <f t="shared" si="62"/>
        <v>11355</v>
      </c>
      <c r="BR213" s="453"/>
      <c r="BS213" s="171"/>
      <c r="BT213" s="464" t="str">
        <f t="shared" si="63"/>
        <v>-</v>
      </c>
      <c r="BU213" s="464" t="str">
        <f t="shared" si="64"/>
        <v>-</v>
      </c>
      <c r="BX213"/>
      <c r="BY213"/>
      <c r="CG213" s="20" t="str">
        <f t="shared" si="59"/>
        <v/>
      </c>
    </row>
    <row r="214" spans="31:85" ht="21">
      <c r="BL214" s="172">
        <f>COUNTIF($BM$5:BM214,"&lt;-115")</f>
        <v>0</v>
      </c>
      <c r="BM214" s="154">
        <f>IFERROR(IF(OR(IFERROR(VLOOKUP(BN214,$E$3:$E$105,1,FALSE),"0")=BN214,IFERROR(VLOOKUP(BN214,$R$3:$R$105,1,FALSE),"0")=BN214),BO214,IF(OR(VLOOKUP(BN214,Расчет!A:E,5,FALSE)="2PS",VLOOKUP(BN214,Расчет!A:E,5,FALSE)="2QL"),IF(VLOOKUP(BN214,Расчет!A:B,2,FALSE)="831W",BN214-$BS$7+$AD$17,BN214-$BS$7+$AD$12),BN214-$BS$7)),"-")</f>
        <v>132</v>
      </c>
      <c r="BN214" s="154">
        <f>IF(OR(Расчет!C211="A0",Расчет!C211="P9",Расчет!B211="722W"),"-",Расчет!A211)</f>
        <v>11356</v>
      </c>
      <c r="BO214" s="173">
        <f t="shared" si="65"/>
        <v>0</v>
      </c>
      <c r="BP214" s="172">
        <f>IF(BQ214="-","-",IFERROR(IF(OR(VLOOKUP(BN214,Расчет!$A$2:$E$582,5,FALSE)="2PS",VLOOKUP(BN214,Расчет!$A$2:$E$582,5,FALSE)="2QL"),IF(OR(VLOOKUP(BN214,Расчет!$A$2:$E$582,2,FALSE)="664W",VLOOKUP(BN214,Расчет!$A$2:$E$582,2,FALSE)="813W"),IF(BN214-$BS$7&gt;150,BN214-$BS$7-1000+$AD$12,BN214-$BS$7+$AD$12),IF(BN214-$BS$7&gt;150,BN214-$BS$7-1000+$AD$17,BN214-$BS$7+$AD$17)),IF(BN214-$BS$7&gt;150,BN214-$BS$7-1000,BN214-$BS$7)),"-"))</f>
        <v>132</v>
      </c>
      <c r="BQ214" s="173">
        <f t="shared" si="62"/>
        <v>11356</v>
      </c>
      <c r="BR214" s="453"/>
      <c r="BS214" s="171"/>
      <c r="BT214" s="464" t="str">
        <f t="shared" si="63"/>
        <v>-</v>
      </c>
      <c r="BU214" s="464" t="str">
        <f t="shared" si="64"/>
        <v>-</v>
      </c>
      <c r="BX214"/>
      <c r="BY214"/>
      <c r="CG214" s="20" t="str">
        <f t="shared" si="59"/>
        <v/>
      </c>
    </row>
    <row r="215" spans="31:85" ht="21">
      <c r="BL215" s="172">
        <f>COUNTIF($BM$5:BM215,"&lt;-115")</f>
        <v>0</v>
      </c>
      <c r="BM215" s="154">
        <f>IFERROR(IF(OR(IFERROR(VLOOKUP(BN215,$E$3:$E$105,1,FALSE),"0")=BN215,IFERROR(VLOOKUP(BN215,$R$3:$R$105,1,FALSE),"0")=BN215),BO215,IF(OR(VLOOKUP(BN215,Расчет!A:E,5,FALSE)="2PS",VLOOKUP(BN215,Расчет!A:E,5,FALSE)="2QL"),IF(VLOOKUP(BN215,Расчет!A:B,2,FALSE)="831W",BN215-$BS$7+$AD$17,BN215-$BS$7+$AD$12),BN215-$BS$7)),"-")</f>
        <v>133</v>
      </c>
      <c r="BN215" s="154">
        <f>IF(OR(Расчет!C212="A0",Расчет!C212="P9",Расчет!B212="722W"),"-",Расчет!A212)</f>
        <v>11357</v>
      </c>
      <c r="BO215" s="173">
        <f t="shared" si="65"/>
        <v>0</v>
      </c>
      <c r="BP215" s="172">
        <f>IF(BQ215="-","-",IFERROR(IF(OR(VLOOKUP(BN215,Расчет!$A$2:$E$582,5,FALSE)="2PS",VLOOKUP(BN215,Расчет!$A$2:$E$582,5,FALSE)="2QL"),IF(OR(VLOOKUP(BN215,Расчет!$A$2:$E$582,2,FALSE)="664W",VLOOKUP(BN215,Расчет!$A$2:$E$582,2,FALSE)="813W"),IF(BN215-$BS$7&gt;150,BN215-$BS$7-1000+$AD$12,BN215-$BS$7+$AD$12),IF(BN215-$BS$7&gt;150,BN215-$BS$7-1000+$AD$17,BN215-$BS$7+$AD$17)),IF(BN215-$BS$7&gt;150,BN215-$BS$7-1000,BN215-$BS$7)),"-"))</f>
        <v>133</v>
      </c>
      <c r="BQ215" s="173">
        <f t="shared" si="62"/>
        <v>11357</v>
      </c>
      <c r="BR215" s="453"/>
      <c r="BS215" s="171"/>
      <c r="BT215" s="464" t="str">
        <f t="shared" si="63"/>
        <v>-</v>
      </c>
      <c r="BU215" s="464" t="str">
        <f t="shared" si="64"/>
        <v>-</v>
      </c>
      <c r="BX215"/>
      <c r="BY215"/>
      <c r="CG215" s="20" t="str">
        <f t="shared" si="59"/>
        <v/>
      </c>
    </row>
    <row r="216" spans="31:85" ht="21">
      <c r="BL216" s="172">
        <f>COUNTIF($BM$5:BM216,"&lt;-115")</f>
        <v>0</v>
      </c>
      <c r="BM216" s="154">
        <f>IFERROR(IF(OR(IFERROR(VLOOKUP(BN216,$E$3:$E$105,1,FALSE),"0")=BN216,IFERROR(VLOOKUP(BN216,$R$3:$R$105,1,FALSE),"0")=BN216),BO216,IF(OR(VLOOKUP(BN216,Расчет!A:E,5,FALSE)="2PS",VLOOKUP(BN216,Расчет!A:E,5,FALSE)="2QL"),IF(VLOOKUP(BN216,Расчет!A:B,2,FALSE)="831W",BN216-$BS$7+$AD$17,BN216-$BS$7+$AD$12),BN216-$BS$7)),"-")</f>
        <v>134</v>
      </c>
      <c r="BN216" s="154">
        <f>IF(OR(Расчет!C213="A0",Расчет!C213="P9",Расчет!B213="722W"),"-",Расчет!A213)</f>
        <v>11358</v>
      </c>
      <c r="BO216" s="173">
        <f t="shared" si="65"/>
        <v>0</v>
      </c>
      <c r="BP216" s="172">
        <f>IF(BQ216="-","-",IFERROR(IF(OR(VLOOKUP(BN216,Расчет!$A$2:$E$582,5,FALSE)="2PS",VLOOKUP(BN216,Расчет!$A$2:$E$582,5,FALSE)="2QL"),IF(OR(VLOOKUP(BN216,Расчет!$A$2:$E$582,2,FALSE)="664W",VLOOKUP(BN216,Расчет!$A$2:$E$582,2,FALSE)="813W"),IF(BN216-$BS$7&gt;150,BN216-$BS$7-1000+$AD$12,BN216-$BS$7+$AD$12),IF(BN216-$BS$7&gt;150,BN216-$BS$7-1000+$AD$17,BN216-$BS$7+$AD$17)),IF(BN216-$BS$7&gt;150,BN216-$BS$7-1000,BN216-$BS$7)),"-"))</f>
        <v>134</v>
      </c>
      <c r="BQ216" s="173">
        <f t="shared" si="62"/>
        <v>11358</v>
      </c>
      <c r="BR216" s="453"/>
      <c r="BS216" s="171"/>
      <c r="BT216" s="464" t="str">
        <f t="shared" si="63"/>
        <v>-</v>
      </c>
      <c r="BU216" s="464" t="str">
        <f t="shared" si="64"/>
        <v>-</v>
      </c>
      <c r="BX216"/>
      <c r="BY216"/>
      <c r="CG216" s="20" t="str">
        <f t="shared" si="59"/>
        <v/>
      </c>
    </row>
    <row r="217" spans="31:85" ht="21">
      <c r="BL217" s="172">
        <f>COUNTIF($BM$5:BM217,"&lt;-115")</f>
        <v>0</v>
      </c>
      <c r="BM217" s="154">
        <f>IFERROR(IF(OR(IFERROR(VLOOKUP(BN217,$E$3:$E$105,1,FALSE),"0")=BN217,IFERROR(VLOOKUP(BN217,$R$3:$R$105,1,FALSE),"0")=BN217),BO217,IF(OR(VLOOKUP(BN217,Расчет!A:E,5,FALSE)="2PS",VLOOKUP(BN217,Расчет!A:E,5,FALSE)="2QL"),IF(VLOOKUP(BN217,Расчет!A:B,2,FALSE)="831W",BN217-$BS$7+$AD$17,BN217-$BS$7+$AD$12),BN217-$BS$7)),"-")</f>
        <v>135</v>
      </c>
      <c r="BN217" s="154">
        <f>IF(OR(Расчет!C214="A0",Расчет!C214="P9",Расчет!B214="722W"),"-",Расчет!A214)</f>
        <v>11359</v>
      </c>
      <c r="BO217" s="173">
        <f t="shared" si="65"/>
        <v>0</v>
      </c>
      <c r="BP217" s="172">
        <f>IF(BQ217="-","-",IFERROR(IF(OR(VLOOKUP(BN217,Расчет!$A$2:$E$582,5,FALSE)="2PS",VLOOKUP(BN217,Расчет!$A$2:$E$582,5,FALSE)="2QL"),IF(OR(VLOOKUP(BN217,Расчет!$A$2:$E$582,2,FALSE)="664W",VLOOKUP(BN217,Расчет!$A$2:$E$582,2,FALSE)="813W"),IF(BN217-$BS$7&gt;150,BN217-$BS$7-1000+$AD$12,BN217-$BS$7+$AD$12),IF(BN217-$BS$7&gt;150,BN217-$BS$7-1000+$AD$17,BN217-$BS$7+$AD$17)),IF(BN217-$BS$7&gt;150,BN217-$BS$7-1000,BN217-$BS$7)),"-"))</f>
        <v>135</v>
      </c>
      <c r="BQ217" s="173">
        <f t="shared" si="62"/>
        <v>11359</v>
      </c>
      <c r="BR217" s="453"/>
      <c r="BS217" s="171"/>
      <c r="BT217" s="464" t="str">
        <f t="shared" si="63"/>
        <v>-</v>
      </c>
      <c r="BU217" s="464" t="str">
        <f t="shared" si="64"/>
        <v>-</v>
      </c>
      <c r="BX217"/>
      <c r="BY217"/>
      <c r="CG217" s="20" t="str">
        <f t="shared" si="59"/>
        <v/>
      </c>
    </row>
    <row r="218" spans="31:85" ht="21">
      <c r="BL218" s="172">
        <f>COUNTIF($BM$5:BM218,"&lt;-115")</f>
        <v>0</v>
      </c>
      <c r="BM218" s="154">
        <f>IFERROR(IF(OR(IFERROR(VLOOKUP(BN218,$E$3:$E$105,1,FALSE),"0")=BN218,IFERROR(VLOOKUP(BN218,$R$3:$R$105,1,FALSE),"0")=BN218),BO218,IF(OR(VLOOKUP(BN218,Расчет!A:E,5,FALSE)="2PS",VLOOKUP(BN218,Расчет!A:E,5,FALSE)="2QL"),IF(VLOOKUP(BN218,Расчет!A:B,2,FALSE)="831W",BN218-$BS$7+$AD$17,BN218-$BS$7+$AD$12),BN218-$BS$7)),"-")</f>
        <v>136</v>
      </c>
      <c r="BN218" s="154">
        <f>IF(OR(Расчет!C215="A0",Расчет!C215="P9",Расчет!B215="722W"),"-",Расчет!A215)</f>
        <v>11360</v>
      </c>
      <c r="BO218" s="173">
        <f t="shared" si="65"/>
        <v>0</v>
      </c>
      <c r="BP218" s="172">
        <f>IF(BQ218="-","-",IFERROR(IF(OR(VLOOKUP(BN218,Расчет!$A$2:$E$582,5,FALSE)="2PS",VLOOKUP(BN218,Расчет!$A$2:$E$582,5,FALSE)="2QL"),IF(OR(VLOOKUP(BN218,Расчет!$A$2:$E$582,2,FALSE)="664W",VLOOKUP(BN218,Расчет!$A$2:$E$582,2,FALSE)="813W"),IF(BN218-$BS$7&gt;150,BN218-$BS$7-1000+$AD$12,BN218-$BS$7+$AD$12),IF(BN218-$BS$7&gt;150,BN218-$BS$7-1000+$AD$17,BN218-$BS$7+$AD$17)),IF(BN218-$BS$7&gt;150,BN218-$BS$7-1000,BN218-$BS$7)),"-"))</f>
        <v>136</v>
      </c>
      <c r="BQ218" s="173">
        <f t="shared" si="62"/>
        <v>11360</v>
      </c>
      <c r="BR218" s="453"/>
      <c r="BS218" s="171"/>
      <c r="BT218" s="464" t="str">
        <f t="shared" si="63"/>
        <v>-</v>
      </c>
      <c r="BU218" s="464" t="str">
        <f t="shared" si="64"/>
        <v>-</v>
      </c>
      <c r="BX218"/>
      <c r="BY218"/>
    </row>
    <row r="219" spans="31:85" ht="21">
      <c r="BL219" s="172">
        <f>COUNTIF($BM$5:BM219,"&lt;-115")</f>
        <v>0</v>
      </c>
      <c r="BM219" s="154">
        <f>IFERROR(IF(OR(IFERROR(VLOOKUP(BN219,$E$3:$E$105,1,FALSE),"0")=BN219,IFERROR(VLOOKUP(BN219,$R$3:$R$105,1,FALSE),"0")=BN219),BO219,IF(OR(VLOOKUP(BN219,Расчет!A:E,5,FALSE)="2PS",VLOOKUP(BN219,Расчет!A:E,5,FALSE)="2QL"),IF(VLOOKUP(BN219,Расчет!A:B,2,FALSE)="831W",BN219-$BS$7+$AD$17,BN219-$BS$7+$AD$12),BN219-$BS$7)),"-")</f>
        <v>137</v>
      </c>
      <c r="BN219" s="154">
        <f>IF(OR(Расчет!C216="A0",Расчет!C216="P9",Расчет!B216="722W"),"-",Расчет!A216)</f>
        <v>11361</v>
      </c>
      <c r="BO219" s="173">
        <f t="shared" si="65"/>
        <v>0</v>
      </c>
      <c r="BP219" s="172">
        <f>IF(BQ219="-","-",IFERROR(IF(OR(VLOOKUP(BN219,Расчет!$A$2:$E$582,5,FALSE)="2PS",VLOOKUP(BN219,Расчет!$A$2:$E$582,5,FALSE)="2QL"),IF(OR(VLOOKUP(BN219,Расчет!$A$2:$E$582,2,FALSE)="664W",VLOOKUP(BN219,Расчет!$A$2:$E$582,2,FALSE)="813W"),IF(BN219-$BS$7&gt;150,BN219-$BS$7-1000+$AD$12,BN219-$BS$7+$AD$12),IF(BN219-$BS$7&gt;150,BN219-$BS$7-1000+$AD$17,BN219-$BS$7+$AD$17)),IF(BN219-$BS$7&gt;150,BN219-$BS$7-1000,BN219-$BS$7)),"-"))</f>
        <v>137</v>
      </c>
      <c r="BQ219" s="173">
        <f t="shared" si="62"/>
        <v>11361</v>
      </c>
      <c r="BR219" s="453"/>
      <c r="BS219" s="171"/>
      <c r="BT219" s="464" t="str">
        <f t="shared" si="63"/>
        <v>-</v>
      </c>
      <c r="BU219" s="464" t="str">
        <f t="shared" si="64"/>
        <v>-</v>
      </c>
      <c r="BX219"/>
      <c r="BY219"/>
    </row>
    <row r="220" spans="31:85" ht="21">
      <c r="BL220" s="172">
        <f>COUNTIF($BM$5:BM220,"&lt;-115")</f>
        <v>0</v>
      </c>
      <c r="BM220" s="154">
        <f>IFERROR(IF(OR(IFERROR(VLOOKUP(BN220,$E$3:$E$105,1,FALSE),"0")=BN220,IFERROR(VLOOKUP(BN220,$R$3:$R$105,1,FALSE),"0")=BN220),BO220,IF(OR(VLOOKUP(BN220,Расчет!A:E,5,FALSE)="2PS",VLOOKUP(BN220,Расчет!A:E,5,FALSE)="2QL"),IF(VLOOKUP(BN220,Расчет!A:B,2,FALSE)="831W",BN220-$BS$7+$AD$17,BN220-$BS$7+$AD$12),BN220-$BS$7)),"-")</f>
        <v>138</v>
      </c>
      <c r="BN220" s="154">
        <f>IF(OR(Расчет!C217="A0",Расчет!C217="P9",Расчет!B217="722W"),"-",Расчет!A217)</f>
        <v>11362</v>
      </c>
      <c r="BO220" s="173">
        <f t="shared" si="65"/>
        <v>0</v>
      </c>
      <c r="BP220" s="172">
        <f>IF(BQ220="-","-",IFERROR(IF(OR(VLOOKUP(BN220,Расчет!$A$2:$E$582,5,FALSE)="2PS",VLOOKUP(BN220,Расчет!$A$2:$E$582,5,FALSE)="2QL"),IF(OR(VLOOKUP(BN220,Расчет!$A$2:$E$582,2,FALSE)="664W",VLOOKUP(BN220,Расчет!$A$2:$E$582,2,FALSE)="813W"),IF(BN220-$BS$7&gt;150,BN220-$BS$7-1000+$AD$12,BN220-$BS$7+$AD$12),IF(BN220-$BS$7&gt;150,BN220-$BS$7-1000+$AD$17,BN220-$BS$7+$AD$17)),IF(BN220-$BS$7&gt;150,BN220-$BS$7-1000,BN220-$BS$7)),"-"))</f>
        <v>138</v>
      </c>
      <c r="BQ220" s="173">
        <f t="shared" si="62"/>
        <v>11362</v>
      </c>
      <c r="BR220" s="453"/>
      <c r="BS220" s="171"/>
      <c r="BT220" s="464" t="str">
        <f t="shared" si="63"/>
        <v>-</v>
      </c>
      <c r="BU220" s="464" t="str">
        <f t="shared" si="64"/>
        <v>-</v>
      </c>
      <c r="BX220"/>
      <c r="BY220"/>
    </row>
    <row r="221" spans="31:85" ht="21">
      <c r="BL221" s="172">
        <f>COUNTIF($BM$5:BM221,"&lt;-115")</f>
        <v>0</v>
      </c>
      <c r="BM221" s="154">
        <f>IFERROR(IF(OR(IFERROR(VLOOKUP(BN221,$E$3:$E$105,1,FALSE),"0")=BN221,IFERROR(VLOOKUP(BN221,$R$3:$R$105,1,FALSE),"0")=BN221),BO221,IF(OR(VLOOKUP(BN221,Расчет!A:E,5,FALSE)="2PS",VLOOKUP(BN221,Расчет!A:E,5,FALSE)="2QL"),IF(VLOOKUP(BN221,Расчет!A:B,2,FALSE)="831W",BN221-$BS$7+$AD$17,BN221-$BS$7+$AD$12),BN221-$BS$7)),"-")</f>
        <v>139</v>
      </c>
      <c r="BN221" s="154">
        <f>IF(OR(Расчет!C218="A0",Расчет!C218="P9",Расчет!B218="722W"),"-",Расчет!A218)</f>
        <v>11363</v>
      </c>
      <c r="BO221" s="173">
        <f t="shared" si="65"/>
        <v>0</v>
      </c>
      <c r="BP221" s="172">
        <f>IF(BQ221="-","-",IFERROR(IF(OR(VLOOKUP(BN221,Расчет!$A$2:$E$582,5,FALSE)="2PS",VLOOKUP(BN221,Расчет!$A$2:$E$582,5,FALSE)="2QL"),IF(OR(VLOOKUP(BN221,Расчет!$A$2:$E$582,2,FALSE)="664W",VLOOKUP(BN221,Расчет!$A$2:$E$582,2,FALSE)="813W"),IF(BN221-$BS$7&gt;150,BN221-$BS$7-1000+$AD$12,BN221-$BS$7+$AD$12),IF(BN221-$BS$7&gt;150,BN221-$BS$7-1000+$AD$17,BN221-$BS$7+$AD$17)),IF(BN221-$BS$7&gt;150,BN221-$BS$7-1000,BN221-$BS$7)),"-"))</f>
        <v>139</v>
      </c>
      <c r="BQ221" s="173">
        <f t="shared" si="62"/>
        <v>11363</v>
      </c>
      <c r="BR221" s="453"/>
      <c r="BS221" s="171"/>
      <c r="BT221" s="464" t="str">
        <f t="shared" si="63"/>
        <v>-</v>
      </c>
      <c r="BU221" s="464" t="str">
        <f t="shared" si="64"/>
        <v>-</v>
      </c>
      <c r="BX221"/>
      <c r="BY221"/>
    </row>
    <row r="222" spans="31:85" ht="21">
      <c r="BL222" s="172">
        <f>COUNTIF($BM$5:BM222,"&lt;-115")</f>
        <v>0</v>
      </c>
      <c r="BM222" s="154">
        <f>IFERROR(IF(OR(IFERROR(VLOOKUP(BN222,$E$3:$E$105,1,FALSE),"0")=BN222,IFERROR(VLOOKUP(BN222,$R$3:$R$105,1,FALSE),"0")=BN222),BO222,IF(OR(VLOOKUP(BN222,Расчет!A:E,5,FALSE)="2PS",VLOOKUP(BN222,Расчет!A:E,5,FALSE)="2QL"),IF(VLOOKUP(BN222,Расчет!A:B,2,FALSE)="831W",BN222-$BS$7+$AD$17,BN222-$BS$7+$AD$12),BN222-$BS$7)),"-")</f>
        <v>240</v>
      </c>
      <c r="BN222" s="154">
        <f>IF(OR(Расчет!C219="A0",Расчет!C219="P9",Расчет!B219="722W"),"-",Расчет!A219)</f>
        <v>11364</v>
      </c>
      <c r="BO222" s="173">
        <f t="shared" si="65"/>
        <v>0</v>
      </c>
      <c r="BP222" s="172">
        <f>IF(BQ222="-","-",IFERROR(IF(OR(VLOOKUP(BN222,Расчет!$A$2:$E$582,5,FALSE)="2PS",VLOOKUP(BN222,Расчет!$A$2:$E$582,5,FALSE)="2QL"),IF(OR(VLOOKUP(BN222,Расчет!$A$2:$E$582,2,FALSE)="664W",VLOOKUP(BN222,Расчет!$A$2:$E$582,2,FALSE)="813W"),IF(BN222-$BS$7&gt;150,BN222-$BS$7-1000+$AD$12,BN222-$BS$7+$AD$12),IF(BN222-$BS$7&gt;150,BN222-$BS$7-1000+$AD$17,BN222-$BS$7+$AD$17)),IF(BN222-$BS$7&gt;150,BN222-$BS$7-1000,BN222-$BS$7)),"-"))</f>
        <v>240</v>
      </c>
      <c r="BQ222" s="173">
        <f t="shared" si="62"/>
        <v>11364</v>
      </c>
      <c r="BR222" s="453"/>
      <c r="BS222" s="171"/>
      <c r="BT222" s="464" t="str">
        <f t="shared" si="63"/>
        <v>-</v>
      </c>
      <c r="BU222" s="464" t="str">
        <f t="shared" si="64"/>
        <v>-</v>
      </c>
      <c r="BX222"/>
      <c r="BY222"/>
    </row>
    <row r="223" spans="31:85" ht="21">
      <c r="BL223" s="172">
        <f>COUNTIF($BM$5:BM223,"&lt;-115")</f>
        <v>0</v>
      </c>
      <c r="BM223" s="154">
        <f>IFERROR(IF(OR(IFERROR(VLOOKUP(BN223,$E$3:$E$105,1,FALSE),"0")=BN223,IFERROR(VLOOKUP(BN223,$R$3:$R$105,1,FALSE),"0")=BN223),BO223,IF(OR(VLOOKUP(BN223,Расчет!A:E,5,FALSE)="2PS",VLOOKUP(BN223,Расчет!A:E,5,FALSE)="2QL"),IF(VLOOKUP(BN223,Расчет!A:B,2,FALSE)="831W",BN223-$BS$7+$AD$17,BN223-$BS$7+$AD$12),BN223-$BS$7)),"-")</f>
        <v>141</v>
      </c>
      <c r="BN223" s="154">
        <f>IF(OR(Расчет!C220="A0",Расчет!C220="P9",Расчет!B220="722W"),"-",Расчет!A220)</f>
        <v>11365</v>
      </c>
      <c r="BO223" s="173">
        <f t="shared" si="65"/>
        <v>0</v>
      </c>
      <c r="BP223" s="172">
        <f>IF(BQ223="-","-",IFERROR(IF(OR(VLOOKUP(BN223,Расчет!$A$2:$E$582,5,FALSE)="2PS",VLOOKUP(BN223,Расчет!$A$2:$E$582,5,FALSE)="2QL"),IF(OR(VLOOKUP(BN223,Расчет!$A$2:$E$582,2,FALSE)="664W",VLOOKUP(BN223,Расчет!$A$2:$E$582,2,FALSE)="813W"),IF(BN223-$BS$7&gt;150,BN223-$BS$7-1000+$AD$12,BN223-$BS$7+$AD$12),IF(BN223-$BS$7&gt;150,BN223-$BS$7-1000+$AD$17,BN223-$BS$7+$AD$17)),IF(BN223-$BS$7&gt;150,BN223-$BS$7-1000,BN223-$BS$7)),"-"))</f>
        <v>141</v>
      </c>
      <c r="BQ223" s="173">
        <f t="shared" si="62"/>
        <v>11365</v>
      </c>
      <c r="BR223" s="453"/>
      <c r="BS223" s="171"/>
      <c r="BT223" s="464" t="str">
        <f t="shared" si="63"/>
        <v>-</v>
      </c>
      <c r="BU223" s="464" t="str">
        <f t="shared" si="64"/>
        <v>-</v>
      </c>
      <c r="BX223"/>
      <c r="BY223"/>
    </row>
    <row r="224" spans="31:85" ht="21">
      <c r="BL224" s="172">
        <f>COUNTIF($BM$5:BM224,"&lt;-115")</f>
        <v>0</v>
      </c>
      <c r="BM224" s="154">
        <f>IFERROR(IF(OR(IFERROR(VLOOKUP(BN224,$E$3:$E$105,1,FALSE),"0")=BN224,IFERROR(VLOOKUP(BN224,$R$3:$R$105,1,FALSE),"0")=BN224),BO224,IF(OR(VLOOKUP(BN224,Расчет!A:E,5,FALSE)="2PS",VLOOKUP(BN224,Расчет!A:E,5,FALSE)="2QL"),IF(VLOOKUP(BN224,Расчет!A:B,2,FALSE)="831W",BN224-$BS$7+$AD$17,BN224-$BS$7+$AD$12),BN224-$BS$7)),"-")</f>
        <v>142</v>
      </c>
      <c r="BN224" s="154">
        <f>IF(OR(Расчет!C221="A0",Расчет!C221="P9",Расчет!B221="722W"),"-",Расчет!A221)</f>
        <v>11366</v>
      </c>
      <c r="BO224" s="173">
        <f t="shared" si="65"/>
        <v>0</v>
      </c>
      <c r="BP224" s="172">
        <f>IF(BQ224="-","-",IFERROR(IF(OR(VLOOKUP(BN224,Расчет!$A$2:$E$582,5,FALSE)="2PS",VLOOKUP(BN224,Расчет!$A$2:$E$582,5,FALSE)="2QL"),IF(OR(VLOOKUP(BN224,Расчет!$A$2:$E$582,2,FALSE)="664W",VLOOKUP(BN224,Расчет!$A$2:$E$582,2,FALSE)="813W"),IF(BN224-$BS$7&gt;150,BN224-$BS$7-1000+$AD$12,BN224-$BS$7+$AD$12),IF(BN224-$BS$7&gt;150,BN224-$BS$7-1000+$AD$17,BN224-$BS$7+$AD$17)),IF(BN224-$BS$7&gt;150,BN224-$BS$7-1000,BN224-$BS$7)),"-"))</f>
        <v>142</v>
      </c>
      <c r="BQ224" s="173">
        <f t="shared" si="62"/>
        <v>11366</v>
      </c>
      <c r="BR224" s="453"/>
      <c r="BS224" s="171"/>
      <c r="BT224" s="464" t="str">
        <f t="shared" si="63"/>
        <v>-</v>
      </c>
      <c r="BU224" s="464" t="str">
        <f t="shared" si="64"/>
        <v>-</v>
      </c>
      <c r="BX224"/>
      <c r="BY224"/>
    </row>
    <row r="225" spans="64:77" ht="21">
      <c r="BL225" s="172">
        <f>COUNTIF($BM$5:BM225,"&lt;-115")</f>
        <v>0</v>
      </c>
      <c r="BM225" s="154">
        <f>IFERROR(IF(OR(IFERROR(VLOOKUP(BN225,$E$3:$E$105,1,FALSE),"0")=BN225,IFERROR(VLOOKUP(BN225,$R$3:$R$105,1,FALSE),"0")=BN225),BO225,IF(OR(VLOOKUP(BN225,Расчет!A:E,5,FALSE)="2PS",VLOOKUP(BN225,Расчет!A:E,5,FALSE)="2QL"),IF(VLOOKUP(BN225,Расчет!A:B,2,FALSE)="831W",BN225-$BS$7+$AD$17,BN225-$BS$7+$AD$12),BN225-$BS$7)),"-")</f>
        <v>143</v>
      </c>
      <c r="BN225" s="154">
        <f>IF(OR(Расчет!C222="A0",Расчет!C222="P9",Расчет!B222="722W"),"-",Расчет!A222)</f>
        <v>11367</v>
      </c>
      <c r="BO225" s="173">
        <f t="shared" si="65"/>
        <v>0</v>
      </c>
      <c r="BP225" s="172">
        <f>IF(BQ225="-","-",IFERROR(IF(OR(VLOOKUP(BN225,Расчет!$A$2:$E$582,5,FALSE)="2PS",VLOOKUP(BN225,Расчет!$A$2:$E$582,5,FALSE)="2QL"),IF(OR(VLOOKUP(BN225,Расчет!$A$2:$E$582,2,FALSE)="664W",VLOOKUP(BN225,Расчет!$A$2:$E$582,2,FALSE)="813W"),IF(BN225-$BS$7&gt;150,BN225-$BS$7-1000+$AD$12,BN225-$BS$7+$AD$12),IF(BN225-$BS$7&gt;150,BN225-$BS$7-1000+$AD$17,BN225-$BS$7+$AD$17)),IF(BN225-$BS$7&gt;150,BN225-$BS$7-1000,BN225-$BS$7)),"-"))</f>
        <v>143</v>
      </c>
      <c r="BQ225" s="173">
        <f t="shared" si="62"/>
        <v>11367</v>
      </c>
      <c r="BR225" s="453"/>
      <c r="BS225" s="171"/>
      <c r="BT225" s="464" t="str">
        <f t="shared" si="63"/>
        <v>-</v>
      </c>
      <c r="BU225" s="464" t="str">
        <f t="shared" si="64"/>
        <v>-</v>
      </c>
      <c r="BX225"/>
      <c r="BY225"/>
    </row>
    <row r="226" spans="64:77" ht="21">
      <c r="BL226" s="172">
        <f>COUNTIF($BM$5:BM226,"&lt;-115")</f>
        <v>0</v>
      </c>
      <c r="BM226" s="154">
        <f>IFERROR(IF(OR(IFERROR(VLOOKUP(BN226,$E$3:$E$105,1,FALSE),"0")=BN226,IFERROR(VLOOKUP(BN226,$R$3:$R$105,1,FALSE),"0")=BN226),BO226,IF(OR(VLOOKUP(BN226,Расчет!A:E,5,FALSE)="2PS",VLOOKUP(BN226,Расчет!A:E,5,FALSE)="2QL"),IF(VLOOKUP(BN226,Расчет!A:B,2,FALSE)="831W",BN226-$BS$7+$AD$17,BN226-$BS$7+$AD$12),BN226-$BS$7)),"-")</f>
        <v>144</v>
      </c>
      <c r="BN226" s="154">
        <f>IF(OR(Расчет!C223="A0",Расчет!C223="P9",Расчет!B223="722W"),"-",Расчет!A223)</f>
        <v>11368</v>
      </c>
      <c r="BO226" s="173">
        <f t="shared" si="65"/>
        <v>0</v>
      </c>
      <c r="BP226" s="172">
        <f>IF(BQ226="-","-",IFERROR(IF(OR(VLOOKUP(BN226,Расчет!$A$2:$E$582,5,FALSE)="2PS",VLOOKUP(BN226,Расчет!$A$2:$E$582,5,FALSE)="2QL"),IF(OR(VLOOKUP(BN226,Расчет!$A$2:$E$582,2,FALSE)="664W",VLOOKUP(BN226,Расчет!$A$2:$E$582,2,FALSE)="813W"),IF(BN226-$BS$7&gt;150,BN226-$BS$7-1000+$AD$12,BN226-$BS$7+$AD$12),IF(BN226-$BS$7&gt;150,BN226-$BS$7-1000+$AD$17,BN226-$BS$7+$AD$17)),IF(BN226-$BS$7&gt;150,BN226-$BS$7-1000,BN226-$BS$7)),"-"))</f>
        <v>144</v>
      </c>
      <c r="BQ226" s="173">
        <f t="shared" si="62"/>
        <v>11368</v>
      </c>
      <c r="BR226" s="453"/>
      <c r="BS226" s="171"/>
      <c r="BT226" s="464" t="str">
        <f t="shared" si="63"/>
        <v>-</v>
      </c>
      <c r="BU226" s="464" t="str">
        <f t="shared" si="64"/>
        <v>-</v>
      </c>
      <c r="BX226"/>
      <c r="BY226"/>
    </row>
    <row r="227" spans="64:77" ht="21">
      <c r="BL227" s="172">
        <f>COUNTIF($BM$5:BM227,"&lt;-115")</f>
        <v>0</v>
      </c>
      <c r="BM227" s="154">
        <f>IFERROR(IF(OR(IFERROR(VLOOKUP(BN227,$E$3:$E$105,1,FALSE),"0")=BN227,IFERROR(VLOOKUP(BN227,$R$3:$R$105,1,FALSE),"0")=BN227),BO227,IF(OR(VLOOKUP(BN227,Расчет!A:E,5,FALSE)="2PS",VLOOKUP(BN227,Расчет!A:E,5,FALSE)="2QL"),IF(VLOOKUP(BN227,Расчет!A:B,2,FALSE)="831W",BN227-$BS$7+$AD$17,BN227-$BS$7+$AD$12),BN227-$BS$7)),"-")</f>
        <v>145</v>
      </c>
      <c r="BN227" s="154">
        <f>IF(OR(Расчет!C224="A0",Расчет!C224="P9",Расчет!B224="722W"),"-",Расчет!A224)</f>
        <v>11369</v>
      </c>
      <c r="BO227" s="173">
        <f t="shared" si="65"/>
        <v>0</v>
      </c>
      <c r="BP227" s="172">
        <f>IF(BQ227="-","-",IFERROR(IF(OR(VLOOKUP(BN227,Расчет!$A$2:$E$582,5,FALSE)="2PS",VLOOKUP(BN227,Расчет!$A$2:$E$582,5,FALSE)="2QL"),IF(OR(VLOOKUP(BN227,Расчет!$A$2:$E$582,2,FALSE)="664W",VLOOKUP(BN227,Расчет!$A$2:$E$582,2,FALSE)="813W"),IF(BN227-$BS$7&gt;150,BN227-$BS$7-1000+$AD$12,BN227-$BS$7+$AD$12),IF(BN227-$BS$7&gt;150,BN227-$BS$7-1000+$AD$17,BN227-$BS$7+$AD$17)),IF(BN227-$BS$7&gt;150,BN227-$BS$7-1000,BN227-$BS$7)),"-"))</f>
        <v>145</v>
      </c>
      <c r="BQ227" s="173">
        <f t="shared" si="62"/>
        <v>11369</v>
      </c>
      <c r="BR227" s="453"/>
      <c r="BS227" s="171"/>
      <c r="BT227" s="464" t="str">
        <f t="shared" si="63"/>
        <v>-</v>
      </c>
      <c r="BU227" s="464" t="str">
        <f t="shared" si="64"/>
        <v>-</v>
      </c>
      <c r="BX227"/>
      <c r="BY227"/>
    </row>
    <row r="228" spans="64:77" ht="21">
      <c r="BL228" s="172">
        <f>COUNTIF($BM$5:BM228,"&lt;-115")</f>
        <v>0</v>
      </c>
      <c r="BM228" s="154">
        <f>IFERROR(IF(OR(IFERROR(VLOOKUP(BN228,$E$3:$E$105,1,FALSE),"0")=BN228,IFERROR(VLOOKUP(BN228,$R$3:$R$105,1,FALSE),"0")=BN228),BO228,IF(OR(VLOOKUP(BN228,Расчет!A:E,5,FALSE)="2PS",VLOOKUP(BN228,Расчет!A:E,5,FALSE)="2QL"),IF(VLOOKUP(BN228,Расчет!A:B,2,FALSE)="831W",BN228-$BS$7+$AD$17,BN228-$BS$7+$AD$12),BN228-$BS$7)),"-")</f>
        <v>146</v>
      </c>
      <c r="BN228" s="154">
        <f>IF(OR(Расчет!C225="A0",Расчет!C225="P9",Расчет!B225="722W"),"-",Расчет!A225)</f>
        <v>11370</v>
      </c>
      <c r="BO228" s="173">
        <f t="shared" si="65"/>
        <v>0</v>
      </c>
      <c r="BP228" s="172">
        <f>IF(BQ228="-","-",IFERROR(IF(OR(VLOOKUP(BN228,Расчет!$A$2:$E$582,5,FALSE)="2PS",VLOOKUP(BN228,Расчет!$A$2:$E$582,5,FALSE)="2QL"),IF(OR(VLOOKUP(BN228,Расчет!$A$2:$E$582,2,FALSE)="664W",VLOOKUP(BN228,Расчет!$A$2:$E$582,2,FALSE)="813W"),IF(BN228-$BS$7&gt;150,BN228-$BS$7-1000+$AD$12,BN228-$BS$7+$AD$12),IF(BN228-$BS$7&gt;150,BN228-$BS$7-1000+$AD$17,BN228-$BS$7+$AD$17)),IF(BN228-$BS$7&gt;150,BN228-$BS$7-1000,BN228-$BS$7)),"-"))</f>
        <v>146</v>
      </c>
      <c r="BQ228" s="173">
        <f t="shared" si="62"/>
        <v>11370</v>
      </c>
      <c r="BR228" s="453"/>
      <c r="BS228" s="171"/>
      <c r="BT228" s="464" t="str">
        <f t="shared" si="63"/>
        <v>-</v>
      </c>
      <c r="BU228" s="464" t="str">
        <f t="shared" si="64"/>
        <v>-</v>
      </c>
      <c r="BX228"/>
      <c r="BY228"/>
    </row>
    <row r="229" spans="64:77" ht="21">
      <c r="BL229" s="172">
        <f>COUNTIF($BM$5:BM229,"&lt;-115")</f>
        <v>0</v>
      </c>
      <c r="BM229" s="154">
        <f>IFERROR(IF(OR(IFERROR(VLOOKUP(BN229,$E$3:$E$105,1,FALSE),"0")=BN229,IFERROR(VLOOKUP(BN229,$R$3:$R$105,1,FALSE),"0")=BN229),BO229,IF(OR(VLOOKUP(BN229,Расчет!A:E,5,FALSE)="2PS",VLOOKUP(BN229,Расчет!A:E,5,FALSE)="2QL"),IF(VLOOKUP(BN229,Расчет!A:B,2,FALSE)="831W",BN229-$BS$7+$AD$17,BN229-$BS$7+$AD$12),BN229-$BS$7)),"-")</f>
        <v>147</v>
      </c>
      <c r="BN229" s="154">
        <f>IF(OR(Расчет!C226="A0",Расчет!C226="P9",Расчет!B226="722W"),"-",Расчет!A226)</f>
        <v>11371</v>
      </c>
      <c r="BO229" s="173">
        <f t="shared" si="65"/>
        <v>0</v>
      </c>
      <c r="BP229" s="172">
        <f>IF(BQ229="-","-",IFERROR(IF(OR(VLOOKUP(BN229,Расчет!$A$2:$E$582,5,FALSE)="2PS",VLOOKUP(BN229,Расчет!$A$2:$E$582,5,FALSE)="2QL"),IF(OR(VLOOKUP(BN229,Расчет!$A$2:$E$582,2,FALSE)="664W",VLOOKUP(BN229,Расчет!$A$2:$E$582,2,FALSE)="813W"),IF(BN229-$BS$7&gt;150,BN229-$BS$7-1000+$AD$12,BN229-$BS$7+$AD$12),IF(BN229-$BS$7&gt;150,BN229-$BS$7-1000+$AD$17,BN229-$BS$7+$AD$17)),IF(BN229-$BS$7&gt;150,BN229-$BS$7-1000,BN229-$BS$7)),"-"))</f>
        <v>147</v>
      </c>
      <c r="BQ229" s="173">
        <f t="shared" si="62"/>
        <v>11371</v>
      </c>
      <c r="BR229" s="453"/>
      <c r="BS229" s="171"/>
      <c r="BT229" s="464" t="str">
        <f t="shared" si="63"/>
        <v>-</v>
      </c>
      <c r="BU229" s="464" t="str">
        <f t="shared" si="64"/>
        <v>-</v>
      </c>
      <c r="BX229"/>
      <c r="BY229"/>
    </row>
    <row r="230" spans="64:77" ht="21">
      <c r="BL230" s="172">
        <f>COUNTIF($BM$5:BM230,"&lt;-115")</f>
        <v>0</v>
      </c>
      <c r="BM230" s="154">
        <f>IFERROR(IF(OR(IFERROR(VLOOKUP(BN230,$E$3:$E$105,1,FALSE),"0")=BN230,IFERROR(VLOOKUP(BN230,$R$3:$R$105,1,FALSE),"0")=BN230),BO230,IF(OR(VLOOKUP(BN230,Расчет!A:E,5,FALSE)="2PS",VLOOKUP(BN230,Расчет!A:E,5,FALSE)="2QL"),IF(VLOOKUP(BN230,Расчет!A:B,2,FALSE)="831W",BN230-$BS$7+$AD$17,BN230-$BS$7+$AD$12),BN230-$BS$7)),"-")</f>
        <v>148</v>
      </c>
      <c r="BN230" s="154">
        <f>IF(OR(Расчет!C227="A0",Расчет!C227="P9",Расчет!B227="722W"),"-",Расчет!A227)</f>
        <v>11372</v>
      </c>
      <c r="BO230" s="173">
        <f t="shared" si="65"/>
        <v>0</v>
      </c>
      <c r="BP230" s="172">
        <f>IF(BQ230="-","-",IFERROR(IF(OR(VLOOKUP(BN230,Расчет!$A$2:$E$582,5,FALSE)="2PS",VLOOKUP(BN230,Расчет!$A$2:$E$582,5,FALSE)="2QL"),IF(OR(VLOOKUP(BN230,Расчет!$A$2:$E$582,2,FALSE)="664W",VLOOKUP(BN230,Расчет!$A$2:$E$582,2,FALSE)="813W"),IF(BN230-$BS$7&gt;150,BN230-$BS$7-1000+$AD$12,BN230-$BS$7+$AD$12),IF(BN230-$BS$7&gt;150,BN230-$BS$7-1000+$AD$17,BN230-$BS$7+$AD$17)),IF(BN230-$BS$7&gt;150,BN230-$BS$7-1000,BN230-$BS$7)),"-"))</f>
        <v>148</v>
      </c>
      <c r="BQ230" s="173">
        <f t="shared" si="62"/>
        <v>11372</v>
      </c>
      <c r="BR230" s="453"/>
      <c r="BS230" s="171"/>
      <c r="BT230" s="464" t="str">
        <f t="shared" si="63"/>
        <v>-</v>
      </c>
      <c r="BU230" s="464" t="str">
        <f t="shared" si="64"/>
        <v>-</v>
      </c>
      <c r="BX230"/>
      <c r="BY230"/>
    </row>
    <row r="231" spans="64:77" ht="21">
      <c r="BL231" s="172">
        <f>COUNTIF($BM$5:BM231,"&lt;-115")</f>
        <v>0</v>
      </c>
      <c r="BM231" s="154">
        <f>IFERROR(IF(OR(IFERROR(VLOOKUP(BN231,$E$3:$E$105,1,FALSE),"0")=BN231,IFERROR(VLOOKUP(BN231,$R$3:$R$105,1,FALSE),"0")=BN231),BO231,IF(OR(VLOOKUP(BN231,Расчет!A:E,5,FALSE)="2PS",VLOOKUP(BN231,Расчет!A:E,5,FALSE)="2QL"),IF(VLOOKUP(BN231,Расчет!A:B,2,FALSE)="831W",BN231-$BS$7+$AD$17,BN231-$BS$7+$AD$12),BN231-$BS$7)),"-")</f>
        <v>149</v>
      </c>
      <c r="BN231" s="154">
        <f>IF(OR(Расчет!C228="A0",Расчет!C228="P9",Расчет!B228="722W"),"-",Расчет!A228)</f>
        <v>11373</v>
      </c>
      <c r="BO231" s="173">
        <f t="shared" si="65"/>
        <v>0</v>
      </c>
      <c r="BP231" s="172">
        <f>IF(BQ231="-","-",IFERROR(IF(OR(VLOOKUP(BN231,Расчет!$A$2:$E$582,5,FALSE)="2PS",VLOOKUP(BN231,Расчет!$A$2:$E$582,5,FALSE)="2QL"),IF(OR(VLOOKUP(BN231,Расчет!$A$2:$E$582,2,FALSE)="664W",VLOOKUP(BN231,Расчет!$A$2:$E$582,2,FALSE)="813W"),IF(BN231-$BS$7&gt;150,BN231-$BS$7-1000+$AD$12,BN231-$BS$7+$AD$12),IF(BN231-$BS$7&gt;150,BN231-$BS$7-1000+$AD$17,BN231-$BS$7+$AD$17)),IF(BN231-$BS$7&gt;150,BN231-$BS$7-1000,BN231-$BS$7)),"-"))</f>
        <v>149</v>
      </c>
      <c r="BQ231" s="173">
        <f t="shared" si="62"/>
        <v>11373</v>
      </c>
      <c r="BR231" s="453"/>
      <c r="BS231" s="171"/>
      <c r="BT231" s="464" t="str">
        <f t="shared" si="63"/>
        <v>-</v>
      </c>
      <c r="BU231" s="464" t="str">
        <f t="shared" si="64"/>
        <v>-</v>
      </c>
      <c r="BX231"/>
      <c r="BY231"/>
    </row>
    <row r="232" spans="64:77" ht="21">
      <c r="BL232" s="172">
        <f>COUNTIF($BM$5:BM232,"&lt;-115")</f>
        <v>0</v>
      </c>
      <c r="BM232" s="154">
        <f>IFERROR(IF(OR(IFERROR(VLOOKUP(BN232,$E$3:$E$105,1,FALSE),"0")=BN232,IFERROR(VLOOKUP(BN232,$R$3:$R$105,1,FALSE),"0")=BN232),BO232,IF(OR(VLOOKUP(BN232,Расчет!A:E,5,FALSE)="2PS",VLOOKUP(BN232,Расчет!A:E,5,FALSE)="2QL"),IF(VLOOKUP(BN232,Расчет!A:B,2,FALSE)="831W",BN232-$BS$7+$AD$17,BN232-$BS$7+$AD$12),BN232-$BS$7)),"-")</f>
        <v>250</v>
      </c>
      <c r="BN232" s="154">
        <f>IF(OR(Расчет!C229="A0",Расчет!C229="P9",Расчет!B229="722W"),"-",Расчет!A229)</f>
        <v>11374</v>
      </c>
      <c r="BO232" s="173">
        <f t="shared" si="65"/>
        <v>0</v>
      </c>
      <c r="BP232" s="172">
        <f>IF(BQ232="-","-",IFERROR(IF(OR(VLOOKUP(BN232,Расчет!$A$2:$E$582,5,FALSE)="2PS",VLOOKUP(BN232,Расчет!$A$2:$E$582,5,FALSE)="2QL"),IF(OR(VLOOKUP(BN232,Расчет!$A$2:$E$582,2,FALSE)="664W",VLOOKUP(BN232,Расчет!$A$2:$E$582,2,FALSE)="813W"),IF(BN232-$BS$7&gt;150,BN232-$BS$7-1000+$AD$12,BN232-$BS$7+$AD$12),IF(BN232-$BS$7&gt;150,BN232-$BS$7-1000+$AD$17,BN232-$BS$7+$AD$17)),IF(BN232-$BS$7&gt;150,BN232-$BS$7-1000,BN232-$BS$7)),"-"))</f>
        <v>250</v>
      </c>
      <c r="BQ232" s="173">
        <f t="shared" si="62"/>
        <v>11374</v>
      </c>
      <c r="BR232" s="453"/>
      <c r="BS232" s="171"/>
      <c r="BT232" s="464" t="str">
        <f t="shared" si="63"/>
        <v>-</v>
      </c>
      <c r="BU232" s="464" t="str">
        <f t="shared" si="64"/>
        <v>-</v>
      </c>
      <c r="BX232"/>
      <c r="BY232"/>
    </row>
    <row r="233" spans="64:77" ht="21">
      <c r="BL233" s="172">
        <f>COUNTIF($BM$5:BM233,"&lt;-115")</f>
        <v>0</v>
      </c>
      <c r="BM233" s="154">
        <f>IFERROR(IF(OR(IFERROR(VLOOKUP(BN233,$E$3:$E$105,1,FALSE),"0")=BN233,IFERROR(VLOOKUP(BN233,$R$3:$R$105,1,FALSE),"0")=BN233),BO233,IF(OR(VLOOKUP(BN233,Расчет!A:E,5,FALSE)="2PS",VLOOKUP(BN233,Расчет!A:E,5,FALSE)="2QL"),IF(VLOOKUP(BN233,Расчет!A:B,2,FALSE)="831W",BN233-$BS$7+$AD$17,BN233-$BS$7+$AD$12),BN233-$BS$7)),"-")</f>
        <v>151</v>
      </c>
      <c r="BN233" s="154">
        <f>IF(OR(Расчет!C230="A0",Расчет!C230="P9",Расчет!B230="722W"),"-",Расчет!A230)</f>
        <v>11375</v>
      </c>
      <c r="BO233" s="173">
        <f t="shared" si="65"/>
        <v>0</v>
      </c>
      <c r="BP233" s="172">
        <f>IF(BQ233="-","-",IFERROR(IF(OR(VLOOKUP(BN233,Расчет!$A$2:$E$582,5,FALSE)="2PS",VLOOKUP(BN233,Расчет!$A$2:$E$582,5,FALSE)="2QL"),IF(OR(VLOOKUP(BN233,Расчет!$A$2:$E$582,2,FALSE)="664W",VLOOKUP(BN233,Расчет!$A$2:$E$582,2,FALSE)="813W"),IF(BN233-$BS$7&gt;150,BN233-$BS$7-1000+$AD$12,BN233-$BS$7+$AD$12),IF(BN233-$BS$7&gt;150,BN233-$BS$7-1000+$AD$17,BN233-$BS$7+$AD$17)),IF(BN233-$BS$7&gt;150,BN233-$BS$7-1000,BN233-$BS$7)),"-"))</f>
        <v>-849</v>
      </c>
      <c r="BQ233" s="173">
        <f t="shared" si="62"/>
        <v>11375</v>
      </c>
      <c r="BR233" s="453"/>
      <c r="BS233" s="171"/>
      <c r="BT233" s="464" t="str">
        <f t="shared" si="63"/>
        <v>-</v>
      </c>
      <c r="BU233" s="464" t="str">
        <f t="shared" si="64"/>
        <v>-</v>
      </c>
      <c r="BX233"/>
      <c r="BY233"/>
    </row>
    <row r="234" spans="64:77" ht="21">
      <c r="BL234" s="172">
        <f>COUNTIF($BM$5:BM234,"&lt;-115")</f>
        <v>0</v>
      </c>
      <c r="BM234" s="154">
        <f>IFERROR(IF(OR(IFERROR(VLOOKUP(BN234,$E$3:$E$105,1,FALSE),"0")=BN234,IFERROR(VLOOKUP(BN234,$R$3:$R$105,1,FALSE),"0")=BN234),BO234,IF(OR(VLOOKUP(BN234,Расчет!A:E,5,FALSE)="2PS",VLOOKUP(BN234,Расчет!A:E,5,FALSE)="2QL"),IF(VLOOKUP(BN234,Расчет!A:B,2,FALSE)="831W",BN234-$BS$7+$AD$17,BN234-$BS$7+$AD$12),BN234-$BS$7)),"-")</f>
        <v>152</v>
      </c>
      <c r="BN234" s="154">
        <f>IF(OR(Расчет!C231="A0",Расчет!C231="P9",Расчет!B231="722W"),"-",Расчет!A231)</f>
        <v>11376</v>
      </c>
      <c r="BO234" s="173">
        <f t="shared" si="65"/>
        <v>0</v>
      </c>
      <c r="BP234" s="172">
        <f>IF(BQ234="-","-",IFERROR(IF(OR(VLOOKUP(BN234,Расчет!$A$2:$E$582,5,FALSE)="2PS",VLOOKUP(BN234,Расчет!$A$2:$E$582,5,FALSE)="2QL"),IF(OR(VLOOKUP(BN234,Расчет!$A$2:$E$582,2,FALSE)="664W",VLOOKUP(BN234,Расчет!$A$2:$E$582,2,FALSE)="813W"),IF(BN234-$BS$7&gt;150,BN234-$BS$7-1000+$AD$12,BN234-$BS$7+$AD$12),IF(BN234-$BS$7&gt;150,BN234-$BS$7-1000+$AD$17,BN234-$BS$7+$AD$17)),IF(BN234-$BS$7&gt;150,BN234-$BS$7-1000,BN234-$BS$7)),"-"))</f>
        <v>-848</v>
      </c>
      <c r="BQ234" s="173">
        <f t="shared" si="62"/>
        <v>11376</v>
      </c>
      <c r="BR234" s="453"/>
      <c r="BS234" s="171"/>
      <c r="BT234" s="464" t="str">
        <f t="shared" si="63"/>
        <v>-</v>
      </c>
      <c r="BU234" s="464" t="str">
        <f t="shared" si="64"/>
        <v>-</v>
      </c>
      <c r="BX234"/>
      <c r="BY234"/>
    </row>
    <row r="235" spans="64:77" ht="21">
      <c r="BL235" s="172">
        <f>COUNTIF($BM$5:BM235,"&lt;-115")</f>
        <v>0</v>
      </c>
      <c r="BM235" s="154">
        <f>IFERROR(IF(OR(IFERROR(VLOOKUP(BN235,$E$3:$E$105,1,FALSE),"0")=BN235,IFERROR(VLOOKUP(BN235,$R$3:$R$105,1,FALSE),"0")=BN235),BO235,IF(OR(VLOOKUP(BN235,Расчет!A:E,5,FALSE)="2PS",VLOOKUP(BN235,Расчет!A:E,5,FALSE)="2QL"),IF(VLOOKUP(BN235,Расчет!A:B,2,FALSE)="831W",BN235-$BS$7+$AD$17,BN235-$BS$7+$AD$12),BN235-$BS$7)),"-")</f>
        <v>153</v>
      </c>
      <c r="BN235" s="154">
        <f>IF(OR(Расчет!C232="A0",Расчет!C232="P9",Расчет!B232="722W"),"-",Расчет!A232)</f>
        <v>11377</v>
      </c>
      <c r="BO235" s="173">
        <f t="shared" si="65"/>
        <v>0</v>
      </c>
      <c r="BP235" s="172">
        <f>IF(BQ235="-","-",IFERROR(IF(OR(VLOOKUP(BN235,Расчет!$A$2:$E$582,5,FALSE)="2PS",VLOOKUP(BN235,Расчет!$A$2:$E$582,5,FALSE)="2QL"),IF(OR(VLOOKUP(BN235,Расчет!$A$2:$E$582,2,FALSE)="664W",VLOOKUP(BN235,Расчет!$A$2:$E$582,2,FALSE)="813W"),IF(BN235-$BS$7&gt;150,BN235-$BS$7-1000+$AD$12,BN235-$BS$7+$AD$12),IF(BN235-$BS$7&gt;150,BN235-$BS$7-1000+$AD$17,BN235-$BS$7+$AD$17)),IF(BN235-$BS$7&gt;150,BN235-$BS$7-1000,BN235-$BS$7)),"-"))</f>
        <v>-847</v>
      </c>
      <c r="BQ235" s="173">
        <f t="shared" si="62"/>
        <v>11377</v>
      </c>
      <c r="BR235" s="453"/>
      <c r="BS235" s="171"/>
      <c r="BT235" s="464" t="str">
        <f t="shared" si="63"/>
        <v>-</v>
      </c>
      <c r="BU235" s="464" t="str">
        <f t="shared" si="64"/>
        <v>-</v>
      </c>
      <c r="BX235"/>
      <c r="BY235"/>
    </row>
    <row r="236" spans="64:77" ht="21">
      <c r="BL236" s="172">
        <f>COUNTIF($BM$5:BM236,"&lt;-115")</f>
        <v>0</v>
      </c>
      <c r="BM236" s="154">
        <f>IFERROR(IF(OR(IFERROR(VLOOKUP(BN236,$E$3:$E$105,1,FALSE),"0")=BN236,IFERROR(VLOOKUP(BN236,$R$3:$R$105,1,FALSE),"0")=BN236),BO236,IF(OR(VLOOKUP(BN236,Расчет!A:E,5,FALSE)="2PS",VLOOKUP(BN236,Расчет!A:E,5,FALSE)="2QL"),IF(VLOOKUP(BN236,Расчет!A:B,2,FALSE)="831W",BN236-$BS$7+$AD$17,BN236-$BS$7+$AD$12),BN236-$BS$7)),"-")</f>
        <v>154</v>
      </c>
      <c r="BN236" s="154">
        <f>IF(OR(Расчет!C233="A0",Расчет!C233="P9",Расчет!B233="722W"),"-",Расчет!A233)</f>
        <v>11378</v>
      </c>
      <c r="BO236" s="173">
        <f t="shared" si="65"/>
        <v>0</v>
      </c>
      <c r="BP236" s="172">
        <f>IF(BQ236="-","-",IFERROR(IF(OR(VLOOKUP(BN236,Расчет!$A$2:$E$582,5,FALSE)="2PS",VLOOKUP(BN236,Расчет!$A$2:$E$582,5,FALSE)="2QL"),IF(OR(VLOOKUP(BN236,Расчет!$A$2:$E$582,2,FALSE)="664W",VLOOKUP(BN236,Расчет!$A$2:$E$582,2,FALSE)="813W"),IF(BN236-$BS$7&gt;150,BN236-$BS$7-1000+$AD$12,BN236-$BS$7+$AD$12),IF(BN236-$BS$7&gt;150,BN236-$BS$7-1000+$AD$17,BN236-$BS$7+$AD$17)),IF(BN236-$BS$7&gt;150,BN236-$BS$7-1000,BN236-$BS$7)),"-"))</f>
        <v>-846</v>
      </c>
      <c r="BQ236" s="173">
        <f t="shared" si="62"/>
        <v>11378</v>
      </c>
      <c r="BR236" s="453"/>
      <c r="BS236" s="171"/>
      <c r="BT236" s="464" t="str">
        <f t="shared" si="63"/>
        <v>-</v>
      </c>
      <c r="BU236" s="464" t="str">
        <f t="shared" si="64"/>
        <v>-</v>
      </c>
      <c r="BX236"/>
      <c r="BY236"/>
    </row>
    <row r="237" spans="64:77" ht="21">
      <c r="BL237" s="172">
        <f>COUNTIF($BM$5:BM237,"&lt;-115")</f>
        <v>0</v>
      </c>
      <c r="BM237" s="154">
        <f>IFERROR(IF(OR(IFERROR(VLOOKUP(BN237,$E$3:$E$105,1,FALSE),"0")=BN237,IFERROR(VLOOKUP(BN237,$R$3:$R$105,1,FALSE),"0")=BN237),BO237,IF(OR(VLOOKUP(BN237,Расчет!A:E,5,FALSE)="2PS",VLOOKUP(BN237,Расчет!A:E,5,FALSE)="2QL"),IF(VLOOKUP(BN237,Расчет!A:B,2,FALSE)="831W",BN237-$BS$7+$AD$17,BN237-$BS$7+$AD$12),BN237-$BS$7)),"-")</f>
        <v>155</v>
      </c>
      <c r="BN237" s="154">
        <f>IF(OR(Расчет!C234="A0",Расчет!C234="P9",Расчет!B234="722W"),"-",Расчет!A234)</f>
        <v>11379</v>
      </c>
      <c r="BO237" s="173">
        <f t="shared" si="65"/>
        <v>0</v>
      </c>
      <c r="BP237" s="172">
        <f>IF(BQ237="-","-",IFERROR(IF(OR(VLOOKUP(BN237,Расчет!$A$2:$E$582,5,FALSE)="2PS",VLOOKUP(BN237,Расчет!$A$2:$E$582,5,FALSE)="2QL"),IF(OR(VLOOKUP(BN237,Расчет!$A$2:$E$582,2,FALSE)="664W",VLOOKUP(BN237,Расчет!$A$2:$E$582,2,FALSE)="813W"),IF(BN237-$BS$7&gt;150,BN237-$BS$7-1000+$AD$12,BN237-$BS$7+$AD$12),IF(BN237-$BS$7&gt;150,BN237-$BS$7-1000+$AD$17,BN237-$BS$7+$AD$17)),IF(BN237-$BS$7&gt;150,BN237-$BS$7-1000,BN237-$BS$7)),"-"))</f>
        <v>-845</v>
      </c>
      <c r="BQ237" s="173">
        <f t="shared" si="62"/>
        <v>11379</v>
      </c>
      <c r="BR237" s="453"/>
      <c r="BS237" s="171"/>
      <c r="BT237" s="464" t="str">
        <f t="shared" si="63"/>
        <v>-</v>
      </c>
      <c r="BU237" s="464" t="str">
        <f t="shared" si="64"/>
        <v>-</v>
      </c>
      <c r="BX237"/>
      <c r="BY237"/>
    </row>
    <row r="238" spans="64:77" ht="21">
      <c r="BL238" s="172">
        <f>COUNTIF($BM$5:BM238,"&lt;-115")</f>
        <v>0</v>
      </c>
      <c r="BM238" s="154">
        <f>IFERROR(IF(OR(IFERROR(VLOOKUP(BN238,$E$3:$E$105,1,FALSE),"0")=BN238,IFERROR(VLOOKUP(BN238,$R$3:$R$105,1,FALSE),"0")=BN238),BO238,IF(OR(VLOOKUP(BN238,Расчет!A:E,5,FALSE)="2PS",VLOOKUP(BN238,Расчет!A:E,5,FALSE)="2QL"),IF(VLOOKUP(BN238,Расчет!A:B,2,FALSE)="831W",BN238-$BS$7+$AD$17,BN238-$BS$7+$AD$12),BN238-$BS$7)),"-")</f>
        <v>156</v>
      </c>
      <c r="BN238" s="154">
        <f>IF(OR(Расчет!C235="A0",Расчет!C235="P9",Расчет!B235="722W"),"-",Расчет!A235)</f>
        <v>11380</v>
      </c>
      <c r="BO238" s="173">
        <f t="shared" si="65"/>
        <v>0</v>
      </c>
      <c r="BP238" s="172">
        <f>IF(BQ238="-","-",IFERROR(IF(OR(VLOOKUP(BN238,Расчет!$A$2:$E$582,5,FALSE)="2PS",VLOOKUP(BN238,Расчет!$A$2:$E$582,5,FALSE)="2QL"),IF(OR(VLOOKUP(BN238,Расчет!$A$2:$E$582,2,FALSE)="664W",VLOOKUP(BN238,Расчет!$A$2:$E$582,2,FALSE)="813W"),IF(BN238-$BS$7&gt;150,BN238-$BS$7-1000+$AD$12,BN238-$BS$7+$AD$12),IF(BN238-$BS$7&gt;150,BN238-$BS$7-1000+$AD$17,BN238-$BS$7+$AD$17)),IF(BN238-$BS$7&gt;150,BN238-$BS$7-1000,BN238-$BS$7)),"-"))</f>
        <v>-844</v>
      </c>
      <c r="BQ238" s="173">
        <f t="shared" si="62"/>
        <v>11380</v>
      </c>
      <c r="BR238" s="453"/>
      <c r="BS238" s="171"/>
      <c r="BT238" s="464" t="str">
        <f t="shared" si="63"/>
        <v>-</v>
      </c>
      <c r="BU238" s="464" t="str">
        <f t="shared" si="64"/>
        <v>-</v>
      </c>
      <c r="BX238"/>
      <c r="BY238"/>
    </row>
    <row r="239" spans="64:77" ht="21">
      <c r="BL239" s="172">
        <f>COUNTIF($BM$5:BM239,"&lt;-115")</f>
        <v>0</v>
      </c>
      <c r="BM239" s="154">
        <f>IFERROR(IF(OR(IFERROR(VLOOKUP(BN239,$E$3:$E$105,1,FALSE),"0")=BN239,IFERROR(VLOOKUP(BN239,$R$3:$R$105,1,FALSE),"0")=BN239),BO239,IF(OR(VLOOKUP(BN239,Расчет!A:E,5,FALSE)="2PS",VLOOKUP(BN239,Расчет!A:E,5,FALSE)="2QL"),IF(VLOOKUP(BN239,Расчет!A:B,2,FALSE)="831W",BN239-$BS$7+$AD$17,BN239-$BS$7+$AD$12),BN239-$BS$7)),"-")</f>
        <v>157</v>
      </c>
      <c r="BN239" s="154">
        <f>IF(OR(Расчет!C236="A0",Расчет!C236="P9",Расчет!B236="722W"),"-",Расчет!A236)</f>
        <v>11381</v>
      </c>
      <c r="BO239" s="173">
        <f t="shared" si="65"/>
        <v>0</v>
      </c>
      <c r="BP239" s="172">
        <f>IF(BQ239="-","-",IFERROR(IF(OR(VLOOKUP(BN239,Расчет!$A$2:$E$582,5,FALSE)="2PS",VLOOKUP(BN239,Расчет!$A$2:$E$582,5,FALSE)="2QL"),IF(OR(VLOOKUP(BN239,Расчет!$A$2:$E$582,2,FALSE)="664W",VLOOKUP(BN239,Расчет!$A$2:$E$582,2,FALSE)="813W"),IF(BN239-$BS$7&gt;150,BN239-$BS$7-1000+$AD$12,BN239-$BS$7+$AD$12),IF(BN239-$BS$7&gt;150,BN239-$BS$7-1000+$AD$17,BN239-$BS$7+$AD$17)),IF(BN239-$BS$7&gt;150,BN239-$BS$7-1000,BN239-$BS$7)),"-"))</f>
        <v>-843</v>
      </c>
      <c r="BQ239" s="173">
        <f t="shared" si="62"/>
        <v>11381</v>
      </c>
      <c r="BR239" s="453"/>
      <c r="BS239" s="171"/>
      <c r="BT239" s="464" t="str">
        <f t="shared" si="63"/>
        <v>-</v>
      </c>
      <c r="BU239" s="464" t="str">
        <f t="shared" si="64"/>
        <v>-</v>
      </c>
      <c r="BX239"/>
      <c r="BY239"/>
    </row>
    <row r="240" spans="64:77" ht="21">
      <c r="BL240" s="172">
        <f>COUNTIF($BM$5:BM240,"&lt;-115")</f>
        <v>0</v>
      </c>
      <c r="BM240" s="154">
        <f>IFERROR(IF(OR(IFERROR(VLOOKUP(BN240,$E$3:$E$105,1,FALSE),"0")=BN240,IFERROR(VLOOKUP(BN240,$R$3:$R$105,1,FALSE),"0")=BN240),BO240,IF(OR(VLOOKUP(BN240,Расчет!A:E,5,FALSE)="2PS",VLOOKUP(BN240,Расчет!A:E,5,FALSE)="2QL"),IF(VLOOKUP(BN240,Расчет!A:B,2,FALSE)="831W",BN240-$BS$7+$AD$17,BN240-$BS$7+$AD$12),BN240-$BS$7)),"-")</f>
        <v>158</v>
      </c>
      <c r="BN240" s="154">
        <f>IF(OR(Расчет!C237="A0",Расчет!C237="P9",Расчет!B237="722W"),"-",Расчет!A237)</f>
        <v>11382</v>
      </c>
      <c r="BO240" s="173">
        <f t="shared" si="65"/>
        <v>0</v>
      </c>
      <c r="BP240" s="172">
        <f>IF(BQ240="-","-",IFERROR(IF(OR(VLOOKUP(BN240,Расчет!$A$2:$E$582,5,FALSE)="2PS",VLOOKUP(BN240,Расчет!$A$2:$E$582,5,FALSE)="2QL"),IF(OR(VLOOKUP(BN240,Расчет!$A$2:$E$582,2,FALSE)="664W",VLOOKUP(BN240,Расчет!$A$2:$E$582,2,FALSE)="813W"),IF(BN240-$BS$7&gt;150,BN240-$BS$7-1000+$AD$12,BN240-$BS$7+$AD$12),IF(BN240-$BS$7&gt;150,BN240-$BS$7-1000+$AD$17,BN240-$BS$7+$AD$17)),IF(BN240-$BS$7&gt;150,BN240-$BS$7-1000,BN240-$BS$7)),"-"))</f>
        <v>-842</v>
      </c>
      <c r="BQ240" s="173">
        <f t="shared" si="62"/>
        <v>11382</v>
      </c>
      <c r="BR240" s="453"/>
      <c r="BS240" s="171"/>
      <c r="BT240" s="464" t="str">
        <f t="shared" si="63"/>
        <v>-</v>
      </c>
      <c r="BU240" s="464" t="str">
        <f t="shared" si="64"/>
        <v>-</v>
      </c>
      <c r="BX240"/>
      <c r="BY240"/>
    </row>
    <row r="241" spans="64:77" ht="21">
      <c r="BL241" s="172">
        <f>COUNTIF($BM$5:BM241,"&lt;-115")</f>
        <v>0</v>
      </c>
      <c r="BM241" s="154">
        <f>IFERROR(IF(OR(IFERROR(VLOOKUP(BN241,$E$3:$E$105,1,FALSE),"0")=BN241,IFERROR(VLOOKUP(BN241,$R$3:$R$105,1,FALSE),"0")=BN241),BO241,IF(OR(VLOOKUP(BN241,Расчет!A:E,5,FALSE)="2PS",VLOOKUP(BN241,Расчет!A:E,5,FALSE)="2QL"),IF(VLOOKUP(BN241,Расчет!A:B,2,FALSE)="831W",BN241-$BS$7+$AD$17,BN241-$BS$7+$AD$12),BN241-$BS$7)),"-")</f>
        <v>159</v>
      </c>
      <c r="BN241" s="154">
        <f>IF(OR(Расчет!C238="A0",Расчет!C238="P9",Расчет!B238="722W"),"-",Расчет!A238)</f>
        <v>11383</v>
      </c>
      <c r="BO241" s="173">
        <f t="shared" si="65"/>
        <v>0</v>
      </c>
      <c r="BP241" s="172">
        <f>IF(BQ241="-","-",IFERROR(IF(OR(VLOOKUP(BN241,Расчет!$A$2:$E$582,5,FALSE)="2PS",VLOOKUP(BN241,Расчет!$A$2:$E$582,5,FALSE)="2QL"),IF(OR(VLOOKUP(BN241,Расчет!$A$2:$E$582,2,FALSE)="664W",VLOOKUP(BN241,Расчет!$A$2:$E$582,2,FALSE)="813W"),IF(BN241-$BS$7&gt;150,BN241-$BS$7-1000+$AD$12,BN241-$BS$7+$AD$12),IF(BN241-$BS$7&gt;150,BN241-$BS$7-1000+$AD$17,BN241-$BS$7+$AD$17)),IF(BN241-$BS$7&gt;150,BN241-$BS$7-1000,BN241-$BS$7)),"-"))</f>
        <v>-841</v>
      </c>
      <c r="BQ241" s="173">
        <f t="shared" si="62"/>
        <v>11383</v>
      </c>
      <c r="BR241" s="453"/>
      <c r="BS241" s="171"/>
      <c r="BT241" s="464" t="str">
        <f t="shared" si="63"/>
        <v>-</v>
      </c>
      <c r="BU241" s="464" t="str">
        <f t="shared" si="64"/>
        <v>-</v>
      </c>
      <c r="BX241"/>
      <c r="BY241"/>
    </row>
    <row r="242" spans="64:77" ht="21">
      <c r="BL242" s="172">
        <f>COUNTIF($BM$5:BM242,"&lt;-115")</f>
        <v>0</v>
      </c>
      <c r="BM242" s="154">
        <f>IFERROR(IF(OR(IFERROR(VLOOKUP(BN242,$E$3:$E$105,1,FALSE),"0")=BN242,IFERROR(VLOOKUP(BN242,$R$3:$R$105,1,FALSE),"0")=BN242),BO242,IF(OR(VLOOKUP(BN242,Расчет!A:E,5,FALSE)="2PS",VLOOKUP(BN242,Расчет!A:E,5,FALSE)="2QL"),IF(VLOOKUP(BN242,Расчет!A:B,2,FALSE)="831W",BN242-$BS$7+$AD$17,BN242-$BS$7+$AD$12),BN242-$BS$7)),"-")</f>
        <v>271</v>
      </c>
      <c r="BN242" s="154">
        <f>IF(OR(Расчет!C239="A0",Расчет!C239="P9",Расчет!B239="722W"),"-",Расчет!A239)</f>
        <v>11384</v>
      </c>
      <c r="BO242" s="173">
        <f t="shared" si="65"/>
        <v>0</v>
      </c>
      <c r="BP242" s="172">
        <f>IF(BQ242="-","-",IFERROR(IF(OR(VLOOKUP(BN242,Расчет!$A$2:$E$582,5,FALSE)="2PS",VLOOKUP(BN242,Расчет!$A$2:$E$582,5,FALSE)="2QL"),IF(OR(VLOOKUP(BN242,Расчет!$A$2:$E$582,2,FALSE)="664W",VLOOKUP(BN242,Расчет!$A$2:$E$582,2,FALSE)="813W"),IF(BN242-$BS$7&gt;150,BN242-$BS$7-1000+$AD$12,BN242-$BS$7+$AD$12),IF(BN242-$BS$7&gt;150,BN242-$BS$7-1000+$AD$17,BN242-$BS$7+$AD$17)),IF(BN242-$BS$7&gt;150,BN242-$BS$7-1000,BN242-$BS$7)),"-"))</f>
        <v>-729</v>
      </c>
      <c r="BQ242" s="173">
        <f t="shared" si="62"/>
        <v>11384</v>
      </c>
      <c r="BR242" s="453"/>
      <c r="BS242" s="171"/>
      <c r="BT242" s="464" t="str">
        <f t="shared" si="63"/>
        <v>-</v>
      </c>
      <c r="BU242" s="464" t="str">
        <f t="shared" si="64"/>
        <v>-</v>
      </c>
      <c r="BX242"/>
      <c r="BY242"/>
    </row>
    <row r="243" spans="64:77" ht="21">
      <c r="BL243" s="172">
        <f>COUNTIF($BM$5:BM243,"&lt;-115")</f>
        <v>0</v>
      </c>
      <c r="BM243" s="154">
        <f>IFERROR(IF(OR(IFERROR(VLOOKUP(BN243,$E$3:$E$105,1,FALSE),"0")=BN243,IFERROR(VLOOKUP(BN243,$R$3:$R$105,1,FALSE),"0")=BN243),BO243,IF(OR(VLOOKUP(BN243,Расчет!A:E,5,FALSE)="2PS",VLOOKUP(BN243,Расчет!A:E,5,FALSE)="2QL"),IF(VLOOKUP(BN243,Расчет!A:B,2,FALSE)="831W",BN243-$BS$7+$AD$17,BN243-$BS$7+$AD$12),BN243-$BS$7)),"-")</f>
        <v>161</v>
      </c>
      <c r="BN243" s="154">
        <f>IF(OR(Расчет!C240="A0",Расчет!C240="P9",Расчет!B240="722W"),"-",Расчет!A240)</f>
        <v>11385</v>
      </c>
      <c r="BO243" s="173">
        <f t="shared" si="65"/>
        <v>0</v>
      </c>
      <c r="BP243" s="172">
        <f>IF(BQ243="-","-",IFERROR(IF(OR(VLOOKUP(BN243,Расчет!$A$2:$E$582,5,FALSE)="2PS",VLOOKUP(BN243,Расчет!$A$2:$E$582,5,FALSE)="2QL"),IF(OR(VLOOKUP(BN243,Расчет!$A$2:$E$582,2,FALSE)="664W",VLOOKUP(BN243,Расчет!$A$2:$E$582,2,FALSE)="813W"),IF(BN243-$BS$7&gt;150,BN243-$BS$7-1000+$AD$12,BN243-$BS$7+$AD$12),IF(BN243-$BS$7&gt;150,BN243-$BS$7-1000+$AD$17,BN243-$BS$7+$AD$17)),IF(BN243-$BS$7&gt;150,BN243-$BS$7-1000,BN243-$BS$7)),"-"))</f>
        <v>-839</v>
      </c>
      <c r="BQ243" s="173">
        <f t="shared" si="62"/>
        <v>11385</v>
      </c>
      <c r="BR243" s="453"/>
      <c r="BS243" s="171"/>
      <c r="BT243" s="464" t="str">
        <f t="shared" si="63"/>
        <v>-</v>
      </c>
      <c r="BU243" s="464" t="str">
        <f t="shared" si="64"/>
        <v>-</v>
      </c>
      <c r="BX243"/>
      <c r="BY243"/>
    </row>
    <row r="244" spans="64:77" ht="21">
      <c r="BL244" s="172">
        <f>COUNTIF($BM$5:BM244,"&lt;-115")</f>
        <v>0</v>
      </c>
      <c r="BM244" s="154">
        <f>IFERROR(IF(OR(IFERROR(VLOOKUP(BN244,$E$3:$E$105,1,FALSE),"0")=BN244,IFERROR(VLOOKUP(BN244,$R$3:$R$105,1,FALSE),"0")=BN244),BO244,IF(OR(VLOOKUP(BN244,Расчет!A:E,5,FALSE)="2PS",VLOOKUP(BN244,Расчет!A:E,5,FALSE)="2QL"),IF(VLOOKUP(BN244,Расчет!A:B,2,FALSE)="831W",BN244-$BS$7+$AD$17,BN244-$BS$7+$AD$12),BN244-$BS$7)),"-")</f>
        <v>162</v>
      </c>
      <c r="BN244" s="154">
        <f>IF(OR(Расчет!C241="A0",Расчет!C241="P9",Расчет!B241="722W"),"-",Расчет!A241)</f>
        <v>11386</v>
      </c>
      <c r="BO244" s="173">
        <f t="shared" si="65"/>
        <v>0</v>
      </c>
      <c r="BP244" s="172">
        <f>IF(BQ244="-","-",IFERROR(IF(OR(VLOOKUP(BN244,Расчет!$A$2:$E$582,5,FALSE)="2PS",VLOOKUP(BN244,Расчет!$A$2:$E$582,5,FALSE)="2QL"),IF(OR(VLOOKUP(BN244,Расчет!$A$2:$E$582,2,FALSE)="664W",VLOOKUP(BN244,Расчет!$A$2:$E$582,2,FALSE)="813W"),IF(BN244-$BS$7&gt;150,BN244-$BS$7-1000+$AD$12,BN244-$BS$7+$AD$12),IF(BN244-$BS$7&gt;150,BN244-$BS$7-1000+$AD$17,BN244-$BS$7+$AD$17)),IF(BN244-$BS$7&gt;150,BN244-$BS$7-1000,BN244-$BS$7)),"-"))</f>
        <v>-838</v>
      </c>
      <c r="BQ244" s="173">
        <f t="shared" si="62"/>
        <v>11386</v>
      </c>
      <c r="BR244" s="453"/>
      <c r="BS244" s="171"/>
      <c r="BT244" s="464" t="str">
        <f t="shared" si="63"/>
        <v>-</v>
      </c>
      <c r="BU244" s="464" t="str">
        <f t="shared" si="64"/>
        <v>-</v>
      </c>
      <c r="BX244"/>
      <c r="BY244"/>
    </row>
    <row r="245" spans="64:77" ht="21">
      <c r="BL245" s="172">
        <f>COUNTIF($BM$5:BM245,"&lt;-115")</f>
        <v>0</v>
      </c>
      <c r="BM245" s="154">
        <f>IFERROR(IF(OR(IFERROR(VLOOKUP(BN245,$E$3:$E$105,1,FALSE),"0")=BN245,IFERROR(VLOOKUP(BN245,$R$3:$R$105,1,FALSE),"0")=BN245),BO245,IF(OR(VLOOKUP(BN245,Расчет!A:E,5,FALSE)="2PS",VLOOKUP(BN245,Расчет!A:E,5,FALSE)="2QL"),IF(VLOOKUP(BN245,Расчет!A:B,2,FALSE)="831W",BN245-$BS$7+$AD$17,BN245-$BS$7+$AD$12),BN245-$BS$7)),"-")</f>
        <v>163</v>
      </c>
      <c r="BN245" s="154">
        <f>IF(OR(Расчет!C242="A0",Расчет!C242="P9",Расчет!B242="722W"),"-",Расчет!A242)</f>
        <v>11387</v>
      </c>
      <c r="BO245" s="173">
        <f t="shared" si="65"/>
        <v>0</v>
      </c>
      <c r="BP245" s="172">
        <f>IF(BQ245="-","-",IFERROR(IF(OR(VLOOKUP(BN245,Расчет!$A$2:$E$582,5,FALSE)="2PS",VLOOKUP(BN245,Расчет!$A$2:$E$582,5,FALSE)="2QL"),IF(OR(VLOOKUP(BN245,Расчет!$A$2:$E$582,2,FALSE)="664W",VLOOKUP(BN245,Расчет!$A$2:$E$582,2,FALSE)="813W"),IF(BN245-$BS$7&gt;150,BN245-$BS$7-1000+$AD$12,BN245-$BS$7+$AD$12),IF(BN245-$BS$7&gt;150,BN245-$BS$7-1000+$AD$17,BN245-$BS$7+$AD$17)),IF(BN245-$BS$7&gt;150,BN245-$BS$7-1000,BN245-$BS$7)),"-"))</f>
        <v>-837</v>
      </c>
      <c r="BQ245" s="173">
        <f t="shared" si="62"/>
        <v>11387</v>
      </c>
      <c r="BR245" s="453"/>
      <c r="BS245" s="171"/>
      <c r="BT245" s="464" t="str">
        <f t="shared" si="63"/>
        <v>-</v>
      </c>
      <c r="BU245" s="464" t="str">
        <f t="shared" si="64"/>
        <v>-</v>
      </c>
      <c r="BX245"/>
      <c r="BY245"/>
    </row>
    <row r="246" spans="64:77" ht="21">
      <c r="BL246" s="172">
        <f>COUNTIF($BM$5:BM246,"&lt;-115")</f>
        <v>0</v>
      </c>
      <c r="BM246" s="154">
        <f>IFERROR(IF(OR(IFERROR(VLOOKUP(BN246,$E$3:$E$105,1,FALSE),"0")=BN246,IFERROR(VLOOKUP(BN246,$R$3:$R$105,1,FALSE),"0")=BN246),BO246,IF(OR(VLOOKUP(BN246,Расчет!A:E,5,FALSE)="2PS",VLOOKUP(BN246,Расчет!A:E,5,FALSE)="2QL"),IF(VLOOKUP(BN246,Расчет!A:B,2,FALSE)="831W",BN246-$BS$7+$AD$17,BN246-$BS$7+$AD$12),BN246-$BS$7)),"-")</f>
        <v>164</v>
      </c>
      <c r="BN246" s="154">
        <f>IF(OR(Расчет!C243="A0",Расчет!C243="P9",Расчет!B243="722W"),"-",Расчет!A243)</f>
        <v>11388</v>
      </c>
      <c r="BO246" s="173">
        <f t="shared" si="65"/>
        <v>0</v>
      </c>
      <c r="BP246" s="172">
        <f>IF(BQ246="-","-",IFERROR(IF(OR(VLOOKUP(BN246,Расчет!$A$2:$E$582,5,FALSE)="2PS",VLOOKUP(BN246,Расчет!$A$2:$E$582,5,FALSE)="2QL"),IF(OR(VLOOKUP(BN246,Расчет!$A$2:$E$582,2,FALSE)="664W",VLOOKUP(BN246,Расчет!$A$2:$E$582,2,FALSE)="813W"),IF(BN246-$BS$7&gt;150,BN246-$BS$7-1000+$AD$12,BN246-$BS$7+$AD$12),IF(BN246-$BS$7&gt;150,BN246-$BS$7-1000+$AD$17,BN246-$BS$7+$AD$17)),IF(BN246-$BS$7&gt;150,BN246-$BS$7-1000,BN246-$BS$7)),"-"))</f>
        <v>-836</v>
      </c>
      <c r="BQ246" s="173">
        <f t="shared" si="62"/>
        <v>11388</v>
      </c>
      <c r="BR246" s="453"/>
      <c r="BS246" s="171"/>
      <c r="BT246" s="464" t="str">
        <f t="shared" si="63"/>
        <v>-</v>
      </c>
      <c r="BU246" s="464" t="str">
        <f t="shared" si="64"/>
        <v>-</v>
      </c>
      <c r="BX246"/>
      <c r="BY246"/>
    </row>
    <row r="247" spans="64:77" ht="21">
      <c r="BL247" s="172">
        <f>COUNTIF($BM$5:BM247,"&lt;-115")</f>
        <v>0</v>
      </c>
      <c r="BM247" s="154">
        <f>IFERROR(IF(OR(IFERROR(VLOOKUP(BN247,$E$3:$E$105,1,FALSE),"0")=BN247,IFERROR(VLOOKUP(BN247,$R$3:$R$105,1,FALSE),"0")=BN247),BO247,IF(OR(VLOOKUP(BN247,Расчет!A:E,5,FALSE)="2PS",VLOOKUP(BN247,Расчет!A:E,5,FALSE)="2QL"),IF(VLOOKUP(BN247,Расчет!A:B,2,FALSE)="831W",BN247-$BS$7+$AD$17,BN247-$BS$7+$AD$12),BN247-$BS$7)),"-")</f>
        <v>165</v>
      </c>
      <c r="BN247" s="154">
        <f>IF(OR(Расчет!C244="A0",Расчет!C244="P9",Расчет!B244="722W"),"-",Расчет!A244)</f>
        <v>11389</v>
      </c>
      <c r="BO247" s="173">
        <f t="shared" si="65"/>
        <v>0</v>
      </c>
      <c r="BP247" s="172">
        <f>IF(BQ247="-","-",IFERROR(IF(OR(VLOOKUP(BN247,Расчет!$A$2:$E$582,5,FALSE)="2PS",VLOOKUP(BN247,Расчет!$A$2:$E$582,5,FALSE)="2QL"),IF(OR(VLOOKUP(BN247,Расчет!$A$2:$E$582,2,FALSE)="664W",VLOOKUP(BN247,Расчет!$A$2:$E$582,2,FALSE)="813W"),IF(BN247-$BS$7&gt;150,BN247-$BS$7-1000+$AD$12,BN247-$BS$7+$AD$12),IF(BN247-$BS$7&gt;150,BN247-$BS$7-1000+$AD$17,BN247-$BS$7+$AD$17)),IF(BN247-$BS$7&gt;150,BN247-$BS$7-1000,BN247-$BS$7)),"-"))</f>
        <v>-835</v>
      </c>
      <c r="BQ247" s="173">
        <f t="shared" si="62"/>
        <v>11389</v>
      </c>
      <c r="BR247" s="453"/>
      <c r="BS247" s="171"/>
      <c r="BT247" s="464" t="str">
        <f t="shared" si="63"/>
        <v>-</v>
      </c>
      <c r="BU247" s="464" t="str">
        <f t="shared" si="64"/>
        <v>-</v>
      </c>
      <c r="BX247"/>
      <c r="BY247"/>
    </row>
    <row r="248" spans="64:77" ht="21">
      <c r="BL248" s="172">
        <f>COUNTIF($BM$5:BM248,"&lt;-115")</f>
        <v>0</v>
      </c>
      <c r="BM248" s="154">
        <f>IFERROR(IF(OR(IFERROR(VLOOKUP(BN248,$E$3:$E$105,1,FALSE),"0")=BN248,IFERROR(VLOOKUP(BN248,$R$3:$R$105,1,FALSE),"0")=BN248),BO248,IF(OR(VLOOKUP(BN248,Расчет!A:E,5,FALSE)="2PS",VLOOKUP(BN248,Расчет!A:E,5,FALSE)="2QL"),IF(VLOOKUP(BN248,Расчет!A:B,2,FALSE)="831W",BN248-$BS$7+$AD$17,BN248-$BS$7+$AD$12),BN248-$BS$7)),"-")</f>
        <v>166</v>
      </c>
      <c r="BN248" s="154">
        <f>IF(OR(Расчет!C245="A0",Расчет!C245="P9",Расчет!B245="722W"),"-",Расчет!A245)</f>
        <v>11390</v>
      </c>
      <c r="BO248" s="173">
        <f t="shared" si="65"/>
        <v>0</v>
      </c>
      <c r="BP248" s="172">
        <f>IF(BQ248="-","-",IFERROR(IF(OR(VLOOKUP(BN248,Расчет!$A$2:$E$582,5,FALSE)="2PS",VLOOKUP(BN248,Расчет!$A$2:$E$582,5,FALSE)="2QL"),IF(OR(VLOOKUP(BN248,Расчет!$A$2:$E$582,2,FALSE)="664W",VLOOKUP(BN248,Расчет!$A$2:$E$582,2,FALSE)="813W"),IF(BN248-$BS$7&gt;150,BN248-$BS$7-1000+$AD$12,BN248-$BS$7+$AD$12),IF(BN248-$BS$7&gt;150,BN248-$BS$7-1000+$AD$17,BN248-$BS$7+$AD$17)),IF(BN248-$BS$7&gt;150,BN248-$BS$7-1000,BN248-$BS$7)),"-"))</f>
        <v>-834</v>
      </c>
      <c r="BQ248" s="173">
        <f t="shared" si="62"/>
        <v>11390</v>
      </c>
      <c r="BR248" s="453"/>
      <c r="BS248" s="171"/>
      <c r="BT248" s="464" t="str">
        <f t="shared" si="63"/>
        <v>-</v>
      </c>
      <c r="BU248" s="464" t="str">
        <f t="shared" si="64"/>
        <v>-</v>
      </c>
      <c r="BX248"/>
      <c r="BY248"/>
    </row>
    <row r="249" spans="64:77" ht="21">
      <c r="BL249" s="172">
        <f>COUNTIF($BM$5:BM249,"&lt;-115")</f>
        <v>0</v>
      </c>
      <c r="BM249" s="154">
        <f>IFERROR(IF(OR(IFERROR(VLOOKUP(BN249,$E$3:$E$105,1,FALSE),"0")=BN249,IFERROR(VLOOKUP(BN249,$R$3:$R$105,1,FALSE),"0")=BN249),BO249,IF(OR(VLOOKUP(BN249,Расчет!A:E,5,FALSE)="2PS",VLOOKUP(BN249,Расчет!A:E,5,FALSE)="2QL"),IF(VLOOKUP(BN249,Расчет!A:B,2,FALSE)="831W",BN249-$BS$7+$AD$17,BN249-$BS$7+$AD$12),BN249-$BS$7)),"-")</f>
        <v>167</v>
      </c>
      <c r="BN249" s="154">
        <f>IF(OR(Расчет!C246="A0",Расчет!C246="P9",Расчет!B246="722W"),"-",Расчет!A246)</f>
        <v>11391</v>
      </c>
      <c r="BO249" s="173">
        <f t="shared" si="65"/>
        <v>0</v>
      </c>
      <c r="BP249" s="172">
        <f>IF(BQ249="-","-",IFERROR(IF(OR(VLOOKUP(BN249,Расчет!$A$2:$E$582,5,FALSE)="2PS",VLOOKUP(BN249,Расчет!$A$2:$E$582,5,FALSE)="2QL"),IF(OR(VLOOKUP(BN249,Расчет!$A$2:$E$582,2,FALSE)="664W",VLOOKUP(BN249,Расчет!$A$2:$E$582,2,FALSE)="813W"),IF(BN249-$BS$7&gt;150,BN249-$BS$7-1000+$AD$12,BN249-$BS$7+$AD$12),IF(BN249-$BS$7&gt;150,BN249-$BS$7-1000+$AD$17,BN249-$BS$7+$AD$17)),IF(BN249-$BS$7&gt;150,BN249-$BS$7-1000,BN249-$BS$7)),"-"))</f>
        <v>-833</v>
      </c>
      <c r="BQ249" s="173">
        <f t="shared" si="62"/>
        <v>11391</v>
      </c>
      <c r="BR249" s="453"/>
      <c r="BS249" s="171"/>
      <c r="BT249" s="464" t="str">
        <f t="shared" si="63"/>
        <v>-</v>
      </c>
      <c r="BU249" s="464" t="str">
        <f t="shared" si="64"/>
        <v>-</v>
      </c>
      <c r="BX249"/>
      <c r="BY249"/>
    </row>
    <row r="250" spans="64:77" ht="21">
      <c r="BL250" s="172">
        <f>COUNTIF($BM$5:BM250,"&lt;-115")</f>
        <v>0</v>
      </c>
      <c r="BM250" s="154">
        <f>IFERROR(IF(OR(IFERROR(VLOOKUP(BN250,$E$3:$E$105,1,FALSE),"0")=BN250,IFERROR(VLOOKUP(BN250,$R$3:$R$105,1,FALSE),"0")=BN250),BO250,IF(OR(VLOOKUP(BN250,Расчет!A:E,5,FALSE)="2PS",VLOOKUP(BN250,Расчет!A:E,5,FALSE)="2QL"),IF(VLOOKUP(BN250,Расчет!A:B,2,FALSE)="831W",BN250-$BS$7+$AD$17,BN250-$BS$7+$AD$12),BN250-$BS$7)),"-")</f>
        <v>168</v>
      </c>
      <c r="BN250" s="154">
        <f>IF(OR(Расчет!C247="A0",Расчет!C247="P9",Расчет!B247="722W"),"-",Расчет!A247)</f>
        <v>11392</v>
      </c>
      <c r="BO250" s="173">
        <f t="shared" si="65"/>
        <v>0</v>
      </c>
      <c r="BP250" s="172">
        <f>IF(BQ250="-","-",IFERROR(IF(OR(VLOOKUP(BN250,Расчет!$A$2:$E$582,5,FALSE)="2PS",VLOOKUP(BN250,Расчет!$A$2:$E$582,5,FALSE)="2QL"),IF(OR(VLOOKUP(BN250,Расчет!$A$2:$E$582,2,FALSE)="664W",VLOOKUP(BN250,Расчет!$A$2:$E$582,2,FALSE)="813W"),IF(BN250-$BS$7&gt;150,BN250-$BS$7-1000+$AD$12,BN250-$BS$7+$AD$12),IF(BN250-$BS$7&gt;150,BN250-$BS$7-1000+$AD$17,BN250-$BS$7+$AD$17)),IF(BN250-$BS$7&gt;150,BN250-$BS$7-1000,BN250-$BS$7)),"-"))</f>
        <v>-832</v>
      </c>
      <c r="BQ250" s="173">
        <f t="shared" si="62"/>
        <v>11392</v>
      </c>
      <c r="BR250" s="453"/>
      <c r="BS250" s="171"/>
      <c r="BT250" s="464" t="str">
        <f t="shared" si="63"/>
        <v>-</v>
      </c>
      <c r="BU250" s="464" t="str">
        <f t="shared" si="64"/>
        <v>-</v>
      </c>
      <c r="BX250"/>
      <c r="BY250"/>
    </row>
    <row r="251" spans="64:77" ht="21">
      <c r="BL251" s="172">
        <f>COUNTIF($BM$5:BM251,"&lt;-115")</f>
        <v>0</v>
      </c>
      <c r="BM251" s="154">
        <f>IFERROR(IF(OR(IFERROR(VLOOKUP(BN251,$E$3:$E$105,1,FALSE),"0")=BN251,IFERROR(VLOOKUP(BN251,$R$3:$R$105,1,FALSE),"0")=BN251),BO251,IF(OR(VLOOKUP(BN251,Расчет!A:E,5,FALSE)="2PS",VLOOKUP(BN251,Расчет!A:E,5,FALSE)="2QL"),IF(VLOOKUP(BN251,Расчет!A:B,2,FALSE)="831W",BN251-$BS$7+$AD$17,BN251-$BS$7+$AD$12),BN251-$BS$7)),"-")</f>
        <v>169</v>
      </c>
      <c r="BN251" s="154">
        <f>IF(OR(Расчет!C248="A0",Расчет!C248="P9",Расчет!B248="722W"),"-",Расчет!A248)</f>
        <v>11393</v>
      </c>
      <c r="BO251" s="173">
        <f t="shared" si="65"/>
        <v>0</v>
      </c>
      <c r="BP251" s="172">
        <f>IF(BQ251="-","-",IFERROR(IF(OR(VLOOKUP(BN251,Расчет!$A$2:$E$582,5,FALSE)="2PS",VLOOKUP(BN251,Расчет!$A$2:$E$582,5,FALSE)="2QL"),IF(OR(VLOOKUP(BN251,Расчет!$A$2:$E$582,2,FALSE)="664W",VLOOKUP(BN251,Расчет!$A$2:$E$582,2,FALSE)="813W"),IF(BN251-$BS$7&gt;150,BN251-$BS$7-1000+$AD$12,BN251-$BS$7+$AD$12),IF(BN251-$BS$7&gt;150,BN251-$BS$7-1000+$AD$17,BN251-$BS$7+$AD$17)),IF(BN251-$BS$7&gt;150,BN251-$BS$7-1000,BN251-$BS$7)),"-"))</f>
        <v>-831</v>
      </c>
      <c r="BQ251" s="173">
        <f t="shared" si="62"/>
        <v>11393</v>
      </c>
      <c r="BR251" s="453"/>
      <c r="BS251" s="171"/>
      <c r="BT251" s="464" t="str">
        <f t="shared" si="63"/>
        <v>-</v>
      </c>
      <c r="BU251" s="464" t="str">
        <f t="shared" si="64"/>
        <v>-</v>
      </c>
      <c r="BX251"/>
      <c r="BY251"/>
    </row>
    <row r="252" spans="64:77" ht="21">
      <c r="BL252" s="172">
        <f>COUNTIF($BM$5:BM252,"&lt;-115")</f>
        <v>0</v>
      </c>
      <c r="BM252" s="154">
        <f>IFERROR(IF(OR(IFERROR(VLOOKUP(BN252,$E$3:$E$105,1,FALSE),"0")=BN252,IFERROR(VLOOKUP(BN252,$R$3:$R$105,1,FALSE),"0")=BN252),BO252,IF(OR(VLOOKUP(BN252,Расчет!A:E,5,FALSE)="2PS",VLOOKUP(BN252,Расчет!A:E,5,FALSE)="2QL"),IF(VLOOKUP(BN252,Расчет!A:B,2,FALSE)="831W",BN252-$BS$7+$AD$17,BN252-$BS$7+$AD$12),BN252-$BS$7)),"-")</f>
        <v>270</v>
      </c>
      <c r="BN252" s="154">
        <f>IF(OR(Расчет!C249="A0",Расчет!C249="P9",Расчет!B249="722W"),"-",Расчет!A249)</f>
        <v>11394</v>
      </c>
      <c r="BO252" s="173">
        <f t="shared" si="65"/>
        <v>0</v>
      </c>
      <c r="BP252" s="172">
        <f>IF(BQ252="-","-",IFERROR(IF(OR(VLOOKUP(BN252,Расчет!$A$2:$E$582,5,FALSE)="2PS",VLOOKUP(BN252,Расчет!$A$2:$E$582,5,FALSE)="2QL"),IF(OR(VLOOKUP(BN252,Расчет!$A$2:$E$582,2,FALSE)="664W",VLOOKUP(BN252,Расчет!$A$2:$E$582,2,FALSE)="813W"),IF(BN252-$BS$7&gt;150,BN252-$BS$7-1000+$AD$12,BN252-$BS$7+$AD$12),IF(BN252-$BS$7&gt;150,BN252-$BS$7-1000+$AD$17,BN252-$BS$7+$AD$17)),IF(BN252-$BS$7&gt;150,BN252-$BS$7-1000,BN252-$BS$7)),"-"))</f>
        <v>-730</v>
      </c>
      <c r="BQ252" s="173">
        <f t="shared" si="62"/>
        <v>11394</v>
      </c>
      <c r="BR252" s="453"/>
      <c r="BS252" s="171"/>
      <c r="BT252" s="464" t="str">
        <f t="shared" si="63"/>
        <v>-</v>
      </c>
      <c r="BU252" s="464" t="str">
        <f t="shared" si="64"/>
        <v>-</v>
      </c>
      <c r="BX252"/>
      <c r="BY252"/>
    </row>
    <row r="253" spans="64:77" ht="21">
      <c r="BL253" s="172">
        <f>COUNTIF($BM$5:BM253,"&lt;-115")</f>
        <v>0</v>
      </c>
      <c r="BM253" s="154">
        <f>IFERROR(IF(OR(IFERROR(VLOOKUP(BN253,$E$3:$E$105,1,FALSE),"0")=BN253,IFERROR(VLOOKUP(BN253,$R$3:$R$105,1,FALSE),"0")=BN253),BO253,IF(OR(VLOOKUP(BN253,Расчет!A:E,5,FALSE)="2PS",VLOOKUP(BN253,Расчет!A:E,5,FALSE)="2QL"),IF(VLOOKUP(BN253,Расчет!A:B,2,FALSE)="831W",BN253-$BS$7+$AD$17,BN253-$BS$7+$AD$12),BN253-$BS$7)),"-")</f>
        <v>171</v>
      </c>
      <c r="BN253" s="154">
        <f>IF(OR(Расчет!C250="A0",Расчет!C250="P9",Расчет!B250="722W"),"-",Расчет!A250)</f>
        <v>11395</v>
      </c>
      <c r="BO253" s="173">
        <f t="shared" si="65"/>
        <v>0</v>
      </c>
      <c r="BP253" s="172">
        <f>IF(BQ253="-","-",IFERROR(IF(OR(VLOOKUP(BN253,Расчет!$A$2:$E$582,5,FALSE)="2PS",VLOOKUP(BN253,Расчет!$A$2:$E$582,5,FALSE)="2QL"),IF(OR(VLOOKUP(BN253,Расчет!$A$2:$E$582,2,FALSE)="664W",VLOOKUP(BN253,Расчет!$A$2:$E$582,2,FALSE)="813W"),IF(BN253-$BS$7&gt;150,BN253-$BS$7-1000+$AD$12,BN253-$BS$7+$AD$12),IF(BN253-$BS$7&gt;150,BN253-$BS$7-1000+$AD$17,BN253-$BS$7+$AD$17)),IF(BN253-$BS$7&gt;150,BN253-$BS$7-1000,BN253-$BS$7)),"-"))</f>
        <v>-829</v>
      </c>
      <c r="BQ253" s="173">
        <f t="shared" si="62"/>
        <v>11395</v>
      </c>
      <c r="BR253" s="453"/>
      <c r="BS253" s="171"/>
      <c r="BT253" s="464" t="str">
        <f t="shared" si="63"/>
        <v>-</v>
      </c>
      <c r="BU253" s="464" t="str">
        <f t="shared" si="64"/>
        <v>-</v>
      </c>
      <c r="BX253"/>
      <c r="BY253"/>
    </row>
    <row r="254" spans="64:77" ht="21">
      <c r="BL254" s="172">
        <f>COUNTIF($BM$5:BM254,"&lt;-115")</f>
        <v>0</v>
      </c>
      <c r="BM254" s="154">
        <f>IFERROR(IF(OR(IFERROR(VLOOKUP(BN254,$E$3:$E$105,1,FALSE),"0")=BN254,IFERROR(VLOOKUP(BN254,$R$3:$R$105,1,FALSE),"0")=BN254),BO254,IF(OR(VLOOKUP(BN254,Расчет!A:E,5,FALSE)="2PS",VLOOKUP(BN254,Расчет!A:E,5,FALSE)="2QL"),IF(VLOOKUP(BN254,Расчет!A:B,2,FALSE)="831W",BN254-$BS$7+$AD$17,BN254-$BS$7+$AD$12),BN254-$BS$7)),"-")</f>
        <v>172</v>
      </c>
      <c r="BN254" s="154">
        <f>IF(OR(Расчет!C251="A0",Расчет!C251="P9",Расчет!B251="722W"),"-",Расчет!A251)</f>
        <v>11396</v>
      </c>
      <c r="BO254" s="173">
        <f t="shared" si="65"/>
        <v>0</v>
      </c>
      <c r="BP254" s="172">
        <f>IF(BQ254="-","-",IFERROR(IF(OR(VLOOKUP(BN254,Расчет!$A$2:$E$582,5,FALSE)="2PS",VLOOKUP(BN254,Расчет!$A$2:$E$582,5,FALSE)="2QL"),IF(OR(VLOOKUP(BN254,Расчет!$A$2:$E$582,2,FALSE)="664W",VLOOKUP(BN254,Расчет!$A$2:$E$582,2,FALSE)="813W"),IF(BN254-$BS$7&gt;150,BN254-$BS$7-1000+$AD$12,BN254-$BS$7+$AD$12),IF(BN254-$BS$7&gt;150,BN254-$BS$7-1000+$AD$17,BN254-$BS$7+$AD$17)),IF(BN254-$BS$7&gt;150,BN254-$BS$7-1000,BN254-$BS$7)),"-"))</f>
        <v>-828</v>
      </c>
      <c r="BQ254" s="173">
        <f t="shared" si="62"/>
        <v>11396</v>
      </c>
      <c r="BR254" s="453"/>
      <c r="BS254" s="171"/>
      <c r="BT254" s="464" t="str">
        <f t="shared" si="63"/>
        <v>-</v>
      </c>
      <c r="BU254" s="464" t="str">
        <f t="shared" si="64"/>
        <v>-</v>
      </c>
      <c r="BX254"/>
      <c r="BY254"/>
    </row>
    <row r="255" spans="64:77" ht="21">
      <c r="BL255" s="172">
        <f>COUNTIF($BM$5:BM255,"&lt;-115")</f>
        <v>0</v>
      </c>
      <c r="BM255" s="154">
        <f>IFERROR(IF(OR(IFERROR(VLOOKUP(BN255,$E$3:$E$105,1,FALSE),"0")=BN255,IFERROR(VLOOKUP(BN255,$R$3:$R$105,1,FALSE),"0")=BN255),BO255,IF(OR(VLOOKUP(BN255,Расчет!A:E,5,FALSE)="2PS",VLOOKUP(BN255,Расчет!A:E,5,FALSE)="2QL"),IF(VLOOKUP(BN255,Расчет!A:B,2,FALSE)="831W",BN255-$BS$7+$AD$17,BN255-$BS$7+$AD$12),BN255-$BS$7)),"-")</f>
        <v>273</v>
      </c>
      <c r="BN255" s="154">
        <f>IF(OR(Расчет!C252="A0",Расчет!C252="P9",Расчет!B252="722W"),"-",Расчет!A252)</f>
        <v>11397</v>
      </c>
      <c r="BO255" s="173">
        <f t="shared" si="65"/>
        <v>0</v>
      </c>
      <c r="BP255" s="172">
        <f>IF(BQ255="-","-",IFERROR(IF(OR(VLOOKUP(BN255,Расчет!$A$2:$E$582,5,FALSE)="2PS",VLOOKUP(BN255,Расчет!$A$2:$E$582,5,FALSE)="2QL"),IF(OR(VLOOKUP(BN255,Расчет!$A$2:$E$582,2,FALSE)="664W",VLOOKUP(BN255,Расчет!$A$2:$E$582,2,FALSE)="813W"),IF(BN255-$BS$7&gt;150,BN255-$BS$7-1000+$AD$12,BN255-$BS$7+$AD$12),IF(BN255-$BS$7&gt;150,BN255-$BS$7-1000+$AD$17,BN255-$BS$7+$AD$17)),IF(BN255-$BS$7&gt;150,BN255-$BS$7-1000,BN255-$BS$7)),"-"))</f>
        <v>-727</v>
      </c>
      <c r="BQ255" s="173">
        <f t="shared" si="62"/>
        <v>11397</v>
      </c>
      <c r="BR255" s="453"/>
      <c r="BS255" s="171"/>
      <c r="BT255" s="464" t="str">
        <f t="shared" si="63"/>
        <v>-</v>
      </c>
      <c r="BU255" s="464" t="str">
        <f t="shared" si="64"/>
        <v>-</v>
      </c>
      <c r="BX255"/>
      <c r="BY255"/>
    </row>
    <row r="256" spans="64:77" ht="21">
      <c r="BL256" s="172">
        <f>COUNTIF($BM$5:BM256,"&lt;-115")</f>
        <v>0</v>
      </c>
      <c r="BM256" s="154">
        <f>IFERROR(IF(OR(IFERROR(VLOOKUP(BN256,$E$3:$E$105,1,FALSE),"0")=BN256,IFERROR(VLOOKUP(BN256,$R$3:$R$105,1,FALSE),"0")=BN256),BO256,IF(OR(VLOOKUP(BN256,Расчет!A:E,5,FALSE)="2PS",VLOOKUP(BN256,Расчет!A:E,5,FALSE)="2QL"),IF(VLOOKUP(BN256,Расчет!A:B,2,FALSE)="831W",BN256-$BS$7+$AD$17,BN256-$BS$7+$AD$12),BN256-$BS$7)),"-")</f>
        <v>174</v>
      </c>
      <c r="BN256" s="154">
        <f>IF(OR(Расчет!C253="A0",Расчет!C253="P9",Расчет!B253="722W"),"-",Расчет!A253)</f>
        <v>11398</v>
      </c>
      <c r="BO256" s="173">
        <f t="shared" si="65"/>
        <v>0</v>
      </c>
      <c r="BP256" s="172">
        <f>IF(BQ256="-","-",IFERROR(IF(OR(VLOOKUP(BN256,Расчет!$A$2:$E$582,5,FALSE)="2PS",VLOOKUP(BN256,Расчет!$A$2:$E$582,5,FALSE)="2QL"),IF(OR(VLOOKUP(BN256,Расчет!$A$2:$E$582,2,FALSE)="664W",VLOOKUP(BN256,Расчет!$A$2:$E$582,2,FALSE)="813W"),IF(BN256-$BS$7&gt;150,BN256-$BS$7-1000+$AD$12,BN256-$BS$7+$AD$12),IF(BN256-$BS$7&gt;150,BN256-$BS$7-1000+$AD$17,BN256-$BS$7+$AD$17)),IF(BN256-$BS$7&gt;150,BN256-$BS$7-1000,BN256-$BS$7)),"-"))</f>
        <v>-826</v>
      </c>
      <c r="BQ256" s="173">
        <f t="shared" si="62"/>
        <v>11398</v>
      </c>
      <c r="BR256" s="453"/>
      <c r="BS256" s="171"/>
      <c r="BT256" s="464" t="str">
        <f t="shared" si="63"/>
        <v>-</v>
      </c>
      <c r="BU256" s="464" t="str">
        <f t="shared" si="64"/>
        <v>-</v>
      </c>
      <c r="BX256"/>
      <c r="BY256"/>
    </row>
    <row r="257" spans="64:77" ht="21">
      <c r="BL257" s="172">
        <f>COUNTIF($BM$5:BM257,"&lt;-115")</f>
        <v>0</v>
      </c>
      <c r="BM257" s="154">
        <f>IFERROR(IF(OR(IFERROR(VLOOKUP(BN257,$E$3:$E$105,1,FALSE),"0")=BN257,IFERROR(VLOOKUP(BN257,$R$3:$R$105,1,FALSE),"0")=BN257),BO257,IF(OR(VLOOKUP(BN257,Расчет!A:E,5,FALSE)="2PS",VLOOKUP(BN257,Расчет!A:E,5,FALSE)="2QL"),IF(VLOOKUP(BN257,Расчет!A:B,2,FALSE)="831W",BN257-$BS$7+$AD$17,BN257-$BS$7+$AD$12),BN257-$BS$7)),"-")</f>
        <v>275</v>
      </c>
      <c r="BN257" s="154">
        <f>IF(OR(Расчет!C254="A0",Расчет!C254="P9",Расчет!B254="722W"),"-",Расчет!A254)</f>
        <v>11399</v>
      </c>
      <c r="BO257" s="173">
        <f t="shared" si="65"/>
        <v>0</v>
      </c>
      <c r="BP257" s="172">
        <f>IF(BQ257="-","-",IFERROR(IF(OR(VLOOKUP(BN257,Расчет!$A$2:$E$582,5,FALSE)="2PS",VLOOKUP(BN257,Расчет!$A$2:$E$582,5,FALSE)="2QL"),IF(OR(VLOOKUP(BN257,Расчет!$A$2:$E$582,2,FALSE)="664W",VLOOKUP(BN257,Расчет!$A$2:$E$582,2,FALSE)="813W"),IF(BN257-$BS$7&gt;150,BN257-$BS$7-1000+$AD$12,BN257-$BS$7+$AD$12),IF(BN257-$BS$7&gt;150,BN257-$BS$7-1000+$AD$17,BN257-$BS$7+$AD$17)),IF(BN257-$BS$7&gt;150,BN257-$BS$7-1000,BN257-$BS$7)),"-"))</f>
        <v>-725</v>
      </c>
      <c r="BQ257" s="173">
        <f t="shared" si="62"/>
        <v>11399</v>
      </c>
      <c r="BR257" s="453"/>
      <c r="BS257" s="171"/>
      <c r="BT257" s="464" t="str">
        <f t="shared" si="63"/>
        <v>-</v>
      </c>
      <c r="BU257" s="464" t="str">
        <f t="shared" si="64"/>
        <v>-</v>
      </c>
      <c r="BX257"/>
      <c r="BY257"/>
    </row>
    <row r="258" spans="64:77" ht="21">
      <c r="BL258" s="172">
        <f>COUNTIF($BM$5:BM258,"&lt;-115")</f>
        <v>0</v>
      </c>
      <c r="BM258" s="154">
        <f>IFERROR(IF(OR(IFERROR(VLOOKUP(BN258,$E$3:$E$105,1,FALSE),"0")=BN258,IFERROR(VLOOKUP(BN258,$R$3:$R$105,1,FALSE),"0")=BN258),BO258,IF(OR(VLOOKUP(BN258,Расчет!A:E,5,FALSE)="2PS",VLOOKUP(BN258,Расчет!A:E,5,FALSE)="2QL"),IF(VLOOKUP(BN258,Расчет!A:B,2,FALSE)="831W",BN258-$BS$7+$AD$17,BN258-$BS$7+$AD$12),BN258-$BS$7)),"-")</f>
        <v>176</v>
      </c>
      <c r="BN258" s="154">
        <f>IF(OR(Расчет!C255="A0",Расчет!C255="P9",Расчет!B255="722W"),"-",Расчет!A255)</f>
        <v>11400</v>
      </c>
      <c r="BO258" s="173">
        <f t="shared" si="65"/>
        <v>0</v>
      </c>
      <c r="BP258" s="172">
        <f>IF(BQ258="-","-",IFERROR(IF(OR(VLOOKUP(BN258,Расчет!$A$2:$E$582,5,FALSE)="2PS",VLOOKUP(BN258,Расчет!$A$2:$E$582,5,FALSE)="2QL"),IF(OR(VLOOKUP(BN258,Расчет!$A$2:$E$582,2,FALSE)="664W",VLOOKUP(BN258,Расчет!$A$2:$E$582,2,FALSE)="813W"),IF(BN258-$BS$7&gt;150,BN258-$BS$7-1000+$AD$12,BN258-$BS$7+$AD$12),IF(BN258-$BS$7&gt;150,BN258-$BS$7-1000+$AD$17,BN258-$BS$7+$AD$17)),IF(BN258-$BS$7&gt;150,BN258-$BS$7-1000,BN258-$BS$7)),"-"))</f>
        <v>-824</v>
      </c>
      <c r="BQ258" s="173">
        <f t="shared" si="62"/>
        <v>11400</v>
      </c>
      <c r="BR258" s="453"/>
      <c r="BS258" s="171"/>
      <c r="BT258" s="464" t="str">
        <f t="shared" si="63"/>
        <v>-</v>
      </c>
      <c r="BU258" s="464" t="str">
        <f t="shared" si="64"/>
        <v>-</v>
      </c>
      <c r="BX258"/>
      <c r="BY258"/>
    </row>
    <row r="259" spans="64:77" ht="21.75" thickBot="1">
      <c r="BL259" s="183">
        <f>COUNTIF($BM$5:BM259,"&lt;-115")</f>
        <v>0</v>
      </c>
      <c r="BM259" s="184">
        <f>IFERROR(IF(OR(IFERROR(VLOOKUP(BN259,$E$3:$E$105,1,FALSE),"0")=BN259,IFERROR(VLOOKUP(BN259,$R$3:$R$105,1,FALSE),"0")=BN259),BO259,IF(OR(VLOOKUP(BN259,Расчет!A:E,5,FALSE)="2PS",VLOOKUP(BN259,Расчет!A:E,5,FALSE)="2QL"),IF(VLOOKUP(BN259,Расчет!A:B,2,FALSE)="831W",BN259-$BS$7+$AD$17,BN259-$BS$7+$AD$12),BN259-$BS$7)),"-")</f>
        <v>177</v>
      </c>
      <c r="BN259" s="184">
        <f>IF(OR(Расчет!C256="A0",Расчет!C256="P9",Расчет!B256="722W"),"-",Расчет!A256)</f>
        <v>11401</v>
      </c>
      <c r="BO259" s="185">
        <f t="shared" si="65"/>
        <v>0</v>
      </c>
      <c r="BP259" s="172">
        <f>IF(BQ259="-","-",IFERROR(IF(OR(VLOOKUP(BN259,Расчет!$A$2:$E$582,5,FALSE)="2PS",VLOOKUP(BN259,Расчет!$A$2:$E$582,5,FALSE)="2QL"),IF(OR(VLOOKUP(BN259,Расчет!$A$2:$E$582,2,FALSE)="664W",VLOOKUP(BN259,Расчет!$A$2:$E$582,2,FALSE)="813W"),IF(BN259-$BS$7&gt;150,BN259-$BS$7-1000+$AD$12,BN259-$BS$7+$AD$12),IF(BN259-$BS$7&gt;150,BN259-$BS$7-1000+$AD$17,BN259-$BS$7+$AD$17)),IF(BN259-$BS$7&gt;150,BN259-$BS$7-1000,BN259-$BS$7)),"-"))</f>
        <v>-823</v>
      </c>
      <c r="BQ259" s="185">
        <f t="shared" si="62"/>
        <v>11401</v>
      </c>
      <c r="BR259" s="458"/>
      <c r="BS259" s="454"/>
      <c r="BT259" s="465" t="str">
        <f t="shared" si="63"/>
        <v>-</v>
      </c>
      <c r="BU259" s="465" t="str">
        <f t="shared" si="64"/>
        <v>-</v>
      </c>
      <c r="BX259"/>
      <c r="BY259"/>
    </row>
  </sheetData>
  <dataConsolidate>
    <dataRefs count="1">
      <dataRef ref="R17:R18" sheet="Бланк" r:id="rId1"/>
    </dataRefs>
  </dataConsolidate>
  <mergeCells count="107">
    <mergeCell ref="AE1:AG1"/>
    <mergeCell ref="AJ1:AL1"/>
    <mergeCell ref="AM1:AN1"/>
    <mergeCell ref="AW1:AX1"/>
    <mergeCell ref="AY1:AZ1"/>
    <mergeCell ref="BD1:BE1"/>
    <mergeCell ref="BW4:BW5"/>
    <mergeCell ref="A1:D1"/>
    <mergeCell ref="E1:G1"/>
    <mergeCell ref="H1:J1"/>
    <mergeCell ref="K1:T1"/>
    <mergeCell ref="Z1:AA1"/>
    <mergeCell ref="AB1:AC1"/>
    <mergeCell ref="Z4:AA4"/>
    <mergeCell ref="AB4:AC4"/>
    <mergeCell ref="AX4:BB5"/>
    <mergeCell ref="BV6:BV7"/>
    <mergeCell ref="BW6:BW7"/>
    <mergeCell ref="AY7:AZ7"/>
    <mergeCell ref="BI7:BJ7"/>
    <mergeCell ref="AY8:AZ8"/>
    <mergeCell ref="BV1:BW1"/>
    <mergeCell ref="AT2:AU2"/>
    <mergeCell ref="BD2:BE2"/>
    <mergeCell ref="BL3:BO3"/>
    <mergeCell ref="BP3:BQ3"/>
    <mergeCell ref="BD4:BG5"/>
    <mergeCell ref="BV4:BV5"/>
    <mergeCell ref="AY17:AZ17"/>
    <mergeCell ref="Z21:AD21"/>
    <mergeCell ref="Z22:AD22"/>
    <mergeCell ref="AX23:BG25"/>
    <mergeCell ref="BH23:BI23"/>
    <mergeCell ref="BH24:BI24"/>
    <mergeCell ref="BH25:BI25"/>
    <mergeCell ref="AD9:AD11"/>
    <mergeCell ref="AY9:AZ9"/>
    <mergeCell ref="AX10:BB11"/>
    <mergeCell ref="AY12:AZ12"/>
    <mergeCell ref="AY13:AZ13"/>
    <mergeCell ref="AD14:AD16"/>
    <mergeCell ref="AY14:AZ14"/>
    <mergeCell ref="AY15:AZ15"/>
    <mergeCell ref="AY16:AZ16"/>
    <mergeCell ref="AX26:AY27"/>
    <mergeCell ref="AZ26:BA27"/>
    <mergeCell ref="BD26:BG27"/>
    <mergeCell ref="BH26:BI26"/>
    <mergeCell ref="BH27:BI27"/>
    <mergeCell ref="AX28:AY29"/>
    <mergeCell ref="AZ28:BA29"/>
    <mergeCell ref="BD28:BE29"/>
    <mergeCell ref="BF28:BG29"/>
    <mergeCell ref="BI28:BI29"/>
    <mergeCell ref="BB34:BC35"/>
    <mergeCell ref="BD34:BE35"/>
    <mergeCell ref="BF34:BG37"/>
    <mergeCell ref="AX36:AY37"/>
    <mergeCell ref="AZ36:BA37"/>
    <mergeCell ref="BB36:BC37"/>
    <mergeCell ref="BD36:BE37"/>
    <mergeCell ref="BJ28:BJ29"/>
    <mergeCell ref="AX30:AY31"/>
    <mergeCell ref="AZ30:BA31"/>
    <mergeCell ref="BD30:BE31"/>
    <mergeCell ref="BF30:BG31"/>
    <mergeCell ref="AX32:AY33"/>
    <mergeCell ref="AZ32:BA33"/>
    <mergeCell ref="BB32:BC33"/>
    <mergeCell ref="BD32:BE33"/>
    <mergeCell ref="BF32:BG33"/>
    <mergeCell ref="Z41:AD41"/>
    <mergeCell ref="Z42:AA42"/>
    <mergeCell ref="Z43:AA43"/>
    <mergeCell ref="Z44:AA44"/>
    <mergeCell ref="Z45:AA45"/>
    <mergeCell ref="Z46:AA46"/>
    <mergeCell ref="Z33:AD33"/>
    <mergeCell ref="AX34:AY35"/>
    <mergeCell ref="AZ34:BA35"/>
    <mergeCell ref="Z53:AA53"/>
    <mergeCell ref="Z54:AA54"/>
    <mergeCell ref="Z55:AA55"/>
    <mergeCell ref="AB57:AC57"/>
    <mergeCell ref="AB58:AC59"/>
    <mergeCell ref="AB60:AB61"/>
    <mergeCell ref="AC60:AC61"/>
    <mergeCell ref="Z47:AA47"/>
    <mergeCell ref="Z48:AA48"/>
    <mergeCell ref="Z49:AA49"/>
    <mergeCell ref="Z50:AA50"/>
    <mergeCell ref="Z51:AA51"/>
    <mergeCell ref="Z52:AA52"/>
    <mergeCell ref="AD64:AD65"/>
    <mergeCell ref="Z67:AD67"/>
    <mergeCell ref="Z68:AD68"/>
    <mergeCell ref="Z79:AC79"/>
    <mergeCell ref="Z92:AD92"/>
    <mergeCell ref="Z93:AD93"/>
    <mergeCell ref="Z62:Z63"/>
    <mergeCell ref="AA62:AA63"/>
    <mergeCell ref="AB62:AB63"/>
    <mergeCell ref="AC62:AC63"/>
    <mergeCell ref="Z64:Z65"/>
    <mergeCell ref="AA64:AA65"/>
    <mergeCell ref="AB64:AB65"/>
    <mergeCell ref="AC64:AC65"/>
  </mergeCells>
  <conditionalFormatting sqref="V3:V105 I3:I105">
    <cfRule type="cellIs" dxfId="195" priority="182" operator="equal">
      <formula>"3,5 L"</formula>
    </cfRule>
  </conditionalFormatting>
  <conditionalFormatting sqref="T3:U105">
    <cfRule type="expression" dxfId="194" priority="175">
      <formula>T3&amp;V3="Rich2,5 L"</formula>
    </cfRule>
    <cfRule type="expression" dxfId="193" priority="176">
      <formula>V3&amp;T3="2,0 LMech"</formula>
    </cfRule>
    <cfRule type="containsText" dxfId="192" priority="177" operator="containsText" text="Standard">
      <formula>NOT(ISERROR(SEARCH("Standard",T3)))</formula>
    </cfRule>
    <cfRule type="expression" dxfId="191" priority="178">
      <formula>T3&amp;V3="Rich3,5 L"</formula>
    </cfRule>
    <cfRule type="containsText" dxfId="190" priority="179" operator="containsText" text="Mech">
      <formula>NOT(ISERROR(SEARCH("Mech",T3)))</formula>
    </cfRule>
    <cfRule type="containsText" dxfId="189" priority="180" operator="containsText" text="Auto">
      <formula>NOT(ISERROR(SEARCH("Auto",T3)))</formula>
    </cfRule>
    <cfRule type="containsText" dxfId="188" priority="181" operator="containsText" text="CVT">
      <formula>NOT(ISERROR(SEARCH("CVT",T3)))</formula>
    </cfRule>
  </conditionalFormatting>
  <conditionalFormatting sqref="V3:V105">
    <cfRule type="expression" dxfId="187" priority="174">
      <formula>V3&amp;T3="2,0 LMech"</formula>
    </cfRule>
  </conditionalFormatting>
  <conditionalFormatting sqref="S3:S105">
    <cfRule type="containsText" dxfId="186" priority="82" operator="containsText" text="RAV4">
      <formula>NOT(ISERROR(SEARCH("RAV4",S3)))</formula>
    </cfRule>
    <cfRule type="containsText" dxfId="185" priority="83" operator="containsText" text="Camry">
      <formula>NOT(ISERROR(SEARCH("Camry",S3)))</formula>
    </cfRule>
    <cfRule type="expression" dxfId="184" priority="89">
      <formula>$AK3="R"</formula>
    </cfRule>
    <cfRule type="expression" dxfId="183" priority="172">
      <formula>$AK3="C"</formula>
    </cfRule>
  </conditionalFormatting>
  <conditionalFormatting sqref="G3:H105 T3:U105">
    <cfRule type="containsText" dxfId="182" priority="171" operator="containsText" text="Special">
      <formula>NOT(ISERROR(SEARCH("Special",G3)))</formula>
    </cfRule>
  </conditionalFormatting>
  <conditionalFormatting sqref="G3:G105">
    <cfRule type="expression" dxfId="181" priority="164">
      <formula>G3&amp;I3="Rich2,5 L"</formula>
    </cfRule>
    <cfRule type="expression" dxfId="180" priority="165">
      <formula>I3&amp;G3="2,0 LMech"</formula>
    </cfRule>
    <cfRule type="containsText" dxfId="179" priority="166" operator="containsText" text="Standard">
      <formula>NOT(ISERROR(SEARCH("Standard",G3)))</formula>
    </cfRule>
    <cfRule type="expression" dxfId="178" priority="167">
      <formula>G3&amp;I3="Rich3,5 L"</formula>
    </cfRule>
    <cfRule type="containsText" dxfId="177" priority="168" operator="containsText" text="Mech">
      <formula>NOT(ISERROR(SEARCH("Mech",G3)))</formula>
    </cfRule>
    <cfRule type="containsText" dxfId="176" priority="169" operator="containsText" text="Auto">
      <formula>NOT(ISERROR(SEARCH("Auto",G3)))</formula>
    </cfRule>
    <cfRule type="containsText" dxfId="175" priority="170" operator="containsText" text="CVT">
      <formula>NOT(ISERROR(SEARCH("CVT",G3)))</formula>
    </cfRule>
  </conditionalFormatting>
  <conditionalFormatting sqref="I3:I105">
    <cfRule type="expression" dxfId="174" priority="163">
      <formula>I3&amp;G3="2,0 LMech"</formula>
    </cfRule>
  </conditionalFormatting>
  <conditionalFormatting sqref="H3:H105">
    <cfRule type="expression" dxfId="173" priority="156">
      <formula>H3&amp;J3="Rich2,5 L"</formula>
    </cfRule>
    <cfRule type="expression" dxfId="172" priority="157">
      <formula>J3&amp;H3="2,0 LMech"</formula>
    </cfRule>
    <cfRule type="containsText" dxfId="171" priority="158" operator="containsText" text="Standard">
      <formula>NOT(ISERROR(SEARCH("Standard",H3)))</formula>
    </cfRule>
    <cfRule type="expression" dxfId="170" priority="159">
      <formula>H3&amp;J3="Rich3,5 L"</formula>
    </cfRule>
    <cfRule type="containsText" dxfId="169" priority="160" operator="containsText" text="Mech">
      <formula>NOT(ISERROR(SEARCH("Mech",H3)))</formula>
    </cfRule>
    <cfRule type="containsText" dxfId="168" priority="161" operator="containsText" text="Auto">
      <formula>NOT(ISERROR(SEARCH("Auto",H3)))</formula>
    </cfRule>
    <cfRule type="containsText" dxfId="167" priority="162" operator="containsText" text="CVT">
      <formula>NOT(ISERROR(SEARCH("CVT",H3)))</formula>
    </cfRule>
  </conditionalFormatting>
  <conditionalFormatting sqref="H3:H105">
    <cfRule type="expression" dxfId="166" priority="149">
      <formula>H3&amp;J3="Rich2,5 L"</formula>
    </cfRule>
    <cfRule type="expression" dxfId="165" priority="150">
      <formula>J3&amp;H3="2,0 LMech"</formula>
    </cfRule>
    <cfRule type="containsText" dxfId="164" priority="151" operator="containsText" text="Standard">
      <formula>NOT(ISERROR(SEARCH("Standard",H3)))</formula>
    </cfRule>
    <cfRule type="expression" dxfId="163" priority="152">
      <formula>H3&amp;J3="Rich3,5 L"</formula>
    </cfRule>
    <cfRule type="containsText" dxfId="162" priority="153" operator="containsText" text="Mech">
      <formula>NOT(ISERROR(SEARCH("Mech",H3)))</formula>
    </cfRule>
    <cfRule type="containsText" dxfId="161" priority="154" operator="containsText" text="Auto">
      <formula>NOT(ISERROR(SEARCH("Auto",H3)))</formula>
    </cfRule>
    <cfRule type="containsText" dxfId="160" priority="155" operator="containsText" text="CVT">
      <formula>NOT(ISERROR(SEARCH("CVT",H3)))</formula>
    </cfRule>
  </conditionalFormatting>
  <conditionalFormatting sqref="U3:U105">
    <cfRule type="expression" dxfId="159" priority="142">
      <formula>U3&amp;W3="Rich2,5 L"</formula>
    </cfRule>
    <cfRule type="expression" dxfId="158" priority="143">
      <formula>W3&amp;U3="2,0 LMech"</formula>
    </cfRule>
    <cfRule type="containsText" dxfId="157" priority="144" operator="containsText" text="Standard">
      <formula>NOT(ISERROR(SEARCH("Standard",U3)))</formula>
    </cfRule>
    <cfRule type="expression" dxfId="156" priority="145">
      <formula>U3&amp;W3="Rich3,5 L"</formula>
    </cfRule>
    <cfRule type="containsText" dxfId="155" priority="146" operator="containsText" text="Mech">
      <formula>NOT(ISERROR(SEARCH("Mech",U3)))</formula>
    </cfRule>
    <cfRule type="containsText" dxfId="154" priority="147" operator="containsText" text="Auto">
      <formula>NOT(ISERROR(SEARCH("Auto",U3)))</formula>
    </cfRule>
    <cfRule type="containsText" dxfId="153" priority="148" operator="containsText" text="CVT">
      <formula>NOT(ISERROR(SEARCH("CVT",U3)))</formula>
    </cfRule>
  </conditionalFormatting>
  <conditionalFormatting sqref="AA6:AA16 E3 R3:R105 E5:E105">
    <cfRule type="duplicateValues" dxfId="152" priority="140"/>
  </conditionalFormatting>
  <conditionalFormatting sqref="Z6:Z16 AB55">
    <cfRule type="containsText" dxfId="151" priority="138" operator="containsText" text="P3">
      <formula>NOT(ISERROR(SEARCH("P3",Z6)))</formula>
    </cfRule>
    <cfRule type="containsText" dxfId="150" priority="139" operator="containsText" text="P2">
      <formula>NOT(ISERROR(SEARCH("P2",Z6)))</formula>
    </cfRule>
  </conditionalFormatting>
  <conditionalFormatting sqref="U3:U105">
    <cfRule type="expression" dxfId="149" priority="131">
      <formula>U3&amp;W3="Rich2,5 L"</formula>
    </cfRule>
    <cfRule type="expression" dxfId="148" priority="132">
      <formula>W3&amp;U3="2,0 LMech"</formula>
    </cfRule>
    <cfRule type="containsText" dxfId="147" priority="133" operator="containsText" text="Standard">
      <formula>NOT(ISERROR(SEARCH("Standard",U3)))</formula>
    </cfRule>
    <cfRule type="expression" dxfId="146" priority="134">
      <formula>U3&amp;W3="Rich3,5 L"</formula>
    </cfRule>
    <cfRule type="containsText" dxfId="145" priority="135" operator="containsText" text="Mech">
      <formula>NOT(ISERROR(SEARCH("Mech",U3)))</formula>
    </cfRule>
    <cfRule type="containsText" dxfId="144" priority="136" operator="containsText" text="Auto">
      <formula>NOT(ISERROR(SEARCH("Auto",U3)))</formula>
    </cfRule>
    <cfRule type="containsText" dxfId="143" priority="137" operator="containsText" text="CVT">
      <formula>NOT(ISERROR(SEARCH("CVT",U3)))</formula>
    </cfRule>
  </conditionalFormatting>
  <conditionalFormatting sqref="U3:U105">
    <cfRule type="expression" dxfId="142" priority="124">
      <formula>U3&amp;W3="Rich2,5 L"</formula>
    </cfRule>
    <cfRule type="expression" dxfId="141" priority="125">
      <formula>W3&amp;U3="2,0 LMech"</formula>
    </cfRule>
    <cfRule type="containsText" dxfId="140" priority="126" operator="containsText" text="Standard">
      <formula>NOT(ISERROR(SEARCH("Standard",U3)))</formula>
    </cfRule>
    <cfRule type="expression" dxfId="139" priority="127">
      <formula>U3&amp;W3="Rich3,5 L"</formula>
    </cfRule>
    <cfRule type="containsText" dxfId="138" priority="128" operator="containsText" text="Mech">
      <formula>NOT(ISERROR(SEARCH("Mech",U3)))</formula>
    </cfRule>
    <cfRule type="containsText" dxfId="137" priority="129" operator="containsText" text="Auto">
      <formula>NOT(ISERROR(SEARCH("Auto",U3)))</formula>
    </cfRule>
    <cfRule type="containsText" dxfId="136" priority="130" operator="containsText" text="CVT">
      <formula>NOT(ISERROR(SEARCH("CVT",U3)))</formula>
    </cfRule>
  </conditionalFormatting>
  <conditionalFormatting sqref="X3:X105">
    <cfRule type="expression" dxfId="135" priority="120">
      <formula>Y3&lt;=$BF$2</formula>
    </cfRule>
    <cfRule type="expression" dxfId="134" priority="121">
      <formula>Y3&gt;$BF$2</formula>
    </cfRule>
  </conditionalFormatting>
  <conditionalFormatting sqref="G3:G105 T3:T105">
    <cfRule type="containsText" dxfId="133" priority="119" operator="containsText" text="Diesel">
      <formula>NOT(ISERROR(SEARCH("Diesel",G3)))</formula>
    </cfRule>
  </conditionalFormatting>
  <conditionalFormatting sqref="T3:T105">
    <cfRule type="expression" dxfId="132" priority="112">
      <formula>T3&amp;V3="Rich2,5 L"</formula>
    </cfRule>
    <cfRule type="expression" dxfId="131" priority="113">
      <formula>V3&amp;T3="2,0 LMech"</formula>
    </cfRule>
    <cfRule type="containsText" dxfId="130" priority="114" operator="containsText" text="Standard">
      <formula>NOT(ISERROR(SEARCH("Standard",T3)))</formula>
    </cfRule>
    <cfRule type="expression" dxfId="129" priority="115">
      <formula>T3&amp;V3="Rich3,5 L"</formula>
    </cfRule>
    <cfRule type="containsText" dxfId="128" priority="116" operator="containsText" text="Mech">
      <formula>NOT(ISERROR(SEARCH("Mech",T3)))</formula>
    </cfRule>
    <cfRule type="containsText" dxfId="127" priority="117" operator="containsText" text="Auto">
      <formula>NOT(ISERROR(SEARCH("Auto",T3)))</formula>
    </cfRule>
    <cfRule type="containsText" dxfId="126" priority="118" operator="containsText" text="CVT">
      <formula>NOT(ISERROR(SEARCH("CVT",T3)))</formula>
    </cfRule>
  </conditionalFormatting>
  <conditionalFormatting sqref="U3:U105">
    <cfRule type="expression" dxfId="125" priority="105">
      <formula>U3&amp;W3="Rich2,5 L"</formula>
    </cfRule>
    <cfRule type="expression" dxfId="124" priority="106">
      <formula>W3&amp;U3="2,0 LMech"</formula>
    </cfRule>
    <cfRule type="containsText" dxfId="123" priority="107" operator="containsText" text="Standard">
      <formula>NOT(ISERROR(SEARCH("Standard",U3)))</formula>
    </cfRule>
    <cfRule type="expression" dxfId="122" priority="108">
      <formula>U3&amp;W3="Rich3,5 L"</formula>
    </cfRule>
    <cfRule type="containsText" dxfId="121" priority="109" operator="containsText" text="Mech">
      <formula>NOT(ISERROR(SEARCH("Mech",U3)))</formula>
    </cfRule>
    <cfRule type="containsText" dxfId="120" priority="110" operator="containsText" text="Auto">
      <formula>NOT(ISERROR(SEARCH("Auto",U3)))</formula>
    </cfRule>
    <cfRule type="containsText" dxfId="119" priority="111" operator="containsText" text="CVT">
      <formula>NOT(ISERROR(SEARCH("CVT",U3)))</formula>
    </cfRule>
  </conditionalFormatting>
  <conditionalFormatting sqref="U3:U105">
    <cfRule type="containsText" dxfId="118" priority="100" operator="containsText" text="Standard">
      <formula>NOT(ISERROR(SEARCH("Standard",U3)))</formula>
    </cfRule>
    <cfRule type="expression" dxfId="117" priority="101">
      <formula>U3&amp;W3="Rich3,5 L"</formula>
    </cfRule>
    <cfRule type="containsText" dxfId="116" priority="102" operator="containsText" text="Mech">
      <formula>NOT(ISERROR(SEARCH("Mech",U3)))</formula>
    </cfRule>
    <cfRule type="containsText" dxfId="115" priority="103" operator="containsText" text="Auto">
      <formula>NOT(ISERROR(SEARCH("Auto",U3)))</formula>
    </cfRule>
    <cfRule type="containsText" dxfId="114" priority="104" operator="containsText" text="CVT">
      <formula>NOT(ISERROR(SEARCH("CVT",U3)))</formula>
    </cfRule>
  </conditionalFormatting>
  <conditionalFormatting sqref="B3:C105">
    <cfRule type="expression" dxfId="113" priority="173">
      <formula>$B3&lt;&gt;$C3</formula>
    </cfRule>
  </conditionalFormatting>
  <conditionalFormatting sqref="C3:C105 P3:P105">
    <cfRule type="containsBlanks" dxfId="112" priority="98">
      <formula>LEN(TRIM(C3))=0</formula>
    </cfRule>
  </conditionalFormatting>
  <conditionalFormatting sqref="O3:P105">
    <cfRule type="expression" dxfId="111" priority="99">
      <formula>$O3&lt;&gt;$P3</formula>
    </cfRule>
  </conditionalFormatting>
  <conditionalFormatting sqref="AH3:AI105 AM3:AN105">
    <cfRule type="colorScale" priority="94">
      <colorScale>
        <cfvo type="num" val="-8"/>
        <cfvo type="num" val="0"/>
        <cfvo type="num" val="8"/>
        <color rgb="FFC00000"/>
        <color theme="0" tint="-0.14999847407452621"/>
        <color rgb="FFC00000"/>
      </colorScale>
    </cfRule>
  </conditionalFormatting>
  <conditionalFormatting sqref="BF28:BG31">
    <cfRule type="cellIs" dxfId="110" priority="91" operator="greaterThanOrEqual">
      <formula>0.91</formula>
    </cfRule>
    <cfRule type="cellIs" dxfId="109" priority="92" operator="lessThanOrEqual">
      <formula>-0.91</formula>
    </cfRule>
    <cfRule type="cellIs" dxfId="108" priority="93" operator="between">
      <formula>0.9</formula>
      <formula>-0.9</formula>
    </cfRule>
  </conditionalFormatting>
  <conditionalFormatting sqref="F3:F105">
    <cfRule type="containsText" dxfId="107" priority="84" operator="containsText" text="RAV4">
      <formula>NOT(ISERROR(SEARCH("RAV4",F3)))</formula>
    </cfRule>
    <cfRule type="containsText" dxfId="106" priority="88" operator="containsText" text="Camry">
      <formula>NOT(ISERROR(SEARCH("Camry",F3)))</formula>
    </cfRule>
    <cfRule type="expression" dxfId="105" priority="90">
      <formula>$AF3="R"</formula>
    </cfRule>
    <cfRule type="expression" dxfId="104" priority="97">
      <formula>$AF3="C"</formula>
    </cfRule>
  </conditionalFormatting>
  <conditionalFormatting sqref="E3 R3:R105 E5:E105">
    <cfRule type="duplicateValues" dxfId="103" priority="81"/>
  </conditionalFormatting>
  <conditionalFormatting sqref="AK212:AL259">
    <cfRule type="containsText" dxfId="102" priority="86" operator="containsText" text="C">
      <formula>NOT(ISERROR(SEARCH("C",AK212)))</formula>
    </cfRule>
    <cfRule type="containsText" dxfId="101" priority="87" operator="containsText" text="R">
      <formula>NOT(ISERROR(SEARCH("R",AK212)))</formula>
    </cfRule>
  </conditionalFormatting>
  <conditionalFormatting sqref="AM106:AN202">
    <cfRule type="colorScale" priority="85">
      <colorScale>
        <cfvo type="num" val="-8"/>
        <cfvo type="num" val="0"/>
        <cfvo type="num" val="8"/>
        <color rgb="FFC00000"/>
        <color theme="0" tint="-0.14999847407452621"/>
        <color rgb="FFC00000"/>
      </colorScale>
    </cfRule>
  </conditionalFormatting>
  <conditionalFormatting sqref="AF3:AG105 AK3:AL105">
    <cfRule type="containsText" dxfId="100" priority="95" operator="containsText" text="C">
      <formula>NOT(ISERROR(SEARCH("C",AF3)))</formula>
    </cfRule>
    <cfRule type="containsText" dxfId="99" priority="96" operator="containsText" text="R">
      <formula>NOT(ISERROR(SEARCH("R",AF3)))</formula>
    </cfRule>
  </conditionalFormatting>
  <conditionalFormatting sqref="K4:K105">
    <cfRule type="expression" dxfId="98" priority="122">
      <formula>L4&lt;=$BF$2</formula>
    </cfRule>
    <cfRule type="expression" dxfId="97" priority="123">
      <formula>L4&gt;$BF$2</formula>
    </cfRule>
  </conditionalFormatting>
  <conditionalFormatting sqref="Z24:Z32">
    <cfRule type="containsText" dxfId="96" priority="79" operator="containsText" text="Camry">
      <formula>NOT(ISERROR(SEARCH("Camry",Z24)))</formula>
    </cfRule>
    <cfRule type="containsText" dxfId="95" priority="80" operator="containsText" text="RAV4">
      <formula>NOT(ISERROR(SEARCH("RAV4",Z24)))</formula>
    </cfRule>
  </conditionalFormatting>
  <conditionalFormatting sqref="AC43:AC54">
    <cfRule type="duplicateValues" dxfId="94" priority="78"/>
  </conditionalFormatting>
  <conditionalFormatting sqref="AB43:AB54">
    <cfRule type="containsText" dxfId="93" priority="76" operator="containsText" text="P3">
      <formula>NOT(ISERROR(SEARCH("P3",AB43)))</formula>
    </cfRule>
    <cfRule type="containsText" dxfId="92" priority="77" operator="containsText" text="P2">
      <formula>NOT(ISERROR(SEARCH("P2",AB43)))</formula>
    </cfRule>
  </conditionalFormatting>
  <conditionalFormatting sqref="AA6:AA16">
    <cfRule type="duplicateValues" dxfId="91" priority="75"/>
  </conditionalFormatting>
  <conditionalFormatting sqref="AC43:AC55">
    <cfRule type="duplicateValues" dxfId="90" priority="141"/>
  </conditionalFormatting>
  <conditionalFormatting sqref="Z33:Z34">
    <cfRule type="containsText" dxfId="89" priority="71" operator="containsText" text="Camry">
      <formula>NOT(ISERROR(SEARCH("Camry",Z33)))</formula>
    </cfRule>
    <cfRule type="containsText" dxfId="88" priority="72" operator="containsText" text="RAV4">
      <formula>NOT(ISERROR(SEARCH("RAV4",Z33)))</formula>
    </cfRule>
  </conditionalFormatting>
  <conditionalFormatting sqref="AC34">
    <cfRule type="duplicateValues" dxfId="87" priority="74"/>
  </conditionalFormatting>
  <conditionalFormatting sqref="AC34">
    <cfRule type="duplicateValues" dxfId="86" priority="73"/>
  </conditionalFormatting>
  <conditionalFormatting sqref="AC34">
    <cfRule type="expression" dxfId="85" priority="70">
      <formula>AB34&lt;=-14</formula>
    </cfRule>
  </conditionalFormatting>
  <conditionalFormatting sqref="Z36:Z40">
    <cfRule type="containsText" dxfId="84" priority="68" operator="containsText" text="Camry">
      <formula>NOT(ISERROR(SEARCH("Camry",Z36)))</formula>
    </cfRule>
    <cfRule type="containsText" dxfId="83" priority="69" operator="containsText" text="RAV4">
      <formula>NOT(ISERROR(SEARCH("RAV4",Z36)))</formula>
    </cfRule>
  </conditionalFormatting>
  <conditionalFormatting sqref="Z35">
    <cfRule type="containsText" dxfId="82" priority="66" operator="containsText" text="Camry">
      <formula>NOT(ISERROR(SEARCH("Camry",Z35)))</formula>
    </cfRule>
    <cfRule type="containsText" dxfId="81" priority="67" operator="containsText" text="RAV4">
      <formula>NOT(ISERROR(SEARCH("RAV4",Z35)))</formula>
    </cfRule>
  </conditionalFormatting>
  <conditionalFormatting sqref="AC43:AC55 E3 R3:R105 E5:E105">
    <cfRule type="duplicateValues" dxfId="80" priority="44"/>
  </conditionalFormatting>
  <conditionalFormatting sqref="Z70:Z78">
    <cfRule type="containsText" dxfId="79" priority="63" operator="containsText" text="Camry">
      <formula>NOT(ISERROR(SEARCH("Camry",Z70)))</formula>
    </cfRule>
    <cfRule type="containsText" dxfId="78" priority="64" operator="containsText" text="RAV4">
      <formula>NOT(ISERROR(SEARCH("RAV4",Z70)))</formula>
    </cfRule>
  </conditionalFormatting>
  <conditionalFormatting sqref="Z79:Z80">
    <cfRule type="containsText" dxfId="77" priority="59" operator="containsText" text="Camry">
      <formula>NOT(ISERROR(SEARCH("Camry",Z79)))</formula>
    </cfRule>
    <cfRule type="containsText" dxfId="76" priority="60" operator="containsText" text="RAV4">
      <formula>NOT(ISERROR(SEARCH("RAV4",Z79)))</formula>
    </cfRule>
  </conditionalFormatting>
  <conditionalFormatting sqref="AC80">
    <cfRule type="duplicateValues" dxfId="75" priority="62"/>
  </conditionalFormatting>
  <conditionalFormatting sqref="AC80">
    <cfRule type="duplicateValues" dxfId="74" priority="61"/>
  </conditionalFormatting>
  <conditionalFormatting sqref="AC80">
    <cfRule type="expression" dxfId="73" priority="58">
      <formula>AB80&lt;=-14</formula>
    </cfRule>
  </conditionalFormatting>
  <conditionalFormatting sqref="Z81:Z86">
    <cfRule type="containsText" dxfId="72" priority="56" operator="containsText" text="Camry">
      <formula>NOT(ISERROR(SEARCH("Camry",Z81)))</formula>
    </cfRule>
    <cfRule type="containsText" dxfId="71" priority="57" operator="containsText" text="RAV4">
      <formula>NOT(ISERROR(SEARCH("RAV4",Z81)))</formula>
    </cfRule>
  </conditionalFormatting>
  <conditionalFormatting sqref="F3:F105 S3:S105">
    <cfRule type="containsText" dxfId="70" priority="55" operator="containsText" text="TNGA">
      <formula>NOT(ISERROR(SEARCH("TNGA",F3)))</formula>
    </cfRule>
  </conditionalFormatting>
  <conditionalFormatting sqref="AD42">
    <cfRule type="containsText" dxfId="69" priority="53" operator="containsText" text="Camry">
      <formula>NOT(ISERROR(SEARCH("Camry",AD42)))</formula>
    </cfRule>
    <cfRule type="containsText" dxfId="68" priority="54" operator="containsText" text="RAV4">
      <formula>NOT(ISERROR(SEARCH("RAV4",AD42)))</formula>
    </cfRule>
  </conditionalFormatting>
  <conditionalFormatting sqref="AD24:AD32">
    <cfRule type="containsText" dxfId="67" priority="51" operator="containsText" text="P3">
      <formula>NOT(ISERROR(SEARCH("P3",AD24)))</formula>
    </cfRule>
    <cfRule type="containsText" dxfId="66" priority="52" operator="containsText" text="P2">
      <formula>NOT(ISERROR(SEARCH("P2",AD24)))</formula>
    </cfRule>
  </conditionalFormatting>
  <conditionalFormatting sqref="AD35:AD40">
    <cfRule type="containsText" dxfId="65" priority="49" operator="containsText" text="P3">
      <formula>NOT(ISERROR(SEARCH("P3",AD35)))</formula>
    </cfRule>
    <cfRule type="containsText" dxfId="64" priority="50" operator="containsText" text="P2">
      <formula>NOT(ISERROR(SEARCH("P2",AD35)))</formula>
    </cfRule>
  </conditionalFormatting>
  <conditionalFormatting sqref="AD70:AD78">
    <cfRule type="containsText" dxfId="63" priority="47" operator="containsText" text="P3">
      <formula>NOT(ISERROR(SEARCH("P3",AD70)))</formula>
    </cfRule>
    <cfRule type="containsText" dxfId="62" priority="48" operator="containsText" text="P2">
      <formula>NOT(ISERROR(SEARCH("P2",AD70)))</formula>
    </cfRule>
  </conditionalFormatting>
  <conditionalFormatting sqref="AD81:AD86">
    <cfRule type="containsText" dxfId="61" priority="45" operator="containsText" text="P3">
      <formula>NOT(ISERROR(SEARCH("P3",AD81)))</formula>
    </cfRule>
    <cfRule type="containsText" dxfId="60" priority="46" operator="containsText" text="P2">
      <formula>NOT(ISERROR(SEARCH("P2",AD81)))</formula>
    </cfRule>
  </conditionalFormatting>
  <conditionalFormatting sqref="E3 AA6:AA16 R3:R105 E5:E105">
    <cfRule type="expression" dxfId="59" priority="39">
      <formula>VLOOKUP(E3,$AD$10:$AD$20,1,FALSE)=E3</formula>
    </cfRule>
  </conditionalFormatting>
  <conditionalFormatting sqref="P4:W4 W5:W8">
    <cfRule type="expression" dxfId="58" priority="43">
      <formula>OR(AND($U4="Rich",$G105="Rich"),AND($H105="TWIN-C",$U3="4WD",$U4="TWIN-C"),AND($H105="TWIN-C",$T3="Rich",$U4="TWIN-C"))</formula>
    </cfRule>
  </conditionalFormatting>
  <conditionalFormatting sqref="C3:J3 J4 F4:F20">
    <cfRule type="expression" dxfId="57" priority="42">
      <formula>OR(AND($G3="Rich",$BK2="Rich"),AND($G3="Rich",$BK1="Rich"),AND($BK2="Mech",$G3="Mech"),AND($BK2="Mech",$G3="Rich"),AND($BK2="Rich",$G3="Mech"),AND($BK$1="Mech",$BL$2="4WD",$G$3="Mech"),AND($BL1="TWIN-C",$BL2="4WD",$H3="TWIN-C"),AND($BL1="TWIN-C",$BK2="Rich",$H3="TWIN-C"),AND($BL2="TWIN-C",$H3="TWIN-C"))</formula>
    </cfRule>
  </conditionalFormatting>
  <conditionalFormatting sqref="C4:D4 F4:J4">
    <cfRule type="expression" dxfId="56" priority="27">
      <formula>OR(AND($G4="Rich",$BK2="Rich"),AND($BL2="TWIN-C",$H3="4WD",$H4="TWIN-C"),AND($BL2="TWIN-C",$G3="Rich",$H4="TWIN-C"))</formula>
    </cfRule>
  </conditionalFormatting>
  <conditionalFormatting sqref="P3:W3 S4:S105">
    <cfRule type="expression" dxfId="55" priority="40">
      <formula>OR(AND($T3="Rich",$G105="Rich"),AND($T3="Rich",$G104="Rich"),AND($H104="TWIN-C",$H105="4WD",$U3="TWIN-C"),AND($H104="TWIN-C",$G105="Rich",$U3="TWIN-C"),AND($H105="TWIN-C",$U3="TWIN-C"))</formula>
    </cfRule>
  </conditionalFormatting>
  <conditionalFormatting sqref="E1 K1 U1:X1">
    <cfRule type="expression" dxfId="54" priority="38">
      <formula>$BA$2&gt;=$BB$2</formula>
    </cfRule>
  </conditionalFormatting>
  <conditionalFormatting sqref="E1">
    <cfRule type="containsText" dxfId="53" priority="36" operator="containsText" text="RED">
      <formula>NOT(ISERROR(SEARCH("RED",E1)))</formula>
    </cfRule>
    <cfRule type="expression" dxfId="52" priority="37">
      <formula>$BA$2=$BB$2</formula>
    </cfRule>
  </conditionalFormatting>
  <conditionalFormatting sqref="AC24:AC32">
    <cfRule type="duplicateValues" dxfId="51" priority="35"/>
  </conditionalFormatting>
  <conditionalFormatting sqref="AC26">
    <cfRule type="expression" dxfId="50" priority="34">
      <formula>OR($AB$26=-18,$AB$26=-19)</formula>
    </cfRule>
  </conditionalFormatting>
  <conditionalFormatting sqref="AC24:AC32">
    <cfRule type="expression" dxfId="49" priority="33">
      <formula>AB24&lt;=-6</formula>
    </cfRule>
  </conditionalFormatting>
  <conditionalFormatting sqref="AC35:AC40">
    <cfRule type="duplicateValues" dxfId="48" priority="32"/>
  </conditionalFormatting>
  <conditionalFormatting sqref="AC70:AC78">
    <cfRule type="duplicateValues" dxfId="47" priority="31"/>
  </conditionalFormatting>
  <conditionalFormatting sqref="AC72">
    <cfRule type="expression" dxfId="46" priority="30">
      <formula>OR($AB$26=-18,$AB$26=-19)</formula>
    </cfRule>
  </conditionalFormatting>
  <conditionalFormatting sqref="AC70:AC78">
    <cfRule type="expression" dxfId="45" priority="29">
      <formula>AB70&lt;=-6</formula>
    </cfRule>
  </conditionalFormatting>
  <conditionalFormatting sqref="AC81:AC91 Z87:AB91">
    <cfRule type="duplicateValues" dxfId="44" priority="28"/>
  </conditionalFormatting>
  <conditionalFormatting sqref="H3:J105">
    <cfRule type="expression" dxfId="43" priority="41">
      <formula>$J3="2QL"</formula>
    </cfRule>
    <cfRule type="expression" dxfId="42" priority="65">
      <formula>$J3="2PS"</formula>
    </cfRule>
  </conditionalFormatting>
  <conditionalFormatting sqref="U3:W105">
    <cfRule type="expression" dxfId="41" priority="25">
      <formula>$W3="2QL"</formula>
    </cfRule>
    <cfRule type="expression" dxfId="40" priority="26">
      <formula>$W3="2PS"</formula>
    </cfRule>
  </conditionalFormatting>
  <conditionalFormatting sqref="G1:G1048576 T1:T1048576">
    <cfRule type="containsText" dxfId="39" priority="24" operator="containsText" text="Sport">
      <formula>NOT(ISERROR(SEARCH("Sport",G1)))</formula>
    </cfRule>
  </conditionalFormatting>
  <conditionalFormatting sqref="AY53:AY63">
    <cfRule type="duplicateValues" dxfId="38" priority="22"/>
  </conditionalFormatting>
  <conditionalFormatting sqref="AY53:AY63">
    <cfRule type="duplicateValues" dxfId="37" priority="23"/>
  </conditionalFormatting>
  <conditionalFormatting sqref="AY53:AY63">
    <cfRule type="duplicateValues" dxfId="36" priority="21"/>
  </conditionalFormatting>
  <conditionalFormatting sqref="A3:A105">
    <cfRule type="cellIs" dxfId="35" priority="19" operator="lessThan">
      <formula>$AB$2</formula>
    </cfRule>
    <cfRule type="cellIs" dxfId="34" priority="20" operator="between">
      <formula>$AC$2+1</formula>
      <formula>10000</formula>
    </cfRule>
  </conditionalFormatting>
  <conditionalFormatting sqref="N3:N105">
    <cfRule type="cellIs" dxfId="33" priority="17" operator="lessThan">
      <formula>$AB$2</formula>
    </cfRule>
    <cfRule type="cellIs" dxfId="32" priority="18" operator="between">
      <formula>$AC$2+1</formula>
      <formula>10000</formula>
    </cfRule>
  </conditionalFormatting>
  <conditionalFormatting sqref="F22:F25">
    <cfRule type="expression" dxfId="31" priority="183">
      <formula>OR(AND($G22="Rich",#REF!="Rich"),AND($G22="Rich",#REF!="Rich"),AND(#REF!="Mech",$G22="Mech"),AND(#REF!="Mech",$G22="Rich"),AND(#REF!="Rich",$G22="Mech"),AND($BK$1="Mech",$BL$2="4WD",$G$3="Mech"),AND($BL20="TWIN-C",$BL21="4WD",$H22="TWIN-C"),AND($BL20="TWIN-C",#REF!="Rich",$H22="TWIN-C"),AND($BL21="TWIN-C",$H22="TWIN-C"))</formula>
    </cfRule>
  </conditionalFormatting>
  <conditionalFormatting sqref="F21">
    <cfRule type="expression" dxfId="30" priority="184">
      <formula>OR(AND($G21="Rich",#REF!="Rich"),AND($G21="Rich",#REF!="Rich"),AND(#REF!="Mech",$G21="Mech"),AND(#REF!="Mech",$G21="Rich"),AND(#REF!="Rich",$G21="Mech"),AND($BK$1="Mech",$BL$2="4WD",$G$3="Mech"),AND($BL19="TWIN-C",$BL20="4WD",$H21="TWIN-C"),AND($BL19="TWIN-C",#REF!="Rich",$H21="TWIN-C"),AND($BL20="TWIN-C",$H21="TWIN-C"))</formula>
    </cfRule>
  </conditionalFormatting>
  <conditionalFormatting sqref="AC6:AC20">
    <cfRule type="expression" dxfId="29" priority="11">
      <formula>VLOOKUP($AC6,$R$3:$R$105,1,FALSE)=$AC6</formula>
    </cfRule>
    <cfRule type="expression" dxfId="28" priority="12">
      <formula>VLOOKUP($AC6,$E$3:$E$105,1,FALSE)=$AC6</formula>
    </cfRule>
    <cfRule type="duplicateValues" dxfId="27" priority="16"/>
  </conditionalFormatting>
  <conditionalFormatting sqref="AC6:AC20">
    <cfRule type="duplicateValues" dxfId="26" priority="13"/>
  </conditionalFormatting>
  <conditionalFormatting sqref="AB6:AB20">
    <cfRule type="containsText" dxfId="25" priority="14" operator="containsText" text="P3">
      <formula>NOT(ISERROR(SEARCH("P3",AB6)))</formula>
    </cfRule>
    <cfRule type="containsText" dxfId="24" priority="15" operator="containsText" text="P2">
      <formula>NOT(ISERROR(SEARCH("P2",AB6)))</formula>
    </cfRule>
  </conditionalFormatting>
  <conditionalFormatting sqref="E4">
    <cfRule type="duplicateValues" dxfId="23" priority="10"/>
  </conditionalFormatting>
  <conditionalFormatting sqref="E4">
    <cfRule type="duplicateValues" dxfId="22" priority="9"/>
  </conditionalFormatting>
  <conditionalFormatting sqref="E4">
    <cfRule type="duplicateValues" dxfId="21" priority="8"/>
  </conditionalFormatting>
  <conditionalFormatting sqref="E4">
    <cfRule type="expression" dxfId="20" priority="7">
      <formula>VLOOKUP(E4,$AD$10:$AD$20,1,FALSE)=E4</formula>
    </cfRule>
  </conditionalFormatting>
  <conditionalFormatting sqref="Z95:Z105">
    <cfRule type="containsText" dxfId="19" priority="5" operator="containsText" text="Camry">
      <formula>NOT(ISERROR(SEARCH("Camry",Z95)))</formula>
    </cfRule>
    <cfRule type="containsText" dxfId="18" priority="6" operator="containsText" text="RAV4">
      <formula>NOT(ISERROR(SEARCH("RAV4",Z95)))</formula>
    </cfRule>
  </conditionalFormatting>
  <conditionalFormatting sqref="AD95:AD105">
    <cfRule type="containsText" dxfId="17" priority="3" operator="containsText" text="P3">
      <formula>NOT(ISERROR(SEARCH("P3",AD95)))</formula>
    </cfRule>
    <cfRule type="containsText" dxfId="16" priority="4" operator="containsText" text="P2">
      <formula>NOT(ISERROR(SEARCH("P2",AD95)))</formula>
    </cfRule>
  </conditionalFormatting>
  <conditionalFormatting sqref="AC95:AC105">
    <cfRule type="duplicateValues" dxfId="15" priority="2"/>
  </conditionalFormatting>
  <conditionalFormatting sqref="AC95:AC105">
    <cfRule type="expression" dxfId="14" priority="1">
      <formula>AB95&lt;=-6</formula>
    </cfRule>
  </conditionalFormatting>
  <conditionalFormatting sqref="F39:F105">
    <cfRule type="expression" dxfId="13" priority="185">
      <formula>OR(AND($G39="Rich",$BK40="Rich"),AND($G39="Rich",$BK39="Rich"),AND($BK40="Mech",$G39="Mech"),AND($BK40="Mech",$G39="Rich"),AND($BK40="Rich",$G39="Mech"),AND($BK$1="Mech",$BL$2="4WD",$G$3="Mech"),AND($BL37="TWIN-C",$BL38="4WD",$H39="TWIN-C"),AND($BL37="TWIN-C",$BK40="Rich",$H39="TWIN-C"),AND($BL38="TWIN-C",$H39="TWIN-C"))</formula>
    </cfRule>
  </conditionalFormatting>
  <conditionalFormatting sqref="F21">
    <cfRule type="expression" dxfId="12" priority="186">
      <formula>OR(AND($G21="Rich",$BK23="Rich"),AND($G21="Rich",$BK19="Rich"),AND($BK23="Mech",$G21="Mech"),AND($BK23="Mech",$G21="Rich"),AND($BK23="Rich",$G21="Mech"),AND($BK$1="Mech",$BL$2="4WD",$G$3="Mech"),AND($BL19="TWIN-C",$BL20="4WD",$H21="TWIN-C"),AND($BL19="TWIN-C",$BK23="Rich",$H21="TWIN-C"),AND($BL20="TWIN-C",$H21="TWIN-C"))</formula>
    </cfRule>
  </conditionalFormatting>
  <conditionalFormatting sqref="F22:F36">
    <cfRule type="expression" dxfId="11" priority="187">
      <formula>OR(AND($G22="Rich",$BK24="Rich"),AND($G22="Rich",$BK23="Rich"),AND($BK24="Mech",$G22="Mech"),AND($BK24="Mech",$G22="Rich"),AND($BK24="Rich",$G22="Mech"),AND($BK$1="Mech",$BL$2="4WD",$G$3="Mech"),AND($BL20="TWIN-C",$BL21="4WD",$H22="TWIN-C"),AND($BL20="TWIN-C",$BK24="Rich",$H22="TWIN-C"),AND($BL21="TWIN-C",$H22="TWIN-C"))</formula>
    </cfRule>
  </conditionalFormatting>
  <conditionalFormatting sqref="F26">
    <cfRule type="expression" dxfId="10" priority="188">
      <formula>OR(AND($G26="Rich",$BK28="Rich"),AND($G26="Rich",#REF!="Rich"),AND($BK28="Mech",$G26="Mech"),AND($BK28="Mech",$G26="Rich"),AND($BK28="Rich",$G26="Mech"),AND($BK$1="Mech",$BL$2="4WD",$G$3="Mech"),AND($BL24="TWIN-C",$BL25="4WD",$H26="TWIN-C"),AND($BL24="TWIN-C",$BK28="Rich",$H26="TWIN-C"),AND($BL25="TWIN-C",$H26="TWIN-C"))</formula>
    </cfRule>
  </conditionalFormatting>
  <conditionalFormatting sqref="F37">
    <cfRule type="expression" dxfId="9" priority="189">
      <formula>OR(AND($G37="Rich",#REF!="Rich"),AND($G37="Rich",$BK38="Rich"),AND(#REF!="Mech",$G37="Mech"),AND(#REF!="Mech",$G37="Rich"),AND(#REF!="Rich",$G37="Mech"),AND($BK$1="Mech",$BL$2="4WD",$G$3="Mech"),AND($BL35="TWIN-C",$BL36="4WD",$H37="TWIN-C"),AND($BL35="TWIN-C",#REF!="Rich",$H37="TWIN-C"),AND($BL36="TWIN-C",$H37="TWIN-C"))</formula>
    </cfRule>
  </conditionalFormatting>
  <conditionalFormatting sqref="F38">
    <cfRule type="expression" dxfId="8" priority="190">
      <formula>OR(AND($G38="Rich",$BK39="Rich"),AND($G38="Rich",#REF!="Rich"),AND($BK39="Mech",$G38="Mech"),AND($BK39="Mech",$G38="Rich"),AND($BK39="Rich",$G38="Mech"),AND($BK$1="Mech",$BL$2="4WD",$G$3="Mech"),AND($BL36="TWIN-C",$BL37="4WD",$H38="TWIN-C"),AND($BL36="TWIN-C",$BK39="Rich",$H38="TWIN-C"),AND($BL37="TWIN-C",$H38="TWIN-C"))</formula>
    </cfRule>
  </conditionalFormatting>
  <conditionalFormatting sqref="F19">
    <cfRule type="expression" dxfId="7" priority="191">
      <formula>OR(AND($G19="Rich",$BK19="Rich"),AND($G19="Rich",$BK17="Rich"),AND($BK19="Mech",$G19="Mech"),AND($BK19="Mech",$G19="Rich"),AND($BK19="Rich",$G19="Mech"),AND($BK$1="Mech",$BL$2="4WD",$G$3="Mech"),AND($BL17="TWIN-C",$BL18="4WD",$H19="TWIN-C"),AND($BL17="TWIN-C",$BK19="Rich",$H19="TWIN-C"),AND($BL18="TWIN-C",$H19="TWIN-C"))</formula>
    </cfRule>
  </conditionalFormatting>
  <conditionalFormatting sqref="F20">
    <cfRule type="expression" dxfId="6" priority="192">
      <formula>OR(AND($G20="Rich",#REF!="Rich"),AND($G20="Rich",$BK19="Rich"),AND(#REF!="Mech",$G20="Mech"),AND(#REF!="Mech",$G20="Rich"),AND(#REF!="Rich",$G20="Mech"),AND($BK$1="Mech",$BL$2="4WD",$G$3="Mech"),AND($BL18="TWIN-C",$BL19="4WD",$H20="TWIN-C"),AND($BL18="TWIN-C",#REF!="Rich",$H20="TWIN-C"),AND($BL19="TWIN-C",$H20="TWIN-C"))</formula>
    </cfRule>
  </conditionalFormatting>
  <conditionalFormatting sqref="C3:J105">
    <cfRule type="expression" dxfId="5" priority="193">
      <formula>AND(COUNTIF($CG9:$CG12,"Rich")&gt;1,COUNTIF($CG9:$CG12,"Mech")&gt;1)</formula>
    </cfRule>
    <cfRule type="expression" dxfId="4" priority="194">
      <formula>AND($CG12="Sport",COUNTIF($CG7:$CG12,"Sport")&gt;1)</formula>
    </cfRule>
    <cfRule type="expression" dxfId="3" priority="195">
      <formula>OR(AND($G3="Rich",$G2="Rich"),AND($G3="Rich",$G1="Rich"),AND($H3="TWIN-C",$H2="TWIN-C"),AND($H3="TWIN-C",$H2="4WD",$H1="TWIN-C"),AND($H3="TWIN-C",$G2="Rich",$H1="TWIN-C"))</formula>
    </cfRule>
  </conditionalFormatting>
  <conditionalFormatting sqref="P3:W105">
    <cfRule type="expression" dxfId="2" priority="196">
      <formula>AND($CG115="Sport",COUNTIF($CG110:$CG115,"Sport")&gt;1)</formula>
    </cfRule>
    <cfRule type="expression" dxfId="1" priority="197">
      <formula>AND(COUNTIF($CG112:$CG115,"Rich")&gt;1,COUNTIF($CG112:$CG115,"Mech")&gt;1)</formula>
    </cfRule>
    <cfRule type="expression" dxfId="0" priority="198">
      <formula>OR(AND($T3="Rich",$T2="Rich"),AND($T3="Rich",$T1="Rich"),AND($U3="TWIN-C",$U2="TWIN-C"),AND($U3="TWIN-C",$U2="4WD",$U1="TWIN-C"),AND($U3="TWIN-C",$T2="Rich",$U1="TWIN-C"))</formula>
    </cfRule>
  </conditionalFormatting>
  <dataValidations count="3">
    <dataValidation type="list" allowBlank="1" showInputMessage="1" showErrorMessage="1" sqref="H1:J1" xr:uid="{00000000-0002-0000-0300-000000000000}">
      <formula1>$AQ$11:$AQ$12</formula1>
    </dataValidation>
    <dataValidation type="list" allowBlank="1" showInputMessage="1" showErrorMessage="1" sqref="U2 G2:H2" xr:uid="{00000000-0002-0000-0300-000001000000}">
      <formula1>Seat</formula1>
    </dataValidation>
    <dataValidation type="list" allowBlank="1" showInputMessage="1" showErrorMessage="1" sqref="E1:G1" xr:uid="{00000000-0002-0000-0300-000002000000}">
      <formula1>$AQ$9:$AQ$10</formula1>
    </dataValidation>
  </dataValidations>
  <printOptions horizontalCentered="1" verticalCentered="1"/>
  <pageMargins left="0" right="0" top="0" bottom="0" header="0" footer="0"/>
  <pageSetup paperSize="9" scale="27" orientation="portrait" verticalDpi="180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12</vt:i4>
      </vt:variant>
    </vt:vector>
  </HeadingPairs>
  <TitlesOfParts>
    <vt:vector size="16" baseType="lpstr">
      <vt:lpstr>Монитор</vt:lpstr>
      <vt:lpstr>Расчет</vt:lpstr>
      <vt:lpstr>Бланк</vt:lpstr>
      <vt:lpstr>09.11 R</vt:lpstr>
      <vt:lpstr>Расчет!_20__Information</vt:lpstr>
      <vt:lpstr>Расчет!_41__Bodies_location__Heijunka__1</vt:lpstr>
      <vt:lpstr>'09.11 R'!Color</vt:lpstr>
      <vt:lpstr>Бланк!Color</vt:lpstr>
      <vt:lpstr>'09.11 R'!Eng</vt:lpstr>
      <vt:lpstr>Бланк!Eng</vt:lpstr>
      <vt:lpstr>'09.11 R'!Seat</vt:lpstr>
      <vt:lpstr>Бланк!Seat</vt:lpstr>
      <vt:lpstr>Расчет!Данные_для_Heijunka</vt:lpstr>
      <vt:lpstr>'09.11 R'!Область_печати</vt:lpstr>
      <vt:lpstr>Бланк!Область_печати</vt:lpstr>
      <vt:lpstr>Расчет!Порядок_кузовов_BuildSeq__PC02__1</vt:lpstr>
    </vt:vector>
  </TitlesOfParts>
  <Company>トヨタ自動車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FG10285</dc:creator>
  <cp:lastModifiedBy>Андрей</cp:lastModifiedBy>
  <cp:lastPrinted>2020-09-28T15:30:19Z</cp:lastPrinted>
  <dcterms:created xsi:type="dcterms:W3CDTF">2007-02-08T07:41:52Z</dcterms:created>
  <dcterms:modified xsi:type="dcterms:W3CDTF">2023-05-23T08:22:32Z</dcterms:modified>
</cp:coreProperties>
</file>